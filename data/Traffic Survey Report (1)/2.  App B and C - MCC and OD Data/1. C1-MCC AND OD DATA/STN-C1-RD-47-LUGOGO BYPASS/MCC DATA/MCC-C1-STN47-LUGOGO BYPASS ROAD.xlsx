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3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5.xml" ContentType="application/vnd.openxmlformats-officedocument.drawing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drawings/drawing6.xml" ContentType="application/vnd.openxmlformats-officedocument.drawing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drawings/drawing7.xml" ContentType="application/vnd.openxmlformats-officedocument.drawing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drawings/drawing8.xml" ContentType="application/vnd.openxmlformats-officedocument.drawing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9.xml" ContentType="application/vnd.openxmlformats-officedocument.drawing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10.xml" ContentType="application/vnd.openxmlformats-officedocument.drawing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drawings/drawing11.xml" ContentType="application/vnd.openxmlformats-officedocument.drawing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12.xml" ContentType="application/vnd.openxmlformats-officedocument.drawing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xl/charts/chart42.xml" ContentType="application/vnd.openxmlformats-officedocument.drawingml.chart+xml"/>
  <Override PartName="/xl/drawings/drawing13.xml" ContentType="application/vnd.openxmlformats-officedocument.drawing+xml"/>
  <Override PartName="/xl/charts/chart43.xml" ContentType="application/vnd.openxmlformats-officedocument.drawingml.chart+xml"/>
  <Override PartName="/xl/charts/chart44.xml" ContentType="application/vnd.openxmlformats-officedocument.drawingml.chart+xml"/>
  <Override PartName="/xl/charts/chart45.xml" ContentType="application/vnd.openxmlformats-officedocument.drawingml.chart+xml"/>
  <Override PartName="/xl/charts/chart46.xml" ContentType="application/vnd.openxmlformats-officedocument.drawingml.chart+xml"/>
  <Override PartName="/xl/drawings/drawing14.xml" ContentType="application/vnd.openxmlformats-officedocument.drawing+xml"/>
  <Override PartName="/xl/charts/chart47.xml" ContentType="application/vnd.openxmlformats-officedocument.drawingml.chart+xml"/>
  <Override PartName="/xl/charts/chart48.xml" ContentType="application/vnd.openxmlformats-officedocument.drawingml.chart+xml"/>
  <Override PartName="/xl/charts/chart49.xml" ContentType="application/vnd.openxmlformats-officedocument.drawingml.chart+xml"/>
  <Override PartName="/xl/charts/chart50.xml" ContentType="application/vnd.openxmlformats-officedocument.drawingml.chart+xml"/>
  <Override PartName="/xl/drawings/drawing15.xml" ContentType="application/vnd.openxmlformats-officedocument.drawing+xml"/>
  <Override PartName="/xl/charts/chart51.xml" ContentType="application/vnd.openxmlformats-officedocument.drawingml.chart+xml"/>
  <Override PartName="/xl/charts/chart52.xml" ContentType="application/vnd.openxmlformats-officedocument.drawingml.chart+xml"/>
  <Override PartName="/xl/charts/chart53.xml" ContentType="application/vnd.openxmlformats-officedocument.drawingml.chart+xml"/>
  <Override PartName="/xl/drawings/drawing16.xml" ContentType="application/vnd.openxmlformats-officedocument.drawing+xml"/>
  <Override PartName="/xl/charts/chart54.xml" ContentType="application/vnd.openxmlformats-officedocument.drawingml.chart+xml"/>
  <Override PartName="/xl/charts/chart55.xml" ContentType="application/vnd.openxmlformats-officedocument.drawingml.chart+xml"/>
  <Override PartName="/xl/charts/chart56.xml" ContentType="application/vnd.openxmlformats-officedocument.drawingml.chart+xml"/>
  <Override PartName="/xl/drawings/drawing17.xml" ContentType="application/vnd.openxmlformats-officedocument.drawing+xml"/>
  <Override PartName="/xl/charts/chart57.xml" ContentType="application/vnd.openxmlformats-officedocument.drawingml.chart+xml"/>
  <Override PartName="/xl/charts/chart58.xml" ContentType="application/vnd.openxmlformats-officedocument.drawingml.chart+xml"/>
  <Override PartName="/xl/charts/chart59.xml" ContentType="application/vnd.openxmlformats-officedocument.drawingml.chart+xml"/>
  <Override PartName="/xl/charts/chart6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61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67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LLAN\Desktop\C-1 Analysis Complete\STN-C1-RD-47-LUGOGO BYPASS\MCC DATA\"/>
    </mc:Choice>
  </mc:AlternateContent>
  <bookViews>
    <workbookView xWindow="-120" yWindow="-120" windowWidth="20730" windowHeight="11160" tabRatio="940" firstSheet="13" activeTab="16"/>
  </bookViews>
  <sheets>
    <sheet name="29.07 JinjaRoad-Kira Road" sheetId="93" r:id="rId1"/>
    <sheet name="29.07 Kira Road-Jinaj Road" sheetId="94" r:id="rId2"/>
    <sheet name="30.07 Jinja Road-Kira Road" sheetId="95" r:id="rId3"/>
    <sheet name="30.07 Kira Road-Jinja Road" sheetId="96" r:id="rId4"/>
    <sheet name="31.07 Jinja Road-Kira Road" sheetId="97" r:id="rId5"/>
    <sheet name="31.07 Kira Road-Jinja Road" sheetId="98" r:id="rId6"/>
    <sheet name="1.08 Jinja Road-Kira Road-24h" sheetId="101" r:id="rId7"/>
    <sheet name="1.08 Kira Road-Jinja Road-24h" sheetId="109" r:id="rId8"/>
    <sheet name="2.08 Jinja road-Kira road" sheetId="99" r:id="rId9"/>
    <sheet name="2.08 Kira Road-Jinja road" sheetId="100" r:id="rId10"/>
    <sheet name="3.08 Jinja Road-KiraRoad-24h" sheetId="105" r:id="rId11"/>
    <sheet name="3.08 Kira Road-Jinja Road-24h" sheetId="110" r:id="rId12"/>
    <sheet name="4.08.JINJA ROAD-KIIRA" sheetId="103" r:id="rId13"/>
    <sheet name="4.08.KIIRA-JINJAROAD" sheetId="104" r:id="rId14"/>
    <sheet name="Avg Week Jinja Rd-Kiira " sheetId="107" r:id="rId15"/>
    <sheet name="Avg Week Kiira-JinjaRoad" sheetId="108" r:id="rId16"/>
    <sheet name="Avg Week Jinja RD-Kiira-2Dir" sheetId="111" r:id="rId17"/>
  </sheets>
  <definedNames>
    <definedName name="_xlnm.Print_Area" localSheetId="6">'1.08 Jinja Road-Kira Road-24h'!$A$1:$AF$108</definedName>
    <definedName name="_xlnm.Print_Area" localSheetId="7">'1.08 Kira Road-Jinja Road-24h'!$A$1:$AF$108</definedName>
    <definedName name="_xlnm.Print_Area" localSheetId="8">'2.08 Jinja road-Kira road'!$A$1:$AF$60</definedName>
    <definedName name="_xlnm.Print_Area" localSheetId="9">'2.08 Kira Road-Jinja road'!$A$1:$AF$60</definedName>
    <definedName name="_xlnm.Print_Area" localSheetId="0">'29.07 JinjaRoad-Kira Road'!$A$1:$AF$60</definedName>
    <definedName name="_xlnm.Print_Area" localSheetId="1">'29.07 Kira Road-Jinaj Road'!$A$1:$AF$60</definedName>
    <definedName name="_xlnm.Print_Area" localSheetId="10">'3.08 Jinja Road-KiraRoad-24h'!$A$1:$AF$108</definedName>
    <definedName name="_xlnm.Print_Area" localSheetId="11">'3.08 Kira Road-Jinja Road-24h'!$A$1:$AF$108</definedName>
    <definedName name="_xlnm.Print_Area" localSheetId="2">'30.07 Jinja Road-Kira Road'!$A$1:$AF$60</definedName>
    <definedName name="_xlnm.Print_Area" localSheetId="3">'30.07 Kira Road-Jinja Road'!$A$1:$AF$60</definedName>
    <definedName name="_xlnm.Print_Area" localSheetId="4">'31.07 Jinja Road-Kira Road'!$A$1:$AF$60</definedName>
    <definedName name="_xlnm.Print_Area" localSheetId="5">'31.07 Kira Road-Jinja Road'!$A$1:$AF$60</definedName>
    <definedName name="_xlnm.Print_Area" localSheetId="12">'4.08.JINJA ROAD-KIIRA'!$A$1:$AF$60</definedName>
    <definedName name="_xlnm.Print_Area" localSheetId="13">'4.08.KIIRA-JINJAROAD'!$A$1:$AF$60</definedName>
    <definedName name="_xlnm.Print_Area" localSheetId="14">'Avg Week Jinja Rd-Kiira '!$A$1:$AF$108</definedName>
    <definedName name="_xlnm.Print_Area" localSheetId="16">'Avg Week Jinja RD-Kiira-2Dir'!$A$1:$AF$108</definedName>
    <definedName name="_xlnm.Print_Area" localSheetId="15">'Avg Week Kiira-JinjaRoad'!$A$1:$AF$108</definedName>
    <definedName name="_xlnm.Print_Titles" localSheetId="6">'1.08 Jinja Road-Kira Road-24h'!$1:$8</definedName>
    <definedName name="_xlnm.Print_Titles" localSheetId="7">'1.08 Kira Road-Jinja Road-24h'!$1:$8</definedName>
    <definedName name="_xlnm.Print_Titles" localSheetId="8">'2.08 Jinja road-Kira road'!$1:$8</definedName>
    <definedName name="_xlnm.Print_Titles" localSheetId="9">'2.08 Kira Road-Jinja road'!$1:$8</definedName>
    <definedName name="_xlnm.Print_Titles" localSheetId="0">'29.07 JinjaRoad-Kira Road'!$1:$8</definedName>
    <definedName name="_xlnm.Print_Titles" localSheetId="1">'29.07 Kira Road-Jinaj Road'!$1:$8</definedName>
    <definedName name="_xlnm.Print_Titles" localSheetId="10">'3.08 Jinja Road-KiraRoad-24h'!$1:$8</definedName>
    <definedName name="_xlnm.Print_Titles" localSheetId="11">'3.08 Kira Road-Jinja Road-24h'!$1:$8</definedName>
    <definedName name="_xlnm.Print_Titles" localSheetId="2">'30.07 Jinja Road-Kira Road'!$1:$8</definedName>
    <definedName name="_xlnm.Print_Titles" localSheetId="3">'30.07 Kira Road-Jinja Road'!$1:$8</definedName>
    <definedName name="_xlnm.Print_Titles" localSheetId="4">'31.07 Jinja Road-Kira Road'!$1:$8</definedName>
    <definedName name="_xlnm.Print_Titles" localSheetId="5">'31.07 Kira Road-Jinja Road'!$1:$8</definedName>
    <definedName name="_xlnm.Print_Titles" localSheetId="12">'4.08.JINJA ROAD-KIIRA'!$1:$8</definedName>
    <definedName name="_xlnm.Print_Titles" localSheetId="13">'4.08.KIIRA-JINJAROAD'!$1:$8</definedName>
    <definedName name="_xlnm.Print_Titles" localSheetId="14">'Avg Week Jinja Rd-Kiira '!$1:$8</definedName>
    <definedName name="_xlnm.Print_Titles" localSheetId="16">'Avg Week Jinja RD-Kiira-2Dir'!$1:$8</definedName>
    <definedName name="_xlnm.Print_Titles" localSheetId="15">'Avg Week Kiira-JinjaRoad'!$1:$8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T22" i="111" l="1"/>
  <c r="U22" i="111"/>
  <c r="V22" i="111"/>
  <c r="W22" i="111"/>
  <c r="X22" i="111"/>
  <c r="Y22" i="111"/>
  <c r="Z22" i="111"/>
  <c r="AA22" i="111"/>
  <c r="AB22" i="111"/>
  <c r="AC22" i="111"/>
  <c r="AD22" i="111"/>
  <c r="AE22" i="111"/>
  <c r="AF22" i="111"/>
  <c r="T23" i="111"/>
  <c r="T41" i="111" s="1"/>
  <c r="T42" i="111" s="1"/>
  <c r="U23" i="111"/>
  <c r="V23" i="111"/>
  <c r="V41" i="111" s="1"/>
  <c r="V42" i="111" s="1"/>
  <c r="W23" i="111"/>
  <c r="X23" i="111"/>
  <c r="X41" i="111" s="1"/>
  <c r="X42" i="111" s="1"/>
  <c r="Y23" i="111"/>
  <c r="Z23" i="111"/>
  <c r="Z41" i="111" s="1"/>
  <c r="Z42" i="111" s="1"/>
  <c r="AA23" i="111"/>
  <c r="AB23" i="111"/>
  <c r="AB41" i="111" s="1"/>
  <c r="AB42" i="111" s="1"/>
  <c r="AC23" i="111"/>
  <c r="AD23" i="111"/>
  <c r="AD41" i="111" s="1"/>
  <c r="AD42" i="111" s="1"/>
  <c r="AE23" i="111"/>
  <c r="AF23" i="111"/>
  <c r="AF41" i="111" s="1"/>
  <c r="T24" i="111"/>
  <c r="U24" i="111"/>
  <c r="V24" i="111"/>
  <c r="W24" i="111"/>
  <c r="X24" i="111"/>
  <c r="Y24" i="111"/>
  <c r="Z24" i="111"/>
  <c r="AA24" i="111"/>
  <c r="AB24" i="111"/>
  <c r="AC24" i="111"/>
  <c r="AD24" i="111"/>
  <c r="AE24" i="111"/>
  <c r="AF24" i="111"/>
  <c r="T25" i="111"/>
  <c r="U25" i="111"/>
  <c r="V25" i="111"/>
  <c r="W25" i="111"/>
  <c r="X25" i="111"/>
  <c r="Y25" i="111"/>
  <c r="Z25" i="111"/>
  <c r="AA25" i="111"/>
  <c r="AB25" i="111"/>
  <c r="AC25" i="111"/>
  <c r="AD25" i="111"/>
  <c r="AE25" i="111"/>
  <c r="AF25" i="111"/>
  <c r="T26" i="111"/>
  <c r="U26" i="111"/>
  <c r="V26" i="111"/>
  <c r="W26" i="111"/>
  <c r="X26" i="111"/>
  <c r="Y26" i="111"/>
  <c r="Z26" i="111"/>
  <c r="AA26" i="111"/>
  <c r="AB26" i="111"/>
  <c r="AC26" i="111"/>
  <c r="AD26" i="111"/>
  <c r="AE26" i="111"/>
  <c r="AF26" i="111"/>
  <c r="T27" i="111"/>
  <c r="U27" i="111"/>
  <c r="V27" i="111"/>
  <c r="W27" i="111"/>
  <c r="X27" i="111"/>
  <c r="Y27" i="111"/>
  <c r="Z27" i="111"/>
  <c r="AA27" i="111"/>
  <c r="AB27" i="111"/>
  <c r="AC27" i="111"/>
  <c r="AD27" i="111"/>
  <c r="AE27" i="111"/>
  <c r="AF27" i="111"/>
  <c r="T28" i="111"/>
  <c r="U28" i="111"/>
  <c r="V28" i="111"/>
  <c r="W28" i="111"/>
  <c r="X28" i="111"/>
  <c r="Y28" i="111"/>
  <c r="Z28" i="111"/>
  <c r="AA28" i="111"/>
  <c r="AB28" i="111"/>
  <c r="AC28" i="111"/>
  <c r="AD28" i="111"/>
  <c r="AE28" i="111"/>
  <c r="AF28" i="111"/>
  <c r="T29" i="111"/>
  <c r="U29" i="111"/>
  <c r="V29" i="111"/>
  <c r="W29" i="111"/>
  <c r="X29" i="111"/>
  <c r="Y29" i="111"/>
  <c r="Z29" i="111"/>
  <c r="AA29" i="111"/>
  <c r="AB29" i="111"/>
  <c r="AC29" i="111"/>
  <c r="AD29" i="111"/>
  <c r="AE29" i="111"/>
  <c r="AF29" i="111"/>
  <c r="T30" i="111"/>
  <c r="U30" i="111"/>
  <c r="V30" i="111"/>
  <c r="W30" i="111"/>
  <c r="X30" i="111"/>
  <c r="Y30" i="111"/>
  <c r="Z30" i="111"/>
  <c r="AA30" i="111"/>
  <c r="AB30" i="111"/>
  <c r="AC30" i="111"/>
  <c r="AD30" i="111"/>
  <c r="AE30" i="111"/>
  <c r="AF30" i="111"/>
  <c r="T31" i="111"/>
  <c r="U31" i="111"/>
  <c r="V31" i="111"/>
  <c r="W31" i="111"/>
  <c r="X31" i="111"/>
  <c r="Y31" i="111"/>
  <c r="Z31" i="111"/>
  <c r="AA31" i="111"/>
  <c r="AB31" i="111"/>
  <c r="AC31" i="111"/>
  <c r="AD31" i="111"/>
  <c r="AE31" i="111"/>
  <c r="AF31" i="111"/>
  <c r="T32" i="111"/>
  <c r="U32" i="111"/>
  <c r="V32" i="111"/>
  <c r="W32" i="111"/>
  <c r="X32" i="111"/>
  <c r="Y32" i="111"/>
  <c r="Z32" i="111"/>
  <c r="AA32" i="111"/>
  <c r="AB32" i="111"/>
  <c r="AC32" i="111"/>
  <c r="AD32" i="111"/>
  <c r="AE32" i="111"/>
  <c r="AF32" i="111"/>
  <c r="T33" i="111"/>
  <c r="U33" i="111"/>
  <c r="V33" i="111"/>
  <c r="W33" i="111"/>
  <c r="X33" i="111"/>
  <c r="Y33" i="111"/>
  <c r="Z33" i="111"/>
  <c r="AA33" i="111"/>
  <c r="AB33" i="111"/>
  <c r="AC33" i="111"/>
  <c r="AD33" i="111"/>
  <c r="AE33" i="111"/>
  <c r="AF33" i="111"/>
  <c r="S33" i="111"/>
  <c r="S32" i="111"/>
  <c r="S31" i="111"/>
  <c r="S30" i="111"/>
  <c r="S29" i="111"/>
  <c r="S28" i="111"/>
  <c r="S27" i="111"/>
  <c r="S26" i="111"/>
  <c r="S25" i="111"/>
  <c r="S24" i="111"/>
  <c r="S23" i="111"/>
  <c r="S41" i="111" s="1"/>
  <c r="S42" i="111" s="1"/>
  <c r="S22" i="111"/>
  <c r="AE41" i="111"/>
  <c r="AC41" i="111"/>
  <c r="AC42" i="111" s="1"/>
  <c r="AA41" i="111"/>
  <c r="AA42" i="111" s="1"/>
  <c r="Y41" i="111"/>
  <c r="Y42" i="111" s="1"/>
  <c r="W41" i="111"/>
  <c r="W42" i="111" s="1"/>
  <c r="U41" i="111"/>
  <c r="U42" i="111" s="1"/>
  <c r="T22" i="108"/>
  <c r="U22" i="108"/>
  <c r="U41" i="108" s="1"/>
  <c r="U42" i="108" s="1"/>
  <c r="V22" i="108"/>
  <c r="W22" i="108"/>
  <c r="X22" i="108"/>
  <c r="Y22" i="108"/>
  <c r="Y41" i="108" s="1"/>
  <c r="Y42" i="108" s="1"/>
  <c r="Z22" i="108"/>
  <c r="AA22" i="108"/>
  <c r="AB22" i="108"/>
  <c r="AC22" i="108"/>
  <c r="AC41" i="108" s="1"/>
  <c r="AC42" i="108" s="1"/>
  <c r="AD22" i="108"/>
  <c r="AE22" i="108"/>
  <c r="AF22" i="108"/>
  <c r="T23" i="108"/>
  <c r="T41" i="108" s="1"/>
  <c r="T42" i="108" s="1"/>
  <c r="U23" i="108"/>
  <c r="V23" i="108"/>
  <c r="W23" i="108"/>
  <c r="X23" i="108"/>
  <c r="X41" i="108" s="1"/>
  <c r="X42" i="108" s="1"/>
  <c r="Y23" i="108"/>
  <c r="Z23" i="108"/>
  <c r="AA23" i="108"/>
  <c r="AB23" i="108"/>
  <c r="AB41" i="108" s="1"/>
  <c r="AB42" i="108" s="1"/>
  <c r="AC23" i="108"/>
  <c r="AD23" i="108"/>
  <c r="AE23" i="108"/>
  <c r="AF23" i="108"/>
  <c r="AF41" i="108" s="1"/>
  <c r="T24" i="108"/>
  <c r="U24" i="108"/>
  <c r="V24" i="108"/>
  <c r="W24" i="108"/>
  <c r="X24" i="108"/>
  <c r="Y24" i="108"/>
  <c r="Z24" i="108"/>
  <c r="AA24" i="108"/>
  <c r="AB24" i="108"/>
  <c r="AC24" i="108"/>
  <c r="AD24" i="108"/>
  <c r="AE24" i="108"/>
  <c r="AF24" i="108"/>
  <c r="T25" i="108"/>
  <c r="U25" i="108"/>
  <c r="V25" i="108"/>
  <c r="W25" i="108"/>
  <c r="X25" i="108"/>
  <c r="Y25" i="108"/>
  <c r="Z25" i="108"/>
  <c r="AA25" i="108"/>
  <c r="AB25" i="108"/>
  <c r="AC25" i="108"/>
  <c r="AD25" i="108"/>
  <c r="AE25" i="108"/>
  <c r="AF25" i="108"/>
  <c r="T26" i="108"/>
  <c r="U26" i="108"/>
  <c r="V26" i="108"/>
  <c r="W26" i="108"/>
  <c r="X26" i="108"/>
  <c r="Y26" i="108"/>
  <c r="Z26" i="108"/>
  <c r="AA26" i="108"/>
  <c r="AB26" i="108"/>
  <c r="AC26" i="108"/>
  <c r="AD26" i="108"/>
  <c r="AE26" i="108"/>
  <c r="AF26" i="108"/>
  <c r="T27" i="108"/>
  <c r="U27" i="108"/>
  <c r="V27" i="108"/>
  <c r="W27" i="108"/>
  <c r="X27" i="108"/>
  <c r="Y27" i="108"/>
  <c r="Z27" i="108"/>
  <c r="AA27" i="108"/>
  <c r="AB27" i="108"/>
  <c r="AC27" i="108"/>
  <c r="AD27" i="108"/>
  <c r="AE27" i="108"/>
  <c r="AF27" i="108"/>
  <c r="T28" i="108"/>
  <c r="U28" i="108"/>
  <c r="V28" i="108"/>
  <c r="W28" i="108"/>
  <c r="X28" i="108"/>
  <c r="Y28" i="108"/>
  <c r="Z28" i="108"/>
  <c r="AA28" i="108"/>
  <c r="AB28" i="108"/>
  <c r="AC28" i="108"/>
  <c r="AD28" i="108"/>
  <c r="AE28" i="108"/>
  <c r="AF28" i="108"/>
  <c r="T29" i="108"/>
  <c r="U29" i="108"/>
  <c r="V29" i="108"/>
  <c r="W29" i="108"/>
  <c r="X29" i="108"/>
  <c r="Y29" i="108"/>
  <c r="Z29" i="108"/>
  <c r="AA29" i="108"/>
  <c r="AB29" i="108"/>
  <c r="AC29" i="108"/>
  <c r="AD29" i="108"/>
  <c r="AE29" i="108"/>
  <c r="AF29" i="108"/>
  <c r="T30" i="108"/>
  <c r="U30" i="108"/>
  <c r="V30" i="108"/>
  <c r="W30" i="108"/>
  <c r="X30" i="108"/>
  <c r="Y30" i="108"/>
  <c r="Z30" i="108"/>
  <c r="AA30" i="108"/>
  <c r="AB30" i="108"/>
  <c r="AC30" i="108"/>
  <c r="AD30" i="108"/>
  <c r="AE30" i="108"/>
  <c r="AF30" i="108"/>
  <c r="T31" i="108"/>
  <c r="U31" i="108"/>
  <c r="V31" i="108"/>
  <c r="W31" i="108"/>
  <c r="X31" i="108"/>
  <c r="Y31" i="108"/>
  <c r="Z31" i="108"/>
  <c r="AA31" i="108"/>
  <c r="AB31" i="108"/>
  <c r="AC31" i="108"/>
  <c r="AD31" i="108"/>
  <c r="AE31" i="108"/>
  <c r="AF31" i="108"/>
  <c r="T32" i="108"/>
  <c r="U32" i="108"/>
  <c r="V32" i="108"/>
  <c r="W32" i="108"/>
  <c r="X32" i="108"/>
  <c r="Y32" i="108"/>
  <c r="Z32" i="108"/>
  <c r="AA32" i="108"/>
  <c r="AB32" i="108"/>
  <c r="AC32" i="108"/>
  <c r="AD32" i="108"/>
  <c r="AE32" i="108"/>
  <c r="AF32" i="108"/>
  <c r="T33" i="108"/>
  <c r="U33" i="108"/>
  <c r="V33" i="108"/>
  <c r="W33" i="108"/>
  <c r="X33" i="108"/>
  <c r="Y33" i="108"/>
  <c r="Z33" i="108"/>
  <c r="AA33" i="108"/>
  <c r="AB33" i="108"/>
  <c r="AC33" i="108"/>
  <c r="AD33" i="108"/>
  <c r="AE33" i="108"/>
  <c r="AF33" i="108"/>
  <c r="V41" i="108"/>
  <c r="V42" i="108" s="1"/>
  <c r="Z41" i="108"/>
  <c r="Z42" i="108" s="1"/>
  <c r="AD41" i="108"/>
  <c r="AD42" i="108" s="1"/>
  <c r="AE41" i="108"/>
  <c r="AA41" i="108"/>
  <c r="AA42" i="108" s="1"/>
  <c r="W41" i="108"/>
  <c r="W42" i="108" s="1"/>
  <c r="S41" i="108"/>
  <c r="S42" i="108" s="1"/>
  <c r="S33" i="108"/>
  <c r="S32" i="108"/>
  <c r="S31" i="108"/>
  <c r="S30" i="108"/>
  <c r="S29" i="108"/>
  <c r="S28" i="108"/>
  <c r="S27" i="108"/>
  <c r="S26" i="108"/>
  <c r="S25" i="108"/>
  <c r="S24" i="108"/>
  <c r="S23" i="108"/>
  <c r="S22" i="108"/>
  <c r="T22" i="107"/>
  <c r="U22" i="107"/>
  <c r="V22" i="107"/>
  <c r="W22" i="107"/>
  <c r="X22" i="107"/>
  <c r="Y22" i="107"/>
  <c r="Z22" i="107"/>
  <c r="AA22" i="107"/>
  <c r="AB22" i="107"/>
  <c r="AC22" i="107"/>
  <c r="AD22" i="107"/>
  <c r="AE22" i="107"/>
  <c r="AF22" i="107"/>
  <c r="T23" i="107"/>
  <c r="T41" i="107" s="1"/>
  <c r="T42" i="107" s="1"/>
  <c r="U23" i="107"/>
  <c r="V23" i="107"/>
  <c r="V41" i="107" s="1"/>
  <c r="V42" i="107" s="1"/>
  <c r="W23" i="107"/>
  <c r="X23" i="107"/>
  <c r="X41" i="107" s="1"/>
  <c r="X42" i="107" s="1"/>
  <c r="Y23" i="107"/>
  <c r="Z23" i="107"/>
  <c r="Z41" i="107" s="1"/>
  <c r="Z42" i="107" s="1"/>
  <c r="AA23" i="107"/>
  <c r="AB23" i="107"/>
  <c r="AB41" i="107" s="1"/>
  <c r="AB42" i="107" s="1"/>
  <c r="AC23" i="107"/>
  <c r="AD23" i="107"/>
  <c r="AD41" i="107" s="1"/>
  <c r="AD42" i="107" s="1"/>
  <c r="AE23" i="107"/>
  <c r="AF23" i="107"/>
  <c r="AF41" i="107" s="1"/>
  <c r="T24" i="107"/>
  <c r="U24" i="107"/>
  <c r="V24" i="107"/>
  <c r="W24" i="107"/>
  <c r="X24" i="107"/>
  <c r="Y24" i="107"/>
  <c r="Z24" i="107"/>
  <c r="AA24" i="107"/>
  <c r="AB24" i="107"/>
  <c r="AC24" i="107"/>
  <c r="AD24" i="107"/>
  <c r="AE24" i="107"/>
  <c r="AF24" i="107"/>
  <c r="T25" i="107"/>
  <c r="U25" i="107"/>
  <c r="V25" i="107"/>
  <c r="W25" i="107"/>
  <c r="X25" i="107"/>
  <c r="Y25" i="107"/>
  <c r="Z25" i="107"/>
  <c r="AA25" i="107"/>
  <c r="AB25" i="107"/>
  <c r="AC25" i="107"/>
  <c r="AD25" i="107"/>
  <c r="AE25" i="107"/>
  <c r="AF25" i="107"/>
  <c r="T26" i="107"/>
  <c r="U26" i="107"/>
  <c r="V26" i="107"/>
  <c r="W26" i="107"/>
  <c r="X26" i="107"/>
  <c r="Y26" i="107"/>
  <c r="Z26" i="107"/>
  <c r="AA26" i="107"/>
  <c r="AB26" i="107"/>
  <c r="AC26" i="107"/>
  <c r="AD26" i="107"/>
  <c r="AE26" i="107"/>
  <c r="AF26" i="107"/>
  <c r="T27" i="107"/>
  <c r="U27" i="107"/>
  <c r="V27" i="107"/>
  <c r="W27" i="107"/>
  <c r="X27" i="107"/>
  <c r="Y27" i="107"/>
  <c r="Z27" i="107"/>
  <c r="AA27" i="107"/>
  <c r="AB27" i="107"/>
  <c r="AC27" i="107"/>
  <c r="AD27" i="107"/>
  <c r="AE27" i="107"/>
  <c r="AF27" i="107"/>
  <c r="T28" i="107"/>
  <c r="U28" i="107"/>
  <c r="V28" i="107"/>
  <c r="W28" i="107"/>
  <c r="X28" i="107"/>
  <c r="Y28" i="107"/>
  <c r="Z28" i="107"/>
  <c r="AA28" i="107"/>
  <c r="AB28" i="107"/>
  <c r="AC28" i="107"/>
  <c r="AD28" i="107"/>
  <c r="AE28" i="107"/>
  <c r="AF28" i="107"/>
  <c r="T29" i="107"/>
  <c r="U29" i="107"/>
  <c r="V29" i="107"/>
  <c r="W29" i="107"/>
  <c r="X29" i="107"/>
  <c r="Y29" i="107"/>
  <c r="Z29" i="107"/>
  <c r="AA29" i="107"/>
  <c r="AB29" i="107"/>
  <c r="AC29" i="107"/>
  <c r="AD29" i="107"/>
  <c r="AE29" i="107"/>
  <c r="AF29" i="107"/>
  <c r="T30" i="107"/>
  <c r="U30" i="107"/>
  <c r="V30" i="107"/>
  <c r="W30" i="107"/>
  <c r="X30" i="107"/>
  <c r="Y30" i="107"/>
  <c r="Z30" i="107"/>
  <c r="AA30" i="107"/>
  <c r="AB30" i="107"/>
  <c r="AC30" i="107"/>
  <c r="AD30" i="107"/>
  <c r="AE30" i="107"/>
  <c r="AF30" i="107"/>
  <c r="T31" i="107"/>
  <c r="U31" i="107"/>
  <c r="V31" i="107"/>
  <c r="W31" i="107"/>
  <c r="X31" i="107"/>
  <c r="Y31" i="107"/>
  <c r="Z31" i="107"/>
  <c r="AA31" i="107"/>
  <c r="AB31" i="107"/>
  <c r="AC31" i="107"/>
  <c r="AD31" i="107"/>
  <c r="AE31" i="107"/>
  <c r="AF31" i="107"/>
  <c r="T32" i="107"/>
  <c r="U32" i="107"/>
  <c r="V32" i="107"/>
  <c r="W32" i="107"/>
  <c r="X32" i="107"/>
  <c r="Y32" i="107"/>
  <c r="Z32" i="107"/>
  <c r="AA32" i="107"/>
  <c r="AB32" i="107"/>
  <c r="AC32" i="107"/>
  <c r="AD32" i="107"/>
  <c r="AE32" i="107"/>
  <c r="AF32" i="107"/>
  <c r="T33" i="107"/>
  <c r="U33" i="107"/>
  <c r="V33" i="107"/>
  <c r="W33" i="107"/>
  <c r="X33" i="107"/>
  <c r="Y33" i="107"/>
  <c r="Z33" i="107"/>
  <c r="AA33" i="107"/>
  <c r="AB33" i="107"/>
  <c r="AC33" i="107"/>
  <c r="AD33" i="107"/>
  <c r="AE33" i="107"/>
  <c r="AF33" i="107"/>
  <c r="AE41" i="107"/>
  <c r="AC41" i="107"/>
  <c r="AC42" i="107" s="1"/>
  <c r="AA41" i="107"/>
  <c r="AA42" i="107" s="1"/>
  <c r="Y41" i="107"/>
  <c r="Y42" i="107" s="1"/>
  <c r="W41" i="107"/>
  <c r="W42" i="107" s="1"/>
  <c r="U41" i="107"/>
  <c r="U42" i="107" s="1"/>
  <c r="S41" i="107"/>
  <c r="S42" i="107" s="1"/>
  <c r="S33" i="107"/>
  <c r="S32" i="107"/>
  <c r="S31" i="107"/>
  <c r="S30" i="107"/>
  <c r="S29" i="107"/>
  <c r="S28" i="107"/>
  <c r="S27" i="107"/>
  <c r="S26" i="107"/>
  <c r="S25" i="107"/>
  <c r="S24" i="107"/>
  <c r="S23" i="107"/>
  <c r="S22" i="107"/>
  <c r="P105" i="108"/>
  <c r="O105" i="108"/>
  <c r="P104" i="108"/>
  <c r="O104" i="108"/>
  <c r="P103" i="108"/>
  <c r="O103" i="108"/>
  <c r="P102" i="108"/>
  <c r="O102" i="108"/>
  <c r="P101" i="108"/>
  <c r="O101" i="108"/>
  <c r="P100" i="108"/>
  <c r="O100" i="108"/>
  <c r="P99" i="108"/>
  <c r="O99" i="108"/>
  <c r="P98" i="108"/>
  <c r="O98" i="108"/>
  <c r="P97" i="108"/>
  <c r="O97" i="108"/>
  <c r="P96" i="108"/>
  <c r="O96" i="108"/>
  <c r="P95" i="108"/>
  <c r="O95" i="108"/>
  <c r="P94" i="108"/>
  <c r="O94" i="108"/>
  <c r="P93" i="108"/>
  <c r="O93" i="108"/>
  <c r="P92" i="108"/>
  <c r="O92" i="108"/>
  <c r="P91" i="108"/>
  <c r="O91" i="108"/>
  <c r="P90" i="108"/>
  <c r="O90" i="108"/>
  <c r="P89" i="108"/>
  <c r="O89" i="108"/>
  <c r="P88" i="108"/>
  <c r="O88" i="108"/>
  <c r="P87" i="108"/>
  <c r="O87" i="108"/>
  <c r="P86" i="108"/>
  <c r="O86" i="108"/>
  <c r="P85" i="108"/>
  <c r="O85" i="108"/>
  <c r="P84" i="108"/>
  <c r="O84" i="108"/>
  <c r="P83" i="108"/>
  <c r="O83" i="108"/>
  <c r="P82" i="108"/>
  <c r="O82" i="108"/>
  <c r="P81" i="108"/>
  <c r="O81" i="108"/>
  <c r="P80" i="108"/>
  <c r="O80" i="108"/>
  <c r="P79" i="108"/>
  <c r="O79" i="108"/>
  <c r="P78" i="108"/>
  <c r="O78" i="108"/>
  <c r="P77" i="108"/>
  <c r="O77" i="108"/>
  <c r="P76" i="108"/>
  <c r="O76" i="108"/>
  <c r="P75" i="108"/>
  <c r="O75" i="108"/>
  <c r="P74" i="108"/>
  <c r="O74" i="108"/>
  <c r="P73" i="108"/>
  <c r="O73" i="108"/>
  <c r="P72" i="108"/>
  <c r="O72" i="108"/>
  <c r="P71" i="108"/>
  <c r="O71" i="108"/>
  <c r="P70" i="108"/>
  <c r="O70" i="108"/>
  <c r="P69" i="108"/>
  <c r="O69" i="108"/>
  <c r="P68" i="108"/>
  <c r="O68" i="108"/>
  <c r="P67" i="108"/>
  <c r="O67" i="108"/>
  <c r="P66" i="108"/>
  <c r="O66" i="108"/>
  <c r="P65" i="108"/>
  <c r="O65" i="108"/>
  <c r="P64" i="108"/>
  <c r="O64" i="108"/>
  <c r="P63" i="108"/>
  <c r="O63" i="108"/>
  <c r="P62" i="108"/>
  <c r="O62" i="108"/>
  <c r="P61" i="108"/>
  <c r="O61" i="108"/>
  <c r="P60" i="108"/>
  <c r="O60" i="108"/>
  <c r="P59" i="108"/>
  <c r="O59" i="108"/>
  <c r="P58" i="108"/>
  <c r="O58" i="108"/>
  <c r="D68" i="111"/>
  <c r="L68" i="111"/>
  <c r="I69" i="111"/>
  <c r="F70" i="111"/>
  <c r="N70" i="111"/>
  <c r="K71" i="111"/>
  <c r="H72" i="111"/>
  <c r="E73" i="111"/>
  <c r="M73" i="111"/>
  <c r="J74" i="111"/>
  <c r="G75" i="111"/>
  <c r="D76" i="111"/>
  <c r="L76" i="111"/>
  <c r="I77" i="111"/>
  <c r="D78" i="111"/>
  <c r="H78" i="111"/>
  <c r="L78" i="111"/>
  <c r="E79" i="111"/>
  <c r="I79" i="111"/>
  <c r="M79" i="111"/>
  <c r="F80" i="111"/>
  <c r="J80" i="111"/>
  <c r="N80" i="111"/>
  <c r="G81" i="111"/>
  <c r="K81" i="111"/>
  <c r="D82" i="111"/>
  <c r="H82" i="111"/>
  <c r="L82" i="111"/>
  <c r="E83" i="111"/>
  <c r="I83" i="111"/>
  <c r="M83" i="111"/>
  <c r="F84" i="111"/>
  <c r="J84" i="111"/>
  <c r="N84" i="111"/>
  <c r="G85" i="111"/>
  <c r="K85" i="111"/>
  <c r="D86" i="111"/>
  <c r="H86" i="111"/>
  <c r="L86" i="111"/>
  <c r="E87" i="111"/>
  <c r="I87" i="111"/>
  <c r="M87" i="111"/>
  <c r="F88" i="111"/>
  <c r="J88" i="111"/>
  <c r="N88" i="111"/>
  <c r="G89" i="111"/>
  <c r="K89" i="111"/>
  <c r="D90" i="111"/>
  <c r="H90" i="111"/>
  <c r="L90" i="111"/>
  <c r="E91" i="111"/>
  <c r="I91" i="111"/>
  <c r="M91" i="111"/>
  <c r="F92" i="111"/>
  <c r="J92" i="111"/>
  <c r="N92" i="111"/>
  <c r="G93" i="111"/>
  <c r="K93" i="111"/>
  <c r="D94" i="111"/>
  <c r="H94" i="111"/>
  <c r="L94" i="111"/>
  <c r="E95" i="111"/>
  <c r="I95" i="111"/>
  <c r="M95" i="111"/>
  <c r="F96" i="111"/>
  <c r="J96" i="111"/>
  <c r="N96" i="111"/>
  <c r="G97" i="111"/>
  <c r="K97" i="111"/>
  <c r="D98" i="111"/>
  <c r="H98" i="111"/>
  <c r="L98" i="111"/>
  <c r="E99" i="111"/>
  <c r="I99" i="111"/>
  <c r="M99" i="111"/>
  <c r="F100" i="111"/>
  <c r="J100" i="111"/>
  <c r="N100" i="111"/>
  <c r="G101" i="111"/>
  <c r="K101" i="111"/>
  <c r="D102" i="111"/>
  <c r="H102" i="111"/>
  <c r="L102" i="111"/>
  <c r="E103" i="111"/>
  <c r="I103" i="111"/>
  <c r="M103" i="111"/>
  <c r="F104" i="111"/>
  <c r="J104" i="111"/>
  <c r="N104" i="111"/>
  <c r="G105" i="111"/>
  <c r="K105" i="111"/>
  <c r="C59" i="111"/>
  <c r="C63" i="111"/>
  <c r="C67" i="111"/>
  <c r="C71" i="111"/>
  <c r="C75" i="111"/>
  <c r="C79" i="111"/>
  <c r="C83" i="111"/>
  <c r="C87" i="111"/>
  <c r="C91" i="111"/>
  <c r="C95" i="111"/>
  <c r="C99" i="111"/>
  <c r="C103" i="111"/>
  <c r="D106" i="108"/>
  <c r="E106" i="108"/>
  <c r="F106" i="108"/>
  <c r="G106" i="108"/>
  <c r="H106" i="108"/>
  <c r="I106" i="108"/>
  <c r="J106" i="108"/>
  <c r="K106" i="108"/>
  <c r="L106" i="108"/>
  <c r="M106" i="108"/>
  <c r="N106" i="108"/>
  <c r="O106" i="108"/>
  <c r="P106" i="108"/>
  <c r="C106" i="108"/>
  <c r="D58" i="108"/>
  <c r="E58" i="108"/>
  <c r="F58" i="108"/>
  <c r="G58" i="108"/>
  <c r="H58" i="108"/>
  <c r="I58" i="108"/>
  <c r="J58" i="108"/>
  <c r="K58" i="108"/>
  <c r="L58" i="108"/>
  <c r="M58" i="108"/>
  <c r="N58" i="108"/>
  <c r="D59" i="108"/>
  <c r="E59" i="108"/>
  <c r="F59" i="108"/>
  <c r="G59" i="108"/>
  <c r="H59" i="108"/>
  <c r="I59" i="108"/>
  <c r="J59" i="108"/>
  <c r="K59" i="108"/>
  <c r="L59" i="108"/>
  <c r="M59" i="108"/>
  <c r="N59" i="108"/>
  <c r="D60" i="108"/>
  <c r="E60" i="108"/>
  <c r="F60" i="108"/>
  <c r="G60" i="108"/>
  <c r="H60" i="108"/>
  <c r="I60" i="108"/>
  <c r="J60" i="108"/>
  <c r="K60" i="108"/>
  <c r="L60" i="108"/>
  <c r="M60" i="108"/>
  <c r="N60" i="108"/>
  <c r="D61" i="108"/>
  <c r="E61" i="108"/>
  <c r="F61" i="108"/>
  <c r="G61" i="108"/>
  <c r="H61" i="108"/>
  <c r="I61" i="108"/>
  <c r="J61" i="108"/>
  <c r="K61" i="108"/>
  <c r="L61" i="108"/>
  <c r="M61" i="108"/>
  <c r="N61" i="108"/>
  <c r="D62" i="108"/>
  <c r="E62" i="108"/>
  <c r="F62" i="108"/>
  <c r="G62" i="108"/>
  <c r="H62" i="108"/>
  <c r="I62" i="108"/>
  <c r="J62" i="108"/>
  <c r="K62" i="108"/>
  <c r="L62" i="108"/>
  <c r="M62" i="108"/>
  <c r="N62" i="108"/>
  <c r="D63" i="108"/>
  <c r="E63" i="108"/>
  <c r="F63" i="108"/>
  <c r="G63" i="108"/>
  <c r="H63" i="108"/>
  <c r="I63" i="108"/>
  <c r="J63" i="108"/>
  <c r="K63" i="108"/>
  <c r="L63" i="108"/>
  <c r="M63" i="108"/>
  <c r="N63" i="108"/>
  <c r="D64" i="108"/>
  <c r="E64" i="108"/>
  <c r="F64" i="108"/>
  <c r="G64" i="108"/>
  <c r="H64" i="108"/>
  <c r="I64" i="108"/>
  <c r="J64" i="108"/>
  <c r="K64" i="108"/>
  <c r="L64" i="108"/>
  <c r="M64" i="108"/>
  <c r="N64" i="108"/>
  <c r="D65" i="108"/>
  <c r="E65" i="108"/>
  <c r="F65" i="108"/>
  <c r="G65" i="108"/>
  <c r="H65" i="108"/>
  <c r="I65" i="108"/>
  <c r="J65" i="108"/>
  <c r="K65" i="108"/>
  <c r="L65" i="108"/>
  <c r="M65" i="108"/>
  <c r="N65" i="108"/>
  <c r="D66" i="108"/>
  <c r="E66" i="108"/>
  <c r="F66" i="108"/>
  <c r="G66" i="108"/>
  <c r="H66" i="108"/>
  <c r="I66" i="108"/>
  <c r="J66" i="108"/>
  <c r="K66" i="108"/>
  <c r="L66" i="108"/>
  <c r="M66" i="108"/>
  <c r="N66" i="108"/>
  <c r="D67" i="108"/>
  <c r="E67" i="108"/>
  <c r="F67" i="108"/>
  <c r="G67" i="108"/>
  <c r="H67" i="108"/>
  <c r="I67" i="108"/>
  <c r="J67" i="108"/>
  <c r="K67" i="108"/>
  <c r="L67" i="108"/>
  <c r="M67" i="108"/>
  <c r="N67" i="108"/>
  <c r="D68" i="108"/>
  <c r="E68" i="108"/>
  <c r="F68" i="108"/>
  <c r="G68" i="108"/>
  <c r="H68" i="108"/>
  <c r="I68" i="108"/>
  <c r="J68" i="108"/>
  <c r="K68" i="108"/>
  <c r="L68" i="108"/>
  <c r="M68" i="108"/>
  <c r="N68" i="108"/>
  <c r="D69" i="108"/>
  <c r="E69" i="108"/>
  <c r="F69" i="108"/>
  <c r="G69" i="108"/>
  <c r="H69" i="108"/>
  <c r="I69" i="108"/>
  <c r="J69" i="108"/>
  <c r="K69" i="108"/>
  <c r="L69" i="108"/>
  <c r="M69" i="108"/>
  <c r="N69" i="108"/>
  <c r="D70" i="108"/>
  <c r="E70" i="108"/>
  <c r="F70" i="108"/>
  <c r="G70" i="108"/>
  <c r="H70" i="108"/>
  <c r="I70" i="108"/>
  <c r="J70" i="108"/>
  <c r="K70" i="108"/>
  <c r="L70" i="108"/>
  <c r="M70" i="108"/>
  <c r="N70" i="108"/>
  <c r="D71" i="108"/>
  <c r="E71" i="108"/>
  <c r="F71" i="108"/>
  <c r="G71" i="108"/>
  <c r="H71" i="108"/>
  <c r="I71" i="108"/>
  <c r="J71" i="108"/>
  <c r="K71" i="108"/>
  <c r="L71" i="108"/>
  <c r="M71" i="108"/>
  <c r="N71" i="108"/>
  <c r="D72" i="108"/>
  <c r="E72" i="108"/>
  <c r="F72" i="108"/>
  <c r="G72" i="108"/>
  <c r="H72" i="108"/>
  <c r="I72" i="108"/>
  <c r="J72" i="108"/>
  <c r="K72" i="108"/>
  <c r="L72" i="108"/>
  <c r="M72" i="108"/>
  <c r="N72" i="108"/>
  <c r="D73" i="108"/>
  <c r="E73" i="108"/>
  <c r="F73" i="108"/>
  <c r="G73" i="108"/>
  <c r="H73" i="108"/>
  <c r="I73" i="108"/>
  <c r="J73" i="108"/>
  <c r="K73" i="108"/>
  <c r="L73" i="108"/>
  <c r="M73" i="108"/>
  <c r="N73" i="108"/>
  <c r="D74" i="108"/>
  <c r="E74" i="108"/>
  <c r="F74" i="108"/>
  <c r="G74" i="108"/>
  <c r="H74" i="108"/>
  <c r="I74" i="108"/>
  <c r="J74" i="108"/>
  <c r="K74" i="108"/>
  <c r="L74" i="108"/>
  <c r="M74" i="108"/>
  <c r="N74" i="108"/>
  <c r="D75" i="108"/>
  <c r="E75" i="108"/>
  <c r="F75" i="108"/>
  <c r="G75" i="108"/>
  <c r="H75" i="108"/>
  <c r="I75" i="108"/>
  <c r="J75" i="108"/>
  <c r="K75" i="108"/>
  <c r="L75" i="108"/>
  <c r="M75" i="108"/>
  <c r="N75" i="108"/>
  <c r="D76" i="108"/>
  <c r="E76" i="108"/>
  <c r="F76" i="108"/>
  <c r="G76" i="108"/>
  <c r="H76" i="108"/>
  <c r="I76" i="108"/>
  <c r="J76" i="108"/>
  <c r="K76" i="108"/>
  <c r="L76" i="108"/>
  <c r="M76" i="108"/>
  <c r="N76" i="108"/>
  <c r="D77" i="108"/>
  <c r="E77" i="108"/>
  <c r="F77" i="108"/>
  <c r="G77" i="108"/>
  <c r="H77" i="108"/>
  <c r="I77" i="108"/>
  <c r="J77" i="108"/>
  <c r="K77" i="108"/>
  <c r="L77" i="108"/>
  <c r="M77" i="108"/>
  <c r="N77" i="108"/>
  <c r="D78" i="108"/>
  <c r="E78" i="108"/>
  <c r="F78" i="108"/>
  <c r="G78" i="108"/>
  <c r="H78" i="108"/>
  <c r="I78" i="108"/>
  <c r="J78" i="108"/>
  <c r="K78" i="108"/>
  <c r="L78" i="108"/>
  <c r="M78" i="108"/>
  <c r="N78" i="108"/>
  <c r="D79" i="108"/>
  <c r="E79" i="108"/>
  <c r="F79" i="108"/>
  <c r="G79" i="108"/>
  <c r="H79" i="108"/>
  <c r="I79" i="108"/>
  <c r="J79" i="108"/>
  <c r="K79" i="108"/>
  <c r="L79" i="108"/>
  <c r="M79" i="108"/>
  <c r="N79" i="108"/>
  <c r="D80" i="108"/>
  <c r="E80" i="108"/>
  <c r="F80" i="108"/>
  <c r="G80" i="108"/>
  <c r="H80" i="108"/>
  <c r="I80" i="108"/>
  <c r="J80" i="108"/>
  <c r="K80" i="108"/>
  <c r="L80" i="108"/>
  <c r="M80" i="108"/>
  <c r="N80" i="108"/>
  <c r="D81" i="108"/>
  <c r="E81" i="108"/>
  <c r="F81" i="108"/>
  <c r="G81" i="108"/>
  <c r="H81" i="108"/>
  <c r="I81" i="108"/>
  <c r="J81" i="108"/>
  <c r="K81" i="108"/>
  <c r="L81" i="108"/>
  <c r="M81" i="108"/>
  <c r="N81" i="108"/>
  <c r="D82" i="108"/>
  <c r="E82" i="108"/>
  <c r="F82" i="108"/>
  <c r="G82" i="108"/>
  <c r="H82" i="108"/>
  <c r="I82" i="108"/>
  <c r="J82" i="108"/>
  <c r="K82" i="108"/>
  <c r="L82" i="108"/>
  <c r="M82" i="108"/>
  <c r="N82" i="108"/>
  <c r="D83" i="108"/>
  <c r="E83" i="108"/>
  <c r="F83" i="108"/>
  <c r="G83" i="108"/>
  <c r="H83" i="108"/>
  <c r="I83" i="108"/>
  <c r="J83" i="108"/>
  <c r="K83" i="108"/>
  <c r="L83" i="108"/>
  <c r="M83" i="108"/>
  <c r="N83" i="108"/>
  <c r="D84" i="108"/>
  <c r="E84" i="108"/>
  <c r="F84" i="108"/>
  <c r="G84" i="108"/>
  <c r="H84" i="108"/>
  <c r="I84" i="108"/>
  <c r="J84" i="108"/>
  <c r="K84" i="108"/>
  <c r="L84" i="108"/>
  <c r="M84" i="108"/>
  <c r="N84" i="108"/>
  <c r="D85" i="108"/>
  <c r="E85" i="108"/>
  <c r="F85" i="108"/>
  <c r="G85" i="108"/>
  <c r="H85" i="108"/>
  <c r="I85" i="108"/>
  <c r="J85" i="108"/>
  <c r="K85" i="108"/>
  <c r="L85" i="108"/>
  <c r="M85" i="108"/>
  <c r="N85" i="108"/>
  <c r="D86" i="108"/>
  <c r="E86" i="108"/>
  <c r="F86" i="108"/>
  <c r="G86" i="108"/>
  <c r="H86" i="108"/>
  <c r="I86" i="108"/>
  <c r="J86" i="108"/>
  <c r="K86" i="108"/>
  <c r="L86" i="108"/>
  <c r="M86" i="108"/>
  <c r="N86" i="108"/>
  <c r="D87" i="108"/>
  <c r="E87" i="108"/>
  <c r="F87" i="108"/>
  <c r="G87" i="108"/>
  <c r="H87" i="108"/>
  <c r="I87" i="108"/>
  <c r="J87" i="108"/>
  <c r="K87" i="108"/>
  <c r="L87" i="108"/>
  <c r="M87" i="108"/>
  <c r="N87" i="108"/>
  <c r="D88" i="108"/>
  <c r="E88" i="108"/>
  <c r="F88" i="108"/>
  <c r="G88" i="108"/>
  <c r="H88" i="108"/>
  <c r="I88" i="108"/>
  <c r="J88" i="108"/>
  <c r="K88" i="108"/>
  <c r="L88" i="108"/>
  <c r="M88" i="108"/>
  <c r="N88" i="108"/>
  <c r="D89" i="108"/>
  <c r="E89" i="108"/>
  <c r="F89" i="108"/>
  <c r="G89" i="108"/>
  <c r="H89" i="108"/>
  <c r="I89" i="108"/>
  <c r="J89" i="108"/>
  <c r="K89" i="108"/>
  <c r="L89" i="108"/>
  <c r="M89" i="108"/>
  <c r="N89" i="108"/>
  <c r="D90" i="108"/>
  <c r="E90" i="108"/>
  <c r="F90" i="108"/>
  <c r="G90" i="108"/>
  <c r="H90" i="108"/>
  <c r="I90" i="108"/>
  <c r="J90" i="108"/>
  <c r="K90" i="108"/>
  <c r="L90" i="108"/>
  <c r="M90" i="108"/>
  <c r="N90" i="108"/>
  <c r="D91" i="108"/>
  <c r="E91" i="108"/>
  <c r="F91" i="108"/>
  <c r="G91" i="108"/>
  <c r="H91" i="108"/>
  <c r="I91" i="108"/>
  <c r="J91" i="108"/>
  <c r="K91" i="108"/>
  <c r="L91" i="108"/>
  <c r="M91" i="108"/>
  <c r="N91" i="108"/>
  <c r="D92" i="108"/>
  <c r="E92" i="108"/>
  <c r="F92" i="108"/>
  <c r="G92" i="108"/>
  <c r="H92" i="108"/>
  <c r="I92" i="108"/>
  <c r="J92" i="108"/>
  <c r="K92" i="108"/>
  <c r="L92" i="108"/>
  <c r="M92" i="108"/>
  <c r="N92" i="108"/>
  <c r="D93" i="108"/>
  <c r="E93" i="108"/>
  <c r="F93" i="108"/>
  <c r="G93" i="108"/>
  <c r="H93" i="108"/>
  <c r="I93" i="108"/>
  <c r="J93" i="108"/>
  <c r="K93" i="108"/>
  <c r="L93" i="108"/>
  <c r="M93" i="108"/>
  <c r="N93" i="108"/>
  <c r="D94" i="108"/>
  <c r="E94" i="108"/>
  <c r="F94" i="108"/>
  <c r="G94" i="108"/>
  <c r="H94" i="108"/>
  <c r="I94" i="108"/>
  <c r="J94" i="108"/>
  <c r="K94" i="108"/>
  <c r="L94" i="108"/>
  <c r="M94" i="108"/>
  <c r="N94" i="108"/>
  <c r="D95" i="108"/>
  <c r="E95" i="108"/>
  <c r="F95" i="108"/>
  <c r="G95" i="108"/>
  <c r="H95" i="108"/>
  <c r="I95" i="108"/>
  <c r="J95" i="108"/>
  <c r="K95" i="108"/>
  <c r="L95" i="108"/>
  <c r="M95" i="108"/>
  <c r="N95" i="108"/>
  <c r="D96" i="108"/>
  <c r="E96" i="108"/>
  <c r="F96" i="108"/>
  <c r="G96" i="108"/>
  <c r="H96" i="108"/>
  <c r="I96" i="108"/>
  <c r="J96" i="108"/>
  <c r="K96" i="108"/>
  <c r="L96" i="108"/>
  <c r="M96" i="108"/>
  <c r="N96" i="108"/>
  <c r="D97" i="108"/>
  <c r="E97" i="108"/>
  <c r="F97" i="108"/>
  <c r="G97" i="108"/>
  <c r="H97" i="108"/>
  <c r="I97" i="108"/>
  <c r="J97" i="108"/>
  <c r="K97" i="108"/>
  <c r="L97" i="108"/>
  <c r="M97" i="108"/>
  <c r="N97" i="108"/>
  <c r="D98" i="108"/>
  <c r="E98" i="108"/>
  <c r="F98" i="108"/>
  <c r="G98" i="108"/>
  <c r="H98" i="108"/>
  <c r="I98" i="108"/>
  <c r="J98" i="108"/>
  <c r="K98" i="108"/>
  <c r="L98" i="108"/>
  <c r="M98" i="108"/>
  <c r="N98" i="108"/>
  <c r="D99" i="108"/>
  <c r="E99" i="108"/>
  <c r="F99" i="108"/>
  <c r="G99" i="108"/>
  <c r="H99" i="108"/>
  <c r="I99" i="108"/>
  <c r="J99" i="108"/>
  <c r="K99" i="108"/>
  <c r="L99" i="108"/>
  <c r="M99" i="108"/>
  <c r="N99" i="108"/>
  <c r="D100" i="108"/>
  <c r="E100" i="108"/>
  <c r="F100" i="108"/>
  <c r="G100" i="108"/>
  <c r="H100" i="108"/>
  <c r="I100" i="108"/>
  <c r="J100" i="108"/>
  <c r="K100" i="108"/>
  <c r="L100" i="108"/>
  <c r="M100" i="108"/>
  <c r="N100" i="108"/>
  <c r="D101" i="108"/>
  <c r="E101" i="108"/>
  <c r="F101" i="108"/>
  <c r="G101" i="108"/>
  <c r="H101" i="108"/>
  <c r="I101" i="108"/>
  <c r="J101" i="108"/>
  <c r="K101" i="108"/>
  <c r="L101" i="108"/>
  <c r="M101" i="108"/>
  <c r="N101" i="108"/>
  <c r="D102" i="108"/>
  <c r="E102" i="108"/>
  <c r="F102" i="108"/>
  <c r="G102" i="108"/>
  <c r="H102" i="108"/>
  <c r="I102" i="108"/>
  <c r="J102" i="108"/>
  <c r="K102" i="108"/>
  <c r="L102" i="108"/>
  <c r="M102" i="108"/>
  <c r="N102" i="108"/>
  <c r="D103" i="108"/>
  <c r="E103" i="108"/>
  <c r="F103" i="108"/>
  <c r="G103" i="108"/>
  <c r="H103" i="108"/>
  <c r="I103" i="108"/>
  <c r="J103" i="108"/>
  <c r="K103" i="108"/>
  <c r="L103" i="108"/>
  <c r="M103" i="108"/>
  <c r="N103" i="108"/>
  <c r="D104" i="108"/>
  <c r="E104" i="108"/>
  <c r="F104" i="108"/>
  <c r="G104" i="108"/>
  <c r="H104" i="108"/>
  <c r="I104" i="108"/>
  <c r="J104" i="108"/>
  <c r="K104" i="108"/>
  <c r="L104" i="108"/>
  <c r="M104" i="108"/>
  <c r="N104" i="108"/>
  <c r="D105" i="108"/>
  <c r="E105" i="108"/>
  <c r="F105" i="108"/>
  <c r="G105" i="108"/>
  <c r="H105" i="108"/>
  <c r="I105" i="108"/>
  <c r="J105" i="108"/>
  <c r="K105" i="108"/>
  <c r="L105" i="108"/>
  <c r="M105" i="108"/>
  <c r="N105" i="108"/>
  <c r="C59" i="108"/>
  <c r="C60" i="108"/>
  <c r="C61" i="108"/>
  <c r="C62" i="108"/>
  <c r="C63" i="108"/>
  <c r="C64" i="108"/>
  <c r="C65" i="108"/>
  <c r="C66" i="108"/>
  <c r="C67" i="108"/>
  <c r="C68" i="108"/>
  <c r="C69" i="108"/>
  <c r="C70" i="108"/>
  <c r="C71" i="108"/>
  <c r="C72" i="108"/>
  <c r="C73" i="108"/>
  <c r="C74" i="108"/>
  <c r="C75" i="108"/>
  <c r="C76" i="108"/>
  <c r="C77" i="108"/>
  <c r="C78" i="108"/>
  <c r="C79" i="108"/>
  <c r="C80" i="108"/>
  <c r="C81" i="108"/>
  <c r="C82" i="108"/>
  <c r="C83" i="108"/>
  <c r="C84" i="108"/>
  <c r="C85" i="108"/>
  <c r="C86" i="108"/>
  <c r="C87" i="108"/>
  <c r="C88" i="108"/>
  <c r="C89" i="108"/>
  <c r="C90" i="108"/>
  <c r="C91" i="108"/>
  <c r="C92" i="108"/>
  <c r="C93" i="108"/>
  <c r="C94" i="108"/>
  <c r="C95" i="108"/>
  <c r="C96" i="108"/>
  <c r="C97" i="108"/>
  <c r="C98" i="108"/>
  <c r="C99" i="108"/>
  <c r="C100" i="108"/>
  <c r="C101" i="108"/>
  <c r="C102" i="108"/>
  <c r="C103" i="108"/>
  <c r="C104" i="108"/>
  <c r="C105" i="108"/>
  <c r="C58" i="108"/>
  <c r="D58" i="107"/>
  <c r="E58" i="107"/>
  <c r="E58" i="111" s="1"/>
  <c r="F58" i="107"/>
  <c r="F58" i="111" s="1"/>
  <c r="G58" i="107"/>
  <c r="G58" i="111" s="1"/>
  <c r="H58" i="107"/>
  <c r="H58" i="111" s="1"/>
  <c r="I58" i="107"/>
  <c r="I58" i="111" s="1"/>
  <c r="J58" i="107"/>
  <c r="J58" i="111" s="1"/>
  <c r="K58" i="107"/>
  <c r="K58" i="111" s="1"/>
  <c r="L58" i="107"/>
  <c r="L58" i="111" s="1"/>
  <c r="M58" i="107"/>
  <c r="M58" i="111" s="1"/>
  <c r="N58" i="107"/>
  <c r="N58" i="111" s="1"/>
  <c r="D59" i="107"/>
  <c r="D59" i="111" s="1"/>
  <c r="E59" i="107"/>
  <c r="E59" i="111" s="1"/>
  <c r="F59" i="107"/>
  <c r="F59" i="111" s="1"/>
  <c r="G59" i="107"/>
  <c r="G59" i="111" s="1"/>
  <c r="H59" i="107"/>
  <c r="H59" i="111" s="1"/>
  <c r="I59" i="107"/>
  <c r="I59" i="111" s="1"/>
  <c r="J59" i="107"/>
  <c r="J59" i="111" s="1"/>
  <c r="K59" i="107"/>
  <c r="K59" i="111" s="1"/>
  <c r="L59" i="107"/>
  <c r="L59" i="111" s="1"/>
  <c r="M59" i="107"/>
  <c r="M59" i="111" s="1"/>
  <c r="N59" i="107"/>
  <c r="N59" i="111" s="1"/>
  <c r="D60" i="107"/>
  <c r="E60" i="107"/>
  <c r="E60" i="111" s="1"/>
  <c r="F60" i="107"/>
  <c r="F60" i="111" s="1"/>
  <c r="G60" i="107"/>
  <c r="G60" i="111" s="1"/>
  <c r="H60" i="107"/>
  <c r="H60" i="111" s="1"/>
  <c r="I60" i="107"/>
  <c r="I60" i="111" s="1"/>
  <c r="J60" i="107"/>
  <c r="J60" i="111" s="1"/>
  <c r="K60" i="107"/>
  <c r="K60" i="111" s="1"/>
  <c r="L60" i="107"/>
  <c r="L60" i="111" s="1"/>
  <c r="M60" i="107"/>
  <c r="M60" i="111" s="1"/>
  <c r="N60" i="107"/>
  <c r="N60" i="111" s="1"/>
  <c r="D61" i="107"/>
  <c r="D61" i="111" s="1"/>
  <c r="E61" i="107"/>
  <c r="E61" i="111" s="1"/>
  <c r="F61" i="107"/>
  <c r="F61" i="111" s="1"/>
  <c r="G61" i="107"/>
  <c r="G61" i="111" s="1"/>
  <c r="H61" i="107"/>
  <c r="H61" i="111" s="1"/>
  <c r="I61" i="107"/>
  <c r="I61" i="111" s="1"/>
  <c r="J61" i="107"/>
  <c r="J61" i="111" s="1"/>
  <c r="K61" i="107"/>
  <c r="K61" i="111" s="1"/>
  <c r="L61" i="107"/>
  <c r="L61" i="111" s="1"/>
  <c r="M61" i="107"/>
  <c r="M61" i="111" s="1"/>
  <c r="N61" i="107"/>
  <c r="N61" i="111" s="1"/>
  <c r="D62" i="107"/>
  <c r="E62" i="107"/>
  <c r="E62" i="111" s="1"/>
  <c r="F62" i="107"/>
  <c r="F62" i="111" s="1"/>
  <c r="G62" i="107"/>
  <c r="G62" i="111" s="1"/>
  <c r="H62" i="107"/>
  <c r="H62" i="111" s="1"/>
  <c r="I62" i="107"/>
  <c r="I62" i="111" s="1"/>
  <c r="J62" i="107"/>
  <c r="J62" i="111" s="1"/>
  <c r="K62" i="107"/>
  <c r="K62" i="111" s="1"/>
  <c r="L62" i="107"/>
  <c r="L62" i="111" s="1"/>
  <c r="M62" i="107"/>
  <c r="M62" i="111" s="1"/>
  <c r="N62" i="107"/>
  <c r="N62" i="111" s="1"/>
  <c r="D63" i="107"/>
  <c r="D63" i="111" s="1"/>
  <c r="E63" i="107"/>
  <c r="E63" i="111" s="1"/>
  <c r="F63" i="107"/>
  <c r="F63" i="111" s="1"/>
  <c r="G63" i="107"/>
  <c r="G63" i="111" s="1"/>
  <c r="H63" i="107"/>
  <c r="H63" i="111" s="1"/>
  <c r="I63" i="107"/>
  <c r="I63" i="111" s="1"/>
  <c r="J63" i="107"/>
  <c r="J63" i="111" s="1"/>
  <c r="K63" i="107"/>
  <c r="K63" i="111" s="1"/>
  <c r="L63" i="107"/>
  <c r="L63" i="111" s="1"/>
  <c r="M63" i="107"/>
  <c r="M63" i="111" s="1"/>
  <c r="N63" i="107"/>
  <c r="N63" i="111" s="1"/>
  <c r="D64" i="107"/>
  <c r="E64" i="107"/>
  <c r="E64" i="111" s="1"/>
  <c r="F64" i="107"/>
  <c r="F64" i="111" s="1"/>
  <c r="G64" i="107"/>
  <c r="G64" i="111" s="1"/>
  <c r="H64" i="107"/>
  <c r="H64" i="111" s="1"/>
  <c r="I64" i="107"/>
  <c r="I64" i="111" s="1"/>
  <c r="J64" i="107"/>
  <c r="J64" i="111" s="1"/>
  <c r="K64" i="107"/>
  <c r="K64" i="111" s="1"/>
  <c r="L64" i="107"/>
  <c r="L64" i="111" s="1"/>
  <c r="M64" i="107"/>
  <c r="M64" i="111" s="1"/>
  <c r="N64" i="107"/>
  <c r="N64" i="111" s="1"/>
  <c r="D65" i="107"/>
  <c r="D65" i="111" s="1"/>
  <c r="E65" i="107"/>
  <c r="E65" i="111" s="1"/>
  <c r="F65" i="107"/>
  <c r="F65" i="111" s="1"/>
  <c r="G65" i="107"/>
  <c r="G65" i="111" s="1"/>
  <c r="H65" i="107"/>
  <c r="H65" i="111" s="1"/>
  <c r="I65" i="107"/>
  <c r="I65" i="111" s="1"/>
  <c r="J65" i="107"/>
  <c r="J65" i="111" s="1"/>
  <c r="K65" i="107"/>
  <c r="K65" i="111" s="1"/>
  <c r="L65" i="107"/>
  <c r="L65" i="111" s="1"/>
  <c r="M65" i="107"/>
  <c r="M65" i="111" s="1"/>
  <c r="N65" i="107"/>
  <c r="N65" i="111" s="1"/>
  <c r="D66" i="107"/>
  <c r="E66" i="107"/>
  <c r="E66" i="111" s="1"/>
  <c r="F66" i="107"/>
  <c r="F66" i="111" s="1"/>
  <c r="G66" i="107"/>
  <c r="G66" i="111" s="1"/>
  <c r="H66" i="107"/>
  <c r="H66" i="111" s="1"/>
  <c r="I66" i="107"/>
  <c r="I66" i="111" s="1"/>
  <c r="J66" i="107"/>
  <c r="J66" i="111" s="1"/>
  <c r="K66" i="107"/>
  <c r="K66" i="111" s="1"/>
  <c r="L66" i="107"/>
  <c r="L66" i="111" s="1"/>
  <c r="M66" i="107"/>
  <c r="M66" i="111" s="1"/>
  <c r="N66" i="107"/>
  <c r="N66" i="111" s="1"/>
  <c r="D67" i="107"/>
  <c r="D67" i="111" s="1"/>
  <c r="E67" i="107"/>
  <c r="E67" i="111" s="1"/>
  <c r="F67" i="107"/>
  <c r="F67" i="111" s="1"/>
  <c r="G67" i="107"/>
  <c r="G67" i="111" s="1"/>
  <c r="H67" i="107"/>
  <c r="H67" i="111" s="1"/>
  <c r="I67" i="107"/>
  <c r="I67" i="111" s="1"/>
  <c r="J67" i="107"/>
  <c r="J67" i="111" s="1"/>
  <c r="K67" i="107"/>
  <c r="K67" i="111" s="1"/>
  <c r="L67" i="107"/>
  <c r="L67" i="111" s="1"/>
  <c r="M67" i="107"/>
  <c r="M67" i="111" s="1"/>
  <c r="N67" i="107"/>
  <c r="N67" i="111" s="1"/>
  <c r="D68" i="107"/>
  <c r="E68" i="107"/>
  <c r="E68" i="111" s="1"/>
  <c r="F68" i="107"/>
  <c r="F68" i="111" s="1"/>
  <c r="G68" i="107"/>
  <c r="G68" i="111" s="1"/>
  <c r="H68" i="107"/>
  <c r="H68" i="111" s="1"/>
  <c r="I68" i="107"/>
  <c r="I68" i="111" s="1"/>
  <c r="J68" i="107"/>
  <c r="J68" i="111" s="1"/>
  <c r="K68" i="107"/>
  <c r="K68" i="111" s="1"/>
  <c r="L68" i="107"/>
  <c r="M68" i="107"/>
  <c r="M68" i="111" s="1"/>
  <c r="N68" i="107"/>
  <c r="N68" i="111" s="1"/>
  <c r="D69" i="107"/>
  <c r="D69" i="111" s="1"/>
  <c r="E69" i="107"/>
  <c r="E69" i="111" s="1"/>
  <c r="F69" i="107"/>
  <c r="F69" i="111" s="1"/>
  <c r="G69" i="107"/>
  <c r="G69" i="111" s="1"/>
  <c r="H69" i="107"/>
  <c r="H69" i="111" s="1"/>
  <c r="I69" i="107"/>
  <c r="J69" i="107"/>
  <c r="J69" i="111" s="1"/>
  <c r="K69" i="107"/>
  <c r="K69" i="111" s="1"/>
  <c r="L69" i="107"/>
  <c r="L69" i="111" s="1"/>
  <c r="M69" i="107"/>
  <c r="M69" i="111" s="1"/>
  <c r="N69" i="107"/>
  <c r="N69" i="111" s="1"/>
  <c r="D70" i="107"/>
  <c r="E70" i="107"/>
  <c r="E70" i="111" s="1"/>
  <c r="F70" i="107"/>
  <c r="G70" i="107"/>
  <c r="G70" i="111" s="1"/>
  <c r="H70" i="107"/>
  <c r="H70" i="111" s="1"/>
  <c r="I70" i="107"/>
  <c r="I70" i="111" s="1"/>
  <c r="J70" i="107"/>
  <c r="J70" i="111" s="1"/>
  <c r="K70" i="107"/>
  <c r="K70" i="111" s="1"/>
  <c r="L70" i="107"/>
  <c r="L70" i="111" s="1"/>
  <c r="M70" i="107"/>
  <c r="M70" i="111" s="1"/>
  <c r="N70" i="107"/>
  <c r="D71" i="107"/>
  <c r="D71" i="111" s="1"/>
  <c r="E71" i="107"/>
  <c r="E71" i="111" s="1"/>
  <c r="F71" i="107"/>
  <c r="F71" i="111" s="1"/>
  <c r="G71" i="107"/>
  <c r="G71" i="111" s="1"/>
  <c r="H71" i="107"/>
  <c r="H71" i="111" s="1"/>
  <c r="I71" i="107"/>
  <c r="I71" i="111" s="1"/>
  <c r="J71" i="107"/>
  <c r="J71" i="111" s="1"/>
  <c r="K71" i="107"/>
  <c r="L71" i="107"/>
  <c r="L71" i="111" s="1"/>
  <c r="M71" i="107"/>
  <c r="M71" i="111" s="1"/>
  <c r="N71" i="107"/>
  <c r="N71" i="111" s="1"/>
  <c r="D72" i="107"/>
  <c r="E72" i="107"/>
  <c r="E72" i="111" s="1"/>
  <c r="F72" i="107"/>
  <c r="F72" i="111" s="1"/>
  <c r="G72" i="107"/>
  <c r="G72" i="111" s="1"/>
  <c r="H72" i="107"/>
  <c r="I72" i="107"/>
  <c r="I72" i="111" s="1"/>
  <c r="J72" i="107"/>
  <c r="J72" i="111" s="1"/>
  <c r="K72" i="107"/>
  <c r="K72" i="111" s="1"/>
  <c r="L72" i="107"/>
  <c r="L72" i="111" s="1"/>
  <c r="M72" i="107"/>
  <c r="M72" i="111" s="1"/>
  <c r="N72" i="107"/>
  <c r="N72" i="111" s="1"/>
  <c r="D73" i="107"/>
  <c r="D73" i="111" s="1"/>
  <c r="E73" i="107"/>
  <c r="F73" i="107"/>
  <c r="F73" i="111" s="1"/>
  <c r="G73" i="107"/>
  <c r="G73" i="111" s="1"/>
  <c r="H73" i="107"/>
  <c r="H73" i="111" s="1"/>
  <c r="I73" i="107"/>
  <c r="I73" i="111" s="1"/>
  <c r="J73" i="107"/>
  <c r="J73" i="111" s="1"/>
  <c r="K73" i="107"/>
  <c r="K73" i="111" s="1"/>
  <c r="L73" i="107"/>
  <c r="L73" i="111" s="1"/>
  <c r="M73" i="107"/>
  <c r="N73" i="107"/>
  <c r="N73" i="111" s="1"/>
  <c r="D74" i="107"/>
  <c r="E74" i="107"/>
  <c r="E74" i="111" s="1"/>
  <c r="F74" i="107"/>
  <c r="F74" i="111" s="1"/>
  <c r="G74" i="107"/>
  <c r="G74" i="111" s="1"/>
  <c r="H74" i="107"/>
  <c r="H74" i="111" s="1"/>
  <c r="I74" i="107"/>
  <c r="I74" i="111" s="1"/>
  <c r="J74" i="107"/>
  <c r="K74" i="107"/>
  <c r="K74" i="111" s="1"/>
  <c r="L74" i="107"/>
  <c r="L74" i="111" s="1"/>
  <c r="M74" i="107"/>
  <c r="M74" i="111" s="1"/>
  <c r="N74" i="107"/>
  <c r="N74" i="111" s="1"/>
  <c r="D75" i="107"/>
  <c r="D75" i="111" s="1"/>
  <c r="E75" i="107"/>
  <c r="E75" i="111" s="1"/>
  <c r="F75" i="107"/>
  <c r="F75" i="111" s="1"/>
  <c r="G75" i="107"/>
  <c r="H75" i="107"/>
  <c r="H75" i="111" s="1"/>
  <c r="I75" i="107"/>
  <c r="I75" i="111" s="1"/>
  <c r="J75" i="107"/>
  <c r="J75" i="111" s="1"/>
  <c r="K75" i="107"/>
  <c r="K75" i="111" s="1"/>
  <c r="L75" i="107"/>
  <c r="L75" i="111" s="1"/>
  <c r="M75" i="107"/>
  <c r="M75" i="111" s="1"/>
  <c r="N75" i="107"/>
  <c r="N75" i="111" s="1"/>
  <c r="D76" i="107"/>
  <c r="E76" i="107"/>
  <c r="E76" i="111" s="1"/>
  <c r="F76" i="107"/>
  <c r="F76" i="111" s="1"/>
  <c r="G76" i="107"/>
  <c r="G76" i="111" s="1"/>
  <c r="H76" i="107"/>
  <c r="H76" i="111" s="1"/>
  <c r="I76" i="107"/>
  <c r="I76" i="111" s="1"/>
  <c r="J76" i="107"/>
  <c r="J76" i="111" s="1"/>
  <c r="K76" i="107"/>
  <c r="K76" i="111" s="1"/>
  <c r="L76" i="107"/>
  <c r="M76" i="107"/>
  <c r="M76" i="111" s="1"/>
  <c r="N76" i="107"/>
  <c r="N76" i="111" s="1"/>
  <c r="D77" i="107"/>
  <c r="D77" i="111" s="1"/>
  <c r="E77" i="107"/>
  <c r="E77" i="111" s="1"/>
  <c r="F77" i="107"/>
  <c r="F77" i="111" s="1"/>
  <c r="G77" i="107"/>
  <c r="G77" i="111" s="1"/>
  <c r="H77" i="107"/>
  <c r="H77" i="111" s="1"/>
  <c r="I77" i="107"/>
  <c r="J77" i="107"/>
  <c r="J77" i="111" s="1"/>
  <c r="K77" i="107"/>
  <c r="K77" i="111" s="1"/>
  <c r="L77" i="107"/>
  <c r="L77" i="111" s="1"/>
  <c r="M77" i="107"/>
  <c r="M77" i="111" s="1"/>
  <c r="N77" i="107"/>
  <c r="N77" i="111" s="1"/>
  <c r="D78" i="107"/>
  <c r="E78" i="107"/>
  <c r="E78" i="111" s="1"/>
  <c r="F78" i="107"/>
  <c r="F78" i="111" s="1"/>
  <c r="G78" i="107"/>
  <c r="G78" i="111" s="1"/>
  <c r="H78" i="107"/>
  <c r="I78" i="107"/>
  <c r="I78" i="111" s="1"/>
  <c r="J78" i="107"/>
  <c r="J78" i="111" s="1"/>
  <c r="K78" i="107"/>
  <c r="K78" i="111" s="1"/>
  <c r="L78" i="107"/>
  <c r="M78" i="107"/>
  <c r="M78" i="111" s="1"/>
  <c r="N78" i="107"/>
  <c r="N78" i="111" s="1"/>
  <c r="D79" i="107"/>
  <c r="D79" i="111" s="1"/>
  <c r="E79" i="107"/>
  <c r="F79" i="107"/>
  <c r="F79" i="111" s="1"/>
  <c r="G79" i="107"/>
  <c r="G79" i="111" s="1"/>
  <c r="H79" i="107"/>
  <c r="H79" i="111" s="1"/>
  <c r="I79" i="107"/>
  <c r="J79" i="107"/>
  <c r="J79" i="111" s="1"/>
  <c r="K79" i="107"/>
  <c r="K79" i="111" s="1"/>
  <c r="L79" i="107"/>
  <c r="L79" i="111" s="1"/>
  <c r="M79" i="107"/>
  <c r="N79" i="107"/>
  <c r="N79" i="111" s="1"/>
  <c r="D80" i="107"/>
  <c r="D80" i="111" s="1"/>
  <c r="E80" i="107"/>
  <c r="E80" i="111" s="1"/>
  <c r="F80" i="107"/>
  <c r="G80" i="107"/>
  <c r="G80" i="111" s="1"/>
  <c r="H80" i="107"/>
  <c r="H80" i="111" s="1"/>
  <c r="I80" i="107"/>
  <c r="I80" i="111" s="1"/>
  <c r="J80" i="107"/>
  <c r="K80" i="107"/>
  <c r="K80" i="111" s="1"/>
  <c r="L80" i="107"/>
  <c r="L80" i="111" s="1"/>
  <c r="M80" i="107"/>
  <c r="M80" i="111" s="1"/>
  <c r="N80" i="107"/>
  <c r="D81" i="107"/>
  <c r="D81" i="111" s="1"/>
  <c r="E81" i="107"/>
  <c r="E81" i="111" s="1"/>
  <c r="F81" i="107"/>
  <c r="F81" i="111" s="1"/>
  <c r="G81" i="107"/>
  <c r="H81" i="107"/>
  <c r="H81" i="111" s="1"/>
  <c r="I81" i="107"/>
  <c r="I81" i="111" s="1"/>
  <c r="J81" i="107"/>
  <c r="J81" i="111" s="1"/>
  <c r="K81" i="107"/>
  <c r="L81" i="107"/>
  <c r="L81" i="111" s="1"/>
  <c r="M81" i="107"/>
  <c r="M81" i="111" s="1"/>
  <c r="N81" i="107"/>
  <c r="N81" i="111" s="1"/>
  <c r="D82" i="107"/>
  <c r="E82" i="107"/>
  <c r="E82" i="111" s="1"/>
  <c r="F82" i="107"/>
  <c r="F82" i="111" s="1"/>
  <c r="G82" i="107"/>
  <c r="G82" i="111" s="1"/>
  <c r="H82" i="107"/>
  <c r="I82" i="107"/>
  <c r="I82" i="111" s="1"/>
  <c r="J82" i="107"/>
  <c r="J82" i="111" s="1"/>
  <c r="K82" i="107"/>
  <c r="K82" i="111" s="1"/>
  <c r="L82" i="107"/>
  <c r="M82" i="107"/>
  <c r="M82" i="111" s="1"/>
  <c r="N82" i="107"/>
  <c r="N82" i="111" s="1"/>
  <c r="D83" i="107"/>
  <c r="D83" i="111" s="1"/>
  <c r="E83" i="107"/>
  <c r="F83" i="107"/>
  <c r="F83" i="111" s="1"/>
  <c r="G83" i="107"/>
  <c r="G83" i="111" s="1"/>
  <c r="H83" i="107"/>
  <c r="H83" i="111" s="1"/>
  <c r="I83" i="107"/>
  <c r="J83" i="107"/>
  <c r="J83" i="111" s="1"/>
  <c r="K83" i="107"/>
  <c r="K83" i="111" s="1"/>
  <c r="L83" i="107"/>
  <c r="L83" i="111" s="1"/>
  <c r="M83" i="107"/>
  <c r="N83" i="107"/>
  <c r="N83" i="111" s="1"/>
  <c r="D84" i="107"/>
  <c r="D84" i="111" s="1"/>
  <c r="E84" i="107"/>
  <c r="E84" i="111" s="1"/>
  <c r="F84" i="107"/>
  <c r="G84" i="107"/>
  <c r="G84" i="111" s="1"/>
  <c r="H84" i="107"/>
  <c r="H84" i="111" s="1"/>
  <c r="I84" i="107"/>
  <c r="I84" i="111" s="1"/>
  <c r="J84" i="107"/>
  <c r="K84" i="107"/>
  <c r="K84" i="111" s="1"/>
  <c r="L84" i="107"/>
  <c r="L84" i="111" s="1"/>
  <c r="M84" i="107"/>
  <c r="M84" i="111" s="1"/>
  <c r="N84" i="107"/>
  <c r="D85" i="107"/>
  <c r="D85" i="111" s="1"/>
  <c r="E85" i="107"/>
  <c r="E85" i="111" s="1"/>
  <c r="F85" i="107"/>
  <c r="F85" i="111" s="1"/>
  <c r="G85" i="107"/>
  <c r="H85" i="107"/>
  <c r="H85" i="111" s="1"/>
  <c r="I85" i="107"/>
  <c r="I85" i="111" s="1"/>
  <c r="J85" i="107"/>
  <c r="J85" i="111" s="1"/>
  <c r="K85" i="107"/>
  <c r="L85" i="107"/>
  <c r="L85" i="111" s="1"/>
  <c r="M85" i="107"/>
  <c r="M85" i="111" s="1"/>
  <c r="N85" i="107"/>
  <c r="N85" i="111" s="1"/>
  <c r="D86" i="107"/>
  <c r="E86" i="107"/>
  <c r="E86" i="111" s="1"/>
  <c r="F86" i="107"/>
  <c r="F86" i="111" s="1"/>
  <c r="G86" i="107"/>
  <c r="G86" i="111" s="1"/>
  <c r="H86" i="107"/>
  <c r="I86" i="107"/>
  <c r="I86" i="111" s="1"/>
  <c r="J86" i="107"/>
  <c r="J86" i="111" s="1"/>
  <c r="K86" i="107"/>
  <c r="K86" i="111" s="1"/>
  <c r="L86" i="107"/>
  <c r="M86" i="107"/>
  <c r="M86" i="111" s="1"/>
  <c r="N86" i="107"/>
  <c r="N86" i="111" s="1"/>
  <c r="D87" i="107"/>
  <c r="D87" i="111" s="1"/>
  <c r="E87" i="107"/>
  <c r="F87" i="107"/>
  <c r="F87" i="111" s="1"/>
  <c r="G87" i="107"/>
  <c r="G87" i="111" s="1"/>
  <c r="H87" i="107"/>
  <c r="H87" i="111" s="1"/>
  <c r="I87" i="107"/>
  <c r="J87" i="107"/>
  <c r="J87" i="111" s="1"/>
  <c r="K87" i="107"/>
  <c r="K87" i="111" s="1"/>
  <c r="L87" i="107"/>
  <c r="L87" i="111" s="1"/>
  <c r="M87" i="107"/>
  <c r="N87" i="107"/>
  <c r="N87" i="111" s="1"/>
  <c r="D88" i="107"/>
  <c r="D88" i="111" s="1"/>
  <c r="E88" i="107"/>
  <c r="E88" i="111" s="1"/>
  <c r="F88" i="107"/>
  <c r="G88" i="107"/>
  <c r="G88" i="111" s="1"/>
  <c r="H88" i="107"/>
  <c r="H88" i="111" s="1"/>
  <c r="I88" i="107"/>
  <c r="I88" i="111" s="1"/>
  <c r="J88" i="107"/>
  <c r="K88" i="107"/>
  <c r="K88" i="111" s="1"/>
  <c r="L88" i="107"/>
  <c r="L88" i="111" s="1"/>
  <c r="M88" i="107"/>
  <c r="M88" i="111" s="1"/>
  <c r="N88" i="107"/>
  <c r="D89" i="107"/>
  <c r="D89" i="111" s="1"/>
  <c r="E89" i="107"/>
  <c r="E89" i="111" s="1"/>
  <c r="F89" i="107"/>
  <c r="F89" i="111" s="1"/>
  <c r="G89" i="107"/>
  <c r="H89" i="107"/>
  <c r="H89" i="111" s="1"/>
  <c r="I89" i="107"/>
  <c r="I89" i="111" s="1"/>
  <c r="J89" i="107"/>
  <c r="J89" i="111" s="1"/>
  <c r="K89" i="107"/>
  <c r="L89" i="107"/>
  <c r="L89" i="111" s="1"/>
  <c r="M89" i="107"/>
  <c r="M89" i="111" s="1"/>
  <c r="N89" i="107"/>
  <c r="N89" i="111" s="1"/>
  <c r="D90" i="107"/>
  <c r="E90" i="107"/>
  <c r="E90" i="111" s="1"/>
  <c r="F90" i="107"/>
  <c r="F90" i="111" s="1"/>
  <c r="G90" i="107"/>
  <c r="G90" i="111" s="1"/>
  <c r="H90" i="107"/>
  <c r="I90" i="107"/>
  <c r="I90" i="111" s="1"/>
  <c r="J90" i="107"/>
  <c r="J90" i="111" s="1"/>
  <c r="K90" i="107"/>
  <c r="K90" i="111" s="1"/>
  <c r="L90" i="107"/>
  <c r="M90" i="107"/>
  <c r="M90" i="111" s="1"/>
  <c r="N90" i="107"/>
  <c r="N90" i="111" s="1"/>
  <c r="D91" i="107"/>
  <c r="D91" i="111" s="1"/>
  <c r="E91" i="107"/>
  <c r="F91" i="107"/>
  <c r="F91" i="111" s="1"/>
  <c r="G91" i="107"/>
  <c r="G91" i="111" s="1"/>
  <c r="H91" i="107"/>
  <c r="H91" i="111" s="1"/>
  <c r="I91" i="107"/>
  <c r="J91" i="107"/>
  <c r="J91" i="111" s="1"/>
  <c r="K91" i="107"/>
  <c r="K91" i="111" s="1"/>
  <c r="L91" i="107"/>
  <c r="L91" i="111" s="1"/>
  <c r="M91" i="107"/>
  <c r="N91" i="107"/>
  <c r="N91" i="111" s="1"/>
  <c r="D92" i="107"/>
  <c r="D92" i="111" s="1"/>
  <c r="E92" i="107"/>
  <c r="E92" i="111" s="1"/>
  <c r="F92" i="107"/>
  <c r="G92" i="107"/>
  <c r="G92" i="111" s="1"/>
  <c r="H92" i="107"/>
  <c r="H92" i="111" s="1"/>
  <c r="I92" i="107"/>
  <c r="I92" i="111" s="1"/>
  <c r="J92" i="107"/>
  <c r="K92" i="107"/>
  <c r="K92" i="111" s="1"/>
  <c r="L92" i="107"/>
  <c r="L92" i="111" s="1"/>
  <c r="M92" i="107"/>
  <c r="M92" i="111" s="1"/>
  <c r="N92" i="107"/>
  <c r="D93" i="107"/>
  <c r="D93" i="111" s="1"/>
  <c r="E93" i="107"/>
  <c r="E93" i="111" s="1"/>
  <c r="F93" i="107"/>
  <c r="F93" i="111" s="1"/>
  <c r="G93" i="107"/>
  <c r="H93" i="107"/>
  <c r="H93" i="111" s="1"/>
  <c r="I93" i="107"/>
  <c r="I93" i="111" s="1"/>
  <c r="J93" i="107"/>
  <c r="J93" i="111" s="1"/>
  <c r="K93" i="107"/>
  <c r="L93" i="107"/>
  <c r="L93" i="111" s="1"/>
  <c r="M93" i="107"/>
  <c r="M93" i="111" s="1"/>
  <c r="N93" i="107"/>
  <c r="N93" i="111" s="1"/>
  <c r="D94" i="107"/>
  <c r="E94" i="107"/>
  <c r="E94" i="111" s="1"/>
  <c r="F94" i="107"/>
  <c r="F94" i="111" s="1"/>
  <c r="G94" i="107"/>
  <c r="G94" i="111" s="1"/>
  <c r="H94" i="107"/>
  <c r="I94" i="107"/>
  <c r="I94" i="111" s="1"/>
  <c r="J94" i="107"/>
  <c r="J94" i="111" s="1"/>
  <c r="K94" i="107"/>
  <c r="K94" i="111" s="1"/>
  <c r="L94" i="107"/>
  <c r="M94" i="107"/>
  <c r="M94" i="111" s="1"/>
  <c r="N94" i="107"/>
  <c r="N94" i="111" s="1"/>
  <c r="D95" i="107"/>
  <c r="D95" i="111" s="1"/>
  <c r="E95" i="107"/>
  <c r="F95" i="107"/>
  <c r="F95" i="111" s="1"/>
  <c r="G95" i="107"/>
  <c r="G95" i="111" s="1"/>
  <c r="H95" i="107"/>
  <c r="H95" i="111" s="1"/>
  <c r="I95" i="107"/>
  <c r="J95" i="107"/>
  <c r="J95" i="111" s="1"/>
  <c r="K95" i="107"/>
  <c r="K95" i="111" s="1"/>
  <c r="L95" i="107"/>
  <c r="L95" i="111" s="1"/>
  <c r="M95" i="107"/>
  <c r="N95" i="107"/>
  <c r="N95" i="111" s="1"/>
  <c r="D96" i="107"/>
  <c r="D96" i="111" s="1"/>
  <c r="E96" i="107"/>
  <c r="E96" i="111" s="1"/>
  <c r="F96" i="107"/>
  <c r="G96" i="107"/>
  <c r="G96" i="111" s="1"/>
  <c r="H96" i="107"/>
  <c r="H96" i="111" s="1"/>
  <c r="I96" i="107"/>
  <c r="I96" i="111" s="1"/>
  <c r="J96" i="107"/>
  <c r="K96" i="107"/>
  <c r="K96" i="111" s="1"/>
  <c r="L96" i="107"/>
  <c r="L96" i="111" s="1"/>
  <c r="M96" i="107"/>
  <c r="M96" i="111" s="1"/>
  <c r="N96" i="107"/>
  <c r="D97" i="107"/>
  <c r="D97" i="111" s="1"/>
  <c r="E97" i="107"/>
  <c r="E97" i="111" s="1"/>
  <c r="F97" i="107"/>
  <c r="F97" i="111" s="1"/>
  <c r="G97" i="107"/>
  <c r="H97" i="107"/>
  <c r="H97" i="111" s="1"/>
  <c r="I97" i="107"/>
  <c r="I97" i="111" s="1"/>
  <c r="J97" i="107"/>
  <c r="J97" i="111" s="1"/>
  <c r="K97" i="107"/>
  <c r="L97" i="107"/>
  <c r="L97" i="111" s="1"/>
  <c r="M97" i="107"/>
  <c r="M97" i="111" s="1"/>
  <c r="N97" i="107"/>
  <c r="N97" i="111" s="1"/>
  <c r="D98" i="107"/>
  <c r="E98" i="107"/>
  <c r="E98" i="111" s="1"/>
  <c r="F98" i="107"/>
  <c r="F98" i="111" s="1"/>
  <c r="G98" i="107"/>
  <c r="G98" i="111" s="1"/>
  <c r="H98" i="107"/>
  <c r="I98" i="107"/>
  <c r="I98" i="111" s="1"/>
  <c r="J98" i="107"/>
  <c r="J98" i="111" s="1"/>
  <c r="K98" i="107"/>
  <c r="K98" i="111" s="1"/>
  <c r="L98" i="107"/>
  <c r="M98" i="107"/>
  <c r="M98" i="111" s="1"/>
  <c r="N98" i="107"/>
  <c r="N98" i="111" s="1"/>
  <c r="D99" i="107"/>
  <c r="D99" i="111" s="1"/>
  <c r="E99" i="107"/>
  <c r="F99" i="107"/>
  <c r="F99" i="111" s="1"/>
  <c r="G99" i="107"/>
  <c r="G99" i="111" s="1"/>
  <c r="H99" i="107"/>
  <c r="H99" i="111" s="1"/>
  <c r="I99" i="107"/>
  <c r="J99" i="107"/>
  <c r="J99" i="111" s="1"/>
  <c r="K99" i="107"/>
  <c r="K99" i="111" s="1"/>
  <c r="L99" i="107"/>
  <c r="L99" i="111" s="1"/>
  <c r="M99" i="107"/>
  <c r="N99" i="107"/>
  <c r="N99" i="111" s="1"/>
  <c r="D100" i="107"/>
  <c r="D100" i="111" s="1"/>
  <c r="E100" i="107"/>
  <c r="E100" i="111" s="1"/>
  <c r="F100" i="107"/>
  <c r="G100" i="107"/>
  <c r="G100" i="111" s="1"/>
  <c r="H100" i="107"/>
  <c r="H100" i="111" s="1"/>
  <c r="I100" i="107"/>
  <c r="I100" i="111" s="1"/>
  <c r="J100" i="107"/>
  <c r="K100" i="107"/>
  <c r="K100" i="111" s="1"/>
  <c r="L100" i="107"/>
  <c r="L100" i="111" s="1"/>
  <c r="M100" i="107"/>
  <c r="M100" i="111" s="1"/>
  <c r="N100" i="107"/>
  <c r="D101" i="107"/>
  <c r="D101" i="111" s="1"/>
  <c r="E101" i="107"/>
  <c r="E101" i="111" s="1"/>
  <c r="F101" i="107"/>
  <c r="F101" i="111" s="1"/>
  <c r="G101" i="107"/>
  <c r="H101" i="107"/>
  <c r="H101" i="111" s="1"/>
  <c r="I101" i="107"/>
  <c r="I101" i="111" s="1"/>
  <c r="J101" i="107"/>
  <c r="J101" i="111" s="1"/>
  <c r="K101" i="107"/>
  <c r="L101" i="107"/>
  <c r="L101" i="111" s="1"/>
  <c r="M101" i="107"/>
  <c r="M101" i="111" s="1"/>
  <c r="N101" i="107"/>
  <c r="N101" i="111" s="1"/>
  <c r="D102" i="107"/>
  <c r="E102" i="107"/>
  <c r="E102" i="111" s="1"/>
  <c r="F102" i="107"/>
  <c r="F102" i="111" s="1"/>
  <c r="G102" i="107"/>
  <c r="G102" i="111" s="1"/>
  <c r="H102" i="107"/>
  <c r="I102" i="107"/>
  <c r="I102" i="111" s="1"/>
  <c r="J102" i="107"/>
  <c r="J102" i="111" s="1"/>
  <c r="K102" i="107"/>
  <c r="K102" i="111" s="1"/>
  <c r="L102" i="107"/>
  <c r="M102" i="107"/>
  <c r="M102" i="111" s="1"/>
  <c r="N102" i="107"/>
  <c r="N102" i="111" s="1"/>
  <c r="D103" i="107"/>
  <c r="D103" i="111" s="1"/>
  <c r="E103" i="107"/>
  <c r="F103" i="107"/>
  <c r="F103" i="111" s="1"/>
  <c r="G103" i="107"/>
  <c r="G103" i="111" s="1"/>
  <c r="H103" i="107"/>
  <c r="H103" i="111" s="1"/>
  <c r="I103" i="107"/>
  <c r="J103" i="107"/>
  <c r="J103" i="111" s="1"/>
  <c r="K103" i="107"/>
  <c r="K103" i="111" s="1"/>
  <c r="L103" i="107"/>
  <c r="L103" i="111" s="1"/>
  <c r="M103" i="107"/>
  <c r="N103" i="107"/>
  <c r="N103" i="111" s="1"/>
  <c r="D104" i="107"/>
  <c r="D104" i="111" s="1"/>
  <c r="E104" i="107"/>
  <c r="E104" i="111" s="1"/>
  <c r="F104" i="107"/>
  <c r="G104" i="107"/>
  <c r="G104" i="111" s="1"/>
  <c r="H104" i="107"/>
  <c r="H104" i="111" s="1"/>
  <c r="I104" i="107"/>
  <c r="I104" i="111" s="1"/>
  <c r="J104" i="107"/>
  <c r="K104" i="107"/>
  <c r="K104" i="111" s="1"/>
  <c r="L104" i="107"/>
  <c r="L104" i="111" s="1"/>
  <c r="M104" i="107"/>
  <c r="M104" i="111" s="1"/>
  <c r="N104" i="107"/>
  <c r="D105" i="107"/>
  <c r="D105" i="111" s="1"/>
  <c r="E105" i="107"/>
  <c r="E105" i="111" s="1"/>
  <c r="F105" i="107"/>
  <c r="F105" i="111" s="1"/>
  <c r="G105" i="107"/>
  <c r="H105" i="107"/>
  <c r="H105" i="111" s="1"/>
  <c r="I105" i="107"/>
  <c r="I105" i="111" s="1"/>
  <c r="J105" i="107"/>
  <c r="J105" i="111" s="1"/>
  <c r="K105" i="107"/>
  <c r="L105" i="107"/>
  <c r="L105" i="111" s="1"/>
  <c r="M105" i="107"/>
  <c r="M105" i="111" s="1"/>
  <c r="N105" i="107"/>
  <c r="N105" i="111" s="1"/>
  <c r="C59" i="107"/>
  <c r="C60" i="107"/>
  <c r="C61" i="107"/>
  <c r="C62" i="107"/>
  <c r="C63" i="107"/>
  <c r="C64" i="107"/>
  <c r="C65" i="107"/>
  <c r="C66" i="107"/>
  <c r="C67" i="107"/>
  <c r="C68" i="107"/>
  <c r="C69" i="107"/>
  <c r="C70" i="107"/>
  <c r="C71" i="107"/>
  <c r="C72" i="107"/>
  <c r="C73" i="107"/>
  <c r="C74" i="107"/>
  <c r="C75" i="107"/>
  <c r="C76" i="107"/>
  <c r="C77" i="107"/>
  <c r="C78" i="107"/>
  <c r="C79" i="107"/>
  <c r="C80" i="107"/>
  <c r="C81" i="107"/>
  <c r="C82" i="107"/>
  <c r="C83" i="107"/>
  <c r="C84" i="107"/>
  <c r="C85" i="107"/>
  <c r="C86" i="107"/>
  <c r="C87" i="107"/>
  <c r="C88" i="107"/>
  <c r="C89" i="107"/>
  <c r="C90" i="107"/>
  <c r="C91" i="107"/>
  <c r="C92" i="107"/>
  <c r="C93" i="107"/>
  <c r="C94" i="107"/>
  <c r="C95" i="107"/>
  <c r="C96" i="107"/>
  <c r="C97" i="107"/>
  <c r="C98" i="107"/>
  <c r="C99" i="107"/>
  <c r="C100" i="107"/>
  <c r="C101" i="107"/>
  <c r="C102" i="107"/>
  <c r="C103" i="107"/>
  <c r="C104" i="107"/>
  <c r="C105" i="107"/>
  <c r="C58" i="107"/>
  <c r="P103" i="111" l="1"/>
  <c r="O103" i="111"/>
  <c r="P99" i="111"/>
  <c r="O99" i="111"/>
  <c r="P95" i="111"/>
  <c r="O95" i="111"/>
  <c r="P91" i="111"/>
  <c r="O91" i="111"/>
  <c r="P87" i="111"/>
  <c r="O87" i="111"/>
  <c r="P83" i="111"/>
  <c r="O83" i="111"/>
  <c r="P79" i="111"/>
  <c r="O79" i="111"/>
  <c r="P75" i="111"/>
  <c r="O75" i="111"/>
  <c r="P71" i="111"/>
  <c r="O71" i="111"/>
  <c r="P67" i="111"/>
  <c r="O67" i="111"/>
  <c r="P63" i="111"/>
  <c r="O63" i="111"/>
  <c r="P59" i="111"/>
  <c r="O59" i="111"/>
  <c r="P105" i="107"/>
  <c r="O105" i="107"/>
  <c r="P103" i="107"/>
  <c r="O103" i="107"/>
  <c r="P101" i="107"/>
  <c r="O101" i="107"/>
  <c r="P99" i="107"/>
  <c r="O99" i="107"/>
  <c r="P97" i="107"/>
  <c r="O97" i="107"/>
  <c r="P95" i="107"/>
  <c r="O95" i="107"/>
  <c r="P93" i="107"/>
  <c r="O93" i="107"/>
  <c r="P91" i="107"/>
  <c r="O91" i="107"/>
  <c r="P89" i="107"/>
  <c r="O89" i="107"/>
  <c r="P87" i="107"/>
  <c r="O87" i="107"/>
  <c r="P85" i="107"/>
  <c r="O85" i="107"/>
  <c r="P83" i="107"/>
  <c r="O83" i="107"/>
  <c r="P81" i="107"/>
  <c r="O81" i="107"/>
  <c r="P79" i="107"/>
  <c r="O79" i="107"/>
  <c r="P77" i="107"/>
  <c r="O77" i="107"/>
  <c r="O75" i="107"/>
  <c r="P75" i="107"/>
  <c r="O73" i="107"/>
  <c r="P73" i="107"/>
  <c r="O71" i="107"/>
  <c r="P71" i="107"/>
  <c r="O69" i="107"/>
  <c r="P69" i="107"/>
  <c r="O67" i="107"/>
  <c r="P67" i="107"/>
  <c r="O65" i="107"/>
  <c r="P65" i="107"/>
  <c r="O63" i="107"/>
  <c r="P63" i="107"/>
  <c r="O61" i="107"/>
  <c r="P61" i="107"/>
  <c r="O59" i="107"/>
  <c r="P59" i="107"/>
  <c r="D74" i="111"/>
  <c r="P74" i="107"/>
  <c r="P72" i="107"/>
  <c r="D70" i="111"/>
  <c r="P70" i="107"/>
  <c r="P68" i="107"/>
  <c r="D66" i="111"/>
  <c r="P66" i="107"/>
  <c r="P64" i="107"/>
  <c r="D64" i="111"/>
  <c r="D62" i="111"/>
  <c r="P62" i="107"/>
  <c r="P60" i="107"/>
  <c r="D60" i="111"/>
  <c r="D58" i="111"/>
  <c r="P58" i="107"/>
  <c r="C105" i="111"/>
  <c r="C101" i="111"/>
  <c r="C97" i="111"/>
  <c r="C93" i="111"/>
  <c r="C89" i="111"/>
  <c r="C85" i="111"/>
  <c r="C81" i="111"/>
  <c r="C77" i="111"/>
  <c r="C73" i="111"/>
  <c r="C69" i="111"/>
  <c r="C65" i="111"/>
  <c r="C61" i="111"/>
  <c r="D72" i="111"/>
  <c r="O58" i="107"/>
  <c r="P104" i="107"/>
  <c r="O104" i="107"/>
  <c r="P102" i="107"/>
  <c r="O102" i="107"/>
  <c r="P100" i="107"/>
  <c r="O100" i="107"/>
  <c r="P98" i="107"/>
  <c r="O98" i="107"/>
  <c r="P96" i="107"/>
  <c r="O96" i="107"/>
  <c r="P94" i="107"/>
  <c r="O94" i="107"/>
  <c r="P92" i="107"/>
  <c r="O92" i="107"/>
  <c r="P90" i="107"/>
  <c r="O90" i="107"/>
  <c r="P88" i="107"/>
  <c r="O88" i="107"/>
  <c r="P86" i="107"/>
  <c r="O86" i="107"/>
  <c r="P84" i="107"/>
  <c r="O84" i="107"/>
  <c r="P82" i="107"/>
  <c r="O82" i="107"/>
  <c r="P80" i="107"/>
  <c r="O80" i="107"/>
  <c r="P78" i="107"/>
  <c r="O78" i="107"/>
  <c r="P76" i="107"/>
  <c r="O76" i="107"/>
  <c r="O74" i="107"/>
  <c r="O72" i="107"/>
  <c r="O70" i="107"/>
  <c r="O68" i="107"/>
  <c r="O66" i="107"/>
  <c r="O64" i="107"/>
  <c r="O62" i="107"/>
  <c r="O60" i="107"/>
  <c r="C58" i="111"/>
  <c r="C104" i="111"/>
  <c r="C102" i="111"/>
  <c r="C100" i="111"/>
  <c r="C98" i="111"/>
  <c r="C96" i="111"/>
  <c r="C94" i="111"/>
  <c r="C92" i="111"/>
  <c r="C90" i="111"/>
  <c r="C88" i="111"/>
  <c r="C86" i="111"/>
  <c r="C84" i="111"/>
  <c r="C82" i="111"/>
  <c r="C80" i="111"/>
  <c r="C78" i="111"/>
  <c r="C76" i="111"/>
  <c r="C74" i="111"/>
  <c r="C72" i="111"/>
  <c r="C70" i="111"/>
  <c r="C68" i="111"/>
  <c r="C66" i="111"/>
  <c r="C64" i="111"/>
  <c r="C62" i="111"/>
  <c r="C60" i="111"/>
  <c r="D5" i="110"/>
  <c r="C3" i="94"/>
  <c r="P60" i="111" l="1"/>
  <c r="O60" i="111"/>
  <c r="P64" i="111"/>
  <c r="O64" i="111"/>
  <c r="P68" i="111"/>
  <c r="O68" i="111"/>
  <c r="P72" i="111"/>
  <c r="O72" i="111"/>
  <c r="P76" i="111"/>
  <c r="O76" i="111"/>
  <c r="P80" i="111"/>
  <c r="O80" i="111"/>
  <c r="P84" i="111"/>
  <c r="O84" i="111"/>
  <c r="P88" i="111"/>
  <c r="O88" i="111"/>
  <c r="P92" i="111"/>
  <c r="O92" i="111"/>
  <c r="P96" i="111"/>
  <c r="O96" i="111"/>
  <c r="P100" i="111"/>
  <c r="O100" i="111"/>
  <c r="P104" i="111"/>
  <c r="O104" i="111"/>
  <c r="P61" i="111"/>
  <c r="O61" i="111"/>
  <c r="P69" i="111"/>
  <c r="O69" i="111"/>
  <c r="P77" i="111"/>
  <c r="O77" i="111"/>
  <c r="P85" i="111"/>
  <c r="O85" i="111"/>
  <c r="P93" i="111"/>
  <c r="O93" i="111"/>
  <c r="P101" i="111"/>
  <c r="O101" i="111"/>
  <c r="P62" i="111"/>
  <c r="O62" i="111"/>
  <c r="P66" i="111"/>
  <c r="O66" i="111"/>
  <c r="P70" i="111"/>
  <c r="O70" i="111"/>
  <c r="P74" i="111"/>
  <c r="O74" i="111"/>
  <c r="P78" i="111"/>
  <c r="O78" i="111"/>
  <c r="P82" i="111"/>
  <c r="O82" i="111"/>
  <c r="P86" i="111"/>
  <c r="O86" i="111"/>
  <c r="P90" i="111"/>
  <c r="O90" i="111"/>
  <c r="P94" i="111"/>
  <c r="O94" i="111"/>
  <c r="P98" i="111"/>
  <c r="O98" i="111"/>
  <c r="P102" i="111"/>
  <c r="O102" i="111"/>
  <c r="P58" i="111"/>
  <c r="O58" i="111"/>
  <c r="P65" i="111"/>
  <c r="O65" i="111"/>
  <c r="P73" i="111"/>
  <c r="O73" i="111"/>
  <c r="P81" i="111"/>
  <c r="O81" i="111"/>
  <c r="P89" i="111"/>
  <c r="O89" i="111"/>
  <c r="P97" i="111"/>
  <c r="O97" i="111"/>
  <c r="P105" i="111"/>
  <c r="O105" i="111"/>
  <c r="K6" i="100"/>
  <c r="K6" i="101" s="1"/>
  <c r="K6" i="109" s="1"/>
  <c r="K6" i="105" s="1"/>
  <c r="K6" i="110" s="1"/>
  <c r="K6" i="103" s="1"/>
  <c r="K5" i="101"/>
  <c r="G5" i="98"/>
  <c r="G5" i="101" s="1"/>
  <c r="G5" i="109" s="1"/>
  <c r="G5" i="105" s="1"/>
  <c r="G5" i="110" s="1"/>
  <c r="G5" i="103" s="1"/>
  <c r="G5" i="97"/>
  <c r="K6" i="96"/>
  <c r="K5" i="96"/>
  <c r="G5" i="96"/>
  <c r="K6" i="95"/>
  <c r="K5" i="95"/>
  <c r="G5" i="95"/>
  <c r="K6" i="94"/>
  <c r="G5" i="94"/>
  <c r="G6" i="104"/>
  <c r="G6" i="108" s="1"/>
  <c r="G6" i="110"/>
  <c r="G6" i="109"/>
  <c r="G6" i="100"/>
  <c r="G6" i="98"/>
  <c r="G6" i="103"/>
  <c r="G6" i="107" s="1"/>
  <c r="G6" i="105"/>
  <c r="G6" i="101"/>
  <c r="G6" i="99"/>
  <c r="G6" i="97"/>
  <c r="G6" i="95"/>
  <c r="D6" i="104"/>
  <c r="D6" i="108" s="1"/>
  <c r="D6" i="110"/>
  <c r="D6" i="109"/>
  <c r="D6" i="100"/>
  <c r="D6" i="98"/>
  <c r="D6" i="103"/>
  <c r="D6" i="107" s="1"/>
  <c r="D6" i="105"/>
  <c r="D6" i="101"/>
  <c r="D6" i="99"/>
  <c r="D6" i="97"/>
  <c r="D6" i="95"/>
  <c r="D5" i="104"/>
  <c r="D5" i="109"/>
  <c r="D5" i="100"/>
  <c r="D5" i="98"/>
  <c r="D5" i="96"/>
  <c r="D5" i="94"/>
  <c r="K6" i="104" l="1"/>
  <c r="K6" i="108" s="1"/>
  <c r="K6" i="111" s="1"/>
  <c r="K6" i="107"/>
  <c r="K5" i="107"/>
  <c r="K5" i="104"/>
  <c r="K5" i="108" s="1"/>
  <c r="K5" i="111" s="1"/>
  <c r="G5" i="107"/>
  <c r="G5" i="104"/>
  <c r="G5" i="108" s="1"/>
  <c r="G5" i="111" s="1"/>
  <c r="AC33" i="110"/>
  <c r="AA33" i="110"/>
  <c r="Y33" i="110"/>
  <c r="W33" i="110"/>
  <c r="U33" i="110"/>
  <c r="S33" i="110"/>
  <c r="AA32" i="110"/>
  <c r="W32" i="110"/>
  <c r="S32" i="110"/>
  <c r="AC31" i="110"/>
  <c r="AA31" i="110"/>
  <c r="Y31" i="110"/>
  <c r="W31" i="110"/>
  <c r="U31" i="110"/>
  <c r="S31" i="110"/>
  <c r="AA30" i="110"/>
  <c r="W30" i="110"/>
  <c r="S30" i="110"/>
  <c r="AC29" i="110"/>
  <c r="AA29" i="110"/>
  <c r="Y29" i="110"/>
  <c r="W29" i="110"/>
  <c r="U29" i="110"/>
  <c r="S29" i="110"/>
  <c r="AA28" i="110"/>
  <c r="W28" i="110"/>
  <c r="S28" i="110"/>
  <c r="AC27" i="110"/>
  <c r="AA27" i="110"/>
  <c r="Y27" i="110"/>
  <c r="W27" i="110"/>
  <c r="U27" i="110"/>
  <c r="S27" i="110"/>
  <c r="AA26" i="110"/>
  <c r="W26" i="110"/>
  <c r="S26" i="110"/>
  <c r="AC25" i="110"/>
  <c r="AA25" i="110"/>
  <c r="Y25" i="110"/>
  <c r="W25" i="110"/>
  <c r="U25" i="110"/>
  <c r="S25" i="110"/>
  <c r="AA24" i="110"/>
  <c r="W24" i="110"/>
  <c r="S24" i="110"/>
  <c r="AC23" i="110"/>
  <c r="AA23" i="110"/>
  <c r="Y23" i="110"/>
  <c r="W23" i="110"/>
  <c r="U23" i="110"/>
  <c r="S23" i="110"/>
  <c r="AA22" i="110"/>
  <c r="W22" i="110"/>
  <c r="S22" i="110"/>
  <c r="AA21" i="110"/>
  <c r="W21" i="110"/>
  <c r="S21" i="110"/>
  <c r="AA20" i="110"/>
  <c r="W20" i="110"/>
  <c r="S20" i="110"/>
  <c r="AA19" i="110"/>
  <c r="W19" i="110"/>
  <c r="S19" i="110"/>
  <c r="AA18" i="110"/>
  <c r="Y18" i="110"/>
  <c r="W18" i="110"/>
  <c r="U18" i="110"/>
  <c r="S18" i="110"/>
  <c r="AC17" i="110"/>
  <c r="AB17" i="110"/>
  <c r="AA17" i="110"/>
  <c r="Z17" i="110"/>
  <c r="Y17" i="110"/>
  <c r="X17" i="110"/>
  <c r="W17" i="110"/>
  <c r="V17" i="110"/>
  <c r="U17" i="110"/>
  <c r="T17" i="110"/>
  <c r="AD16" i="110"/>
  <c r="AC16" i="110"/>
  <c r="AB16" i="110"/>
  <c r="AA16" i="110"/>
  <c r="Z16" i="110"/>
  <c r="Y16" i="110"/>
  <c r="X16" i="110"/>
  <c r="W16" i="110"/>
  <c r="V16" i="110"/>
  <c r="U16" i="110"/>
  <c r="T16" i="110"/>
  <c r="S16" i="110"/>
  <c r="AD17" i="110"/>
  <c r="C3" i="110"/>
  <c r="AC33" i="109"/>
  <c r="AA33" i="109"/>
  <c r="Y33" i="109"/>
  <c r="W33" i="109"/>
  <c r="U33" i="109"/>
  <c r="AA32" i="109"/>
  <c r="Y32" i="109"/>
  <c r="W32" i="109"/>
  <c r="U32" i="109"/>
  <c r="S32" i="109"/>
  <c r="AC31" i="109"/>
  <c r="AA31" i="109"/>
  <c r="Y31" i="109"/>
  <c r="W31" i="109"/>
  <c r="U31" i="109"/>
  <c r="AC30" i="109"/>
  <c r="AA30" i="109"/>
  <c r="Y30" i="109"/>
  <c r="W30" i="109"/>
  <c r="U30" i="109"/>
  <c r="S30" i="109"/>
  <c r="AC29" i="109"/>
  <c r="AA29" i="109"/>
  <c r="Y29" i="109"/>
  <c r="W29" i="109"/>
  <c r="U29" i="109"/>
  <c r="AC28" i="109"/>
  <c r="AA28" i="109"/>
  <c r="Y28" i="109"/>
  <c r="W28" i="109"/>
  <c r="U28" i="109"/>
  <c r="S28" i="109"/>
  <c r="AC27" i="109"/>
  <c r="AA27" i="109"/>
  <c r="Y27" i="109"/>
  <c r="W27" i="109"/>
  <c r="U27" i="109"/>
  <c r="AC26" i="109"/>
  <c r="AA26" i="109"/>
  <c r="Y26" i="109"/>
  <c r="W26" i="109"/>
  <c r="U26" i="109"/>
  <c r="S26" i="109"/>
  <c r="AC25" i="109"/>
  <c r="AA25" i="109"/>
  <c r="Y25" i="109"/>
  <c r="W25" i="109"/>
  <c r="U25" i="109"/>
  <c r="AC24" i="109"/>
  <c r="AA24" i="109"/>
  <c r="Y24" i="109"/>
  <c r="W24" i="109"/>
  <c r="U24" i="109"/>
  <c r="S24" i="109"/>
  <c r="AC23" i="109"/>
  <c r="AA23" i="109"/>
  <c r="Y23" i="109"/>
  <c r="W23" i="109"/>
  <c r="U23" i="109"/>
  <c r="AC22" i="109"/>
  <c r="AA22" i="109"/>
  <c r="Y22" i="109"/>
  <c r="W22" i="109"/>
  <c r="S22" i="109"/>
  <c r="AC21" i="109"/>
  <c r="AA21" i="109"/>
  <c r="Y21" i="109"/>
  <c r="W21" i="109"/>
  <c r="U21" i="109"/>
  <c r="S21" i="109"/>
  <c r="AC20" i="109"/>
  <c r="AA20" i="109"/>
  <c r="Y20" i="109"/>
  <c r="W20" i="109"/>
  <c r="U20" i="109"/>
  <c r="S20" i="109"/>
  <c r="AC19" i="109"/>
  <c r="AC39" i="109" s="1"/>
  <c r="AA19" i="109"/>
  <c r="Y19" i="109"/>
  <c r="Y39" i="109" s="1"/>
  <c r="W19" i="109"/>
  <c r="U19" i="109"/>
  <c r="U39" i="109" s="1"/>
  <c r="S19" i="109"/>
  <c r="AC18" i="109"/>
  <c r="AA18" i="109"/>
  <c r="Y18" i="109"/>
  <c r="W18" i="109"/>
  <c r="U18" i="109"/>
  <c r="S18" i="109"/>
  <c r="AB17" i="109"/>
  <c r="AA17" i="109"/>
  <c r="Z17" i="109"/>
  <c r="Y17" i="109"/>
  <c r="X17" i="109"/>
  <c r="W17" i="109"/>
  <c r="V17" i="109"/>
  <c r="U17" i="109"/>
  <c r="T17" i="109"/>
  <c r="AD16" i="109"/>
  <c r="AC16" i="109"/>
  <c r="AB16" i="109"/>
  <c r="AA16" i="109"/>
  <c r="Z16" i="109"/>
  <c r="Y16" i="109"/>
  <c r="X16" i="109"/>
  <c r="W16" i="109"/>
  <c r="V16" i="109"/>
  <c r="U16" i="109"/>
  <c r="T16" i="109"/>
  <c r="Z15" i="109"/>
  <c r="AD14" i="109"/>
  <c r="AD17" i="109"/>
  <c r="C3" i="109"/>
  <c r="C3" i="104"/>
  <c r="C3" i="103"/>
  <c r="C3" i="105"/>
  <c r="C3" i="101"/>
  <c r="C3" i="100"/>
  <c r="C3" i="99"/>
  <c r="C3" i="98"/>
  <c r="C3" i="97"/>
  <c r="C3" i="96"/>
  <c r="C3" i="95"/>
  <c r="AC33" i="105"/>
  <c r="AB33" i="105"/>
  <c r="Z33" i="105"/>
  <c r="Y33" i="105"/>
  <c r="X33" i="105"/>
  <c r="W33" i="105"/>
  <c r="V33" i="105"/>
  <c r="U33" i="105"/>
  <c r="T33" i="105"/>
  <c r="AD32" i="105"/>
  <c r="AC32" i="105"/>
  <c r="AB32" i="105"/>
  <c r="AA32" i="105"/>
  <c r="Z32" i="105"/>
  <c r="Y32" i="105"/>
  <c r="X32" i="105"/>
  <c r="W32" i="105"/>
  <c r="V32" i="105"/>
  <c r="U32" i="105"/>
  <c r="T32" i="105"/>
  <c r="AD31" i="105"/>
  <c r="AC31" i="105"/>
  <c r="AB31" i="105"/>
  <c r="AA31" i="105"/>
  <c r="Z31" i="105"/>
  <c r="Y31" i="105"/>
  <c r="X31" i="105"/>
  <c r="W31" i="105"/>
  <c r="V31" i="105"/>
  <c r="U31" i="105"/>
  <c r="T31" i="105"/>
  <c r="AD30" i="105"/>
  <c r="AC30" i="105"/>
  <c r="AB30" i="105"/>
  <c r="AA30" i="105"/>
  <c r="Z30" i="105"/>
  <c r="Y30" i="105"/>
  <c r="X30" i="105"/>
  <c r="W30" i="105"/>
  <c r="V30" i="105"/>
  <c r="U30" i="105"/>
  <c r="T30" i="105"/>
  <c r="AC29" i="105"/>
  <c r="AB29" i="105"/>
  <c r="AA29" i="105"/>
  <c r="Z29" i="105"/>
  <c r="Y29" i="105"/>
  <c r="X29" i="105"/>
  <c r="W29" i="105"/>
  <c r="V29" i="105"/>
  <c r="U29" i="105"/>
  <c r="T29" i="105"/>
  <c r="AD28" i="105"/>
  <c r="AC28" i="105"/>
  <c r="AB28" i="105"/>
  <c r="AA28" i="105"/>
  <c r="Z28" i="105"/>
  <c r="Y28" i="105"/>
  <c r="X28" i="105"/>
  <c r="W28" i="105"/>
  <c r="V28" i="105"/>
  <c r="U28" i="105"/>
  <c r="T28" i="105"/>
  <c r="AD27" i="105"/>
  <c r="AC27" i="105"/>
  <c r="AB27" i="105"/>
  <c r="AA27" i="105"/>
  <c r="Z27" i="105"/>
  <c r="Y27" i="105"/>
  <c r="X27" i="105"/>
  <c r="W27" i="105"/>
  <c r="V27" i="105"/>
  <c r="U27" i="105"/>
  <c r="T27" i="105"/>
  <c r="AD26" i="105"/>
  <c r="AC26" i="105"/>
  <c r="AB26" i="105"/>
  <c r="AA26" i="105"/>
  <c r="Z26" i="105"/>
  <c r="Y26" i="105"/>
  <c r="X26" i="105"/>
  <c r="W26" i="105"/>
  <c r="V26" i="105"/>
  <c r="U26" i="105"/>
  <c r="T26" i="105"/>
  <c r="AD25" i="105"/>
  <c r="AC25" i="105"/>
  <c r="AB25" i="105"/>
  <c r="AA25" i="105"/>
  <c r="Z25" i="105"/>
  <c r="Y25" i="105"/>
  <c r="X25" i="105"/>
  <c r="W25" i="105"/>
  <c r="V25" i="105"/>
  <c r="U25" i="105"/>
  <c r="T25" i="105"/>
  <c r="AD24" i="105"/>
  <c r="AC24" i="105"/>
  <c r="AB24" i="105"/>
  <c r="AA24" i="105"/>
  <c r="Z24" i="105"/>
  <c r="X24" i="105"/>
  <c r="W24" i="105"/>
  <c r="V24" i="105"/>
  <c r="U24" i="105"/>
  <c r="T24" i="105"/>
  <c r="AD23" i="105"/>
  <c r="AC23" i="105"/>
  <c r="AB23" i="105"/>
  <c r="AA23" i="105"/>
  <c r="Z23" i="105"/>
  <c r="Y23" i="105"/>
  <c r="X23" i="105"/>
  <c r="V23" i="105"/>
  <c r="U23" i="105"/>
  <c r="AD22" i="105"/>
  <c r="AC22" i="105"/>
  <c r="AB22" i="105"/>
  <c r="AA22" i="105"/>
  <c r="Z22" i="105"/>
  <c r="Y22" i="105"/>
  <c r="X22" i="105"/>
  <c r="W22" i="105"/>
  <c r="V22" i="105"/>
  <c r="U22" i="105"/>
  <c r="T22" i="105"/>
  <c r="S22" i="105"/>
  <c r="AD21" i="105"/>
  <c r="AC21" i="105"/>
  <c r="AB21" i="105"/>
  <c r="AA21" i="105"/>
  <c r="Z21" i="105"/>
  <c r="Y21" i="105"/>
  <c r="X21" i="105"/>
  <c r="W21" i="105"/>
  <c r="V21" i="105"/>
  <c r="U21" i="105"/>
  <c r="T21" i="105"/>
  <c r="AD20" i="105"/>
  <c r="AC20" i="105"/>
  <c r="AA20" i="105"/>
  <c r="Z20" i="105"/>
  <c r="Y20" i="105"/>
  <c r="X20" i="105"/>
  <c r="W20" i="105"/>
  <c r="V20" i="105"/>
  <c r="S20" i="105"/>
  <c r="AD19" i="105"/>
  <c r="AD39" i="105" s="1"/>
  <c r="AC19" i="105"/>
  <c r="AB19" i="105"/>
  <c r="AA19" i="105"/>
  <c r="AA39" i="105" s="1"/>
  <c r="Z19" i="105"/>
  <c r="Z39" i="105" s="1"/>
  <c r="Y19" i="105"/>
  <c r="X19" i="105"/>
  <c r="X39" i="105" s="1"/>
  <c r="W19" i="105"/>
  <c r="W39" i="105" s="1"/>
  <c r="V19" i="105"/>
  <c r="V39" i="105" s="1"/>
  <c r="U19" i="105"/>
  <c r="T19" i="105"/>
  <c r="S19" i="105"/>
  <c r="AD18" i="105"/>
  <c r="AC18" i="105"/>
  <c r="AB18" i="105"/>
  <c r="AA18" i="105"/>
  <c r="Z18" i="105"/>
  <c r="Y18" i="105"/>
  <c r="X18" i="105"/>
  <c r="W18" i="105"/>
  <c r="V18" i="105"/>
  <c r="U18" i="105"/>
  <c r="T18" i="105"/>
  <c r="S18" i="105"/>
  <c r="AD17" i="105"/>
  <c r="AC17" i="105"/>
  <c r="AB17" i="105"/>
  <c r="AA17" i="105"/>
  <c r="Z17" i="105"/>
  <c r="Y17" i="105"/>
  <c r="X17" i="105"/>
  <c r="W17" i="105"/>
  <c r="V17" i="105"/>
  <c r="U17" i="105"/>
  <c r="T17" i="105"/>
  <c r="S17" i="105"/>
  <c r="AD16" i="105"/>
  <c r="AC16" i="105"/>
  <c r="AB16" i="105"/>
  <c r="AA16" i="105"/>
  <c r="Z16" i="105"/>
  <c r="Y16" i="105"/>
  <c r="X16" i="105"/>
  <c r="W16" i="105"/>
  <c r="V16" i="105"/>
  <c r="U16" i="105"/>
  <c r="T16" i="105"/>
  <c r="S16" i="105"/>
  <c r="AD33" i="105"/>
  <c r="X12" i="105"/>
  <c r="AB11" i="105"/>
  <c r="X11" i="105"/>
  <c r="T11" i="105"/>
  <c r="AA21" i="104"/>
  <c r="AC20" i="104"/>
  <c r="AA20" i="104"/>
  <c r="Y20" i="104"/>
  <c r="W20" i="104"/>
  <c r="U20" i="104"/>
  <c r="AA19" i="104"/>
  <c r="AC18" i="104"/>
  <c r="AA18" i="104"/>
  <c r="Y18" i="104"/>
  <c r="W18" i="104"/>
  <c r="U18" i="104"/>
  <c r="AA17" i="104"/>
  <c r="AC16" i="104"/>
  <c r="AA16" i="104"/>
  <c r="Y16" i="104"/>
  <c r="W16" i="104"/>
  <c r="U16" i="104"/>
  <c r="AA15" i="104"/>
  <c r="AD14" i="104"/>
  <c r="AC14" i="104"/>
  <c r="AB14" i="104"/>
  <c r="AA14" i="104"/>
  <c r="Z14" i="104"/>
  <c r="Y14" i="104"/>
  <c r="X14" i="104"/>
  <c r="W14" i="104"/>
  <c r="V14" i="104"/>
  <c r="U14" i="104"/>
  <c r="S14" i="104"/>
  <c r="AC13" i="104"/>
  <c r="AA13" i="104"/>
  <c r="Y13" i="104"/>
  <c r="W13" i="104"/>
  <c r="U13" i="104"/>
  <c r="AD12" i="104"/>
  <c r="Z12" i="104"/>
  <c r="V12" i="104"/>
  <c r="AD11" i="104"/>
  <c r="Z11" i="104"/>
  <c r="V11" i="104"/>
  <c r="AB16" i="103"/>
  <c r="Z16" i="103"/>
  <c r="X16" i="103"/>
  <c r="V16" i="103"/>
  <c r="T16" i="103"/>
  <c r="AD15" i="103"/>
  <c r="AB15" i="103"/>
  <c r="Z15" i="103"/>
  <c r="X15" i="103"/>
  <c r="V15" i="103"/>
  <c r="T15" i="103"/>
  <c r="AD14" i="103"/>
  <c r="AC14" i="103"/>
  <c r="AA14" i="103"/>
  <c r="Z14" i="103"/>
  <c r="Y14" i="103"/>
  <c r="W14" i="103"/>
  <c r="V14" i="103"/>
  <c r="U14" i="103"/>
  <c r="AD13" i="103"/>
  <c r="Z13" i="103"/>
  <c r="V13" i="103"/>
  <c r="AD21" i="103"/>
  <c r="AC21" i="103"/>
  <c r="AB21" i="103"/>
  <c r="AA21" i="103"/>
  <c r="Z21" i="103"/>
  <c r="Y21" i="103"/>
  <c r="X21" i="103"/>
  <c r="W21" i="103"/>
  <c r="V21" i="103"/>
  <c r="U21" i="103"/>
  <c r="T21" i="103"/>
  <c r="S21" i="103"/>
  <c r="AD20" i="103"/>
  <c r="AC20" i="103"/>
  <c r="AB20" i="103"/>
  <c r="AA20" i="103"/>
  <c r="Z20" i="103"/>
  <c r="Y20" i="103"/>
  <c r="X20" i="103"/>
  <c r="W20" i="103"/>
  <c r="V20" i="103"/>
  <c r="U20" i="103"/>
  <c r="T20" i="103"/>
  <c r="S20" i="103"/>
  <c r="AD19" i="103"/>
  <c r="AD27" i="103" s="1"/>
  <c r="AC19" i="103"/>
  <c r="AB19" i="103"/>
  <c r="AB27" i="103" s="1"/>
  <c r="AA19" i="103"/>
  <c r="AA27" i="103" s="1"/>
  <c r="Z19" i="103"/>
  <c r="Z27" i="103" s="1"/>
  <c r="Y19" i="103"/>
  <c r="Y27" i="103" s="1"/>
  <c r="X19" i="103"/>
  <c r="X27" i="103" s="1"/>
  <c r="W19" i="103"/>
  <c r="W27" i="103" s="1"/>
  <c r="V19" i="103"/>
  <c r="V27" i="103" s="1"/>
  <c r="U19" i="103"/>
  <c r="U24" i="103" s="1"/>
  <c r="T19" i="103"/>
  <c r="T27" i="103" s="1"/>
  <c r="S19" i="103"/>
  <c r="S27" i="103" s="1"/>
  <c r="AD18" i="103"/>
  <c r="AC18" i="103"/>
  <c r="AB18" i="103"/>
  <c r="AA18" i="103"/>
  <c r="Z18" i="103"/>
  <c r="Y18" i="103"/>
  <c r="X18" i="103"/>
  <c r="W18" i="103"/>
  <c r="V18" i="103"/>
  <c r="U18" i="103"/>
  <c r="T18" i="103"/>
  <c r="S18" i="103"/>
  <c r="AD12" i="103"/>
  <c r="AC12" i="103"/>
  <c r="AB12" i="103"/>
  <c r="AA12" i="103"/>
  <c r="Z12" i="103"/>
  <c r="Y12" i="103"/>
  <c r="X12" i="103"/>
  <c r="W12" i="103"/>
  <c r="V12" i="103"/>
  <c r="U12" i="103"/>
  <c r="T12" i="103"/>
  <c r="AD17" i="103"/>
  <c r="AC17" i="103"/>
  <c r="AB17" i="103"/>
  <c r="AA17" i="103"/>
  <c r="Z17" i="103"/>
  <c r="Y17" i="103"/>
  <c r="X17" i="103"/>
  <c r="W17" i="103"/>
  <c r="V17" i="103"/>
  <c r="U17" i="103"/>
  <c r="T17" i="103"/>
  <c r="S17" i="103"/>
  <c r="AD16" i="103"/>
  <c r="AD21" i="101"/>
  <c r="AC21" i="101"/>
  <c r="AB21" i="101"/>
  <c r="AA21" i="101"/>
  <c r="Z21" i="101"/>
  <c r="Y21" i="101"/>
  <c r="W21" i="101"/>
  <c r="V21" i="101"/>
  <c r="U21" i="101"/>
  <c r="T21" i="101"/>
  <c r="S21" i="101"/>
  <c r="AD20" i="101"/>
  <c r="AC20" i="101"/>
  <c r="AB20" i="101"/>
  <c r="AA20" i="101"/>
  <c r="Z20" i="101"/>
  <c r="Y20" i="101"/>
  <c r="X20" i="101"/>
  <c r="W20" i="101"/>
  <c r="V20" i="101"/>
  <c r="U20" i="101"/>
  <c r="T20" i="101"/>
  <c r="S20" i="101"/>
  <c r="AD19" i="101"/>
  <c r="AC19" i="101"/>
  <c r="AB19" i="101"/>
  <c r="AA19" i="101"/>
  <c r="Z19" i="101"/>
  <c r="Y19" i="101"/>
  <c r="X19" i="101"/>
  <c r="W19" i="101"/>
  <c r="W39" i="101" s="1"/>
  <c r="V19" i="101"/>
  <c r="V39" i="101" s="1"/>
  <c r="U19" i="101"/>
  <c r="T19" i="101"/>
  <c r="S19" i="101"/>
  <c r="S39" i="101" s="1"/>
  <c r="AD18" i="101"/>
  <c r="AC18" i="101"/>
  <c r="AB18" i="101"/>
  <c r="AA18" i="101"/>
  <c r="Z18" i="101"/>
  <c r="Y18" i="101"/>
  <c r="X18" i="101"/>
  <c r="W18" i="101"/>
  <c r="V18" i="101"/>
  <c r="U18" i="101"/>
  <c r="T18" i="101"/>
  <c r="S18" i="101"/>
  <c r="AD17" i="101"/>
  <c r="AC17" i="101"/>
  <c r="AB17" i="101"/>
  <c r="AA17" i="101"/>
  <c r="Y17" i="101"/>
  <c r="X17" i="101"/>
  <c r="W17" i="101"/>
  <c r="V17" i="101"/>
  <c r="U17" i="101"/>
  <c r="T17" i="101"/>
  <c r="AD16" i="101"/>
  <c r="AC16" i="101"/>
  <c r="AB16" i="101"/>
  <c r="AA16" i="101"/>
  <c r="Z16" i="101"/>
  <c r="Y16" i="101"/>
  <c r="X16" i="101"/>
  <c r="W16" i="101"/>
  <c r="V16" i="101"/>
  <c r="U16" i="101"/>
  <c r="T16" i="101"/>
  <c r="S16" i="101"/>
  <c r="AD15" i="101"/>
  <c r="AC15" i="101"/>
  <c r="AB15" i="101"/>
  <c r="AA15" i="101"/>
  <c r="Z15" i="101"/>
  <c r="X15" i="101"/>
  <c r="W15" i="101"/>
  <c r="V15" i="101"/>
  <c r="T15" i="101"/>
  <c r="S15" i="101"/>
  <c r="AD14" i="101"/>
  <c r="AC14" i="101"/>
  <c r="AA14" i="101"/>
  <c r="Z14" i="101"/>
  <c r="W14" i="101"/>
  <c r="U14" i="101"/>
  <c r="AD13" i="101"/>
  <c r="AD38" i="101" s="1"/>
  <c r="V13" i="101"/>
  <c r="AA21" i="100"/>
  <c r="AC20" i="100"/>
  <c r="AA20" i="100"/>
  <c r="Y20" i="100"/>
  <c r="W20" i="100"/>
  <c r="AA19" i="100"/>
  <c r="AC18" i="100"/>
  <c r="AA18" i="100"/>
  <c r="Y18" i="100"/>
  <c r="W18" i="100"/>
  <c r="U18" i="100"/>
  <c r="AA17" i="100"/>
  <c r="AC16" i="100"/>
  <c r="Y16" i="100"/>
  <c r="W16" i="100"/>
  <c r="U16" i="100"/>
  <c r="AA15" i="100"/>
  <c r="AD14" i="100"/>
  <c r="AC14" i="100"/>
  <c r="AB14" i="100"/>
  <c r="AA14" i="100"/>
  <c r="Z14" i="100"/>
  <c r="X14" i="100"/>
  <c r="W14" i="100"/>
  <c r="V14" i="100"/>
  <c r="U14" i="100"/>
  <c r="S14" i="100"/>
  <c r="AC13" i="100"/>
  <c r="AA13" i="100"/>
  <c r="W13" i="100"/>
  <c r="U13" i="100"/>
  <c r="AB12" i="100"/>
  <c r="T12" i="100"/>
  <c r="AB11" i="100"/>
  <c r="X11" i="100"/>
  <c r="T11" i="100"/>
  <c r="AD21" i="99"/>
  <c r="AC21" i="99"/>
  <c r="AB21" i="99"/>
  <c r="AA21" i="99"/>
  <c r="Z21" i="99"/>
  <c r="Y21" i="99"/>
  <c r="X21" i="99"/>
  <c r="W21" i="99"/>
  <c r="V21" i="99"/>
  <c r="U21" i="99"/>
  <c r="T21" i="99"/>
  <c r="S21" i="99"/>
  <c r="AD20" i="99"/>
  <c r="AA20" i="99"/>
  <c r="Z20" i="99"/>
  <c r="W20" i="99"/>
  <c r="V20" i="99"/>
  <c r="U20" i="99"/>
  <c r="T20" i="99"/>
  <c r="S20" i="99"/>
  <c r="AD19" i="99"/>
  <c r="AD27" i="99" s="1"/>
  <c r="AC19" i="99"/>
  <c r="AB19" i="99"/>
  <c r="AA19" i="99"/>
  <c r="AA27" i="99" s="1"/>
  <c r="Z19" i="99"/>
  <c r="Y19" i="99"/>
  <c r="X19" i="99"/>
  <c r="W19" i="99"/>
  <c r="W27" i="99" s="1"/>
  <c r="V19" i="99"/>
  <c r="V27" i="99" s="1"/>
  <c r="U19" i="99"/>
  <c r="T19" i="99"/>
  <c r="T27" i="99" s="1"/>
  <c r="S19" i="99"/>
  <c r="S27" i="99" s="1"/>
  <c r="AD18" i="99"/>
  <c r="AC18" i="99"/>
  <c r="AB18" i="99"/>
  <c r="AA18" i="99"/>
  <c r="Z18" i="99"/>
  <c r="Y18" i="99"/>
  <c r="X18" i="99"/>
  <c r="W18" i="99"/>
  <c r="V18" i="99"/>
  <c r="U18" i="99"/>
  <c r="T18" i="99"/>
  <c r="S18" i="99"/>
  <c r="AD17" i="99"/>
  <c r="AC17" i="99"/>
  <c r="AB17" i="99"/>
  <c r="AA17" i="99"/>
  <c r="Z17" i="99"/>
  <c r="Y17" i="99"/>
  <c r="X17" i="99"/>
  <c r="W17" i="99"/>
  <c r="V17" i="99"/>
  <c r="U17" i="99"/>
  <c r="T17" i="99"/>
  <c r="S17" i="99"/>
  <c r="AD16" i="99"/>
  <c r="AC16" i="99"/>
  <c r="AB16" i="99"/>
  <c r="AA16" i="99"/>
  <c r="Z16" i="99"/>
  <c r="Y16" i="99"/>
  <c r="X16" i="99"/>
  <c r="V16" i="99"/>
  <c r="U16" i="99"/>
  <c r="T16" i="99"/>
  <c r="S16" i="99"/>
  <c r="AD15" i="99"/>
  <c r="AC15" i="99"/>
  <c r="AB15" i="99"/>
  <c r="AA15" i="99"/>
  <c r="Z15" i="99"/>
  <c r="Y15" i="99"/>
  <c r="X15" i="99"/>
  <c r="W15" i="99"/>
  <c r="V15" i="99"/>
  <c r="T15" i="99"/>
  <c r="S15" i="99"/>
  <c r="AD14" i="99"/>
  <c r="AC14" i="99"/>
  <c r="AA14" i="99"/>
  <c r="Z14" i="99"/>
  <c r="Y14" i="99"/>
  <c r="W14" i="99"/>
  <c r="U14" i="99"/>
  <c r="V13" i="99"/>
  <c r="AC21" i="98"/>
  <c r="AB21" i="98"/>
  <c r="AA21" i="98"/>
  <c r="Y21" i="98"/>
  <c r="X21" i="98"/>
  <c r="W21" i="98"/>
  <c r="U21" i="98"/>
  <c r="AC20" i="98"/>
  <c r="AB20" i="98"/>
  <c r="AA20" i="98"/>
  <c r="Z20" i="98"/>
  <c r="Y20" i="98"/>
  <c r="X20" i="98"/>
  <c r="V20" i="98"/>
  <c r="U20" i="98"/>
  <c r="T20" i="98"/>
  <c r="AD19" i="98"/>
  <c r="AC19" i="98"/>
  <c r="AA19" i="98"/>
  <c r="Y19" i="98"/>
  <c r="X19" i="98"/>
  <c r="W19" i="98"/>
  <c r="V19" i="98"/>
  <c r="U19" i="98"/>
  <c r="T19" i="98"/>
  <c r="AC18" i="98"/>
  <c r="AB18" i="98"/>
  <c r="AA18" i="98"/>
  <c r="Z18" i="98"/>
  <c r="Y18" i="98"/>
  <c r="X18" i="98"/>
  <c r="W18" i="98"/>
  <c r="U18" i="98"/>
  <c r="AD17" i="98"/>
  <c r="AC17" i="98"/>
  <c r="AA17" i="98"/>
  <c r="Z17" i="98"/>
  <c r="Y17" i="98"/>
  <c r="X17" i="98"/>
  <c r="W17" i="98"/>
  <c r="V17" i="98"/>
  <c r="U17" i="98"/>
  <c r="T17" i="98"/>
  <c r="AD16" i="98"/>
  <c r="AB16" i="98"/>
  <c r="AA16" i="98"/>
  <c r="Z16" i="98"/>
  <c r="Y16" i="98"/>
  <c r="X16" i="98"/>
  <c r="W16" i="98"/>
  <c r="V16" i="98"/>
  <c r="U16" i="98"/>
  <c r="T16" i="98"/>
  <c r="AD15" i="98"/>
  <c r="AC15" i="98"/>
  <c r="AB15" i="98"/>
  <c r="AA15" i="98"/>
  <c r="Z15" i="98"/>
  <c r="Y15" i="98"/>
  <c r="X15" i="98"/>
  <c r="W15" i="98"/>
  <c r="U15" i="98"/>
  <c r="T15" i="98"/>
  <c r="AD14" i="98"/>
  <c r="AC14" i="98"/>
  <c r="AB14" i="98"/>
  <c r="AA14" i="98"/>
  <c r="Z14" i="98"/>
  <c r="Y14" i="98"/>
  <c r="X14" i="98"/>
  <c r="W14" i="98"/>
  <c r="U14" i="98"/>
  <c r="T14" i="98"/>
  <c r="AC13" i="98"/>
  <c r="AB13" i="98"/>
  <c r="AA13" i="98"/>
  <c r="Z13" i="98"/>
  <c r="Y13" i="98"/>
  <c r="X13" i="98"/>
  <c r="W13" i="98"/>
  <c r="V13" i="98"/>
  <c r="U13" i="98"/>
  <c r="T13" i="98"/>
  <c r="AD21" i="98"/>
  <c r="AC18" i="97"/>
  <c r="AA18" i="97"/>
  <c r="Z18" i="97"/>
  <c r="Y18" i="97"/>
  <c r="X18" i="97"/>
  <c r="W18" i="97"/>
  <c r="V18" i="97"/>
  <c r="U18" i="97"/>
  <c r="T18" i="97"/>
  <c r="AD17" i="97"/>
  <c r="AC17" i="97"/>
  <c r="AB17" i="97"/>
  <c r="AA17" i="97"/>
  <c r="Z17" i="97"/>
  <c r="Y17" i="97"/>
  <c r="X17" i="97"/>
  <c r="V17" i="97"/>
  <c r="T17" i="97"/>
  <c r="S17" i="97"/>
  <c r="AB16" i="97"/>
  <c r="AA16" i="97"/>
  <c r="Z16" i="97"/>
  <c r="Y16" i="97"/>
  <c r="W16" i="97"/>
  <c r="V16" i="97"/>
  <c r="U16" i="97"/>
  <c r="T16" i="97"/>
  <c r="S16" i="97"/>
  <c r="AD15" i="97"/>
  <c r="AC15" i="97"/>
  <c r="AB15" i="97"/>
  <c r="AA15" i="97"/>
  <c r="Z15" i="97"/>
  <c r="X15" i="97"/>
  <c r="W15" i="97"/>
  <c r="V15" i="97"/>
  <c r="U15" i="97"/>
  <c r="T15" i="97"/>
  <c r="S15" i="97"/>
  <c r="AD14" i="97"/>
  <c r="AC14" i="97"/>
  <c r="AB14" i="97"/>
  <c r="AA14" i="97"/>
  <c r="Z14" i="97"/>
  <c r="Y14" i="97"/>
  <c r="X14" i="97"/>
  <c r="W14" i="97"/>
  <c r="U14" i="97"/>
  <c r="T14" i="97"/>
  <c r="S14" i="97"/>
  <c r="AD13" i="97"/>
  <c r="AC13" i="97"/>
  <c r="AB13" i="97"/>
  <c r="AA13" i="97"/>
  <c r="Z13" i="97"/>
  <c r="Y13" i="97"/>
  <c r="X13" i="97"/>
  <c r="W13" i="97"/>
  <c r="U13" i="97"/>
  <c r="T13" i="97"/>
  <c r="AD21" i="97"/>
  <c r="AC21" i="97"/>
  <c r="AB21" i="97"/>
  <c r="AA21" i="97"/>
  <c r="Z21" i="97"/>
  <c r="Y21" i="97"/>
  <c r="X21" i="97"/>
  <c r="W21" i="97"/>
  <c r="V21" i="97"/>
  <c r="U21" i="97"/>
  <c r="T21" i="97"/>
  <c r="S21" i="97"/>
  <c r="AD20" i="97"/>
  <c r="AC20" i="97"/>
  <c r="AB20" i="97"/>
  <c r="AA20" i="97"/>
  <c r="Z20" i="97"/>
  <c r="Y20" i="97"/>
  <c r="X20" i="97"/>
  <c r="W20" i="97"/>
  <c r="V20" i="97"/>
  <c r="U20" i="97"/>
  <c r="T20" i="97"/>
  <c r="S20" i="97"/>
  <c r="AD19" i="97"/>
  <c r="AD27" i="97" s="1"/>
  <c r="AC19" i="97"/>
  <c r="AB19" i="97"/>
  <c r="AB27" i="97" s="1"/>
  <c r="AA19" i="97"/>
  <c r="Z19" i="97"/>
  <c r="Z27" i="97" s="1"/>
  <c r="Y19" i="97"/>
  <c r="X19" i="97"/>
  <c r="X27" i="97" s="1"/>
  <c r="W19" i="97"/>
  <c r="V19" i="97"/>
  <c r="V27" i="97" s="1"/>
  <c r="U19" i="97"/>
  <c r="T19" i="97"/>
  <c r="T27" i="97" s="1"/>
  <c r="S19" i="97"/>
  <c r="AD18" i="97"/>
  <c r="W17" i="97"/>
  <c r="AC11" i="97"/>
  <c r="AC21" i="96"/>
  <c r="AB21" i="96"/>
  <c r="AA21" i="96"/>
  <c r="Z21" i="96"/>
  <c r="X21" i="96"/>
  <c r="W21" i="96"/>
  <c r="V21" i="96"/>
  <c r="U21" i="96"/>
  <c r="T21" i="96"/>
  <c r="AD20" i="96"/>
  <c r="AC20" i="96"/>
  <c r="AB20" i="96"/>
  <c r="AA20" i="96"/>
  <c r="Z20" i="96"/>
  <c r="Y20" i="96"/>
  <c r="X20" i="96"/>
  <c r="V20" i="96"/>
  <c r="U20" i="96"/>
  <c r="T20" i="96"/>
  <c r="AD19" i="96"/>
  <c r="AC19" i="96"/>
  <c r="AB19" i="96"/>
  <c r="AA19" i="96"/>
  <c r="Z19" i="96"/>
  <c r="Y19" i="96"/>
  <c r="X19" i="96"/>
  <c r="W19" i="96"/>
  <c r="V19" i="96"/>
  <c r="U19" i="96"/>
  <c r="T19" i="96"/>
  <c r="AD18" i="96"/>
  <c r="AC18" i="96"/>
  <c r="AB18" i="96"/>
  <c r="Z18" i="96"/>
  <c r="X18" i="96"/>
  <c r="W18" i="96"/>
  <c r="V18" i="96"/>
  <c r="U18" i="96"/>
  <c r="T18" i="96"/>
  <c r="AD17" i="96"/>
  <c r="AC17" i="96"/>
  <c r="AB17" i="96"/>
  <c r="AA17" i="96"/>
  <c r="Z17" i="96"/>
  <c r="Y17" i="96"/>
  <c r="X17" i="96"/>
  <c r="V17" i="96"/>
  <c r="T17" i="96"/>
  <c r="AB16" i="96"/>
  <c r="AA16" i="96"/>
  <c r="Z16" i="96"/>
  <c r="X16" i="96"/>
  <c r="V16" i="96"/>
  <c r="U16" i="96"/>
  <c r="AD15" i="96"/>
  <c r="AC15" i="96"/>
  <c r="AB15" i="96"/>
  <c r="AA15" i="96"/>
  <c r="Z15" i="96"/>
  <c r="Y15" i="96"/>
  <c r="W15" i="96"/>
  <c r="V15" i="96"/>
  <c r="U15" i="96"/>
  <c r="T15" i="96"/>
  <c r="AD14" i="96"/>
  <c r="AB14" i="96"/>
  <c r="AA14" i="96"/>
  <c r="Z14" i="96"/>
  <c r="Y14" i="96"/>
  <c r="X14" i="96"/>
  <c r="W14" i="96"/>
  <c r="V14" i="96"/>
  <c r="T14" i="96"/>
  <c r="AD13" i="96"/>
  <c r="AC13" i="96"/>
  <c r="AA13" i="96"/>
  <c r="Z13" i="96"/>
  <c r="Y13" i="96"/>
  <c r="X13" i="96"/>
  <c r="W13" i="96"/>
  <c r="V13" i="96"/>
  <c r="U13" i="96"/>
  <c r="T13" i="96"/>
  <c r="AD21" i="96"/>
  <c r="AB21" i="95"/>
  <c r="AA21" i="95"/>
  <c r="Z21" i="95"/>
  <c r="Y21" i="95"/>
  <c r="X21" i="95"/>
  <c r="U21" i="95"/>
  <c r="T21" i="95"/>
  <c r="AD20" i="95"/>
  <c r="AB20" i="95"/>
  <c r="AA20" i="95"/>
  <c r="Z20" i="95"/>
  <c r="Y20" i="95"/>
  <c r="X20" i="95"/>
  <c r="W20" i="95"/>
  <c r="V20" i="95"/>
  <c r="T20" i="95"/>
  <c r="S20" i="95"/>
  <c r="AD19" i="95"/>
  <c r="AC19" i="95"/>
  <c r="AB19" i="95"/>
  <c r="AA19" i="95"/>
  <c r="Y19" i="95"/>
  <c r="X19" i="95"/>
  <c r="W19" i="95"/>
  <c r="U19" i="95"/>
  <c r="AD18" i="95"/>
  <c r="AB18" i="95"/>
  <c r="AA18" i="95"/>
  <c r="Y18" i="95"/>
  <c r="X18" i="95"/>
  <c r="W18" i="95"/>
  <c r="V18" i="95"/>
  <c r="U18" i="95"/>
  <c r="T18" i="95"/>
  <c r="AD17" i="95"/>
  <c r="AA17" i="95"/>
  <c r="Z17" i="95"/>
  <c r="Y17" i="95"/>
  <c r="X17" i="95"/>
  <c r="W17" i="95"/>
  <c r="V17" i="95"/>
  <c r="U17" i="95"/>
  <c r="T17" i="95"/>
  <c r="AD16" i="95"/>
  <c r="AA16" i="95"/>
  <c r="Z16" i="95"/>
  <c r="X16" i="95"/>
  <c r="W16" i="95"/>
  <c r="V16" i="95"/>
  <c r="U16" i="95"/>
  <c r="T16" i="95"/>
  <c r="AD15" i="95"/>
  <c r="AC15" i="95"/>
  <c r="AA15" i="95"/>
  <c r="Z15" i="95"/>
  <c r="Y15" i="95"/>
  <c r="X15" i="95"/>
  <c r="W15" i="95"/>
  <c r="U15" i="95"/>
  <c r="T15" i="95"/>
  <c r="AD14" i="95"/>
  <c r="AC14" i="95"/>
  <c r="AA14" i="95"/>
  <c r="Z14" i="95"/>
  <c r="Y14" i="95"/>
  <c r="X14" i="95"/>
  <c r="W14" i="95"/>
  <c r="V14" i="95"/>
  <c r="T14" i="95"/>
  <c r="AD13" i="95"/>
  <c r="AC13" i="95"/>
  <c r="AB13" i="95"/>
  <c r="AA13" i="95"/>
  <c r="W13" i="95"/>
  <c r="V13" i="95"/>
  <c r="U13" i="95"/>
  <c r="T13" i="95"/>
  <c r="AD21" i="95"/>
  <c r="AC20" i="95"/>
  <c r="T19" i="95"/>
  <c r="X26" i="98" l="1"/>
  <c r="AA39" i="101"/>
  <c r="AA26" i="95"/>
  <c r="Z39" i="101"/>
  <c r="AB39" i="101"/>
  <c r="AD39" i="101"/>
  <c r="W26" i="95"/>
  <c r="AD26" i="95"/>
  <c r="C3" i="108"/>
  <c r="C3" i="111"/>
  <c r="C3" i="107"/>
  <c r="X15" i="96"/>
  <c r="X23" i="96" s="1"/>
  <c r="AD16" i="97"/>
  <c r="AD23" i="97" s="1"/>
  <c r="U20" i="100"/>
  <c r="T20" i="105"/>
  <c r="T39" i="105" s="1"/>
  <c r="AC17" i="95"/>
  <c r="AB13" i="96"/>
  <c r="AB26" i="96" s="1"/>
  <c r="AB16" i="95"/>
  <c r="T18" i="98"/>
  <c r="T26" i="98" s="1"/>
  <c r="Z21" i="98"/>
  <c r="T16" i="96"/>
  <c r="T26" i="96" s="1"/>
  <c r="AB20" i="99"/>
  <c r="AB27" i="99" s="1"/>
  <c r="X21" i="101"/>
  <c r="X39" i="101" s="1"/>
  <c r="U20" i="105"/>
  <c r="U39" i="105" s="1"/>
  <c r="AA33" i="105"/>
  <c r="U22" i="109"/>
  <c r="W20" i="96"/>
  <c r="W24" i="96" s="1"/>
  <c r="V14" i="101"/>
  <c r="V38" i="101" s="1"/>
  <c r="Y13" i="95"/>
  <c r="V14" i="97"/>
  <c r="S17" i="101"/>
  <c r="T23" i="105"/>
  <c r="Z27" i="99"/>
  <c r="Y16" i="96"/>
  <c r="AC32" i="109"/>
  <c r="AC18" i="110"/>
  <c r="W21" i="95"/>
  <c r="AC21" i="95"/>
  <c r="AC24" i="95" s="1"/>
  <c r="AB17" i="98"/>
  <c r="AB23" i="98" s="1"/>
  <c r="W16" i="96"/>
  <c r="AD18" i="98"/>
  <c r="AC16" i="97"/>
  <c r="AB19" i="98"/>
  <c r="AB27" i="98" s="1"/>
  <c r="S14" i="94"/>
  <c r="S15" i="94"/>
  <c r="W15" i="94"/>
  <c r="S16" i="94"/>
  <c r="W17" i="94"/>
  <c r="W19" i="94"/>
  <c r="AA19" i="94"/>
  <c r="S20" i="94"/>
  <c r="U20" i="94"/>
  <c r="W20" i="94"/>
  <c r="Y20" i="94"/>
  <c r="AA20" i="94"/>
  <c r="AC21" i="94"/>
  <c r="AC14" i="96"/>
  <c r="W14" i="94"/>
  <c r="S17" i="94"/>
  <c r="S18" i="94"/>
  <c r="S19" i="94"/>
  <c r="AC19" i="94"/>
  <c r="S21" i="94"/>
  <c r="U21" i="94"/>
  <c r="W21" i="94"/>
  <c r="Y21" i="94"/>
  <c r="X12" i="100"/>
  <c r="S39" i="110"/>
  <c r="AA39" i="110"/>
  <c r="T12" i="110"/>
  <c r="V12" i="110"/>
  <c r="X12" i="110"/>
  <c r="Z12" i="110"/>
  <c r="AB12" i="110"/>
  <c r="AD12" i="110"/>
  <c r="U12" i="110"/>
  <c r="W12" i="110"/>
  <c r="Y12" i="110"/>
  <c r="AA12" i="110"/>
  <c r="AC12" i="110"/>
  <c r="P21" i="110"/>
  <c r="T13" i="110"/>
  <c r="V13" i="110"/>
  <c r="X13" i="110"/>
  <c r="Z13" i="110"/>
  <c r="AB13" i="110"/>
  <c r="AD13" i="110"/>
  <c r="U13" i="110"/>
  <c r="W13" i="110"/>
  <c r="Y13" i="110"/>
  <c r="AA13" i="110"/>
  <c r="AC13" i="110"/>
  <c r="P25" i="110"/>
  <c r="T14" i="110"/>
  <c r="V14" i="110"/>
  <c r="X14" i="110"/>
  <c r="Z14" i="110"/>
  <c r="AB14" i="110"/>
  <c r="AD14" i="110"/>
  <c r="U14" i="110"/>
  <c r="W14" i="110"/>
  <c r="Y14" i="110"/>
  <c r="AA14" i="110"/>
  <c r="AC14" i="110"/>
  <c r="P29" i="110"/>
  <c r="T15" i="110"/>
  <c r="V15" i="110"/>
  <c r="X15" i="110"/>
  <c r="Z15" i="110"/>
  <c r="AB15" i="110"/>
  <c r="AD15" i="110"/>
  <c r="U15" i="110"/>
  <c r="W15" i="110"/>
  <c r="Y15" i="110"/>
  <c r="AA15" i="110"/>
  <c r="AC15" i="110"/>
  <c r="P33" i="110"/>
  <c r="P45" i="110"/>
  <c r="P49" i="110"/>
  <c r="P53" i="110"/>
  <c r="P59" i="110"/>
  <c r="P63" i="110"/>
  <c r="P67" i="110"/>
  <c r="P71" i="110"/>
  <c r="P75" i="110"/>
  <c r="P79" i="110"/>
  <c r="P83" i="110"/>
  <c r="P87" i="110"/>
  <c r="P91" i="110"/>
  <c r="X20" i="99"/>
  <c r="X27" i="99" s="1"/>
  <c r="F13" i="108"/>
  <c r="J13" i="108"/>
  <c r="N13" i="108"/>
  <c r="J14" i="108"/>
  <c r="N14" i="108"/>
  <c r="F15" i="108"/>
  <c r="N15" i="108"/>
  <c r="J16" i="108"/>
  <c r="F17" i="108"/>
  <c r="N17" i="108"/>
  <c r="J18" i="108"/>
  <c r="N18" i="108"/>
  <c r="F19" i="108"/>
  <c r="N19" i="108"/>
  <c r="F20" i="108"/>
  <c r="J20" i="108"/>
  <c r="F21" i="108"/>
  <c r="AB15" i="95"/>
  <c r="U17" i="97"/>
  <c r="U26" i="97" s="1"/>
  <c r="J21" i="108"/>
  <c r="N21" i="108"/>
  <c r="J22" i="108"/>
  <c r="N22" i="108"/>
  <c r="F23" i="108"/>
  <c r="N23" i="108"/>
  <c r="J24" i="108"/>
  <c r="H46" i="108"/>
  <c r="J46" i="108"/>
  <c r="L46" i="108"/>
  <c r="N46" i="108"/>
  <c r="D47" i="108"/>
  <c r="F47" i="108"/>
  <c r="H47" i="108"/>
  <c r="J47" i="108"/>
  <c r="L47" i="108"/>
  <c r="N47" i="108"/>
  <c r="D48" i="108"/>
  <c r="F48" i="108"/>
  <c r="H48" i="108"/>
  <c r="J48" i="108"/>
  <c r="L48" i="108"/>
  <c r="N48" i="108"/>
  <c r="D49" i="108"/>
  <c r="F49" i="108"/>
  <c r="H49" i="108"/>
  <c r="J49" i="108"/>
  <c r="L49" i="108"/>
  <c r="N49" i="108"/>
  <c r="D50" i="108"/>
  <c r="F50" i="108"/>
  <c r="H50" i="108"/>
  <c r="J50" i="108"/>
  <c r="L50" i="108"/>
  <c r="N50" i="108"/>
  <c r="D51" i="108"/>
  <c r="F51" i="108"/>
  <c r="H51" i="108"/>
  <c r="J51" i="108"/>
  <c r="L51" i="108"/>
  <c r="N51" i="108"/>
  <c r="D52" i="108"/>
  <c r="F52" i="108"/>
  <c r="H52" i="108"/>
  <c r="J52" i="108"/>
  <c r="L52" i="108"/>
  <c r="N52" i="108"/>
  <c r="D53" i="108"/>
  <c r="F53" i="108"/>
  <c r="H53" i="108"/>
  <c r="J53" i="108"/>
  <c r="L53" i="108"/>
  <c r="N53" i="108"/>
  <c r="D54" i="108"/>
  <c r="F54" i="108"/>
  <c r="H54" i="108"/>
  <c r="J54" i="108"/>
  <c r="L54" i="108"/>
  <c r="N54" i="108"/>
  <c r="D55" i="108"/>
  <c r="F55" i="108"/>
  <c r="H55" i="108"/>
  <c r="J55" i="108"/>
  <c r="L55" i="108"/>
  <c r="N55" i="108"/>
  <c r="D56" i="108"/>
  <c r="F56" i="108"/>
  <c r="H56" i="108"/>
  <c r="J56" i="108"/>
  <c r="L56" i="108"/>
  <c r="N56" i="108"/>
  <c r="D57" i="108"/>
  <c r="F57" i="108"/>
  <c r="H57" i="108"/>
  <c r="J57" i="108"/>
  <c r="L57" i="108"/>
  <c r="N57" i="108"/>
  <c r="I47" i="108"/>
  <c r="M48" i="108"/>
  <c r="I51" i="108"/>
  <c r="M52" i="108"/>
  <c r="I55" i="108"/>
  <c r="M56" i="108"/>
  <c r="E10" i="108"/>
  <c r="G10" i="108"/>
  <c r="I10" i="108"/>
  <c r="K10" i="108"/>
  <c r="M10" i="108"/>
  <c r="C11" i="108"/>
  <c r="E11" i="108"/>
  <c r="G11" i="108"/>
  <c r="I11" i="108"/>
  <c r="K11" i="108"/>
  <c r="M11" i="108"/>
  <c r="C13" i="108"/>
  <c r="E13" i="108"/>
  <c r="G13" i="108"/>
  <c r="I13" i="108"/>
  <c r="K13" i="108"/>
  <c r="M13" i="108"/>
  <c r="C14" i="108"/>
  <c r="E14" i="108"/>
  <c r="G14" i="108"/>
  <c r="I14" i="108"/>
  <c r="K14" i="108"/>
  <c r="M14" i="108"/>
  <c r="C15" i="108"/>
  <c r="E15" i="108"/>
  <c r="G15" i="108"/>
  <c r="I15" i="108"/>
  <c r="K15" i="108"/>
  <c r="M15" i="108"/>
  <c r="C16" i="108"/>
  <c r="E16" i="108"/>
  <c r="G16" i="108"/>
  <c r="I16" i="108"/>
  <c r="K16" i="108"/>
  <c r="M16" i="108"/>
  <c r="C17" i="108"/>
  <c r="E17" i="108"/>
  <c r="G17" i="108"/>
  <c r="I17" i="108"/>
  <c r="K17" i="108"/>
  <c r="M17" i="108"/>
  <c r="C18" i="108"/>
  <c r="E18" i="108"/>
  <c r="G18" i="108"/>
  <c r="I18" i="108"/>
  <c r="K18" i="108"/>
  <c r="M18" i="108"/>
  <c r="C24" i="108"/>
  <c r="E24" i="108"/>
  <c r="G24" i="108"/>
  <c r="I24" i="108"/>
  <c r="K24" i="108"/>
  <c r="M24" i="108"/>
  <c r="C25" i="108"/>
  <c r="E25" i="108"/>
  <c r="G25" i="108"/>
  <c r="I25" i="108"/>
  <c r="K25" i="108"/>
  <c r="M25" i="108"/>
  <c r="E26" i="108"/>
  <c r="I26" i="108"/>
  <c r="M26" i="108"/>
  <c r="C27" i="108"/>
  <c r="E27" i="108"/>
  <c r="G27" i="108"/>
  <c r="I27" i="108"/>
  <c r="K27" i="108"/>
  <c r="M27" i="108"/>
  <c r="C28" i="108"/>
  <c r="E28" i="108"/>
  <c r="G28" i="108"/>
  <c r="I28" i="108"/>
  <c r="K28" i="108"/>
  <c r="M28" i="108"/>
  <c r="C29" i="108"/>
  <c r="E29" i="108"/>
  <c r="G29" i="108"/>
  <c r="I29" i="108"/>
  <c r="K29" i="108"/>
  <c r="M29" i="108"/>
  <c r="E30" i="108"/>
  <c r="I30" i="108"/>
  <c r="M30" i="108"/>
  <c r="C31" i="108"/>
  <c r="E31" i="108"/>
  <c r="G31" i="108"/>
  <c r="I31" i="108"/>
  <c r="K31" i="108"/>
  <c r="M31" i="108"/>
  <c r="C32" i="108"/>
  <c r="E32" i="108"/>
  <c r="G32" i="108"/>
  <c r="I32" i="108"/>
  <c r="K32" i="108"/>
  <c r="M32" i="108"/>
  <c r="C33" i="108"/>
  <c r="E33" i="108"/>
  <c r="G33" i="108"/>
  <c r="I33" i="108"/>
  <c r="K33" i="108"/>
  <c r="M33" i="108"/>
  <c r="E34" i="108"/>
  <c r="G34" i="108"/>
  <c r="I34" i="108"/>
  <c r="M34" i="108"/>
  <c r="C35" i="108"/>
  <c r="E35" i="108"/>
  <c r="G35" i="108"/>
  <c r="I35" i="108"/>
  <c r="K35" i="108"/>
  <c r="M35" i="108"/>
  <c r="C36" i="108"/>
  <c r="E36" i="108"/>
  <c r="G36" i="108"/>
  <c r="I36" i="108"/>
  <c r="P23" i="110"/>
  <c r="S13" i="110"/>
  <c r="P31" i="110"/>
  <c r="S15" i="110"/>
  <c r="K36" i="108"/>
  <c r="M36" i="108"/>
  <c r="C37" i="108"/>
  <c r="E37" i="108"/>
  <c r="G37" i="108"/>
  <c r="I37" i="108"/>
  <c r="K37" i="108"/>
  <c r="M37" i="108"/>
  <c r="E38" i="108"/>
  <c r="I38" i="108"/>
  <c r="K38" i="108"/>
  <c r="M38" i="108"/>
  <c r="C39" i="108"/>
  <c r="E39" i="108"/>
  <c r="G39" i="108"/>
  <c r="I39" i="108"/>
  <c r="K39" i="108"/>
  <c r="M39" i="108"/>
  <c r="C40" i="108"/>
  <c r="E40" i="108"/>
  <c r="G40" i="108"/>
  <c r="I40" i="108"/>
  <c r="K40" i="108"/>
  <c r="M40" i="108"/>
  <c r="C41" i="108"/>
  <c r="E41" i="108"/>
  <c r="G41" i="108"/>
  <c r="I41" i="108"/>
  <c r="K41" i="108"/>
  <c r="M41" i="108"/>
  <c r="E42" i="108"/>
  <c r="G42" i="108"/>
  <c r="I42" i="108"/>
  <c r="M42" i="108"/>
  <c r="C43" i="108"/>
  <c r="E43" i="108"/>
  <c r="G43" i="108"/>
  <c r="I43" i="108"/>
  <c r="K43" i="108"/>
  <c r="M43" i="108"/>
  <c r="C44" i="108"/>
  <c r="E44" i="108"/>
  <c r="G44" i="108"/>
  <c r="I44" i="108"/>
  <c r="K44" i="108"/>
  <c r="M44" i="108"/>
  <c r="C45" i="108"/>
  <c r="E45" i="108"/>
  <c r="G45" i="108"/>
  <c r="I45" i="108"/>
  <c r="K45" i="108"/>
  <c r="M45" i="108"/>
  <c r="E46" i="108"/>
  <c r="I46" i="108"/>
  <c r="E47" i="108"/>
  <c r="M47" i="108"/>
  <c r="I48" i="108"/>
  <c r="E49" i="108"/>
  <c r="M49" i="108"/>
  <c r="E51" i="108"/>
  <c r="M51" i="108"/>
  <c r="I52" i="108"/>
  <c r="E53" i="108"/>
  <c r="M53" i="108"/>
  <c r="E55" i="108"/>
  <c r="M55" i="108"/>
  <c r="I56" i="108"/>
  <c r="E57" i="108"/>
  <c r="M57" i="108"/>
  <c r="E48" i="108"/>
  <c r="I49" i="108"/>
  <c r="E52" i="108"/>
  <c r="I53" i="108"/>
  <c r="E56" i="108"/>
  <c r="I57" i="108"/>
  <c r="X10" i="110"/>
  <c r="P13" i="110"/>
  <c r="P15" i="110"/>
  <c r="W11" i="110"/>
  <c r="AA14" i="94"/>
  <c r="K26" i="108"/>
  <c r="AA15" i="94"/>
  <c r="K30" i="108"/>
  <c r="AA16" i="94"/>
  <c r="K34" i="108"/>
  <c r="AA18" i="94"/>
  <c r="K42" i="108"/>
  <c r="M54" i="108"/>
  <c r="M50" i="108"/>
  <c r="M46" i="108"/>
  <c r="C42" i="108"/>
  <c r="C34" i="108"/>
  <c r="C26" i="108"/>
  <c r="F10" i="108"/>
  <c r="J10" i="108"/>
  <c r="N10" i="108"/>
  <c r="D11" i="108"/>
  <c r="F11" i="108"/>
  <c r="H11" i="108"/>
  <c r="J11" i="108"/>
  <c r="L11" i="108"/>
  <c r="N11" i="108"/>
  <c r="D12" i="108"/>
  <c r="F12" i="108"/>
  <c r="J12" i="108"/>
  <c r="P19" i="110"/>
  <c r="S12" i="110"/>
  <c r="E54" i="108"/>
  <c r="E50" i="108"/>
  <c r="C46" i="108"/>
  <c r="C38" i="108"/>
  <c r="C30" i="108"/>
  <c r="C47" i="108"/>
  <c r="G47" i="108"/>
  <c r="K47" i="108"/>
  <c r="C48" i="108"/>
  <c r="G48" i="108"/>
  <c r="K48" i="108"/>
  <c r="C49" i="108"/>
  <c r="G49" i="108"/>
  <c r="K49" i="108"/>
  <c r="C51" i="108"/>
  <c r="G51" i="108"/>
  <c r="K51" i="108"/>
  <c r="C52" i="108"/>
  <c r="G52" i="108"/>
  <c r="K52" i="108"/>
  <c r="C53" i="108"/>
  <c r="G53" i="108"/>
  <c r="K53" i="108"/>
  <c r="K54" i="108"/>
  <c r="C55" i="108"/>
  <c r="G55" i="108"/>
  <c r="K55" i="108"/>
  <c r="C56" i="108"/>
  <c r="G56" i="108"/>
  <c r="K56" i="108"/>
  <c r="C57" i="108"/>
  <c r="G57" i="108"/>
  <c r="K57" i="108"/>
  <c r="N12" i="108"/>
  <c r="F14" i="108"/>
  <c r="J15" i="108"/>
  <c r="N16" i="108"/>
  <c r="F18" i="108"/>
  <c r="J19" i="108"/>
  <c r="N20" i="108"/>
  <c r="J23" i="108"/>
  <c r="N24" i="108"/>
  <c r="F24" i="108"/>
  <c r="Z13" i="109"/>
  <c r="P12" i="110"/>
  <c r="F16" i="108"/>
  <c r="J17" i="108"/>
  <c r="I54" i="108"/>
  <c r="I50" i="108"/>
  <c r="C12" i="108"/>
  <c r="E12" i="108"/>
  <c r="G12" i="108"/>
  <c r="I12" i="108"/>
  <c r="K12" i="108"/>
  <c r="M12" i="108"/>
  <c r="C19" i="108"/>
  <c r="E19" i="108"/>
  <c r="G19" i="108"/>
  <c r="I19" i="108"/>
  <c r="K19" i="108"/>
  <c r="M19" i="108"/>
  <c r="C20" i="108"/>
  <c r="E20" i="108"/>
  <c r="G20" i="108"/>
  <c r="I20" i="108"/>
  <c r="K20" i="108"/>
  <c r="M20" i="108"/>
  <c r="C21" i="108"/>
  <c r="E21" i="108"/>
  <c r="G21" i="108"/>
  <c r="I21" i="108"/>
  <c r="K21" i="108"/>
  <c r="M21" i="108"/>
  <c r="C22" i="108"/>
  <c r="E22" i="108"/>
  <c r="G22" i="108"/>
  <c r="I22" i="108"/>
  <c r="K22" i="108"/>
  <c r="M22" i="108"/>
  <c r="C23" i="108"/>
  <c r="E23" i="108"/>
  <c r="G23" i="108"/>
  <c r="I23" i="108"/>
  <c r="K23" i="108"/>
  <c r="M23" i="108"/>
  <c r="D106" i="110"/>
  <c r="L106" i="110"/>
  <c r="P27" i="110"/>
  <c r="S14" i="110"/>
  <c r="G54" i="108"/>
  <c r="C54" i="108"/>
  <c r="K50" i="108"/>
  <c r="G50" i="108"/>
  <c r="C50" i="108"/>
  <c r="K46" i="108"/>
  <c r="G46" i="108"/>
  <c r="G38" i="108"/>
  <c r="G30" i="108"/>
  <c r="G26" i="108"/>
  <c r="F22" i="108"/>
  <c r="H12" i="108"/>
  <c r="L12" i="108"/>
  <c r="D13" i="108"/>
  <c r="H13" i="108"/>
  <c r="L13" i="108"/>
  <c r="D14" i="108"/>
  <c r="H14" i="108"/>
  <c r="L14" i="108"/>
  <c r="D15" i="108"/>
  <c r="H15" i="108"/>
  <c r="L15" i="108"/>
  <c r="D16" i="108"/>
  <c r="H16" i="108"/>
  <c r="L16" i="108"/>
  <c r="D17" i="108"/>
  <c r="H17" i="108"/>
  <c r="L17" i="108"/>
  <c r="D18" i="108"/>
  <c r="H18" i="108"/>
  <c r="L18" i="108"/>
  <c r="D19" i="108"/>
  <c r="H19" i="108"/>
  <c r="L19" i="108"/>
  <c r="D20" i="108"/>
  <c r="H20" i="108"/>
  <c r="L20" i="108"/>
  <c r="D21" i="108"/>
  <c r="H21" i="108"/>
  <c r="L21" i="108"/>
  <c r="D22" i="108"/>
  <c r="H22" i="108"/>
  <c r="L22" i="108"/>
  <c r="D23" i="108"/>
  <c r="H23" i="108"/>
  <c r="L23" i="108"/>
  <c r="D24" i="108"/>
  <c r="H24" i="108"/>
  <c r="L24" i="108"/>
  <c r="D25" i="108"/>
  <c r="F25" i="108"/>
  <c r="H25" i="108"/>
  <c r="J25" i="108"/>
  <c r="L25" i="108"/>
  <c r="N25" i="108"/>
  <c r="D26" i="108"/>
  <c r="F26" i="108"/>
  <c r="H26" i="108"/>
  <c r="J26" i="108"/>
  <c r="L26" i="108"/>
  <c r="N26" i="108"/>
  <c r="D27" i="108"/>
  <c r="F27" i="108"/>
  <c r="H27" i="108"/>
  <c r="J27" i="108"/>
  <c r="L27" i="108"/>
  <c r="N27" i="108"/>
  <c r="D28" i="108"/>
  <c r="F28" i="108"/>
  <c r="H28" i="108"/>
  <c r="J28" i="108"/>
  <c r="L28" i="108"/>
  <c r="N28" i="108"/>
  <c r="D29" i="108"/>
  <c r="F29" i="108"/>
  <c r="H29" i="108"/>
  <c r="J29" i="108"/>
  <c r="L29" i="108"/>
  <c r="N29" i="108"/>
  <c r="D30" i="108"/>
  <c r="F30" i="108"/>
  <c r="H30" i="108"/>
  <c r="J30" i="108"/>
  <c r="L30" i="108"/>
  <c r="N30" i="108"/>
  <c r="D31" i="108"/>
  <c r="F31" i="108"/>
  <c r="H31" i="108"/>
  <c r="J31" i="108"/>
  <c r="L31" i="108"/>
  <c r="N31" i="108"/>
  <c r="D32" i="108"/>
  <c r="F32" i="108"/>
  <c r="H32" i="108"/>
  <c r="J32" i="108"/>
  <c r="L32" i="108"/>
  <c r="N32" i="108"/>
  <c r="D33" i="108"/>
  <c r="F33" i="108"/>
  <c r="H33" i="108"/>
  <c r="J33" i="108"/>
  <c r="L33" i="108"/>
  <c r="N33" i="108"/>
  <c r="D34" i="108"/>
  <c r="F34" i="108"/>
  <c r="H34" i="108"/>
  <c r="J34" i="108"/>
  <c r="L34" i="108"/>
  <c r="N34" i="108"/>
  <c r="D35" i="108"/>
  <c r="F35" i="108"/>
  <c r="H35" i="108"/>
  <c r="J35" i="108"/>
  <c r="L35" i="108"/>
  <c r="N35" i="108"/>
  <c r="D36" i="108"/>
  <c r="F36" i="108"/>
  <c r="H36" i="108"/>
  <c r="J36" i="108"/>
  <c r="L36" i="108"/>
  <c r="N36" i="108"/>
  <c r="D37" i="108"/>
  <c r="F37" i="108"/>
  <c r="H37" i="108"/>
  <c r="J37" i="108"/>
  <c r="L37" i="108"/>
  <c r="N37" i="108"/>
  <c r="D38" i="108"/>
  <c r="F38" i="108"/>
  <c r="H38" i="108"/>
  <c r="J38" i="108"/>
  <c r="L38" i="108"/>
  <c r="N38" i="108"/>
  <c r="D39" i="108"/>
  <c r="F39" i="108"/>
  <c r="H39" i="108"/>
  <c r="J39" i="108"/>
  <c r="L39" i="108"/>
  <c r="N39" i="108"/>
  <c r="D40" i="108"/>
  <c r="F40" i="108"/>
  <c r="H40" i="108"/>
  <c r="J40" i="108"/>
  <c r="L40" i="108"/>
  <c r="N40" i="108"/>
  <c r="D41" i="108"/>
  <c r="F41" i="108"/>
  <c r="H41" i="108"/>
  <c r="J41" i="108"/>
  <c r="L41" i="108"/>
  <c r="N41" i="108"/>
  <c r="D42" i="108"/>
  <c r="F42" i="108"/>
  <c r="H42" i="108"/>
  <c r="J42" i="108"/>
  <c r="L42" i="108"/>
  <c r="N42" i="108"/>
  <c r="D43" i="108"/>
  <c r="F43" i="108"/>
  <c r="H43" i="108"/>
  <c r="J43" i="108"/>
  <c r="L43" i="108"/>
  <c r="N43" i="108"/>
  <c r="D44" i="108"/>
  <c r="F44" i="108"/>
  <c r="H44" i="108"/>
  <c r="J44" i="108"/>
  <c r="L44" i="108"/>
  <c r="N44" i="108"/>
  <c r="D45" i="108"/>
  <c r="F45" i="108"/>
  <c r="H45" i="108"/>
  <c r="J45" i="108"/>
  <c r="L45" i="108"/>
  <c r="N45" i="108"/>
  <c r="D46" i="108"/>
  <c r="T19" i="108" s="1"/>
  <c r="F46" i="108"/>
  <c r="V19" i="108" s="1"/>
  <c r="V12" i="109"/>
  <c r="AD12" i="109"/>
  <c r="P14" i="110"/>
  <c r="U11" i="110"/>
  <c r="Y11" i="110"/>
  <c r="AA11" i="110"/>
  <c r="AC11" i="110"/>
  <c r="X16" i="97"/>
  <c r="X26" i="97" s="1"/>
  <c r="W23" i="105"/>
  <c r="S11" i="109"/>
  <c r="AC17" i="109"/>
  <c r="V14" i="109"/>
  <c r="W10" i="110"/>
  <c r="P11" i="110"/>
  <c r="S11" i="110"/>
  <c r="T11" i="110"/>
  <c r="V11" i="110"/>
  <c r="X11" i="110"/>
  <c r="Z11" i="110"/>
  <c r="AB11" i="110"/>
  <c r="AD11" i="110"/>
  <c r="L10" i="108"/>
  <c r="H10" i="108"/>
  <c r="D10" i="108"/>
  <c r="V13" i="109"/>
  <c r="AD13" i="109"/>
  <c r="V15" i="109"/>
  <c r="AD15" i="109"/>
  <c r="C10" i="108"/>
  <c r="AA11" i="109"/>
  <c r="Z12" i="109"/>
  <c r="Z14" i="109"/>
  <c r="S10" i="110"/>
  <c r="V18" i="110"/>
  <c r="X18" i="110"/>
  <c r="Z18" i="110"/>
  <c r="AB18" i="110"/>
  <c r="AD18" i="110"/>
  <c r="P18" i="110"/>
  <c r="W39" i="110"/>
  <c r="P20" i="110"/>
  <c r="P22" i="110"/>
  <c r="P24" i="110"/>
  <c r="P26" i="110"/>
  <c r="P28" i="110"/>
  <c r="P30" i="110"/>
  <c r="P32" i="110"/>
  <c r="P34" i="110"/>
  <c r="P35" i="110"/>
  <c r="P36" i="110"/>
  <c r="P37" i="110"/>
  <c r="P38" i="110"/>
  <c r="P39" i="110"/>
  <c r="P40" i="110"/>
  <c r="P41" i="110"/>
  <c r="P42" i="110"/>
  <c r="O44" i="110"/>
  <c r="U19" i="110"/>
  <c r="Y19" i="110"/>
  <c r="AC19" i="110"/>
  <c r="O48" i="110"/>
  <c r="U20" i="110"/>
  <c r="Y20" i="110"/>
  <c r="AC20" i="110"/>
  <c r="O52" i="110"/>
  <c r="U21" i="110"/>
  <c r="Y21" i="110"/>
  <c r="AC21" i="110"/>
  <c r="O56" i="110"/>
  <c r="O58" i="110"/>
  <c r="U22" i="110"/>
  <c r="Y22" i="110"/>
  <c r="AC22" i="110"/>
  <c r="O62" i="110"/>
  <c r="O66" i="110"/>
  <c r="U24" i="110"/>
  <c r="Y24" i="110"/>
  <c r="AC24" i="110"/>
  <c r="O70" i="110"/>
  <c r="O74" i="110"/>
  <c r="U26" i="110"/>
  <c r="Y26" i="110"/>
  <c r="AC26" i="110"/>
  <c r="O78" i="110"/>
  <c r="O82" i="110"/>
  <c r="U28" i="110"/>
  <c r="Y28" i="110"/>
  <c r="AC28" i="110"/>
  <c r="O86" i="110"/>
  <c r="O90" i="110"/>
  <c r="U30" i="110"/>
  <c r="Y30" i="110"/>
  <c r="AC30" i="110"/>
  <c r="O94" i="110"/>
  <c r="O98" i="110"/>
  <c r="U32" i="110"/>
  <c r="Y32" i="110"/>
  <c r="AC32" i="110"/>
  <c r="O102" i="110"/>
  <c r="AD13" i="99"/>
  <c r="AD26" i="99" s="1"/>
  <c r="P44" i="110"/>
  <c r="P48" i="110"/>
  <c r="V19" i="110"/>
  <c r="X19" i="110"/>
  <c r="Z19" i="110"/>
  <c r="AB19" i="110"/>
  <c r="AD19" i="110"/>
  <c r="P52" i="110"/>
  <c r="V20" i="110"/>
  <c r="X20" i="110"/>
  <c r="Z20" i="110"/>
  <c r="AB20" i="110"/>
  <c r="AD20" i="110"/>
  <c r="P56" i="110"/>
  <c r="P62" i="110"/>
  <c r="P70" i="110"/>
  <c r="P78" i="110"/>
  <c r="P86" i="110"/>
  <c r="P94" i="110"/>
  <c r="P102" i="110"/>
  <c r="S13" i="97"/>
  <c r="T12" i="109"/>
  <c r="X12" i="109"/>
  <c r="AB12" i="109"/>
  <c r="P20" i="109"/>
  <c r="T13" i="109"/>
  <c r="X13" i="109"/>
  <c r="AB13" i="109"/>
  <c r="P24" i="109"/>
  <c r="T14" i="109"/>
  <c r="X14" i="109"/>
  <c r="AB14" i="109"/>
  <c r="P28" i="109"/>
  <c r="T15" i="109"/>
  <c r="X15" i="109"/>
  <c r="AB15" i="109"/>
  <c r="P32" i="109"/>
  <c r="E106" i="110"/>
  <c r="G106" i="110"/>
  <c r="I106" i="110"/>
  <c r="K106" i="110"/>
  <c r="M106" i="110"/>
  <c r="AA10" i="110"/>
  <c r="P17" i="110"/>
  <c r="S17" i="110"/>
  <c r="S35" i="110" s="1"/>
  <c r="P43" i="110"/>
  <c r="O46" i="110"/>
  <c r="P46" i="110"/>
  <c r="P47" i="110"/>
  <c r="O50" i="110"/>
  <c r="P50" i="110"/>
  <c r="P51" i="110"/>
  <c r="O54" i="110"/>
  <c r="P54" i="110"/>
  <c r="P55" i="110"/>
  <c r="P58" i="110"/>
  <c r="P66" i="110"/>
  <c r="P74" i="110"/>
  <c r="P82" i="110"/>
  <c r="P90" i="110"/>
  <c r="P98" i="110"/>
  <c r="P57" i="110"/>
  <c r="V21" i="110"/>
  <c r="X21" i="110"/>
  <c r="Z21" i="110"/>
  <c r="AB21" i="110"/>
  <c r="AD21" i="110"/>
  <c r="O60" i="110"/>
  <c r="P60" i="110"/>
  <c r="P61" i="110"/>
  <c r="V22" i="110"/>
  <c r="X22" i="110"/>
  <c r="Z22" i="110"/>
  <c r="AB22" i="110"/>
  <c r="AD22" i="110"/>
  <c r="O64" i="110"/>
  <c r="P64" i="110"/>
  <c r="P65" i="110"/>
  <c r="V23" i="110"/>
  <c r="X23" i="110"/>
  <c r="Z23" i="110"/>
  <c r="AB23" i="110"/>
  <c r="AD23" i="110"/>
  <c r="O68" i="110"/>
  <c r="P68" i="110"/>
  <c r="P69" i="110"/>
  <c r="V24" i="110"/>
  <c r="X24" i="110"/>
  <c r="Z24" i="110"/>
  <c r="AB24" i="110"/>
  <c r="AD24" i="110"/>
  <c r="O72" i="110"/>
  <c r="P72" i="110"/>
  <c r="P73" i="110"/>
  <c r="V25" i="110"/>
  <c r="X25" i="110"/>
  <c r="Z25" i="110"/>
  <c r="AB25" i="110"/>
  <c r="AD25" i="110"/>
  <c r="O76" i="110"/>
  <c r="P76" i="110"/>
  <c r="P77" i="110"/>
  <c r="V26" i="110"/>
  <c r="X26" i="110"/>
  <c r="Z26" i="110"/>
  <c r="AB26" i="110"/>
  <c r="AD26" i="110"/>
  <c r="O80" i="110"/>
  <c r="P80" i="110"/>
  <c r="P81" i="110"/>
  <c r="V27" i="110"/>
  <c r="X27" i="110"/>
  <c r="Z27" i="110"/>
  <c r="AB27" i="110"/>
  <c r="AD27" i="110"/>
  <c r="O84" i="110"/>
  <c r="P84" i="110"/>
  <c r="P85" i="110"/>
  <c r="V28" i="110"/>
  <c r="X28" i="110"/>
  <c r="Z28" i="110"/>
  <c r="AB28" i="110"/>
  <c r="AD28" i="110"/>
  <c r="O88" i="110"/>
  <c r="P88" i="110"/>
  <c r="P89" i="110"/>
  <c r="V29" i="110"/>
  <c r="X29" i="110"/>
  <c r="Z29" i="110"/>
  <c r="AB29" i="110"/>
  <c r="AD29" i="110"/>
  <c r="O92" i="110"/>
  <c r="P92" i="110"/>
  <c r="P93" i="110"/>
  <c r="V30" i="110"/>
  <c r="X30" i="110"/>
  <c r="Z30" i="110"/>
  <c r="O96" i="110"/>
  <c r="P96" i="110"/>
  <c r="P97" i="110"/>
  <c r="O100" i="110"/>
  <c r="P100" i="110"/>
  <c r="P101" i="110"/>
  <c r="O104" i="110"/>
  <c r="P104" i="110"/>
  <c r="P105" i="110"/>
  <c r="S38" i="110"/>
  <c r="U38" i="110"/>
  <c r="W38" i="110"/>
  <c r="C106" i="110"/>
  <c r="P10" i="110"/>
  <c r="O10" i="110"/>
  <c r="U10" i="110"/>
  <c r="Y10" i="110"/>
  <c r="AC10" i="110"/>
  <c r="O11" i="110"/>
  <c r="O12" i="110"/>
  <c r="O13" i="110"/>
  <c r="O14" i="110"/>
  <c r="O15" i="110"/>
  <c r="P16" i="110"/>
  <c r="O16" i="110"/>
  <c r="O17" i="110"/>
  <c r="O18" i="110"/>
  <c r="O19" i="110"/>
  <c r="O20" i="110"/>
  <c r="O21" i="110"/>
  <c r="O22" i="110"/>
  <c r="O23" i="110"/>
  <c r="O24" i="110"/>
  <c r="O25" i="110"/>
  <c r="O26" i="110"/>
  <c r="O27" i="110"/>
  <c r="O28" i="110"/>
  <c r="O29" i="110"/>
  <c r="O30" i="110"/>
  <c r="S36" i="110"/>
  <c r="W36" i="110"/>
  <c r="AA36" i="110"/>
  <c r="H106" i="110"/>
  <c r="C106" i="109"/>
  <c r="E106" i="109"/>
  <c r="G106" i="109"/>
  <c r="I106" i="109"/>
  <c r="K106" i="109"/>
  <c r="M106" i="109"/>
  <c r="P11" i="109"/>
  <c r="W11" i="109"/>
  <c r="P18" i="109"/>
  <c r="U12" i="109"/>
  <c r="W12" i="109"/>
  <c r="Y12" i="109"/>
  <c r="AA12" i="109"/>
  <c r="AC12" i="109"/>
  <c r="P22" i="109"/>
  <c r="U13" i="109"/>
  <c r="W13" i="109"/>
  <c r="Y13" i="109"/>
  <c r="AA13" i="109"/>
  <c r="AC13" i="109"/>
  <c r="P26" i="109"/>
  <c r="U14" i="109"/>
  <c r="W14" i="109"/>
  <c r="Y14" i="109"/>
  <c r="AA14" i="109"/>
  <c r="AC14" i="109"/>
  <c r="P30" i="109"/>
  <c r="U15" i="109"/>
  <c r="U38" i="109" s="1"/>
  <c r="W15" i="109"/>
  <c r="Y15" i="109"/>
  <c r="AA15" i="109"/>
  <c r="AC15" i="109"/>
  <c r="P34" i="109"/>
  <c r="P35" i="109"/>
  <c r="P36" i="109"/>
  <c r="P37" i="109"/>
  <c r="P38" i="109"/>
  <c r="P39" i="109"/>
  <c r="P40" i="109"/>
  <c r="P41" i="109"/>
  <c r="P42" i="109"/>
  <c r="O44" i="109"/>
  <c r="S39" i="109"/>
  <c r="AA39" i="109"/>
  <c r="O48" i="109"/>
  <c r="O52" i="109"/>
  <c r="O56" i="109"/>
  <c r="O58" i="109"/>
  <c r="O62" i="109"/>
  <c r="O66" i="109"/>
  <c r="O70" i="109"/>
  <c r="O74" i="109"/>
  <c r="O78" i="109"/>
  <c r="O82" i="109"/>
  <c r="O86" i="109"/>
  <c r="O90" i="109"/>
  <c r="O94" i="109"/>
  <c r="O98" i="109"/>
  <c r="O102" i="109"/>
  <c r="F106" i="110"/>
  <c r="J106" i="110"/>
  <c r="N106" i="110"/>
  <c r="T10" i="110"/>
  <c r="V10" i="110"/>
  <c r="Z10" i="110"/>
  <c r="AB10" i="110"/>
  <c r="AD10" i="110"/>
  <c r="T18" i="110"/>
  <c r="T19" i="110"/>
  <c r="T20" i="110"/>
  <c r="T21" i="110"/>
  <c r="T22" i="110"/>
  <c r="T23" i="110"/>
  <c r="T24" i="110"/>
  <c r="T25" i="110"/>
  <c r="T26" i="110"/>
  <c r="T27" i="110"/>
  <c r="T28" i="110"/>
  <c r="T29" i="110"/>
  <c r="T30" i="110"/>
  <c r="O31" i="110"/>
  <c r="O32" i="110"/>
  <c r="O33" i="110"/>
  <c r="O34" i="110"/>
  <c r="O35" i="110"/>
  <c r="O36" i="110"/>
  <c r="O37" i="110"/>
  <c r="O38" i="110"/>
  <c r="O39" i="110"/>
  <c r="O40" i="110"/>
  <c r="O41" i="110"/>
  <c r="O42" i="110"/>
  <c r="AB30" i="110"/>
  <c r="AD30" i="110"/>
  <c r="P95" i="110"/>
  <c r="T31" i="110"/>
  <c r="V31" i="110"/>
  <c r="X31" i="110"/>
  <c r="Z31" i="110"/>
  <c r="AB31" i="110"/>
  <c r="AD31" i="110"/>
  <c r="P99" i="110"/>
  <c r="T32" i="110"/>
  <c r="V32" i="110"/>
  <c r="X32" i="110"/>
  <c r="Z32" i="110"/>
  <c r="AB32" i="110"/>
  <c r="AD32" i="110"/>
  <c r="P103" i="110"/>
  <c r="T33" i="110"/>
  <c r="V33" i="110"/>
  <c r="X33" i="110"/>
  <c r="Z33" i="110"/>
  <c r="AB33" i="110"/>
  <c r="AD33" i="110"/>
  <c r="O43" i="110"/>
  <c r="O45" i="110"/>
  <c r="O47" i="110"/>
  <c r="O49" i="110"/>
  <c r="O51" i="110"/>
  <c r="O53" i="110"/>
  <c r="O55" i="110"/>
  <c r="O57" i="110"/>
  <c r="O59" i="110"/>
  <c r="O61" i="110"/>
  <c r="O63" i="110"/>
  <c r="O65" i="110"/>
  <c r="O67" i="110"/>
  <c r="O69" i="110"/>
  <c r="O71" i="110"/>
  <c r="O73" i="110"/>
  <c r="O75" i="110"/>
  <c r="O77" i="110"/>
  <c r="O79" i="110"/>
  <c r="O81" i="110"/>
  <c r="O83" i="110"/>
  <c r="O85" i="110"/>
  <c r="O87" i="110"/>
  <c r="O89" i="110"/>
  <c r="O91" i="110"/>
  <c r="O93" i="110"/>
  <c r="O95" i="110"/>
  <c r="O97" i="110"/>
  <c r="O99" i="110"/>
  <c r="O101" i="110"/>
  <c r="O103" i="110"/>
  <c r="O105" i="110"/>
  <c r="V19" i="95"/>
  <c r="Y14" i="101"/>
  <c r="V15" i="98"/>
  <c r="W39" i="109"/>
  <c r="X10" i="109"/>
  <c r="P12" i="109"/>
  <c r="S12" i="109"/>
  <c r="P13" i="109"/>
  <c r="S13" i="109"/>
  <c r="P14" i="109"/>
  <c r="U11" i="109"/>
  <c r="Y11" i="109"/>
  <c r="AC11" i="109"/>
  <c r="S14" i="109"/>
  <c r="P15" i="109"/>
  <c r="S15" i="109"/>
  <c r="P16" i="109"/>
  <c r="S16" i="109"/>
  <c r="T11" i="109"/>
  <c r="V11" i="109"/>
  <c r="X11" i="109"/>
  <c r="Z11" i="109"/>
  <c r="AB11" i="109"/>
  <c r="AD11" i="109"/>
  <c r="P19" i="109"/>
  <c r="P21" i="109"/>
  <c r="P23" i="109"/>
  <c r="S23" i="109"/>
  <c r="P25" i="109"/>
  <c r="S25" i="109"/>
  <c r="P27" i="109"/>
  <c r="S27" i="109"/>
  <c r="P29" i="109"/>
  <c r="S29" i="109"/>
  <c r="P31" i="109"/>
  <c r="S31" i="109"/>
  <c r="P33" i="109"/>
  <c r="S33" i="109"/>
  <c r="S17" i="109"/>
  <c r="P45" i="109"/>
  <c r="V18" i="109"/>
  <c r="X18" i="109"/>
  <c r="Z18" i="109"/>
  <c r="AB18" i="109"/>
  <c r="AD18" i="109"/>
  <c r="P49" i="109"/>
  <c r="P53" i="109"/>
  <c r="P59" i="109"/>
  <c r="P63" i="109"/>
  <c r="P67" i="109"/>
  <c r="P71" i="109"/>
  <c r="P75" i="109"/>
  <c r="P79" i="109"/>
  <c r="P83" i="109"/>
  <c r="P87" i="109"/>
  <c r="P91" i="109"/>
  <c r="P44" i="109"/>
  <c r="P48" i="109"/>
  <c r="V19" i="109"/>
  <c r="X19" i="109"/>
  <c r="Z19" i="109"/>
  <c r="AB19" i="109"/>
  <c r="AD19" i="109"/>
  <c r="P52" i="109"/>
  <c r="V20" i="109"/>
  <c r="X20" i="109"/>
  <c r="Z20" i="109"/>
  <c r="AB20" i="109"/>
  <c r="AD20" i="109"/>
  <c r="P56" i="109"/>
  <c r="P62" i="109"/>
  <c r="P70" i="109"/>
  <c r="P78" i="109"/>
  <c r="P86" i="109"/>
  <c r="P94" i="109"/>
  <c r="P102" i="109"/>
  <c r="D106" i="109"/>
  <c r="L106" i="109"/>
  <c r="P17" i="109"/>
  <c r="P43" i="109"/>
  <c r="O46" i="109"/>
  <c r="P46" i="109"/>
  <c r="P47" i="109"/>
  <c r="O50" i="109"/>
  <c r="P50" i="109"/>
  <c r="P51" i="109"/>
  <c r="O54" i="109"/>
  <c r="P54" i="109"/>
  <c r="P55" i="109"/>
  <c r="P58" i="109"/>
  <c r="P66" i="109"/>
  <c r="P74" i="109"/>
  <c r="P82" i="109"/>
  <c r="P90" i="109"/>
  <c r="P98" i="109"/>
  <c r="P57" i="109"/>
  <c r="V21" i="109"/>
  <c r="X21" i="109"/>
  <c r="Z21" i="109"/>
  <c r="AB21" i="109"/>
  <c r="AD21" i="109"/>
  <c r="O60" i="109"/>
  <c r="P60" i="109"/>
  <c r="P61" i="109"/>
  <c r="V22" i="109"/>
  <c r="X22" i="109"/>
  <c r="Z22" i="109"/>
  <c r="AB22" i="109"/>
  <c r="AD22" i="109"/>
  <c r="O64" i="109"/>
  <c r="P64" i="109"/>
  <c r="P65" i="109"/>
  <c r="V23" i="109"/>
  <c r="X23" i="109"/>
  <c r="Z23" i="109"/>
  <c r="AB23" i="109"/>
  <c r="AD23" i="109"/>
  <c r="O68" i="109"/>
  <c r="P68" i="109"/>
  <c r="P69" i="109"/>
  <c r="V24" i="109"/>
  <c r="X24" i="109"/>
  <c r="Z24" i="109"/>
  <c r="AB24" i="109"/>
  <c r="AD24" i="109"/>
  <c r="O72" i="109"/>
  <c r="P72" i="109"/>
  <c r="P73" i="109"/>
  <c r="V25" i="109"/>
  <c r="X25" i="109"/>
  <c r="Z25" i="109"/>
  <c r="AB25" i="109"/>
  <c r="AD25" i="109"/>
  <c r="O76" i="109"/>
  <c r="P76" i="109"/>
  <c r="P77" i="109"/>
  <c r="V26" i="109"/>
  <c r="X26" i="109"/>
  <c r="Z26" i="109"/>
  <c r="AB26" i="109"/>
  <c r="AD26" i="109"/>
  <c r="O80" i="109"/>
  <c r="P80" i="109"/>
  <c r="P81" i="109"/>
  <c r="V27" i="109"/>
  <c r="X27" i="109"/>
  <c r="Z27" i="109"/>
  <c r="AB27" i="109"/>
  <c r="AD27" i="109"/>
  <c r="O84" i="109"/>
  <c r="P84" i="109"/>
  <c r="P85" i="109"/>
  <c r="V28" i="109"/>
  <c r="X28" i="109"/>
  <c r="Z28" i="109"/>
  <c r="AB28" i="109"/>
  <c r="AD28" i="109"/>
  <c r="O88" i="109"/>
  <c r="P88" i="109"/>
  <c r="P89" i="109"/>
  <c r="V29" i="109"/>
  <c r="X29" i="109"/>
  <c r="Z29" i="109"/>
  <c r="AB29" i="109"/>
  <c r="AD29" i="109"/>
  <c r="O92" i="109"/>
  <c r="P92" i="109"/>
  <c r="P93" i="109"/>
  <c r="V30" i="109"/>
  <c r="X30" i="109"/>
  <c r="Z30" i="109"/>
  <c r="O96" i="109"/>
  <c r="P96" i="109"/>
  <c r="P97" i="109"/>
  <c r="O100" i="109"/>
  <c r="P100" i="109"/>
  <c r="P101" i="109"/>
  <c r="O104" i="109"/>
  <c r="P104" i="109"/>
  <c r="P105" i="109"/>
  <c r="V39" i="109"/>
  <c r="V21" i="98"/>
  <c r="V27" i="98" s="1"/>
  <c r="AD29" i="105"/>
  <c r="O10" i="109"/>
  <c r="S10" i="109"/>
  <c r="U10" i="109"/>
  <c r="W10" i="109"/>
  <c r="Y10" i="109"/>
  <c r="AA10" i="109"/>
  <c r="AC10" i="109"/>
  <c r="O11" i="109"/>
  <c r="O12" i="109"/>
  <c r="O13" i="109"/>
  <c r="O14" i="109"/>
  <c r="O15" i="109"/>
  <c r="O16" i="109"/>
  <c r="O17" i="109"/>
  <c r="O18" i="109"/>
  <c r="O19" i="109"/>
  <c r="O20" i="109"/>
  <c r="O21" i="109"/>
  <c r="O22" i="109"/>
  <c r="O23" i="109"/>
  <c r="O24" i="109"/>
  <c r="O25" i="109"/>
  <c r="O26" i="109"/>
  <c r="O27" i="109"/>
  <c r="O28" i="109"/>
  <c r="O29" i="109"/>
  <c r="O30" i="109"/>
  <c r="S36" i="109"/>
  <c r="W36" i="109"/>
  <c r="AA36" i="109"/>
  <c r="H106" i="109"/>
  <c r="F106" i="109"/>
  <c r="J106" i="109"/>
  <c r="N106" i="109"/>
  <c r="P10" i="109"/>
  <c r="T10" i="109"/>
  <c r="V10" i="109"/>
  <c r="Z10" i="109"/>
  <c r="AB10" i="109"/>
  <c r="AD10" i="109"/>
  <c r="T18" i="109"/>
  <c r="T19" i="109"/>
  <c r="T20" i="109"/>
  <c r="T21" i="109"/>
  <c r="T22" i="109"/>
  <c r="T23" i="109"/>
  <c r="T24" i="109"/>
  <c r="T25" i="109"/>
  <c r="T26" i="109"/>
  <c r="T27" i="109"/>
  <c r="T28" i="109"/>
  <c r="T29" i="109"/>
  <c r="T30" i="109"/>
  <c r="O31" i="109"/>
  <c r="O32" i="109"/>
  <c r="O33" i="109"/>
  <c r="O34" i="109"/>
  <c r="O35" i="109"/>
  <c r="O36" i="109"/>
  <c r="U36" i="109"/>
  <c r="Y36" i="109"/>
  <c r="AC36" i="109"/>
  <c r="O37" i="109"/>
  <c r="O38" i="109"/>
  <c r="O39" i="109"/>
  <c r="O40" i="109"/>
  <c r="O41" i="109"/>
  <c r="O42" i="109"/>
  <c r="AB30" i="109"/>
  <c r="AD30" i="109"/>
  <c r="P95" i="109"/>
  <c r="T31" i="109"/>
  <c r="V31" i="109"/>
  <c r="X31" i="109"/>
  <c r="Z31" i="109"/>
  <c r="AB31" i="109"/>
  <c r="AD31" i="109"/>
  <c r="P99" i="109"/>
  <c r="T32" i="109"/>
  <c r="V32" i="109"/>
  <c r="X32" i="109"/>
  <c r="Z32" i="109"/>
  <c r="AB32" i="109"/>
  <c r="AD32" i="109"/>
  <c r="P103" i="109"/>
  <c r="T33" i="109"/>
  <c r="V33" i="109"/>
  <c r="X33" i="109"/>
  <c r="Z33" i="109"/>
  <c r="AB33" i="109"/>
  <c r="AD33" i="109"/>
  <c r="O43" i="109"/>
  <c r="O45" i="109"/>
  <c r="O47" i="109"/>
  <c r="O49" i="109"/>
  <c r="O51" i="109"/>
  <c r="O53" i="109"/>
  <c r="O55" i="109"/>
  <c r="O57" i="109"/>
  <c r="O59" i="109"/>
  <c r="O61" i="109"/>
  <c r="O63" i="109"/>
  <c r="O65" i="109"/>
  <c r="O67" i="109"/>
  <c r="O69" i="109"/>
  <c r="O71" i="109"/>
  <c r="O73" i="109"/>
  <c r="O75" i="109"/>
  <c r="O77" i="109"/>
  <c r="O79" i="109"/>
  <c r="O81" i="109"/>
  <c r="O83" i="109"/>
  <c r="O85" i="109"/>
  <c r="O87" i="109"/>
  <c r="O89" i="109"/>
  <c r="O91" i="109"/>
  <c r="O93" i="109"/>
  <c r="O95" i="109"/>
  <c r="O97" i="109"/>
  <c r="O99" i="109"/>
  <c r="O101" i="109"/>
  <c r="O103" i="109"/>
  <c r="O105" i="109"/>
  <c r="V13" i="97"/>
  <c r="U15" i="99"/>
  <c r="Z17" i="101"/>
  <c r="S21" i="105"/>
  <c r="S39" i="105" s="1"/>
  <c r="Y24" i="105"/>
  <c r="U20" i="95"/>
  <c r="AB20" i="105"/>
  <c r="AB39" i="105" s="1"/>
  <c r="U13" i="94"/>
  <c r="W13" i="94"/>
  <c r="Y13" i="94"/>
  <c r="AA13" i="94"/>
  <c r="AC13" i="94"/>
  <c r="Y15" i="94"/>
  <c r="AC15" i="94"/>
  <c r="U16" i="94"/>
  <c r="Y16" i="94"/>
  <c r="AC16" i="94"/>
  <c r="U17" i="94"/>
  <c r="AC17" i="94"/>
  <c r="Y18" i="94"/>
  <c r="AC18" i="94"/>
  <c r="U19" i="94"/>
  <c r="V14" i="94"/>
  <c r="X14" i="94"/>
  <c r="Z14" i="94"/>
  <c r="AB14" i="94"/>
  <c r="AD14" i="94"/>
  <c r="AA21" i="94"/>
  <c r="T13" i="105"/>
  <c r="AB13" i="105"/>
  <c r="T14" i="105"/>
  <c r="V14" i="105"/>
  <c r="X14" i="105"/>
  <c r="Z14" i="105"/>
  <c r="AB14" i="105"/>
  <c r="AD14" i="105"/>
  <c r="W15" i="105"/>
  <c r="Y39" i="105"/>
  <c r="T12" i="105"/>
  <c r="V12" i="105"/>
  <c r="Z12" i="105"/>
  <c r="AB12" i="105"/>
  <c r="AD12" i="105"/>
  <c r="V13" i="105"/>
  <c r="X13" i="105"/>
  <c r="Z13" i="105"/>
  <c r="AD13" i="105"/>
  <c r="V11" i="105"/>
  <c r="Z11" i="105"/>
  <c r="AD11" i="105"/>
  <c r="AC39" i="105"/>
  <c r="U12" i="105"/>
  <c r="W12" i="105"/>
  <c r="Y12" i="105"/>
  <c r="AA12" i="105"/>
  <c r="AC12" i="105"/>
  <c r="P16" i="105"/>
  <c r="U11" i="105"/>
  <c r="W11" i="105"/>
  <c r="Y11" i="105"/>
  <c r="AA11" i="105"/>
  <c r="AC11" i="105"/>
  <c r="O17" i="105"/>
  <c r="O18" i="105"/>
  <c r="O19" i="105"/>
  <c r="O20" i="105"/>
  <c r="P21" i="105"/>
  <c r="P22" i="105"/>
  <c r="U13" i="105"/>
  <c r="W13" i="105"/>
  <c r="Y13" i="105"/>
  <c r="AA13" i="105"/>
  <c r="AC13" i="105"/>
  <c r="S14" i="105"/>
  <c r="U14" i="105"/>
  <c r="W14" i="105"/>
  <c r="Y14" i="105"/>
  <c r="AA14" i="105"/>
  <c r="AC14" i="105"/>
  <c r="S15" i="105"/>
  <c r="AA15" i="105"/>
  <c r="U15" i="105"/>
  <c r="Y15" i="105"/>
  <c r="Y38" i="105" s="1"/>
  <c r="AC15" i="105"/>
  <c r="P12" i="105"/>
  <c r="S12" i="105"/>
  <c r="P13" i="105"/>
  <c r="S13" i="105"/>
  <c r="S38" i="105" s="1"/>
  <c r="P14" i="105"/>
  <c r="P15" i="105"/>
  <c r="P32" i="105"/>
  <c r="P34" i="105"/>
  <c r="P35" i="105"/>
  <c r="P36" i="105"/>
  <c r="P37" i="105"/>
  <c r="P38" i="105"/>
  <c r="P39" i="105"/>
  <c r="P40" i="105"/>
  <c r="P41" i="105"/>
  <c r="P42" i="105"/>
  <c r="P43" i="105"/>
  <c r="P44" i="105"/>
  <c r="P45" i="105"/>
  <c r="P46" i="105"/>
  <c r="P47" i="105"/>
  <c r="P48" i="105"/>
  <c r="P49" i="105"/>
  <c r="P50" i="105"/>
  <c r="P51" i="105"/>
  <c r="P52" i="105"/>
  <c r="P53" i="105"/>
  <c r="P54" i="105"/>
  <c r="P55" i="105"/>
  <c r="P56" i="105"/>
  <c r="P57" i="105"/>
  <c r="P58" i="105"/>
  <c r="P59" i="105"/>
  <c r="P60" i="105"/>
  <c r="P61" i="105"/>
  <c r="P63" i="105"/>
  <c r="P64" i="105"/>
  <c r="P65" i="105"/>
  <c r="P67" i="105"/>
  <c r="P68" i="105"/>
  <c r="P69" i="105"/>
  <c r="P71" i="105"/>
  <c r="P72" i="105"/>
  <c r="P73" i="105"/>
  <c r="P75" i="105"/>
  <c r="P76" i="105"/>
  <c r="P77" i="105"/>
  <c r="P79" i="105"/>
  <c r="P80" i="105"/>
  <c r="P81" i="105"/>
  <c r="P83" i="105"/>
  <c r="P84" i="105"/>
  <c r="P85" i="105"/>
  <c r="P87" i="105"/>
  <c r="P88" i="105"/>
  <c r="P89" i="105"/>
  <c r="P91" i="105"/>
  <c r="P92" i="105"/>
  <c r="P93" i="105"/>
  <c r="P95" i="105"/>
  <c r="P96" i="105"/>
  <c r="P97" i="105"/>
  <c r="P98" i="105"/>
  <c r="P99" i="105"/>
  <c r="P100" i="105"/>
  <c r="P101" i="105"/>
  <c r="P103" i="105"/>
  <c r="P104" i="105"/>
  <c r="P105" i="105"/>
  <c r="P62" i="105"/>
  <c r="S23" i="105"/>
  <c r="P66" i="105"/>
  <c r="S24" i="105"/>
  <c r="P70" i="105"/>
  <c r="S25" i="105"/>
  <c r="P74" i="105"/>
  <c r="S26" i="105"/>
  <c r="P78" i="105"/>
  <c r="S27" i="105"/>
  <c r="P82" i="105"/>
  <c r="S28" i="105"/>
  <c r="P86" i="105"/>
  <c r="S29" i="105"/>
  <c r="P90" i="105"/>
  <c r="S30" i="105"/>
  <c r="I106" i="105"/>
  <c r="K106" i="105"/>
  <c r="M106" i="105"/>
  <c r="P11" i="105"/>
  <c r="P23" i="105"/>
  <c r="P24" i="105"/>
  <c r="P25" i="105"/>
  <c r="P26" i="105"/>
  <c r="P27" i="105"/>
  <c r="P28" i="105"/>
  <c r="P29" i="105"/>
  <c r="P30" i="105"/>
  <c r="T15" i="105"/>
  <c r="V15" i="105"/>
  <c r="X15" i="105"/>
  <c r="Z15" i="105"/>
  <c r="AB15" i="105"/>
  <c r="AD15" i="105"/>
  <c r="S11" i="105"/>
  <c r="P94" i="105"/>
  <c r="S31" i="105"/>
  <c r="P102" i="105"/>
  <c r="S33" i="105"/>
  <c r="H106" i="105"/>
  <c r="J106" i="105"/>
  <c r="L106" i="105"/>
  <c r="N106" i="105"/>
  <c r="P17" i="105"/>
  <c r="P18" i="105"/>
  <c r="P19" i="105"/>
  <c r="P20" i="105"/>
  <c r="S32" i="105"/>
  <c r="P31" i="105"/>
  <c r="P33" i="105"/>
  <c r="D106" i="105"/>
  <c r="T10" i="105"/>
  <c r="F106" i="105"/>
  <c r="V10" i="105"/>
  <c r="C106" i="105"/>
  <c r="P10" i="105"/>
  <c r="S10" i="105"/>
  <c r="O10" i="105"/>
  <c r="E106" i="105"/>
  <c r="U10" i="105"/>
  <c r="G106" i="105"/>
  <c r="W10" i="105"/>
  <c r="Y10" i="105"/>
  <c r="AA10" i="105"/>
  <c r="AC10" i="105"/>
  <c r="O11" i="105"/>
  <c r="O12" i="105"/>
  <c r="O13" i="105"/>
  <c r="O14" i="105"/>
  <c r="O15" i="105"/>
  <c r="O16" i="105"/>
  <c r="O21" i="105"/>
  <c r="O22" i="105"/>
  <c r="O23" i="105"/>
  <c r="O24" i="105"/>
  <c r="O25" i="105"/>
  <c r="O26" i="105"/>
  <c r="O27" i="105"/>
  <c r="O28" i="105"/>
  <c r="O29" i="105"/>
  <c r="O30" i="105"/>
  <c r="O31" i="105"/>
  <c r="O32" i="105"/>
  <c r="O33" i="105"/>
  <c r="O34" i="105"/>
  <c r="O35" i="105"/>
  <c r="O36" i="105"/>
  <c r="W36" i="105"/>
  <c r="Y36" i="105"/>
  <c r="AA36" i="105"/>
  <c r="AC36" i="105"/>
  <c r="O37" i="105"/>
  <c r="O38" i="105"/>
  <c r="O39" i="105"/>
  <c r="O40" i="105"/>
  <c r="O41" i="105"/>
  <c r="O42" i="105"/>
  <c r="O43" i="105"/>
  <c r="O44" i="105"/>
  <c r="O45" i="105"/>
  <c r="O46" i="105"/>
  <c r="O47" i="105"/>
  <c r="O48" i="105"/>
  <c r="O49" i="105"/>
  <c r="O50" i="105"/>
  <c r="O51" i="105"/>
  <c r="O52" i="105"/>
  <c r="O53" i="105"/>
  <c r="O54" i="105"/>
  <c r="O55" i="105"/>
  <c r="O56" i="105"/>
  <c r="O57" i="105"/>
  <c r="O58" i="105"/>
  <c r="O59" i="105"/>
  <c r="O60" i="105"/>
  <c r="O61" i="105"/>
  <c r="O62" i="105"/>
  <c r="O63" i="105"/>
  <c r="O64" i="105"/>
  <c r="O65" i="105"/>
  <c r="O66" i="105"/>
  <c r="O67" i="105"/>
  <c r="O68" i="105"/>
  <c r="O69" i="105"/>
  <c r="O70" i="105"/>
  <c r="O71" i="105"/>
  <c r="O72" i="105"/>
  <c r="O73" i="105"/>
  <c r="O74" i="105"/>
  <c r="O75" i="105"/>
  <c r="O76" i="105"/>
  <c r="O77" i="105"/>
  <c r="O78" i="105"/>
  <c r="O79" i="105"/>
  <c r="O80" i="105"/>
  <c r="O81" i="105"/>
  <c r="O82" i="105"/>
  <c r="O83" i="105"/>
  <c r="O84" i="105"/>
  <c r="X10" i="105"/>
  <c r="Z10" i="105"/>
  <c r="AB10" i="105"/>
  <c r="AD10" i="105"/>
  <c r="T36" i="105"/>
  <c r="V36" i="105"/>
  <c r="X36" i="105"/>
  <c r="Z36" i="105"/>
  <c r="AD36" i="105"/>
  <c r="O85" i="105"/>
  <c r="O86" i="105"/>
  <c r="O87" i="105"/>
  <c r="O88" i="105"/>
  <c r="O89" i="105"/>
  <c r="O90" i="105"/>
  <c r="O91" i="105"/>
  <c r="O92" i="105"/>
  <c r="O93" i="105"/>
  <c r="O94" i="105"/>
  <c r="O95" i="105"/>
  <c r="O96" i="105"/>
  <c r="O97" i="105"/>
  <c r="O98" i="105"/>
  <c r="O99" i="105"/>
  <c r="O100" i="105"/>
  <c r="O101" i="105"/>
  <c r="O102" i="105"/>
  <c r="O103" i="105"/>
  <c r="O104" i="105"/>
  <c r="O105" i="105"/>
  <c r="D106" i="101"/>
  <c r="F106" i="101"/>
  <c r="H106" i="101"/>
  <c r="J106" i="101"/>
  <c r="L106" i="101"/>
  <c r="N106" i="101"/>
  <c r="M106" i="101"/>
  <c r="K106" i="101"/>
  <c r="I106" i="101"/>
  <c r="G106" i="101"/>
  <c r="E106" i="101"/>
  <c r="C106" i="101"/>
  <c r="U17" i="96"/>
  <c r="V18" i="98"/>
  <c r="AC16" i="96"/>
  <c r="U18" i="94"/>
  <c r="AC16" i="95"/>
  <c r="AB18" i="97"/>
  <c r="AB26" i="97" s="1"/>
  <c r="AC20" i="99"/>
  <c r="AC24" i="99" s="1"/>
  <c r="AD20" i="98"/>
  <c r="AD27" i="98" s="1"/>
  <c r="U14" i="95"/>
  <c r="U26" i="95" s="1"/>
  <c r="T39" i="101"/>
  <c r="AC18" i="95"/>
  <c r="W16" i="99"/>
  <c r="Y20" i="99"/>
  <c r="Y27" i="99" s="1"/>
  <c r="AC16" i="98"/>
  <c r="AC23" i="98" s="1"/>
  <c r="AD13" i="98"/>
  <c r="U14" i="96"/>
  <c r="AC32" i="101"/>
  <c r="AA32" i="101"/>
  <c r="Y32" i="101"/>
  <c r="W32" i="101"/>
  <c r="U32" i="101"/>
  <c r="AC30" i="101"/>
  <c r="AA30" i="101"/>
  <c r="Y30" i="101"/>
  <c r="W30" i="101"/>
  <c r="U30" i="101"/>
  <c r="AC28" i="101"/>
  <c r="AA28" i="101"/>
  <c r="Y28" i="101"/>
  <c r="W28" i="101"/>
  <c r="U28" i="101"/>
  <c r="AC26" i="101"/>
  <c r="AA26" i="101"/>
  <c r="Y26" i="101"/>
  <c r="W26" i="101"/>
  <c r="U26" i="101"/>
  <c r="AC24" i="101"/>
  <c r="AA24" i="101"/>
  <c r="Y24" i="101"/>
  <c r="W24" i="101"/>
  <c r="U24" i="101"/>
  <c r="AC22" i="101"/>
  <c r="AA22" i="101"/>
  <c r="Y22" i="101"/>
  <c r="W22" i="101"/>
  <c r="U22" i="101"/>
  <c r="AD33" i="101"/>
  <c r="AB33" i="101"/>
  <c r="Z33" i="101"/>
  <c r="X33" i="101"/>
  <c r="V33" i="101"/>
  <c r="T33" i="101"/>
  <c r="AD31" i="101"/>
  <c r="AB31" i="101"/>
  <c r="Z31" i="101"/>
  <c r="X31" i="101"/>
  <c r="V31" i="101"/>
  <c r="T31" i="101"/>
  <c r="AD29" i="101"/>
  <c r="AB29" i="101"/>
  <c r="Z29" i="101"/>
  <c r="X29" i="101"/>
  <c r="V29" i="101"/>
  <c r="T29" i="101"/>
  <c r="AD27" i="101"/>
  <c r="AB27" i="101"/>
  <c r="Z27" i="101"/>
  <c r="X27" i="101"/>
  <c r="V27" i="101"/>
  <c r="T27" i="101"/>
  <c r="AD25" i="101"/>
  <c r="AB25" i="101"/>
  <c r="Z25" i="101"/>
  <c r="X25" i="101"/>
  <c r="V25" i="101"/>
  <c r="T25" i="101"/>
  <c r="AD23" i="101"/>
  <c r="AC33" i="101"/>
  <c r="AA33" i="101"/>
  <c r="Y33" i="101"/>
  <c r="W33" i="101"/>
  <c r="U33" i="101"/>
  <c r="AC31" i="101"/>
  <c r="AA31" i="101"/>
  <c r="Y31" i="101"/>
  <c r="W31" i="101"/>
  <c r="U31" i="101"/>
  <c r="AC29" i="101"/>
  <c r="AA29" i="101"/>
  <c r="Y29" i="101"/>
  <c r="W29" i="101"/>
  <c r="U29" i="101"/>
  <c r="AC27" i="101"/>
  <c r="AA27" i="101"/>
  <c r="Y27" i="101"/>
  <c r="W27" i="101"/>
  <c r="U27" i="101"/>
  <c r="AC25" i="101"/>
  <c r="AA25" i="101"/>
  <c r="Y25" i="101"/>
  <c r="W25" i="101"/>
  <c r="U25" i="101"/>
  <c r="AC23" i="101"/>
  <c r="AA23" i="101"/>
  <c r="Y23" i="101"/>
  <c r="W23" i="101"/>
  <c r="U23" i="101"/>
  <c r="AD32" i="101"/>
  <c r="AB32" i="101"/>
  <c r="Z32" i="101"/>
  <c r="X32" i="101"/>
  <c r="V32" i="101"/>
  <c r="T32" i="101"/>
  <c r="AD30" i="101"/>
  <c r="AB30" i="101"/>
  <c r="Z30" i="101"/>
  <c r="X30" i="101"/>
  <c r="V30" i="101"/>
  <c r="T30" i="101"/>
  <c r="AD28" i="101"/>
  <c r="AB28" i="101"/>
  <c r="Z28" i="101"/>
  <c r="X28" i="101"/>
  <c r="V28" i="101"/>
  <c r="T28" i="101"/>
  <c r="AD26" i="101"/>
  <c r="AB26" i="101"/>
  <c r="Z26" i="101"/>
  <c r="X26" i="101"/>
  <c r="V26" i="101"/>
  <c r="T26" i="101"/>
  <c r="AD24" i="101"/>
  <c r="AB24" i="101"/>
  <c r="Z24" i="101"/>
  <c r="X24" i="101"/>
  <c r="V24" i="101"/>
  <c r="T24" i="101"/>
  <c r="AB23" i="101"/>
  <c r="Z23" i="101"/>
  <c r="X23" i="101"/>
  <c r="V23" i="101"/>
  <c r="T23" i="101"/>
  <c r="AD22" i="101"/>
  <c r="AB22" i="101"/>
  <c r="Z22" i="101"/>
  <c r="X22" i="101"/>
  <c r="V22" i="101"/>
  <c r="T22" i="101"/>
  <c r="S33" i="101"/>
  <c r="S32" i="101"/>
  <c r="S31" i="101"/>
  <c r="S30" i="101"/>
  <c r="S29" i="101"/>
  <c r="S28" i="101"/>
  <c r="S27" i="101"/>
  <c r="S26" i="101"/>
  <c r="S25" i="101"/>
  <c r="S24" i="101"/>
  <c r="AB17" i="95"/>
  <c r="S22" i="101"/>
  <c r="S23" i="101"/>
  <c r="Z19" i="95"/>
  <c r="Z27" i="95" s="1"/>
  <c r="V14" i="98"/>
  <c r="AA16" i="100"/>
  <c r="AA26" i="100" s="1"/>
  <c r="Z13" i="95"/>
  <c r="V14" i="99"/>
  <c r="V26" i="99" s="1"/>
  <c r="T21" i="98"/>
  <c r="T27" i="98" s="1"/>
  <c r="AB14" i="95"/>
  <c r="U15" i="101"/>
  <c r="P105" i="101"/>
  <c r="Y17" i="94"/>
  <c r="P77" i="101"/>
  <c r="P22" i="104"/>
  <c r="P23" i="104"/>
  <c r="P24" i="104"/>
  <c r="O30" i="104"/>
  <c r="O34" i="104"/>
  <c r="O38" i="104"/>
  <c r="O42" i="104"/>
  <c r="O46" i="104"/>
  <c r="O50" i="104"/>
  <c r="O54" i="104"/>
  <c r="P69" i="101"/>
  <c r="P91" i="101"/>
  <c r="U15" i="94"/>
  <c r="W17" i="96"/>
  <c r="Z19" i="98"/>
  <c r="AC24" i="103"/>
  <c r="P81" i="101"/>
  <c r="P63" i="101"/>
  <c r="P97" i="101"/>
  <c r="P73" i="101"/>
  <c r="Y19" i="94"/>
  <c r="P95" i="101"/>
  <c r="P79" i="101"/>
  <c r="P71" i="101"/>
  <c r="P59" i="101"/>
  <c r="P101" i="101"/>
  <c r="P88" i="101"/>
  <c r="P83" i="101"/>
  <c r="P75" i="101"/>
  <c r="P67" i="101"/>
  <c r="Y14" i="100"/>
  <c r="P99" i="101"/>
  <c r="P93" i="101"/>
  <c r="P85" i="101"/>
  <c r="P65" i="101"/>
  <c r="P103" i="101"/>
  <c r="P61" i="101"/>
  <c r="O104" i="101"/>
  <c r="O102" i="101"/>
  <c r="O100" i="101"/>
  <c r="O98" i="101"/>
  <c r="O96" i="101"/>
  <c r="O94" i="101"/>
  <c r="O92" i="101"/>
  <c r="O89" i="101"/>
  <c r="O86" i="101"/>
  <c r="O84" i="101"/>
  <c r="O82" i="101"/>
  <c r="O80" i="101"/>
  <c r="O78" i="101"/>
  <c r="O76" i="101"/>
  <c r="O74" i="101"/>
  <c r="O72" i="101"/>
  <c r="O70" i="101"/>
  <c r="O68" i="101"/>
  <c r="O66" i="101"/>
  <c r="O64" i="101"/>
  <c r="O62" i="101"/>
  <c r="O60" i="101"/>
  <c r="O58" i="101"/>
  <c r="O105" i="101"/>
  <c r="P104" i="101"/>
  <c r="O103" i="101"/>
  <c r="P102" i="101"/>
  <c r="AF33" i="101" s="1"/>
  <c r="O101" i="101"/>
  <c r="P100" i="101"/>
  <c r="O99" i="101"/>
  <c r="P98" i="101"/>
  <c r="AF32" i="101" s="1"/>
  <c r="O97" i="101"/>
  <c r="P96" i="101"/>
  <c r="O95" i="101"/>
  <c r="P94" i="101"/>
  <c r="O93" i="101"/>
  <c r="P92" i="101"/>
  <c r="O91" i="101"/>
  <c r="P90" i="101"/>
  <c r="O90" i="101"/>
  <c r="P89" i="101"/>
  <c r="O88" i="101"/>
  <c r="P87" i="101"/>
  <c r="O87" i="101"/>
  <c r="P86" i="101"/>
  <c r="O85" i="101"/>
  <c r="P84" i="101"/>
  <c r="O83" i="101"/>
  <c r="P82" i="101"/>
  <c r="O81" i="101"/>
  <c r="P80" i="101"/>
  <c r="O79" i="101"/>
  <c r="P78" i="101"/>
  <c r="O77" i="101"/>
  <c r="P76" i="101"/>
  <c r="O75" i="101"/>
  <c r="P74" i="101"/>
  <c r="O73" i="101"/>
  <c r="P72" i="101"/>
  <c r="O71" i="101"/>
  <c r="P70" i="101"/>
  <c r="AF25" i="101" s="1"/>
  <c r="O69" i="101"/>
  <c r="P68" i="101"/>
  <c r="O67" i="101"/>
  <c r="P66" i="101"/>
  <c r="O65" i="101"/>
  <c r="P64" i="101"/>
  <c r="O63" i="101"/>
  <c r="P62" i="101"/>
  <c r="O61" i="101"/>
  <c r="P60" i="101"/>
  <c r="O59" i="101"/>
  <c r="P58" i="101"/>
  <c r="Y18" i="96"/>
  <c r="AC14" i="94"/>
  <c r="Y13" i="100"/>
  <c r="Y15" i="97"/>
  <c r="Y23" i="97" s="1"/>
  <c r="Y16" i="95"/>
  <c r="AA18" i="96"/>
  <c r="AA23" i="96" s="1"/>
  <c r="W20" i="98"/>
  <c r="W24" i="98" s="1"/>
  <c r="AD16" i="96"/>
  <c r="AD23" i="96" s="1"/>
  <c r="Z18" i="95"/>
  <c r="Z26" i="95" s="1"/>
  <c r="Y14" i="94"/>
  <c r="Y21" i="96"/>
  <c r="Y24" i="96" s="1"/>
  <c r="Y15" i="101"/>
  <c r="AA17" i="94"/>
  <c r="V21" i="95"/>
  <c r="X13" i="95"/>
  <c r="X23" i="95" s="1"/>
  <c r="W16" i="94"/>
  <c r="AC20" i="94"/>
  <c r="V15" i="95"/>
  <c r="V26" i="95" s="1"/>
  <c r="U14" i="94"/>
  <c r="P17" i="104"/>
  <c r="S17" i="104"/>
  <c r="V11" i="103"/>
  <c r="AD12" i="101"/>
  <c r="AD11" i="103"/>
  <c r="T11" i="104"/>
  <c r="X11" i="104"/>
  <c r="AB11" i="104"/>
  <c r="U12" i="101"/>
  <c r="W12" i="101"/>
  <c r="Y12" i="101"/>
  <c r="AA12" i="101"/>
  <c r="AC12" i="101"/>
  <c r="V26" i="103"/>
  <c r="AD26" i="103"/>
  <c r="T10" i="104"/>
  <c r="F58" i="104"/>
  <c r="X10" i="104"/>
  <c r="J58" i="104"/>
  <c r="AB10" i="104"/>
  <c r="N58" i="104"/>
  <c r="P14" i="104"/>
  <c r="U11" i="104"/>
  <c r="W11" i="104"/>
  <c r="Y11" i="104"/>
  <c r="AA11" i="104"/>
  <c r="AC11" i="104"/>
  <c r="P18" i="104"/>
  <c r="U12" i="104"/>
  <c r="W12" i="104"/>
  <c r="Y12" i="104"/>
  <c r="AA12" i="104"/>
  <c r="AC12" i="104"/>
  <c r="T12" i="104"/>
  <c r="X12" i="104"/>
  <c r="AB12" i="104"/>
  <c r="P21" i="104"/>
  <c r="S21" i="104"/>
  <c r="V11" i="101"/>
  <c r="T11" i="103"/>
  <c r="X11" i="103"/>
  <c r="Z11" i="103"/>
  <c r="AB11" i="103"/>
  <c r="S13" i="104"/>
  <c r="S15" i="104"/>
  <c r="S19" i="104"/>
  <c r="AC36" i="101"/>
  <c r="Y24" i="103"/>
  <c r="AC27" i="103"/>
  <c r="T14" i="103"/>
  <c r="X14" i="103"/>
  <c r="AB14" i="103"/>
  <c r="W15" i="104"/>
  <c r="W17" i="104"/>
  <c r="W19" i="104"/>
  <c r="W21" i="104"/>
  <c r="W18" i="94"/>
  <c r="D58" i="103"/>
  <c r="F58" i="103"/>
  <c r="H58" i="103"/>
  <c r="J58" i="103"/>
  <c r="L58" i="103"/>
  <c r="N58" i="103"/>
  <c r="Z26" i="103"/>
  <c r="U11" i="103"/>
  <c r="W11" i="103"/>
  <c r="Y11" i="103"/>
  <c r="AA11" i="103"/>
  <c r="AC11" i="103"/>
  <c r="T13" i="103"/>
  <c r="T26" i="103" s="1"/>
  <c r="X13" i="103"/>
  <c r="X23" i="103" s="1"/>
  <c r="AB13" i="103"/>
  <c r="AB26" i="103" s="1"/>
  <c r="P25" i="103"/>
  <c r="P26" i="103"/>
  <c r="P27" i="103"/>
  <c r="U27" i="103"/>
  <c r="P11" i="104"/>
  <c r="W10" i="104"/>
  <c r="S11" i="104"/>
  <c r="P12" i="104"/>
  <c r="S12" i="104"/>
  <c r="P13" i="104"/>
  <c r="P15" i="104"/>
  <c r="P16" i="104"/>
  <c r="P19" i="104"/>
  <c r="P20" i="104"/>
  <c r="X26" i="103"/>
  <c r="AA26" i="104"/>
  <c r="P34" i="104"/>
  <c r="P42" i="104"/>
  <c r="P50" i="104"/>
  <c r="V11" i="99"/>
  <c r="T12" i="99"/>
  <c r="V12" i="99"/>
  <c r="X12" i="99"/>
  <c r="Z12" i="99"/>
  <c r="AB12" i="99"/>
  <c r="AD12" i="99"/>
  <c r="T12" i="101"/>
  <c r="V12" i="101"/>
  <c r="X12" i="101"/>
  <c r="Z12" i="101"/>
  <c r="AB12" i="101"/>
  <c r="E58" i="103"/>
  <c r="G58" i="103"/>
  <c r="I58" i="103"/>
  <c r="K58" i="103"/>
  <c r="M58" i="103"/>
  <c r="P11" i="103"/>
  <c r="P12" i="103"/>
  <c r="P13" i="103"/>
  <c r="P14" i="103"/>
  <c r="P15" i="103"/>
  <c r="P16" i="103"/>
  <c r="P17" i="103"/>
  <c r="P18" i="103"/>
  <c r="P19" i="103"/>
  <c r="P20" i="103"/>
  <c r="P21" i="103"/>
  <c r="P22" i="103"/>
  <c r="U13" i="103"/>
  <c r="W13" i="103"/>
  <c r="Y13" i="103"/>
  <c r="AA13" i="103"/>
  <c r="AC13" i="103"/>
  <c r="P23" i="103"/>
  <c r="P24" i="103"/>
  <c r="P28" i="103"/>
  <c r="P29" i="103"/>
  <c r="P30" i="103"/>
  <c r="P31" i="103"/>
  <c r="U15" i="103"/>
  <c r="W15" i="103"/>
  <c r="Y15" i="103"/>
  <c r="AA15" i="103"/>
  <c r="AC15" i="103"/>
  <c r="P32" i="103"/>
  <c r="P33" i="103"/>
  <c r="P34" i="103"/>
  <c r="P35" i="103"/>
  <c r="U16" i="103"/>
  <c r="W16" i="103"/>
  <c r="Y16" i="103"/>
  <c r="AA16" i="103"/>
  <c r="S10" i="104"/>
  <c r="S16" i="104"/>
  <c r="S18" i="104"/>
  <c r="S20" i="104"/>
  <c r="U15" i="104"/>
  <c r="Y15" i="104"/>
  <c r="AC15" i="104"/>
  <c r="P30" i="104"/>
  <c r="U17" i="104"/>
  <c r="Y17" i="104"/>
  <c r="AC17" i="104"/>
  <c r="P38" i="104"/>
  <c r="U19" i="104"/>
  <c r="Y19" i="104"/>
  <c r="AC19" i="104"/>
  <c r="P46" i="104"/>
  <c r="U21" i="104"/>
  <c r="Y21" i="104"/>
  <c r="AC21" i="104"/>
  <c r="P54" i="104"/>
  <c r="AC16" i="103"/>
  <c r="P36" i="103"/>
  <c r="P37" i="103"/>
  <c r="P39" i="103"/>
  <c r="P40" i="103"/>
  <c r="P41" i="103"/>
  <c r="P42" i="103"/>
  <c r="P43" i="103"/>
  <c r="P44" i="103"/>
  <c r="P45" i="103"/>
  <c r="P46" i="103"/>
  <c r="P47" i="103"/>
  <c r="P48" i="103"/>
  <c r="P49" i="103"/>
  <c r="P50" i="103"/>
  <c r="P51" i="103"/>
  <c r="P52" i="103"/>
  <c r="P53" i="103"/>
  <c r="P54" i="103"/>
  <c r="P55" i="103"/>
  <c r="P56" i="103"/>
  <c r="P57" i="103"/>
  <c r="E58" i="104"/>
  <c r="G58" i="104"/>
  <c r="I58" i="104"/>
  <c r="K58" i="104"/>
  <c r="M58" i="104"/>
  <c r="AA10" i="104"/>
  <c r="V13" i="104"/>
  <c r="X13" i="104"/>
  <c r="Z13" i="104"/>
  <c r="AB13" i="104"/>
  <c r="AD13" i="104"/>
  <c r="P27" i="104"/>
  <c r="P28" i="104"/>
  <c r="P29" i="104"/>
  <c r="O32" i="104"/>
  <c r="P32" i="104"/>
  <c r="P33" i="104"/>
  <c r="O36" i="104"/>
  <c r="P36" i="104"/>
  <c r="P37" i="104"/>
  <c r="O40" i="104"/>
  <c r="P40" i="104"/>
  <c r="P41" i="104"/>
  <c r="O44" i="104"/>
  <c r="P44" i="104"/>
  <c r="P45" i="104"/>
  <c r="O48" i="104"/>
  <c r="P48" i="104"/>
  <c r="P49" i="104"/>
  <c r="O52" i="104"/>
  <c r="P52" i="104"/>
  <c r="P53" i="104"/>
  <c r="O56" i="104"/>
  <c r="P56" i="104"/>
  <c r="P57" i="104"/>
  <c r="P10" i="103"/>
  <c r="C58" i="103"/>
  <c r="O10" i="103"/>
  <c r="U10" i="103"/>
  <c r="Y10" i="103"/>
  <c r="AC10" i="103"/>
  <c r="O11" i="103"/>
  <c r="O12" i="103"/>
  <c r="O13" i="103"/>
  <c r="O14" i="103"/>
  <c r="O15" i="103"/>
  <c r="O16" i="103"/>
  <c r="O17" i="103"/>
  <c r="O18" i="103"/>
  <c r="O19" i="103"/>
  <c r="O20" i="103"/>
  <c r="O21" i="103"/>
  <c r="O22" i="103"/>
  <c r="O23" i="103"/>
  <c r="O24" i="103"/>
  <c r="O25" i="103"/>
  <c r="O26" i="103"/>
  <c r="O27" i="103"/>
  <c r="O28" i="103"/>
  <c r="O29" i="103"/>
  <c r="O31" i="103"/>
  <c r="O33" i="103"/>
  <c r="O35" i="103"/>
  <c r="O37" i="103"/>
  <c r="T11" i="101"/>
  <c r="X11" i="101"/>
  <c r="Z11" i="101"/>
  <c r="AB11" i="101"/>
  <c r="AD11" i="101"/>
  <c r="Y39" i="101"/>
  <c r="Y36" i="101"/>
  <c r="S10" i="103"/>
  <c r="W10" i="103"/>
  <c r="AA10" i="103"/>
  <c r="S11" i="103"/>
  <c r="S12" i="103"/>
  <c r="S13" i="103"/>
  <c r="S14" i="103"/>
  <c r="S15" i="103"/>
  <c r="S16" i="103"/>
  <c r="S24" i="103"/>
  <c r="W24" i="103"/>
  <c r="AA24" i="103"/>
  <c r="O30" i="103"/>
  <c r="O32" i="103"/>
  <c r="O34" i="103"/>
  <c r="O36" i="103"/>
  <c r="P38" i="103"/>
  <c r="O38" i="103"/>
  <c r="O39" i="103"/>
  <c r="O40" i="103"/>
  <c r="O41" i="103"/>
  <c r="O42" i="103"/>
  <c r="O43" i="103"/>
  <c r="O44" i="103"/>
  <c r="O45" i="103"/>
  <c r="O46" i="103"/>
  <c r="O47" i="103"/>
  <c r="O48" i="103"/>
  <c r="O49" i="103"/>
  <c r="O50" i="103"/>
  <c r="O51" i="103"/>
  <c r="O52" i="103"/>
  <c r="O53" i="103"/>
  <c r="O54" i="103"/>
  <c r="O55" i="103"/>
  <c r="O56" i="103"/>
  <c r="O57" i="103"/>
  <c r="AA27" i="104"/>
  <c r="AA24" i="104"/>
  <c r="AA23" i="104"/>
  <c r="P25" i="104"/>
  <c r="T13" i="104"/>
  <c r="P26" i="104"/>
  <c r="T14" i="104"/>
  <c r="H58" i="104"/>
  <c r="Z13" i="101"/>
  <c r="T10" i="103"/>
  <c r="V10" i="103"/>
  <c r="X10" i="103"/>
  <c r="Z10" i="103"/>
  <c r="AB10" i="103"/>
  <c r="AD10" i="103"/>
  <c r="V23" i="103"/>
  <c r="Z23" i="103"/>
  <c r="AD23" i="103"/>
  <c r="T24" i="103"/>
  <c r="V24" i="103"/>
  <c r="X24" i="103"/>
  <c r="Z24" i="103"/>
  <c r="AB24" i="103"/>
  <c r="AD24" i="103"/>
  <c r="C58" i="104"/>
  <c r="P10" i="104"/>
  <c r="O10" i="104"/>
  <c r="U10" i="104"/>
  <c r="Y10" i="104"/>
  <c r="AC10" i="104"/>
  <c r="O11" i="104"/>
  <c r="O12" i="104"/>
  <c r="O13" i="104"/>
  <c r="O14" i="104"/>
  <c r="O15" i="104"/>
  <c r="O16" i="104"/>
  <c r="O17" i="104"/>
  <c r="O18" i="104"/>
  <c r="O19" i="104"/>
  <c r="O20" i="104"/>
  <c r="O21" i="104"/>
  <c r="O22" i="104"/>
  <c r="O23" i="104"/>
  <c r="O24" i="104"/>
  <c r="P31" i="104"/>
  <c r="T15" i="104"/>
  <c r="V15" i="104"/>
  <c r="X15" i="104"/>
  <c r="Z15" i="104"/>
  <c r="AB15" i="104"/>
  <c r="AD15" i="104"/>
  <c r="P35" i="104"/>
  <c r="T16" i="104"/>
  <c r="V16" i="104"/>
  <c r="X16" i="104"/>
  <c r="Z16" i="104"/>
  <c r="AB16" i="104"/>
  <c r="AD16" i="104"/>
  <c r="P39" i="104"/>
  <c r="T17" i="104"/>
  <c r="V17" i="104"/>
  <c r="X17" i="104"/>
  <c r="Z17" i="104"/>
  <c r="AB17" i="104"/>
  <c r="AD17" i="104"/>
  <c r="P43" i="104"/>
  <c r="T18" i="104"/>
  <c r="V18" i="104"/>
  <c r="X18" i="104"/>
  <c r="Z18" i="104"/>
  <c r="AB18" i="104"/>
  <c r="AD18" i="104"/>
  <c r="P47" i="104"/>
  <c r="T19" i="104"/>
  <c r="V19" i="104"/>
  <c r="X19" i="104"/>
  <c r="Z19" i="104"/>
  <c r="AB19" i="104"/>
  <c r="AD19" i="104"/>
  <c r="P51" i="104"/>
  <c r="T20" i="104"/>
  <c r="V20" i="104"/>
  <c r="X20" i="104"/>
  <c r="Z20" i="104"/>
  <c r="AB20" i="104"/>
  <c r="AD20" i="104"/>
  <c r="P55" i="104"/>
  <c r="T21" i="104"/>
  <c r="V21" i="104"/>
  <c r="X21" i="104"/>
  <c r="Z21" i="104"/>
  <c r="AB21" i="104"/>
  <c r="AD21" i="104"/>
  <c r="D58" i="104"/>
  <c r="L58" i="104"/>
  <c r="V10" i="104"/>
  <c r="Z10" i="104"/>
  <c r="AD10" i="104"/>
  <c r="O25" i="104"/>
  <c r="O26" i="104"/>
  <c r="O27" i="104"/>
  <c r="O28" i="104"/>
  <c r="O29" i="104"/>
  <c r="O31" i="104"/>
  <c r="O33" i="104"/>
  <c r="O35" i="104"/>
  <c r="O37" i="104"/>
  <c r="O39" i="104"/>
  <c r="O41" i="104"/>
  <c r="O43" i="104"/>
  <c r="O45" i="104"/>
  <c r="O47" i="104"/>
  <c r="O49" i="104"/>
  <c r="O51" i="104"/>
  <c r="O53" i="104"/>
  <c r="O55" i="104"/>
  <c r="O57" i="104"/>
  <c r="AB12" i="98"/>
  <c r="U36" i="101"/>
  <c r="U39" i="101"/>
  <c r="AC39" i="101"/>
  <c r="T14" i="101"/>
  <c r="X14" i="101"/>
  <c r="AB14" i="101"/>
  <c r="U11" i="101"/>
  <c r="W11" i="101"/>
  <c r="Y11" i="101"/>
  <c r="AA11" i="101"/>
  <c r="AC11" i="101"/>
  <c r="T13" i="101"/>
  <c r="X13" i="101"/>
  <c r="AB13" i="101"/>
  <c r="P25" i="101"/>
  <c r="P26" i="101"/>
  <c r="P27" i="101"/>
  <c r="AA12" i="97"/>
  <c r="T12" i="98"/>
  <c r="P21" i="100"/>
  <c r="P23" i="100"/>
  <c r="P24" i="100"/>
  <c r="O34" i="100"/>
  <c r="O42" i="100"/>
  <c r="O50" i="100"/>
  <c r="O54" i="100"/>
  <c r="P11" i="101"/>
  <c r="P12" i="101"/>
  <c r="P13" i="101"/>
  <c r="P14" i="101"/>
  <c r="P15" i="101"/>
  <c r="P16" i="101"/>
  <c r="P17" i="101"/>
  <c r="P18" i="101"/>
  <c r="P19" i="101"/>
  <c r="P20" i="101"/>
  <c r="P21" i="101"/>
  <c r="P22" i="101"/>
  <c r="U13" i="101"/>
  <c r="W13" i="101"/>
  <c r="W35" i="101" s="1"/>
  <c r="Y13" i="101"/>
  <c r="AA13" i="101"/>
  <c r="AA35" i="101" s="1"/>
  <c r="AC13" i="101"/>
  <c r="AC35" i="101" s="1"/>
  <c r="P23" i="101"/>
  <c r="P24" i="101"/>
  <c r="P28" i="101"/>
  <c r="P29" i="101"/>
  <c r="P31" i="101"/>
  <c r="P32" i="101"/>
  <c r="P33" i="101"/>
  <c r="P34" i="101"/>
  <c r="P35" i="101"/>
  <c r="P36" i="101"/>
  <c r="P37" i="101"/>
  <c r="P38" i="101"/>
  <c r="P39" i="101"/>
  <c r="P40" i="101"/>
  <c r="P41" i="101"/>
  <c r="P42" i="101"/>
  <c r="P43" i="101"/>
  <c r="P44" i="101"/>
  <c r="P45" i="101"/>
  <c r="P46" i="101"/>
  <c r="P47" i="101"/>
  <c r="P48" i="101"/>
  <c r="P49" i="101"/>
  <c r="P50" i="101"/>
  <c r="P51" i="101"/>
  <c r="P52" i="101"/>
  <c r="P53" i="101"/>
  <c r="P54" i="101"/>
  <c r="P55" i="101"/>
  <c r="P56" i="101"/>
  <c r="P57" i="101"/>
  <c r="AC11" i="95"/>
  <c r="O38" i="100"/>
  <c r="S17" i="100"/>
  <c r="P10" i="101"/>
  <c r="O10" i="101"/>
  <c r="U10" i="101"/>
  <c r="Y10" i="101"/>
  <c r="AC10" i="101"/>
  <c r="O11" i="101"/>
  <c r="O12" i="101"/>
  <c r="O13" i="101"/>
  <c r="O14" i="101"/>
  <c r="O15" i="101"/>
  <c r="O16" i="101"/>
  <c r="O17" i="101"/>
  <c r="O18" i="101"/>
  <c r="O19" i="101"/>
  <c r="O20" i="101"/>
  <c r="O21" i="101"/>
  <c r="O22" i="101"/>
  <c r="O23" i="101"/>
  <c r="O24" i="101"/>
  <c r="O25" i="101"/>
  <c r="O26" i="101"/>
  <c r="O27" i="101"/>
  <c r="O28" i="101"/>
  <c r="O29" i="101"/>
  <c r="U11" i="97"/>
  <c r="S10" i="101"/>
  <c r="W10" i="101"/>
  <c r="AA10" i="101"/>
  <c r="S11" i="101"/>
  <c r="S12" i="101"/>
  <c r="S13" i="101"/>
  <c r="S14" i="101"/>
  <c r="S36" i="101"/>
  <c r="W36" i="101"/>
  <c r="AA36" i="101"/>
  <c r="P30" i="101"/>
  <c r="O30" i="101"/>
  <c r="O31" i="101"/>
  <c r="O32" i="101"/>
  <c r="O33" i="101"/>
  <c r="O34" i="101"/>
  <c r="O35" i="101"/>
  <c r="O36" i="101"/>
  <c r="O37" i="101"/>
  <c r="O38" i="101"/>
  <c r="O39" i="101"/>
  <c r="O40" i="101"/>
  <c r="O41" i="101"/>
  <c r="O42" i="101"/>
  <c r="O43" i="101"/>
  <c r="O44" i="101"/>
  <c r="O45" i="101"/>
  <c r="O46" i="101"/>
  <c r="O47" i="101"/>
  <c r="O48" i="101"/>
  <c r="O49" i="101"/>
  <c r="O50" i="101"/>
  <c r="O51" i="101"/>
  <c r="O52" i="101"/>
  <c r="O53" i="101"/>
  <c r="O54" i="101"/>
  <c r="O55" i="101"/>
  <c r="O56" i="101"/>
  <c r="O57" i="101"/>
  <c r="U11" i="96"/>
  <c r="W11" i="96"/>
  <c r="Y11" i="96"/>
  <c r="AA11" i="96"/>
  <c r="AC11" i="96"/>
  <c r="Y11" i="97"/>
  <c r="T11" i="99"/>
  <c r="X11" i="99"/>
  <c r="Z11" i="99"/>
  <c r="AB11" i="99"/>
  <c r="AD11" i="99"/>
  <c r="U12" i="99"/>
  <c r="W12" i="99"/>
  <c r="Y12" i="99"/>
  <c r="AA12" i="99"/>
  <c r="AC12" i="99"/>
  <c r="P17" i="100"/>
  <c r="T10" i="101"/>
  <c r="V10" i="101"/>
  <c r="X10" i="101"/>
  <c r="Z10" i="101"/>
  <c r="AB10" i="101"/>
  <c r="AD10" i="101"/>
  <c r="AD35" i="101"/>
  <c r="T36" i="101"/>
  <c r="V36" i="101"/>
  <c r="X36" i="101"/>
  <c r="Z36" i="101"/>
  <c r="AB36" i="101"/>
  <c r="AD36" i="101"/>
  <c r="V27" i="96"/>
  <c r="S11" i="97"/>
  <c r="W11" i="97"/>
  <c r="AA11" i="97"/>
  <c r="S12" i="97"/>
  <c r="U12" i="97"/>
  <c r="W12" i="97"/>
  <c r="Y12" i="97"/>
  <c r="AC12" i="97"/>
  <c r="Z13" i="99"/>
  <c r="Z26" i="99" s="1"/>
  <c r="T10" i="100"/>
  <c r="T22" i="100" s="1"/>
  <c r="X10" i="100"/>
  <c r="AB10" i="100"/>
  <c r="AB22" i="100" s="1"/>
  <c r="V11" i="100"/>
  <c r="Z11" i="100"/>
  <c r="AD11" i="100"/>
  <c r="U12" i="100"/>
  <c r="W12" i="100"/>
  <c r="Y12" i="100"/>
  <c r="AA12" i="100"/>
  <c r="AC12" i="100"/>
  <c r="V12" i="100"/>
  <c r="Z12" i="100"/>
  <c r="AD12" i="100"/>
  <c r="P22" i="100"/>
  <c r="S13" i="100"/>
  <c r="O30" i="100"/>
  <c r="S15" i="100"/>
  <c r="W15" i="100"/>
  <c r="W17" i="100"/>
  <c r="O46" i="100"/>
  <c r="S19" i="100"/>
  <c r="W19" i="100"/>
  <c r="W21" i="100"/>
  <c r="U11" i="95"/>
  <c r="Y11" i="95"/>
  <c r="P13" i="96"/>
  <c r="P20" i="96"/>
  <c r="P22" i="96"/>
  <c r="P23" i="96"/>
  <c r="P24" i="96"/>
  <c r="O25" i="96"/>
  <c r="O26" i="96"/>
  <c r="O27" i="96"/>
  <c r="O28" i="96"/>
  <c r="O29" i="96"/>
  <c r="O31" i="96"/>
  <c r="O32" i="96"/>
  <c r="O33" i="96"/>
  <c r="O34" i="96"/>
  <c r="O35" i="96"/>
  <c r="O36" i="96"/>
  <c r="O37" i="96"/>
  <c r="O39" i="96"/>
  <c r="O40" i="96"/>
  <c r="O41" i="96"/>
  <c r="O43" i="96"/>
  <c r="O44" i="96"/>
  <c r="O45" i="96"/>
  <c r="O47" i="96"/>
  <c r="O48" i="96"/>
  <c r="O49" i="96"/>
  <c r="O50" i="96"/>
  <c r="O51" i="96"/>
  <c r="O52" i="96"/>
  <c r="O53" i="96"/>
  <c r="O55" i="96"/>
  <c r="O56" i="96"/>
  <c r="O57" i="96"/>
  <c r="C58" i="97"/>
  <c r="E58" i="97"/>
  <c r="G58" i="97"/>
  <c r="I58" i="97"/>
  <c r="K58" i="97"/>
  <c r="M58" i="97"/>
  <c r="O11" i="97"/>
  <c r="O12" i="97"/>
  <c r="O13" i="97"/>
  <c r="T11" i="97"/>
  <c r="V11" i="97"/>
  <c r="X11" i="97"/>
  <c r="Z11" i="97"/>
  <c r="AB11" i="97"/>
  <c r="AD11" i="97"/>
  <c r="O16" i="97"/>
  <c r="O17" i="97"/>
  <c r="X11" i="98"/>
  <c r="V12" i="98"/>
  <c r="X12" i="98"/>
  <c r="Z12" i="98"/>
  <c r="AD12" i="98"/>
  <c r="D58" i="99"/>
  <c r="F58" i="99"/>
  <c r="H58" i="99"/>
  <c r="J58" i="99"/>
  <c r="L58" i="99"/>
  <c r="N58" i="99"/>
  <c r="U24" i="99"/>
  <c r="U27" i="99"/>
  <c r="T14" i="99"/>
  <c r="X14" i="99"/>
  <c r="AB14" i="99"/>
  <c r="F58" i="100"/>
  <c r="J58" i="100"/>
  <c r="N58" i="100"/>
  <c r="P14" i="100"/>
  <c r="S11" i="100"/>
  <c r="U11" i="100"/>
  <c r="W11" i="100"/>
  <c r="Y11" i="100"/>
  <c r="AA11" i="100"/>
  <c r="AC11" i="100"/>
  <c r="P18" i="100"/>
  <c r="S12" i="100"/>
  <c r="S21" i="100"/>
  <c r="U11" i="99"/>
  <c r="W11" i="99"/>
  <c r="Y11" i="99"/>
  <c r="AA11" i="99"/>
  <c r="AC11" i="99"/>
  <c r="T13" i="99"/>
  <c r="X13" i="99"/>
  <c r="AB13" i="99"/>
  <c r="P25" i="99"/>
  <c r="P26" i="99"/>
  <c r="P27" i="99"/>
  <c r="P11" i="100"/>
  <c r="W10" i="100"/>
  <c r="P12" i="100"/>
  <c r="P13" i="100"/>
  <c r="P15" i="100"/>
  <c r="P16" i="100"/>
  <c r="P19" i="100"/>
  <c r="P20" i="100"/>
  <c r="P34" i="100"/>
  <c r="P42" i="100"/>
  <c r="P50" i="100"/>
  <c r="O14" i="97"/>
  <c r="O15" i="97"/>
  <c r="P20" i="98"/>
  <c r="P23" i="98"/>
  <c r="P24" i="98"/>
  <c r="O25" i="98"/>
  <c r="O27" i="98"/>
  <c r="O28" i="98"/>
  <c r="O29" i="98"/>
  <c r="O30" i="98"/>
  <c r="O31" i="98"/>
  <c r="O32" i="98"/>
  <c r="O33" i="98"/>
  <c r="O35" i="98"/>
  <c r="O36" i="98"/>
  <c r="O37" i="98"/>
  <c r="O38" i="98"/>
  <c r="O39" i="98"/>
  <c r="O40" i="98"/>
  <c r="O41" i="98"/>
  <c r="O43" i="98"/>
  <c r="O44" i="98"/>
  <c r="O45" i="98"/>
  <c r="O47" i="98"/>
  <c r="O48" i="98"/>
  <c r="O49" i="98"/>
  <c r="O50" i="98"/>
  <c r="O51" i="98"/>
  <c r="O52" i="98"/>
  <c r="O53" i="98"/>
  <c r="O55" i="98"/>
  <c r="O56" i="98"/>
  <c r="O57" i="98"/>
  <c r="E58" i="99"/>
  <c r="G58" i="99"/>
  <c r="I58" i="99"/>
  <c r="K58" i="99"/>
  <c r="M58" i="99"/>
  <c r="P11" i="99"/>
  <c r="P12" i="99"/>
  <c r="P13" i="99"/>
  <c r="P14" i="99"/>
  <c r="P15" i="99"/>
  <c r="P16" i="99"/>
  <c r="P17" i="99"/>
  <c r="P18" i="99"/>
  <c r="P19" i="99"/>
  <c r="P20" i="99"/>
  <c r="P21" i="99"/>
  <c r="P22" i="99"/>
  <c r="U13" i="99"/>
  <c r="W13" i="99"/>
  <c r="Y13" i="99"/>
  <c r="Y26" i="99" s="1"/>
  <c r="AA13" i="99"/>
  <c r="AA26" i="99" s="1"/>
  <c r="AC13" i="99"/>
  <c r="AC23" i="99" s="1"/>
  <c r="P23" i="99"/>
  <c r="P24" i="99"/>
  <c r="P28" i="99"/>
  <c r="P29" i="99"/>
  <c r="P30" i="99"/>
  <c r="P31" i="99"/>
  <c r="P32" i="99"/>
  <c r="P33" i="99"/>
  <c r="P34" i="99"/>
  <c r="P35" i="99"/>
  <c r="S10" i="100"/>
  <c r="S16" i="100"/>
  <c r="S18" i="100"/>
  <c r="S20" i="100"/>
  <c r="U15" i="100"/>
  <c r="Y15" i="100"/>
  <c r="AC15" i="100"/>
  <c r="P30" i="100"/>
  <c r="U17" i="100"/>
  <c r="Y17" i="100"/>
  <c r="AC17" i="100"/>
  <c r="P38" i="100"/>
  <c r="U19" i="100"/>
  <c r="Y19" i="100"/>
  <c r="AC19" i="100"/>
  <c r="P46" i="100"/>
  <c r="U21" i="100"/>
  <c r="Y21" i="100"/>
  <c r="AC21" i="100"/>
  <c r="P54" i="100"/>
  <c r="P36" i="99"/>
  <c r="P37" i="99"/>
  <c r="P38" i="99"/>
  <c r="P39" i="99"/>
  <c r="P40" i="99"/>
  <c r="P41" i="99"/>
  <c r="P42" i="99"/>
  <c r="P43" i="99"/>
  <c r="P44" i="99"/>
  <c r="P45" i="99"/>
  <c r="P46" i="99"/>
  <c r="P47" i="99"/>
  <c r="P48" i="99"/>
  <c r="P49" i="99"/>
  <c r="P50" i="99"/>
  <c r="P51" i="99"/>
  <c r="P52" i="99"/>
  <c r="P53" i="99"/>
  <c r="P54" i="99"/>
  <c r="P55" i="99"/>
  <c r="P56" i="99"/>
  <c r="P57" i="99"/>
  <c r="E58" i="100"/>
  <c r="G58" i="100"/>
  <c r="I58" i="100"/>
  <c r="K58" i="100"/>
  <c r="M58" i="100"/>
  <c r="AA10" i="100"/>
  <c r="V13" i="100"/>
  <c r="X13" i="100"/>
  <c r="Z13" i="100"/>
  <c r="AB13" i="100"/>
  <c r="AD13" i="100"/>
  <c r="P27" i="100"/>
  <c r="P28" i="100"/>
  <c r="P29" i="100"/>
  <c r="O32" i="100"/>
  <c r="P32" i="100"/>
  <c r="P33" i="100"/>
  <c r="O36" i="100"/>
  <c r="P36" i="100"/>
  <c r="P37" i="100"/>
  <c r="O40" i="100"/>
  <c r="P40" i="100"/>
  <c r="P41" i="100"/>
  <c r="O44" i="100"/>
  <c r="P44" i="100"/>
  <c r="P45" i="100"/>
  <c r="O48" i="100"/>
  <c r="P48" i="100"/>
  <c r="P49" i="100"/>
  <c r="O52" i="100"/>
  <c r="P52" i="100"/>
  <c r="P53" i="100"/>
  <c r="O56" i="100"/>
  <c r="P56" i="100"/>
  <c r="P57" i="100"/>
  <c r="P10" i="99"/>
  <c r="C58" i="99"/>
  <c r="O10" i="99"/>
  <c r="U10" i="99"/>
  <c r="Y10" i="99"/>
  <c r="AC10" i="99"/>
  <c r="O11" i="99"/>
  <c r="O12" i="99"/>
  <c r="O13" i="99"/>
  <c r="O14" i="99"/>
  <c r="O15" i="99"/>
  <c r="O16" i="99"/>
  <c r="O17" i="99"/>
  <c r="O18" i="99"/>
  <c r="O19" i="99"/>
  <c r="O20" i="99"/>
  <c r="O21" i="99"/>
  <c r="O22" i="99"/>
  <c r="O23" i="99"/>
  <c r="O24" i="99"/>
  <c r="O25" i="99"/>
  <c r="O26" i="99"/>
  <c r="O27" i="99"/>
  <c r="S10" i="99"/>
  <c r="W10" i="99"/>
  <c r="AA10" i="99"/>
  <c r="S11" i="99"/>
  <c r="S12" i="99"/>
  <c r="S13" i="99"/>
  <c r="S14" i="99"/>
  <c r="S24" i="99"/>
  <c r="W24" i="99"/>
  <c r="AA24" i="99"/>
  <c r="O28" i="99"/>
  <c r="O29" i="99"/>
  <c r="O30" i="99"/>
  <c r="O31" i="99"/>
  <c r="O32" i="99"/>
  <c r="O33" i="99"/>
  <c r="O34" i="99"/>
  <c r="O35" i="99"/>
  <c r="O36" i="99"/>
  <c r="O37" i="99"/>
  <c r="O38" i="99"/>
  <c r="O39" i="99"/>
  <c r="O40" i="99"/>
  <c r="O41" i="99"/>
  <c r="O42" i="99"/>
  <c r="O43" i="99"/>
  <c r="O44" i="99"/>
  <c r="O45" i="99"/>
  <c r="O46" i="99"/>
  <c r="O47" i="99"/>
  <c r="O48" i="99"/>
  <c r="O49" i="99"/>
  <c r="O50" i="99"/>
  <c r="O51" i="99"/>
  <c r="O52" i="99"/>
  <c r="O53" i="99"/>
  <c r="O54" i="99"/>
  <c r="O55" i="99"/>
  <c r="O56" i="99"/>
  <c r="O57" i="99"/>
  <c r="AA27" i="100"/>
  <c r="AA24" i="100"/>
  <c r="P25" i="100"/>
  <c r="T13" i="100"/>
  <c r="P26" i="100"/>
  <c r="T14" i="100"/>
  <c r="H58" i="100"/>
  <c r="P45" i="97"/>
  <c r="P46" i="97"/>
  <c r="P47" i="97"/>
  <c r="P48" i="97"/>
  <c r="T11" i="98"/>
  <c r="V11" i="98"/>
  <c r="Z11" i="98"/>
  <c r="AB11" i="98"/>
  <c r="AD11" i="98"/>
  <c r="T10" i="99"/>
  <c r="V10" i="99"/>
  <c r="X10" i="99"/>
  <c r="Z10" i="99"/>
  <c r="AB10" i="99"/>
  <c r="AD10" i="99"/>
  <c r="T24" i="99"/>
  <c r="V24" i="99"/>
  <c r="Z24" i="99"/>
  <c r="AD24" i="99"/>
  <c r="C58" i="100"/>
  <c r="P10" i="100"/>
  <c r="O10" i="100"/>
  <c r="U10" i="100"/>
  <c r="Y10" i="100"/>
  <c r="AC10" i="100"/>
  <c r="O11" i="100"/>
  <c r="O12" i="100"/>
  <c r="O13" i="100"/>
  <c r="O14" i="100"/>
  <c r="O15" i="100"/>
  <c r="O16" i="100"/>
  <c r="O17" i="100"/>
  <c r="O18" i="100"/>
  <c r="O19" i="100"/>
  <c r="O20" i="100"/>
  <c r="O21" i="100"/>
  <c r="O22" i="100"/>
  <c r="O23" i="100"/>
  <c r="O24" i="100"/>
  <c r="P31" i="100"/>
  <c r="T15" i="100"/>
  <c r="V15" i="100"/>
  <c r="X15" i="100"/>
  <c r="Z15" i="100"/>
  <c r="AB15" i="100"/>
  <c r="AD15" i="100"/>
  <c r="P35" i="100"/>
  <c r="T16" i="100"/>
  <c r="V16" i="100"/>
  <c r="X16" i="100"/>
  <c r="Z16" i="100"/>
  <c r="AB16" i="100"/>
  <c r="AD16" i="100"/>
  <c r="P39" i="100"/>
  <c r="T17" i="100"/>
  <c r="V17" i="100"/>
  <c r="X17" i="100"/>
  <c r="Z17" i="100"/>
  <c r="AB17" i="100"/>
  <c r="AD17" i="100"/>
  <c r="P43" i="100"/>
  <c r="T18" i="100"/>
  <c r="V18" i="100"/>
  <c r="X18" i="100"/>
  <c r="Z18" i="100"/>
  <c r="AB18" i="100"/>
  <c r="AD18" i="100"/>
  <c r="P47" i="100"/>
  <c r="T19" i="100"/>
  <c r="V19" i="100"/>
  <c r="X19" i="100"/>
  <c r="Z19" i="100"/>
  <c r="AB19" i="100"/>
  <c r="AD19" i="100"/>
  <c r="P51" i="100"/>
  <c r="T20" i="100"/>
  <c r="V20" i="100"/>
  <c r="X20" i="100"/>
  <c r="Z20" i="100"/>
  <c r="AB20" i="100"/>
  <c r="AD20" i="100"/>
  <c r="P55" i="100"/>
  <c r="T21" i="100"/>
  <c r="V21" i="100"/>
  <c r="X21" i="100"/>
  <c r="Z21" i="100"/>
  <c r="AB21" i="100"/>
  <c r="AD21" i="100"/>
  <c r="D58" i="100"/>
  <c r="L58" i="100"/>
  <c r="V10" i="100"/>
  <c r="Z10" i="100"/>
  <c r="AD10" i="100"/>
  <c r="O25" i="100"/>
  <c r="O26" i="100"/>
  <c r="O27" i="100"/>
  <c r="O28" i="100"/>
  <c r="O29" i="100"/>
  <c r="O31" i="100"/>
  <c r="O33" i="100"/>
  <c r="O35" i="100"/>
  <c r="O37" i="100"/>
  <c r="O39" i="100"/>
  <c r="O41" i="100"/>
  <c r="O43" i="100"/>
  <c r="O45" i="100"/>
  <c r="O47" i="100"/>
  <c r="O49" i="100"/>
  <c r="O51" i="100"/>
  <c r="O53" i="100"/>
  <c r="O55" i="100"/>
  <c r="O57" i="100"/>
  <c r="O46" i="98"/>
  <c r="S19" i="98"/>
  <c r="T12" i="97"/>
  <c r="V12" i="97"/>
  <c r="X12" i="97"/>
  <c r="Z12" i="97"/>
  <c r="AB12" i="97"/>
  <c r="AD12" i="97"/>
  <c r="U11" i="98"/>
  <c r="W11" i="98"/>
  <c r="Y11" i="98"/>
  <c r="AA11" i="98"/>
  <c r="AC11" i="98"/>
  <c r="S15" i="98"/>
  <c r="V12" i="94"/>
  <c r="S11" i="95"/>
  <c r="W11" i="95"/>
  <c r="AA11" i="95"/>
  <c r="Z12" i="95"/>
  <c r="O20" i="97"/>
  <c r="O22" i="97"/>
  <c r="O23" i="97"/>
  <c r="O24" i="97"/>
  <c r="O25" i="97"/>
  <c r="O26" i="97"/>
  <c r="O27" i="97"/>
  <c r="O28" i="97"/>
  <c r="O29" i="97"/>
  <c r="O30" i="97"/>
  <c r="O31" i="97"/>
  <c r="O32" i="97"/>
  <c r="O33" i="97"/>
  <c r="O34" i="97"/>
  <c r="O35" i="97"/>
  <c r="O37" i="97"/>
  <c r="O38" i="97"/>
  <c r="O39" i="97"/>
  <c r="O40" i="97"/>
  <c r="O41" i="97"/>
  <c r="O42" i="97"/>
  <c r="O43" i="97"/>
  <c r="O44" i="97"/>
  <c r="P17" i="98"/>
  <c r="U12" i="98"/>
  <c r="W12" i="98"/>
  <c r="Y12" i="98"/>
  <c r="AA12" i="98"/>
  <c r="AC12" i="98"/>
  <c r="W26" i="97"/>
  <c r="AA26" i="97"/>
  <c r="P15" i="98"/>
  <c r="S11" i="98"/>
  <c r="P19" i="98"/>
  <c r="S12" i="98"/>
  <c r="U27" i="98"/>
  <c r="P22" i="98"/>
  <c r="S13" i="98"/>
  <c r="U26" i="98"/>
  <c r="W26" i="98"/>
  <c r="Y26" i="98"/>
  <c r="AA26" i="98"/>
  <c r="O26" i="98"/>
  <c r="S14" i="98"/>
  <c r="O34" i="98"/>
  <c r="S16" i="98"/>
  <c r="O42" i="98"/>
  <c r="S18" i="98"/>
  <c r="O54" i="98"/>
  <c r="S21" i="98"/>
  <c r="T11" i="95"/>
  <c r="V11" i="95"/>
  <c r="X11" i="95"/>
  <c r="Z11" i="95"/>
  <c r="AB11" i="95"/>
  <c r="AD11" i="95"/>
  <c r="D58" i="97"/>
  <c r="F58" i="97"/>
  <c r="H58" i="97"/>
  <c r="J58" i="97"/>
  <c r="L58" i="97"/>
  <c r="N58" i="97"/>
  <c r="T26" i="97"/>
  <c r="Z26" i="97"/>
  <c r="AD26" i="97"/>
  <c r="O18" i="97"/>
  <c r="S18" i="97"/>
  <c r="O19" i="97"/>
  <c r="S27" i="97"/>
  <c r="U27" i="97"/>
  <c r="W27" i="97"/>
  <c r="Y27" i="97"/>
  <c r="AA27" i="97"/>
  <c r="AC27" i="97"/>
  <c r="O21" i="97"/>
  <c r="P40" i="97"/>
  <c r="P41" i="97"/>
  <c r="P42" i="97"/>
  <c r="P43" i="97"/>
  <c r="P44" i="97"/>
  <c r="D58" i="98"/>
  <c r="F58" i="98"/>
  <c r="H58" i="98"/>
  <c r="J58" i="98"/>
  <c r="L58" i="98"/>
  <c r="N58" i="98"/>
  <c r="Z26" i="98"/>
  <c r="S17" i="98"/>
  <c r="S20" i="98"/>
  <c r="O45" i="97"/>
  <c r="O46" i="97"/>
  <c r="O47" i="97"/>
  <c r="O48" i="97"/>
  <c r="O49" i="97"/>
  <c r="O50" i="97"/>
  <c r="O51" i="97"/>
  <c r="O52" i="97"/>
  <c r="O53" i="97"/>
  <c r="O54" i="97"/>
  <c r="O55" i="97"/>
  <c r="O56" i="97"/>
  <c r="O57" i="97"/>
  <c r="C58" i="98"/>
  <c r="E58" i="98"/>
  <c r="G58" i="98"/>
  <c r="I58" i="98"/>
  <c r="K58" i="98"/>
  <c r="M58" i="98"/>
  <c r="P11" i="98"/>
  <c r="P12" i="98"/>
  <c r="P13" i="98"/>
  <c r="P14" i="98"/>
  <c r="P16" i="98"/>
  <c r="P18" i="98"/>
  <c r="P21" i="98"/>
  <c r="P43" i="98"/>
  <c r="P44" i="98"/>
  <c r="P45" i="98"/>
  <c r="P46" i="98"/>
  <c r="P47" i="98"/>
  <c r="P48" i="98"/>
  <c r="P49" i="98"/>
  <c r="P50" i="98"/>
  <c r="P51" i="98"/>
  <c r="P52" i="98"/>
  <c r="Z11" i="94"/>
  <c r="AD12" i="94"/>
  <c r="V12" i="95"/>
  <c r="AD12" i="95"/>
  <c r="T11" i="96"/>
  <c r="V11" i="96"/>
  <c r="X11" i="96"/>
  <c r="Z11" i="96"/>
  <c r="AB11" i="96"/>
  <c r="AD11" i="96"/>
  <c r="P10" i="97"/>
  <c r="T10" i="97"/>
  <c r="V10" i="97"/>
  <c r="X10" i="97"/>
  <c r="Z10" i="97"/>
  <c r="AB10" i="97"/>
  <c r="AD10" i="97"/>
  <c r="P11" i="97"/>
  <c r="P12" i="97"/>
  <c r="P13" i="97"/>
  <c r="P14" i="97"/>
  <c r="P15" i="97"/>
  <c r="P16" i="97"/>
  <c r="P17" i="97"/>
  <c r="P18" i="97"/>
  <c r="P19" i="97"/>
  <c r="P20" i="97"/>
  <c r="P21" i="97"/>
  <c r="P22" i="97"/>
  <c r="P23" i="97"/>
  <c r="T23" i="97"/>
  <c r="Z23" i="97"/>
  <c r="P24" i="97"/>
  <c r="T24" i="97"/>
  <c r="V24" i="97"/>
  <c r="X24" i="97"/>
  <c r="Z24" i="97"/>
  <c r="AB24" i="97"/>
  <c r="AD24" i="97"/>
  <c r="P25" i="97"/>
  <c r="P26" i="97"/>
  <c r="P27" i="97"/>
  <c r="P28" i="97"/>
  <c r="P29" i="97"/>
  <c r="P30" i="97"/>
  <c r="P31" i="97"/>
  <c r="P32" i="97"/>
  <c r="P33" i="97"/>
  <c r="P34" i="97"/>
  <c r="P35" i="97"/>
  <c r="S12" i="96"/>
  <c r="W12" i="96"/>
  <c r="AA12" i="96"/>
  <c r="O10" i="97"/>
  <c r="S10" i="97"/>
  <c r="U10" i="97"/>
  <c r="W10" i="97"/>
  <c r="Y10" i="97"/>
  <c r="AA10" i="97"/>
  <c r="AC10" i="97"/>
  <c r="W23" i="97"/>
  <c r="AA23" i="97"/>
  <c r="S24" i="97"/>
  <c r="U24" i="97"/>
  <c r="W24" i="97"/>
  <c r="Y24" i="97"/>
  <c r="AA24" i="97"/>
  <c r="AC24" i="97"/>
  <c r="O36" i="97"/>
  <c r="P36" i="97"/>
  <c r="P37" i="97"/>
  <c r="P38" i="97"/>
  <c r="P39" i="97"/>
  <c r="P49" i="97"/>
  <c r="P50" i="97"/>
  <c r="P51" i="97"/>
  <c r="P52" i="97"/>
  <c r="P53" i="97"/>
  <c r="P54" i="97"/>
  <c r="P55" i="97"/>
  <c r="P56" i="97"/>
  <c r="P57" i="97"/>
  <c r="O10" i="98"/>
  <c r="S10" i="98"/>
  <c r="U10" i="98"/>
  <c r="W10" i="98"/>
  <c r="Y10" i="98"/>
  <c r="AA10" i="98"/>
  <c r="AC10" i="98"/>
  <c r="O11" i="98"/>
  <c r="O12" i="98"/>
  <c r="O13" i="98"/>
  <c r="O14" i="98"/>
  <c r="O15" i="98"/>
  <c r="O16" i="98"/>
  <c r="O17" i="98"/>
  <c r="O18" i="98"/>
  <c r="O19" i="98"/>
  <c r="Y27" i="98"/>
  <c r="Y24" i="98"/>
  <c r="AA27" i="98"/>
  <c r="AA24" i="98"/>
  <c r="AC27" i="98"/>
  <c r="AC24" i="98"/>
  <c r="O20" i="98"/>
  <c r="O21" i="98"/>
  <c r="O22" i="98"/>
  <c r="O23" i="98"/>
  <c r="U23" i="98"/>
  <c r="W23" i="98"/>
  <c r="Y23" i="98"/>
  <c r="AA23" i="98"/>
  <c r="O24" i="98"/>
  <c r="U24" i="98"/>
  <c r="P10" i="98"/>
  <c r="T10" i="98"/>
  <c r="V10" i="98"/>
  <c r="X10" i="98"/>
  <c r="Z10" i="98"/>
  <c r="AB10" i="98"/>
  <c r="AD10" i="98"/>
  <c r="X27" i="98"/>
  <c r="X24" i="98"/>
  <c r="X23" i="98"/>
  <c r="Z23" i="98"/>
  <c r="P25" i="98"/>
  <c r="P26" i="98"/>
  <c r="P27" i="98"/>
  <c r="P28" i="98"/>
  <c r="P29" i="98"/>
  <c r="P30" i="98"/>
  <c r="P31" i="98"/>
  <c r="P32" i="98"/>
  <c r="P33" i="98"/>
  <c r="P34" i="98"/>
  <c r="P35" i="98"/>
  <c r="P36" i="98"/>
  <c r="P37" i="98"/>
  <c r="P38" i="98"/>
  <c r="P39" i="98"/>
  <c r="P40" i="98"/>
  <c r="P41" i="98"/>
  <c r="P42" i="98"/>
  <c r="P53" i="98"/>
  <c r="P54" i="98"/>
  <c r="P55" i="98"/>
  <c r="P56" i="98"/>
  <c r="P57" i="98"/>
  <c r="O42" i="96"/>
  <c r="S18" i="96"/>
  <c r="T11" i="94"/>
  <c r="V11" i="94"/>
  <c r="X11" i="94"/>
  <c r="AB11" i="94"/>
  <c r="AD11" i="94"/>
  <c r="T12" i="94"/>
  <c r="X12" i="94"/>
  <c r="Z12" i="94"/>
  <c r="AB12" i="94"/>
  <c r="D58" i="95"/>
  <c r="F58" i="95"/>
  <c r="H58" i="95"/>
  <c r="J58" i="95"/>
  <c r="L58" i="95"/>
  <c r="N58" i="95"/>
  <c r="T26" i="95"/>
  <c r="AD27" i="95"/>
  <c r="S13" i="96"/>
  <c r="P14" i="96"/>
  <c r="S11" i="96"/>
  <c r="S14" i="96"/>
  <c r="T12" i="95"/>
  <c r="X12" i="95"/>
  <c r="AB12" i="95"/>
  <c r="P21" i="95"/>
  <c r="P22" i="95"/>
  <c r="P23" i="95"/>
  <c r="P24" i="95"/>
  <c r="P25" i="95"/>
  <c r="P26" i="95"/>
  <c r="P27" i="95"/>
  <c r="P28" i="95"/>
  <c r="P29" i="95"/>
  <c r="P30" i="95"/>
  <c r="P31" i="95"/>
  <c r="P32" i="95"/>
  <c r="P33" i="95"/>
  <c r="P34" i="95"/>
  <c r="P35" i="95"/>
  <c r="O37" i="95"/>
  <c r="O39" i="95"/>
  <c r="O40" i="95"/>
  <c r="O41" i="95"/>
  <c r="O42" i="95"/>
  <c r="O43" i="95"/>
  <c r="O44" i="95"/>
  <c r="O45" i="95"/>
  <c r="O47" i="95"/>
  <c r="O48" i="95"/>
  <c r="O49" i="95"/>
  <c r="O50" i="95"/>
  <c r="O51" i="95"/>
  <c r="O52" i="95"/>
  <c r="O53" i="95"/>
  <c r="O54" i="95"/>
  <c r="O55" i="95"/>
  <c r="O56" i="95"/>
  <c r="O57" i="95"/>
  <c r="C58" i="96"/>
  <c r="E58" i="96"/>
  <c r="G58" i="96"/>
  <c r="I58" i="96"/>
  <c r="K58" i="96"/>
  <c r="M58" i="96"/>
  <c r="P11" i="96"/>
  <c r="S10" i="94"/>
  <c r="W10" i="94"/>
  <c r="P18" i="95"/>
  <c r="T27" i="95"/>
  <c r="X27" i="95"/>
  <c r="AB27" i="95"/>
  <c r="P20" i="95"/>
  <c r="U12" i="95"/>
  <c r="W12" i="95"/>
  <c r="Y12" i="95"/>
  <c r="AA12" i="95"/>
  <c r="AC12" i="95"/>
  <c r="P12" i="96"/>
  <c r="P16" i="96"/>
  <c r="P18" i="96"/>
  <c r="U12" i="96"/>
  <c r="Y12" i="96"/>
  <c r="AC12" i="96"/>
  <c r="T12" i="96"/>
  <c r="V12" i="96"/>
  <c r="X12" i="96"/>
  <c r="Z12" i="96"/>
  <c r="AB12" i="96"/>
  <c r="AD12" i="96"/>
  <c r="O38" i="95"/>
  <c r="S17" i="95"/>
  <c r="O46" i="95"/>
  <c r="S19" i="95"/>
  <c r="Y27" i="95"/>
  <c r="AA27" i="95"/>
  <c r="O30" i="96"/>
  <c r="S15" i="96"/>
  <c r="O38" i="96"/>
  <c r="S17" i="96"/>
  <c r="O46" i="96"/>
  <c r="S19" i="96"/>
  <c r="U27" i="96"/>
  <c r="O54" i="96"/>
  <c r="S21" i="96"/>
  <c r="P14" i="94"/>
  <c r="U11" i="94"/>
  <c r="W11" i="94"/>
  <c r="Y11" i="94"/>
  <c r="AA11" i="94"/>
  <c r="AC11" i="94"/>
  <c r="P16" i="94"/>
  <c r="P18" i="94"/>
  <c r="U12" i="94"/>
  <c r="W12" i="94"/>
  <c r="Y12" i="94"/>
  <c r="AA12" i="94"/>
  <c r="AC12" i="94"/>
  <c r="P20" i="94"/>
  <c r="P22" i="94"/>
  <c r="P23" i="94"/>
  <c r="P24" i="94"/>
  <c r="O30" i="94"/>
  <c r="O34" i="94"/>
  <c r="O38" i="94"/>
  <c r="O42" i="94"/>
  <c r="O46" i="94"/>
  <c r="O50" i="94"/>
  <c r="O54" i="94"/>
  <c r="C58" i="95"/>
  <c r="E58" i="95"/>
  <c r="G58" i="95"/>
  <c r="I58" i="95"/>
  <c r="K58" i="95"/>
  <c r="M58" i="95"/>
  <c r="P11" i="95"/>
  <c r="P12" i="95"/>
  <c r="S12" i="95"/>
  <c r="P13" i="95"/>
  <c r="S13" i="95"/>
  <c r="P14" i="95"/>
  <c r="S14" i="95"/>
  <c r="P15" i="95"/>
  <c r="S15" i="95"/>
  <c r="P16" i="95"/>
  <c r="S16" i="95"/>
  <c r="S18" i="95"/>
  <c r="S21" i="95"/>
  <c r="S16" i="96"/>
  <c r="T27" i="96"/>
  <c r="S20" i="96"/>
  <c r="P17" i="95"/>
  <c r="P19" i="95"/>
  <c r="P49" i="95"/>
  <c r="P50" i="95"/>
  <c r="P51" i="95"/>
  <c r="P52" i="95"/>
  <c r="P53" i="95"/>
  <c r="P54" i="95"/>
  <c r="P55" i="95"/>
  <c r="P56" i="95"/>
  <c r="P57" i="95"/>
  <c r="D58" i="96"/>
  <c r="F58" i="96"/>
  <c r="H58" i="96"/>
  <c r="J58" i="96"/>
  <c r="L58" i="96"/>
  <c r="N58" i="96"/>
  <c r="V26" i="96"/>
  <c r="X26" i="96"/>
  <c r="Z26" i="96"/>
  <c r="P15" i="96"/>
  <c r="P17" i="96"/>
  <c r="P19" i="96"/>
  <c r="P21" i="96"/>
  <c r="O10" i="95"/>
  <c r="S10" i="95"/>
  <c r="U10" i="95"/>
  <c r="W10" i="95"/>
  <c r="Y10" i="95"/>
  <c r="AA10" i="95"/>
  <c r="AC10" i="95"/>
  <c r="O11" i="95"/>
  <c r="O12" i="95"/>
  <c r="O13" i="95"/>
  <c r="O14" i="95"/>
  <c r="O15" i="95"/>
  <c r="O16" i="95"/>
  <c r="O17" i="95"/>
  <c r="O18" i="95"/>
  <c r="O19" i="95"/>
  <c r="O20" i="95"/>
  <c r="O21" i="95"/>
  <c r="O22" i="95"/>
  <c r="O23" i="95"/>
  <c r="W23" i="95"/>
  <c r="AA23" i="95"/>
  <c r="O24" i="95"/>
  <c r="Y24" i="95"/>
  <c r="AA24" i="95"/>
  <c r="O25" i="95"/>
  <c r="O26" i="95"/>
  <c r="O27" i="95"/>
  <c r="O28" i="95"/>
  <c r="O29" i="95"/>
  <c r="O30" i="95"/>
  <c r="O31" i="95"/>
  <c r="O32" i="95"/>
  <c r="O33" i="95"/>
  <c r="O34" i="95"/>
  <c r="O35" i="95"/>
  <c r="O36" i="95"/>
  <c r="P36" i="95"/>
  <c r="T10" i="94"/>
  <c r="F58" i="94"/>
  <c r="X10" i="94"/>
  <c r="J58" i="94"/>
  <c r="AB10" i="94"/>
  <c r="N58" i="94"/>
  <c r="P11" i="94"/>
  <c r="S11" i="94"/>
  <c r="P12" i="94"/>
  <c r="S12" i="94"/>
  <c r="P13" i="94"/>
  <c r="S13" i="94"/>
  <c r="P15" i="94"/>
  <c r="P17" i="94"/>
  <c r="P19" i="94"/>
  <c r="P21" i="94"/>
  <c r="P10" i="95"/>
  <c r="T10" i="95"/>
  <c r="V10" i="95"/>
  <c r="X10" i="95"/>
  <c r="Z10" i="95"/>
  <c r="AB10" i="95"/>
  <c r="AD10" i="95"/>
  <c r="T23" i="95"/>
  <c r="AD23" i="95"/>
  <c r="T24" i="95"/>
  <c r="X24" i="95"/>
  <c r="AB24" i="95"/>
  <c r="AD24" i="95"/>
  <c r="P37" i="95"/>
  <c r="P38" i="95"/>
  <c r="P39" i="95"/>
  <c r="P40" i="95"/>
  <c r="P41" i="95"/>
  <c r="P42" i="95"/>
  <c r="P43" i="95"/>
  <c r="P44" i="95"/>
  <c r="P45" i="95"/>
  <c r="P46" i="95"/>
  <c r="P47" i="95"/>
  <c r="P48" i="95"/>
  <c r="O10" i="96"/>
  <c r="S10" i="96"/>
  <c r="U10" i="96"/>
  <c r="W10" i="96"/>
  <c r="Y10" i="96"/>
  <c r="AA10" i="96"/>
  <c r="AC10" i="96"/>
  <c r="O11" i="96"/>
  <c r="O12" i="96"/>
  <c r="O13" i="96"/>
  <c r="O14" i="96"/>
  <c r="O15" i="96"/>
  <c r="O16" i="96"/>
  <c r="O17" i="96"/>
  <c r="O18" i="96"/>
  <c r="O19" i="96"/>
  <c r="AA27" i="96"/>
  <c r="AA24" i="96"/>
  <c r="AC27" i="96"/>
  <c r="AC24" i="96"/>
  <c r="O20" i="96"/>
  <c r="O21" i="96"/>
  <c r="O22" i="96"/>
  <c r="O23" i="96"/>
  <c r="O24" i="96"/>
  <c r="U24" i="96"/>
  <c r="P10" i="96"/>
  <c r="T10" i="96"/>
  <c r="V10" i="96"/>
  <c r="X10" i="96"/>
  <c r="Z10" i="96"/>
  <c r="AB10" i="96"/>
  <c r="AD10" i="96"/>
  <c r="X27" i="96"/>
  <c r="X24" i="96"/>
  <c r="Z27" i="96"/>
  <c r="Z24" i="96"/>
  <c r="AB27" i="96"/>
  <c r="AB24" i="96"/>
  <c r="AD27" i="96"/>
  <c r="AD24" i="96"/>
  <c r="V23" i="96"/>
  <c r="Z23" i="96"/>
  <c r="T24" i="96"/>
  <c r="V24" i="96"/>
  <c r="P25" i="96"/>
  <c r="P26" i="96"/>
  <c r="P27" i="96"/>
  <c r="P28" i="96"/>
  <c r="P29" i="96"/>
  <c r="P30" i="96"/>
  <c r="P31" i="96"/>
  <c r="P32" i="96"/>
  <c r="P33" i="96"/>
  <c r="P34" i="96"/>
  <c r="P35" i="96"/>
  <c r="P36" i="96"/>
  <c r="P37" i="96"/>
  <c r="P38" i="96"/>
  <c r="P39" i="96"/>
  <c r="P40" i="96"/>
  <c r="P41" i="96"/>
  <c r="P42" i="96"/>
  <c r="P43" i="96"/>
  <c r="P44" i="96"/>
  <c r="P45" i="96"/>
  <c r="P46" i="96"/>
  <c r="P47" i="96"/>
  <c r="P48" i="96"/>
  <c r="P49" i="96"/>
  <c r="P50" i="96"/>
  <c r="P51" i="96"/>
  <c r="P52" i="96"/>
  <c r="P53" i="96"/>
  <c r="P54" i="96"/>
  <c r="P55" i="96"/>
  <c r="P56" i="96"/>
  <c r="P57" i="96"/>
  <c r="P30" i="94"/>
  <c r="P34" i="94"/>
  <c r="P38" i="94"/>
  <c r="P42" i="94"/>
  <c r="P46" i="94"/>
  <c r="P50" i="94"/>
  <c r="P54" i="94"/>
  <c r="E58" i="94"/>
  <c r="G58" i="94"/>
  <c r="I58" i="94"/>
  <c r="K58" i="94"/>
  <c r="M58" i="94"/>
  <c r="AA10" i="94"/>
  <c r="V13" i="94"/>
  <c r="X13" i="94"/>
  <c r="Z13" i="94"/>
  <c r="AB13" i="94"/>
  <c r="AD13" i="94"/>
  <c r="P27" i="94"/>
  <c r="P28" i="94"/>
  <c r="P29" i="94"/>
  <c r="O32" i="94"/>
  <c r="P32" i="94"/>
  <c r="P33" i="94"/>
  <c r="O36" i="94"/>
  <c r="P36" i="94"/>
  <c r="P37" i="94"/>
  <c r="O40" i="94"/>
  <c r="P40" i="94"/>
  <c r="P41" i="94"/>
  <c r="O44" i="94"/>
  <c r="P44" i="94"/>
  <c r="P45" i="94"/>
  <c r="O48" i="94"/>
  <c r="P48" i="94"/>
  <c r="P49" i="94"/>
  <c r="O52" i="94"/>
  <c r="P52" i="94"/>
  <c r="P53" i="94"/>
  <c r="O56" i="94"/>
  <c r="P56" i="94"/>
  <c r="P57" i="94"/>
  <c r="P25" i="94"/>
  <c r="T13" i="94"/>
  <c r="P26" i="94"/>
  <c r="T14" i="94"/>
  <c r="H58" i="94"/>
  <c r="C58" i="94"/>
  <c r="P10" i="94"/>
  <c r="O10" i="94"/>
  <c r="U10" i="94"/>
  <c r="Y10" i="94"/>
  <c r="AC10" i="94"/>
  <c r="O11" i="94"/>
  <c r="O12" i="94"/>
  <c r="O13" i="94"/>
  <c r="O14" i="94"/>
  <c r="O15" i="94"/>
  <c r="O16" i="94"/>
  <c r="O17" i="94"/>
  <c r="O18" i="94"/>
  <c r="O19" i="94"/>
  <c r="O20" i="94"/>
  <c r="O21" i="94"/>
  <c r="O22" i="94"/>
  <c r="O23" i="94"/>
  <c r="O24" i="94"/>
  <c r="P31" i="94"/>
  <c r="T15" i="94"/>
  <c r="V15" i="94"/>
  <c r="X15" i="94"/>
  <c r="Z15" i="94"/>
  <c r="AB15" i="94"/>
  <c r="AD15" i="94"/>
  <c r="P35" i="94"/>
  <c r="T16" i="94"/>
  <c r="V16" i="94"/>
  <c r="X16" i="94"/>
  <c r="Z16" i="94"/>
  <c r="AB16" i="94"/>
  <c r="AD16" i="94"/>
  <c r="P39" i="94"/>
  <c r="T17" i="94"/>
  <c r="V17" i="94"/>
  <c r="X17" i="94"/>
  <c r="Z17" i="94"/>
  <c r="AB17" i="94"/>
  <c r="AD17" i="94"/>
  <c r="P43" i="94"/>
  <c r="T18" i="94"/>
  <c r="V18" i="94"/>
  <c r="X18" i="94"/>
  <c r="Z18" i="94"/>
  <c r="AB18" i="94"/>
  <c r="AD18" i="94"/>
  <c r="P47" i="94"/>
  <c r="T19" i="94"/>
  <c r="V19" i="94"/>
  <c r="X19" i="94"/>
  <c r="Z19" i="94"/>
  <c r="AB19" i="94"/>
  <c r="AD19" i="94"/>
  <c r="P51" i="94"/>
  <c r="T20" i="94"/>
  <c r="V20" i="94"/>
  <c r="X20" i="94"/>
  <c r="Z20" i="94"/>
  <c r="AB20" i="94"/>
  <c r="AD20" i="94"/>
  <c r="P55" i="94"/>
  <c r="T21" i="94"/>
  <c r="V21" i="94"/>
  <c r="X21" i="94"/>
  <c r="Z21" i="94"/>
  <c r="AB21" i="94"/>
  <c r="AD21" i="94"/>
  <c r="D58" i="94"/>
  <c r="L58" i="94"/>
  <c r="V10" i="94"/>
  <c r="Z10" i="94"/>
  <c r="AD10" i="94"/>
  <c r="O25" i="94"/>
  <c r="O26" i="94"/>
  <c r="O27" i="94"/>
  <c r="O28" i="94"/>
  <c r="O29" i="94"/>
  <c r="O31" i="94"/>
  <c r="O33" i="94"/>
  <c r="O35" i="94"/>
  <c r="O37" i="94"/>
  <c r="O39" i="94"/>
  <c r="O41" i="94"/>
  <c r="O43" i="94"/>
  <c r="O45" i="94"/>
  <c r="O47" i="94"/>
  <c r="O49" i="94"/>
  <c r="O51" i="94"/>
  <c r="O53" i="94"/>
  <c r="O55" i="94"/>
  <c r="O57" i="94"/>
  <c r="C11" i="107"/>
  <c r="D11" i="107"/>
  <c r="E11" i="107"/>
  <c r="F11" i="107"/>
  <c r="G11" i="107"/>
  <c r="H11" i="107"/>
  <c r="I11" i="107"/>
  <c r="J11" i="107"/>
  <c r="K11" i="107"/>
  <c r="L11" i="107"/>
  <c r="M11" i="107"/>
  <c r="N11" i="107"/>
  <c r="C12" i="107"/>
  <c r="D12" i="107"/>
  <c r="E12" i="107"/>
  <c r="F12" i="107"/>
  <c r="G12" i="107"/>
  <c r="H12" i="107"/>
  <c r="I12" i="107"/>
  <c r="J12" i="107"/>
  <c r="K12" i="107"/>
  <c r="L12" i="107"/>
  <c r="M12" i="107"/>
  <c r="N12" i="107"/>
  <c r="C13" i="107"/>
  <c r="D13" i="107"/>
  <c r="E13" i="107"/>
  <c r="F13" i="107"/>
  <c r="G13" i="107"/>
  <c r="H13" i="107"/>
  <c r="I13" i="107"/>
  <c r="J13" i="107"/>
  <c r="K13" i="107"/>
  <c r="L13" i="107"/>
  <c r="M13" i="107"/>
  <c r="N13" i="107"/>
  <c r="C14" i="107"/>
  <c r="D14" i="107"/>
  <c r="E14" i="107"/>
  <c r="F14" i="107"/>
  <c r="G14" i="107"/>
  <c r="H14" i="107"/>
  <c r="I14" i="107"/>
  <c r="J14" i="107"/>
  <c r="K14" i="107"/>
  <c r="L14" i="107"/>
  <c r="M14" i="107"/>
  <c r="N14" i="107"/>
  <c r="C15" i="107"/>
  <c r="D15" i="107"/>
  <c r="E15" i="107"/>
  <c r="F15" i="107"/>
  <c r="G15" i="107"/>
  <c r="H15" i="107"/>
  <c r="I15" i="107"/>
  <c r="J15" i="107"/>
  <c r="K15" i="107"/>
  <c r="L15" i="107"/>
  <c r="M15" i="107"/>
  <c r="N15" i="107"/>
  <c r="C16" i="107"/>
  <c r="D16" i="107"/>
  <c r="E16" i="107"/>
  <c r="F16" i="107"/>
  <c r="G16" i="107"/>
  <c r="H16" i="107"/>
  <c r="I16" i="107"/>
  <c r="J16" i="107"/>
  <c r="K16" i="107"/>
  <c r="L16" i="107"/>
  <c r="M16" i="107"/>
  <c r="N16" i="107"/>
  <c r="C17" i="107"/>
  <c r="D17" i="107"/>
  <c r="E17" i="107"/>
  <c r="F17" i="107"/>
  <c r="G17" i="107"/>
  <c r="H17" i="107"/>
  <c r="I17" i="107"/>
  <c r="J17" i="107"/>
  <c r="K17" i="107"/>
  <c r="L17" i="107"/>
  <c r="M17" i="107"/>
  <c r="N17" i="107"/>
  <c r="C18" i="107"/>
  <c r="D18" i="107"/>
  <c r="E18" i="107"/>
  <c r="F18" i="107"/>
  <c r="G18" i="107"/>
  <c r="H18" i="107"/>
  <c r="I18" i="107"/>
  <c r="J18" i="107"/>
  <c r="K18" i="107"/>
  <c r="L18" i="107"/>
  <c r="M18" i="107"/>
  <c r="N18" i="107"/>
  <c r="C19" i="107"/>
  <c r="D19" i="107"/>
  <c r="E19" i="107"/>
  <c r="F19" i="107"/>
  <c r="G19" i="107"/>
  <c r="H19" i="107"/>
  <c r="I19" i="107"/>
  <c r="J19" i="107"/>
  <c r="K19" i="107"/>
  <c r="L19" i="107"/>
  <c r="M19" i="107"/>
  <c r="N19" i="107"/>
  <c r="C20" i="107"/>
  <c r="D20" i="107"/>
  <c r="E20" i="107"/>
  <c r="F20" i="107"/>
  <c r="G20" i="107"/>
  <c r="H20" i="107"/>
  <c r="I20" i="107"/>
  <c r="J20" i="107"/>
  <c r="K20" i="107"/>
  <c r="L20" i="107"/>
  <c r="M20" i="107"/>
  <c r="N20" i="107"/>
  <c r="C21" i="107"/>
  <c r="D21" i="107"/>
  <c r="E21" i="107"/>
  <c r="F21" i="107"/>
  <c r="G21" i="107"/>
  <c r="H21" i="107"/>
  <c r="I21" i="107"/>
  <c r="J21" i="107"/>
  <c r="K21" i="107"/>
  <c r="L21" i="107"/>
  <c r="M21" i="107"/>
  <c r="N21" i="107"/>
  <c r="C22" i="107"/>
  <c r="D22" i="107"/>
  <c r="E22" i="107"/>
  <c r="F22" i="107"/>
  <c r="G22" i="107"/>
  <c r="H22" i="107"/>
  <c r="I22" i="107"/>
  <c r="J22" i="107"/>
  <c r="K22" i="107"/>
  <c r="L22" i="107"/>
  <c r="M22" i="107"/>
  <c r="N22" i="107"/>
  <c r="C23" i="107"/>
  <c r="D23" i="107"/>
  <c r="E23" i="107"/>
  <c r="F23" i="107"/>
  <c r="G23" i="107"/>
  <c r="H23" i="107"/>
  <c r="I23" i="107"/>
  <c r="J23" i="107"/>
  <c r="K23" i="107"/>
  <c r="L23" i="107"/>
  <c r="M23" i="107"/>
  <c r="N23" i="107"/>
  <c r="C24" i="107"/>
  <c r="D24" i="107"/>
  <c r="E24" i="107"/>
  <c r="F24" i="107"/>
  <c r="G24" i="107"/>
  <c r="H24" i="107"/>
  <c r="I24" i="107"/>
  <c r="J24" i="107"/>
  <c r="K24" i="107"/>
  <c r="L24" i="107"/>
  <c r="M24" i="107"/>
  <c r="N24" i="107"/>
  <c r="C25" i="107"/>
  <c r="D25" i="107"/>
  <c r="E25" i="107"/>
  <c r="F25" i="107"/>
  <c r="G25" i="107"/>
  <c r="H25" i="107"/>
  <c r="I25" i="107"/>
  <c r="J25" i="107"/>
  <c r="K25" i="107"/>
  <c r="L25" i="107"/>
  <c r="M25" i="107"/>
  <c r="N25" i="107"/>
  <c r="C26" i="107"/>
  <c r="D26" i="107"/>
  <c r="E26" i="107"/>
  <c r="F26" i="107"/>
  <c r="G26" i="107"/>
  <c r="H26" i="107"/>
  <c r="I26" i="107"/>
  <c r="J26" i="107"/>
  <c r="K26" i="107"/>
  <c r="L26" i="107"/>
  <c r="M26" i="107"/>
  <c r="N26" i="107"/>
  <c r="C27" i="107"/>
  <c r="D27" i="107"/>
  <c r="E27" i="107"/>
  <c r="F27" i="107"/>
  <c r="G27" i="107"/>
  <c r="H27" i="107"/>
  <c r="I27" i="107"/>
  <c r="J27" i="107"/>
  <c r="K27" i="107"/>
  <c r="L27" i="107"/>
  <c r="M27" i="107"/>
  <c r="N27" i="107"/>
  <c r="C28" i="107"/>
  <c r="D28" i="107"/>
  <c r="E28" i="107"/>
  <c r="F28" i="107"/>
  <c r="G28" i="107"/>
  <c r="H28" i="107"/>
  <c r="I28" i="107"/>
  <c r="J28" i="107"/>
  <c r="K28" i="107"/>
  <c r="L28" i="107"/>
  <c r="M28" i="107"/>
  <c r="N28" i="107"/>
  <c r="C29" i="107"/>
  <c r="D29" i="107"/>
  <c r="E29" i="107"/>
  <c r="F29" i="107"/>
  <c r="G29" i="107"/>
  <c r="H29" i="107"/>
  <c r="I29" i="107"/>
  <c r="J29" i="107"/>
  <c r="K29" i="107"/>
  <c r="L29" i="107"/>
  <c r="M29" i="107"/>
  <c r="N29" i="107"/>
  <c r="C30" i="107"/>
  <c r="D30" i="107"/>
  <c r="E30" i="107"/>
  <c r="F30" i="107"/>
  <c r="G30" i="107"/>
  <c r="H30" i="107"/>
  <c r="I30" i="107"/>
  <c r="J30" i="107"/>
  <c r="K30" i="107"/>
  <c r="L30" i="107"/>
  <c r="M30" i="107"/>
  <c r="N30" i="107"/>
  <c r="C31" i="107"/>
  <c r="D31" i="107"/>
  <c r="E31" i="107"/>
  <c r="F31" i="107"/>
  <c r="G31" i="107"/>
  <c r="H31" i="107"/>
  <c r="I31" i="107"/>
  <c r="J31" i="107"/>
  <c r="K31" i="107"/>
  <c r="L31" i="107"/>
  <c r="M31" i="107"/>
  <c r="N31" i="107"/>
  <c r="C32" i="107"/>
  <c r="D32" i="107"/>
  <c r="E32" i="107"/>
  <c r="F32" i="107"/>
  <c r="G32" i="107"/>
  <c r="H32" i="107"/>
  <c r="I32" i="107"/>
  <c r="J32" i="107"/>
  <c r="K32" i="107"/>
  <c r="L32" i="107"/>
  <c r="M32" i="107"/>
  <c r="N32" i="107"/>
  <c r="C33" i="107"/>
  <c r="D33" i="107"/>
  <c r="E33" i="107"/>
  <c r="F33" i="107"/>
  <c r="G33" i="107"/>
  <c r="H33" i="107"/>
  <c r="I33" i="107"/>
  <c r="J33" i="107"/>
  <c r="K33" i="107"/>
  <c r="L33" i="107"/>
  <c r="M33" i="107"/>
  <c r="N33" i="107"/>
  <c r="C34" i="107"/>
  <c r="D34" i="107"/>
  <c r="E34" i="107"/>
  <c r="F34" i="107"/>
  <c r="G34" i="107"/>
  <c r="H34" i="107"/>
  <c r="I34" i="107"/>
  <c r="J34" i="107"/>
  <c r="K34" i="107"/>
  <c r="L34" i="107"/>
  <c r="M34" i="107"/>
  <c r="N34" i="107"/>
  <c r="C35" i="107"/>
  <c r="D35" i="107"/>
  <c r="E35" i="107"/>
  <c r="F35" i="107"/>
  <c r="G35" i="107"/>
  <c r="H35" i="107"/>
  <c r="I35" i="107"/>
  <c r="J35" i="107"/>
  <c r="K35" i="107"/>
  <c r="L35" i="107"/>
  <c r="M35" i="107"/>
  <c r="N35" i="107"/>
  <c r="C36" i="107"/>
  <c r="D36" i="107"/>
  <c r="E36" i="107"/>
  <c r="F36" i="107"/>
  <c r="G36" i="107"/>
  <c r="H36" i="107"/>
  <c r="I36" i="107"/>
  <c r="J36" i="107"/>
  <c r="K36" i="107"/>
  <c r="L36" i="107"/>
  <c r="M36" i="107"/>
  <c r="N36" i="107"/>
  <c r="C37" i="107"/>
  <c r="D37" i="107"/>
  <c r="E37" i="107"/>
  <c r="F37" i="107"/>
  <c r="G37" i="107"/>
  <c r="H37" i="107"/>
  <c r="I37" i="107"/>
  <c r="J37" i="107"/>
  <c r="K37" i="107"/>
  <c r="L37" i="107"/>
  <c r="M37" i="107"/>
  <c r="N37" i="107"/>
  <c r="C38" i="107"/>
  <c r="D38" i="107"/>
  <c r="E38" i="107"/>
  <c r="F38" i="107"/>
  <c r="G38" i="107"/>
  <c r="H38" i="107"/>
  <c r="I38" i="107"/>
  <c r="J38" i="107"/>
  <c r="K38" i="107"/>
  <c r="L38" i="107"/>
  <c r="M38" i="107"/>
  <c r="N38" i="107"/>
  <c r="C39" i="107"/>
  <c r="D39" i="107"/>
  <c r="E39" i="107"/>
  <c r="F39" i="107"/>
  <c r="G39" i="107"/>
  <c r="H39" i="107"/>
  <c r="I39" i="107"/>
  <c r="J39" i="107"/>
  <c r="K39" i="107"/>
  <c r="L39" i="107"/>
  <c r="M39" i="107"/>
  <c r="N39" i="107"/>
  <c r="C40" i="107"/>
  <c r="D40" i="107"/>
  <c r="E40" i="107"/>
  <c r="F40" i="107"/>
  <c r="G40" i="107"/>
  <c r="H40" i="107"/>
  <c r="I40" i="107"/>
  <c r="J40" i="107"/>
  <c r="K40" i="107"/>
  <c r="L40" i="107"/>
  <c r="M40" i="107"/>
  <c r="N40" i="107"/>
  <c r="C41" i="107"/>
  <c r="D41" i="107"/>
  <c r="E41" i="107"/>
  <c r="F41" i="107"/>
  <c r="G41" i="107"/>
  <c r="H41" i="107"/>
  <c r="I41" i="107"/>
  <c r="J41" i="107"/>
  <c r="K41" i="107"/>
  <c r="L41" i="107"/>
  <c r="M41" i="107"/>
  <c r="N41" i="107"/>
  <c r="C42" i="107"/>
  <c r="D42" i="107"/>
  <c r="E42" i="107"/>
  <c r="F42" i="107"/>
  <c r="G42" i="107"/>
  <c r="H42" i="107"/>
  <c r="I42" i="107"/>
  <c r="J42" i="107"/>
  <c r="K42" i="107"/>
  <c r="L42" i="107"/>
  <c r="M42" i="107"/>
  <c r="N42" i="107"/>
  <c r="C43" i="107"/>
  <c r="D43" i="107"/>
  <c r="E43" i="107"/>
  <c r="F43" i="107"/>
  <c r="G43" i="107"/>
  <c r="H43" i="107"/>
  <c r="I43" i="107"/>
  <c r="J43" i="107"/>
  <c r="K43" i="107"/>
  <c r="L43" i="107"/>
  <c r="M43" i="107"/>
  <c r="N43" i="107"/>
  <c r="C44" i="107"/>
  <c r="D44" i="107"/>
  <c r="E44" i="107"/>
  <c r="F44" i="107"/>
  <c r="G44" i="107"/>
  <c r="H44" i="107"/>
  <c r="I44" i="107"/>
  <c r="J44" i="107"/>
  <c r="K44" i="107"/>
  <c r="L44" i="107"/>
  <c r="M44" i="107"/>
  <c r="N44" i="107"/>
  <c r="C45" i="107"/>
  <c r="D45" i="107"/>
  <c r="E45" i="107"/>
  <c r="F45" i="107"/>
  <c r="G45" i="107"/>
  <c r="H45" i="107"/>
  <c r="I45" i="107"/>
  <c r="J45" i="107"/>
  <c r="K45" i="107"/>
  <c r="L45" i="107"/>
  <c r="M45" i="107"/>
  <c r="N45" i="107"/>
  <c r="C46" i="107"/>
  <c r="D46" i="107"/>
  <c r="E46" i="107"/>
  <c r="F46" i="107"/>
  <c r="G46" i="107"/>
  <c r="H46" i="107"/>
  <c r="I46" i="107"/>
  <c r="J46" i="107"/>
  <c r="K46" i="107"/>
  <c r="L46" i="107"/>
  <c r="M46" i="107"/>
  <c r="N46" i="107"/>
  <c r="C47" i="107"/>
  <c r="D47" i="107"/>
  <c r="E47" i="107"/>
  <c r="F47" i="107"/>
  <c r="G47" i="107"/>
  <c r="H47" i="107"/>
  <c r="I47" i="107"/>
  <c r="J47" i="107"/>
  <c r="K47" i="107"/>
  <c r="L47" i="107"/>
  <c r="M47" i="107"/>
  <c r="N47" i="107"/>
  <c r="C48" i="107"/>
  <c r="D48" i="107"/>
  <c r="E48" i="107"/>
  <c r="F48" i="107"/>
  <c r="G48" i="107"/>
  <c r="H48" i="107"/>
  <c r="I48" i="107"/>
  <c r="J48" i="107"/>
  <c r="K48" i="107"/>
  <c r="L48" i="107"/>
  <c r="M48" i="107"/>
  <c r="N48" i="107"/>
  <c r="C49" i="107"/>
  <c r="D49" i="107"/>
  <c r="E49" i="107"/>
  <c r="F49" i="107"/>
  <c r="G49" i="107"/>
  <c r="H49" i="107"/>
  <c r="I49" i="107"/>
  <c r="J49" i="107"/>
  <c r="K49" i="107"/>
  <c r="L49" i="107"/>
  <c r="M49" i="107"/>
  <c r="N49" i="107"/>
  <c r="C50" i="107"/>
  <c r="D50" i="107"/>
  <c r="E50" i="107"/>
  <c r="F50" i="107"/>
  <c r="G50" i="107"/>
  <c r="H50" i="107"/>
  <c r="I50" i="107"/>
  <c r="J50" i="107"/>
  <c r="K50" i="107"/>
  <c r="L50" i="107"/>
  <c r="M50" i="107"/>
  <c r="N50" i="107"/>
  <c r="C51" i="107"/>
  <c r="D51" i="107"/>
  <c r="E51" i="107"/>
  <c r="F51" i="107"/>
  <c r="G51" i="107"/>
  <c r="H51" i="107"/>
  <c r="I51" i="107"/>
  <c r="J51" i="107"/>
  <c r="K51" i="107"/>
  <c r="L51" i="107"/>
  <c r="M51" i="107"/>
  <c r="N51" i="107"/>
  <c r="C52" i="107"/>
  <c r="D52" i="107"/>
  <c r="E52" i="107"/>
  <c r="F52" i="107"/>
  <c r="G52" i="107"/>
  <c r="H52" i="107"/>
  <c r="I52" i="107"/>
  <c r="J52" i="107"/>
  <c r="K52" i="107"/>
  <c r="L52" i="107"/>
  <c r="M52" i="107"/>
  <c r="N52" i="107"/>
  <c r="C53" i="107"/>
  <c r="D53" i="107"/>
  <c r="E53" i="107"/>
  <c r="F53" i="107"/>
  <c r="G53" i="107"/>
  <c r="H53" i="107"/>
  <c r="I53" i="107"/>
  <c r="J53" i="107"/>
  <c r="K53" i="107"/>
  <c r="L53" i="107"/>
  <c r="M53" i="107"/>
  <c r="N53" i="107"/>
  <c r="C54" i="107"/>
  <c r="D54" i="107"/>
  <c r="E54" i="107"/>
  <c r="F54" i="107"/>
  <c r="G54" i="107"/>
  <c r="H54" i="107"/>
  <c r="I54" i="107"/>
  <c r="J54" i="107"/>
  <c r="K54" i="107"/>
  <c r="L54" i="107"/>
  <c r="M54" i="107"/>
  <c r="N54" i="107"/>
  <c r="C55" i="107"/>
  <c r="D55" i="107"/>
  <c r="E55" i="107"/>
  <c r="F55" i="107"/>
  <c r="G55" i="107"/>
  <c r="H55" i="107"/>
  <c r="I55" i="107"/>
  <c r="J55" i="107"/>
  <c r="K55" i="107"/>
  <c r="L55" i="107"/>
  <c r="M55" i="107"/>
  <c r="N55" i="107"/>
  <c r="C56" i="107"/>
  <c r="D56" i="107"/>
  <c r="E56" i="107"/>
  <c r="F56" i="107"/>
  <c r="G56" i="107"/>
  <c r="H56" i="107"/>
  <c r="I56" i="107"/>
  <c r="J56" i="107"/>
  <c r="K56" i="107"/>
  <c r="L56" i="107"/>
  <c r="M56" i="107"/>
  <c r="N56" i="107"/>
  <c r="C57" i="107"/>
  <c r="D57" i="107"/>
  <c r="E57" i="107"/>
  <c r="F57" i="107"/>
  <c r="G57" i="107"/>
  <c r="H57" i="107"/>
  <c r="I57" i="107"/>
  <c r="J57" i="107"/>
  <c r="K57" i="107"/>
  <c r="L57" i="107"/>
  <c r="M57" i="107"/>
  <c r="N57" i="107"/>
  <c r="D10" i="107"/>
  <c r="D106" i="107" s="1"/>
  <c r="E10" i="107"/>
  <c r="F10" i="107"/>
  <c r="F106" i="107" s="1"/>
  <c r="G10" i="107"/>
  <c r="H10" i="107"/>
  <c r="H106" i="107" s="1"/>
  <c r="I10" i="107"/>
  <c r="J10" i="107"/>
  <c r="J106" i="107" s="1"/>
  <c r="K10" i="107"/>
  <c r="L10" i="107"/>
  <c r="L106" i="107" s="1"/>
  <c r="M10" i="107"/>
  <c r="N10" i="107"/>
  <c r="N106" i="107" s="1"/>
  <c r="C10" i="107"/>
  <c r="C106" i="107" l="1"/>
  <c r="M106" i="107"/>
  <c r="K106" i="107"/>
  <c r="I106" i="107"/>
  <c r="G106" i="107"/>
  <c r="E106" i="107"/>
  <c r="AF28" i="101"/>
  <c r="AB26" i="98"/>
  <c r="AB23" i="96"/>
  <c r="AC26" i="95"/>
  <c r="T23" i="96"/>
  <c r="W27" i="96"/>
  <c r="T23" i="98"/>
  <c r="Z24" i="98"/>
  <c r="V35" i="101"/>
  <c r="U36" i="105"/>
  <c r="Y26" i="95"/>
  <c r="AB24" i="99"/>
  <c r="V26" i="97"/>
  <c r="Y26" i="96"/>
  <c r="U27" i="94"/>
  <c r="AC27" i="95"/>
  <c r="AD23" i="98"/>
  <c r="AB39" i="109"/>
  <c r="L10" i="111"/>
  <c r="J10" i="111"/>
  <c r="D10" i="111"/>
  <c r="M57" i="111"/>
  <c r="I57" i="111"/>
  <c r="G57" i="111"/>
  <c r="M56" i="111"/>
  <c r="K56" i="111"/>
  <c r="I56" i="111"/>
  <c r="C56" i="111"/>
  <c r="G55" i="111"/>
  <c r="E55" i="111"/>
  <c r="K54" i="111"/>
  <c r="I54" i="111"/>
  <c r="G54" i="111"/>
  <c r="I53" i="111"/>
  <c r="G53" i="111"/>
  <c r="E53" i="111"/>
  <c r="M52" i="111"/>
  <c r="K52" i="111"/>
  <c r="C52" i="111"/>
  <c r="M51" i="111"/>
  <c r="G51" i="111"/>
  <c r="M50" i="111"/>
  <c r="K50" i="111"/>
  <c r="E50" i="111"/>
  <c r="C50" i="111"/>
  <c r="M49" i="111"/>
  <c r="K49" i="111"/>
  <c r="I49" i="111"/>
  <c r="C49" i="111"/>
  <c r="M48" i="111"/>
  <c r="I48" i="111"/>
  <c r="G48" i="111"/>
  <c r="K47" i="111"/>
  <c r="E47" i="111"/>
  <c r="C47" i="111"/>
  <c r="G46" i="111"/>
  <c r="E46" i="111"/>
  <c r="K45" i="111"/>
  <c r="G45" i="111"/>
  <c r="C45" i="111"/>
  <c r="K44" i="111"/>
  <c r="G44" i="111"/>
  <c r="C44" i="111"/>
  <c r="K43" i="111"/>
  <c r="G43" i="111"/>
  <c r="C43" i="111"/>
  <c r="K42" i="111"/>
  <c r="I42" i="111"/>
  <c r="E42" i="111"/>
  <c r="C42" i="111"/>
  <c r="K41" i="111"/>
  <c r="G41" i="111"/>
  <c r="C41" i="111"/>
  <c r="K40" i="111"/>
  <c r="G40" i="111"/>
  <c r="C40" i="111"/>
  <c r="K39" i="111"/>
  <c r="G39" i="111"/>
  <c r="C39" i="111"/>
  <c r="K38" i="111"/>
  <c r="E38" i="111"/>
  <c r="C38" i="111"/>
  <c r="S24" i="94"/>
  <c r="C10" i="111"/>
  <c r="M10" i="111"/>
  <c r="I10" i="111"/>
  <c r="E10" i="111"/>
  <c r="L57" i="111"/>
  <c r="H57" i="111"/>
  <c r="D57" i="111"/>
  <c r="L56" i="111"/>
  <c r="H56" i="111"/>
  <c r="D56" i="111"/>
  <c r="L55" i="111"/>
  <c r="H55" i="111"/>
  <c r="D55" i="111"/>
  <c r="L54" i="111"/>
  <c r="H54" i="111"/>
  <c r="D54" i="111"/>
  <c r="L53" i="111"/>
  <c r="H53" i="111"/>
  <c r="D53" i="111"/>
  <c r="L52" i="111"/>
  <c r="H52" i="111"/>
  <c r="D52" i="111"/>
  <c r="L51" i="111"/>
  <c r="H51" i="111"/>
  <c r="D51" i="111"/>
  <c r="L50" i="111"/>
  <c r="H50" i="111"/>
  <c r="D50" i="111"/>
  <c r="L49" i="111"/>
  <c r="H49" i="111"/>
  <c r="D49" i="111"/>
  <c r="L48" i="111"/>
  <c r="H48" i="111"/>
  <c r="D48" i="111"/>
  <c r="L47" i="111"/>
  <c r="H47" i="111"/>
  <c r="D47" i="111"/>
  <c r="L46" i="111"/>
  <c r="H46" i="111"/>
  <c r="D46" i="111"/>
  <c r="L45" i="111"/>
  <c r="H45" i="111"/>
  <c r="D45" i="111"/>
  <c r="L44" i="111"/>
  <c r="H44" i="111"/>
  <c r="D44" i="111"/>
  <c r="L43" i="111"/>
  <c r="H43" i="111"/>
  <c r="D43" i="111"/>
  <c r="L42" i="111"/>
  <c r="H42" i="111"/>
  <c r="D42" i="111"/>
  <c r="L41" i="111"/>
  <c r="H41" i="111"/>
  <c r="D41" i="111"/>
  <c r="L40" i="111"/>
  <c r="H40" i="111"/>
  <c r="D40" i="111"/>
  <c r="L39" i="111"/>
  <c r="H39" i="111"/>
  <c r="D39" i="111"/>
  <c r="L38" i="111"/>
  <c r="H38" i="111"/>
  <c r="D38" i="111"/>
  <c r="L37" i="111"/>
  <c r="H37" i="111"/>
  <c r="D37" i="111"/>
  <c r="L36" i="111"/>
  <c r="H36" i="111"/>
  <c r="D36" i="111"/>
  <c r="L35" i="111"/>
  <c r="H35" i="111"/>
  <c r="D35" i="111"/>
  <c r="L34" i="111"/>
  <c r="H34" i="111"/>
  <c r="D34" i="111"/>
  <c r="L33" i="111"/>
  <c r="H33" i="111"/>
  <c r="D33" i="111"/>
  <c r="L32" i="111"/>
  <c r="H32" i="111"/>
  <c r="D32" i="111"/>
  <c r="L31" i="111"/>
  <c r="H31" i="111"/>
  <c r="D31" i="111"/>
  <c r="L30" i="111"/>
  <c r="H30" i="111"/>
  <c r="D30" i="111"/>
  <c r="L29" i="111"/>
  <c r="H29" i="111"/>
  <c r="D29" i="111"/>
  <c r="L28" i="111"/>
  <c r="H28" i="111"/>
  <c r="D28" i="111"/>
  <c r="L27" i="111"/>
  <c r="H27" i="111"/>
  <c r="D27" i="111"/>
  <c r="L26" i="111"/>
  <c r="H26" i="111"/>
  <c r="D26" i="111"/>
  <c r="L25" i="111"/>
  <c r="H25" i="111"/>
  <c r="D25" i="111"/>
  <c r="H24" i="111"/>
  <c r="F24" i="111"/>
  <c r="N23" i="111"/>
  <c r="L23" i="111"/>
  <c r="J23" i="111"/>
  <c r="D23" i="111"/>
  <c r="N22" i="111"/>
  <c r="H22" i="111"/>
  <c r="N21" i="111"/>
  <c r="L21" i="111"/>
  <c r="F21" i="111"/>
  <c r="D21" i="111"/>
  <c r="H20" i="111"/>
  <c r="F20" i="111"/>
  <c r="L19" i="111"/>
  <c r="J19" i="111"/>
  <c r="F19" i="111"/>
  <c r="D19" i="111"/>
  <c r="J18" i="111"/>
  <c r="H18" i="111"/>
  <c r="L17" i="111"/>
  <c r="J17" i="111"/>
  <c r="F17" i="111"/>
  <c r="D17" i="111"/>
  <c r="N16" i="111"/>
  <c r="H16" i="111"/>
  <c r="N15" i="111"/>
  <c r="L15" i="111"/>
  <c r="D15" i="111"/>
  <c r="N14" i="111"/>
  <c r="H14" i="111"/>
  <c r="F14" i="111"/>
  <c r="N13" i="111"/>
  <c r="L13" i="111"/>
  <c r="F13" i="111"/>
  <c r="D13" i="111"/>
  <c r="H12" i="111"/>
  <c r="F12" i="111"/>
  <c r="N11" i="111"/>
  <c r="J11" i="111"/>
  <c r="F11" i="111"/>
  <c r="AD21" i="108"/>
  <c r="Z20" i="108"/>
  <c r="W27" i="95"/>
  <c r="W24" i="95"/>
  <c r="K37" i="111"/>
  <c r="G37" i="111"/>
  <c r="C37" i="111"/>
  <c r="K36" i="111"/>
  <c r="G36" i="111"/>
  <c r="C36" i="111"/>
  <c r="K35" i="111"/>
  <c r="G35" i="111"/>
  <c r="C35" i="111"/>
  <c r="K34" i="111"/>
  <c r="I34" i="111"/>
  <c r="E34" i="111"/>
  <c r="K33" i="111"/>
  <c r="G33" i="111"/>
  <c r="C33" i="111"/>
  <c r="K32" i="111"/>
  <c r="G32" i="111"/>
  <c r="C32" i="111"/>
  <c r="K31" i="111"/>
  <c r="G31" i="111"/>
  <c r="C31" i="111"/>
  <c r="K30" i="111"/>
  <c r="I30" i="111"/>
  <c r="G30" i="111"/>
  <c r="M29" i="111"/>
  <c r="I29" i="111"/>
  <c r="E29" i="111"/>
  <c r="M28" i="111"/>
  <c r="I28" i="111"/>
  <c r="E28" i="111"/>
  <c r="M27" i="111"/>
  <c r="I27" i="111"/>
  <c r="E27" i="111"/>
  <c r="M26" i="111"/>
  <c r="K26" i="111"/>
  <c r="E26" i="111"/>
  <c r="C26" i="111"/>
  <c r="K25" i="111"/>
  <c r="G25" i="111"/>
  <c r="C25" i="111"/>
  <c r="K24" i="111"/>
  <c r="G24" i="111"/>
  <c r="C24" i="111"/>
  <c r="K23" i="111"/>
  <c r="G23" i="111"/>
  <c r="C23" i="111"/>
  <c r="K22" i="111"/>
  <c r="G22" i="111"/>
  <c r="C22" i="111"/>
  <c r="K21" i="111"/>
  <c r="G21" i="111"/>
  <c r="C21" i="111"/>
  <c r="K20" i="111"/>
  <c r="G20" i="111"/>
  <c r="C20" i="111"/>
  <c r="K19" i="111"/>
  <c r="G19" i="111"/>
  <c r="C19" i="111"/>
  <c r="K18" i="111"/>
  <c r="G18" i="111"/>
  <c r="C18" i="111"/>
  <c r="K17" i="111"/>
  <c r="G17" i="111"/>
  <c r="C17" i="111"/>
  <c r="K16" i="111"/>
  <c r="G16" i="111"/>
  <c r="C16" i="111"/>
  <c r="K15" i="111"/>
  <c r="G15" i="111"/>
  <c r="C15" i="111"/>
  <c r="K14" i="111"/>
  <c r="G14" i="111"/>
  <c r="C14" i="111"/>
  <c r="K13" i="111"/>
  <c r="G13" i="111"/>
  <c r="C13" i="111"/>
  <c r="K12" i="111"/>
  <c r="G12" i="111"/>
  <c r="C12" i="111"/>
  <c r="K11" i="111"/>
  <c r="G11" i="111"/>
  <c r="C11" i="111"/>
  <c r="AB24" i="98"/>
  <c r="W26" i="96"/>
  <c r="V21" i="108"/>
  <c r="AD19" i="108"/>
  <c r="Z21" i="108"/>
  <c r="AD20" i="108"/>
  <c r="V20" i="108"/>
  <c r="V36" i="108" s="1"/>
  <c r="Z19" i="108"/>
  <c r="AC26" i="97"/>
  <c r="AC23" i="97"/>
  <c r="N57" i="111"/>
  <c r="J57" i="111"/>
  <c r="F57" i="111"/>
  <c r="N56" i="111"/>
  <c r="J56" i="111"/>
  <c r="F56" i="111"/>
  <c r="N55" i="111"/>
  <c r="J55" i="111"/>
  <c r="F55" i="111"/>
  <c r="N54" i="111"/>
  <c r="J54" i="111"/>
  <c r="F54" i="111"/>
  <c r="N53" i="111"/>
  <c r="J53" i="111"/>
  <c r="F53" i="111"/>
  <c r="N52" i="111"/>
  <c r="J52" i="111"/>
  <c r="F52" i="111"/>
  <c r="N51" i="111"/>
  <c r="J51" i="111"/>
  <c r="F51" i="111"/>
  <c r="N50" i="111"/>
  <c r="J50" i="111"/>
  <c r="F50" i="111"/>
  <c r="N49" i="111"/>
  <c r="J49" i="111"/>
  <c r="F49" i="111"/>
  <c r="N48" i="111"/>
  <c r="J48" i="111"/>
  <c r="F48" i="111"/>
  <c r="N47" i="111"/>
  <c r="J47" i="111"/>
  <c r="F47" i="111"/>
  <c r="N46" i="111"/>
  <c r="J46" i="111"/>
  <c r="F46" i="111"/>
  <c r="N45" i="111"/>
  <c r="J45" i="111"/>
  <c r="F45" i="111"/>
  <c r="N44" i="111"/>
  <c r="J44" i="111"/>
  <c r="F44" i="111"/>
  <c r="N43" i="111"/>
  <c r="J43" i="111"/>
  <c r="F43" i="111"/>
  <c r="N42" i="111"/>
  <c r="J42" i="111"/>
  <c r="F42" i="111"/>
  <c r="N41" i="111"/>
  <c r="J41" i="111"/>
  <c r="F41" i="111"/>
  <c r="N40" i="111"/>
  <c r="J40" i="111"/>
  <c r="F40" i="111"/>
  <c r="N39" i="111"/>
  <c r="J39" i="111"/>
  <c r="F39" i="111"/>
  <c r="N38" i="111"/>
  <c r="J38" i="111"/>
  <c r="F38" i="111"/>
  <c r="N37" i="111"/>
  <c r="J37" i="111"/>
  <c r="F37" i="111"/>
  <c r="N36" i="111"/>
  <c r="J36" i="111"/>
  <c r="F36" i="111"/>
  <c r="N35" i="111"/>
  <c r="J35" i="111"/>
  <c r="F35" i="111"/>
  <c r="N34" i="111"/>
  <c r="J34" i="111"/>
  <c r="F34" i="111"/>
  <c r="N33" i="111"/>
  <c r="J33" i="111"/>
  <c r="F33" i="111"/>
  <c r="N32" i="111"/>
  <c r="J32" i="111"/>
  <c r="F32" i="111"/>
  <c r="N31" i="111"/>
  <c r="J31" i="111"/>
  <c r="F31" i="111"/>
  <c r="N30" i="111"/>
  <c r="J30" i="111"/>
  <c r="F30" i="111"/>
  <c r="N29" i="111"/>
  <c r="J29" i="111"/>
  <c r="F29" i="111"/>
  <c r="N28" i="111"/>
  <c r="J28" i="111"/>
  <c r="F28" i="111"/>
  <c r="N27" i="111"/>
  <c r="J27" i="111"/>
  <c r="F27" i="111"/>
  <c r="N26" i="111"/>
  <c r="J26" i="111"/>
  <c r="F26" i="111"/>
  <c r="N25" i="111"/>
  <c r="J25" i="111"/>
  <c r="F25" i="111"/>
  <c r="N24" i="111"/>
  <c r="L24" i="111"/>
  <c r="J24" i="111"/>
  <c r="D24" i="111"/>
  <c r="H23" i="111"/>
  <c r="F23" i="111"/>
  <c r="L22" i="111"/>
  <c r="J22" i="111"/>
  <c r="F22" i="111"/>
  <c r="D22" i="111"/>
  <c r="T13" i="111" s="1"/>
  <c r="J21" i="111"/>
  <c r="H21" i="111"/>
  <c r="N20" i="111"/>
  <c r="L20" i="111"/>
  <c r="J20" i="111"/>
  <c r="D20" i="111"/>
  <c r="N19" i="111"/>
  <c r="H19" i="111"/>
  <c r="N18" i="111"/>
  <c r="AD12" i="111" s="1"/>
  <c r="L18" i="111"/>
  <c r="F18" i="111"/>
  <c r="D18" i="111"/>
  <c r="T12" i="111" s="1"/>
  <c r="N17" i="111"/>
  <c r="H17" i="111"/>
  <c r="L16" i="111"/>
  <c r="J16" i="111"/>
  <c r="F16" i="111"/>
  <c r="D16" i="111"/>
  <c r="J15" i="111"/>
  <c r="H15" i="111"/>
  <c r="F15" i="111"/>
  <c r="L14" i="111"/>
  <c r="J14" i="111"/>
  <c r="D14" i="111"/>
  <c r="J13" i="111"/>
  <c r="H13" i="111"/>
  <c r="N12" i="111"/>
  <c r="L12" i="111"/>
  <c r="J12" i="111"/>
  <c r="D12" i="111"/>
  <c r="L11" i="111"/>
  <c r="H11" i="111"/>
  <c r="D11" i="111"/>
  <c r="AC24" i="94"/>
  <c r="Y24" i="94"/>
  <c r="S27" i="94"/>
  <c r="AA38" i="110"/>
  <c r="W24" i="94"/>
  <c r="N10" i="111"/>
  <c r="H10" i="111"/>
  <c r="H106" i="111" s="1"/>
  <c r="F10" i="111"/>
  <c r="K57" i="111"/>
  <c r="E57" i="111"/>
  <c r="C57" i="111"/>
  <c r="G56" i="111"/>
  <c r="E56" i="111"/>
  <c r="M55" i="111"/>
  <c r="K55" i="111"/>
  <c r="I55" i="111"/>
  <c r="C55" i="111"/>
  <c r="M54" i="111"/>
  <c r="E54" i="111"/>
  <c r="C54" i="111"/>
  <c r="M53" i="111"/>
  <c r="K53" i="111"/>
  <c r="C53" i="111"/>
  <c r="I52" i="111"/>
  <c r="G52" i="111"/>
  <c r="E52" i="111"/>
  <c r="K51" i="111"/>
  <c r="I51" i="111"/>
  <c r="E51" i="111"/>
  <c r="C51" i="111"/>
  <c r="I50" i="111"/>
  <c r="G50" i="111"/>
  <c r="G49" i="111"/>
  <c r="E49" i="111"/>
  <c r="K48" i="111"/>
  <c r="E48" i="111"/>
  <c r="C48" i="111"/>
  <c r="M47" i="111"/>
  <c r="I47" i="111"/>
  <c r="G47" i="111"/>
  <c r="M46" i="111"/>
  <c r="K46" i="111"/>
  <c r="I46" i="111"/>
  <c r="C46" i="111"/>
  <c r="M45" i="111"/>
  <c r="I45" i="111"/>
  <c r="E45" i="111"/>
  <c r="M44" i="111"/>
  <c r="I44" i="111"/>
  <c r="E44" i="111"/>
  <c r="M43" i="111"/>
  <c r="I43" i="111"/>
  <c r="E43" i="111"/>
  <c r="M42" i="111"/>
  <c r="G42" i="111"/>
  <c r="M41" i="111"/>
  <c r="I41" i="111"/>
  <c r="E41" i="111"/>
  <c r="M40" i="111"/>
  <c r="I40" i="111"/>
  <c r="E40" i="111"/>
  <c r="M39" i="111"/>
  <c r="I39" i="111"/>
  <c r="E39" i="111"/>
  <c r="M38" i="111"/>
  <c r="I38" i="111"/>
  <c r="G38" i="111"/>
  <c r="M37" i="111"/>
  <c r="W27" i="94"/>
  <c r="S26" i="94"/>
  <c r="U23" i="97"/>
  <c r="AA27" i="94"/>
  <c r="U27" i="95"/>
  <c r="U24" i="95"/>
  <c r="I37" i="111"/>
  <c r="E37" i="111"/>
  <c r="M36" i="111"/>
  <c r="I36" i="111"/>
  <c r="E36" i="111"/>
  <c r="M35" i="111"/>
  <c r="I35" i="111"/>
  <c r="E35" i="111"/>
  <c r="M34" i="111"/>
  <c r="G34" i="111"/>
  <c r="C34" i="111"/>
  <c r="M33" i="111"/>
  <c r="I33" i="111"/>
  <c r="E33" i="111"/>
  <c r="M32" i="111"/>
  <c r="I32" i="111"/>
  <c r="E32" i="111"/>
  <c r="M31" i="111"/>
  <c r="I31" i="111"/>
  <c r="E31" i="111"/>
  <c r="M30" i="111"/>
  <c r="E30" i="111"/>
  <c r="C30" i="111"/>
  <c r="K29" i="111"/>
  <c r="G29" i="111"/>
  <c r="C29" i="111"/>
  <c r="K28" i="111"/>
  <c r="G28" i="111"/>
  <c r="C28" i="111"/>
  <c r="K27" i="111"/>
  <c r="G27" i="111"/>
  <c r="C27" i="111"/>
  <c r="I26" i="111"/>
  <c r="G26" i="111"/>
  <c r="M25" i="111"/>
  <c r="I25" i="111"/>
  <c r="E25" i="111"/>
  <c r="M24" i="111"/>
  <c r="I24" i="111"/>
  <c r="E24" i="111"/>
  <c r="M23" i="111"/>
  <c r="I23" i="111"/>
  <c r="E23" i="111"/>
  <c r="M22" i="111"/>
  <c r="I22" i="111"/>
  <c r="E22" i="111"/>
  <c r="M21" i="111"/>
  <c r="I21" i="111"/>
  <c r="E21" i="111"/>
  <c r="M20" i="111"/>
  <c r="I20" i="111"/>
  <c r="E20" i="111"/>
  <c r="M19" i="111"/>
  <c r="I19" i="111"/>
  <c r="E19" i="111"/>
  <c r="M18" i="111"/>
  <c r="I18" i="111"/>
  <c r="E18" i="111"/>
  <c r="M17" i="111"/>
  <c r="I17" i="111"/>
  <c r="E17" i="111"/>
  <c r="M16" i="111"/>
  <c r="I16" i="111"/>
  <c r="E16" i="111"/>
  <c r="M15" i="111"/>
  <c r="I15" i="111"/>
  <c r="E15" i="111"/>
  <c r="M14" i="111"/>
  <c r="I14" i="111"/>
  <c r="E14" i="111"/>
  <c r="M13" i="111"/>
  <c r="I13" i="111"/>
  <c r="E13" i="111"/>
  <c r="M12" i="111"/>
  <c r="I12" i="111"/>
  <c r="E12" i="111"/>
  <c r="M11" i="111"/>
  <c r="I11" i="111"/>
  <c r="E11" i="111"/>
  <c r="X22" i="100"/>
  <c r="AC26" i="96"/>
  <c r="V10" i="108"/>
  <c r="AB21" i="108"/>
  <c r="X21" i="108"/>
  <c r="T21" i="108"/>
  <c r="AB20" i="108"/>
  <c r="X20" i="108"/>
  <c r="T20" i="108"/>
  <c r="AB19" i="108"/>
  <c r="X19" i="108"/>
  <c r="AA35" i="110"/>
  <c r="W35" i="110"/>
  <c r="Z39" i="110"/>
  <c r="AD38" i="110"/>
  <c r="Z38" i="110"/>
  <c r="V38" i="110"/>
  <c r="X37" i="110"/>
  <c r="V12" i="108"/>
  <c r="V11" i="108"/>
  <c r="AD10" i="108"/>
  <c r="AD36" i="110"/>
  <c r="V36" i="110"/>
  <c r="AC35" i="109"/>
  <c r="AD11" i="108"/>
  <c r="AC38" i="110"/>
  <c r="K10" i="111"/>
  <c r="G10" i="111"/>
  <c r="G106" i="111" s="1"/>
  <c r="T38" i="110"/>
  <c r="AC36" i="110"/>
  <c r="Y35" i="110"/>
  <c r="AC35" i="110"/>
  <c r="U35" i="110"/>
  <c r="U26" i="99"/>
  <c r="Y38" i="110"/>
  <c r="X36" i="110"/>
  <c r="X24" i="99"/>
  <c r="U23" i="99"/>
  <c r="S36" i="105"/>
  <c r="T38" i="109"/>
  <c r="AD38" i="109"/>
  <c r="Z38" i="109"/>
  <c r="Z35" i="110"/>
  <c r="AB38" i="110"/>
  <c r="X35" i="110"/>
  <c r="AB36" i="110"/>
  <c r="X34" i="110"/>
  <c r="W37" i="110"/>
  <c r="Z11" i="108"/>
  <c r="AA35" i="109"/>
  <c r="U36" i="110"/>
  <c r="V35" i="109"/>
  <c r="X11" i="108"/>
  <c r="S41" i="110"/>
  <c r="Z10" i="108"/>
  <c r="W12" i="108"/>
  <c r="AF32" i="110"/>
  <c r="S35" i="109"/>
  <c r="T11" i="108"/>
  <c r="AA12" i="108"/>
  <c r="V24" i="98"/>
  <c r="X23" i="97"/>
  <c r="AD23" i="99"/>
  <c r="AB38" i="109"/>
  <c r="AD35" i="110"/>
  <c r="V35" i="110"/>
  <c r="AA40" i="110"/>
  <c r="Y36" i="110"/>
  <c r="S37" i="110"/>
  <c r="X10" i="108"/>
  <c r="W40" i="110"/>
  <c r="AD36" i="109"/>
  <c r="Z39" i="109"/>
  <c r="S26" i="97"/>
  <c r="AF33" i="110"/>
  <c r="AF31" i="110"/>
  <c r="AB35" i="110"/>
  <c r="X38" i="110"/>
  <c r="AA41" i="110"/>
  <c r="AA42" i="110" s="1"/>
  <c r="W41" i="110"/>
  <c r="T10" i="108"/>
  <c r="AB10" i="108"/>
  <c r="AF12" i="109"/>
  <c r="AE33" i="110"/>
  <c r="AE32" i="110"/>
  <c r="AE31" i="110"/>
  <c r="AE30" i="110"/>
  <c r="AE29" i="110"/>
  <c r="AE28" i="110"/>
  <c r="AE27" i="110"/>
  <c r="AE26" i="110"/>
  <c r="AE25" i="110"/>
  <c r="AE24" i="110"/>
  <c r="AE23" i="110"/>
  <c r="AE22" i="110"/>
  <c r="AE21" i="110"/>
  <c r="AE20" i="110"/>
  <c r="AE19" i="110"/>
  <c r="AA37" i="110"/>
  <c r="AD39" i="109"/>
  <c r="Z36" i="109"/>
  <c r="V36" i="109"/>
  <c r="AC38" i="109"/>
  <c r="U35" i="109"/>
  <c r="AD39" i="110"/>
  <c r="Z36" i="110"/>
  <c r="V39" i="110"/>
  <c r="S40" i="110"/>
  <c r="S42" i="110" s="1"/>
  <c r="V38" i="109"/>
  <c r="X35" i="109"/>
  <c r="AA34" i="110"/>
  <c r="W34" i="110"/>
  <c r="S34" i="110"/>
  <c r="AF30" i="110"/>
  <c r="AB39" i="110"/>
  <c r="X40" i="110"/>
  <c r="AF15" i="110"/>
  <c r="AF14" i="110"/>
  <c r="AF13" i="110"/>
  <c r="Z35" i="109"/>
  <c r="AD35" i="109"/>
  <c r="X34" i="109"/>
  <c r="T35" i="110"/>
  <c r="Y38" i="109"/>
  <c r="AC39" i="110"/>
  <c r="U39" i="110"/>
  <c r="AF17" i="110"/>
  <c r="AF16" i="110"/>
  <c r="Z38" i="101"/>
  <c r="Y35" i="109"/>
  <c r="X39" i="110"/>
  <c r="AF11" i="110"/>
  <c r="Y39" i="110"/>
  <c r="AF12" i="110"/>
  <c r="AA38" i="109"/>
  <c r="W38" i="109"/>
  <c r="AF29" i="110"/>
  <c r="AF28" i="110"/>
  <c r="AF27" i="110"/>
  <c r="AF26" i="110"/>
  <c r="AF25" i="110"/>
  <c r="AF24" i="110"/>
  <c r="AF23" i="110"/>
  <c r="AF22" i="110"/>
  <c r="AF18" i="110"/>
  <c r="AF30" i="109"/>
  <c r="X39" i="109"/>
  <c r="X37" i="109"/>
  <c r="X41" i="110"/>
  <c r="AF21" i="110"/>
  <c r="AF20" i="110"/>
  <c r="AF19" i="110"/>
  <c r="AF15" i="109"/>
  <c r="AF14" i="109"/>
  <c r="AF13" i="109"/>
  <c r="AE18" i="110"/>
  <c r="AE17" i="110"/>
  <c r="T39" i="110"/>
  <c r="T36" i="110"/>
  <c r="AD41" i="110"/>
  <c r="AD40" i="110"/>
  <c r="AD37" i="110"/>
  <c r="AD34" i="110"/>
  <c r="Z41" i="110"/>
  <c r="Z40" i="110"/>
  <c r="Z37" i="110"/>
  <c r="Z34" i="110"/>
  <c r="AF17" i="109"/>
  <c r="AF16" i="109"/>
  <c r="AE11" i="110"/>
  <c r="Y41" i="110"/>
  <c r="Y40" i="110"/>
  <c r="Y37" i="110"/>
  <c r="Y34" i="110"/>
  <c r="O106" i="110"/>
  <c r="J108" i="110" s="1"/>
  <c r="AE10" i="110"/>
  <c r="AF10" i="110"/>
  <c r="P106" i="110"/>
  <c r="N107" i="110" s="1"/>
  <c r="T41" i="110"/>
  <c r="T40" i="110"/>
  <c r="T37" i="110"/>
  <c r="T34" i="110"/>
  <c r="AC27" i="99"/>
  <c r="W38" i="101"/>
  <c r="U35" i="101"/>
  <c r="V27" i="95"/>
  <c r="AE33" i="109"/>
  <c r="AE32" i="109"/>
  <c r="AE31" i="109"/>
  <c r="AE30" i="109"/>
  <c r="AE29" i="109"/>
  <c r="AF32" i="109"/>
  <c r="AB35" i="109"/>
  <c r="W35" i="109"/>
  <c r="AF11" i="109"/>
  <c r="S38" i="109"/>
  <c r="AE16" i="110"/>
  <c r="AB41" i="110"/>
  <c r="AB40" i="110"/>
  <c r="AB37" i="110"/>
  <c r="AB34" i="110"/>
  <c r="V41" i="110"/>
  <c r="V40" i="110"/>
  <c r="V37" i="110"/>
  <c r="V34" i="110"/>
  <c r="AE15" i="110"/>
  <c r="AE14" i="110"/>
  <c r="AE13" i="110"/>
  <c r="AE12" i="110"/>
  <c r="AC41" i="110"/>
  <c r="AC40" i="110"/>
  <c r="AC37" i="110"/>
  <c r="AC34" i="110"/>
  <c r="U41" i="110"/>
  <c r="U40" i="110"/>
  <c r="U37" i="110"/>
  <c r="U34" i="110"/>
  <c r="AB36" i="109"/>
  <c r="X36" i="109"/>
  <c r="X40" i="109"/>
  <c r="V23" i="97"/>
  <c r="AD38" i="105"/>
  <c r="AF33" i="109"/>
  <c r="AF31" i="109"/>
  <c r="X38" i="109"/>
  <c r="X41" i="109"/>
  <c r="X42" i="109" s="1"/>
  <c r="T35" i="109"/>
  <c r="AF29" i="109"/>
  <c r="AF28" i="109"/>
  <c r="AF27" i="109"/>
  <c r="AF26" i="109"/>
  <c r="AF25" i="109"/>
  <c r="AF24" i="109"/>
  <c r="AF23" i="109"/>
  <c r="AF22" i="109"/>
  <c r="AF18" i="109"/>
  <c r="AF21" i="109"/>
  <c r="AF20" i="109"/>
  <c r="AF19" i="109"/>
  <c r="T39" i="109"/>
  <c r="T36" i="109"/>
  <c r="AD41" i="109"/>
  <c r="AD40" i="109"/>
  <c r="AD37" i="109"/>
  <c r="AD34" i="109"/>
  <c r="Z41" i="109"/>
  <c r="Z40" i="109"/>
  <c r="Z37" i="109"/>
  <c r="Z34" i="109"/>
  <c r="T41" i="109"/>
  <c r="T40" i="109"/>
  <c r="T37" i="109"/>
  <c r="T34" i="109"/>
  <c r="AE15" i="109"/>
  <c r="AE14" i="109"/>
  <c r="AE13" i="109"/>
  <c r="AE12" i="109"/>
  <c r="AE11" i="109"/>
  <c r="AC41" i="109"/>
  <c r="AC40" i="109"/>
  <c r="AC37" i="109"/>
  <c r="AC34" i="109"/>
  <c r="Y41" i="109"/>
  <c r="Y40" i="109"/>
  <c r="Y37" i="109"/>
  <c r="Y34" i="109"/>
  <c r="U41" i="109"/>
  <c r="U40" i="109"/>
  <c r="U37" i="109"/>
  <c r="U34" i="109"/>
  <c r="O106" i="109"/>
  <c r="AE10" i="109"/>
  <c r="AE28" i="109"/>
  <c r="AE27" i="109"/>
  <c r="AE26" i="109"/>
  <c r="AE25" i="109"/>
  <c r="AE24" i="109"/>
  <c r="AE23" i="109"/>
  <c r="AE22" i="109"/>
  <c r="AE21" i="109"/>
  <c r="AE20" i="109"/>
  <c r="AE19" i="109"/>
  <c r="AE18" i="109"/>
  <c r="AE17" i="109"/>
  <c r="AE16" i="109"/>
  <c r="AB41" i="109"/>
  <c r="AB40" i="109"/>
  <c r="AB37" i="109"/>
  <c r="AB34" i="109"/>
  <c r="V41" i="109"/>
  <c r="V40" i="109"/>
  <c r="V37" i="109"/>
  <c r="V34" i="109"/>
  <c r="AF10" i="109"/>
  <c r="P106" i="109"/>
  <c r="J107" i="109" s="1"/>
  <c r="AA41" i="109"/>
  <c r="AA40" i="109"/>
  <c r="AA37" i="109"/>
  <c r="AA34" i="109"/>
  <c r="W41" i="109"/>
  <c r="W40" i="109"/>
  <c r="W37" i="109"/>
  <c r="W34" i="109"/>
  <c r="S41" i="109"/>
  <c r="S40" i="109"/>
  <c r="S37" i="109"/>
  <c r="S34" i="109"/>
  <c r="AD13" i="108"/>
  <c r="AA24" i="94"/>
  <c r="AC23" i="96"/>
  <c r="AB36" i="105"/>
  <c r="P16" i="108"/>
  <c r="Z13" i="108"/>
  <c r="O56" i="108"/>
  <c r="S15" i="108"/>
  <c r="T17" i="108"/>
  <c r="O11" i="108"/>
  <c r="X18" i="108"/>
  <c r="AB15" i="108"/>
  <c r="O57" i="108"/>
  <c r="P40" i="108"/>
  <c r="AB17" i="108"/>
  <c r="O35" i="108"/>
  <c r="X16" i="108"/>
  <c r="T15" i="108"/>
  <c r="O10" i="108"/>
  <c r="AA26" i="94"/>
  <c r="AB18" i="108"/>
  <c r="T18" i="108"/>
  <c r="X17" i="108"/>
  <c r="AB16" i="108"/>
  <c r="T16" i="108"/>
  <c r="X15" i="108"/>
  <c r="P29" i="108"/>
  <c r="T13" i="108"/>
  <c r="AC11" i="108"/>
  <c r="Y12" i="108"/>
  <c r="O16" i="108"/>
  <c r="Y10" i="108"/>
  <c r="P49" i="108"/>
  <c r="P22" i="108"/>
  <c r="O49" i="108"/>
  <c r="P43" i="108"/>
  <c r="AD18" i="108"/>
  <c r="Z18" i="108"/>
  <c r="V18" i="108"/>
  <c r="AD16" i="108"/>
  <c r="Z16" i="108"/>
  <c r="V16" i="108"/>
  <c r="O28" i="108"/>
  <c r="W15" i="108"/>
  <c r="W19" i="108"/>
  <c r="S20" i="108"/>
  <c r="AA20" i="108"/>
  <c r="W21" i="108"/>
  <c r="O36" i="108"/>
  <c r="S13" i="108"/>
  <c r="O20" i="108"/>
  <c r="AA15" i="108"/>
  <c r="AA17" i="108"/>
  <c r="Y19" i="108"/>
  <c r="U20" i="108"/>
  <c r="AC20" i="108"/>
  <c r="Y21" i="108"/>
  <c r="P57" i="108"/>
  <c r="P55" i="108"/>
  <c r="P52" i="108"/>
  <c r="P35" i="108"/>
  <c r="P21" i="108"/>
  <c r="O13" i="108"/>
  <c r="P12" i="108"/>
  <c r="AA10" i="108"/>
  <c r="O53" i="108"/>
  <c r="O48" i="108"/>
  <c r="P46" i="108"/>
  <c r="O38" i="108"/>
  <c r="P45" i="108"/>
  <c r="P38" i="108"/>
  <c r="P32" i="108"/>
  <c r="O30" i="108"/>
  <c r="AB13" i="108"/>
  <c r="X13" i="108"/>
  <c r="O31" i="108"/>
  <c r="P24" i="108"/>
  <c r="P17" i="108"/>
  <c r="O14" i="108"/>
  <c r="O43" i="108"/>
  <c r="S11" i="108"/>
  <c r="P56" i="108"/>
  <c r="O55" i="108"/>
  <c r="P53" i="108"/>
  <c r="P51" i="108"/>
  <c r="P48" i="108"/>
  <c r="W18" i="108"/>
  <c r="O39" i="108"/>
  <c r="P37" i="108"/>
  <c r="W16" i="108"/>
  <c r="P27" i="108"/>
  <c r="AC12" i="108"/>
  <c r="U12" i="108"/>
  <c r="Y11" i="108"/>
  <c r="Y34" i="108" s="1"/>
  <c r="P13" i="108"/>
  <c r="O12" i="108"/>
  <c r="P11" i="108"/>
  <c r="AC10" i="108"/>
  <c r="P10" i="108"/>
  <c r="O52" i="108"/>
  <c r="P47" i="108"/>
  <c r="P26" i="108"/>
  <c r="U24" i="94"/>
  <c r="AC26" i="94"/>
  <c r="O51" i="108"/>
  <c r="O47" i="108"/>
  <c r="O26" i="108"/>
  <c r="O22" i="108"/>
  <c r="O18" i="108"/>
  <c r="U10" i="108"/>
  <c r="P54" i="108"/>
  <c r="O50" i="108"/>
  <c r="W14" i="108"/>
  <c r="W17" i="108"/>
  <c r="AA19" i="108"/>
  <c r="W20" i="108"/>
  <c r="S21" i="108"/>
  <c r="U19" i="108"/>
  <c r="AA14" i="108"/>
  <c r="AA16" i="108"/>
  <c r="AA18" i="108"/>
  <c r="AC19" i="108"/>
  <c r="Y20" i="108"/>
  <c r="U21" i="108"/>
  <c r="AC21" i="108"/>
  <c r="Z12" i="108"/>
  <c r="O44" i="108"/>
  <c r="AB14" i="108"/>
  <c r="X14" i="108"/>
  <c r="T14" i="108"/>
  <c r="V13" i="108"/>
  <c r="AA13" i="108"/>
  <c r="O46" i="108"/>
  <c r="S18" i="108"/>
  <c r="S16" i="108"/>
  <c r="S14" i="108"/>
  <c r="O45" i="108"/>
  <c r="P41" i="108"/>
  <c r="P39" i="108"/>
  <c r="AD17" i="108"/>
  <c r="Z17" i="108"/>
  <c r="V17" i="108"/>
  <c r="O37" i="108"/>
  <c r="O32" i="108"/>
  <c r="AD15" i="108"/>
  <c r="Z15" i="108"/>
  <c r="P30" i="108"/>
  <c r="P28" i="108"/>
  <c r="P25" i="108"/>
  <c r="P23" i="108"/>
  <c r="O21" i="108"/>
  <c r="P19" i="108"/>
  <c r="P44" i="108"/>
  <c r="O40" i="108"/>
  <c r="P36" i="108"/>
  <c r="P33" i="108"/>
  <c r="P31" i="108"/>
  <c r="O29" i="108"/>
  <c r="O27" i="108"/>
  <c r="O24" i="108"/>
  <c r="W13" i="108"/>
  <c r="P20" i="108"/>
  <c r="O17" i="108"/>
  <c r="P15" i="108"/>
  <c r="AA11" i="108"/>
  <c r="P14" i="108"/>
  <c r="AA21" i="108"/>
  <c r="W10" i="108"/>
  <c r="S10" i="108"/>
  <c r="S19" i="108"/>
  <c r="S17" i="108"/>
  <c r="AD12" i="108"/>
  <c r="AD14" i="108"/>
  <c r="Z14" i="108"/>
  <c r="V14" i="108"/>
  <c r="X12" i="108"/>
  <c r="AC18" i="108"/>
  <c r="Y18" i="108"/>
  <c r="U18" i="108"/>
  <c r="AC17" i="108"/>
  <c r="Y17" i="108"/>
  <c r="AC16" i="108"/>
  <c r="Y16" i="108"/>
  <c r="U16" i="108"/>
  <c r="Y14" i="108"/>
  <c r="AC13" i="108"/>
  <c r="Y13" i="108"/>
  <c r="U13" i="108"/>
  <c r="W11" i="108"/>
  <c r="AB11" i="108"/>
  <c r="O41" i="108"/>
  <c r="O33" i="108"/>
  <c r="O25" i="108"/>
  <c r="V15" i="108"/>
  <c r="O23" i="108"/>
  <c r="O19" i="108"/>
  <c r="O15" i="108"/>
  <c r="P50" i="108"/>
  <c r="P42" i="108"/>
  <c r="P34" i="108"/>
  <c r="S12" i="108"/>
  <c r="O54" i="108"/>
  <c r="O42" i="108"/>
  <c r="O34" i="108"/>
  <c r="P18" i="108"/>
  <c r="AB12" i="108"/>
  <c r="T12" i="108"/>
  <c r="U17" i="108"/>
  <c r="AC15" i="108"/>
  <c r="Y15" i="108"/>
  <c r="U15" i="108"/>
  <c r="AC14" i="108"/>
  <c r="U14" i="108"/>
  <c r="U11" i="108"/>
  <c r="Z38" i="105"/>
  <c r="V38" i="105"/>
  <c r="AC15" i="107"/>
  <c r="W15" i="107"/>
  <c r="U15" i="107"/>
  <c r="AC10" i="107"/>
  <c r="W10" i="107"/>
  <c r="U10" i="107"/>
  <c r="X38" i="105"/>
  <c r="O57" i="107"/>
  <c r="Y15" i="107"/>
  <c r="Z11" i="107"/>
  <c r="AC35" i="105"/>
  <c r="U38" i="105"/>
  <c r="AD21" i="107"/>
  <c r="AB21" i="107"/>
  <c r="Z21" i="107"/>
  <c r="X21" i="107"/>
  <c r="V21" i="107"/>
  <c r="T21" i="107"/>
  <c r="AD20" i="107"/>
  <c r="Z20" i="107"/>
  <c r="V20" i="107"/>
  <c r="AB19" i="107"/>
  <c r="X19" i="107"/>
  <c r="T19" i="107"/>
  <c r="AB18" i="107"/>
  <c r="X18" i="107"/>
  <c r="V18" i="107"/>
  <c r="AD17" i="107"/>
  <c r="Z17" i="107"/>
  <c r="V17" i="107"/>
  <c r="O37" i="107"/>
  <c r="P36" i="107"/>
  <c r="P35" i="107"/>
  <c r="AB16" i="107"/>
  <c r="X16" i="107"/>
  <c r="T16" i="107"/>
  <c r="O32" i="107"/>
  <c r="P31" i="107"/>
  <c r="AB15" i="107"/>
  <c r="X15" i="107"/>
  <c r="T15" i="107"/>
  <c r="P28" i="107"/>
  <c r="AD14" i="107"/>
  <c r="Z14" i="107"/>
  <c r="V14" i="107"/>
  <c r="O25" i="107"/>
  <c r="AD13" i="107"/>
  <c r="Z13" i="107"/>
  <c r="V13" i="107"/>
  <c r="O19" i="107"/>
  <c r="AB12" i="107"/>
  <c r="Z12" i="107"/>
  <c r="V12" i="107"/>
  <c r="T12" i="107"/>
  <c r="P18" i="107"/>
  <c r="O17" i="107"/>
  <c r="O15" i="107"/>
  <c r="AD11" i="107"/>
  <c r="AB11" i="107"/>
  <c r="T11" i="107"/>
  <c r="P14" i="107"/>
  <c r="AB20" i="107"/>
  <c r="X20" i="107"/>
  <c r="T20" i="107"/>
  <c r="AD19" i="107"/>
  <c r="AD39" i="107" s="1"/>
  <c r="Z19" i="107"/>
  <c r="V19" i="107"/>
  <c r="V39" i="107" s="1"/>
  <c r="AD18" i="107"/>
  <c r="Z18" i="107"/>
  <c r="T18" i="107"/>
  <c r="AB17" i="107"/>
  <c r="X17" i="107"/>
  <c r="T17" i="107"/>
  <c r="AD16" i="107"/>
  <c r="Z16" i="107"/>
  <c r="V16" i="107"/>
  <c r="P33" i="107"/>
  <c r="O33" i="107"/>
  <c r="AD15" i="107"/>
  <c r="Z15" i="107"/>
  <c r="V15" i="107"/>
  <c r="O29" i="107"/>
  <c r="O27" i="107"/>
  <c r="AB14" i="107"/>
  <c r="X14" i="107"/>
  <c r="T14" i="107"/>
  <c r="P24" i="107"/>
  <c r="AB13" i="107"/>
  <c r="X13" i="107"/>
  <c r="P22" i="107"/>
  <c r="T13" i="107"/>
  <c r="O22" i="107"/>
  <c r="O20" i="107"/>
  <c r="AD12" i="107"/>
  <c r="X12" i="107"/>
  <c r="X11" i="107"/>
  <c r="V11" i="107"/>
  <c r="O13" i="107"/>
  <c r="O11" i="107"/>
  <c r="AB10" i="107"/>
  <c r="Z10" i="107"/>
  <c r="X10" i="107"/>
  <c r="T10" i="107"/>
  <c r="P57" i="107"/>
  <c r="P56" i="107"/>
  <c r="O56" i="107"/>
  <c r="P55" i="107"/>
  <c r="O55" i="107"/>
  <c r="AC21" i="107"/>
  <c r="AA21" i="107"/>
  <c r="Y21" i="107"/>
  <c r="W21" i="107"/>
  <c r="U21" i="107"/>
  <c r="S21" i="107"/>
  <c r="P54" i="107"/>
  <c r="O54" i="107"/>
  <c r="P53" i="107"/>
  <c r="O53" i="107"/>
  <c r="O52" i="107"/>
  <c r="P52" i="107"/>
  <c r="O51" i="107"/>
  <c r="P51" i="107"/>
  <c r="AC20" i="107"/>
  <c r="AA20" i="107"/>
  <c r="Y20" i="107"/>
  <c r="W20" i="107"/>
  <c r="U20" i="107"/>
  <c r="O50" i="107"/>
  <c r="P50" i="107"/>
  <c r="S20" i="107"/>
  <c r="P49" i="107"/>
  <c r="O49" i="107"/>
  <c r="P48" i="107"/>
  <c r="O48" i="107"/>
  <c r="P47" i="107"/>
  <c r="O47" i="107"/>
  <c r="AC19" i="107"/>
  <c r="AA19" i="107"/>
  <c r="Y19" i="107"/>
  <c r="W19" i="107"/>
  <c r="U19" i="107"/>
  <c r="U36" i="107" s="1"/>
  <c r="S19" i="107"/>
  <c r="S36" i="107" s="1"/>
  <c r="O46" i="107"/>
  <c r="P46" i="107"/>
  <c r="P45" i="107"/>
  <c r="O45" i="107"/>
  <c r="O44" i="107"/>
  <c r="P44" i="107"/>
  <c r="O43" i="107"/>
  <c r="P43" i="107"/>
  <c r="AC18" i="107"/>
  <c r="AA18" i="107"/>
  <c r="Y18" i="107"/>
  <c r="W18" i="107"/>
  <c r="U18" i="107"/>
  <c r="O42" i="107"/>
  <c r="P42" i="107"/>
  <c r="S18" i="107"/>
  <c r="P41" i="107"/>
  <c r="O41" i="107"/>
  <c r="P40" i="107"/>
  <c r="P39" i="107"/>
  <c r="AC17" i="107"/>
  <c r="Y17" i="107"/>
  <c r="W17" i="107"/>
  <c r="U17" i="107"/>
  <c r="O38" i="107"/>
  <c r="P37" i="107"/>
  <c r="O36" i="107"/>
  <c r="O35" i="107"/>
  <c r="O34" i="107"/>
  <c r="P32" i="107"/>
  <c r="O31" i="107"/>
  <c r="P29" i="107"/>
  <c r="O28" i="107"/>
  <c r="P27" i="107"/>
  <c r="P25" i="107"/>
  <c r="O24" i="107"/>
  <c r="P23" i="107"/>
  <c r="P21" i="107"/>
  <c r="P17" i="107"/>
  <c r="O40" i="107"/>
  <c r="AA17" i="107"/>
  <c r="S17" i="107"/>
  <c r="AC16" i="107"/>
  <c r="AA16" i="107"/>
  <c r="Y16" i="107"/>
  <c r="W16" i="107"/>
  <c r="U16" i="107"/>
  <c r="AA15" i="107"/>
  <c r="S15" i="107"/>
  <c r="AC14" i="107"/>
  <c r="AA14" i="107"/>
  <c r="Y14" i="107"/>
  <c r="W14" i="107"/>
  <c r="U14" i="107"/>
  <c r="S14" i="107"/>
  <c r="AC13" i="107"/>
  <c r="AA13" i="107"/>
  <c r="Y13" i="107"/>
  <c r="W13" i="107"/>
  <c r="U13" i="107"/>
  <c r="S13" i="107"/>
  <c r="P20" i="107"/>
  <c r="P19" i="107"/>
  <c r="AC12" i="107"/>
  <c r="AA12" i="107"/>
  <c r="Y12" i="107"/>
  <c r="W12" i="107"/>
  <c r="U12" i="107"/>
  <c r="S12" i="107"/>
  <c r="P16" i="107"/>
  <c r="P15" i="107"/>
  <c r="AC11" i="107"/>
  <c r="AA11" i="107"/>
  <c r="Y11" i="107"/>
  <c r="W11" i="107"/>
  <c r="U11" i="107"/>
  <c r="S11" i="107"/>
  <c r="P13" i="107"/>
  <c r="P12" i="107"/>
  <c r="P11" i="107"/>
  <c r="O39" i="107"/>
  <c r="O26" i="107"/>
  <c r="O23" i="107"/>
  <c r="O21" i="107"/>
  <c r="O18" i="107"/>
  <c r="O16" i="107"/>
  <c r="O14" i="107"/>
  <c r="O12" i="107"/>
  <c r="P26" i="107"/>
  <c r="P38" i="107"/>
  <c r="P30" i="107"/>
  <c r="S16" i="107"/>
  <c r="P34" i="107"/>
  <c r="O30" i="107"/>
  <c r="Y10" i="107"/>
  <c r="AB38" i="105"/>
  <c r="T38" i="105"/>
  <c r="AD10" i="107"/>
  <c r="V10" i="107"/>
  <c r="AA10" i="107"/>
  <c r="P10" i="107"/>
  <c r="P106" i="107" s="1"/>
  <c r="S10" i="107"/>
  <c r="O10" i="107"/>
  <c r="O106" i="107" s="1"/>
  <c r="X35" i="105"/>
  <c r="U39" i="107"/>
  <c r="AC23" i="95"/>
  <c r="U23" i="96"/>
  <c r="AA35" i="105"/>
  <c r="AD26" i="98"/>
  <c r="U35" i="105"/>
  <c r="AB35" i="105"/>
  <c r="T35" i="105"/>
  <c r="AE12" i="105"/>
  <c r="AF33" i="105"/>
  <c r="AF31" i="105"/>
  <c r="AF13" i="105"/>
  <c r="AC38" i="105"/>
  <c r="AA38" i="105"/>
  <c r="W38" i="105"/>
  <c r="W35" i="105"/>
  <c r="S35" i="105"/>
  <c r="AF11" i="105"/>
  <c r="AF32" i="105"/>
  <c r="Y35" i="105"/>
  <c r="AF15" i="105"/>
  <c r="AF30" i="105"/>
  <c r="AF29" i="105"/>
  <c r="AF28" i="105"/>
  <c r="AF27" i="105"/>
  <c r="AF26" i="105"/>
  <c r="AF25" i="105"/>
  <c r="AF24" i="105"/>
  <c r="AF23" i="105"/>
  <c r="AF22" i="105"/>
  <c r="AF21" i="105"/>
  <c r="AF20" i="105"/>
  <c r="AF19" i="105"/>
  <c r="AF18" i="105"/>
  <c r="AF17" i="105"/>
  <c r="AF16" i="105"/>
  <c r="AF14" i="105"/>
  <c r="AD35" i="105"/>
  <c r="Z35" i="105"/>
  <c r="V35" i="105"/>
  <c r="AF12" i="105"/>
  <c r="AD41" i="105"/>
  <c r="AD40" i="105"/>
  <c r="AD37" i="105"/>
  <c r="AD34" i="105"/>
  <c r="Z41" i="105"/>
  <c r="Z40" i="105"/>
  <c r="Z37" i="105"/>
  <c r="Z34" i="105"/>
  <c r="AE28" i="105"/>
  <c r="AE27" i="105"/>
  <c r="AE26" i="105"/>
  <c r="AE25" i="105"/>
  <c r="AE24" i="105"/>
  <c r="AE23" i="105"/>
  <c r="AE22" i="105"/>
  <c r="AE21" i="105"/>
  <c r="AE20" i="105"/>
  <c r="AE19" i="105"/>
  <c r="AE18" i="105"/>
  <c r="AE17" i="105"/>
  <c r="AE16" i="105"/>
  <c r="AE15" i="105"/>
  <c r="AE14" i="105"/>
  <c r="AE13" i="105"/>
  <c r="AE11" i="105"/>
  <c r="AC41" i="105"/>
  <c r="AC40" i="105"/>
  <c r="AC37" i="105"/>
  <c r="AC34" i="105"/>
  <c r="Y41" i="105"/>
  <c r="Y40" i="105"/>
  <c r="Y37" i="105"/>
  <c r="Y34" i="105"/>
  <c r="W41" i="105"/>
  <c r="W40" i="105"/>
  <c r="W37" i="105"/>
  <c r="W34" i="105"/>
  <c r="U41" i="105"/>
  <c r="U40" i="105"/>
  <c r="U37" i="105"/>
  <c r="U34" i="105"/>
  <c r="O106" i="105"/>
  <c r="G108" i="105" s="1"/>
  <c r="AE10" i="105"/>
  <c r="P106" i="105"/>
  <c r="G107" i="105" s="1"/>
  <c r="AF10" i="105"/>
  <c r="V41" i="105"/>
  <c r="V40" i="105"/>
  <c r="V37" i="105"/>
  <c r="V34" i="105"/>
  <c r="T41" i="105"/>
  <c r="T40" i="105"/>
  <c r="T37" i="105"/>
  <c r="T34" i="105"/>
  <c r="AE33" i="105"/>
  <c r="AE32" i="105"/>
  <c r="AE31" i="105"/>
  <c r="AE30" i="105"/>
  <c r="AE29" i="105"/>
  <c r="AB41" i="105"/>
  <c r="AB40" i="105"/>
  <c r="AB37" i="105"/>
  <c r="AB34" i="105"/>
  <c r="X41" i="105"/>
  <c r="X40" i="105"/>
  <c r="X37" i="105"/>
  <c r="X34" i="105"/>
  <c r="AA41" i="105"/>
  <c r="AA40" i="105"/>
  <c r="AA37" i="105"/>
  <c r="AA34" i="105"/>
  <c r="S41" i="105"/>
  <c r="S40" i="105"/>
  <c r="S37" i="105"/>
  <c r="S34" i="105"/>
  <c r="AD24" i="98"/>
  <c r="AC26" i="98"/>
  <c r="AA23" i="100"/>
  <c r="O106" i="101"/>
  <c r="C108" i="101" s="1"/>
  <c r="Y24" i="99"/>
  <c r="P106" i="101"/>
  <c r="U26" i="96"/>
  <c r="AB23" i="97"/>
  <c r="W26" i="99"/>
  <c r="U26" i="94"/>
  <c r="V26" i="98"/>
  <c r="U23" i="95"/>
  <c r="V41" i="101"/>
  <c r="AB41" i="101"/>
  <c r="X41" i="101"/>
  <c r="T41" i="101"/>
  <c r="W41" i="101"/>
  <c r="AC41" i="101"/>
  <c r="U41" i="101"/>
  <c r="AD41" i="101"/>
  <c r="Z41" i="101"/>
  <c r="AA41" i="101"/>
  <c r="Y41" i="101"/>
  <c r="S41" i="101"/>
  <c r="AE30" i="101"/>
  <c r="AE31" i="101"/>
  <c r="AE32" i="101"/>
  <c r="AE33" i="101"/>
  <c r="AF22" i="101"/>
  <c r="AF23" i="101"/>
  <c r="AF24" i="101"/>
  <c r="AF26" i="101"/>
  <c r="AF27" i="101"/>
  <c r="AF29" i="101"/>
  <c r="AF30" i="101"/>
  <c r="AF31" i="101"/>
  <c r="AE22" i="101"/>
  <c r="AE23" i="101"/>
  <c r="AE24" i="101"/>
  <c r="AE25" i="101"/>
  <c r="AE26" i="101"/>
  <c r="AE27" i="101"/>
  <c r="AE28" i="101"/>
  <c r="AE29" i="101"/>
  <c r="AB23" i="95"/>
  <c r="Y24" i="100"/>
  <c r="AB26" i="95"/>
  <c r="Z24" i="95"/>
  <c r="V23" i="99"/>
  <c r="V23" i="98"/>
  <c r="Z27" i="98"/>
  <c r="T24" i="98"/>
  <c r="Y27" i="94"/>
  <c r="Y23" i="96"/>
  <c r="Y26" i="94"/>
  <c r="Y23" i="95"/>
  <c r="AF13" i="104"/>
  <c r="W23" i="96"/>
  <c r="AA26" i="96"/>
  <c r="Y26" i="97"/>
  <c r="AD26" i="96"/>
  <c r="AC23" i="94"/>
  <c r="W27" i="98"/>
  <c r="V24" i="95"/>
  <c r="Y27" i="96"/>
  <c r="Z23" i="95"/>
  <c r="AC27" i="94"/>
  <c r="AA23" i="94"/>
  <c r="X26" i="95"/>
  <c r="X38" i="101"/>
  <c r="Y23" i="94"/>
  <c r="Y38" i="101"/>
  <c r="W26" i="94"/>
  <c r="X35" i="101"/>
  <c r="AB38" i="101"/>
  <c r="T38" i="101"/>
  <c r="AB35" i="101"/>
  <c r="T35" i="101"/>
  <c r="U23" i="94"/>
  <c r="AC24" i="104"/>
  <c r="W28" i="104"/>
  <c r="V23" i="95"/>
  <c r="W23" i="104"/>
  <c r="X25" i="104"/>
  <c r="S24" i="104"/>
  <c r="AB25" i="104"/>
  <c r="W23" i="94"/>
  <c r="U24" i="104"/>
  <c r="AC23" i="104"/>
  <c r="S25" i="104"/>
  <c r="AA26" i="103"/>
  <c r="Y26" i="103"/>
  <c r="W25" i="104"/>
  <c r="W27" i="104"/>
  <c r="W26" i="104"/>
  <c r="AC27" i="104"/>
  <c r="U23" i="104"/>
  <c r="AF16" i="103"/>
  <c r="AC26" i="103"/>
  <c r="U26" i="103"/>
  <c r="AF12" i="104"/>
  <c r="AA28" i="104"/>
  <c r="AF11" i="104"/>
  <c r="AB22" i="104"/>
  <c r="T22" i="104"/>
  <c r="AB23" i="103"/>
  <c r="T23" i="103"/>
  <c r="W24" i="104"/>
  <c r="X22" i="104"/>
  <c r="AA38" i="101"/>
  <c r="T25" i="104"/>
  <c r="W22" i="104"/>
  <c r="S28" i="104"/>
  <c r="AA25" i="104"/>
  <c r="S27" i="104"/>
  <c r="Y27" i="104"/>
  <c r="W26" i="103"/>
  <c r="AC38" i="101"/>
  <c r="Y35" i="101"/>
  <c r="U38" i="101"/>
  <c r="AF18" i="104"/>
  <c r="AA22" i="104"/>
  <c r="S22" i="104"/>
  <c r="AC26" i="104"/>
  <c r="U26" i="104"/>
  <c r="Y23" i="103"/>
  <c r="U23" i="103"/>
  <c r="AF14" i="103"/>
  <c r="S26" i="104"/>
  <c r="AC23" i="103"/>
  <c r="AF15" i="103"/>
  <c r="AA23" i="103"/>
  <c r="W23" i="103"/>
  <c r="AF20" i="104"/>
  <c r="AF16" i="104"/>
  <c r="Y23" i="100"/>
  <c r="AE15" i="103"/>
  <c r="AF21" i="104"/>
  <c r="AF19" i="104"/>
  <c r="Y24" i="104"/>
  <c r="AF17" i="104"/>
  <c r="AF15" i="104"/>
  <c r="Y26" i="104"/>
  <c r="AD23" i="104"/>
  <c r="Z26" i="104"/>
  <c r="V23" i="104"/>
  <c r="Z23" i="104"/>
  <c r="AF13" i="103"/>
  <c r="AF12" i="103"/>
  <c r="AF11" i="103"/>
  <c r="W28" i="100"/>
  <c r="AB26" i="99"/>
  <c r="T26" i="99"/>
  <c r="AF13" i="100"/>
  <c r="Z35" i="101"/>
  <c r="AB23" i="104"/>
  <c r="X26" i="104"/>
  <c r="T28" i="104"/>
  <c r="Y23" i="104"/>
  <c r="AF14" i="104"/>
  <c r="AD26" i="104"/>
  <c r="V26" i="104"/>
  <c r="S23" i="104"/>
  <c r="AF17" i="103"/>
  <c r="AF21" i="103"/>
  <c r="AF20" i="103"/>
  <c r="AF19" i="103"/>
  <c r="AF18" i="103"/>
  <c r="U27" i="104"/>
  <c r="Z28" i="104"/>
  <c r="Z25" i="104"/>
  <c r="Z22" i="104"/>
  <c r="AB27" i="104"/>
  <c r="AB24" i="104"/>
  <c r="X27" i="104"/>
  <c r="X24" i="104"/>
  <c r="T24" i="104"/>
  <c r="T27" i="104"/>
  <c r="AE13" i="104"/>
  <c r="Y28" i="104"/>
  <c r="Y25" i="104"/>
  <c r="Y22" i="104"/>
  <c r="O58" i="104"/>
  <c r="L60" i="104" s="1"/>
  <c r="AE10" i="104"/>
  <c r="AF10" i="104"/>
  <c r="P58" i="104"/>
  <c r="L59" i="104" s="1"/>
  <c r="AD28" i="103"/>
  <c r="AD25" i="103"/>
  <c r="AD22" i="103"/>
  <c r="Z28" i="103"/>
  <c r="Z25" i="103"/>
  <c r="Z22" i="103"/>
  <c r="V28" i="103"/>
  <c r="V25" i="103"/>
  <c r="V22" i="103"/>
  <c r="X28" i="104"/>
  <c r="X23" i="104"/>
  <c r="AE21" i="103"/>
  <c r="AE20" i="103"/>
  <c r="AE19" i="103"/>
  <c r="AE18" i="103"/>
  <c r="AE17" i="103"/>
  <c r="S26" i="103"/>
  <c r="S23" i="103"/>
  <c r="W28" i="103"/>
  <c r="W25" i="103"/>
  <c r="W22" i="103"/>
  <c r="Y28" i="103"/>
  <c r="Y25" i="103"/>
  <c r="Y22" i="103"/>
  <c r="O58" i="103"/>
  <c r="C60" i="103" s="1"/>
  <c r="AE10" i="103"/>
  <c r="AC26" i="99"/>
  <c r="AE21" i="104"/>
  <c r="AE20" i="104"/>
  <c r="AE19" i="104"/>
  <c r="AE18" i="104"/>
  <c r="AE17" i="104"/>
  <c r="AE16" i="104"/>
  <c r="AE15" i="104"/>
  <c r="AE14" i="104"/>
  <c r="AD28" i="104"/>
  <c r="AD25" i="104"/>
  <c r="AD22" i="104"/>
  <c r="V28" i="104"/>
  <c r="V25" i="104"/>
  <c r="V22" i="104"/>
  <c r="AD27" i="104"/>
  <c r="AD24" i="104"/>
  <c r="Z27" i="104"/>
  <c r="Z24" i="104"/>
  <c r="V27" i="104"/>
  <c r="V24" i="104"/>
  <c r="AB28" i="104"/>
  <c r="AB26" i="104"/>
  <c r="AE12" i="104"/>
  <c r="AE11" i="104"/>
  <c r="AC28" i="104"/>
  <c r="AC25" i="104"/>
  <c r="AC22" i="104"/>
  <c r="U28" i="104"/>
  <c r="U25" i="104"/>
  <c r="U22" i="104"/>
  <c r="AB28" i="103"/>
  <c r="AB25" i="103"/>
  <c r="AB22" i="103"/>
  <c r="X28" i="103"/>
  <c r="X25" i="103"/>
  <c r="X22" i="103"/>
  <c r="T28" i="103"/>
  <c r="T25" i="103"/>
  <c r="T22" i="103"/>
  <c r="T23" i="104"/>
  <c r="T26" i="104"/>
  <c r="AE16" i="103"/>
  <c r="AA28" i="103"/>
  <c r="AA25" i="103"/>
  <c r="AA22" i="103"/>
  <c r="S28" i="103"/>
  <c r="S25" i="103"/>
  <c r="S22" i="103"/>
  <c r="AE14" i="103"/>
  <c r="AE13" i="103"/>
  <c r="AE12" i="103"/>
  <c r="AE11" i="103"/>
  <c r="AC28" i="103"/>
  <c r="AC25" i="103"/>
  <c r="AC22" i="103"/>
  <c r="U28" i="103"/>
  <c r="U25" i="103"/>
  <c r="U22" i="103"/>
  <c r="P58" i="103"/>
  <c r="AF10" i="103"/>
  <c r="AC24" i="100"/>
  <c r="U24" i="100"/>
  <c r="AC23" i="100"/>
  <c r="U23" i="100"/>
  <c r="T25" i="100"/>
  <c r="AB23" i="99"/>
  <c r="T23" i="99"/>
  <c r="AA22" i="100"/>
  <c r="X26" i="99"/>
  <c r="W27" i="100"/>
  <c r="AF15" i="101"/>
  <c r="AF14" i="101"/>
  <c r="AF13" i="101"/>
  <c r="AF12" i="101"/>
  <c r="AF11" i="101"/>
  <c r="X23" i="99"/>
  <c r="X25" i="100"/>
  <c r="AA25" i="100"/>
  <c r="S24" i="100"/>
  <c r="AF21" i="101"/>
  <c r="AF20" i="101"/>
  <c r="AF19" i="101"/>
  <c r="AF18" i="101"/>
  <c r="AF17" i="101"/>
  <c r="AF16" i="101"/>
  <c r="AB40" i="101"/>
  <c r="AB37" i="101"/>
  <c r="AB34" i="101"/>
  <c r="X40" i="101"/>
  <c r="X37" i="101"/>
  <c r="X34" i="101"/>
  <c r="T40" i="101"/>
  <c r="T37" i="101"/>
  <c r="T34" i="101"/>
  <c r="AE21" i="101"/>
  <c r="AE20" i="101"/>
  <c r="AE19" i="101"/>
  <c r="AE18" i="101"/>
  <c r="AE17" i="101"/>
  <c r="AE16" i="101"/>
  <c r="AE15" i="101"/>
  <c r="S38" i="101"/>
  <c r="S35" i="101"/>
  <c r="W40" i="101"/>
  <c r="W37" i="101"/>
  <c r="W34" i="101"/>
  <c r="AE14" i="101"/>
  <c r="AE13" i="101"/>
  <c r="AE12" i="101"/>
  <c r="AE11" i="101"/>
  <c r="AC40" i="101"/>
  <c r="AC37" i="101"/>
  <c r="AC34" i="101"/>
  <c r="U40" i="101"/>
  <c r="U37" i="101"/>
  <c r="U34" i="101"/>
  <c r="AF10" i="101"/>
  <c r="S23" i="98"/>
  <c r="Z23" i="99"/>
  <c r="Y23" i="99"/>
  <c r="S22" i="100"/>
  <c r="W26" i="100"/>
  <c r="AD40" i="101"/>
  <c r="AD37" i="101"/>
  <c r="AD34" i="101"/>
  <c r="Z40" i="101"/>
  <c r="Z37" i="101"/>
  <c r="Z34" i="101"/>
  <c r="V40" i="101"/>
  <c r="V37" i="101"/>
  <c r="V34" i="101"/>
  <c r="AA40" i="101"/>
  <c r="AA37" i="101"/>
  <c r="AA34" i="101"/>
  <c r="S40" i="101"/>
  <c r="S37" i="101"/>
  <c r="S34" i="101"/>
  <c r="Y40" i="101"/>
  <c r="Y37" i="101"/>
  <c r="Y34" i="101"/>
  <c r="AE10" i="101"/>
  <c r="AE12" i="97"/>
  <c r="Y27" i="100"/>
  <c r="Y26" i="100"/>
  <c r="AF13" i="96"/>
  <c r="AE19" i="96"/>
  <c r="AE17" i="96"/>
  <c r="AE15" i="96"/>
  <c r="S23" i="96"/>
  <c r="T25" i="94"/>
  <c r="AE18" i="96"/>
  <c r="S23" i="97"/>
  <c r="AB25" i="100"/>
  <c r="W23" i="100"/>
  <c r="AA28" i="100"/>
  <c r="AA23" i="99"/>
  <c r="W23" i="99"/>
  <c r="AF12" i="100"/>
  <c r="W25" i="100"/>
  <c r="S28" i="100"/>
  <c r="AF11" i="100"/>
  <c r="W24" i="100"/>
  <c r="S23" i="100"/>
  <c r="X25" i="94"/>
  <c r="S26" i="100"/>
  <c r="AE16" i="96"/>
  <c r="AE21" i="96"/>
  <c r="AF11" i="98"/>
  <c r="AE18" i="97"/>
  <c r="AE19" i="98"/>
  <c r="AE21" i="100"/>
  <c r="AE20" i="100"/>
  <c r="AE19" i="100"/>
  <c r="AE18" i="100"/>
  <c r="AE17" i="100"/>
  <c r="AE16" i="100"/>
  <c r="AE15" i="100"/>
  <c r="AF20" i="100"/>
  <c r="AF18" i="100"/>
  <c r="AF16" i="100"/>
  <c r="AB23" i="100"/>
  <c r="W22" i="100"/>
  <c r="AC27" i="100"/>
  <c r="AC26" i="100"/>
  <c r="U26" i="100"/>
  <c r="S27" i="100"/>
  <c r="S25" i="100"/>
  <c r="AF14" i="99"/>
  <c r="AE20" i="96"/>
  <c r="AE14" i="96"/>
  <c r="S23" i="95"/>
  <c r="S25" i="94"/>
  <c r="X23" i="100"/>
  <c r="AB28" i="100"/>
  <c r="AF21" i="99"/>
  <c r="AF20" i="99"/>
  <c r="AF19" i="99"/>
  <c r="AF18" i="99"/>
  <c r="AF17" i="99"/>
  <c r="U27" i="100"/>
  <c r="AF16" i="99"/>
  <c r="AF15" i="99"/>
  <c r="AF13" i="99"/>
  <c r="AF12" i="99"/>
  <c r="AF11" i="99"/>
  <c r="AE15" i="98"/>
  <c r="AF13" i="94"/>
  <c r="S23" i="94"/>
  <c r="X22" i="94"/>
  <c r="AE21" i="98"/>
  <c r="AE18" i="98"/>
  <c r="AE16" i="98"/>
  <c r="AE14" i="98"/>
  <c r="AF21" i="100"/>
  <c r="AF19" i="100"/>
  <c r="AF17" i="100"/>
  <c r="AD26" i="100"/>
  <c r="Z23" i="100"/>
  <c r="V26" i="100"/>
  <c r="AF15" i="100"/>
  <c r="AB26" i="100"/>
  <c r="X26" i="100"/>
  <c r="AF14" i="100"/>
  <c r="AE20" i="98"/>
  <c r="AE24" i="98" s="1"/>
  <c r="AE17" i="98"/>
  <c r="AE11" i="97"/>
  <c r="AE14" i="100"/>
  <c r="AD28" i="100"/>
  <c r="AD25" i="100"/>
  <c r="AD22" i="100"/>
  <c r="V28" i="100"/>
  <c r="V25" i="100"/>
  <c r="V22" i="100"/>
  <c r="AD27" i="100"/>
  <c r="AD24" i="100"/>
  <c r="Z27" i="100"/>
  <c r="Z24" i="100"/>
  <c r="V27" i="100"/>
  <c r="V24" i="100"/>
  <c r="AE12" i="100"/>
  <c r="AE11" i="100"/>
  <c r="AC28" i="100"/>
  <c r="AC25" i="100"/>
  <c r="AC22" i="100"/>
  <c r="U28" i="100"/>
  <c r="U25" i="100"/>
  <c r="U22" i="100"/>
  <c r="AB28" i="99"/>
  <c r="AB25" i="99"/>
  <c r="AB22" i="99"/>
  <c r="X28" i="99"/>
  <c r="X25" i="99"/>
  <c r="X22" i="99"/>
  <c r="T28" i="99"/>
  <c r="T25" i="99"/>
  <c r="T22" i="99"/>
  <c r="AD23" i="100"/>
  <c r="Z26" i="100"/>
  <c r="V23" i="100"/>
  <c r="T23" i="100"/>
  <c r="T26" i="100"/>
  <c r="S26" i="99"/>
  <c r="S23" i="99"/>
  <c r="W28" i="99"/>
  <c r="W25" i="99"/>
  <c r="W22" i="99"/>
  <c r="Y28" i="99"/>
  <c r="Y25" i="99"/>
  <c r="Y22" i="99"/>
  <c r="O58" i="99"/>
  <c r="C60" i="99" s="1"/>
  <c r="AE10" i="99"/>
  <c r="AA25" i="94"/>
  <c r="AF12" i="95"/>
  <c r="S24" i="96"/>
  <c r="S26" i="96"/>
  <c r="AF20" i="98"/>
  <c r="AF13" i="98"/>
  <c r="AF19" i="97"/>
  <c r="AE16" i="97"/>
  <c r="Z28" i="100"/>
  <c r="Z25" i="100"/>
  <c r="Z22" i="100"/>
  <c r="AB27" i="100"/>
  <c r="AB24" i="100"/>
  <c r="X27" i="100"/>
  <c r="X24" i="100"/>
  <c r="T24" i="100"/>
  <c r="T27" i="100"/>
  <c r="T28" i="100"/>
  <c r="AE13" i="100"/>
  <c r="Y28" i="100"/>
  <c r="Y25" i="100"/>
  <c r="Y22" i="100"/>
  <c r="O58" i="100"/>
  <c r="AE10" i="100"/>
  <c r="AF10" i="100"/>
  <c r="P58" i="100"/>
  <c r="H59" i="100" s="1"/>
  <c r="AD28" i="99"/>
  <c r="AD25" i="99"/>
  <c r="AD22" i="99"/>
  <c r="Z28" i="99"/>
  <c r="Z25" i="99"/>
  <c r="Z22" i="99"/>
  <c r="V28" i="99"/>
  <c r="V25" i="99"/>
  <c r="V22" i="99"/>
  <c r="X28" i="100"/>
  <c r="AE21" i="99"/>
  <c r="AE20" i="99"/>
  <c r="AE19" i="99"/>
  <c r="AE18" i="99"/>
  <c r="AE17" i="99"/>
  <c r="AE16" i="99"/>
  <c r="AE15" i="99"/>
  <c r="AA28" i="99"/>
  <c r="AA25" i="99"/>
  <c r="AA22" i="99"/>
  <c r="S28" i="99"/>
  <c r="S25" i="99"/>
  <c r="S22" i="99"/>
  <c r="AE14" i="99"/>
  <c r="AE13" i="99"/>
  <c r="AE12" i="99"/>
  <c r="AE11" i="99"/>
  <c r="AC28" i="99"/>
  <c r="AC25" i="99"/>
  <c r="AC22" i="99"/>
  <c r="U28" i="99"/>
  <c r="U25" i="99"/>
  <c r="U22" i="99"/>
  <c r="P58" i="99"/>
  <c r="AF10" i="99"/>
  <c r="AF12" i="98"/>
  <c r="S24" i="98"/>
  <c r="AE17" i="97"/>
  <c r="AE15" i="97"/>
  <c r="AE14" i="97"/>
  <c r="AE13" i="97"/>
  <c r="AF18" i="97"/>
  <c r="S27" i="98"/>
  <c r="AB22" i="94"/>
  <c r="T22" i="94"/>
  <c r="AF18" i="98"/>
  <c r="AF19" i="98"/>
  <c r="AE21" i="97"/>
  <c r="AE20" i="97"/>
  <c r="AE19" i="97"/>
  <c r="S26" i="98"/>
  <c r="AF21" i="98"/>
  <c r="AF17" i="98"/>
  <c r="AF16" i="98"/>
  <c r="AF15" i="98"/>
  <c r="AF14" i="98"/>
  <c r="AD28" i="98"/>
  <c r="AD25" i="98"/>
  <c r="AD22" i="98"/>
  <c r="Z28" i="98"/>
  <c r="Z25" i="98"/>
  <c r="Z22" i="98"/>
  <c r="V28" i="98"/>
  <c r="V25" i="98"/>
  <c r="V22" i="98"/>
  <c r="P58" i="98"/>
  <c r="AF10" i="98"/>
  <c r="AA28" i="98"/>
  <c r="AA25" i="98"/>
  <c r="AA22" i="98"/>
  <c r="W28" i="98"/>
  <c r="W25" i="98"/>
  <c r="W22" i="98"/>
  <c r="S28" i="98"/>
  <c r="S25" i="98"/>
  <c r="S22" i="98"/>
  <c r="AF21" i="97"/>
  <c r="AF20" i="97"/>
  <c r="AC28" i="97"/>
  <c r="AC25" i="97"/>
  <c r="AC22" i="97"/>
  <c r="Y28" i="97"/>
  <c r="Y25" i="97"/>
  <c r="Y22" i="97"/>
  <c r="U28" i="97"/>
  <c r="U25" i="97"/>
  <c r="U22" i="97"/>
  <c r="O58" i="97"/>
  <c r="AE10" i="97"/>
  <c r="AB28" i="97"/>
  <c r="AB25" i="97"/>
  <c r="AB22" i="97"/>
  <c r="X28" i="97"/>
  <c r="X25" i="97"/>
  <c r="X22" i="97"/>
  <c r="T28" i="97"/>
  <c r="T25" i="97"/>
  <c r="T22" i="97"/>
  <c r="AF12" i="96"/>
  <c r="W25" i="94"/>
  <c r="AB28" i="98"/>
  <c r="AB25" i="98"/>
  <c r="AB22" i="98"/>
  <c r="X28" i="98"/>
  <c r="X25" i="98"/>
  <c r="X22" i="98"/>
  <c r="T28" i="98"/>
  <c r="T25" i="98"/>
  <c r="T22" i="98"/>
  <c r="AE13" i="98"/>
  <c r="AE12" i="98"/>
  <c r="AE11" i="98"/>
  <c r="AC28" i="98"/>
  <c r="AC25" i="98"/>
  <c r="AC22" i="98"/>
  <c r="Y28" i="98"/>
  <c r="Y25" i="98"/>
  <c r="Y22" i="98"/>
  <c r="U28" i="98"/>
  <c r="U25" i="98"/>
  <c r="U22" i="98"/>
  <c r="O58" i="98"/>
  <c r="AE10" i="98"/>
  <c r="AF17" i="97"/>
  <c r="AA28" i="97"/>
  <c r="AA25" i="97"/>
  <c r="AA22" i="97"/>
  <c r="W28" i="97"/>
  <c r="W25" i="97"/>
  <c r="W22" i="97"/>
  <c r="S28" i="97"/>
  <c r="S25" i="97"/>
  <c r="S22" i="97"/>
  <c r="AF16" i="97"/>
  <c r="AF15" i="97"/>
  <c r="AF14" i="97"/>
  <c r="AF13" i="97"/>
  <c r="AF12" i="97"/>
  <c r="AF11" i="97"/>
  <c r="AD28" i="97"/>
  <c r="AD25" i="97"/>
  <c r="AD22" i="97"/>
  <c r="Z28" i="97"/>
  <c r="Z25" i="97"/>
  <c r="Z22" i="97"/>
  <c r="V28" i="97"/>
  <c r="V25" i="97"/>
  <c r="V22" i="97"/>
  <c r="P58" i="97"/>
  <c r="AF10" i="97"/>
  <c r="AE21" i="95"/>
  <c r="AE20" i="95"/>
  <c r="AB25" i="94"/>
  <c r="W22" i="94"/>
  <c r="AF11" i="94"/>
  <c r="W28" i="94"/>
  <c r="AE19" i="95"/>
  <c r="AE17" i="95"/>
  <c r="AE18" i="95"/>
  <c r="AF15" i="95"/>
  <c r="AF14" i="95"/>
  <c r="AF13" i="95"/>
  <c r="AF11" i="96"/>
  <c r="S27" i="95"/>
  <c r="S28" i="94"/>
  <c r="AA28" i="94"/>
  <c r="AF12" i="94"/>
  <c r="AF16" i="95"/>
  <c r="AF21" i="95"/>
  <c r="AF20" i="95"/>
  <c r="S26" i="95"/>
  <c r="AF20" i="94"/>
  <c r="AF18" i="94"/>
  <c r="AF16" i="94"/>
  <c r="AF14" i="94"/>
  <c r="AA22" i="94"/>
  <c r="S22" i="94"/>
  <c r="S24" i="95"/>
  <c r="AF11" i="95"/>
  <c r="S27" i="96"/>
  <c r="AF21" i="96"/>
  <c r="AF20" i="96"/>
  <c r="AF19" i="96"/>
  <c r="AF18" i="96"/>
  <c r="AF17" i="96"/>
  <c r="AF16" i="96"/>
  <c r="AF15" i="96"/>
  <c r="AF14" i="96"/>
  <c r="AD28" i="96"/>
  <c r="AD25" i="96"/>
  <c r="AD22" i="96"/>
  <c r="Z28" i="96"/>
  <c r="Z25" i="96"/>
  <c r="Z22" i="96"/>
  <c r="V28" i="96"/>
  <c r="V25" i="96"/>
  <c r="V22" i="96"/>
  <c r="P58" i="96"/>
  <c r="AF10" i="96"/>
  <c r="AA28" i="96"/>
  <c r="AA25" i="96"/>
  <c r="AA22" i="96"/>
  <c r="W28" i="96"/>
  <c r="W25" i="96"/>
  <c r="W22" i="96"/>
  <c r="S28" i="96"/>
  <c r="S25" i="96"/>
  <c r="S22" i="96"/>
  <c r="AB28" i="95"/>
  <c r="AB25" i="95"/>
  <c r="AB22" i="95"/>
  <c r="X28" i="95"/>
  <c r="X25" i="95"/>
  <c r="X22" i="95"/>
  <c r="T28" i="95"/>
  <c r="T25" i="95"/>
  <c r="T22" i="95"/>
  <c r="AE13" i="95"/>
  <c r="AE12" i="95"/>
  <c r="AE11" i="95"/>
  <c r="AC28" i="95"/>
  <c r="AC25" i="95"/>
  <c r="AC22" i="95"/>
  <c r="Y28" i="95"/>
  <c r="Y25" i="95"/>
  <c r="Y22" i="95"/>
  <c r="U28" i="95"/>
  <c r="U25" i="95"/>
  <c r="U22" i="95"/>
  <c r="O58" i="95"/>
  <c r="AE10" i="95"/>
  <c r="AB28" i="96"/>
  <c r="AB25" i="96"/>
  <c r="AB22" i="96"/>
  <c r="X28" i="96"/>
  <c r="X25" i="96"/>
  <c r="X22" i="96"/>
  <c r="T28" i="96"/>
  <c r="T25" i="96"/>
  <c r="T22" i="96"/>
  <c r="AE13" i="96"/>
  <c r="AE12" i="96"/>
  <c r="AE11" i="96"/>
  <c r="AC28" i="96"/>
  <c r="AC25" i="96"/>
  <c r="AC22" i="96"/>
  <c r="Y28" i="96"/>
  <c r="Y25" i="96"/>
  <c r="Y22" i="96"/>
  <c r="U28" i="96"/>
  <c r="U25" i="96"/>
  <c r="U22" i="96"/>
  <c r="O58" i="96"/>
  <c r="AE10" i="96"/>
  <c r="AF19" i="95"/>
  <c r="AF18" i="95"/>
  <c r="AF17" i="95"/>
  <c r="AD28" i="95"/>
  <c r="AD25" i="95"/>
  <c r="AD22" i="95"/>
  <c r="Z28" i="95"/>
  <c r="Z25" i="95"/>
  <c r="Z22" i="95"/>
  <c r="V28" i="95"/>
  <c r="V25" i="95"/>
  <c r="V22" i="95"/>
  <c r="P58" i="95"/>
  <c r="AF10" i="95"/>
  <c r="AE16" i="95"/>
  <c r="AE15" i="95"/>
  <c r="AE14" i="95"/>
  <c r="AA28" i="95"/>
  <c r="AA25" i="95"/>
  <c r="AA22" i="95"/>
  <c r="W28" i="95"/>
  <c r="W25" i="95"/>
  <c r="W22" i="95"/>
  <c r="S28" i="95"/>
  <c r="S25" i="95"/>
  <c r="S22" i="95"/>
  <c r="AB23" i="94"/>
  <c r="X26" i="94"/>
  <c r="AB28" i="94"/>
  <c r="X28" i="94"/>
  <c r="X23" i="94"/>
  <c r="AF21" i="94"/>
  <c r="AF19" i="94"/>
  <c r="AF17" i="94"/>
  <c r="AD23" i="94"/>
  <c r="Z26" i="94"/>
  <c r="V23" i="94"/>
  <c r="AF15" i="94"/>
  <c r="AB26" i="94"/>
  <c r="T28" i="94"/>
  <c r="Z28" i="94"/>
  <c r="Z25" i="94"/>
  <c r="Z22" i="94"/>
  <c r="AD27" i="94"/>
  <c r="AD24" i="94"/>
  <c r="Z27" i="94"/>
  <c r="Z24" i="94"/>
  <c r="V27" i="94"/>
  <c r="V24" i="94"/>
  <c r="AE12" i="94"/>
  <c r="AE11" i="94"/>
  <c r="AC28" i="94"/>
  <c r="AC25" i="94"/>
  <c r="AC22" i="94"/>
  <c r="U28" i="94"/>
  <c r="U25" i="94"/>
  <c r="U22" i="94"/>
  <c r="AD26" i="94"/>
  <c r="Z23" i="94"/>
  <c r="V26" i="94"/>
  <c r="AE21" i="94"/>
  <c r="AE20" i="94"/>
  <c r="AE19" i="94"/>
  <c r="AE18" i="94"/>
  <c r="AE17" i="94"/>
  <c r="AE16" i="94"/>
  <c r="AE15" i="94"/>
  <c r="AE14" i="94"/>
  <c r="AD28" i="94"/>
  <c r="AD25" i="94"/>
  <c r="AD22" i="94"/>
  <c r="V28" i="94"/>
  <c r="V25" i="94"/>
  <c r="V22" i="94"/>
  <c r="AB27" i="94"/>
  <c r="AB24" i="94"/>
  <c r="X27" i="94"/>
  <c r="X24" i="94"/>
  <c r="T24" i="94"/>
  <c r="T27" i="94"/>
  <c r="AE13" i="94"/>
  <c r="Y28" i="94"/>
  <c r="Y25" i="94"/>
  <c r="Y22" i="94"/>
  <c r="O58" i="94"/>
  <c r="C60" i="94" s="1"/>
  <c r="AE10" i="94"/>
  <c r="AF10" i="94"/>
  <c r="P58" i="94"/>
  <c r="H59" i="94" s="1"/>
  <c r="T23" i="94"/>
  <c r="T26" i="94"/>
  <c r="Z21" i="93"/>
  <c r="AD20" i="93"/>
  <c r="V20" i="93"/>
  <c r="Z19" i="93"/>
  <c r="AD18" i="93"/>
  <c r="V18" i="93"/>
  <c r="Z17" i="93"/>
  <c r="AD16" i="93"/>
  <c r="V16" i="93"/>
  <c r="Z15" i="93"/>
  <c r="AD14" i="93"/>
  <c r="V14" i="93"/>
  <c r="Z13" i="93"/>
  <c r="AD12" i="93"/>
  <c r="V12" i="93"/>
  <c r="Z11" i="93"/>
  <c r="AD21" i="93"/>
  <c r="V21" i="93"/>
  <c r="Z20" i="93"/>
  <c r="AD19" i="93"/>
  <c r="V19" i="93"/>
  <c r="Z18" i="93"/>
  <c r="AD17" i="93"/>
  <c r="V17" i="93"/>
  <c r="Z16" i="93"/>
  <c r="AD15" i="93"/>
  <c r="V15" i="93"/>
  <c r="Z14" i="93"/>
  <c r="AD13" i="93"/>
  <c r="V13" i="93"/>
  <c r="Z12" i="93"/>
  <c r="AD11" i="93"/>
  <c r="V11" i="93"/>
  <c r="AB21" i="93"/>
  <c r="X21" i="93"/>
  <c r="T21" i="93"/>
  <c r="AB20" i="93"/>
  <c r="X20" i="93"/>
  <c r="T20" i="93"/>
  <c r="AB19" i="93"/>
  <c r="X19" i="93"/>
  <c r="T19" i="93"/>
  <c r="AB18" i="93"/>
  <c r="X18" i="93"/>
  <c r="T18" i="93"/>
  <c r="AB17" i="93"/>
  <c r="X17" i="93"/>
  <c r="T17" i="93"/>
  <c r="AB16" i="93"/>
  <c r="X16" i="93"/>
  <c r="T16" i="93"/>
  <c r="AB15" i="93"/>
  <c r="X15" i="93"/>
  <c r="T15" i="93"/>
  <c r="AB14" i="93"/>
  <c r="X14" i="93"/>
  <c r="T14" i="93"/>
  <c r="AB13" i="93"/>
  <c r="X13" i="93"/>
  <c r="T13" i="93"/>
  <c r="AB12" i="93"/>
  <c r="X12" i="93"/>
  <c r="T12" i="93"/>
  <c r="AB11" i="93"/>
  <c r="X11" i="93"/>
  <c r="T11" i="93"/>
  <c r="AC21" i="93"/>
  <c r="AA21" i="93"/>
  <c r="Y21" i="93"/>
  <c r="W21" i="93"/>
  <c r="U21" i="93"/>
  <c r="S21" i="93"/>
  <c r="AC20" i="93"/>
  <c r="AA20" i="93"/>
  <c r="Y20" i="93"/>
  <c r="W20" i="93"/>
  <c r="U20" i="93"/>
  <c r="S20" i="93"/>
  <c r="AC19" i="93"/>
  <c r="AA19" i="93"/>
  <c r="Y19" i="93"/>
  <c r="W19" i="93"/>
  <c r="U19" i="93"/>
  <c r="S19" i="93"/>
  <c r="AC18" i="93"/>
  <c r="AA18" i="93"/>
  <c r="Y18" i="93"/>
  <c r="W18" i="93"/>
  <c r="U18" i="93"/>
  <c r="S18" i="93"/>
  <c r="AC17" i="93"/>
  <c r="AA17" i="93"/>
  <c r="Y17" i="93"/>
  <c r="W17" i="93"/>
  <c r="U17" i="93"/>
  <c r="S17" i="93"/>
  <c r="AC16" i="93"/>
  <c r="AA16" i="93"/>
  <c r="Y16" i="93"/>
  <c r="W16" i="93"/>
  <c r="U16" i="93"/>
  <c r="S16" i="93"/>
  <c r="AC15" i="93"/>
  <c r="AA15" i="93"/>
  <c r="Y15" i="93"/>
  <c r="W15" i="93"/>
  <c r="U15" i="93"/>
  <c r="S15" i="93"/>
  <c r="AC14" i="93"/>
  <c r="AA14" i="93"/>
  <c r="Y14" i="93"/>
  <c r="W14" i="93"/>
  <c r="U14" i="93"/>
  <c r="S14" i="93"/>
  <c r="AC13" i="93"/>
  <c r="AA13" i="93"/>
  <c r="Y13" i="93"/>
  <c r="W13" i="93"/>
  <c r="U13" i="93"/>
  <c r="S13" i="93"/>
  <c r="AC12" i="93"/>
  <c r="AA12" i="93"/>
  <c r="Y12" i="93"/>
  <c r="W12" i="93"/>
  <c r="U12" i="93"/>
  <c r="S12" i="93"/>
  <c r="AC11" i="93"/>
  <c r="AA11" i="93"/>
  <c r="Y11" i="93"/>
  <c r="W11" i="93"/>
  <c r="U11" i="93"/>
  <c r="S11" i="93"/>
  <c r="S10" i="93"/>
  <c r="AC10" i="93"/>
  <c r="AA10" i="93"/>
  <c r="Y10" i="93"/>
  <c r="W10" i="93"/>
  <c r="U10" i="93"/>
  <c r="AD10" i="93"/>
  <c r="AB10" i="93"/>
  <c r="Z10" i="93"/>
  <c r="X10" i="93"/>
  <c r="V10" i="93"/>
  <c r="V22" i="93" s="1"/>
  <c r="T10" i="93"/>
  <c r="P34" i="93"/>
  <c r="P50" i="93"/>
  <c r="P18" i="93"/>
  <c r="N58" i="93"/>
  <c r="P42" i="93"/>
  <c r="P26" i="93"/>
  <c r="P56" i="93"/>
  <c r="P46" i="93"/>
  <c r="P38" i="93"/>
  <c r="P30" i="93"/>
  <c r="P22" i="93"/>
  <c r="P14" i="93"/>
  <c r="F58" i="93"/>
  <c r="P10" i="93"/>
  <c r="P52" i="93"/>
  <c r="P48" i="93"/>
  <c r="P44" i="93"/>
  <c r="P40" i="93"/>
  <c r="P36" i="93"/>
  <c r="P32" i="93"/>
  <c r="P28" i="93"/>
  <c r="P24" i="93"/>
  <c r="P23" i="93"/>
  <c r="P20" i="93"/>
  <c r="P16" i="93"/>
  <c r="P12" i="93"/>
  <c r="P54" i="93"/>
  <c r="P51" i="93"/>
  <c r="P49" i="93"/>
  <c r="P35" i="93"/>
  <c r="P33" i="93"/>
  <c r="P31" i="93"/>
  <c r="P21" i="93"/>
  <c r="P19" i="93"/>
  <c r="P17" i="93"/>
  <c r="P15" i="93"/>
  <c r="P13" i="93"/>
  <c r="P11" i="93"/>
  <c r="P47" i="93"/>
  <c r="P45" i="93"/>
  <c r="P43" i="93"/>
  <c r="P41" i="93"/>
  <c r="P39" i="93"/>
  <c r="P37" i="93"/>
  <c r="P29" i="93"/>
  <c r="P27" i="93"/>
  <c r="P25" i="93"/>
  <c r="K58" i="93"/>
  <c r="G58" i="93"/>
  <c r="P57" i="93"/>
  <c r="P55" i="93"/>
  <c r="H58" i="93"/>
  <c r="D58" i="93"/>
  <c r="L58" i="93"/>
  <c r="P53" i="93"/>
  <c r="J58" i="93"/>
  <c r="E58" i="93"/>
  <c r="I58" i="93"/>
  <c r="O27" i="93"/>
  <c r="O29" i="93"/>
  <c r="O31" i="93"/>
  <c r="O33" i="93"/>
  <c r="O35" i="93"/>
  <c r="O37" i="93"/>
  <c r="O39" i="93"/>
  <c r="O41" i="93"/>
  <c r="O43" i="93"/>
  <c r="O45" i="93"/>
  <c r="O47" i="93"/>
  <c r="O49" i="93"/>
  <c r="O51" i="93"/>
  <c r="O53" i="93"/>
  <c r="O55" i="93"/>
  <c r="O57" i="93"/>
  <c r="M58" i="93"/>
  <c r="O10" i="93"/>
  <c r="O11" i="93"/>
  <c r="O12" i="93"/>
  <c r="O13" i="93"/>
  <c r="O14" i="93"/>
  <c r="O15" i="93"/>
  <c r="O16" i="93"/>
  <c r="O17" i="93"/>
  <c r="O18" i="93"/>
  <c r="O19" i="93"/>
  <c r="O20" i="93"/>
  <c r="O21" i="93"/>
  <c r="O22" i="93"/>
  <c r="O23" i="93"/>
  <c r="O24" i="93"/>
  <c r="O25" i="93"/>
  <c r="O26" i="93"/>
  <c r="O28" i="93"/>
  <c r="O30" i="93"/>
  <c r="O32" i="93"/>
  <c r="O34" i="93"/>
  <c r="O36" i="93"/>
  <c r="O38" i="93"/>
  <c r="O40" i="93"/>
  <c r="O42" i="93"/>
  <c r="O44" i="93"/>
  <c r="O46" i="93"/>
  <c r="O48" i="93"/>
  <c r="O50" i="93"/>
  <c r="O52" i="93"/>
  <c r="O54" i="93"/>
  <c r="O56" i="93"/>
  <c r="C58" i="93"/>
  <c r="I106" i="111" l="1"/>
  <c r="C106" i="111"/>
  <c r="J106" i="111"/>
  <c r="K106" i="111"/>
  <c r="F106" i="111"/>
  <c r="N106" i="111"/>
  <c r="E106" i="111"/>
  <c r="M106" i="111"/>
  <c r="D106" i="111"/>
  <c r="L106" i="111"/>
  <c r="AF10" i="108"/>
  <c r="T11" i="111"/>
  <c r="V17" i="111"/>
  <c r="AA12" i="111"/>
  <c r="X14" i="111"/>
  <c r="AD11" i="111"/>
  <c r="T17" i="111"/>
  <c r="AB19" i="111"/>
  <c r="AA15" i="111"/>
  <c r="O47" i="111"/>
  <c r="Z14" i="111"/>
  <c r="AD19" i="111"/>
  <c r="W11" i="111"/>
  <c r="U14" i="111"/>
  <c r="AB15" i="111"/>
  <c r="X18" i="111"/>
  <c r="T21" i="111"/>
  <c r="AA18" i="111"/>
  <c r="AD36" i="108"/>
  <c r="AB12" i="111"/>
  <c r="S18" i="111"/>
  <c r="Y14" i="111"/>
  <c r="S15" i="111"/>
  <c r="W17" i="111"/>
  <c r="W18" i="111"/>
  <c r="Y19" i="111"/>
  <c r="O52" i="111"/>
  <c r="AC20" i="111"/>
  <c r="AA21" i="111"/>
  <c r="X11" i="111"/>
  <c r="V13" i="111"/>
  <c r="AD13" i="111"/>
  <c r="V15" i="111"/>
  <c r="AD15" i="111"/>
  <c r="Z16" i="111"/>
  <c r="AD17" i="111"/>
  <c r="Z18" i="111"/>
  <c r="V19" i="111"/>
  <c r="Z20" i="111"/>
  <c r="V21" i="111"/>
  <c r="AD21" i="111"/>
  <c r="Z36" i="108"/>
  <c r="S11" i="111"/>
  <c r="AA11" i="111"/>
  <c r="S12" i="111"/>
  <c r="W12" i="111"/>
  <c r="S13" i="111"/>
  <c r="AA13" i="111"/>
  <c r="T14" i="111"/>
  <c r="AB14" i="111"/>
  <c r="X15" i="111"/>
  <c r="T15" i="111"/>
  <c r="X16" i="111"/>
  <c r="T16" i="111"/>
  <c r="AB16" i="111"/>
  <c r="X17" i="111"/>
  <c r="AB17" i="111"/>
  <c r="T18" i="111"/>
  <c r="AB18" i="111"/>
  <c r="T19" i="111"/>
  <c r="X20" i="111"/>
  <c r="T20" i="111"/>
  <c r="AB20" i="111"/>
  <c r="X21" i="111"/>
  <c r="S17" i="111"/>
  <c r="AA17" i="111"/>
  <c r="W13" i="111"/>
  <c r="AC14" i="111"/>
  <c r="X13" i="111"/>
  <c r="AB21" i="111"/>
  <c r="Z10" i="111"/>
  <c r="V39" i="108"/>
  <c r="U19" i="111"/>
  <c r="AC21" i="111"/>
  <c r="Y21" i="111"/>
  <c r="W15" i="111"/>
  <c r="AA16" i="111"/>
  <c r="O12" i="111"/>
  <c r="P26" i="111"/>
  <c r="V11" i="111"/>
  <c r="X12" i="111"/>
  <c r="Z12" i="111"/>
  <c r="P46" i="111"/>
  <c r="S10" i="111"/>
  <c r="AB36" i="108"/>
  <c r="AD37" i="108"/>
  <c r="P10" i="111"/>
  <c r="X19" i="111"/>
  <c r="W10" i="111"/>
  <c r="O22" i="111"/>
  <c r="P31" i="111"/>
  <c r="W16" i="111"/>
  <c r="V10" i="111"/>
  <c r="T10" i="111"/>
  <c r="AB10" i="111"/>
  <c r="Z11" i="111"/>
  <c r="AB11" i="111"/>
  <c r="V12" i="111"/>
  <c r="AB13" i="111"/>
  <c r="Z13" i="111"/>
  <c r="V14" i="111"/>
  <c r="AD14" i="111"/>
  <c r="Z15" i="111"/>
  <c r="V16" i="111"/>
  <c r="AD16" i="111"/>
  <c r="Z17" i="111"/>
  <c r="V18" i="111"/>
  <c r="AD18" i="111"/>
  <c r="Z19" i="111"/>
  <c r="V20" i="111"/>
  <c r="AD20" i="111"/>
  <c r="Z21" i="111"/>
  <c r="AD39" i="108"/>
  <c r="Z39" i="108"/>
  <c r="O34" i="111"/>
  <c r="P17" i="111"/>
  <c r="O21" i="111"/>
  <c r="O37" i="111"/>
  <c r="P41" i="111"/>
  <c r="O42" i="111"/>
  <c r="U20" i="111"/>
  <c r="P53" i="111"/>
  <c r="X10" i="111"/>
  <c r="T39" i="108"/>
  <c r="U10" i="111"/>
  <c r="AC10" i="111"/>
  <c r="P13" i="111"/>
  <c r="O14" i="111"/>
  <c r="O15" i="111"/>
  <c r="O17" i="111"/>
  <c r="O19" i="111"/>
  <c r="P20" i="111"/>
  <c r="P25" i="111"/>
  <c r="O26" i="111"/>
  <c r="P28" i="111"/>
  <c r="P30" i="111"/>
  <c r="O32" i="111"/>
  <c r="P33" i="111"/>
  <c r="U16" i="111"/>
  <c r="AC16" i="111"/>
  <c r="Y16" i="111"/>
  <c r="P38" i="111"/>
  <c r="P39" i="111"/>
  <c r="O40" i="111"/>
  <c r="P44" i="111"/>
  <c r="S19" i="111"/>
  <c r="AA19" i="111"/>
  <c r="P47" i="111"/>
  <c r="P50" i="111"/>
  <c r="P51" i="111"/>
  <c r="Y20" i="111"/>
  <c r="P54" i="111"/>
  <c r="O55" i="111"/>
  <c r="U21" i="111"/>
  <c r="P23" i="111"/>
  <c r="O23" i="111"/>
  <c r="Y18" i="111"/>
  <c r="O43" i="111"/>
  <c r="O49" i="111"/>
  <c r="P49" i="111"/>
  <c r="W21" i="111"/>
  <c r="P56" i="111"/>
  <c r="O10" i="111"/>
  <c r="C108" i="110"/>
  <c r="P15" i="111"/>
  <c r="O28" i="111"/>
  <c r="O35" i="111"/>
  <c r="O25" i="111"/>
  <c r="O44" i="111"/>
  <c r="O54" i="111"/>
  <c r="AD10" i="111"/>
  <c r="P36" i="111"/>
  <c r="O57" i="111"/>
  <c r="X36" i="108"/>
  <c r="V34" i="108"/>
  <c r="O11" i="111"/>
  <c r="Y10" i="111"/>
  <c r="O13" i="111"/>
  <c r="Y11" i="111"/>
  <c r="U11" i="111"/>
  <c r="AC11" i="111"/>
  <c r="O16" i="111"/>
  <c r="Y12" i="111"/>
  <c r="U12" i="111"/>
  <c r="AC12" i="111"/>
  <c r="O20" i="111"/>
  <c r="P21" i="111"/>
  <c r="Y13" i="111"/>
  <c r="U13" i="111"/>
  <c r="AC13" i="111"/>
  <c r="P24" i="111"/>
  <c r="W14" i="111"/>
  <c r="AA14" i="111"/>
  <c r="P29" i="111"/>
  <c r="O30" i="111"/>
  <c r="AC15" i="111"/>
  <c r="Y15" i="111"/>
  <c r="U15" i="111"/>
  <c r="O33" i="111"/>
  <c r="P34" i="111"/>
  <c r="P35" i="111"/>
  <c r="O36" i="111"/>
  <c r="P37" i="111"/>
  <c r="O38" i="111"/>
  <c r="AC17" i="111"/>
  <c r="Y17" i="111"/>
  <c r="U17" i="111"/>
  <c r="O41" i="111"/>
  <c r="P42" i="111"/>
  <c r="U18" i="111"/>
  <c r="AC18" i="111"/>
  <c r="P45" i="111"/>
  <c r="O46" i="111"/>
  <c r="AC19" i="111"/>
  <c r="O48" i="111"/>
  <c r="W19" i="111"/>
  <c r="O50" i="111"/>
  <c r="O51" i="111"/>
  <c r="AA20" i="111"/>
  <c r="W20" i="111"/>
  <c r="O53" i="111"/>
  <c r="P55" i="111"/>
  <c r="O56" i="111"/>
  <c r="P57" i="111"/>
  <c r="P14" i="111"/>
  <c r="P16" i="111"/>
  <c r="O18" i="111"/>
  <c r="S14" i="111"/>
  <c r="O27" i="111"/>
  <c r="O29" i="111"/>
  <c r="S16" i="111"/>
  <c r="O39" i="111"/>
  <c r="P48" i="111"/>
  <c r="S20" i="111"/>
  <c r="P52" i="111"/>
  <c r="P12" i="111"/>
  <c r="P19" i="111"/>
  <c r="O24" i="111"/>
  <c r="O31" i="111"/>
  <c r="O45" i="111"/>
  <c r="S21" i="111"/>
  <c r="P11" i="111"/>
  <c r="P18" i="111"/>
  <c r="P22" i="111"/>
  <c r="P27" i="111"/>
  <c r="P32" i="111"/>
  <c r="P40" i="111"/>
  <c r="P43" i="111"/>
  <c r="X39" i="108"/>
  <c r="T36" i="108"/>
  <c r="AB39" i="108"/>
  <c r="V37" i="108"/>
  <c r="T34" i="108"/>
  <c r="F108" i="110"/>
  <c r="AA10" i="111"/>
  <c r="H108" i="110"/>
  <c r="N108" i="110"/>
  <c r="X34" i="108"/>
  <c r="AE39" i="110"/>
  <c r="W42" i="110"/>
  <c r="Z34" i="108"/>
  <c r="AE36" i="110"/>
  <c r="F107" i="110"/>
  <c r="C107" i="110"/>
  <c r="H107" i="110"/>
  <c r="T42" i="110"/>
  <c r="Y42" i="110"/>
  <c r="X42" i="110"/>
  <c r="AF36" i="110"/>
  <c r="AF39" i="110"/>
  <c r="AF35" i="110"/>
  <c r="AF38" i="110"/>
  <c r="U42" i="110"/>
  <c r="AC42" i="110"/>
  <c r="AE38" i="110"/>
  <c r="AE35" i="110"/>
  <c r="V42" i="110"/>
  <c r="AB42" i="110"/>
  <c r="M107" i="110"/>
  <c r="D107" i="110"/>
  <c r="L107" i="110"/>
  <c r="E107" i="110"/>
  <c r="G107" i="110"/>
  <c r="I107" i="110"/>
  <c r="K107" i="110"/>
  <c r="AE41" i="110"/>
  <c r="AE40" i="110"/>
  <c r="AE37" i="110"/>
  <c r="AE34" i="110"/>
  <c r="Z42" i="110"/>
  <c r="AD42" i="110"/>
  <c r="AF41" i="110"/>
  <c r="AF40" i="110"/>
  <c r="AF37" i="110"/>
  <c r="AF34" i="110"/>
  <c r="D108" i="110"/>
  <c r="L108" i="110"/>
  <c r="E108" i="110"/>
  <c r="G108" i="110"/>
  <c r="I108" i="110"/>
  <c r="K108" i="110"/>
  <c r="J107" i="110"/>
  <c r="H107" i="109"/>
  <c r="U42" i="109"/>
  <c r="Y42" i="109"/>
  <c r="AC42" i="109"/>
  <c r="AF39" i="109"/>
  <c r="AF36" i="109"/>
  <c r="AF38" i="109"/>
  <c r="AF35" i="109"/>
  <c r="M107" i="109"/>
  <c r="D107" i="109"/>
  <c r="L107" i="109"/>
  <c r="C107" i="109"/>
  <c r="E107" i="109"/>
  <c r="G107" i="109"/>
  <c r="I107" i="109"/>
  <c r="K107" i="109"/>
  <c r="D108" i="109"/>
  <c r="L108" i="109"/>
  <c r="C108" i="109"/>
  <c r="E108" i="109"/>
  <c r="G108" i="109"/>
  <c r="I108" i="109"/>
  <c r="K108" i="109"/>
  <c r="F108" i="109"/>
  <c r="N107" i="109"/>
  <c r="S42" i="109"/>
  <c r="W42" i="109"/>
  <c r="AA42" i="109"/>
  <c r="H108" i="109"/>
  <c r="J108" i="109"/>
  <c r="AF41" i="109"/>
  <c r="AF40" i="109"/>
  <c r="AF37" i="109"/>
  <c r="AF34" i="109"/>
  <c r="V42" i="109"/>
  <c r="AB42" i="109"/>
  <c r="AE39" i="109"/>
  <c r="AE36" i="109"/>
  <c r="AE41" i="109"/>
  <c r="AE40" i="109"/>
  <c r="AE37" i="109"/>
  <c r="AE34" i="109"/>
  <c r="AE38" i="109"/>
  <c r="AE35" i="109"/>
  <c r="F107" i="109"/>
  <c r="N108" i="109"/>
  <c r="T42" i="109"/>
  <c r="Z42" i="109"/>
  <c r="AD42" i="109"/>
  <c r="AE21" i="108"/>
  <c r="AD38" i="108"/>
  <c r="AE20" i="107"/>
  <c r="T39" i="107"/>
  <c r="AB39" i="107"/>
  <c r="Z37" i="108"/>
  <c r="Z38" i="108"/>
  <c r="AF11" i="108"/>
  <c r="AC36" i="108"/>
  <c r="Y39" i="108"/>
  <c r="AF21" i="108"/>
  <c r="AC34" i="108"/>
  <c r="AE10" i="108"/>
  <c r="AF19" i="108"/>
  <c r="U39" i="108"/>
  <c r="W36" i="108"/>
  <c r="T38" i="108"/>
  <c r="Y37" i="108"/>
  <c r="AD34" i="107"/>
  <c r="S38" i="107"/>
  <c r="AC34" i="107"/>
  <c r="V34" i="107"/>
  <c r="AD40" i="108"/>
  <c r="AA39" i="108"/>
  <c r="AA35" i="108"/>
  <c r="T35" i="108"/>
  <c r="AB35" i="108"/>
  <c r="AE12" i="108"/>
  <c r="X38" i="108"/>
  <c r="AC37" i="108"/>
  <c r="X40" i="108"/>
  <c r="AE18" i="108"/>
  <c r="S37" i="108"/>
  <c r="AE19" i="108"/>
  <c r="W39" i="108"/>
  <c r="AD38" i="107"/>
  <c r="X35" i="108"/>
  <c r="AF20" i="108"/>
  <c r="AE17" i="108"/>
  <c r="AC40" i="108"/>
  <c r="AA40" i="108"/>
  <c r="AE14" i="108"/>
  <c r="AF14" i="108"/>
  <c r="AE15" i="108"/>
  <c r="V38" i="108"/>
  <c r="AF17" i="108"/>
  <c r="S35" i="108"/>
  <c r="Y36" i="108"/>
  <c r="AC39" i="108"/>
  <c r="AE20" i="108"/>
  <c r="AE13" i="108"/>
  <c r="H108" i="108"/>
  <c r="U36" i="108"/>
  <c r="V36" i="107"/>
  <c r="AD37" i="107"/>
  <c r="AD35" i="107"/>
  <c r="C107" i="107"/>
  <c r="V37" i="107"/>
  <c r="Y37" i="107"/>
  <c r="W34" i="107"/>
  <c r="U40" i="108"/>
  <c r="AF12" i="108"/>
  <c r="AF18" i="108"/>
  <c r="AA38" i="108"/>
  <c r="AE11" i="108"/>
  <c r="AD36" i="107"/>
  <c r="Y34" i="107"/>
  <c r="Z40" i="107"/>
  <c r="AB35" i="107"/>
  <c r="Z36" i="107"/>
  <c r="AD34" i="108"/>
  <c r="U37" i="108"/>
  <c r="AB38" i="108"/>
  <c r="AB40" i="108"/>
  <c r="S38" i="108"/>
  <c r="S40" i="108"/>
  <c r="AA34" i="108"/>
  <c r="Y40" i="108"/>
  <c r="V35" i="108"/>
  <c r="AD35" i="108"/>
  <c r="AF13" i="108"/>
  <c r="AF15" i="108"/>
  <c r="AE16" i="108"/>
  <c r="Z40" i="108"/>
  <c r="F107" i="105"/>
  <c r="AE12" i="107"/>
  <c r="AE16" i="107"/>
  <c r="AF18" i="107"/>
  <c r="S39" i="108"/>
  <c r="S36" i="108"/>
  <c r="W38" i="108"/>
  <c r="W35" i="108"/>
  <c r="H107" i="108"/>
  <c r="V40" i="108"/>
  <c r="Z35" i="108"/>
  <c r="U34" i="108"/>
  <c r="T40" i="108"/>
  <c r="S34" i="108"/>
  <c r="AF16" i="108"/>
  <c r="AA37" i="108"/>
  <c r="AA36" i="108"/>
  <c r="AB34" i="108"/>
  <c r="AB37" i="108"/>
  <c r="W40" i="108"/>
  <c r="W37" i="108"/>
  <c r="W34" i="108"/>
  <c r="Y38" i="108"/>
  <c r="Y35" i="108"/>
  <c r="T37" i="108"/>
  <c r="X37" i="108"/>
  <c r="Y40" i="107"/>
  <c r="AE14" i="107"/>
  <c r="AE18" i="107"/>
  <c r="T38" i="107"/>
  <c r="V38" i="107"/>
  <c r="X36" i="107"/>
  <c r="U37" i="107"/>
  <c r="U38" i="108"/>
  <c r="U35" i="108"/>
  <c r="AC38" i="108"/>
  <c r="AC35" i="108"/>
  <c r="X35" i="107"/>
  <c r="T36" i="107"/>
  <c r="AB36" i="107"/>
  <c r="AC40" i="107"/>
  <c r="E107" i="105"/>
  <c r="V40" i="107"/>
  <c r="Z37" i="107"/>
  <c r="AE10" i="107"/>
  <c r="AF10" i="107"/>
  <c r="AC38" i="107"/>
  <c r="D107" i="105"/>
  <c r="C107" i="105"/>
  <c r="Z34" i="107"/>
  <c r="AE15" i="107"/>
  <c r="S35" i="107"/>
  <c r="U40" i="107"/>
  <c r="AC37" i="107"/>
  <c r="U35" i="107"/>
  <c r="Y35" i="107"/>
  <c r="AC35" i="107"/>
  <c r="AE19" i="107"/>
  <c r="AE21" i="107"/>
  <c r="X40" i="107"/>
  <c r="AB40" i="107"/>
  <c r="X38" i="107"/>
  <c r="Z35" i="107"/>
  <c r="AF35" i="105"/>
  <c r="AE17" i="107"/>
  <c r="AE13" i="107"/>
  <c r="AF15" i="107"/>
  <c r="H108" i="107"/>
  <c r="T40" i="107"/>
  <c r="AE11" i="107"/>
  <c r="V35" i="107"/>
  <c r="AD40" i="107"/>
  <c r="AB38" i="107"/>
  <c r="X39" i="107"/>
  <c r="Z39" i="107"/>
  <c r="W40" i="107"/>
  <c r="D108" i="105"/>
  <c r="F108" i="105"/>
  <c r="C108" i="105"/>
  <c r="E108" i="105"/>
  <c r="U34" i="107"/>
  <c r="T35" i="107"/>
  <c r="Z38" i="107"/>
  <c r="U38" i="107"/>
  <c r="Y38" i="107"/>
  <c r="W37" i="107"/>
  <c r="AF16" i="107"/>
  <c r="AF14" i="107"/>
  <c r="W38" i="107"/>
  <c r="W35" i="107"/>
  <c r="AA35" i="107"/>
  <c r="AA38" i="107"/>
  <c r="Y39" i="107"/>
  <c r="Y36" i="107"/>
  <c r="AC39" i="107"/>
  <c r="AC36" i="107"/>
  <c r="AF19" i="107"/>
  <c r="AF21" i="107"/>
  <c r="T37" i="107"/>
  <c r="T34" i="107"/>
  <c r="AF13" i="107"/>
  <c r="AF17" i="107"/>
  <c r="W39" i="107"/>
  <c r="W36" i="107"/>
  <c r="AA36" i="107"/>
  <c r="AA39" i="107"/>
  <c r="S39" i="107"/>
  <c r="AF20" i="107"/>
  <c r="X37" i="107"/>
  <c r="X34" i="107"/>
  <c r="AB34" i="107"/>
  <c r="AB37" i="107"/>
  <c r="AF11" i="107"/>
  <c r="AF12" i="107"/>
  <c r="AA40" i="107"/>
  <c r="AA37" i="107"/>
  <c r="AA34" i="107"/>
  <c r="S37" i="107"/>
  <c r="S40" i="107"/>
  <c r="S34" i="107"/>
  <c r="AF38" i="105"/>
  <c r="T42" i="105"/>
  <c r="V42" i="105"/>
  <c r="U42" i="105"/>
  <c r="W42" i="105"/>
  <c r="Y42" i="105"/>
  <c r="AC42" i="105"/>
  <c r="AF39" i="105"/>
  <c r="AF36" i="105"/>
  <c r="M107" i="105"/>
  <c r="N107" i="105"/>
  <c r="I107" i="105"/>
  <c r="K107" i="105"/>
  <c r="H107" i="105"/>
  <c r="J107" i="105"/>
  <c r="L107" i="105"/>
  <c r="I108" i="105"/>
  <c r="K108" i="105"/>
  <c r="H108" i="105"/>
  <c r="J108" i="105"/>
  <c r="L108" i="105"/>
  <c r="N108" i="105"/>
  <c r="AE38" i="105"/>
  <c r="AE35" i="105"/>
  <c r="AE39" i="105"/>
  <c r="AE36" i="105"/>
  <c r="S42" i="105"/>
  <c r="AA42" i="105"/>
  <c r="X42" i="105"/>
  <c r="AB42" i="105"/>
  <c r="AF41" i="105"/>
  <c r="AF40" i="105"/>
  <c r="AF37" i="105"/>
  <c r="AF34" i="105"/>
  <c r="AE41" i="105"/>
  <c r="AE40" i="105"/>
  <c r="AE37" i="105"/>
  <c r="AE34" i="105"/>
  <c r="Z42" i="105"/>
  <c r="AD42" i="105"/>
  <c r="Z42" i="101"/>
  <c r="U42" i="101"/>
  <c r="W42" i="101"/>
  <c r="X42" i="101"/>
  <c r="Y42" i="101"/>
  <c r="V42" i="101"/>
  <c r="AA42" i="101"/>
  <c r="AD42" i="101"/>
  <c r="AC42" i="101"/>
  <c r="T42" i="101"/>
  <c r="AB42" i="101"/>
  <c r="S42" i="101"/>
  <c r="AF41" i="101"/>
  <c r="AE41" i="101"/>
  <c r="AF23" i="104"/>
  <c r="AF27" i="104"/>
  <c r="H60" i="104"/>
  <c r="C60" i="104"/>
  <c r="AF26" i="104"/>
  <c r="AF24" i="104"/>
  <c r="H59" i="104"/>
  <c r="AF26" i="103"/>
  <c r="AF23" i="103"/>
  <c r="H60" i="94"/>
  <c r="C59" i="104"/>
  <c r="AF27" i="103"/>
  <c r="AF24" i="103"/>
  <c r="M59" i="103"/>
  <c r="D59" i="103"/>
  <c r="H59" i="103"/>
  <c r="L59" i="103"/>
  <c r="E59" i="103"/>
  <c r="G59" i="103"/>
  <c r="I59" i="103"/>
  <c r="K59" i="103"/>
  <c r="F59" i="103"/>
  <c r="J59" i="103"/>
  <c r="N59" i="103"/>
  <c r="AE27" i="104"/>
  <c r="AE24" i="104"/>
  <c r="E60" i="103"/>
  <c r="G60" i="103"/>
  <c r="I60" i="103"/>
  <c r="K60" i="103"/>
  <c r="F60" i="103"/>
  <c r="J60" i="103"/>
  <c r="N60" i="103"/>
  <c r="D60" i="103"/>
  <c r="H60" i="103"/>
  <c r="L60" i="103"/>
  <c r="AF22" i="104"/>
  <c r="AF28" i="104"/>
  <c r="AF25" i="104"/>
  <c r="F60" i="104"/>
  <c r="E60" i="104"/>
  <c r="G60" i="104"/>
  <c r="I60" i="104"/>
  <c r="K60" i="104"/>
  <c r="J60" i="104"/>
  <c r="N60" i="104"/>
  <c r="AE26" i="104"/>
  <c r="AE23" i="104"/>
  <c r="D60" i="104"/>
  <c r="AF35" i="101"/>
  <c r="AF28" i="103"/>
  <c r="AF25" i="103"/>
  <c r="AF22" i="103"/>
  <c r="AE26" i="103"/>
  <c r="AE23" i="103"/>
  <c r="C59" i="103"/>
  <c r="AE28" i="103"/>
  <c r="AE25" i="103"/>
  <c r="AE22" i="103"/>
  <c r="AE27" i="103"/>
  <c r="AE24" i="103"/>
  <c r="F59" i="104"/>
  <c r="M59" i="104"/>
  <c r="J59" i="104"/>
  <c r="E59" i="104"/>
  <c r="G59" i="104"/>
  <c r="I59" i="104"/>
  <c r="K59" i="104"/>
  <c r="N59" i="104"/>
  <c r="AE28" i="104"/>
  <c r="AE25" i="104"/>
  <c r="AE22" i="104"/>
  <c r="D59" i="104"/>
  <c r="AF24" i="100"/>
  <c r="AE27" i="96"/>
  <c r="AF36" i="101"/>
  <c r="AF39" i="101"/>
  <c r="AF38" i="101"/>
  <c r="F108" i="101"/>
  <c r="J108" i="101"/>
  <c r="N108" i="101"/>
  <c r="E108" i="101"/>
  <c r="G108" i="101"/>
  <c r="I108" i="101"/>
  <c r="K108" i="101"/>
  <c r="D108" i="101"/>
  <c r="H108" i="101"/>
  <c r="L108" i="101"/>
  <c r="E107" i="101"/>
  <c r="G107" i="101"/>
  <c r="I107" i="101"/>
  <c r="K107" i="101"/>
  <c r="D107" i="101"/>
  <c r="H107" i="101"/>
  <c r="L107" i="101"/>
  <c r="M107" i="101"/>
  <c r="F107" i="101"/>
  <c r="J107" i="101"/>
  <c r="N107" i="101"/>
  <c r="AE39" i="101"/>
  <c r="AE36" i="101"/>
  <c r="AF23" i="100"/>
  <c r="AE24" i="96"/>
  <c r="AE27" i="100"/>
  <c r="C107" i="101"/>
  <c r="AE40" i="101"/>
  <c r="AE37" i="101"/>
  <c r="AE34" i="101"/>
  <c r="AF40" i="101"/>
  <c r="AF37" i="101"/>
  <c r="AF34" i="101"/>
  <c r="AE38" i="101"/>
  <c r="AE35" i="101"/>
  <c r="AE26" i="97"/>
  <c r="AF27" i="97"/>
  <c r="AE24" i="100"/>
  <c r="AF26" i="100"/>
  <c r="AF27" i="100"/>
  <c r="AF23" i="99"/>
  <c r="AF26" i="99"/>
  <c r="AF24" i="99"/>
  <c r="AF27" i="99"/>
  <c r="AE23" i="97"/>
  <c r="D59" i="100"/>
  <c r="AE27" i="98"/>
  <c r="AF28" i="99"/>
  <c r="AF25" i="99"/>
  <c r="AF22" i="99"/>
  <c r="AE26" i="99"/>
  <c r="AE23" i="99"/>
  <c r="AE27" i="99"/>
  <c r="AE24" i="99"/>
  <c r="AF22" i="100"/>
  <c r="AF28" i="100"/>
  <c r="AF25" i="100"/>
  <c r="N60" i="100"/>
  <c r="J60" i="100"/>
  <c r="F60" i="100"/>
  <c r="E60" i="100"/>
  <c r="G60" i="100"/>
  <c r="I60" i="100"/>
  <c r="K60" i="100"/>
  <c r="AE26" i="100"/>
  <c r="AE23" i="100"/>
  <c r="E60" i="99"/>
  <c r="G60" i="99"/>
  <c r="I60" i="99"/>
  <c r="K60" i="99"/>
  <c r="F60" i="99"/>
  <c r="J60" i="99"/>
  <c r="N60" i="99"/>
  <c r="D60" i="99"/>
  <c r="H60" i="99"/>
  <c r="L60" i="99"/>
  <c r="C60" i="100"/>
  <c r="L60" i="100"/>
  <c r="M59" i="99"/>
  <c r="D59" i="99"/>
  <c r="H59" i="99"/>
  <c r="L59" i="99"/>
  <c r="E59" i="99"/>
  <c r="G59" i="99"/>
  <c r="I59" i="99"/>
  <c r="K59" i="99"/>
  <c r="F59" i="99"/>
  <c r="J59" i="99"/>
  <c r="N59" i="99"/>
  <c r="F59" i="100"/>
  <c r="J59" i="100"/>
  <c r="E59" i="100"/>
  <c r="G59" i="100"/>
  <c r="I59" i="100"/>
  <c r="K59" i="100"/>
  <c r="N59" i="100"/>
  <c r="M59" i="100"/>
  <c r="AE28" i="100"/>
  <c r="AE25" i="100"/>
  <c r="AE22" i="100"/>
  <c r="D60" i="100"/>
  <c r="C59" i="99"/>
  <c r="AE28" i="99"/>
  <c r="AE25" i="99"/>
  <c r="AE22" i="99"/>
  <c r="H60" i="100"/>
  <c r="C59" i="100"/>
  <c r="L59" i="100"/>
  <c r="AF24" i="97"/>
  <c r="AF23" i="98"/>
  <c r="AF27" i="98"/>
  <c r="AE27" i="97"/>
  <c r="AE24" i="97"/>
  <c r="AF28" i="97"/>
  <c r="AF25" i="97"/>
  <c r="AF22" i="97"/>
  <c r="C60" i="98"/>
  <c r="E60" i="98"/>
  <c r="G60" i="98"/>
  <c r="I60" i="98"/>
  <c r="K60" i="98"/>
  <c r="D60" i="98"/>
  <c r="F60" i="98"/>
  <c r="H60" i="98"/>
  <c r="J60" i="98"/>
  <c r="L60" i="98"/>
  <c r="N60" i="98"/>
  <c r="AE26" i="98"/>
  <c r="AE23" i="98"/>
  <c r="AE28" i="97"/>
  <c r="AE25" i="97"/>
  <c r="AE22" i="97"/>
  <c r="AF28" i="98"/>
  <c r="AF25" i="98"/>
  <c r="AF22" i="98"/>
  <c r="AF26" i="98"/>
  <c r="M59" i="97"/>
  <c r="D59" i="97"/>
  <c r="F59" i="97"/>
  <c r="H59" i="97"/>
  <c r="J59" i="97"/>
  <c r="L59" i="97"/>
  <c r="N59" i="97"/>
  <c r="C59" i="97"/>
  <c r="E59" i="97"/>
  <c r="G59" i="97"/>
  <c r="I59" i="97"/>
  <c r="K59" i="97"/>
  <c r="AF26" i="97"/>
  <c r="AF23" i="97"/>
  <c r="AE28" i="98"/>
  <c r="AE25" i="98"/>
  <c r="AE22" i="98"/>
  <c r="D60" i="97"/>
  <c r="F60" i="97"/>
  <c r="H60" i="97"/>
  <c r="J60" i="97"/>
  <c r="L60" i="97"/>
  <c r="N60" i="97"/>
  <c r="C60" i="97"/>
  <c r="E60" i="97"/>
  <c r="G60" i="97"/>
  <c r="I60" i="97"/>
  <c r="K60" i="97"/>
  <c r="C59" i="98"/>
  <c r="E59" i="98"/>
  <c r="G59" i="98"/>
  <c r="I59" i="98"/>
  <c r="K59" i="98"/>
  <c r="D59" i="98"/>
  <c r="F59" i="98"/>
  <c r="H59" i="98"/>
  <c r="J59" i="98"/>
  <c r="L59" i="98"/>
  <c r="N59" i="98"/>
  <c r="M59" i="98"/>
  <c r="AF24" i="98"/>
  <c r="AE27" i="95"/>
  <c r="AE24" i="95"/>
  <c r="AF23" i="94"/>
  <c r="AF27" i="94"/>
  <c r="AF26" i="96"/>
  <c r="AF24" i="94"/>
  <c r="AF26" i="94"/>
  <c r="AF26" i="95"/>
  <c r="AF28" i="95"/>
  <c r="AF25" i="95"/>
  <c r="AF22" i="95"/>
  <c r="AE28" i="96"/>
  <c r="AE25" i="96"/>
  <c r="AE22" i="96"/>
  <c r="C60" i="95"/>
  <c r="E60" i="95"/>
  <c r="G60" i="95"/>
  <c r="I60" i="95"/>
  <c r="K60" i="95"/>
  <c r="D60" i="95"/>
  <c r="F60" i="95"/>
  <c r="H60" i="95"/>
  <c r="J60" i="95"/>
  <c r="L60" i="95"/>
  <c r="N60" i="95"/>
  <c r="AE26" i="95"/>
  <c r="AE23" i="95"/>
  <c r="C59" i="96"/>
  <c r="E59" i="96"/>
  <c r="G59" i="96"/>
  <c r="I59" i="96"/>
  <c r="K59" i="96"/>
  <c r="D59" i="96"/>
  <c r="F59" i="96"/>
  <c r="H59" i="96"/>
  <c r="J59" i="96"/>
  <c r="L59" i="96"/>
  <c r="N59" i="96"/>
  <c r="M59" i="96"/>
  <c r="AF23" i="95"/>
  <c r="AF23" i="96"/>
  <c r="L60" i="94"/>
  <c r="M59" i="95"/>
  <c r="C59" i="95"/>
  <c r="E59" i="95"/>
  <c r="G59" i="95"/>
  <c r="I59" i="95"/>
  <c r="K59" i="95"/>
  <c r="D59" i="95"/>
  <c r="F59" i="95"/>
  <c r="H59" i="95"/>
  <c r="J59" i="95"/>
  <c r="L59" i="95"/>
  <c r="N59" i="95"/>
  <c r="AF27" i="95"/>
  <c r="AF24" i="95"/>
  <c r="C60" i="96"/>
  <c r="E60" i="96"/>
  <c r="G60" i="96"/>
  <c r="I60" i="96"/>
  <c r="K60" i="96"/>
  <c r="D60" i="96"/>
  <c r="F60" i="96"/>
  <c r="H60" i="96"/>
  <c r="J60" i="96"/>
  <c r="L60" i="96"/>
  <c r="N60" i="96"/>
  <c r="AE26" i="96"/>
  <c r="AE23" i="96"/>
  <c r="AE28" i="95"/>
  <c r="AE25" i="95"/>
  <c r="AE22" i="95"/>
  <c r="AF28" i="96"/>
  <c r="AF25" i="96"/>
  <c r="AF22" i="96"/>
  <c r="AF27" i="96"/>
  <c r="AF24" i="96"/>
  <c r="E59" i="94"/>
  <c r="G59" i="94"/>
  <c r="I59" i="94"/>
  <c r="K59" i="94"/>
  <c r="F59" i="94"/>
  <c r="J59" i="94"/>
  <c r="N59" i="94"/>
  <c r="M59" i="94"/>
  <c r="AE28" i="94"/>
  <c r="AE25" i="94"/>
  <c r="AE22" i="94"/>
  <c r="D59" i="94"/>
  <c r="AF22" i="94"/>
  <c r="AF28" i="94"/>
  <c r="AF25" i="94"/>
  <c r="F60" i="94"/>
  <c r="J60" i="94"/>
  <c r="N60" i="94"/>
  <c r="E60" i="94"/>
  <c r="G60" i="94"/>
  <c r="I60" i="94"/>
  <c r="K60" i="94"/>
  <c r="AE26" i="94"/>
  <c r="AE23" i="94"/>
  <c r="D60" i="94"/>
  <c r="AE27" i="94"/>
  <c r="AE24" i="94"/>
  <c r="C59" i="94"/>
  <c r="L59" i="94"/>
  <c r="T22" i="93"/>
  <c r="X22" i="93"/>
  <c r="AB22" i="93"/>
  <c r="U22" i="93"/>
  <c r="Y22" i="93"/>
  <c r="AC22" i="93"/>
  <c r="Z24" i="93"/>
  <c r="W26" i="93"/>
  <c r="W23" i="93"/>
  <c r="AA26" i="93"/>
  <c r="AA23" i="93"/>
  <c r="W27" i="93"/>
  <c r="W24" i="93"/>
  <c r="AA27" i="93"/>
  <c r="AA24" i="93"/>
  <c r="T26" i="93"/>
  <c r="T23" i="93"/>
  <c r="AB26" i="93"/>
  <c r="AB23" i="93"/>
  <c r="T27" i="93"/>
  <c r="T24" i="93"/>
  <c r="AB27" i="93"/>
  <c r="AB24" i="93"/>
  <c r="V26" i="93"/>
  <c r="V23" i="93"/>
  <c r="AD27" i="93"/>
  <c r="AD24" i="93"/>
  <c r="Z22" i="93"/>
  <c r="AD22" i="93"/>
  <c r="W22" i="93"/>
  <c r="AA22" i="93"/>
  <c r="U26" i="93"/>
  <c r="U23" i="93"/>
  <c r="Y26" i="93"/>
  <c r="Y23" i="93"/>
  <c r="AC26" i="93"/>
  <c r="AC23" i="93"/>
  <c r="U27" i="93"/>
  <c r="U24" i="93"/>
  <c r="Y27" i="93"/>
  <c r="Y24" i="93"/>
  <c r="AC27" i="93"/>
  <c r="AC24" i="93"/>
  <c r="X23" i="93"/>
  <c r="X24" i="93"/>
  <c r="AD23" i="93"/>
  <c r="V24" i="93"/>
  <c r="Z23" i="93"/>
  <c r="S27" i="93"/>
  <c r="S24" i="93"/>
  <c r="S26" i="93"/>
  <c r="S23" i="93"/>
  <c r="S22" i="93"/>
  <c r="Z27" i="93"/>
  <c r="T28" i="93"/>
  <c r="T25" i="93"/>
  <c r="X28" i="93"/>
  <c r="X25" i="93"/>
  <c r="AB28" i="93"/>
  <c r="AB25" i="93"/>
  <c r="U28" i="93"/>
  <c r="U25" i="93"/>
  <c r="Y28" i="93"/>
  <c r="Y25" i="93"/>
  <c r="AC28" i="93"/>
  <c r="AC25" i="93"/>
  <c r="V28" i="93"/>
  <c r="V25" i="93"/>
  <c r="Z28" i="93"/>
  <c r="Z25" i="93"/>
  <c r="AD28" i="93"/>
  <c r="AD25" i="93"/>
  <c r="W28" i="93"/>
  <c r="W25" i="93"/>
  <c r="AA28" i="93"/>
  <c r="AA25" i="93"/>
  <c r="S28" i="93"/>
  <c r="S25" i="93"/>
  <c r="X26" i="93"/>
  <c r="X27" i="93"/>
  <c r="AD26" i="93"/>
  <c r="V27" i="93"/>
  <c r="Z26" i="93"/>
  <c r="AF10" i="93"/>
  <c r="AF16" i="93"/>
  <c r="AF18" i="93"/>
  <c r="AF14" i="93"/>
  <c r="AF20" i="93"/>
  <c r="AF13" i="93"/>
  <c r="AF11" i="93"/>
  <c r="AF12" i="93"/>
  <c r="AF15" i="93"/>
  <c r="AF17" i="93"/>
  <c r="AF19" i="93"/>
  <c r="P58" i="93"/>
  <c r="G59" i="93" s="1"/>
  <c r="AF21" i="93"/>
  <c r="AE20" i="93"/>
  <c r="AE18" i="93"/>
  <c r="AE16" i="93"/>
  <c r="AE14" i="93"/>
  <c r="AE12" i="93"/>
  <c r="AE11" i="93"/>
  <c r="O58" i="93"/>
  <c r="C60" i="93" s="1"/>
  <c r="AE10" i="93"/>
  <c r="AE21" i="93"/>
  <c r="AE19" i="93"/>
  <c r="AE17" i="93"/>
  <c r="AE15" i="93"/>
  <c r="AE13" i="93"/>
  <c r="O106" i="111" l="1"/>
  <c r="P106" i="111"/>
  <c r="AD37" i="111"/>
  <c r="X34" i="111"/>
  <c r="AD39" i="111"/>
  <c r="T34" i="111"/>
  <c r="W37" i="111"/>
  <c r="X36" i="111"/>
  <c r="Z39" i="111"/>
  <c r="AD38" i="111"/>
  <c r="V40" i="111"/>
  <c r="AA35" i="111"/>
  <c r="AF12" i="111"/>
  <c r="S34" i="111"/>
  <c r="T39" i="111"/>
  <c r="AC34" i="111"/>
  <c r="AD34" i="111"/>
  <c r="T37" i="111"/>
  <c r="AE15" i="111"/>
  <c r="AF19" i="111"/>
  <c r="AE12" i="111"/>
  <c r="AA36" i="111"/>
  <c r="AF14" i="111"/>
  <c r="AE14" i="111"/>
  <c r="AF11" i="111"/>
  <c r="AE18" i="111"/>
  <c r="Z37" i="111"/>
  <c r="T38" i="111"/>
  <c r="AF10" i="111"/>
  <c r="AF34" i="111" s="1"/>
  <c r="W36" i="111"/>
  <c r="Y40" i="111"/>
  <c r="U36" i="111"/>
  <c r="Z36" i="111"/>
  <c r="V35" i="111"/>
  <c r="AB40" i="111"/>
  <c r="X39" i="111"/>
  <c r="S37" i="111"/>
  <c r="AB36" i="111"/>
  <c r="AE20" i="111"/>
  <c r="AE10" i="111"/>
  <c r="X35" i="111"/>
  <c r="S40" i="111"/>
  <c r="Z38" i="111"/>
  <c r="AE13" i="111"/>
  <c r="V34" i="111"/>
  <c r="W35" i="111"/>
  <c r="AC35" i="111"/>
  <c r="AB38" i="111"/>
  <c r="W40" i="111"/>
  <c r="V39" i="111"/>
  <c r="AD40" i="111"/>
  <c r="X40" i="111"/>
  <c r="V38" i="111"/>
  <c r="AB39" i="111"/>
  <c r="AB37" i="111"/>
  <c r="W34" i="111"/>
  <c r="AF15" i="111"/>
  <c r="AF13" i="111"/>
  <c r="AE21" i="111"/>
  <c r="W38" i="111"/>
  <c r="X38" i="111"/>
  <c r="AF20" i="111"/>
  <c r="S36" i="111"/>
  <c r="AE11" i="111"/>
  <c r="U39" i="111"/>
  <c r="Z35" i="111"/>
  <c r="Z40" i="111"/>
  <c r="V37" i="111"/>
  <c r="T36" i="111"/>
  <c r="T40" i="111"/>
  <c r="AB35" i="111"/>
  <c r="AA38" i="111"/>
  <c r="V36" i="111"/>
  <c r="AD35" i="111"/>
  <c r="X37" i="111"/>
  <c r="AC39" i="111"/>
  <c r="Y39" i="111"/>
  <c r="U35" i="111"/>
  <c r="AD36" i="111"/>
  <c r="AE19" i="111"/>
  <c r="U40" i="111"/>
  <c r="Z34" i="111"/>
  <c r="T35" i="111"/>
  <c r="AB34" i="111"/>
  <c r="U34" i="111"/>
  <c r="AF17" i="111"/>
  <c r="AC36" i="111"/>
  <c r="Y36" i="111"/>
  <c r="U37" i="111"/>
  <c r="AA39" i="111"/>
  <c r="S39" i="111"/>
  <c r="S38" i="111"/>
  <c r="Y38" i="111"/>
  <c r="AF16" i="111"/>
  <c r="K108" i="111"/>
  <c r="N107" i="111"/>
  <c r="AF21" i="111"/>
  <c r="W39" i="111"/>
  <c r="AE17" i="111"/>
  <c r="AC38" i="111"/>
  <c r="U38" i="111"/>
  <c r="AC40" i="111"/>
  <c r="Y37" i="111"/>
  <c r="AE16" i="111"/>
  <c r="Y35" i="111"/>
  <c r="S35" i="111"/>
  <c r="AF18" i="111"/>
  <c r="Y34" i="111"/>
  <c r="AC37" i="111"/>
  <c r="K107" i="111"/>
  <c r="AA37" i="111"/>
  <c r="AA40" i="111"/>
  <c r="AA34" i="111"/>
  <c r="M107" i="107"/>
  <c r="AF37" i="111"/>
  <c r="AF39" i="108"/>
  <c r="F108" i="107"/>
  <c r="J107" i="108"/>
  <c r="AF42" i="110"/>
  <c r="AE42" i="110"/>
  <c r="AE42" i="109"/>
  <c r="AF42" i="109"/>
  <c r="K107" i="107"/>
  <c r="C108" i="107"/>
  <c r="L107" i="108"/>
  <c r="G107" i="108"/>
  <c r="L107" i="107"/>
  <c r="G108" i="108"/>
  <c r="AE39" i="108"/>
  <c r="AE37" i="108"/>
  <c r="F108" i="108"/>
  <c r="AE36" i="108"/>
  <c r="AF36" i="108"/>
  <c r="AF34" i="108"/>
  <c r="C108" i="108"/>
  <c r="K108" i="108"/>
  <c r="N108" i="108"/>
  <c r="AF40" i="108"/>
  <c r="AF42" i="108" s="1"/>
  <c r="K108" i="107"/>
  <c r="L108" i="108"/>
  <c r="D108" i="108"/>
  <c r="I108" i="108"/>
  <c r="E108" i="108"/>
  <c r="J108" i="108"/>
  <c r="AF37" i="108"/>
  <c r="AE38" i="108"/>
  <c r="AE39" i="107"/>
  <c r="AF35" i="108"/>
  <c r="AE35" i="108"/>
  <c r="D107" i="107"/>
  <c r="G107" i="107"/>
  <c r="J107" i="107"/>
  <c r="N108" i="107"/>
  <c r="G108" i="107"/>
  <c r="D107" i="108"/>
  <c r="M107" i="108"/>
  <c r="K107" i="108"/>
  <c r="L108" i="107"/>
  <c r="AE40" i="108"/>
  <c r="AE42" i="108" s="1"/>
  <c r="AF40" i="107"/>
  <c r="AF42" i="107" s="1"/>
  <c r="F107" i="107"/>
  <c r="I107" i="107"/>
  <c r="E107" i="107"/>
  <c r="N107" i="107"/>
  <c r="C107" i="108"/>
  <c r="AE34" i="108"/>
  <c r="N107" i="108"/>
  <c r="F107" i="108"/>
  <c r="I107" i="108"/>
  <c r="E107" i="108"/>
  <c r="H107" i="107"/>
  <c r="AF38" i="108"/>
  <c r="AE37" i="107"/>
  <c r="AE35" i="107"/>
  <c r="AF34" i="107"/>
  <c r="AE40" i="107"/>
  <c r="AE42" i="107" s="1"/>
  <c r="AE38" i="107"/>
  <c r="AE36" i="107"/>
  <c r="AE34" i="107"/>
  <c r="D108" i="107"/>
  <c r="J108" i="107"/>
  <c r="I108" i="107"/>
  <c r="E108" i="107"/>
  <c r="AF37" i="107"/>
  <c r="AF35" i="107"/>
  <c r="AF38" i="107"/>
  <c r="AF36" i="107"/>
  <c r="AF39" i="107"/>
  <c r="AE42" i="105"/>
  <c r="AF42" i="105"/>
  <c r="AE42" i="101"/>
  <c r="AF42" i="101"/>
  <c r="M59" i="93"/>
  <c r="N60" i="93"/>
  <c r="G60" i="93"/>
  <c r="E60" i="93"/>
  <c r="H60" i="93"/>
  <c r="J60" i="93"/>
  <c r="F60" i="93"/>
  <c r="D60" i="93"/>
  <c r="K60" i="93"/>
  <c r="L60" i="93"/>
  <c r="I60" i="93"/>
  <c r="AE24" i="93"/>
  <c r="AE22" i="93"/>
  <c r="AF23" i="93"/>
  <c r="AE23" i="93"/>
  <c r="AF24" i="93"/>
  <c r="AF22" i="93"/>
  <c r="AE26" i="93"/>
  <c r="AF27" i="93"/>
  <c r="AF28" i="93"/>
  <c r="AF25" i="93"/>
  <c r="AE27" i="93"/>
  <c r="AE28" i="93"/>
  <c r="AE25" i="93"/>
  <c r="AF26" i="93"/>
  <c r="D59" i="93"/>
  <c r="C59" i="93"/>
  <c r="L59" i="93"/>
  <c r="F59" i="93"/>
  <c r="J59" i="93"/>
  <c r="E59" i="93"/>
  <c r="H59" i="93"/>
  <c r="K59" i="93"/>
  <c r="N59" i="93"/>
  <c r="I59" i="93"/>
  <c r="E108" i="111" l="1"/>
  <c r="AE34" i="111"/>
  <c r="F108" i="111"/>
  <c r="AE39" i="111"/>
  <c r="AE37" i="111"/>
  <c r="H107" i="111"/>
  <c r="F107" i="111"/>
  <c r="E107" i="111"/>
  <c r="C107" i="111"/>
  <c r="I107" i="111"/>
  <c r="AE40" i="111"/>
  <c r="AE42" i="111" s="1"/>
  <c r="AF40" i="111"/>
  <c r="AF42" i="111" s="1"/>
  <c r="N108" i="111"/>
  <c r="H108" i="111"/>
  <c r="C108" i="111"/>
  <c r="AE35" i="111"/>
  <c r="AE36" i="111"/>
  <c r="AF36" i="111"/>
  <c r="M107" i="111"/>
  <c r="D107" i="111"/>
  <c r="L107" i="111"/>
  <c r="G107" i="111"/>
  <c r="J107" i="111"/>
  <c r="AF38" i="111"/>
  <c r="AF39" i="111"/>
  <c r="AE38" i="111"/>
  <c r="J108" i="111"/>
  <c r="I108" i="111"/>
  <c r="D108" i="111"/>
  <c r="L108" i="111"/>
  <c r="G108" i="111"/>
  <c r="AF35" i="111"/>
</calcChain>
</file>

<file path=xl/sharedStrings.xml><?xml version="1.0" encoding="utf-8"?>
<sst xmlns="http://schemas.openxmlformats.org/spreadsheetml/2006/main" count="2340" uniqueCount="188">
  <si>
    <t>Time / Veh Type</t>
  </si>
  <si>
    <t xml:space="preserve">  Location</t>
  </si>
  <si>
    <t xml:space="preserve">  Dir. To</t>
  </si>
  <si>
    <t>Date</t>
  </si>
  <si>
    <t>Dir. From</t>
  </si>
  <si>
    <t>Surveyor</t>
  </si>
  <si>
    <t>0700-0800</t>
  </si>
  <si>
    <t>0800-0900</t>
  </si>
  <si>
    <t>0900-1000</t>
  </si>
  <si>
    <t>1000-1100</t>
  </si>
  <si>
    <t>1100-1200</t>
  </si>
  <si>
    <t>1200-1300</t>
  </si>
  <si>
    <t>1300-1400</t>
  </si>
  <si>
    <t>1400-1500</t>
  </si>
  <si>
    <t>1500-1600</t>
  </si>
  <si>
    <t>1600-1700</t>
  </si>
  <si>
    <t>1700-1800</t>
  </si>
  <si>
    <t>12 Hours</t>
  </si>
  <si>
    <t>Totals</t>
  </si>
  <si>
    <t>Time</t>
  </si>
  <si>
    <t>1800-1900</t>
  </si>
  <si>
    <t>Supervisor</t>
  </si>
  <si>
    <t>Total All</t>
  </si>
  <si>
    <t>Consultancy services for Preparation of Expressway Development Master Plan (EDMP) for Uganda</t>
  </si>
  <si>
    <t>1. Car</t>
  </si>
  <si>
    <t>2. Station Wagon</t>
  </si>
  <si>
    <t>3. Pickups</t>
  </si>
  <si>
    <t>4. Minibus, matatu</t>
  </si>
  <si>
    <t xml:space="preserve">5. Medium bus </t>
  </si>
  <si>
    <t>6. Large Bus</t>
  </si>
  <si>
    <t xml:space="preserve">7. Light Truck </t>
  </si>
  <si>
    <t xml:space="preserve">8. Medium Truck </t>
  </si>
  <si>
    <t xml:space="preserve">9. Heavy truck </t>
  </si>
  <si>
    <t xml:space="preserve">10. Truck Trailer </t>
  </si>
  <si>
    <t>11. Motorcycles</t>
  </si>
  <si>
    <t>12. Tractors, Graders</t>
  </si>
  <si>
    <t>Total Excl M/Cycles</t>
  </si>
  <si>
    <t>07.00 - 07.15</t>
  </si>
  <si>
    <t>07.15 - 07.30</t>
  </si>
  <si>
    <t>07.30 - 07.45</t>
  </si>
  <si>
    <t>07.45 - 08.00</t>
  </si>
  <si>
    <t>08.00 - 08.15</t>
  </si>
  <si>
    <t>08.15 - 08.30</t>
  </si>
  <si>
    <t>08.30 - 08.45</t>
  </si>
  <si>
    <t>08.45 - 9.00</t>
  </si>
  <si>
    <t>09.00 - 09.15</t>
  </si>
  <si>
    <t>09.15 - 09.30</t>
  </si>
  <si>
    <t>09.30 - 09.45</t>
  </si>
  <si>
    <t>09.45 - 10.00</t>
  </si>
  <si>
    <t>10.00 - 10.15</t>
  </si>
  <si>
    <t>10.15 - 10.30</t>
  </si>
  <si>
    <t>10.30 - 10.45</t>
  </si>
  <si>
    <t>10.45 - 11.00</t>
  </si>
  <si>
    <t>11.00 - 11.15</t>
  </si>
  <si>
    <t>11.15 - 11.30</t>
  </si>
  <si>
    <t>11.30 - 11.45</t>
  </si>
  <si>
    <t>11.45 - 12.00</t>
  </si>
  <si>
    <t>12.00 - 12.15</t>
  </si>
  <si>
    <t>12.15 - 12.30</t>
  </si>
  <si>
    <t>12.30 - 12.45</t>
  </si>
  <si>
    <t>12.45 - 13.00</t>
  </si>
  <si>
    <t>13.00 - 13.15</t>
  </si>
  <si>
    <t>13.15 - 13.30</t>
  </si>
  <si>
    <t>13.30 - 13.45</t>
  </si>
  <si>
    <t>13.45 - 14.00</t>
  </si>
  <si>
    <t>14.00 - 14.15</t>
  </si>
  <si>
    <t>14.15 - 14.30</t>
  </si>
  <si>
    <t>14.30 - 14.45</t>
  </si>
  <si>
    <t>14.45 - 15.00</t>
  </si>
  <si>
    <t>15.00 - 15.15</t>
  </si>
  <si>
    <t>15.15 - 15.30</t>
  </si>
  <si>
    <t>15.30 - 15.45</t>
  </si>
  <si>
    <t>15.45 - 16.00</t>
  </si>
  <si>
    <t>16.00 - 16.15</t>
  </si>
  <si>
    <t>16.15 -16.30</t>
  </si>
  <si>
    <t>16.30 -16.45</t>
  </si>
  <si>
    <t>16.45 -17.00</t>
  </si>
  <si>
    <t>17.00 -17.15</t>
  </si>
  <si>
    <t>17.15 -17.30</t>
  </si>
  <si>
    <t>17.30 -17.45</t>
  </si>
  <si>
    <t>17.45 -18.00</t>
  </si>
  <si>
    <t>18.00 - 18.15</t>
  </si>
  <si>
    <t>18.15 - 18.30</t>
  </si>
  <si>
    <t>18.30 - 18.45</t>
  </si>
  <si>
    <t>18.45 - 19.00</t>
  </si>
  <si>
    <t>AM Period</t>
  </si>
  <si>
    <t>IP Period</t>
  </si>
  <si>
    <t>PM Period</t>
  </si>
  <si>
    <t>SUMMARY TRAFFIC VOLUMES</t>
  </si>
  <si>
    <t>Total Excl M/ Cycles</t>
  </si>
  <si>
    <t>AM Peak Hr</t>
  </si>
  <si>
    <t>IP Peak Hr</t>
  </si>
  <si>
    <t>PM Peak Hr</t>
  </si>
  <si>
    <t>%ges + MCs</t>
  </si>
  <si>
    <t>%ges w/o MCs</t>
  </si>
  <si>
    <t>MANUAL CLASSIFIED COUNT (MCC)</t>
  </si>
  <si>
    <t>ROAD NAME:</t>
  </si>
  <si>
    <t>12. Tractors</t>
  </si>
  <si>
    <t>11. Motor cycles</t>
  </si>
  <si>
    <t>19.00 - 19.15</t>
  </si>
  <si>
    <t>19.15 - 19.30</t>
  </si>
  <si>
    <t>19.30 - 19.45</t>
  </si>
  <si>
    <t>19.45 - 20.00</t>
  </si>
  <si>
    <t>21.00 - 21.15</t>
  </si>
  <si>
    <t>21.15 - 21.30</t>
  </si>
  <si>
    <t>21.30 - 21.45</t>
  </si>
  <si>
    <t>21.45 - 22.00</t>
  </si>
  <si>
    <t>20.00 - 20.15</t>
  </si>
  <si>
    <t>20.15 - 20.30</t>
  </si>
  <si>
    <t>20.30 - 20.45</t>
  </si>
  <si>
    <t>22.00 - 22.15</t>
  </si>
  <si>
    <t>22.15 - 22.30</t>
  </si>
  <si>
    <t>22.30 - 22.45</t>
  </si>
  <si>
    <t>22.45 - 23.00</t>
  </si>
  <si>
    <t>23.00 - 23.15</t>
  </si>
  <si>
    <t>23.15 - 23.30</t>
  </si>
  <si>
    <t>23.30 - 23.45</t>
  </si>
  <si>
    <t>23.45 - 00.00</t>
  </si>
  <si>
    <t>00.00 - 00.15</t>
  </si>
  <si>
    <t>00.15 - 00.30</t>
  </si>
  <si>
    <t>00.30 - 00.45</t>
  </si>
  <si>
    <t>00.45 - 01.00</t>
  </si>
  <si>
    <t>01.00 - 01.15</t>
  </si>
  <si>
    <t>01.15 - 01.30</t>
  </si>
  <si>
    <t>01.30 - 01.45</t>
  </si>
  <si>
    <t>01.45 - 02.00</t>
  </si>
  <si>
    <t>02.00 - 02.15</t>
  </si>
  <si>
    <t>02.15 - 02.30</t>
  </si>
  <si>
    <t>02.30 - 02.45</t>
  </si>
  <si>
    <t>02.45 - 03.00</t>
  </si>
  <si>
    <t>03.00 - 03.15</t>
  </si>
  <si>
    <t>03.15 - 03.30</t>
  </si>
  <si>
    <t>03.30 - 03.45</t>
  </si>
  <si>
    <t>03.45 - 04.00</t>
  </si>
  <si>
    <t>04.00 - 04.15</t>
  </si>
  <si>
    <t>04.15 - 04.30</t>
  </si>
  <si>
    <t>04.30 - 04.45</t>
  </si>
  <si>
    <t>04.45 - 05.00</t>
  </si>
  <si>
    <t>05.00 - 05.15</t>
  </si>
  <si>
    <t>05.15 - 05.30</t>
  </si>
  <si>
    <t>05.30 - 05.45</t>
  </si>
  <si>
    <t>05.45 - 06.00</t>
  </si>
  <si>
    <t>06.00 - 06.15</t>
  </si>
  <si>
    <t>06.15 - 06.30</t>
  </si>
  <si>
    <t>06.30 - 06.45</t>
  </si>
  <si>
    <t>06.45 - 07.00</t>
  </si>
  <si>
    <t>1900-2000</t>
  </si>
  <si>
    <t>2000-2100</t>
  </si>
  <si>
    <t>2100-2200</t>
  </si>
  <si>
    <t>2200-2300</t>
  </si>
  <si>
    <t>2300-0000</t>
  </si>
  <si>
    <t>0000-0100</t>
  </si>
  <si>
    <t>0100-0200</t>
  </si>
  <si>
    <t>0200-0300</t>
  </si>
  <si>
    <t>0300-0400</t>
  </si>
  <si>
    <t>0400-0500</t>
  </si>
  <si>
    <t>0500-0600</t>
  </si>
  <si>
    <t>0600-0700</t>
  </si>
  <si>
    <t>20.45 - 21.00</t>
  </si>
  <si>
    <t>24 Hrs/ADT</t>
  </si>
  <si>
    <t>NEF</t>
  </si>
  <si>
    <t>BOTH DIRECTIONS</t>
  </si>
  <si>
    <t>AVERAGE WEEK</t>
  </si>
  <si>
    <t>MCC - C1 - STN47 - LUGOGO BYPASS ROAD</t>
  </si>
  <si>
    <t>Jinja Road</t>
  </si>
  <si>
    <t>Kira Road</t>
  </si>
  <si>
    <t>DHL (47)</t>
  </si>
  <si>
    <t>Nalubega Resty</t>
  </si>
  <si>
    <t>Felix</t>
  </si>
  <si>
    <t>Ssemuko Samuel junior</t>
  </si>
  <si>
    <t>29.07.19</t>
  </si>
  <si>
    <t>30.07.19</t>
  </si>
  <si>
    <t>31.07.19</t>
  </si>
  <si>
    <t>Steven</t>
  </si>
  <si>
    <t>Orishaba Donitar</t>
  </si>
  <si>
    <t>Nabbanja Leilah</t>
  </si>
  <si>
    <t>steven</t>
  </si>
  <si>
    <t>Shell Petrol Station</t>
  </si>
  <si>
    <t>1.08.19</t>
  </si>
  <si>
    <t>Ssemuko Samuel Juma</t>
  </si>
  <si>
    <t>2.08.19</t>
  </si>
  <si>
    <t>Kasajja Laston</t>
  </si>
  <si>
    <t>Ssemuko Samuel Junior</t>
  </si>
  <si>
    <t>3.08.19</t>
  </si>
  <si>
    <t>Orisha Donitar</t>
  </si>
  <si>
    <t>DANIEL MUNANURA</t>
  </si>
  <si>
    <t>4.08.19</t>
  </si>
  <si>
    <t>24 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</si>
</sst>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1" formatCode="_(* #,##0_);_(* \(#,##0\);_(* &quot;-&quot;_);_(@_)"/>
    <numFmt numFmtId="164" formatCode="0.0%"/>
    <numFmt numFmtId="165" formatCode="0.000"/>
  </numFmts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b/>
      <sz val="10"/>
      <color theme="1"/>
      <name val="Calibri"/>
      <family val="2"/>
      <scheme val="minor"/>
    </font>
    <font>
      <b/>
      <sz val="12"/>
      <color theme="1"/>
      <name val="Arial"/>
      <family val="2"/>
    </font>
    <font>
      <i/>
      <sz val="11"/>
      <color theme="1"/>
      <name val="Calibri"/>
      <family val="2"/>
      <scheme val="minor"/>
    </font>
    <font>
      <b/>
      <sz val="14"/>
      <name val="Arial"/>
      <family val="2"/>
    </font>
    <font>
      <b/>
      <sz val="16"/>
      <name val="Arial"/>
      <family val="2"/>
    </font>
    <font>
      <sz val="8"/>
      <name val="Calibri"/>
      <family val="2"/>
      <scheme val="minor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9FCD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69">
    <xf numFmtId="0" fontId="0" fillId="0" borderId="0" xfId="0"/>
    <xf numFmtId="0" fontId="0" fillId="0" borderId="1" xfId="0" applyBorder="1"/>
    <xf numFmtId="0" fontId="1" fillId="0" borderId="0" xfId="0" applyFont="1"/>
    <xf numFmtId="0" fontId="0" fillId="0" borderId="0" xfId="0" applyBorder="1"/>
    <xf numFmtId="0" fontId="1" fillId="0" borderId="0" xfId="0" applyFont="1" applyAlignment="1"/>
    <xf numFmtId="0" fontId="1" fillId="0" borderId="1" xfId="0" applyFont="1" applyBorder="1"/>
    <xf numFmtId="9" fontId="0" fillId="0" borderId="0" xfId="1" applyFont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6" fillId="0" borderId="0" xfId="0" applyFont="1"/>
    <xf numFmtId="1" fontId="0" fillId="0" borderId="1" xfId="0" applyNumberFormat="1" applyFill="1" applyBorder="1" applyAlignment="1">
      <alignment horizontal="center"/>
    </xf>
    <xf numFmtId="1" fontId="1" fillId="0" borderId="1" xfId="0" applyNumberFormat="1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164" fontId="0" fillId="0" borderId="0" xfId="0" applyNumberFormat="1"/>
    <xf numFmtId="0" fontId="0" fillId="0" borderId="0" xfId="0" applyAlignment="1">
      <alignment horizontal="center"/>
    </xf>
    <xf numFmtId="1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8" fillId="0" borderId="5" xfId="0" applyFont="1" applyFill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9" fillId="3" borderId="4" xfId="0" applyFont="1" applyFill="1" applyBorder="1" applyAlignment="1">
      <alignment horizontal="center" vertical="center" wrapText="1"/>
    </xf>
    <xf numFmtId="1" fontId="0" fillId="3" borderId="1" xfId="0" applyNumberForma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0" fontId="0" fillId="0" borderId="5" xfId="0" applyFont="1" applyFill="1" applyBorder="1"/>
    <xf numFmtId="1" fontId="0" fillId="0" borderId="4" xfId="0" applyNumberForma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0" fillId="0" borderId="4" xfId="0" applyBorder="1"/>
    <xf numFmtId="0" fontId="1" fillId="0" borderId="8" xfId="0" applyFont="1" applyBorder="1" applyAlignment="1">
      <alignment wrapText="1"/>
    </xf>
    <xf numFmtId="0" fontId="11" fillId="0" borderId="9" xfId="0" applyFont="1" applyFill="1" applyBorder="1"/>
    <xf numFmtId="1" fontId="11" fillId="0" borderId="9" xfId="0" applyNumberFormat="1" applyFont="1" applyFill="1" applyBorder="1" applyAlignment="1">
      <alignment horizontal="center"/>
    </xf>
    <xf numFmtId="1" fontId="1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7" xfId="0" applyFont="1" applyFill="1" applyBorder="1" applyAlignment="1">
      <alignment horizontal="center" vertical="center"/>
    </xf>
    <xf numFmtId="164" fontId="1" fillId="0" borderId="4" xfId="1" applyNumberFormat="1" applyFont="1" applyBorder="1" applyAlignment="1">
      <alignment horizontal="center"/>
    </xf>
    <xf numFmtId="10" fontId="1" fillId="0" borderId="9" xfId="1" applyNumberFormat="1" applyFont="1" applyBorder="1"/>
    <xf numFmtId="0" fontId="7" fillId="0" borderId="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165" fontId="1" fillId="0" borderId="1" xfId="0" applyNumberFormat="1" applyFont="1" applyBorder="1" applyAlignment="1">
      <alignment horizontal="center"/>
    </xf>
    <xf numFmtId="1" fontId="0" fillId="0" borderId="1" xfId="0" applyNumberFormat="1" applyFill="1" applyBorder="1" applyAlignment="1">
      <alignment horizontal="center" vertical="center"/>
    </xf>
    <xf numFmtId="1" fontId="0" fillId="4" borderId="1" xfId="0" applyNumberFormat="1" applyFill="1" applyBorder="1" applyAlignment="1">
      <alignment horizontal="center" vertical="center"/>
    </xf>
    <xf numFmtId="165" fontId="1" fillId="3" borderId="1" xfId="0" applyNumberFormat="1" applyFont="1" applyFill="1" applyBorder="1" applyAlignment="1">
      <alignment horizontal="center"/>
    </xf>
    <xf numFmtId="41" fontId="1" fillId="0" borderId="1" xfId="2" applyFont="1" applyBorder="1" applyAlignment="1">
      <alignment horizontal="center"/>
    </xf>
    <xf numFmtId="41" fontId="1" fillId="3" borderId="1" xfId="2" applyFont="1" applyFill="1" applyBorder="1" applyAlignment="1">
      <alignment horizontal="center"/>
    </xf>
    <xf numFmtId="0" fontId="8" fillId="2" borderId="2" xfId="0" applyFont="1" applyFill="1" applyBorder="1" applyAlignment="1">
      <alignment horizontal="left" vertical="center" wrapText="1"/>
    </xf>
    <xf numFmtId="0" fontId="8" fillId="2" borderId="3" xfId="0" applyFont="1" applyFill="1" applyBorder="1" applyAlignment="1">
      <alignment horizontal="left" vertical="center" wrapText="1"/>
    </xf>
    <xf numFmtId="0" fontId="10" fillId="0" borderId="6" xfId="0" applyFont="1" applyFill="1" applyBorder="1" applyAlignment="1">
      <alignment horizontal="center"/>
    </xf>
    <xf numFmtId="0" fontId="1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8" fillId="0" borderId="2" xfId="0" applyFont="1" applyFill="1" applyBorder="1" applyAlignment="1">
      <alignment horizontal="left" vertical="center" wrapText="1"/>
    </xf>
    <xf numFmtId="0" fontId="8" fillId="0" borderId="3" xfId="0" applyFont="1" applyFill="1" applyBorder="1" applyAlignment="1">
      <alignment horizontal="left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3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2" fillId="0" borderId="9" xfId="0" applyFont="1" applyFill="1" applyBorder="1" applyAlignment="1">
      <alignment horizontal="center"/>
    </xf>
    <xf numFmtId="0" fontId="15" fillId="0" borderId="2" xfId="0" applyFont="1" applyBorder="1" applyAlignment="1">
      <alignment horizontal="left" vertical="center" wrapText="1"/>
    </xf>
    <xf numFmtId="0" fontId="15" fillId="0" borderId="3" xfId="0" applyFont="1" applyBorder="1" applyAlignment="1">
      <alignment horizontal="left" vertical="center" wrapText="1"/>
    </xf>
  </cellXfs>
  <cellStyles count="3">
    <cellStyle name="Comma [0]" xfId="2" builtinId="6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9FCD2"/>
      <color rgb="FFF0F2D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6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6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JinjaRoad-Kira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JinjaRoad-Kira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JinjaRoad-Kira Road'!$AE$10:$AE$21</c:f>
              <c:numCache>
                <c:formatCode>0</c:formatCode>
                <c:ptCount val="12"/>
                <c:pt idx="0">
                  <c:v>483</c:v>
                </c:pt>
                <c:pt idx="1">
                  <c:v>237</c:v>
                </c:pt>
                <c:pt idx="2">
                  <c:v>603</c:v>
                </c:pt>
                <c:pt idx="3">
                  <c:v>832</c:v>
                </c:pt>
                <c:pt idx="4">
                  <c:v>617</c:v>
                </c:pt>
                <c:pt idx="5">
                  <c:v>1164</c:v>
                </c:pt>
                <c:pt idx="6">
                  <c:v>1008</c:v>
                </c:pt>
                <c:pt idx="7">
                  <c:v>937</c:v>
                </c:pt>
                <c:pt idx="8">
                  <c:v>767</c:v>
                </c:pt>
                <c:pt idx="9">
                  <c:v>717</c:v>
                </c:pt>
                <c:pt idx="10">
                  <c:v>971</c:v>
                </c:pt>
                <c:pt idx="11">
                  <c:v>1073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2E1-4581-8355-9A9D08B6A3D4}"/>
            </c:ext>
          </c:extLst>
        </c:ser>
        <c:ser>
          <c:idx val="1"/>
          <c:order val="1"/>
          <c:tx>
            <c:strRef>
              <c:f>'29.07 JinjaRoad-Kira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JinjaRoad-Kira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JinjaRoad-Kira Road'!$AF$10:$AF$21</c:f>
              <c:numCache>
                <c:formatCode>0</c:formatCode>
                <c:ptCount val="12"/>
                <c:pt idx="0">
                  <c:v>1263</c:v>
                </c:pt>
                <c:pt idx="1">
                  <c:v>555</c:v>
                </c:pt>
                <c:pt idx="2">
                  <c:v>1268</c:v>
                </c:pt>
                <c:pt idx="3">
                  <c:v>1907</c:v>
                </c:pt>
                <c:pt idx="4">
                  <c:v>1447</c:v>
                </c:pt>
                <c:pt idx="5">
                  <c:v>1706</c:v>
                </c:pt>
                <c:pt idx="6">
                  <c:v>1391</c:v>
                </c:pt>
                <c:pt idx="7">
                  <c:v>1542</c:v>
                </c:pt>
                <c:pt idx="8">
                  <c:v>1347</c:v>
                </c:pt>
                <c:pt idx="9">
                  <c:v>1597</c:v>
                </c:pt>
                <c:pt idx="10">
                  <c:v>1426</c:v>
                </c:pt>
                <c:pt idx="11">
                  <c:v>1879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2E1-4581-8355-9A9D08B6A3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121088"/>
        <c:axId val="84122624"/>
      </c:lineChart>
      <c:catAx>
        <c:axId val="84121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122624"/>
        <c:crosses val="autoZero"/>
        <c:auto val="1"/>
        <c:lblAlgn val="ctr"/>
        <c:lblOffset val="100"/>
        <c:noMultiLvlLbl val="0"/>
      </c:catAx>
      <c:valAx>
        <c:axId val="8412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4121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66C-49DF-A540-BEECCA775C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66C-49DF-A540-BEECCA775C9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966C-49DF-A540-BEECCA775C9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966C-49DF-A540-BEECCA775C9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966C-49DF-A540-BEECCA775C9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966C-49DF-A540-BEECCA775C9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966C-49DF-A540-BEECCA775C9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966C-49DF-A540-BEECCA775C9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966C-49DF-A540-BEECCA775C9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966C-49DF-A540-BEECCA775C9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966C-49DF-A540-BEECCA775C9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966C-49DF-A540-BEECCA775C95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966C-49DF-A540-BEECCA775C9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JinjaRoad-Kira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JinjaRoad-Kira Road'!$C$59:$N$59</c:f>
              <c:numCache>
                <c:formatCode>0.0%</c:formatCode>
                <c:ptCount val="12"/>
                <c:pt idx="0">
                  <c:v>0.30753693444136659</c:v>
                </c:pt>
                <c:pt idx="1">
                  <c:v>0.14098568790397045</c:v>
                </c:pt>
                <c:pt idx="2">
                  <c:v>6.6481994459833799E-2</c:v>
                </c:pt>
                <c:pt idx="3">
                  <c:v>1.2984764542936287E-2</c:v>
                </c:pt>
                <c:pt idx="4">
                  <c:v>1.3850415512465374E-3</c:v>
                </c:pt>
                <c:pt idx="5">
                  <c:v>2.3084025854108956E-4</c:v>
                </c:pt>
                <c:pt idx="6">
                  <c:v>8.771929824561403E-3</c:v>
                </c:pt>
                <c:pt idx="7">
                  <c:v>2.4238227146814403E-3</c:v>
                </c:pt>
                <c:pt idx="8">
                  <c:v>1.4427516158818099E-3</c:v>
                </c:pt>
                <c:pt idx="9">
                  <c:v>6.925207756232687E-4</c:v>
                </c:pt>
                <c:pt idx="10">
                  <c:v>0.45700600184672208</c:v>
                </c:pt>
                <c:pt idx="11">
                  <c:v>5.7710064635272389E-5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966C-49DF-A540-BEECCA775C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E16-490A-B833-4EE796B330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E16-490A-B833-4EE796B330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E16-490A-B833-4EE796B330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E16-490A-B833-4EE796B330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E16-490A-B833-4EE796B330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E16-490A-B833-4EE796B330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E16-490A-B833-4EE796B330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E16-490A-B833-4EE796B330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E16-490A-B833-4EE796B330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E16-490A-B833-4EE796B330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E16-490A-B833-4EE796B330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E16-490A-B833-4EE796B330D7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E16-490A-B833-4EE796B330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JinjaRoad-Kira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JinjaRoad-Kira Road'!$C$60:$N$60</c:f>
              <c:numCache>
                <c:formatCode>0.00%</c:formatCode>
                <c:ptCount val="12"/>
                <c:pt idx="0">
                  <c:v>0.56637262195770011</c:v>
                </c:pt>
                <c:pt idx="1">
                  <c:v>0.25964502072483792</c:v>
                </c:pt>
                <c:pt idx="2">
                  <c:v>0.12243596556488469</c:v>
                </c:pt>
                <c:pt idx="3">
                  <c:v>2.3913274524391539E-2</c:v>
                </c:pt>
                <c:pt idx="4">
                  <c:v>2.5507492826017642E-3</c:v>
                </c:pt>
                <c:pt idx="5">
                  <c:v>4.251248804336274E-4</c:v>
                </c:pt>
                <c:pt idx="6">
                  <c:v>1.615474545647784E-2</c:v>
                </c:pt>
                <c:pt idx="7">
                  <c:v>4.4638112445530877E-3</c:v>
                </c:pt>
                <c:pt idx="8">
                  <c:v>2.6570305027101711E-3</c:v>
                </c:pt>
                <c:pt idx="9">
                  <c:v>1.2753746413008821E-3</c:v>
                </c:pt>
                <c:pt idx="11">
                  <c:v>1.0628122010840685E-4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E16-490A-B833-4EE796B330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Kira Road-Jinaj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'29.07 Kira Road-Jinaj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Kira Road-Jinaj Road'!$AE$10:$AE$21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442</c:v>
                </c:pt>
                <c:pt idx="3">
                  <c:v>486</c:v>
                </c:pt>
                <c:pt idx="4">
                  <c:v>346</c:v>
                </c:pt>
                <c:pt idx="5">
                  <c:v>424</c:v>
                </c:pt>
                <c:pt idx="6">
                  <c:v>394</c:v>
                </c:pt>
                <c:pt idx="7">
                  <c:v>403</c:v>
                </c:pt>
                <c:pt idx="8">
                  <c:v>490</c:v>
                </c:pt>
                <c:pt idx="9">
                  <c:v>596</c:v>
                </c:pt>
                <c:pt idx="10">
                  <c:v>542</c:v>
                </c:pt>
                <c:pt idx="11">
                  <c:v>475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89C-45BB-88A7-B65865997A3E}"/>
            </c:ext>
          </c:extLst>
        </c:ser>
        <c:ser>
          <c:idx val="1"/>
          <c:order val="1"/>
          <c:tx>
            <c:strRef>
              <c:f>'29.07 Kira Road-Jinaj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'29.07 Kira Road-Jinaj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Kira Road-Jinaj Road'!$AF$10:$AF$21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748</c:v>
                </c:pt>
                <c:pt idx="3">
                  <c:v>971</c:v>
                </c:pt>
                <c:pt idx="4">
                  <c:v>782</c:v>
                </c:pt>
                <c:pt idx="5">
                  <c:v>1238</c:v>
                </c:pt>
                <c:pt idx="6">
                  <c:v>1168</c:v>
                </c:pt>
                <c:pt idx="7">
                  <c:v>1129</c:v>
                </c:pt>
                <c:pt idx="8">
                  <c:v>1240</c:v>
                </c:pt>
                <c:pt idx="9">
                  <c:v>1359</c:v>
                </c:pt>
                <c:pt idx="10">
                  <c:v>1329</c:v>
                </c:pt>
                <c:pt idx="11">
                  <c:v>1291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89C-45BB-88A7-B65865997A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7985920"/>
        <c:axId val="108008576"/>
      </c:lineChart>
      <c:catAx>
        <c:axId val="1079859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008576"/>
        <c:crosses val="autoZero"/>
        <c:auto val="1"/>
        <c:lblAlgn val="ctr"/>
        <c:lblOffset val="100"/>
        <c:noMultiLvlLbl val="0"/>
      </c:catAx>
      <c:valAx>
        <c:axId val="1080085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985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E8B9-4D32-9FA4-C5B7B71D021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E8B9-4D32-9FA4-C5B7B71D021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E8B9-4D32-9FA4-C5B7B71D021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E8B9-4D32-9FA4-C5B7B71D021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8B9-4D32-9FA4-C5B7B71D021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E8B9-4D32-9FA4-C5B7B71D021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E8B9-4D32-9FA4-C5B7B71D021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E8B9-4D32-9FA4-C5B7B71D021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E8B9-4D32-9FA4-C5B7B71D021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E8B9-4D32-9FA4-C5B7B71D021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E8B9-4D32-9FA4-C5B7B71D021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E8B9-4D32-9FA4-C5B7B71D021F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E8B9-4D32-9FA4-C5B7B71D021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Kira Road-Jinaj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Kira Road-Jinaj Road'!$C$59:$N$59</c:f>
              <c:numCache>
                <c:formatCode>0.0%</c:formatCode>
                <c:ptCount val="12"/>
                <c:pt idx="0">
                  <c:v>0.24549089293647267</c:v>
                </c:pt>
                <c:pt idx="1">
                  <c:v>9.5424255886272763E-2</c:v>
                </c:pt>
                <c:pt idx="2">
                  <c:v>3.011994669035984E-2</c:v>
                </c:pt>
                <c:pt idx="3">
                  <c:v>7.9964460239893374E-3</c:v>
                </c:pt>
                <c:pt idx="4">
                  <c:v>7.1079520213238566E-4</c:v>
                </c:pt>
                <c:pt idx="5">
                  <c:v>9.7734340293203028E-4</c:v>
                </c:pt>
                <c:pt idx="6">
                  <c:v>1.776988005330964E-2</c:v>
                </c:pt>
                <c:pt idx="7">
                  <c:v>7.8187472234562422E-3</c:v>
                </c:pt>
                <c:pt idx="8">
                  <c:v>1.5104398045313193E-3</c:v>
                </c:pt>
                <c:pt idx="9">
                  <c:v>7.1079520213238566E-4</c:v>
                </c:pt>
                <c:pt idx="10">
                  <c:v>0.59147045757441141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E8B9-4D32-9FA4-C5B7B71D021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'29.07 Kira Road-Jinaj Road'!$S$9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'29.07 Kira Road-Jinaj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Kira Road-Jinaj Road'!$S$10:$S$21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296</c:v>
                </c:pt>
                <c:pt idx="3">
                  <c:v>362</c:v>
                </c:pt>
                <c:pt idx="4">
                  <c:v>249</c:v>
                </c:pt>
                <c:pt idx="5">
                  <c:v>243</c:v>
                </c:pt>
                <c:pt idx="6">
                  <c:v>212</c:v>
                </c:pt>
                <c:pt idx="7">
                  <c:v>206</c:v>
                </c:pt>
                <c:pt idx="8">
                  <c:v>261</c:v>
                </c:pt>
                <c:pt idx="9">
                  <c:v>345</c:v>
                </c:pt>
                <c:pt idx="10">
                  <c:v>315</c:v>
                </c:pt>
                <c:pt idx="11">
                  <c:v>274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51-40BE-9A1E-5B6943FE144C}"/>
            </c:ext>
          </c:extLst>
        </c:ser>
        <c:ser>
          <c:idx val="1"/>
          <c:order val="1"/>
          <c:tx>
            <c:strRef>
              <c:f>'29.07 Kira Road-Jinaj Road'!$T$9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'29.07 Kira Road-Jinaj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'29.07 Kira Road-Jinaj Road'!$T$10:$T$21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76</c:v>
                </c:pt>
                <c:pt idx="3">
                  <c:v>57</c:v>
                </c:pt>
                <c:pt idx="4">
                  <c:v>46</c:v>
                </c:pt>
                <c:pt idx="5">
                  <c:v>103</c:v>
                </c:pt>
                <c:pt idx="6">
                  <c:v>105</c:v>
                </c:pt>
                <c:pt idx="7">
                  <c:v>117</c:v>
                </c:pt>
                <c:pt idx="8">
                  <c:v>144</c:v>
                </c:pt>
                <c:pt idx="9">
                  <c:v>157</c:v>
                </c:pt>
                <c:pt idx="10">
                  <c:v>146</c:v>
                </c:pt>
                <c:pt idx="11">
                  <c:v>123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51-40BE-9A1E-5B6943FE144C}"/>
            </c:ext>
          </c:extLst>
        </c:ser>
        <c:ser>
          <c:idx val="2"/>
          <c:order val="2"/>
          <c:tx>
            <c:strRef>
              <c:f>'29.07 Kira Road-Jinaj Road'!$U$9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Road'!$U$10:$U$21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51</c:v>
                </c:pt>
                <c:pt idx="3">
                  <c:v>40</c:v>
                </c:pt>
                <c:pt idx="4">
                  <c:v>18</c:v>
                </c:pt>
                <c:pt idx="5">
                  <c:v>36</c:v>
                </c:pt>
                <c:pt idx="6">
                  <c:v>40</c:v>
                </c:pt>
                <c:pt idx="7">
                  <c:v>20</c:v>
                </c:pt>
                <c:pt idx="8">
                  <c:v>31</c:v>
                </c:pt>
                <c:pt idx="9">
                  <c:v>36</c:v>
                </c:pt>
                <c:pt idx="10">
                  <c:v>38</c:v>
                </c:pt>
                <c:pt idx="11">
                  <c:v>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51-40BE-9A1E-5B6943FE144C}"/>
            </c:ext>
          </c:extLst>
        </c:ser>
        <c:ser>
          <c:idx val="3"/>
          <c:order val="3"/>
          <c:tx>
            <c:strRef>
              <c:f>'29.07 Kira Road-Jinaj Road'!$V$9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Road'!$V$10:$V$21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5</c:v>
                </c:pt>
                <c:pt idx="4">
                  <c:v>3</c:v>
                </c:pt>
                <c:pt idx="5">
                  <c:v>12</c:v>
                </c:pt>
                <c:pt idx="6">
                  <c:v>6</c:v>
                </c:pt>
                <c:pt idx="7">
                  <c:v>19</c:v>
                </c:pt>
                <c:pt idx="8">
                  <c:v>7</c:v>
                </c:pt>
                <c:pt idx="9">
                  <c:v>12</c:v>
                </c:pt>
                <c:pt idx="10">
                  <c:v>10</c:v>
                </c:pt>
                <c:pt idx="11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51-40BE-9A1E-5B6943FE144C}"/>
            </c:ext>
          </c:extLst>
        </c:ser>
        <c:ser>
          <c:idx val="4"/>
          <c:order val="4"/>
          <c:tx>
            <c:strRef>
              <c:f>'29.07 Kira Road-Jinaj Road'!$W$9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51-40BE-9A1E-5B6943FE144C}"/>
            </c:ext>
          </c:extLst>
        </c:ser>
        <c:ser>
          <c:idx val="5"/>
          <c:order val="5"/>
          <c:tx>
            <c:strRef>
              <c:f>'29.07 Kira Road-Jinaj Road'!$X$9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7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651-40BE-9A1E-5B6943FE144C}"/>
            </c:ext>
          </c:extLst>
        </c:ser>
        <c:ser>
          <c:idx val="6"/>
          <c:order val="6"/>
          <c:tx>
            <c:strRef>
              <c:f>'29.07 Kira Road-Jinaj Road'!$Y$9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Road'!$Y$10:$Y$21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11</c:v>
                </c:pt>
                <c:pt idx="4">
                  <c:v>18</c:v>
                </c:pt>
                <c:pt idx="5">
                  <c:v>20</c:v>
                </c:pt>
                <c:pt idx="6">
                  <c:v>20</c:v>
                </c:pt>
                <c:pt idx="7">
                  <c:v>25</c:v>
                </c:pt>
                <c:pt idx="8">
                  <c:v>33</c:v>
                </c:pt>
                <c:pt idx="9">
                  <c:v>23</c:v>
                </c:pt>
                <c:pt idx="10">
                  <c:v>20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651-40BE-9A1E-5B6943FE144C}"/>
            </c:ext>
          </c:extLst>
        </c:ser>
        <c:ser>
          <c:idx val="7"/>
          <c:order val="7"/>
          <c:tx>
            <c:strRef>
              <c:f>'29.07 Kira Road-Jinaj Road'!$Z$9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Road'!$Z$10:$Z$21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7</c:v>
                </c:pt>
                <c:pt idx="4">
                  <c:v>2</c:v>
                </c:pt>
                <c:pt idx="5">
                  <c:v>7</c:v>
                </c:pt>
                <c:pt idx="6">
                  <c:v>7</c:v>
                </c:pt>
                <c:pt idx="7">
                  <c:v>10</c:v>
                </c:pt>
                <c:pt idx="8">
                  <c:v>10</c:v>
                </c:pt>
                <c:pt idx="9">
                  <c:v>20</c:v>
                </c:pt>
                <c:pt idx="10">
                  <c:v>13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651-40BE-9A1E-5B6943FE144C}"/>
            </c:ext>
          </c:extLst>
        </c:ser>
        <c:ser>
          <c:idx val="8"/>
          <c:order val="8"/>
          <c:tx>
            <c:strRef>
              <c:f>'29.07 Kira Road-Jinaj Road'!$AA$9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2</c:v>
                </c:pt>
                <c:pt idx="3">
                  <c:v>3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3</c:v>
                </c:pt>
                <c:pt idx="8">
                  <c:v>3</c:v>
                </c:pt>
                <c:pt idx="9">
                  <c:v>2</c:v>
                </c:pt>
                <c:pt idx="10">
                  <c:v>0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651-40BE-9A1E-5B6943FE144C}"/>
            </c:ext>
          </c:extLst>
        </c:ser>
        <c:ser>
          <c:idx val="9"/>
          <c:order val="9"/>
          <c:tx>
            <c:strRef>
              <c:f>'29.07 Kira Road-Jinaj Road'!$AB$9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2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651-40BE-9A1E-5B6943FE144C}"/>
            </c:ext>
          </c:extLst>
        </c:ser>
        <c:ser>
          <c:idx val="10"/>
          <c:order val="10"/>
          <c:tx>
            <c:strRef>
              <c:f>'29.07 Kira Road-Jinaj Road'!$AC$9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Road'!$AC$10:$AC$21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306</c:v>
                </c:pt>
                <c:pt idx="3">
                  <c:v>485</c:v>
                </c:pt>
                <c:pt idx="4">
                  <c:v>436</c:v>
                </c:pt>
                <c:pt idx="5">
                  <c:v>814</c:v>
                </c:pt>
                <c:pt idx="6">
                  <c:v>774</c:v>
                </c:pt>
                <c:pt idx="7">
                  <c:v>726</c:v>
                </c:pt>
                <c:pt idx="8">
                  <c:v>750</c:v>
                </c:pt>
                <c:pt idx="9">
                  <c:v>763</c:v>
                </c:pt>
                <c:pt idx="10">
                  <c:v>787</c:v>
                </c:pt>
                <c:pt idx="11">
                  <c:v>816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651-40BE-9A1E-5B6943FE144C}"/>
            </c:ext>
          </c:extLst>
        </c:ser>
        <c:ser>
          <c:idx val="11"/>
          <c:order val="11"/>
          <c:tx>
            <c:strRef>
              <c:f>'29.07 Kira Road-Jinaj Road'!$AD$9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'29.07 Kira Road-Jinaj Road'!$AD$10:$AD$21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651-40BE-9A1E-5B6943FE14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7877120"/>
        <c:axId val="107878656"/>
      </c:lineChart>
      <c:catAx>
        <c:axId val="107877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878656"/>
        <c:crosses val="autoZero"/>
        <c:auto val="1"/>
        <c:lblAlgn val="ctr"/>
        <c:lblOffset val="100"/>
        <c:noMultiLvlLbl val="0"/>
      </c:catAx>
      <c:valAx>
        <c:axId val="107878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78771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F2F-4319-A1B1-A94A163849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F2F-4319-A1B1-A94A163849D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F2F-4319-A1B1-A94A163849D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F2F-4319-A1B1-A94A163849D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F2F-4319-A1B1-A94A163849D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F2F-4319-A1B1-A94A163849D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F2F-4319-A1B1-A94A163849D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F2F-4319-A1B1-A94A163849D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F2F-4319-A1B1-A94A163849D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F2F-4319-A1B1-A94A163849D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F2F-4319-A1B1-A94A163849D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F2F-4319-A1B1-A94A163849D9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F2F-4319-A1B1-A94A163849D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'29.07 Kira Road-Jinaj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'29.07 Kira Road-Jinaj Road'!$C$60:$N$60</c:f>
              <c:numCache>
                <c:formatCode>0.00%</c:formatCode>
                <c:ptCount val="12"/>
                <c:pt idx="0">
                  <c:v>0.60091344062635932</c:v>
                </c:pt>
                <c:pt idx="1">
                  <c:v>0.23357981731187472</c:v>
                </c:pt>
                <c:pt idx="2">
                  <c:v>7.372770769899957E-2</c:v>
                </c:pt>
                <c:pt idx="3">
                  <c:v>1.9573727707698999E-2</c:v>
                </c:pt>
                <c:pt idx="4">
                  <c:v>1.7398869073510222E-3</c:v>
                </c:pt>
                <c:pt idx="5">
                  <c:v>2.3923444976076554E-3</c:v>
                </c:pt>
                <c:pt idx="6">
                  <c:v>4.3497172683775558E-2</c:v>
                </c:pt>
                <c:pt idx="7">
                  <c:v>1.9138755980861243E-2</c:v>
                </c:pt>
                <c:pt idx="8">
                  <c:v>3.6972596781209223E-3</c:v>
                </c:pt>
                <c:pt idx="9">
                  <c:v>1.7398869073510222E-3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F2F-4319-A1B1-A94A16384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Jinja Road-Kira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Jinja Road-Kira Road'!$AE$10:$AE$21</c:f>
              <c:numCache>
                <c:formatCode>0</c:formatCode>
                <c:ptCount val="12"/>
                <c:pt idx="0">
                  <c:v>430</c:v>
                </c:pt>
                <c:pt idx="1">
                  <c:v>444</c:v>
                </c:pt>
                <c:pt idx="2">
                  <c:v>414</c:v>
                </c:pt>
                <c:pt idx="3">
                  <c:v>484</c:v>
                </c:pt>
                <c:pt idx="4">
                  <c:v>518</c:v>
                </c:pt>
                <c:pt idx="5">
                  <c:v>690</c:v>
                </c:pt>
                <c:pt idx="6">
                  <c:v>770</c:v>
                </c:pt>
                <c:pt idx="7">
                  <c:v>681</c:v>
                </c:pt>
                <c:pt idx="8">
                  <c:v>712</c:v>
                </c:pt>
                <c:pt idx="9">
                  <c:v>911</c:v>
                </c:pt>
                <c:pt idx="10">
                  <c:v>910</c:v>
                </c:pt>
                <c:pt idx="11">
                  <c:v>742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6D6-4B77-8026-30DBF41B753F}"/>
            </c:ext>
          </c:extLst>
        </c:ser>
        <c:ser>
          <c:idx val="1"/>
          <c:order val="1"/>
          <c:tx>
            <c:strRef>
              <c:f>'30.07 Jinja Road-Kira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Jinja Road-Kira Road'!$AF$10:$AF$21</c:f>
              <c:numCache>
                <c:formatCode>0</c:formatCode>
                <c:ptCount val="12"/>
                <c:pt idx="0">
                  <c:v>1079</c:v>
                </c:pt>
                <c:pt idx="1">
                  <c:v>1319</c:v>
                </c:pt>
                <c:pt idx="2">
                  <c:v>977</c:v>
                </c:pt>
                <c:pt idx="3">
                  <c:v>988</c:v>
                </c:pt>
                <c:pt idx="4">
                  <c:v>1043</c:v>
                </c:pt>
                <c:pt idx="5">
                  <c:v>1207</c:v>
                </c:pt>
                <c:pt idx="6">
                  <c:v>1165</c:v>
                </c:pt>
                <c:pt idx="7">
                  <c:v>1253</c:v>
                </c:pt>
                <c:pt idx="8">
                  <c:v>1266</c:v>
                </c:pt>
                <c:pt idx="9">
                  <c:v>1375</c:v>
                </c:pt>
                <c:pt idx="10">
                  <c:v>1650</c:v>
                </c:pt>
                <c:pt idx="11">
                  <c:v>1365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6D6-4B77-8026-30DBF41B75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276736"/>
        <c:axId val="108299392"/>
      </c:lineChart>
      <c:catAx>
        <c:axId val="1082767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99392"/>
        <c:crosses val="autoZero"/>
        <c:auto val="1"/>
        <c:lblAlgn val="ctr"/>
        <c:lblOffset val="100"/>
        <c:noMultiLvlLbl val="0"/>
      </c:catAx>
      <c:valAx>
        <c:axId val="1082993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2767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5BA-447C-A3CB-236E1F2B31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5BA-447C-A3CB-236E1F2B31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5BA-447C-A3CB-236E1F2B31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5BA-447C-A3CB-236E1F2B31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5BA-447C-A3CB-236E1F2B31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5BA-447C-A3CB-236E1F2B31F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5BA-447C-A3CB-236E1F2B31F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5BA-447C-A3CB-236E1F2B31F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5BA-447C-A3CB-236E1F2B31F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5BA-447C-A3CB-236E1F2B31F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5BA-447C-A3CB-236E1F2B31F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5BA-447C-A3CB-236E1F2B31F3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5BA-447C-A3CB-236E1F2B31F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Jinja 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Jinja Road-Kira Road'!$C$59:$N$59</c:f>
              <c:numCache>
                <c:formatCode>0.0%</c:formatCode>
                <c:ptCount val="12"/>
                <c:pt idx="0">
                  <c:v>0.30074215292435486</c:v>
                </c:pt>
                <c:pt idx="1">
                  <c:v>0.15285626744740247</c:v>
                </c:pt>
                <c:pt idx="2">
                  <c:v>4.2826989854973789E-2</c:v>
                </c:pt>
                <c:pt idx="3">
                  <c:v>1.0893987880438483E-2</c:v>
                </c:pt>
                <c:pt idx="4">
                  <c:v>6.8087424252740521E-4</c:v>
                </c:pt>
                <c:pt idx="5">
                  <c:v>0</c:v>
                </c:pt>
                <c:pt idx="6">
                  <c:v>1.1438687274460407E-2</c:v>
                </c:pt>
                <c:pt idx="7">
                  <c:v>3.3362837883842856E-3</c:v>
                </c:pt>
                <c:pt idx="8">
                  <c:v>1.3617484850548104E-3</c:v>
                </c:pt>
                <c:pt idx="9">
                  <c:v>4.7661196976918362E-4</c:v>
                </c:pt>
                <c:pt idx="10">
                  <c:v>0.47531830870838154</c:v>
                </c:pt>
                <c:pt idx="11">
                  <c:v>6.8087424252740524E-5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5BA-447C-A3CB-236E1F2B31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Jinja Road-Kira Road'!$S$9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Jinja Road-Kira Road'!$S$10:$S$21</c:f>
              <c:numCache>
                <c:formatCode>0</c:formatCode>
                <c:ptCount val="12"/>
                <c:pt idx="0">
                  <c:v>268</c:v>
                </c:pt>
                <c:pt idx="1">
                  <c:v>256</c:v>
                </c:pt>
                <c:pt idx="2">
                  <c:v>206</c:v>
                </c:pt>
                <c:pt idx="3">
                  <c:v>271</c:v>
                </c:pt>
                <c:pt idx="4">
                  <c:v>284</c:v>
                </c:pt>
                <c:pt idx="5">
                  <c:v>374</c:v>
                </c:pt>
                <c:pt idx="6">
                  <c:v>392</c:v>
                </c:pt>
                <c:pt idx="7">
                  <c:v>381</c:v>
                </c:pt>
                <c:pt idx="8">
                  <c:v>369</c:v>
                </c:pt>
                <c:pt idx="9">
                  <c:v>510</c:v>
                </c:pt>
                <c:pt idx="10">
                  <c:v>612</c:v>
                </c:pt>
                <c:pt idx="11">
                  <c:v>494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54-447E-B68D-E1368766DED9}"/>
            </c:ext>
          </c:extLst>
        </c:ser>
        <c:ser>
          <c:idx val="1"/>
          <c:order val="1"/>
          <c:tx>
            <c:strRef>
              <c:f>'30.07 Jinja Road-Kira Road'!$T$9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Jinja Road-Kira Road'!$T$10:$T$21</c:f>
              <c:numCache>
                <c:formatCode>0</c:formatCode>
                <c:ptCount val="12"/>
                <c:pt idx="0">
                  <c:v>102</c:v>
                </c:pt>
                <c:pt idx="1">
                  <c:v>126</c:v>
                </c:pt>
                <c:pt idx="2">
                  <c:v>131</c:v>
                </c:pt>
                <c:pt idx="3">
                  <c:v>141</c:v>
                </c:pt>
                <c:pt idx="4">
                  <c:v>161</c:v>
                </c:pt>
                <c:pt idx="5">
                  <c:v>218</c:v>
                </c:pt>
                <c:pt idx="6">
                  <c:v>266</c:v>
                </c:pt>
                <c:pt idx="7">
                  <c:v>218</c:v>
                </c:pt>
                <c:pt idx="8">
                  <c:v>263</c:v>
                </c:pt>
                <c:pt idx="9">
                  <c:v>278</c:v>
                </c:pt>
                <c:pt idx="10">
                  <c:v>195</c:v>
                </c:pt>
                <c:pt idx="11">
                  <c:v>146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54-447E-B68D-E1368766DED9}"/>
            </c:ext>
          </c:extLst>
        </c:ser>
        <c:ser>
          <c:idx val="2"/>
          <c:order val="2"/>
          <c:tx>
            <c:strRef>
              <c:f>'30.07 Jinja Road-Kira Road'!$U$9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Road'!$U$10:$U$21</c:f>
              <c:numCache>
                <c:formatCode>0</c:formatCode>
                <c:ptCount val="12"/>
                <c:pt idx="0">
                  <c:v>48</c:v>
                </c:pt>
                <c:pt idx="1">
                  <c:v>27</c:v>
                </c:pt>
                <c:pt idx="2">
                  <c:v>37</c:v>
                </c:pt>
                <c:pt idx="3">
                  <c:v>28</c:v>
                </c:pt>
                <c:pt idx="4">
                  <c:v>47</c:v>
                </c:pt>
                <c:pt idx="5">
                  <c:v>71</c:v>
                </c:pt>
                <c:pt idx="6">
                  <c:v>78</c:v>
                </c:pt>
                <c:pt idx="7">
                  <c:v>43</c:v>
                </c:pt>
                <c:pt idx="8">
                  <c:v>50</c:v>
                </c:pt>
                <c:pt idx="9">
                  <c:v>78</c:v>
                </c:pt>
                <c:pt idx="10">
                  <c:v>70</c:v>
                </c:pt>
                <c:pt idx="11">
                  <c:v>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54-447E-B68D-E1368766DED9}"/>
            </c:ext>
          </c:extLst>
        </c:ser>
        <c:ser>
          <c:idx val="3"/>
          <c:order val="3"/>
          <c:tx>
            <c:strRef>
              <c:f>'30.07 Jinja Road-Kira Road'!$V$9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Road'!$V$10:$V$21</c:f>
              <c:numCache>
                <c:formatCode>0</c:formatCode>
                <c:ptCount val="12"/>
                <c:pt idx="0">
                  <c:v>4</c:v>
                </c:pt>
                <c:pt idx="1">
                  <c:v>11</c:v>
                </c:pt>
                <c:pt idx="2">
                  <c:v>7</c:v>
                </c:pt>
                <c:pt idx="3">
                  <c:v>13</c:v>
                </c:pt>
                <c:pt idx="4">
                  <c:v>8</c:v>
                </c:pt>
                <c:pt idx="5">
                  <c:v>5</c:v>
                </c:pt>
                <c:pt idx="6">
                  <c:v>19</c:v>
                </c:pt>
                <c:pt idx="7">
                  <c:v>12</c:v>
                </c:pt>
                <c:pt idx="8">
                  <c:v>9</c:v>
                </c:pt>
                <c:pt idx="9">
                  <c:v>30</c:v>
                </c:pt>
                <c:pt idx="10">
                  <c:v>12</c:v>
                </c:pt>
                <c:pt idx="11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D54-447E-B68D-E1368766DED9}"/>
            </c:ext>
          </c:extLst>
        </c:ser>
        <c:ser>
          <c:idx val="4"/>
          <c:order val="4"/>
          <c:tx>
            <c:strRef>
              <c:f>'30.07 Jinja Road-Kira Road'!$W$9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D54-447E-B68D-E1368766DED9}"/>
            </c:ext>
          </c:extLst>
        </c:ser>
        <c:ser>
          <c:idx val="5"/>
          <c:order val="5"/>
          <c:tx>
            <c:strRef>
              <c:f>'30.07 Jinja Road-Kira Road'!$X$9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D54-447E-B68D-E1368766DED9}"/>
            </c:ext>
          </c:extLst>
        </c:ser>
        <c:ser>
          <c:idx val="6"/>
          <c:order val="6"/>
          <c:tx>
            <c:strRef>
              <c:f>'30.07 Jinja Road-Kira Road'!$Y$9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Road'!$Y$10:$Y$21</c:f>
              <c:numCache>
                <c:formatCode>0</c:formatCode>
                <c:ptCount val="12"/>
                <c:pt idx="0">
                  <c:v>6</c:v>
                </c:pt>
                <c:pt idx="1">
                  <c:v>19</c:v>
                </c:pt>
                <c:pt idx="2">
                  <c:v>21</c:v>
                </c:pt>
                <c:pt idx="3">
                  <c:v>24</c:v>
                </c:pt>
                <c:pt idx="4">
                  <c:v>13</c:v>
                </c:pt>
                <c:pt idx="5">
                  <c:v>15</c:v>
                </c:pt>
                <c:pt idx="6">
                  <c:v>12</c:v>
                </c:pt>
                <c:pt idx="7">
                  <c:v>18</c:v>
                </c:pt>
                <c:pt idx="8">
                  <c:v>12</c:v>
                </c:pt>
                <c:pt idx="9">
                  <c:v>6</c:v>
                </c:pt>
                <c:pt idx="10">
                  <c:v>12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D54-447E-B68D-E1368766DED9}"/>
            </c:ext>
          </c:extLst>
        </c:ser>
        <c:ser>
          <c:idx val="7"/>
          <c:order val="7"/>
          <c:tx>
            <c:strRef>
              <c:f>'30.07 Jinja Road-Kira Road'!$Z$9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Road'!$Z$10:$Z$21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5</c:v>
                </c:pt>
                <c:pt idx="3">
                  <c:v>3</c:v>
                </c:pt>
                <c:pt idx="4">
                  <c:v>4</c:v>
                </c:pt>
                <c:pt idx="5">
                  <c:v>4</c:v>
                </c:pt>
                <c:pt idx="6">
                  <c:v>2</c:v>
                </c:pt>
                <c:pt idx="7">
                  <c:v>6</c:v>
                </c:pt>
                <c:pt idx="8">
                  <c:v>5</c:v>
                </c:pt>
                <c:pt idx="9">
                  <c:v>6</c:v>
                </c:pt>
                <c:pt idx="10">
                  <c:v>4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D54-447E-B68D-E1368766DED9}"/>
            </c:ext>
          </c:extLst>
        </c:ser>
        <c:ser>
          <c:idx val="8"/>
          <c:order val="8"/>
          <c:tx>
            <c:strRef>
              <c:f>'30.07 Jinja Road-Kira Road'!$AA$9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4</c:v>
                </c:pt>
                <c:pt idx="3">
                  <c:v>4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1</c:v>
                </c:pt>
                <c:pt idx="8">
                  <c:v>3</c:v>
                </c:pt>
                <c:pt idx="9">
                  <c:v>2</c:v>
                </c:pt>
                <c:pt idx="10">
                  <c:v>4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D54-447E-B68D-E1368766DED9}"/>
            </c:ext>
          </c:extLst>
        </c:ser>
        <c:ser>
          <c:idx val="9"/>
          <c:order val="9"/>
          <c:tx>
            <c:strRef>
              <c:f>'30.07 Jinja Road-Kira Road'!$AB$9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6D54-447E-B68D-E1368766DED9}"/>
            </c:ext>
          </c:extLst>
        </c:ser>
        <c:ser>
          <c:idx val="10"/>
          <c:order val="10"/>
          <c:tx>
            <c:strRef>
              <c:f>'30.07 Jinja Road-Kira Road'!$AC$9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Road'!$AC$10:$AC$21</c:f>
              <c:numCache>
                <c:formatCode>0</c:formatCode>
                <c:ptCount val="12"/>
                <c:pt idx="0">
                  <c:v>649</c:v>
                </c:pt>
                <c:pt idx="1">
                  <c:v>875</c:v>
                </c:pt>
                <c:pt idx="2">
                  <c:v>563</c:v>
                </c:pt>
                <c:pt idx="3">
                  <c:v>504</c:v>
                </c:pt>
                <c:pt idx="4">
                  <c:v>525</c:v>
                </c:pt>
                <c:pt idx="5">
                  <c:v>517</c:v>
                </c:pt>
                <c:pt idx="6">
                  <c:v>395</c:v>
                </c:pt>
                <c:pt idx="7">
                  <c:v>572</c:v>
                </c:pt>
                <c:pt idx="8">
                  <c:v>554</c:v>
                </c:pt>
                <c:pt idx="9">
                  <c:v>464</c:v>
                </c:pt>
                <c:pt idx="10">
                  <c:v>740</c:v>
                </c:pt>
                <c:pt idx="11">
                  <c:v>623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D54-447E-B68D-E1368766DED9}"/>
            </c:ext>
          </c:extLst>
        </c:ser>
        <c:ser>
          <c:idx val="11"/>
          <c:order val="11"/>
          <c:tx>
            <c:strRef>
              <c:f>'30.07 Jinja Road-Kira Road'!$AD$9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Jinja Road-Kira Road'!$AD$10:$AD$21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D54-447E-B68D-E1368766DE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8577536"/>
        <c:axId val="108579072"/>
      </c:lineChart>
      <c:catAx>
        <c:axId val="1085775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579072"/>
        <c:crosses val="autoZero"/>
        <c:auto val="1"/>
        <c:lblAlgn val="ctr"/>
        <c:lblOffset val="100"/>
        <c:noMultiLvlLbl val="0"/>
      </c:catAx>
      <c:valAx>
        <c:axId val="108579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5775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B73-46DF-8DE2-8B27C2F90D1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B73-46DF-8DE2-8B27C2F90D1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B73-46DF-8DE2-8B27C2F90D1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B73-46DF-8DE2-8B27C2F90D1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B73-46DF-8DE2-8B27C2F90D1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B73-46DF-8DE2-8B27C2F90D1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B73-46DF-8DE2-8B27C2F90D1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B73-46DF-8DE2-8B27C2F90D1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B73-46DF-8DE2-8B27C2F90D1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B73-46DF-8DE2-8B27C2F90D1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B73-46DF-8DE2-8B27C2F90D1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B73-46DF-8DE2-8B27C2F90D10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B73-46DF-8DE2-8B27C2F90D1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Jinja 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Jinja Road-Kira Road'!$C$60:$N$60</c:f>
              <c:numCache>
                <c:formatCode>0.00%</c:formatCode>
                <c:ptCount val="12"/>
                <c:pt idx="0">
                  <c:v>0.57318972229431608</c:v>
                </c:pt>
                <c:pt idx="1">
                  <c:v>0.29133143005450296</c:v>
                </c:pt>
                <c:pt idx="2">
                  <c:v>8.1624708019724893E-2</c:v>
                </c:pt>
                <c:pt idx="3">
                  <c:v>2.0763041785621595E-2</c:v>
                </c:pt>
                <c:pt idx="4">
                  <c:v>1.2976901116013497E-3</c:v>
                </c:pt>
                <c:pt idx="5">
                  <c:v>0</c:v>
                </c:pt>
                <c:pt idx="6">
                  <c:v>2.1801193874902675E-2</c:v>
                </c:pt>
                <c:pt idx="7">
                  <c:v>6.3586815468466128E-3</c:v>
                </c:pt>
                <c:pt idx="8">
                  <c:v>2.5953802232026994E-3</c:v>
                </c:pt>
                <c:pt idx="9">
                  <c:v>9.0838307812094474E-4</c:v>
                </c:pt>
                <c:pt idx="11">
                  <c:v>1.2976901116013495E-4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B73-46DF-8DE2-8B27C2F90D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Kira Road-Jinja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'30.07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Kira Road-Jinja Road'!$AE$10:$AE$21</c:f>
              <c:numCache>
                <c:formatCode>0</c:formatCode>
                <c:ptCount val="12"/>
                <c:pt idx="0">
                  <c:v>1150</c:v>
                </c:pt>
                <c:pt idx="1">
                  <c:v>1214</c:v>
                </c:pt>
                <c:pt idx="2">
                  <c:v>1255</c:v>
                </c:pt>
                <c:pt idx="3">
                  <c:v>1178</c:v>
                </c:pt>
                <c:pt idx="4">
                  <c:v>1095</c:v>
                </c:pt>
                <c:pt idx="5">
                  <c:v>879</c:v>
                </c:pt>
                <c:pt idx="6">
                  <c:v>1059</c:v>
                </c:pt>
                <c:pt idx="7">
                  <c:v>1047</c:v>
                </c:pt>
                <c:pt idx="8">
                  <c:v>1047</c:v>
                </c:pt>
                <c:pt idx="9">
                  <c:v>1186</c:v>
                </c:pt>
                <c:pt idx="10">
                  <c:v>1245</c:v>
                </c:pt>
                <c:pt idx="11">
                  <c:v>966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D5F-499C-8247-FFF3D6EFDA44}"/>
            </c:ext>
          </c:extLst>
        </c:ser>
        <c:ser>
          <c:idx val="1"/>
          <c:order val="1"/>
          <c:tx>
            <c:strRef>
              <c:f>'30.07 Kira Road-Jinja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'30.07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Kira Road-Jinja Road'!$AF$10:$AF$21</c:f>
              <c:numCache>
                <c:formatCode>0</c:formatCode>
                <c:ptCount val="12"/>
                <c:pt idx="0">
                  <c:v>1830</c:v>
                </c:pt>
                <c:pt idx="1">
                  <c:v>2205</c:v>
                </c:pt>
                <c:pt idx="2">
                  <c:v>2059</c:v>
                </c:pt>
                <c:pt idx="3">
                  <c:v>1941</c:v>
                </c:pt>
                <c:pt idx="4">
                  <c:v>1886</c:v>
                </c:pt>
                <c:pt idx="5">
                  <c:v>1578</c:v>
                </c:pt>
                <c:pt idx="6">
                  <c:v>1842</c:v>
                </c:pt>
                <c:pt idx="7">
                  <c:v>1816</c:v>
                </c:pt>
                <c:pt idx="8">
                  <c:v>1884</c:v>
                </c:pt>
                <c:pt idx="9">
                  <c:v>2076</c:v>
                </c:pt>
                <c:pt idx="10">
                  <c:v>2217</c:v>
                </c:pt>
                <c:pt idx="11">
                  <c:v>1807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D5F-499C-8247-FFF3D6EFDA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8600320"/>
        <c:axId val="108643456"/>
      </c:lineChart>
      <c:catAx>
        <c:axId val="1086003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643456"/>
        <c:crosses val="autoZero"/>
        <c:auto val="1"/>
        <c:lblAlgn val="ctr"/>
        <c:lblOffset val="100"/>
        <c:noMultiLvlLbl val="0"/>
      </c:catAx>
      <c:valAx>
        <c:axId val="10864345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8600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AD9-43D2-B994-F66788B4CE1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AD9-43D2-B994-F66788B4CE1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AD9-43D2-B994-F66788B4CE1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AD9-43D2-B994-F66788B4CE1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AD9-43D2-B994-F66788B4CE1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AD9-43D2-B994-F66788B4CE1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AD9-43D2-B994-F66788B4CE1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AD9-43D2-B994-F66788B4CE1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AD9-43D2-B994-F66788B4CE1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AD9-43D2-B994-F66788B4CE1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AD9-43D2-B994-F66788B4CE1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AD9-43D2-B994-F66788B4CE12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AD9-43D2-B994-F66788B4CE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Kira Road-Jinja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Kira Road-Jinja Road'!$C$59:$N$59</c:f>
              <c:numCache>
                <c:formatCode>0.0%</c:formatCode>
                <c:ptCount val="12"/>
                <c:pt idx="0">
                  <c:v>0.34341644699883322</c:v>
                </c:pt>
                <c:pt idx="1">
                  <c:v>0.1328810336631952</c:v>
                </c:pt>
                <c:pt idx="2">
                  <c:v>6.6851043602264376E-2</c:v>
                </c:pt>
                <c:pt idx="3">
                  <c:v>1.4390043645477723E-2</c:v>
                </c:pt>
                <c:pt idx="4">
                  <c:v>8.642668856142777E-4</c:v>
                </c:pt>
                <c:pt idx="5">
                  <c:v>4.3213344280713883E-5</c:v>
                </c:pt>
                <c:pt idx="6">
                  <c:v>1.24454431528456E-2</c:v>
                </c:pt>
                <c:pt idx="7">
                  <c:v>3.8892009852642497E-3</c:v>
                </c:pt>
                <c:pt idx="8">
                  <c:v>6.4820016421070822E-4</c:v>
                </c:pt>
                <c:pt idx="9">
                  <c:v>2.1606672140356942E-4</c:v>
                </c:pt>
                <c:pt idx="10">
                  <c:v>0.42435504083661035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AD9-43D2-B994-F66788B4CE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'30.07 Kira Road-Jinja Road'!$S$9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'30.07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Kira Road-Jinja Road'!$S$10:$S$21</c:f>
              <c:numCache>
                <c:formatCode>0</c:formatCode>
                <c:ptCount val="12"/>
                <c:pt idx="0">
                  <c:v>688</c:v>
                </c:pt>
                <c:pt idx="1">
                  <c:v>740</c:v>
                </c:pt>
                <c:pt idx="2">
                  <c:v>749</c:v>
                </c:pt>
                <c:pt idx="3">
                  <c:v>679</c:v>
                </c:pt>
                <c:pt idx="4">
                  <c:v>622</c:v>
                </c:pt>
                <c:pt idx="5">
                  <c:v>672</c:v>
                </c:pt>
                <c:pt idx="6">
                  <c:v>670</c:v>
                </c:pt>
                <c:pt idx="7">
                  <c:v>687</c:v>
                </c:pt>
                <c:pt idx="8">
                  <c:v>579</c:v>
                </c:pt>
                <c:pt idx="9">
                  <c:v>611</c:v>
                </c:pt>
                <c:pt idx="10">
                  <c:v>670</c:v>
                </c:pt>
                <c:pt idx="11">
                  <c:v>580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232-4340-AED5-CD3F6DAF145D}"/>
            </c:ext>
          </c:extLst>
        </c:ser>
        <c:ser>
          <c:idx val="1"/>
          <c:order val="1"/>
          <c:tx>
            <c:strRef>
              <c:f>'30.07 Kira Road-Jinja Road'!$T$9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'30.07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'30.07 Kira Road-Jinja Road'!$T$10:$T$21</c:f>
              <c:numCache>
                <c:formatCode>0</c:formatCode>
                <c:ptCount val="12"/>
                <c:pt idx="0">
                  <c:v>292</c:v>
                </c:pt>
                <c:pt idx="1">
                  <c:v>307</c:v>
                </c:pt>
                <c:pt idx="2">
                  <c:v>301</c:v>
                </c:pt>
                <c:pt idx="3">
                  <c:v>276</c:v>
                </c:pt>
                <c:pt idx="4">
                  <c:v>279</c:v>
                </c:pt>
                <c:pt idx="5">
                  <c:v>97</c:v>
                </c:pt>
                <c:pt idx="6">
                  <c:v>217</c:v>
                </c:pt>
                <c:pt idx="7">
                  <c:v>213</c:v>
                </c:pt>
                <c:pt idx="8">
                  <c:v>276</c:v>
                </c:pt>
                <c:pt idx="9">
                  <c:v>264</c:v>
                </c:pt>
                <c:pt idx="10">
                  <c:v>323</c:v>
                </c:pt>
                <c:pt idx="11">
                  <c:v>230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232-4340-AED5-CD3F6DAF145D}"/>
            </c:ext>
          </c:extLst>
        </c:ser>
        <c:ser>
          <c:idx val="2"/>
          <c:order val="2"/>
          <c:tx>
            <c:strRef>
              <c:f>'30.07 Kira Road-Jinja Road'!$U$9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Road'!$U$10:$U$21</c:f>
              <c:numCache>
                <c:formatCode>0</c:formatCode>
                <c:ptCount val="12"/>
                <c:pt idx="0">
                  <c:v>132</c:v>
                </c:pt>
                <c:pt idx="1">
                  <c:v>125</c:v>
                </c:pt>
                <c:pt idx="2">
                  <c:v>147</c:v>
                </c:pt>
                <c:pt idx="3">
                  <c:v>166</c:v>
                </c:pt>
                <c:pt idx="4">
                  <c:v>149</c:v>
                </c:pt>
                <c:pt idx="5">
                  <c:v>58</c:v>
                </c:pt>
                <c:pt idx="6">
                  <c:v>115</c:v>
                </c:pt>
                <c:pt idx="7">
                  <c:v>88</c:v>
                </c:pt>
                <c:pt idx="8">
                  <c:v>122</c:v>
                </c:pt>
                <c:pt idx="9">
                  <c:v>184</c:v>
                </c:pt>
                <c:pt idx="10">
                  <c:v>150</c:v>
                </c:pt>
                <c:pt idx="11">
                  <c:v>111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232-4340-AED5-CD3F6DAF145D}"/>
            </c:ext>
          </c:extLst>
        </c:ser>
        <c:ser>
          <c:idx val="3"/>
          <c:order val="3"/>
          <c:tx>
            <c:strRef>
              <c:f>'30.07 Kira Road-Jinja Road'!$V$9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Road'!$V$10:$V$21</c:f>
              <c:numCache>
                <c:formatCode>0</c:formatCode>
                <c:ptCount val="12"/>
                <c:pt idx="0">
                  <c:v>30</c:v>
                </c:pt>
                <c:pt idx="1">
                  <c:v>22</c:v>
                </c:pt>
                <c:pt idx="2">
                  <c:v>17</c:v>
                </c:pt>
                <c:pt idx="3">
                  <c:v>14</c:v>
                </c:pt>
                <c:pt idx="4">
                  <c:v>15</c:v>
                </c:pt>
                <c:pt idx="5">
                  <c:v>9</c:v>
                </c:pt>
                <c:pt idx="6">
                  <c:v>18</c:v>
                </c:pt>
                <c:pt idx="7">
                  <c:v>15</c:v>
                </c:pt>
                <c:pt idx="8">
                  <c:v>26</c:v>
                </c:pt>
                <c:pt idx="9">
                  <c:v>79</c:v>
                </c:pt>
                <c:pt idx="10">
                  <c:v>72</c:v>
                </c:pt>
                <c:pt idx="11">
                  <c:v>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232-4340-AED5-CD3F6DAF145D}"/>
            </c:ext>
          </c:extLst>
        </c:ser>
        <c:ser>
          <c:idx val="4"/>
          <c:order val="4"/>
          <c:tx>
            <c:strRef>
              <c:f>'30.07 Kira Road-Jinja Road'!$W$9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Road'!$W$10:$W$21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6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232-4340-AED5-CD3F6DAF145D}"/>
            </c:ext>
          </c:extLst>
        </c:ser>
        <c:ser>
          <c:idx val="5"/>
          <c:order val="5"/>
          <c:tx>
            <c:strRef>
              <c:f>'30.07 Kira Road-Jinja Road'!$X$9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232-4340-AED5-CD3F6DAF145D}"/>
            </c:ext>
          </c:extLst>
        </c:ser>
        <c:ser>
          <c:idx val="6"/>
          <c:order val="6"/>
          <c:tx>
            <c:strRef>
              <c:f>'30.07 Kira Road-Jinja Road'!$Y$9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Road'!$Y$10:$Y$21</c:f>
              <c:numCache>
                <c:formatCode>0</c:formatCode>
                <c:ptCount val="12"/>
                <c:pt idx="0">
                  <c:v>6</c:v>
                </c:pt>
                <c:pt idx="1">
                  <c:v>11</c:v>
                </c:pt>
                <c:pt idx="2">
                  <c:v>25</c:v>
                </c:pt>
                <c:pt idx="3">
                  <c:v>24</c:v>
                </c:pt>
                <c:pt idx="4">
                  <c:v>22</c:v>
                </c:pt>
                <c:pt idx="5">
                  <c:v>34</c:v>
                </c:pt>
                <c:pt idx="6">
                  <c:v>32</c:v>
                </c:pt>
                <c:pt idx="7">
                  <c:v>32</c:v>
                </c:pt>
                <c:pt idx="8">
                  <c:v>30</c:v>
                </c:pt>
                <c:pt idx="9">
                  <c:v>32</c:v>
                </c:pt>
                <c:pt idx="10">
                  <c:v>22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232-4340-AED5-CD3F6DAF145D}"/>
            </c:ext>
          </c:extLst>
        </c:ser>
        <c:ser>
          <c:idx val="7"/>
          <c:order val="7"/>
          <c:tx>
            <c:strRef>
              <c:f>'30.07 Kira Road-Jinja Road'!$Z$9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Road'!$Z$10:$Z$21</c:f>
              <c:numCache>
                <c:formatCode>0</c:formatCode>
                <c:ptCount val="12"/>
                <c:pt idx="0">
                  <c:v>1</c:v>
                </c:pt>
                <c:pt idx="1">
                  <c:v>5</c:v>
                </c:pt>
                <c:pt idx="2">
                  <c:v>8</c:v>
                </c:pt>
                <c:pt idx="3">
                  <c:v>8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10</c:v>
                </c:pt>
                <c:pt idx="8">
                  <c:v>12</c:v>
                </c:pt>
                <c:pt idx="9">
                  <c:v>13</c:v>
                </c:pt>
                <c:pt idx="10">
                  <c:v>5</c:v>
                </c:pt>
                <c:pt idx="11">
                  <c:v>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232-4340-AED5-CD3F6DAF145D}"/>
            </c:ext>
          </c:extLst>
        </c:ser>
        <c:ser>
          <c:idx val="8"/>
          <c:order val="8"/>
          <c:tx>
            <c:strRef>
              <c:f>'30.07 Kira Road-Jinja Road'!$AA$9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8</c:v>
                </c:pt>
                <c:pt idx="4">
                  <c:v>0</c:v>
                </c:pt>
                <c:pt idx="5">
                  <c:v>2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232-4340-AED5-CD3F6DAF145D}"/>
            </c:ext>
          </c:extLst>
        </c:ser>
        <c:ser>
          <c:idx val="9"/>
          <c:order val="9"/>
          <c:tx>
            <c:strRef>
              <c:f>'30.07 Kira Road-Jinja Road'!$AB$9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1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232-4340-AED5-CD3F6DAF145D}"/>
            </c:ext>
          </c:extLst>
        </c:ser>
        <c:ser>
          <c:idx val="10"/>
          <c:order val="10"/>
          <c:tx>
            <c:strRef>
              <c:f>'30.07 Kira Road-Jinja Road'!$AC$9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Road'!$AC$10:$AC$21</c:f>
              <c:numCache>
                <c:formatCode>0</c:formatCode>
                <c:ptCount val="12"/>
                <c:pt idx="0">
                  <c:v>680</c:v>
                </c:pt>
                <c:pt idx="1">
                  <c:v>991</c:v>
                </c:pt>
                <c:pt idx="2">
                  <c:v>804</c:v>
                </c:pt>
                <c:pt idx="3">
                  <c:v>763</c:v>
                </c:pt>
                <c:pt idx="4">
                  <c:v>791</c:v>
                </c:pt>
                <c:pt idx="5">
                  <c:v>699</c:v>
                </c:pt>
                <c:pt idx="6">
                  <c:v>783</c:v>
                </c:pt>
                <c:pt idx="7">
                  <c:v>769</c:v>
                </c:pt>
                <c:pt idx="8">
                  <c:v>837</c:v>
                </c:pt>
                <c:pt idx="9">
                  <c:v>890</c:v>
                </c:pt>
                <c:pt idx="10">
                  <c:v>972</c:v>
                </c:pt>
                <c:pt idx="11">
                  <c:v>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232-4340-AED5-CD3F6DAF145D}"/>
            </c:ext>
          </c:extLst>
        </c:ser>
        <c:ser>
          <c:idx val="11"/>
          <c:order val="11"/>
          <c:tx>
            <c:strRef>
              <c:f>'30.07 Kira Road-Jinja Road'!$AD$9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'30.07 Kira Road-Jinja Road'!$AD$10:$AD$21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232-4340-AED5-CD3F6DAF14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28096"/>
        <c:axId val="109029632"/>
      </c:lineChart>
      <c:catAx>
        <c:axId val="109028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029632"/>
        <c:crosses val="autoZero"/>
        <c:auto val="1"/>
        <c:lblAlgn val="ctr"/>
        <c:lblOffset val="100"/>
        <c:noMultiLvlLbl val="0"/>
      </c:catAx>
      <c:valAx>
        <c:axId val="109029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028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496-4C9C-BA89-19C872160E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496-4C9C-BA89-19C872160E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496-4C9C-BA89-19C872160E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496-4C9C-BA89-19C872160E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496-4C9C-BA89-19C872160E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496-4C9C-BA89-19C872160E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496-4C9C-BA89-19C872160E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496-4C9C-BA89-19C872160E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496-4C9C-BA89-19C872160E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496-4C9C-BA89-19C872160E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496-4C9C-BA89-19C872160E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496-4C9C-BA89-19C872160E0D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496-4C9C-BA89-19C872160E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'30.07 Kira Road-Jinja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'30.07 Kira Road-Jinja Road'!$C$60:$N$60</c:f>
              <c:numCache>
                <c:formatCode>0.00%</c:formatCode>
                <c:ptCount val="12"/>
                <c:pt idx="0">
                  <c:v>0.59657683357105318</c:v>
                </c:pt>
                <c:pt idx="1">
                  <c:v>0.23083852563621349</c:v>
                </c:pt>
                <c:pt idx="2">
                  <c:v>0.11613242249080399</c:v>
                </c:pt>
                <c:pt idx="3">
                  <c:v>2.4998123264019217E-2</c:v>
                </c:pt>
                <c:pt idx="4">
                  <c:v>1.5013887846257788E-3</c:v>
                </c:pt>
                <c:pt idx="5">
                  <c:v>7.5069439231288936E-5</c:v>
                </c:pt>
                <c:pt idx="6">
                  <c:v>2.1619998498611216E-2</c:v>
                </c:pt>
                <c:pt idx="7">
                  <c:v>6.7562495308160046E-3</c:v>
                </c:pt>
                <c:pt idx="8">
                  <c:v>1.1260415884693342E-3</c:v>
                </c:pt>
                <c:pt idx="9">
                  <c:v>3.7534719615644471E-4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496-4C9C-BA89-19C872160E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Jinja Road-Kira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Jinja Road-Kira Road'!$AE$10:$AE$21</c:f>
              <c:numCache>
                <c:formatCode>0</c:formatCode>
                <c:ptCount val="12"/>
                <c:pt idx="0">
                  <c:v>446</c:v>
                </c:pt>
                <c:pt idx="1">
                  <c:v>480</c:v>
                </c:pt>
                <c:pt idx="2">
                  <c:v>407</c:v>
                </c:pt>
                <c:pt idx="3">
                  <c:v>509</c:v>
                </c:pt>
                <c:pt idx="4">
                  <c:v>518</c:v>
                </c:pt>
                <c:pt idx="5">
                  <c:v>534</c:v>
                </c:pt>
                <c:pt idx="6">
                  <c:v>600</c:v>
                </c:pt>
                <c:pt idx="7">
                  <c:v>639</c:v>
                </c:pt>
                <c:pt idx="8">
                  <c:v>708</c:v>
                </c:pt>
                <c:pt idx="9">
                  <c:v>813</c:v>
                </c:pt>
                <c:pt idx="10">
                  <c:v>765</c:v>
                </c:pt>
                <c:pt idx="11">
                  <c:v>774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6D8-486C-94F6-6CD386BE52F0}"/>
            </c:ext>
          </c:extLst>
        </c:ser>
        <c:ser>
          <c:idx val="1"/>
          <c:order val="1"/>
          <c:tx>
            <c:strRef>
              <c:f>'31.07 Jinja Road-Kira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Jinja Road-Kira Road'!$AF$10:$AF$21</c:f>
              <c:numCache>
                <c:formatCode>0</c:formatCode>
                <c:ptCount val="12"/>
                <c:pt idx="0">
                  <c:v>1080</c:v>
                </c:pt>
                <c:pt idx="1">
                  <c:v>1472</c:v>
                </c:pt>
                <c:pt idx="2">
                  <c:v>1063</c:v>
                </c:pt>
                <c:pt idx="3">
                  <c:v>1239</c:v>
                </c:pt>
                <c:pt idx="4">
                  <c:v>1285</c:v>
                </c:pt>
                <c:pt idx="5">
                  <c:v>1094</c:v>
                </c:pt>
                <c:pt idx="6">
                  <c:v>1286</c:v>
                </c:pt>
                <c:pt idx="7">
                  <c:v>1092</c:v>
                </c:pt>
                <c:pt idx="8">
                  <c:v>1588</c:v>
                </c:pt>
                <c:pt idx="9">
                  <c:v>1460</c:v>
                </c:pt>
                <c:pt idx="10">
                  <c:v>1710</c:v>
                </c:pt>
                <c:pt idx="11">
                  <c:v>1262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A6D8-486C-94F6-6CD386BE52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157376"/>
        <c:axId val="109171840"/>
      </c:lineChart>
      <c:catAx>
        <c:axId val="10915737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171840"/>
        <c:crosses val="autoZero"/>
        <c:auto val="1"/>
        <c:lblAlgn val="ctr"/>
        <c:lblOffset val="100"/>
        <c:noMultiLvlLbl val="0"/>
      </c:catAx>
      <c:valAx>
        <c:axId val="10917184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157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7B3F-4B31-952A-3E8EFBAD12A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7B3F-4B31-952A-3E8EFBAD12A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7B3F-4B31-952A-3E8EFBAD12A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7B3F-4B31-952A-3E8EFBAD12A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7B3F-4B31-952A-3E8EFBAD12A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7B3F-4B31-952A-3E8EFBAD12A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7B3F-4B31-952A-3E8EFBAD12A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7B3F-4B31-952A-3E8EFBAD12A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7B3F-4B31-952A-3E8EFBAD12A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7B3F-4B31-952A-3E8EFBAD12A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7B3F-4B31-952A-3E8EFBAD12A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7B3F-4B31-952A-3E8EFBAD12A4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7B3F-4B31-952A-3E8EFBAD12A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Jinja 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Jinja Road-Kira Road'!$C$59:$N$59</c:f>
              <c:numCache>
                <c:formatCode>0.0%</c:formatCode>
                <c:ptCount val="12"/>
                <c:pt idx="0">
                  <c:v>0.26121169470923167</c:v>
                </c:pt>
                <c:pt idx="1">
                  <c:v>0.13454033651077987</c:v>
                </c:pt>
                <c:pt idx="2">
                  <c:v>3.5186488388458829E-2</c:v>
                </c:pt>
                <c:pt idx="3">
                  <c:v>1.1707504318341756E-2</c:v>
                </c:pt>
                <c:pt idx="4">
                  <c:v>7.0372976776917663E-4</c:v>
                </c:pt>
                <c:pt idx="5">
                  <c:v>1.2795086686712303E-4</c:v>
                </c:pt>
                <c:pt idx="6">
                  <c:v>8.44475721323012E-3</c:v>
                </c:pt>
                <c:pt idx="7">
                  <c:v>4.9900838078177981E-3</c:v>
                </c:pt>
                <c:pt idx="8">
                  <c:v>8.3168063463629968E-4</c:v>
                </c:pt>
                <c:pt idx="9">
                  <c:v>2.3670910370417759E-3</c:v>
                </c:pt>
                <c:pt idx="10">
                  <c:v>0.53982470731239207</c:v>
                </c:pt>
                <c:pt idx="11">
                  <c:v>6.3975433433561513E-5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7B3F-4B31-952A-3E8EFBAD12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Jinja Road-Kira Road'!$S$9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'31.07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Jinja Road-Kira Road'!$S$10:$S$21</c:f>
              <c:numCache>
                <c:formatCode>0</c:formatCode>
                <c:ptCount val="12"/>
                <c:pt idx="0">
                  <c:v>289</c:v>
                </c:pt>
                <c:pt idx="1">
                  <c:v>275</c:v>
                </c:pt>
                <c:pt idx="2">
                  <c:v>212</c:v>
                </c:pt>
                <c:pt idx="3">
                  <c:v>253</c:v>
                </c:pt>
                <c:pt idx="4">
                  <c:v>260</c:v>
                </c:pt>
                <c:pt idx="5">
                  <c:v>279</c:v>
                </c:pt>
                <c:pt idx="6">
                  <c:v>320</c:v>
                </c:pt>
                <c:pt idx="7">
                  <c:v>368</c:v>
                </c:pt>
                <c:pt idx="8">
                  <c:v>414</c:v>
                </c:pt>
                <c:pt idx="9">
                  <c:v>475</c:v>
                </c:pt>
                <c:pt idx="10">
                  <c:v>490</c:v>
                </c:pt>
                <c:pt idx="11">
                  <c:v>448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EE7-484C-BD81-92E397547986}"/>
            </c:ext>
          </c:extLst>
        </c:ser>
        <c:ser>
          <c:idx val="1"/>
          <c:order val="1"/>
          <c:tx>
            <c:strRef>
              <c:f>'31.07 Jinja Road-Kira Road'!$T$9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'31.07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Jinja Road-Kira Road'!$T$10:$T$21</c:f>
              <c:numCache>
                <c:formatCode>0</c:formatCode>
                <c:ptCount val="12"/>
                <c:pt idx="0">
                  <c:v>107</c:v>
                </c:pt>
                <c:pt idx="1">
                  <c:v>127</c:v>
                </c:pt>
                <c:pt idx="2">
                  <c:v>116</c:v>
                </c:pt>
                <c:pt idx="3">
                  <c:v>152</c:v>
                </c:pt>
                <c:pt idx="4">
                  <c:v>172</c:v>
                </c:pt>
                <c:pt idx="5">
                  <c:v>169</c:v>
                </c:pt>
                <c:pt idx="6">
                  <c:v>178</c:v>
                </c:pt>
                <c:pt idx="7">
                  <c:v>202</c:v>
                </c:pt>
                <c:pt idx="8">
                  <c:v>203</c:v>
                </c:pt>
                <c:pt idx="9">
                  <c:v>239</c:v>
                </c:pt>
                <c:pt idx="10">
                  <c:v>202</c:v>
                </c:pt>
                <c:pt idx="11">
                  <c:v>236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EE7-484C-BD81-92E397547986}"/>
            </c:ext>
          </c:extLst>
        </c:ser>
        <c:ser>
          <c:idx val="2"/>
          <c:order val="2"/>
          <c:tx>
            <c:strRef>
              <c:f>'31.07 Jinja Road-Kira Road'!$U$9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Road'!$U$10:$U$21</c:f>
              <c:numCache>
                <c:formatCode>0</c:formatCode>
                <c:ptCount val="12"/>
                <c:pt idx="0">
                  <c:v>32</c:v>
                </c:pt>
                <c:pt idx="1">
                  <c:v>37</c:v>
                </c:pt>
                <c:pt idx="2">
                  <c:v>42</c:v>
                </c:pt>
                <c:pt idx="3">
                  <c:v>53</c:v>
                </c:pt>
                <c:pt idx="4">
                  <c:v>51</c:v>
                </c:pt>
                <c:pt idx="5">
                  <c:v>40</c:v>
                </c:pt>
                <c:pt idx="6">
                  <c:v>57</c:v>
                </c:pt>
                <c:pt idx="7">
                  <c:v>47</c:v>
                </c:pt>
                <c:pt idx="8">
                  <c:v>44</c:v>
                </c:pt>
                <c:pt idx="9">
                  <c:v>51</c:v>
                </c:pt>
                <c:pt idx="10">
                  <c:v>47</c:v>
                </c:pt>
                <c:pt idx="11">
                  <c:v>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E7-484C-BD81-92E397547986}"/>
            </c:ext>
          </c:extLst>
        </c:ser>
        <c:ser>
          <c:idx val="3"/>
          <c:order val="3"/>
          <c:tx>
            <c:strRef>
              <c:f>'31.07 Jinja Road-Kira Road'!$V$9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Road'!$V$10:$V$21</c:f>
              <c:numCache>
                <c:formatCode>0</c:formatCode>
                <c:ptCount val="12"/>
                <c:pt idx="0">
                  <c:v>6</c:v>
                </c:pt>
                <c:pt idx="1">
                  <c:v>20</c:v>
                </c:pt>
                <c:pt idx="2">
                  <c:v>13</c:v>
                </c:pt>
                <c:pt idx="3">
                  <c:v>20</c:v>
                </c:pt>
                <c:pt idx="4">
                  <c:v>9</c:v>
                </c:pt>
                <c:pt idx="5">
                  <c:v>15</c:v>
                </c:pt>
                <c:pt idx="6">
                  <c:v>17</c:v>
                </c:pt>
                <c:pt idx="7">
                  <c:v>10</c:v>
                </c:pt>
                <c:pt idx="8">
                  <c:v>16</c:v>
                </c:pt>
                <c:pt idx="9">
                  <c:v>28</c:v>
                </c:pt>
                <c:pt idx="10">
                  <c:v>7</c:v>
                </c:pt>
                <c:pt idx="11">
                  <c:v>22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EE7-484C-BD81-92E397547986}"/>
            </c:ext>
          </c:extLst>
        </c:ser>
        <c:ser>
          <c:idx val="4"/>
          <c:order val="4"/>
          <c:tx>
            <c:strRef>
              <c:f>'31.07 Jinja Road-Kira Road'!$W$9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Road'!$W$10:$W$21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0</c:v>
                </c:pt>
                <c:pt idx="3">
                  <c:v>4</c:v>
                </c:pt>
                <c:pt idx="4">
                  <c:v>0</c:v>
                </c:pt>
                <c:pt idx="5">
                  <c:v>0</c:v>
                </c:pt>
                <c:pt idx="6">
                  <c:v>2</c:v>
                </c:pt>
                <c:pt idx="7">
                  <c:v>0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EE7-484C-BD81-92E397547986}"/>
            </c:ext>
          </c:extLst>
        </c:ser>
        <c:ser>
          <c:idx val="5"/>
          <c:order val="5"/>
          <c:tx>
            <c:strRef>
              <c:f>'31.07 Jinja Road-Kira Road'!$X$9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EE7-484C-BD81-92E397547986}"/>
            </c:ext>
          </c:extLst>
        </c:ser>
        <c:ser>
          <c:idx val="6"/>
          <c:order val="6"/>
          <c:tx>
            <c:strRef>
              <c:f>'31.07 Jinja Road-Kira Road'!$Y$9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Road'!$Y$10:$Y$21</c:f>
              <c:numCache>
                <c:formatCode>0</c:formatCode>
                <c:ptCount val="12"/>
                <c:pt idx="0">
                  <c:v>7</c:v>
                </c:pt>
                <c:pt idx="1">
                  <c:v>8</c:v>
                </c:pt>
                <c:pt idx="2">
                  <c:v>10</c:v>
                </c:pt>
                <c:pt idx="3">
                  <c:v>9</c:v>
                </c:pt>
                <c:pt idx="4">
                  <c:v>11</c:v>
                </c:pt>
                <c:pt idx="5">
                  <c:v>20</c:v>
                </c:pt>
                <c:pt idx="6">
                  <c:v>17</c:v>
                </c:pt>
                <c:pt idx="7">
                  <c:v>7</c:v>
                </c:pt>
                <c:pt idx="8">
                  <c:v>14</c:v>
                </c:pt>
                <c:pt idx="9">
                  <c:v>14</c:v>
                </c:pt>
                <c:pt idx="10">
                  <c:v>7</c:v>
                </c:pt>
                <c:pt idx="11">
                  <c:v>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EE7-484C-BD81-92E397547986}"/>
            </c:ext>
          </c:extLst>
        </c:ser>
        <c:ser>
          <c:idx val="7"/>
          <c:order val="7"/>
          <c:tx>
            <c:strRef>
              <c:f>'31.07 Jinja Road-Kira Road'!$Z$9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Road'!$Z$10:$Z$21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9</c:v>
                </c:pt>
                <c:pt idx="3">
                  <c:v>11</c:v>
                </c:pt>
                <c:pt idx="4">
                  <c:v>8</c:v>
                </c:pt>
                <c:pt idx="5">
                  <c:v>10</c:v>
                </c:pt>
                <c:pt idx="6">
                  <c:v>6</c:v>
                </c:pt>
                <c:pt idx="7">
                  <c:v>3</c:v>
                </c:pt>
                <c:pt idx="8">
                  <c:v>8</c:v>
                </c:pt>
                <c:pt idx="9">
                  <c:v>2</c:v>
                </c:pt>
                <c:pt idx="10">
                  <c:v>7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EE7-484C-BD81-92E397547986}"/>
            </c:ext>
          </c:extLst>
        </c:ser>
        <c:ser>
          <c:idx val="8"/>
          <c:order val="8"/>
          <c:tx>
            <c:strRef>
              <c:f>'31.07 Jinja Road-Kira Road'!$AA$9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Road'!$AA$10:$AA$21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4</c:v>
                </c:pt>
                <c:pt idx="9">
                  <c:v>0</c:v>
                </c:pt>
                <c:pt idx="10">
                  <c:v>1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EE7-484C-BD81-92E397547986}"/>
            </c:ext>
          </c:extLst>
        </c:ser>
        <c:ser>
          <c:idx val="9"/>
          <c:order val="9"/>
          <c:tx>
            <c:strRef>
              <c:f>'31.07 Jinja Road-Kira Road'!$AB$9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Road'!$AB$10:$AB$21</c:f>
              <c:numCache>
                <c:formatCode>0</c:formatCode>
                <c:ptCount val="12"/>
                <c:pt idx="0">
                  <c:v>2</c:v>
                </c:pt>
                <c:pt idx="1">
                  <c:v>5</c:v>
                </c:pt>
                <c:pt idx="2">
                  <c:v>4</c:v>
                </c:pt>
                <c:pt idx="3">
                  <c:v>4</c:v>
                </c:pt>
                <c:pt idx="4">
                  <c:v>5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4</c:v>
                </c:pt>
                <c:pt idx="10">
                  <c:v>2</c:v>
                </c:pt>
                <c:pt idx="11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EE7-484C-BD81-92E397547986}"/>
            </c:ext>
          </c:extLst>
        </c:ser>
        <c:ser>
          <c:idx val="10"/>
          <c:order val="10"/>
          <c:tx>
            <c:strRef>
              <c:f>'31.07 Jinja Road-Kira Road'!$AC$9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Road'!$AC$10:$AC$21</c:f>
              <c:numCache>
                <c:formatCode>0</c:formatCode>
                <c:ptCount val="12"/>
                <c:pt idx="0">
                  <c:v>634</c:v>
                </c:pt>
                <c:pt idx="1">
                  <c:v>992</c:v>
                </c:pt>
                <c:pt idx="2">
                  <c:v>656</c:v>
                </c:pt>
                <c:pt idx="3">
                  <c:v>730</c:v>
                </c:pt>
                <c:pt idx="4">
                  <c:v>767</c:v>
                </c:pt>
                <c:pt idx="5">
                  <c:v>560</c:v>
                </c:pt>
                <c:pt idx="6">
                  <c:v>686</c:v>
                </c:pt>
                <c:pt idx="7">
                  <c:v>453</c:v>
                </c:pt>
                <c:pt idx="8">
                  <c:v>880</c:v>
                </c:pt>
                <c:pt idx="9">
                  <c:v>647</c:v>
                </c:pt>
                <c:pt idx="10">
                  <c:v>945</c:v>
                </c:pt>
                <c:pt idx="11">
                  <c:v>488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EE7-484C-BD81-92E397547986}"/>
            </c:ext>
          </c:extLst>
        </c:ser>
        <c:ser>
          <c:idx val="11"/>
          <c:order val="11"/>
          <c:tx>
            <c:strRef>
              <c:f>'31.07 Jinja Road-Kira Road'!$AD$9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'31.07 Jinja Road-Kira Road'!$AD$10:$AD$21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EEE7-484C-BD81-92E3975479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9060864"/>
        <c:axId val="109062400"/>
      </c:lineChart>
      <c:catAx>
        <c:axId val="109060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062400"/>
        <c:crosses val="autoZero"/>
        <c:auto val="1"/>
        <c:lblAlgn val="ctr"/>
        <c:lblOffset val="100"/>
        <c:noMultiLvlLbl val="0"/>
      </c:catAx>
      <c:valAx>
        <c:axId val="109062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060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13E-4D2A-8551-63DD0883CC0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13E-4D2A-8551-63DD0883CC0B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13E-4D2A-8551-63DD0883CC0B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13E-4D2A-8551-63DD0883CC0B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13E-4D2A-8551-63DD0883CC0B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13E-4D2A-8551-63DD0883CC0B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13E-4D2A-8551-63DD0883CC0B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13E-4D2A-8551-63DD0883CC0B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13E-4D2A-8551-63DD0883CC0B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13E-4D2A-8551-63DD0883CC0B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13E-4D2A-8551-63DD0883CC0B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13E-4D2A-8551-63DD0883CC0B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13E-4D2A-8551-63DD0883CC0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Jinja 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Jinja Road-Kira Road'!$C$60:$N$60</c:f>
              <c:numCache>
                <c:formatCode>0.00%</c:formatCode>
                <c:ptCount val="12"/>
                <c:pt idx="0">
                  <c:v>0.56763520088975394</c:v>
                </c:pt>
                <c:pt idx="1">
                  <c:v>0.2923675795912693</c:v>
                </c:pt>
                <c:pt idx="2">
                  <c:v>7.6463228138467954E-2</c:v>
                </c:pt>
                <c:pt idx="3">
                  <c:v>2.5441401362435702E-2</c:v>
                </c:pt>
                <c:pt idx="4">
                  <c:v>1.5292645627693591E-3</c:v>
                </c:pt>
                <c:pt idx="5">
                  <c:v>2.7804810232170165E-4</c:v>
                </c:pt>
                <c:pt idx="6">
                  <c:v>1.8351174753232308E-2</c:v>
                </c:pt>
                <c:pt idx="7">
                  <c:v>1.0843875990546365E-2</c:v>
                </c:pt>
                <c:pt idx="8">
                  <c:v>1.8073126650910607E-3</c:v>
                </c:pt>
                <c:pt idx="9">
                  <c:v>5.1438898929514806E-3</c:v>
                </c:pt>
                <c:pt idx="11">
                  <c:v>1.3902405116085083E-4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13E-4D2A-8551-63DD0883CC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'31.07 Kira Road-Jinja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'31.07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Kira Road-Jinja Road'!$AE$10:$AE$21</c:f>
              <c:numCache>
                <c:formatCode>0</c:formatCode>
                <c:ptCount val="12"/>
                <c:pt idx="0">
                  <c:v>1169</c:v>
                </c:pt>
                <c:pt idx="1">
                  <c:v>1456</c:v>
                </c:pt>
                <c:pt idx="2">
                  <c:v>1501</c:v>
                </c:pt>
                <c:pt idx="3">
                  <c:v>1334</c:v>
                </c:pt>
                <c:pt idx="4">
                  <c:v>1302</c:v>
                </c:pt>
                <c:pt idx="5">
                  <c:v>1095</c:v>
                </c:pt>
                <c:pt idx="6">
                  <c:v>974</c:v>
                </c:pt>
                <c:pt idx="7">
                  <c:v>1103</c:v>
                </c:pt>
                <c:pt idx="8">
                  <c:v>988</c:v>
                </c:pt>
                <c:pt idx="9">
                  <c:v>978</c:v>
                </c:pt>
                <c:pt idx="10">
                  <c:v>1084</c:v>
                </c:pt>
                <c:pt idx="11">
                  <c:v>922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E57-4E01-B444-33D7FA1808CD}"/>
            </c:ext>
          </c:extLst>
        </c:ser>
        <c:ser>
          <c:idx val="1"/>
          <c:order val="1"/>
          <c:tx>
            <c:strRef>
              <c:f>'31.07 Kira Road-Jinja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'31.07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'31.07 Kira Road-Jinja Road'!$AF$10:$AF$21</c:f>
              <c:numCache>
                <c:formatCode>0</c:formatCode>
                <c:ptCount val="12"/>
                <c:pt idx="0">
                  <c:v>1901</c:v>
                </c:pt>
                <c:pt idx="1">
                  <c:v>2557</c:v>
                </c:pt>
                <c:pt idx="2">
                  <c:v>2392</c:v>
                </c:pt>
                <c:pt idx="3">
                  <c:v>2142</c:v>
                </c:pt>
                <c:pt idx="4">
                  <c:v>2189</c:v>
                </c:pt>
                <c:pt idx="5">
                  <c:v>1961</c:v>
                </c:pt>
                <c:pt idx="6">
                  <c:v>1738</c:v>
                </c:pt>
                <c:pt idx="7">
                  <c:v>1876</c:v>
                </c:pt>
                <c:pt idx="8">
                  <c:v>1916</c:v>
                </c:pt>
                <c:pt idx="9">
                  <c:v>1802</c:v>
                </c:pt>
                <c:pt idx="10">
                  <c:v>2021</c:v>
                </c:pt>
                <c:pt idx="11">
                  <c:v>1818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E57-4E01-B444-33D7FA1808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514752"/>
        <c:axId val="109516288"/>
      </c:lineChart>
      <c:catAx>
        <c:axId val="10951475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516288"/>
        <c:crosses val="autoZero"/>
        <c:auto val="1"/>
        <c:lblAlgn val="ctr"/>
        <c:lblOffset val="100"/>
        <c:noMultiLvlLbl val="0"/>
      </c:catAx>
      <c:valAx>
        <c:axId val="1095162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51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161-4E7D-9CEC-CABF73E743E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161-4E7D-9CEC-CABF73E743E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161-4E7D-9CEC-CABF73E743E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161-4E7D-9CEC-CABF73E743E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161-4E7D-9CEC-CABF73E743E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161-4E7D-9CEC-CABF73E743E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161-4E7D-9CEC-CABF73E743E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161-4E7D-9CEC-CABF73E743E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161-4E7D-9CEC-CABF73E743E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161-4E7D-9CEC-CABF73E743E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161-4E7D-9CEC-CABF73E743E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161-4E7D-9CEC-CABF73E743EC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161-4E7D-9CEC-CABF73E743E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Kira Road-Jinja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Kira Road-Jinja Road'!$C$59:$N$59</c:f>
              <c:numCache>
                <c:formatCode>0.0%</c:formatCode>
                <c:ptCount val="12"/>
                <c:pt idx="0">
                  <c:v>0.33225023649899232</c:v>
                </c:pt>
                <c:pt idx="1">
                  <c:v>0.14724632912433677</c:v>
                </c:pt>
                <c:pt idx="2">
                  <c:v>5.712993048986139E-2</c:v>
                </c:pt>
                <c:pt idx="3">
                  <c:v>1.5094805248221117E-2</c:v>
                </c:pt>
                <c:pt idx="4">
                  <c:v>7.8147493110681523E-4</c:v>
                </c:pt>
                <c:pt idx="5">
                  <c:v>1.2339077859581293E-4</c:v>
                </c:pt>
                <c:pt idx="6">
                  <c:v>1.3202813309751985E-2</c:v>
                </c:pt>
                <c:pt idx="7">
                  <c:v>4.3598075103853905E-3</c:v>
                </c:pt>
                <c:pt idx="8">
                  <c:v>1.3161683050220048E-3</c:v>
                </c:pt>
                <c:pt idx="9">
                  <c:v>4.5243285485131409E-4</c:v>
                </c:pt>
                <c:pt idx="10">
                  <c:v>0.42804261094887508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161-4E7D-9CEC-CABF73E743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E42-4CDD-86E3-A4C2F2E44AF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E42-4CDD-86E3-A4C2F2E44AF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E42-4CDD-86E3-A4C2F2E44AF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E42-4CDD-86E3-A4C2F2E44AF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E42-4CDD-86E3-A4C2F2E44AF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E42-4CDD-86E3-A4C2F2E44AF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E42-4CDD-86E3-A4C2F2E44AF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E42-4CDD-86E3-A4C2F2E44AF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E42-4CDD-86E3-A4C2F2E44AF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E42-4CDD-86E3-A4C2F2E44AF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E42-4CDD-86E3-A4C2F2E44AF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E42-4CDD-86E3-A4C2F2E44AF9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E42-4CDD-86E3-A4C2F2E44AF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'31.07 Kira Road-Jinja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'31.07 Kira Road-Jinja Road'!$C$60:$N$60</c:f>
              <c:numCache>
                <c:formatCode>0.00%</c:formatCode>
                <c:ptCount val="12"/>
                <c:pt idx="0">
                  <c:v>0.58090033079246373</c:v>
                </c:pt>
                <c:pt idx="1">
                  <c:v>0.25744283043290667</c:v>
                </c:pt>
                <c:pt idx="2">
                  <c:v>9.9884941751761824E-2</c:v>
                </c:pt>
                <c:pt idx="3">
                  <c:v>2.6391485689630376E-2</c:v>
                </c:pt>
                <c:pt idx="4">
                  <c:v>1.3663166978282756E-3</c:v>
                </c:pt>
                <c:pt idx="5">
                  <c:v>2.1573421544656982E-4</c:v>
                </c:pt>
                <c:pt idx="6">
                  <c:v>2.3083561052782971E-2</c:v>
                </c:pt>
                <c:pt idx="7">
                  <c:v>7.6226089457788002E-3</c:v>
                </c:pt>
                <c:pt idx="8">
                  <c:v>2.3011649647634116E-3</c:v>
                </c:pt>
                <c:pt idx="9">
                  <c:v>7.9102545663742275E-4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E42-4CDD-86E3-A4C2F2E44A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'1.08 Jinja Road-Kira Road-24h'!$AE$9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'1.08 Jinja Road-Kira 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'1.08 Jinja Road-Kira Road-24h'!$AE$10:$AE$33</c:f>
              <c:numCache>
                <c:formatCode>0</c:formatCode>
                <c:ptCount val="24"/>
                <c:pt idx="0">
                  <c:v>385</c:v>
                </c:pt>
                <c:pt idx="1">
                  <c:v>367</c:v>
                </c:pt>
                <c:pt idx="2">
                  <c:v>405</c:v>
                </c:pt>
                <c:pt idx="3">
                  <c:v>460</c:v>
                </c:pt>
                <c:pt idx="4">
                  <c:v>493</c:v>
                </c:pt>
                <c:pt idx="5">
                  <c:v>550</c:v>
                </c:pt>
                <c:pt idx="6">
                  <c:v>648</c:v>
                </c:pt>
                <c:pt idx="7">
                  <c:v>553</c:v>
                </c:pt>
                <c:pt idx="8">
                  <c:v>620</c:v>
                </c:pt>
                <c:pt idx="9">
                  <c:v>556</c:v>
                </c:pt>
                <c:pt idx="10">
                  <c:v>612</c:v>
                </c:pt>
                <c:pt idx="11">
                  <c:v>548</c:v>
                </c:pt>
                <c:pt idx="12">
                  <c:v>429</c:v>
                </c:pt>
                <c:pt idx="13">
                  <c:v>372</c:v>
                </c:pt>
                <c:pt idx="14">
                  <c:v>342</c:v>
                </c:pt>
                <c:pt idx="15">
                  <c:v>238</c:v>
                </c:pt>
                <c:pt idx="16">
                  <c:v>170</c:v>
                </c:pt>
                <c:pt idx="17">
                  <c:v>127</c:v>
                </c:pt>
                <c:pt idx="18">
                  <c:v>67</c:v>
                </c:pt>
                <c:pt idx="19">
                  <c:v>59</c:v>
                </c:pt>
                <c:pt idx="20">
                  <c:v>37</c:v>
                </c:pt>
                <c:pt idx="21">
                  <c:v>26</c:v>
                </c:pt>
                <c:pt idx="22">
                  <c:v>35</c:v>
                </c:pt>
                <c:pt idx="23">
                  <c:v>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FC2-4A7B-9B5C-FEA0112544F4}"/>
            </c:ext>
          </c:extLst>
        </c:ser>
        <c:ser>
          <c:idx val="1"/>
          <c:order val="1"/>
          <c:tx>
            <c:strRef>
              <c:f>'1.08 Jinja Road-Kira Road-24h'!$AF$9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'1.08 Jinja Road-Kira 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'1.08 Jinja Road-Kira Road-24h'!$AF$10:$AF$33</c:f>
              <c:numCache>
                <c:formatCode>0</c:formatCode>
                <c:ptCount val="24"/>
                <c:pt idx="0">
                  <c:v>1021</c:v>
                </c:pt>
                <c:pt idx="1">
                  <c:v>1242</c:v>
                </c:pt>
                <c:pt idx="2">
                  <c:v>1195</c:v>
                </c:pt>
                <c:pt idx="3">
                  <c:v>806</c:v>
                </c:pt>
                <c:pt idx="4">
                  <c:v>927</c:v>
                </c:pt>
                <c:pt idx="5">
                  <c:v>970</c:v>
                </c:pt>
                <c:pt idx="6">
                  <c:v>1188</c:v>
                </c:pt>
                <c:pt idx="7">
                  <c:v>1128</c:v>
                </c:pt>
                <c:pt idx="8">
                  <c:v>1210</c:v>
                </c:pt>
                <c:pt idx="9">
                  <c:v>1251</c:v>
                </c:pt>
                <c:pt idx="10">
                  <c:v>1362</c:v>
                </c:pt>
                <c:pt idx="11">
                  <c:v>1003</c:v>
                </c:pt>
                <c:pt idx="12">
                  <c:v>984</c:v>
                </c:pt>
                <c:pt idx="13">
                  <c:v>722</c:v>
                </c:pt>
                <c:pt idx="14">
                  <c:v>498</c:v>
                </c:pt>
                <c:pt idx="15">
                  <c:v>381</c:v>
                </c:pt>
                <c:pt idx="16">
                  <c:v>338</c:v>
                </c:pt>
                <c:pt idx="17">
                  <c:v>205</c:v>
                </c:pt>
                <c:pt idx="18">
                  <c:v>128</c:v>
                </c:pt>
                <c:pt idx="19">
                  <c:v>87</c:v>
                </c:pt>
                <c:pt idx="20">
                  <c:v>68</c:v>
                </c:pt>
                <c:pt idx="21">
                  <c:v>63</c:v>
                </c:pt>
                <c:pt idx="22">
                  <c:v>90</c:v>
                </c:pt>
                <c:pt idx="23">
                  <c:v>432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FC2-4A7B-9B5C-FEA0112544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959424"/>
        <c:axId val="109838336"/>
      </c:lineChart>
      <c:catAx>
        <c:axId val="109959424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838336"/>
        <c:crosses val="autoZero"/>
        <c:auto val="1"/>
        <c:lblAlgn val="ctr"/>
        <c:lblOffset val="100"/>
        <c:noMultiLvlLbl val="0"/>
      </c:catAx>
      <c:valAx>
        <c:axId val="10983833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959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3B-4B95-BFC1-AB46B6A1DAB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3B-4B95-BFC1-AB46B6A1DAB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43B-4B95-BFC1-AB46B6A1DAB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43B-4B95-BFC1-AB46B6A1DAB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43B-4B95-BFC1-AB46B6A1DAB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43B-4B95-BFC1-AB46B6A1DAB2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43B-4B95-BFC1-AB46B6A1DAB2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43B-4B95-BFC1-AB46B6A1DAB2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43B-4B95-BFC1-AB46B6A1DAB2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43B-4B95-BFC1-AB46B6A1DAB2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43B-4B95-BFC1-AB46B6A1DAB2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43B-4B95-BFC1-AB46B6A1DAB2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43B-4B95-BFC1-AB46B6A1DAB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'1.08 Jinja Road-Kira 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'1.08 Jinja Road-Kira Road-24h'!$C$107:$N$107</c:f>
              <c:numCache>
                <c:formatCode>0.0%</c:formatCode>
                <c:ptCount val="12"/>
                <c:pt idx="0">
                  <c:v>0.27163419850858433</c:v>
                </c:pt>
                <c:pt idx="1">
                  <c:v>0.15463321579282038</c:v>
                </c:pt>
                <c:pt idx="2">
                  <c:v>3.1909358922481069E-2</c:v>
                </c:pt>
                <c:pt idx="3">
                  <c:v>1.0809873403086884E-2</c:v>
                </c:pt>
                <c:pt idx="4">
                  <c:v>8.671021446326377E-4</c:v>
                </c:pt>
                <c:pt idx="5">
                  <c:v>2.8903404821087922E-4</c:v>
                </c:pt>
                <c:pt idx="6">
                  <c:v>5.8962945835019367E-3</c:v>
                </c:pt>
                <c:pt idx="7">
                  <c:v>4.2198971038788372E-3</c:v>
                </c:pt>
                <c:pt idx="8">
                  <c:v>8.0929533499046183E-4</c:v>
                </c:pt>
                <c:pt idx="9">
                  <c:v>9.2490895427481358E-4</c:v>
                </c:pt>
                <c:pt idx="10">
                  <c:v>0.5180068212035378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43B-4B95-BFC1-AB46B6A1DA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889-4F07-A028-107AA614C7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889-4F07-A028-107AA614C7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889-4F07-A028-107AA614C7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889-4F07-A028-107AA614C7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889-4F07-A028-107AA614C7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889-4F07-A028-107AA614C72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889-4F07-A028-107AA614C72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889-4F07-A028-107AA614C72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889-4F07-A028-107AA614C72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889-4F07-A028-107AA614C72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889-4F07-A028-107AA614C72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889-4F07-A028-107AA614C720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889-4F07-A028-107AA614C72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'1.08 Jinja Road-Kira 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'1.08 Jinja Road-Kira Road-24h'!$C$108:$N$108</c:f>
              <c:numCache>
                <c:formatCode>0.00%</c:formatCode>
                <c:ptCount val="12"/>
                <c:pt idx="0">
                  <c:v>0.56356440393379703</c:v>
                </c:pt>
                <c:pt idx="1">
                  <c:v>0.32082034060925879</c:v>
                </c:pt>
                <c:pt idx="2">
                  <c:v>6.6202926361237702E-2</c:v>
                </c:pt>
                <c:pt idx="3">
                  <c:v>2.2427440633245383E-2</c:v>
                </c:pt>
                <c:pt idx="4">
                  <c:v>1.798992564164068E-3</c:v>
                </c:pt>
                <c:pt idx="5">
                  <c:v>5.9966418805468941E-4</c:v>
                </c:pt>
                <c:pt idx="6">
                  <c:v>1.2233149436315663E-2</c:v>
                </c:pt>
                <c:pt idx="7">
                  <c:v>8.7550971455984655E-3</c:v>
                </c:pt>
                <c:pt idx="8">
                  <c:v>1.6790597265531303E-3</c:v>
                </c:pt>
                <c:pt idx="9">
                  <c:v>1.918925401775006E-3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889-4F07-A028-107AA614C7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'1.08 Kira Road-Jinja Road-24h'!$AE$9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'1.08 Kira Road-Jinja 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'1.08 Kira Road-Jinja Road-24h'!$AE$10:$AE$33</c:f>
              <c:numCache>
                <c:formatCode>0</c:formatCode>
                <c:ptCount val="24"/>
                <c:pt idx="0">
                  <c:v>602</c:v>
                </c:pt>
                <c:pt idx="1">
                  <c:v>668</c:v>
                </c:pt>
                <c:pt idx="2">
                  <c:v>706</c:v>
                </c:pt>
                <c:pt idx="3">
                  <c:v>573</c:v>
                </c:pt>
                <c:pt idx="4">
                  <c:v>666</c:v>
                </c:pt>
                <c:pt idx="5">
                  <c:v>637</c:v>
                </c:pt>
                <c:pt idx="6">
                  <c:v>681</c:v>
                </c:pt>
                <c:pt idx="7">
                  <c:v>713</c:v>
                </c:pt>
                <c:pt idx="8">
                  <c:v>657</c:v>
                </c:pt>
                <c:pt idx="9">
                  <c:v>652</c:v>
                </c:pt>
                <c:pt idx="10">
                  <c:v>667</c:v>
                </c:pt>
                <c:pt idx="11">
                  <c:v>722</c:v>
                </c:pt>
                <c:pt idx="12">
                  <c:v>556</c:v>
                </c:pt>
                <c:pt idx="13">
                  <c:v>608</c:v>
                </c:pt>
                <c:pt idx="14">
                  <c:v>407</c:v>
                </c:pt>
                <c:pt idx="15">
                  <c:v>340</c:v>
                </c:pt>
                <c:pt idx="16">
                  <c:v>271</c:v>
                </c:pt>
                <c:pt idx="17">
                  <c:v>160</c:v>
                </c:pt>
                <c:pt idx="18">
                  <c:v>107</c:v>
                </c:pt>
                <c:pt idx="19">
                  <c:v>61</c:v>
                </c:pt>
                <c:pt idx="20">
                  <c:v>62</c:v>
                </c:pt>
                <c:pt idx="21">
                  <c:v>49</c:v>
                </c:pt>
                <c:pt idx="22">
                  <c:v>69</c:v>
                </c:pt>
                <c:pt idx="23">
                  <c:v>383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D7C-43E4-8D98-AF01AC8ABB92}"/>
            </c:ext>
          </c:extLst>
        </c:ser>
        <c:ser>
          <c:idx val="1"/>
          <c:order val="1"/>
          <c:tx>
            <c:strRef>
              <c:f>'1.08 Kira Road-Jinja Road-24h'!$AF$9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'1.08 Kira Road-Jinja 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'1.08 Kira Road-Jinja Road-24h'!$AF$10:$AF$33</c:f>
              <c:numCache>
                <c:formatCode>0</c:formatCode>
                <c:ptCount val="24"/>
                <c:pt idx="0">
                  <c:v>1408</c:v>
                </c:pt>
                <c:pt idx="1">
                  <c:v>1655</c:v>
                </c:pt>
                <c:pt idx="2">
                  <c:v>1628</c:v>
                </c:pt>
                <c:pt idx="3">
                  <c:v>1401</c:v>
                </c:pt>
                <c:pt idx="4">
                  <c:v>1438</c:v>
                </c:pt>
                <c:pt idx="5">
                  <c:v>1486</c:v>
                </c:pt>
                <c:pt idx="6">
                  <c:v>1499</c:v>
                </c:pt>
                <c:pt idx="7">
                  <c:v>1506</c:v>
                </c:pt>
                <c:pt idx="8">
                  <c:v>1360</c:v>
                </c:pt>
                <c:pt idx="9">
                  <c:v>1419</c:v>
                </c:pt>
                <c:pt idx="10">
                  <c:v>1429</c:v>
                </c:pt>
                <c:pt idx="11">
                  <c:v>1438</c:v>
                </c:pt>
                <c:pt idx="12">
                  <c:v>1189</c:v>
                </c:pt>
                <c:pt idx="13">
                  <c:v>1149</c:v>
                </c:pt>
                <c:pt idx="14">
                  <c:v>713</c:v>
                </c:pt>
                <c:pt idx="15">
                  <c:v>536</c:v>
                </c:pt>
                <c:pt idx="16">
                  <c:v>479</c:v>
                </c:pt>
                <c:pt idx="17">
                  <c:v>288</c:v>
                </c:pt>
                <c:pt idx="18">
                  <c:v>161</c:v>
                </c:pt>
                <c:pt idx="19">
                  <c:v>110</c:v>
                </c:pt>
                <c:pt idx="20">
                  <c:v>96</c:v>
                </c:pt>
                <c:pt idx="21">
                  <c:v>99</c:v>
                </c:pt>
                <c:pt idx="22">
                  <c:v>147</c:v>
                </c:pt>
                <c:pt idx="23">
                  <c:v>630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D7C-43E4-8D98-AF01AC8ABB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238720"/>
        <c:axId val="110244992"/>
      </c:lineChart>
      <c:catAx>
        <c:axId val="11023872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244992"/>
        <c:crosses val="autoZero"/>
        <c:auto val="1"/>
        <c:lblAlgn val="ctr"/>
        <c:lblOffset val="100"/>
        <c:noMultiLvlLbl val="0"/>
      </c:catAx>
      <c:valAx>
        <c:axId val="11024499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2387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533-467E-9052-E80B684A022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533-467E-9052-E80B684A022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533-467E-9052-E80B684A022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533-467E-9052-E80B684A022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533-467E-9052-E80B684A022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B533-467E-9052-E80B684A022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B533-467E-9052-E80B684A022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B533-467E-9052-E80B684A022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B533-467E-9052-E80B684A022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B533-467E-9052-E80B684A022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B533-467E-9052-E80B684A022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B533-467E-9052-E80B684A022A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B533-467E-9052-E80B684A022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'1.08 Kira Road-Jinja 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'1.08 Kira Road-Jinja Road-24h'!$C$107:$N$107</c:f>
              <c:numCache>
                <c:formatCode>0.0%</c:formatCode>
                <c:ptCount val="12"/>
                <c:pt idx="0">
                  <c:v>0.33231602475928473</c:v>
                </c:pt>
                <c:pt idx="1">
                  <c:v>6.3316712517193952E-2</c:v>
                </c:pt>
                <c:pt idx="2">
                  <c:v>2.9014786795048143E-2</c:v>
                </c:pt>
                <c:pt idx="3">
                  <c:v>2.6048830811554333E-2</c:v>
                </c:pt>
                <c:pt idx="4">
                  <c:v>9.0268225584594223E-4</c:v>
                </c:pt>
                <c:pt idx="5">
                  <c:v>2.1492434662998623E-4</c:v>
                </c:pt>
                <c:pt idx="6">
                  <c:v>1.6377235213204951E-2</c:v>
                </c:pt>
                <c:pt idx="7">
                  <c:v>3.6537138927097662E-3</c:v>
                </c:pt>
                <c:pt idx="8">
                  <c:v>1.203576341127923E-3</c:v>
                </c:pt>
                <c:pt idx="9">
                  <c:v>5.1581843191196694E-4</c:v>
                </c:pt>
                <c:pt idx="10">
                  <c:v>0.52643569463548834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B533-467E-9052-E80B684A02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529-4064-B18B-726F86F6119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529-4064-B18B-726F86F6119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529-4064-B18B-726F86F6119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529-4064-B18B-726F86F6119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529-4064-B18B-726F86F6119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529-4064-B18B-726F86F6119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529-4064-B18B-726F86F6119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529-4064-B18B-726F86F6119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529-4064-B18B-726F86F6119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529-4064-B18B-726F86F6119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529-4064-B18B-726F86F6119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529-4064-B18B-726F86F6119F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529-4064-B18B-726F86F6119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'1.08 Kira Road-Jinja 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'1.08 Kira Road-Jinja Road-24h'!$C$108:$N$108</c:f>
              <c:numCache>
                <c:formatCode>0.00%</c:formatCode>
                <c:ptCount val="12"/>
                <c:pt idx="0">
                  <c:v>0.70173368430607241</c:v>
                </c:pt>
                <c:pt idx="1">
                  <c:v>0.13370245983480075</c:v>
                </c:pt>
                <c:pt idx="2">
                  <c:v>6.1268947989470815E-2</c:v>
                </c:pt>
                <c:pt idx="3">
                  <c:v>5.5005899972769355E-2</c:v>
                </c:pt>
                <c:pt idx="4">
                  <c:v>1.9061450485613144E-3</c:v>
                </c:pt>
                <c:pt idx="5">
                  <c:v>4.5384405918126532E-4</c:v>
                </c:pt>
                <c:pt idx="6">
                  <c:v>3.4582917309612417E-2</c:v>
                </c:pt>
                <c:pt idx="7">
                  <c:v>7.7153490060815101E-3</c:v>
                </c:pt>
                <c:pt idx="8">
                  <c:v>2.5415267314150857E-3</c:v>
                </c:pt>
                <c:pt idx="9">
                  <c:v>1.0892257420350368E-3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529-4064-B18B-726F86F61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'2.08 Jinja road-Kira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'2.08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Jinja road-Kira road'!$AE$10:$AE$21</c:f>
              <c:numCache>
                <c:formatCode>0</c:formatCode>
                <c:ptCount val="12"/>
                <c:pt idx="0">
                  <c:v>406</c:v>
                </c:pt>
                <c:pt idx="1">
                  <c:v>505</c:v>
                </c:pt>
                <c:pt idx="2">
                  <c:v>629</c:v>
                </c:pt>
                <c:pt idx="3">
                  <c:v>557</c:v>
                </c:pt>
                <c:pt idx="4">
                  <c:v>474</c:v>
                </c:pt>
                <c:pt idx="5">
                  <c:v>616</c:v>
                </c:pt>
                <c:pt idx="6">
                  <c:v>452</c:v>
                </c:pt>
                <c:pt idx="7">
                  <c:v>516</c:v>
                </c:pt>
                <c:pt idx="8">
                  <c:v>487</c:v>
                </c:pt>
                <c:pt idx="9">
                  <c:v>728</c:v>
                </c:pt>
                <c:pt idx="10">
                  <c:v>889</c:v>
                </c:pt>
                <c:pt idx="11">
                  <c:v>889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C61-4EFF-B3FE-B7ED65A6BB38}"/>
            </c:ext>
          </c:extLst>
        </c:ser>
        <c:ser>
          <c:idx val="1"/>
          <c:order val="1"/>
          <c:tx>
            <c:strRef>
              <c:f>'2.08 Jinja road-Kira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'2.08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Jinja road-Kira road'!$AF$10:$AF$21</c:f>
              <c:numCache>
                <c:formatCode>0</c:formatCode>
                <c:ptCount val="12"/>
                <c:pt idx="0">
                  <c:v>701</c:v>
                </c:pt>
                <c:pt idx="1">
                  <c:v>912</c:v>
                </c:pt>
                <c:pt idx="2">
                  <c:v>975</c:v>
                </c:pt>
                <c:pt idx="3">
                  <c:v>883</c:v>
                </c:pt>
                <c:pt idx="4">
                  <c:v>795</c:v>
                </c:pt>
                <c:pt idx="5">
                  <c:v>971</c:v>
                </c:pt>
                <c:pt idx="6">
                  <c:v>787</c:v>
                </c:pt>
                <c:pt idx="7">
                  <c:v>886</c:v>
                </c:pt>
                <c:pt idx="8">
                  <c:v>882</c:v>
                </c:pt>
                <c:pt idx="9">
                  <c:v>1343</c:v>
                </c:pt>
                <c:pt idx="10">
                  <c:v>1384</c:v>
                </c:pt>
                <c:pt idx="11">
                  <c:v>1354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C61-4EFF-B3FE-B7ED65A6BB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0510080"/>
        <c:axId val="110512000"/>
      </c:lineChart>
      <c:catAx>
        <c:axId val="11051008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512000"/>
        <c:crosses val="autoZero"/>
        <c:auto val="1"/>
        <c:lblAlgn val="ctr"/>
        <c:lblOffset val="100"/>
        <c:noMultiLvlLbl val="0"/>
      </c:catAx>
      <c:valAx>
        <c:axId val="11051200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510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385-42DE-9260-DCACDBA6D28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385-42DE-9260-DCACDBA6D28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385-42DE-9260-DCACDBA6D28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385-42DE-9260-DCACDBA6D28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385-42DE-9260-DCACDBA6D28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385-42DE-9260-DCACDBA6D289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85-42DE-9260-DCACDBA6D289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385-42DE-9260-DCACDBA6D289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385-42DE-9260-DCACDBA6D289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385-42DE-9260-DCACDBA6D289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385-42DE-9260-DCACDBA6D289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385-42DE-9260-DCACDBA6D289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385-42DE-9260-DCACDBA6D28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Jinja 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Jinja road-Kira road'!$C$59:$N$59</c:f>
              <c:numCache>
                <c:formatCode>0.0%</c:formatCode>
                <c:ptCount val="12"/>
                <c:pt idx="0">
                  <c:v>0.26631853785900783</c:v>
                </c:pt>
                <c:pt idx="1">
                  <c:v>0.26833993093573655</c:v>
                </c:pt>
                <c:pt idx="2">
                  <c:v>3.5374378842752463E-2</c:v>
                </c:pt>
                <c:pt idx="3">
                  <c:v>1.1286111345068644E-2</c:v>
                </c:pt>
                <c:pt idx="4">
                  <c:v>1.347595384485808E-3</c:v>
                </c:pt>
                <c:pt idx="5">
                  <c:v>1.0949212498947191E-3</c:v>
                </c:pt>
                <c:pt idx="6">
                  <c:v>1.0528088941295376E-2</c:v>
                </c:pt>
                <c:pt idx="7">
                  <c:v>5.9799545186557737E-3</c:v>
                </c:pt>
                <c:pt idx="8">
                  <c:v>1.347595384485808E-3</c:v>
                </c:pt>
                <c:pt idx="9">
                  <c:v>4.2112355765181505E-4</c:v>
                </c:pt>
                <c:pt idx="10">
                  <c:v>0.39796176198096522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385-42DE-9260-DCACDBA6D2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'2.08 Jinja road-Kira road'!$S$9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'2.08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Jinja road-Kira road'!$S$10:$S$21</c:f>
              <c:numCache>
                <c:formatCode>0</c:formatCode>
                <c:ptCount val="12"/>
                <c:pt idx="0">
                  <c:v>200</c:v>
                </c:pt>
                <c:pt idx="1">
                  <c:v>246</c:v>
                </c:pt>
                <c:pt idx="2">
                  <c:v>235</c:v>
                </c:pt>
                <c:pt idx="3">
                  <c:v>196</c:v>
                </c:pt>
                <c:pt idx="4">
                  <c:v>220</c:v>
                </c:pt>
                <c:pt idx="5">
                  <c:v>230</c:v>
                </c:pt>
                <c:pt idx="6">
                  <c:v>191</c:v>
                </c:pt>
                <c:pt idx="7">
                  <c:v>277</c:v>
                </c:pt>
                <c:pt idx="8">
                  <c:v>218</c:v>
                </c:pt>
                <c:pt idx="9">
                  <c:v>364</c:v>
                </c:pt>
                <c:pt idx="10">
                  <c:v>415</c:v>
                </c:pt>
                <c:pt idx="11">
                  <c:v>370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F565-49B4-8ABB-8A67B7CF0463}"/>
            </c:ext>
          </c:extLst>
        </c:ser>
        <c:ser>
          <c:idx val="1"/>
          <c:order val="1"/>
          <c:tx>
            <c:strRef>
              <c:f>'2.08 Jinja road-Kira road'!$T$9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'2.08 Jinja road-Kira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Jinja road-Kira road'!$T$10:$T$21</c:f>
              <c:numCache>
                <c:formatCode>0</c:formatCode>
                <c:ptCount val="12"/>
                <c:pt idx="0">
                  <c:v>170</c:v>
                </c:pt>
                <c:pt idx="1">
                  <c:v>200</c:v>
                </c:pt>
                <c:pt idx="2">
                  <c:v>331</c:v>
                </c:pt>
                <c:pt idx="3">
                  <c:v>275</c:v>
                </c:pt>
                <c:pt idx="4">
                  <c:v>196</c:v>
                </c:pt>
                <c:pt idx="5">
                  <c:v>275</c:v>
                </c:pt>
                <c:pt idx="6">
                  <c:v>190</c:v>
                </c:pt>
                <c:pt idx="7">
                  <c:v>200</c:v>
                </c:pt>
                <c:pt idx="8">
                  <c:v>215</c:v>
                </c:pt>
                <c:pt idx="9">
                  <c:v>281</c:v>
                </c:pt>
                <c:pt idx="10">
                  <c:v>406</c:v>
                </c:pt>
                <c:pt idx="11">
                  <c:v>447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F565-49B4-8ABB-8A67B7CF0463}"/>
            </c:ext>
          </c:extLst>
        </c:ser>
        <c:ser>
          <c:idx val="2"/>
          <c:order val="2"/>
          <c:tx>
            <c:strRef>
              <c:f>'2.08 Jinja road-Kira road'!$U$9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road'!$U$10:$U$21</c:f>
              <c:numCache>
                <c:formatCode>0</c:formatCode>
                <c:ptCount val="12"/>
                <c:pt idx="0">
                  <c:v>23</c:v>
                </c:pt>
                <c:pt idx="1">
                  <c:v>34</c:v>
                </c:pt>
                <c:pt idx="2">
                  <c:v>27</c:v>
                </c:pt>
                <c:pt idx="3">
                  <c:v>46</c:v>
                </c:pt>
                <c:pt idx="4">
                  <c:v>34</c:v>
                </c:pt>
                <c:pt idx="5">
                  <c:v>55</c:v>
                </c:pt>
                <c:pt idx="6">
                  <c:v>39</c:v>
                </c:pt>
                <c:pt idx="7">
                  <c:v>18</c:v>
                </c:pt>
                <c:pt idx="8">
                  <c:v>28</c:v>
                </c:pt>
                <c:pt idx="9">
                  <c:v>42</c:v>
                </c:pt>
                <c:pt idx="10">
                  <c:v>42</c:v>
                </c:pt>
                <c:pt idx="11">
                  <c:v>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65-49B4-8ABB-8A67B7CF0463}"/>
            </c:ext>
          </c:extLst>
        </c:ser>
        <c:ser>
          <c:idx val="3"/>
          <c:order val="3"/>
          <c:tx>
            <c:strRef>
              <c:f>'2.08 Jinja road-Kira road'!$V$9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road'!$V$10:$V$21</c:f>
              <c:numCache>
                <c:formatCode>0</c:formatCode>
                <c:ptCount val="12"/>
                <c:pt idx="0">
                  <c:v>6</c:v>
                </c:pt>
                <c:pt idx="1">
                  <c:v>13</c:v>
                </c:pt>
                <c:pt idx="2">
                  <c:v>12</c:v>
                </c:pt>
                <c:pt idx="3">
                  <c:v>15</c:v>
                </c:pt>
                <c:pt idx="4">
                  <c:v>6</c:v>
                </c:pt>
                <c:pt idx="5">
                  <c:v>15</c:v>
                </c:pt>
                <c:pt idx="6">
                  <c:v>8</c:v>
                </c:pt>
                <c:pt idx="7">
                  <c:v>8</c:v>
                </c:pt>
                <c:pt idx="8">
                  <c:v>8</c:v>
                </c:pt>
                <c:pt idx="9">
                  <c:v>17</c:v>
                </c:pt>
                <c:pt idx="10">
                  <c:v>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565-49B4-8ABB-8A67B7CF0463}"/>
            </c:ext>
          </c:extLst>
        </c:ser>
        <c:ser>
          <c:idx val="4"/>
          <c:order val="4"/>
          <c:tx>
            <c:strRef>
              <c:f>'2.08 Jinja road-Kira road'!$W$9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1</c:v>
                </c:pt>
                <c:pt idx="5">
                  <c:v>2</c:v>
                </c:pt>
                <c:pt idx="6">
                  <c:v>3</c:v>
                </c:pt>
                <c:pt idx="7">
                  <c:v>0</c:v>
                </c:pt>
                <c:pt idx="8">
                  <c:v>2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565-49B4-8ABB-8A67B7CF0463}"/>
            </c:ext>
          </c:extLst>
        </c:ser>
        <c:ser>
          <c:idx val="5"/>
          <c:order val="5"/>
          <c:tx>
            <c:strRef>
              <c:f>'2.08 Jinja road-Kira road'!$X$9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road'!$X$10:$X$21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565-49B4-8ABB-8A67B7CF0463}"/>
            </c:ext>
          </c:extLst>
        </c:ser>
        <c:ser>
          <c:idx val="6"/>
          <c:order val="6"/>
          <c:tx>
            <c:strRef>
              <c:f>'2.08 Jinja road-Kira road'!$Y$9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road'!$Y$10:$Y$21</c:f>
              <c:numCache>
                <c:formatCode>0</c:formatCode>
                <c:ptCount val="12"/>
                <c:pt idx="0">
                  <c:v>2</c:v>
                </c:pt>
                <c:pt idx="1">
                  <c:v>7</c:v>
                </c:pt>
                <c:pt idx="2">
                  <c:v>15</c:v>
                </c:pt>
                <c:pt idx="3">
                  <c:v>10</c:v>
                </c:pt>
                <c:pt idx="4">
                  <c:v>13</c:v>
                </c:pt>
                <c:pt idx="5">
                  <c:v>16</c:v>
                </c:pt>
                <c:pt idx="6">
                  <c:v>14</c:v>
                </c:pt>
                <c:pt idx="7">
                  <c:v>5</c:v>
                </c:pt>
                <c:pt idx="8">
                  <c:v>7</c:v>
                </c:pt>
                <c:pt idx="9">
                  <c:v>10</c:v>
                </c:pt>
                <c:pt idx="10">
                  <c:v>8</c:v>
                </c:pt>
                <c:pt idx="11">
                  <c:v>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565-49B4-8ABB-8A67B7CF0463}"/>
            </c:ext>
          </c:extLst>
        </c:ser>
        <c:ser>
          <c:idx val="7"/>
          <c:order val="7"/>
          <c:tx>
            <c:strRef>
              <c:f>'2.08 Jinja road-Kira road'!$Z$9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road'!$Z$10:$Z$21</c:f>
              <c:numCache>
                <c:formatCode>0</c:formatCode>
                <c:ptCount val="12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9</c:v>
                </c:pt>
                <c:pt idx="4">
                  <c:v>3</c:v>
                </c:pt>
                <c:pt idx="5">
                  <c:v>11</c:v>
                </c:pt>
                <c:pt idx="6">
                  <c:v>4</c:v>
                </c:pt>
                <c:pt idx="7">
                  <c:v>6</c:v>
                </c:pt>
                <c:pt idx="8">
                  <c:v>8</c:v>
                </c:pt>
                <c:pt idx="9">
                  <c:v>12</c:v>
                </c:pt>
                <c:pt idx="10">
                  <c:v>7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565-49B4-8ABB-8A67B7CF0463}"/>
            </c:ext>
          </c:extLst>
        </c:ser>
        <c:ser>
          <c:idx val="8"/>
          <c:order val="8"/>
          <c:tx>
            <c:strRef>
              <c:f>'2.08 Jinja road-Kira road'!$AA$9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10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F565-49B4-8ABB-8A67B7CF0463}"/>
            </c:ext>
          </c:extLst>
        </c:ser>
        <c:ser>
          <c:idx val="9"/>
          <c:order val="9"/>
          <c:tx>
            <c:strRef>
              <c:f>'2.08 Jinja road-Kira road'!$AB$9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F565-49B4-8ABB-8A67B7CF0463}"/>
            </c:ext>
          </c:extLst>
        </c:ser>
        <c:ser>
          <c:idx val="10"/>
          <c:order val="10"/>
          <c:tx>
            <c:strRef>
              <c:f>'2.08 Jinja road-Kira road'!$AC$9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road'!$AC$10:$AC$21</c:f>
              <c:numCache>
                <c:formatCode>0</c:formatCode>
                <c:ptCount val="12"/>
                <c:pt idx="0">
                  <c:v>295</c:v>
                </c:pt>
                <c:pt idx="1">
                  <c:v>407</c:v>
                </c:pt>
                <c:pt idx="2">
                  <c:v>346</c:v>
                </c:pt>
                <c:pt idx="3">
                  <c:v>326</c:v>
                </c:pt>
                <c:pt idx="4">
                  <c:v>321</c:v>
                </c:pt>
                <c:pt idx="5">
                  <c:v>355</c:v>
                </c:pt>
                <c:pt idx="6">
                  <c:v>335</c:v>
                </c:pt>
                <c:pt idx="7">
                  <c:v>370</c:v>
                </c:pt>
                <c:pt idx="8">
                  <c:v>395</c:v>
                </c:pt>
                <c:pt idx="9">
                  <c:v>615</c:v>
                </c:pt>
                <c:pt idx="10">
                  <c:v>495</c:v>
                </c:pt>
                <c:pt idx="11">
                  <c:v>465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565-49B4-8ABB-8A67B7CF0463}"/>
            </c:ext>
          </c:extLst>
        </c:ser>
        <c:ser>
          <c:idx val="11"/>
          <c:order val="11"/>
          <c:tx>
            <c:strRef>
              <c:f>'2.08 Jinja road-Kira road'!$AD$9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Jinja road-Kira road'!$AD$10:$AD$21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565-49B4-8ABB-8A67B7CF04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564864"/>
        <c:axId val="110566400"/>
      </c:lineChart>
      <c:catAx>
        <c:axId val="1105648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566400"/>
        <c:crosses val="autoZero"/>
        <c:auto val="1"/>
        <c:lblAlgn val="ctr"/>
        <c:lblOffset val="100"/>
        <c:noMultiLvlLbl val="0"/>
      </c:catAx>
      <c:valAx>
        <c:axId val="110566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0564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7C5-4DCE-BEC7-0690C330694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F7C5-4DCE-BEC7-0690C330694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F7C5-4DCE-BEC7-0690C330694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F7C5-4DCE-BEC7-0690C330694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F7C5-4DCE-BEC7-0690C330694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F7C5-4DCE-BEC7-0690C330694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F7C5-4DCE-BEC7-0690C330694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F7C5-4DCE-BEC7-0690C330694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F7C5-4DCE-BEC7-0690C330694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F7C5-4DCE-BEC7-0690C330694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F7C5-4DCE-BEC7-0690C330694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F7C5-4DCE-BEC7-0690C330694A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F7C5-4DCE-BEC7-0690C330694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Jinja road-Kira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Jinja road-Kira road'!$C$60:$N$60</c:f>
              <c:numCache>
                <c:formatCode>0.00%</c:formatCode>
                <c:ptCount val="12"/>
                <c:pt idx="0">
                  <c:v>0.44236149972020145</c:v>
                </c:pt>
                <c:pt idx="1">
                  <c:v>0.44571908226077223</c:v>
                </c:pt>
                <c:pt idx="2">
                  <c:v>5.875769445998881E-2</c:v>
                </c:pt>
                <c:pt idx="3">
                  <c:v>1.8746502518186905E-2</c:v>
                </c:pt>
                <c:pt idx="4">
                  <c:v>2.2383883603805262E-3</c:v>
                </c:pt>
                <c:pt idx="5">
                  <c:v>1.8186905428091774E-3</c:v>
                </c:pt>
                <c:pt idx="6">
                  <c:v>1.7487409065472859E-2</c:v>
                </c:pt>
                <c:pt idx="7">
                  <c:v>9.9328483491885836E-3</c:v>
                </c:pt>
                <c:pt idx="8">
                  <c:v>2.2383883603805262E-3</c:v>
                </c:pt>
                <c:pt idx="9">
                  <c:v>6.9949636261891436E-4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F7C5-4DCE-BEC7-0690C33069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'2.08 Kira Road-Jinja 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'2.08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Kira Road-Jinja road'!$AE$10:$AE$21</c:f>
              <c:numCache>
                <c:formatCode>0</c:formatCode>
                <c:ptCount val="12"/>
                <c:pt idx="0">
                  <c:v>588</c:v>
                </c:pt>
                <c:pt idx="1">
                  <c:v>691</c:v>
                </c:pt>
                <c:pt idx="2">
                  <c:v>709</c:v>
                </c:pt>
                <c:pt idx="3">
                  <c:v>734</c:v>
                </c:pt>
                <c:pt idx="4">
                  <c:v>677</c:v>
                </c:pt>
                <c:pt idx="5">
                  <c:v>733</c:v>
                </c:pt>
                <c:pt idx="6">
                  <c:v>674</c:v>
                </c:pt>
                <c:pt idx="7">
                  <c:v>794</c:v>
                </c:pt>
                <c:pt idx="8">
                  <c:v>823</c:v>
                </c:pt>
                <c:pt idx="9">
                  <c:v>684</c:v>
                </c:pt>
                <c:pt idx="10">
                  <c:v>744</c:v>
                </c:pt>
                <c:pt idx="11">
                  <c:v>758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463-4278-A5CC-74015684B17F}"/>
            </c:ext>
          </c:extLst>
        </c:ser>
        <c:ser>
          <c:idx val="1"/>
          <c:order val="1"/>
          <c:tx>
            <c:strRef>
              <c:f>'2.08 Kira Road-Jinja 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'2.08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Kira Road-Jinja road'!$AF$10:$AF$21</c:f>
              <c:numCache>
                <c:formatCode>0</c:formatCode>
                <c:ptCount val="12"/>
                <c:pt idx="0">
                  <c:v>1217</c:v>
                </c:pt>
                <c:pt idx="1">
                  <c:v>1702</c:v>
                </c:pt>
                <c:pt idx="2">
                  <c:v>1506</c:v>
                </c:pt>
                <c:pt idx="3">
                  <c:v>1537</c:v>
                </c:pt>
                <c:pt idx="4">
                  <c:v>1573</c:v>
                </c:pt>
                <c:pt idx="5">
                  <c:v>1547</c:v>
                </c:pt>
                <c:pt idx="6">
                  <c:v>1346</c:v>
                </c:pt>
                <c:pt idx="7">
                  <c:v>1486</c:v>
                </c:pt>
                <c:pt idx="8">
                  <c:v>1645</c:v>
                </c:pt>
                <c:pt idx="9">
                  <c:v>1381</c:v>
                </c:pt>
                <c:pt idx="10">
                  <c:v>1557</c:v>
                </c:pt>
                <c:pt idx="11">
                  <c:v>1568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463-4278-A5CC-74015684B1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09203840"/>
        <c:axId val="109205376"/>
      </c:lineChart>
      <c:catAx>
        <c:axId val="1092038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205376"/>
        <c:crosses val="autoZero"/>
        <c:auto val="1"/>
        <c:lblAlgn val="ctr"/>
        <c:lblOffset val="100"/>
        <c:noMultiLvlLbl val="0"/>
      </c:catAx>
      <c:valAx>
        <c:axId val="109205376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09203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838-4AD2-B02D-63FE1AB93A1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838-4AD2-B02D-63FE1AB93A14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838-4AD2-B02D-63FE1AB93A14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838-4AD2-B02D-63FE1AB93A14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838-4AD2-B02D-63FE1AB93A14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838-4AD2-B02D-63FE1AB93A14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838-4AD2-B02D-63FE1AB93A14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838-4AD2-B02D-63FE1AB93A14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838-4AD2-B02D-63FE1AB93A14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838-4AD2-B02D-63FE1AB93A14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838-4AD2-B02D-63FE1AB93A14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838-4AD2-B02D-63FE1AB93A14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838-4AD2-B02D-63FE1AB93A1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Kira Road-Jinja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Kira Road-Jinja road'!$C$59:$N$59</c:f>
              <c:numCache>
                <c:formatCode>0.0%</c:formatCode>
                <c:ptCount val="12"/>
                <c:pt idx="0">
                  <c:v>0.32842513146969277</c:v>
                </c:pt>
                <c:pt idx="1">
                  <c:v>6.0614447827290342E-2</c:v>
                </c:pt>
                <c:pt idx="2">
                  <c:v>3.5095488513700528E-2</c:v>
                </c:pt>
                <c:pt idx="3">
                  <c:v>2.7567118737890948E-2</c:v>
                </c:pt>
                <c:pt idx="4">
                  <c:v>3.874896208137282E-4</c:v>
                </c:pt>
                <c:pt idx="5">
                  <c:v>2.2142264046498756E-4</c:v>
                </c:pt>
                <c:pt idx="6">
                  <c:v>1.68834763354553E-2</c:v>
                </c:pt>
                <c:pt idx="7">
                  <c:v>5.424854691392195E-3</c:v>
                </c:pt>
                <c:pt idx="8">
                  <c:v>1.439247163022419E-3</c:v>
                </c:pt>
                <c:pt idx="9">
                  <c:v>4.9820094104622193E-4</c:v>
                </c:pt>
                <c:pt idx="10">
                  <c:v>0.5234431220592306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838-4AD2-B02D-63FE1AB93A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'2.08 Kira Road-Jinja road'!$S$9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'2.08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Kira Road-Jinja road'!$S$10:$S$21</c:f>
              <c:numCache>
                <c:formatCode>0</c:formatCode>
                <c:ptCount val="12"/>
                <c:pt idx="0">
                  <c:v>425</c:v>
                </c:pt>
                <c:pt idx="1">
                  <c:v>504</c:v>
                </c:pt>
                <c:pt idx="2">
                  <c:v>465</c:v>
                </c:pt>
                <c:pt idx="3">
                  <c:v>476</c:v>
                </c:pt>
                <c:pt idx="4">
                  <c:v>466</c:v>
                </c:pt>
                <c:pt idx="5">
                  <c:v>521</c:v>
                </c:pt>
                <c:pt idx="6">
                  <c:v>468</c:v>
                </c:pt>
                <c:pt idx="7">
                  <c:v>538</c:v>
                </c:pt>
                <c:pt idx="8">
                  <c:v>533</c:v>
                </c:pt>
                <c:pt idx="9">
                  <c:v>455</c:v>
                </c:pt>
                <c:pt idx="10">
                  <c:v>536</c:v>
                </c:pt>
                <c:pt idx="11">
                  <c:v>546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ACD-4E4E-9939-9E943A18B54F}"/>
            </c:ext>
          </c:extLst>
        </c:ser>
        <c:ser>
          <c:idx val="1"/>
          <c:order val="1"/>
          <c:tx>
            <c:strRef>
              <c:f>'2.08 Kira Road-Jinja road'!$T$9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'2.08 Kira Road-Jinja 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'2.08 Kira Road-Jinja road'!$T$10:$T$21</c:f>
              <c:numCache>
                <c:formatCode>0</c:formatCode>
                <c:ptCount val="12"/>
                <c:pt idx="0">
                  <c:v>72</c:v>
                </c:pt>
                <c:pt idx="1">
                  <c:v>72</c:v>
                </c:pt>
                <c:pt idx="2">
                  <c:v>103</c:v>
                </c:pt>
                <c:pt idx="3">
                  <c:v>95</c:v>
                </c:pt>
                <c:pt idx="4">
                  <c:v>96</c:v>
                </c:pt>
                <c:pt idx="5">
                  <c:v>80</c:v>
                </c:pt>
                <c:pt idx="6">
                  <c:v>80</c:v>
                </c:pt>
                <c:pt idx="7">
                  <c:v>117</c:v>
                </c:pt>
                <c:pt idx="8">
                  <c:v>105</c:v>
                </c:pt>
                <c:pt idx="9">
                  <c:v>93</c:v>
                </c:pt>
                <c:pt idx="10">
                  <c:v>96</c:v>
                </c:pt>
                <c:pt idx="11">
                  <c:v>86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ACD-4E4E-9939-9E943A18B54F}"/>
            </c:ext>
          </c:extLst>
        </c:ser>
        <c:ser>
          <c:idx val="2"/>
          <c:order val="2"/>
          <c:tx>
            <c:strRef>
              <c:f>'2.08 Kira Road-Jinja road'!$U$9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road'!$U$10:$U$21</c:f>
              <c:numCache>
                <c:formatCode>0</c:formatCode>
                <c:ptCount val="12"/>
                <c:pt idx="0">
                  <c:v>36</c:v>
                </c:pt>
                <c:pt idx="1">
                  <c:v>48</c:v>
                </c:pt>
                <c:pt idx="2">
                  <c:v>53</c:v>
                </c:pt>
                <c:pt idx="3">
                  <c:v>56</c:v>
                </c:pt>
                <c:pt idx="4">
                  <c:v>54</c:v>
                </c:pt>
                <c:pt idx="5">
                  <c:v>58</c:v>
                </c:pt>
                <c:pt idx="6">
                  <c:v>54</c:v>
                </c:pt>
                <c:pt idx="7">
                  <c:v>67</c:v>
                </c:pt>
                <c:pt idx="8">
                  <c:v>78</c:v>
                </c:pt>
                <c:pt idx="9">
                  <c:v>49</c:v>
                </c:pt>
                <c:pt idx="10">
                  <c:v>38</c:v>
                </c:pt>
                <c:pt idx="11">
                  <c:v>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ACD-4E4E-9939-9E943A18B54F}"/>
            </c:ext>
          </c:extLst>
        </c:ser>
        <c:ser>
          <c:idx val="3"/>
          <c:order val="3"/>
          <c:tx>
            <c:strRef>
              <c:f>'2.08 Kira Road-Jinja road'!$V$9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road'!$V$10:$V$21</c:f>
              <c:numCache>
                <c:formatCode>0</c:formatCode>
                <c:ptCount val="12"/>
                <c:pt idx="0">
                  <c:v>39</c:v>
                </c:pt>
                <c:pt idx="1">
                  <c:v>34</c:v>
                </c:pt>
                <c:pt idx="2">
                  <c:v>38</c:v>
                </c:pt>
                <c:pt idx="3">
                  <c:v>47</c:v>
                </c:pt>
                <c:pt idx="4">
                  <c:v>24</c:v>
                </c:pt>
                <c:pt idx="5">
                  <c:v>30</c:v>
                </c:pt>
                <c:pt idx="6">
                  <c:v>39</c:v>
                </c:pt>
                <c:pt idx="7">
                  <c:v>45</c:v>
                </c:pt>
                <c:pt idx="8">
                  <c:v>60</c:v>
                </c:pt>
                <c:pt idx="9">
                  <c:v>44</c:v>
                </c:pt>
                <c:pt idx="10">
                  <c:v>45</c:v>
                </c:pt>
                <c:pt idx="11">
                  <c:v>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ACD-4E4E-9939-9E943A18B54F}"/>
            </c:ext>
          </c:extLst>
        </c:ser>
        <c:ser>
          <c:idx val="4"/>
          <c:order val="4"/>
          <c:tx>
            <c:strRef>
              <c:f>'2.08 Kira Road-Jinja road'!$W$9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road'!$W$10:$W$21</c:f>
              <c:numCache>
                <c:formatCode>0</c:formatCode>
                <c:ptCount val="12"/>
                <c:pt idx="0">
                  <c:v>1</c:v>
                </c:pt>
                <c:pt idx="1">
                  <c:v>0</c:v>
                </c:pt>
                <c:pt idx="2">
                  <c:v>2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ACD-4E4E-9939-9E943A18B54F}"/>
            </c:ext>
          </c:extLst>
        </c:ser>
        <c:ser>
          <c:idx val="5"/>
          <c:order val="5"/>
          <c:tx>
            <c:strRef>
              <c:f>'2.08 Kira Road-Jinja road'!$X$9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ACD-4E4E-9939-9E943A18B54F}"/>
            </c:ext>
          </c:extLst>
        </c:ser>
        <c:ser>
          <c:idx val="6"/>
          <c:order val="6"/>
          <c:tx>
            <c:strRef>
              <c:f>'2.08 Kira Road-Jinja road'!$Y$9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road'!$Y$10:$Y$21</c:f>
              <c:numCache>
                <c:formatCode>0</c:formatCode>
                <c:ptCount val="12"/>
                <c:pt idx="0">
                  <c:v>14</c:v>
                </c:pt>
                <c:pt idx="1">
                  <c:v>24</c:v>
                </c:pt>
                <c:pt idx="2">
                  <c:v>32</c:v>
                </c:pt>
                <c:pt idx="3">
                  <c:v>34</c:v>
                </c:pt>
                <c:pt idx="4">
                  <c:v>25</c:v>
                </c:pt>
                <c:pt idx="5">
                  <c:v>25</c:v>
                </c:pt>
                <c:pt idx="6">
                  <c:v>25</c:v>
                </c:pt>
                <c:pt idx="7">
                  <c:v>20</c:v>
                </c:pt>
                <c:pt idx="8">
                  <c:v>33</c:v>
                </c:pt>
                <c:pt idx="9">
                  <c:v>31</c:v>
                </c:pt>
                <c:pt idx="10">
                  <c:v>22</c:v>
                </c:pt>
                <c:pt idx="11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ACD-4E4E-9939-9E943A18B54F}"/>
            </c:ext>
          </c:extLst>
        </c:ser>
        <c:ser>
          <c:idx val="7"/>
          <c:order val="7"/>
          <c:tx>
            <c:strRef>
              <c:f>'2.08 Kira Road-Jinja road'!$Z$9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road'!$Z$10:$Z$21</c:f>
              <c:numCache>
                <c:formatCode>0</c:formatCode>
                <c:ptCount val="12"/>
                <c:pt idx="0">
                  <c:v>0</c:v>
                </c:pt>
                <c:pt idx="1">
                  <c:v>6</c:v>
                </c:pt>
                <c:pt idx="2">
                  <c:v>10</c:v>
                </c:pt>
                <c:pt idx="3">
                  <c:v>19</c:v>
                </c:pt>
                <c:pt idx="4">
                  <c:v>8</c:v>
                </c:pt>
                <c:pt idx="5">
                  <c:v>16</c:v>
                </c:pt>
                <c:pt idx="6">
                  <c:v>5</c:v>
                </c:pt>
                <c:pt idx="7">
                  <c:v>5</c:v>
                </c:pt>
                <c:pt idx="8">
                  <c:v>11</c:v>
                </c:pt>
                <c:pt idx="9">
                  <c:v>9</c:v>
                </c:pt>
                <c:pt idx="10">
                  <c:v>3</c:v>
                </c:pt>
                <c:pt idx="11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ACD-4E4E-9939-9E943A18B54F}"/>
            </c:ext>
          </c:extLst>
        </c:ser>
        <c:ser>
          <c:idx val="8"/>
          <c:order val="8"/>
          <c:tx>
            <c:strRef>
              <c:f>'2.08 Kira Road-Jinja road'!$AA$9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road'!$AA$10:$AA$21</c:f>
              <c:numCache>
                <c:formatCode>0</c:formatCode>
                <c:ptCount val="12"/>
                <c:pt idx="0">
                  <c:v>1</c:v>
                </c:pt>
                <c:pt idx="1">
                  <c:v>3</c:v>
                </c:pt>
                <c:pt idx="2">
                  <c:v>5</c:v>
                </c:pt>
                <c:pt idx="3">
                  <c:v>1</c:v>
                </c:pt>
                <c:pt idx="4">
                  <c:v>2</c:v>
                </c:pt>
                <c:pt idx="5">
                  <c:v>3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ACD-4E4E-9939-9E943A18B54F}"/>
            </c:ext>
          </c:extLst>
        </c:ser>
        <c:ser>
          <c:idx val="9"/>
          <c:order val="9"/>
          <c:tx>
            <c:strRef>
              <c:f>'2.08 Kira Road-Jinja road'!$AB$9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8ACD-4E4E-9939-9E943A18B54F}"/>
            </c:ext>
          </c:extLst>
        </c:ser>
        <c:ser>
          <c:idx val="10"/>
          <c:order val="10"/>
          <c:tx>
            <c:strRef>
              <c:f>'2.08 Kira Road-Jinja road'!$AC$9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road'!$AC$10:$AC$21</c:f>
              <c:numCache>
                <c:formatCode>0</c:formatCode>
                <c:ptCount val="12"/>
                <c:pt idx="0">
                  <c:v>629</c:v>
                </c:pt>
                <c:pt idx="1">
                  <c:v>1011</c:v>
                </c:pt>
                <c:pt idx="2">
                  <c:v>797</c:v>
                </c:pt>
                <c:pt idx="3">
                  <c:v>803</c:v>
                </c:pt>
                <c:pt idx="4">
                  <c:v>896</c:v>
                </c:pt>
                <c:pt idx="5">
                  <c:v>814</c:v>
                </c:pt>
                <c:pt idx="6">
                  <c:v>672</c:v>
                </c:pt>
                <c:pt idx="7">
                  <c:v>692</c:v>
                </c:pt>
                <c:pt idx="8">
                  <c:v>822</c:v>
                </c:pt>
                <c:pt idx="9">
                  <c:v>697</c:v>
                </c:pt>
                <c:pt idx="10">
                  <c:v>813</c:v>
                </c:pt>
                <c:pt idx="11">
                  <c:v>810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ACD-4E4E-9939-9E943A18B54F}"/>
            </c:ext>
          </c:extLst>
        </c:ser>
        <c:ser>
          <c:idx val="11"/>
          <c:order val="11"/>
          <c:tx>
            <c:strRef>
              <c:f>'2.08 Kira Road-Jinja road'!$AD$9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'2.08 Kira Road-Jinja road'!$AD$10:$AD$21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ACD-4E4E-9939-9E943A18B54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1166976"/>
        <c:axId val="111168512"/>
      </c:lineChart>
      <c:catAx>
        <c:axId val="11116697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68512"/>
        <c:crosses val="autoZero"/>
        <c:auto val="1"/>
        <c:lblAlgn val="ctr"/>
        <c:lblOffset val="100"/>
        <c:noMultiLvlLbl val="0"/>
      </c:catAx>
      <c:valAx>
        <c:axId val="111168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16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B51-4D84-891B-06C3FCEF433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B51-4D84-891B-06C3FCEF433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5B51-4D84-891B-06C3FCEF433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5B51-4D84-891B-06C3FCEF433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5B51-4D84-891B-06C3FCEF433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5B51-4D84-891B-06C3FCEF433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5B51-4D84-891B-06C3FCEF433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5B51-4D84-891B-06C3FCEF433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5B51-4D84-891B-06C3FCEF433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5B51-4D84-891B-06C3FCEF433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5B51-4D84-891B-06C3FCEF433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5B51-4D84-891B-06C3FCEF4330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5B51-4D84-891B-06C3FCEF433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'2.08 Kira Road-Jinja 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'2.08 Kira Road-Jinja road'!$C$60:$N$60</c:f>
              <c:numCache>
                <c:formatCode>0.00%</c:formatCode>
                <c:ptCount val="12"/>
                <c:pt idx="0">
                  <c:v>0.68916250435590665</c:v>
                </c:pt>
                <c:pt idx="1">
                  <c:v>0.12719247299337902</c:v>
                </c:pt>
                <c:pt idx="2">
                  <c:v>7.3643861075618544E-2</c:v>
                </c:pt>
                <c:pt idx="3">
                  <c:v>5.7846439772331282E-2</c:v>
                </c:pt>
                <c:pt idx="4">
                  <c:v>8.1310256708096173E-4</c:v>
                </c:pt>
                <c:pt idx="5">
                  <c:v>4.6463003833197816E-4</c:v>
                </c:pt>
                <c:pt idx="6">
                  <c:v>3.5428040422813334E-2</c:v>
                </c:pt>
                <c:pt idx="7">
                  <c:v>1.1383435939133464E-2</c:v>
                </c:pt>
                <c:pt idx="8">
                  <c:v>3.020095249157858E-3</c:v>
                </c:pt>
                <c:pt idx="9">
                  <c:v>1.0454175862469508E-3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5B51-4D84-891B-06C3FCEF43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'3.08 Jinja Road-KiraRoad-24h'!$AE$9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'3.08 Jinja Road-KiraRoad-24h'!$R$10:$R$33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Jinja Road-KiraRoad-24h'!$AE$10:$AE$33</c:f>
              <c:numCache>
                <c:formatCode>0</c:formatCode>
                <c:ptCount val="24"/>
                <c:pt idx="0">
                  <c:v>137</c:v>
                </c:pt>
                <c:pt idx="1">
                  <c:v>198</c:v>
                </c:pt>
                <c:pt idx="2">
                  <c:v>345</c:v>
                </c:pt>
                <c:pt idx="3">
                  <c:v>468</c:v>
                </c:pt>
                <c:pt idx="4">
                  <c:v>482</c:v>
                </c:pt>
                <c:pt idx="5">
                  <c:v>517</c:v>
                </c:pt>
                <c:pt idx="6">
                  <c:v>633</c:v>
                </c:pt>
                <c:pt idx="7">
                  <c:v>654</c:v>
                </c:pt>
                <c:pt idx="8">
                  <c:v>670</c:v>
                </c:pt>
                <c:pt idx="9">
                  <c:v>528</c:v>
                </c:pt>
                <c:pt idx="10">
                  <c:v>536</c:v>
                </c:pt>
                <c:pt idx="11">
                  <c:v>601</c:v>
                </c:pt>
                <c:pt idx="12">
                  <c:v>404</c:v>
                </c:pt>
                <c:pt idx="13">
                  <c:v>324</c:v>
                </c:pt>
                <c:pt idx="14">
                  <c:v>243</c:v>
                </c:pt>
                <c:pt idx="15">
                  <c:v>216</c:v>
                </c:pt>
                <c:pt idx="16">
                  <c:v>189</c:v>
                </c:pt>
                <c:pt idx="17">
                  <c:v>146</c:v>
                </c:pt>
                <c:pt idx="18">
                  <c:v>87</c:v>
                </c:pt>
                <c:pt idx="19">
                  <c:v>68</c:v>
                </c:pt>
                <c:pt idx="20">
                  <c:v>50</c:v>
                </c:pt>
                <c:pt idx="21">
                  <c:v>52</c:v>
                </c:pt>
                <c:pt idx="22">
                  <c:v>30</c:v>
                </c:pt>
                <c:pt idx="23">
                  <c:v>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DB9B-4793-84FD-99A5405B7AD3}"/>
            </c:ext>
          </c:extLst>
        </c:ser>
        <c:ser>
          <c:idx val="1"/>
          <c:order val="1"/>
          <c:tx>
            <c:strRef>
              <c:f>'3.08 Jinja Road-KiraRoad-24h'!$AF$9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'3.08 Jinja Road-KiraRoad-24h'!$R$10:$R$33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Jinja Road-KiraRoad-24h'!$AF$10:$AF$33</c:f>
              <c:numCache>
                <c:formatCode>0</c:formatCode>
                <c:ptCount val="24"/>
                <c:pt idx="0">
                  <c:v>321</c:v>
                </c:pt>
                <c:pt idx="1">
                  <c:v>795</c:v>
                </c:pt>
                <c:pt idx="2">
                  <c:v>855</c:v>
                </c:pt>
                <c:pt idx="3">
                  <c:v>913</c:v>
                </c:pt>
                <c:pt idx="4">
                  <c:v>902</c:v>
                </c:pt>
                <c:pt idx="5">
                  <c:v>1017</c:v>
                </c:pt>
                <c:pt idx="6">
                  <c:v>1265</c:v>
                </c:pt>
                <c:pt idx="7">
                  <c:v>1252</c:v>
                </c:pt>
                <c:pt idx="8">
                  <c:v>1315</c:v>
                </c:pt>
                <c:pt idx="9">
                  <c:v>1045</c:v>
                </c:pt>
                <c:pt idx="10">
                  <c:v>1136</c:v>
                </c:pt>
                <c:pt idx="11">
                  <c:v>1341</c:v>
                </c:pt>
                <c:pt idx="12">
                  <c:v>929</c:v>
                </c:pt>
                <c:pt idx="13">
                  <c:v>794</c:v>
                </c:pt>
                <c:pt idx="14">
                  <c:v>496</c:v>
                </c:pt>
                <c:pt idx="15">
                  <c:v>458</c:v>
                </c:pt>
                <c:pt idx="16">
                  <c:v>392</c:v>
                </c:pt>
                <c:pt idx="17">
                  <c:v>313</c:v>
                </c:pt>
                <c:pt idx="18">
                  <c:v>191</c:v>
                </c:pt>
                <c:pt idx="19">
                  <c:v>119</c:v>
                </c:pt>
                <c:pt idx="20">
                  <c:v>76</c:v>
                </c:pt>
                <c:pt idx="21">
                  <c:v>93</c:v>
                </c:pt>
                <c:pt idx="22">
                  <c:v>113</c:v>
                </c:pt>
                <c:pt idx="23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DB9B-4793-84FD-99A5405B7A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284992"/>
        <c:axId val="111286912"/>
      </c:lineChart>
      <c:catAx>
        <c:axId val="1112849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286912"/>
        <c:crosses val="autoZero"/>
        <c:auto val="1"/>
        <c:lblAlgn val="ctr"/>
        <c:lblOffset val="100"/>
        <c:noMultiLvlLbl val="0"/>
      </c:catAx>
      <c:valAx>
        <c:axId val="111286912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12849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C19-40B6-88F6-F149CBCFBC0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C19-40B6-88F6-F149CBCFBC0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C19-40B6-88F6-F149CBCFBC0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C19-40B6-88F6-F149CBCFBC0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C19-40B6-88F6-F149CBCFBC0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C19-40B6-88F6-F149CBCFBC0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C19-40B6-88F6-F149CBCFBC0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C19-40B6-88F6-F149CBCFBC0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C19-40B6-88F6-F149CBCFBC0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C19-40B6-88F6-F149CBCFBC0F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C19-40B6-88F6-F149CBCFBC0F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C19-40B6-88F6-F149CBCFBC0F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C19-40B6-88F6-F149CBCFBC0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Jinja Road-KiraRoad-24h'!$C$9:$N$9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Jinja Road-KiraRoad-24h'!$C$107:$N$107</c:f>
              <c:numCache>
                <c:formatCode>0.0%</c:formatCode>
                <c:ptCount val="12"/>
                <c:pt idx="0">
                  <c:v>0.32171234986141051</c:v>
                </c:pt>
                <c:pt idx="1">
                  <c:v>9.5903911302740993E-2</c:v>
                </c:pt>
                <c:pt idx="2">
                  <c:v>2.5130890052356022E-2</c:v>
                </c:pt>
                <c:pt idx="3">
                  <c:v>1.1703110563597166E-2</c:v>
                </c:pt>
                <c:pt idx="4">
                  <c:v>6.7754850631352012E-4</c:v>
                </c:pt>
                <c:pt idx="5">
                  <c:v>1.2319063751154913E-4</c:v>
                </c:pt>
                <c:pt idx="6">
                  <c:v>7.6378195257160459E-3</c:v>
                </c:pt>
                <c:pt idx="7">
                  <c:v>4.126886356636896E-3</c:v>
                </c:pt>
                <c:pt idx="8">
                  <c:v>9.8552510009239304E-4</c:v>
                </c:pt>
                <c:pt idx="9">
                  <c:v>4.3116723129042191E-4</c:v>
                </c:pt>
                <c:pt idx="10">
                  <c:v>0.53156760086233446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C19-40B6-88F6-F149CBCFBC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F34-448D-935B-A3D0702D351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F34-448D-935B-A3D0702D351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F34-448D-935B-A3D0702D351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F34-448D-935B-A3D0702D351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6F34-448D-935B-A3D0702D3518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F34-448D-935B-A3D0702D3518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F34-448D-935B-A3D0702D3518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F34-448D-935B-A3D0702D3518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F34-448D-935B-A3D0702D3518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F34-448D-935B-A3D0702D3518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6F34-448D-935B-A3D0702D3518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6F34-448D-935B-A3D0702D3518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6F34-448D-935B-A3D0702D35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Jinja Road-KiraRoad-24h'!$C$9:$N$9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Jinja Road-KiraRoad-24h'!$C$108:$N$108</c:f>
              <c:numCache>
                <c:formatCode>0.00%</c:formatCode>
                <c:ptCount val="12"/>
                <c:pt idx="0">
                  <c:v>0.68678500986193292</c:v>
                </c:pt>
                <c:pt idx="1">
                  <c:v>0.20473372781065088</c:v>
                </c:pt>
                <c:pt idx="2">
                  <c:v>5.3648915187376724E-2</c:v>
                </c:pt>
                <c:pt idx="3">
                  <c:v>2.4983563445101907E-2</c:v>
                </c:pt>
                <c:pt idx="4">
                  <c:v>1.4464168310322155E-3</c:v>
                </c:pt>
                <c:pt idx="5">
                  <c:v>2.6298487836949375E-4</c:v>
                </c:pt>
                <c:pt idx="6">
                  <c:v>1.6305062458908611E-2</c:v>
                </c:pt>
                <c:pt idx="7">
                  <c:v>8.8099934253780404E-3</c:v>
                </c:pt>
                <c:pt idx="8">
                  <c:v>2.10387902695595E-3</c:v>
                </c:pt>
                <c:pt idx="9">
                  <c:v>9.2044707429322816E-4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6F34-448D-935B-A3D0702D35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41523264176214386"/>
          <c:y val="2.9617409316263981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'3.08 Kira Road-Jinja Road-24h'!$AE$9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'3.08 Kira Road-Jinja 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Kira Road-Jinja Road-24h'!$AE$10:$AE$33</c:f>
              <c:numCache>
                <c:formatCode>0</c:formatCode>
                <c:ptCount val="24"/>
                <c:pt idx="0">
                  <c:v>155</c:v>
                </c:pt>
                <c:pt idx="1">
                  <c:v>414</c:v>
                </c:pt>
                <c:pt idx="2">
                  <c:v>674</c:v>
                </c:pt>
                <c:pt idx="3">
                  <c:v>982</c:v>
                </c:pt>
                <c:pt idx="4">
                  <c:v>884</c:v>
                </c:pt>
                <c:pt idx="5">
                  <c:v>914</c:v>
                </c:pt>
                <c:pt idx="6">
                  <c:v>874</c:v>
                </c:pt>
                <c:pt idx="7">
                  <c:v>846</c:v>
                </c:pt>
                <c:pt idx="8">
                  <c:v>713</c:v>
                </c:pt>
                <c:pt idx="9">
                  <c:v>813</c:v>
                </c:pt>
                <c:pt idx="10">
                  <c:v>9680</c:v>
                </c:pt>
                <c:pt idx="11">
                  <c:v>598</c:v>
                </c:pt>
                <c:pt idx="12">
                  <c:v>720</c:v>
                </c:pt>
                <c:pt idx="13">
                  <c:v>765</c:v>
                </c:pt>
                <c:pt idx="14">
                  <c:v>681</c:v>
                </c:pt>
                <c:pt idx="15">
                  <c:v>669</c:v>
                </c:pt>
                <c:pt idx="16">
                  <c:v>575</c:v>
                </c:pt>
                <c:pt idx="17">
                  <c:v>384</c:v>
                </c:pt>
                <c:pt idx="18">
                  <c:v>376</c:v>
                </c:pt>
                <c:pt idx="19">
                  <c:v>268</c:v>
                </c:pt>
                <c:pt idx="20">
                  <c:v>197</c:v>
                </c:pt>
                <c:pt idx="21">
                  <c:v>159</c:v>
                </c:pt>
                <c:pt idx="22">
                  <c:v>125</c:v>
                </c:pt>
                <c:pt idx="23">
                  <c:v>71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3B5-43D7-8A8D-1950D8303871}"/>
            </c:ext>
          </c:extLst>
        </c:ser>
        <c:ser>
          <c:idx val="1"/>
          <c:order val="1"/>
          <c:tx>
            <c:strRef>
              <c:f>'3.08 Kira Road-Jinja Road-24h'!$AF$9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'3.08 Kira Road-Jinja Road-24h'!$R$10:$R$33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'3.08 Kira Road-Jinja Road-24h'!$AF$10:$AF$33</c:f>
              <c:numCache>
                <c:formatCode>0</c:formatCode>
                <c:ptCount val="24"/>
                <c:pt idx="0">
                  <c:v>444</c:v>
                </c:pt>
                <c:pt idx="1">
                  <c:v>1078</c:v>
                </c:pt>
                <c:pt idx="2">
                  <c:v>1355</c:v>
                </c:pt>
                <c:pt idx="3">
                  <c:v>1648</c:v>
                </c:pt>
                <c:pt idx="4">
                  <c:v>1688</c:v>
                </c:pt>
                <c:pt idx="5">
                  <c:v>1580</c:v>
                </c:pt>
                <c:pt idx="6">
                  <c:v>1579</c:v>
                </c:pt>
                <c:pt idx="7">
                  <c:v>1590</c:v>
                </c:pt>
                <c:pt idx="8">
                  <c:v>1570</c:v>
                </c:pt>
                <c:pt idx="9">
                  <c:v>1492</c:v>
                </c:pt>
                <c:pt idx="10">
                  <c:v>10345</c:v>
                </c:pt>
                <c:pt idx="11">
                  <c:v>1240</c:v>
                </c:pt>
                <c:pt idx="12">
                  <c:v>1427</c:v>
                </c:pt>
                <c:pt idx="13">
                  <c:v>1315</c:v>
                </c:pt>
                <c:pt idx="14">
                  <c:v>1033</c:v>
                </c:pt>
                <c:pt idx="15">
                  <c:v>935</c:v>
                </c:pt>
                <c:pt idx="16">
                  <c:v>755</c:v>
                </c:pt>
                <c:pt idx="17">
                  <c:v>495</c:v>
                </c:pt>
                <c:pt idx="18">
                  <c:v>464</c:v>
                </c:pt>
                <c:pt idx="19">
                  <c:v>363</c:v>
                </c:pt>
                <c:pt idx="20">
                  <c:v>251</c:v>
                </c:pt>
                <c:pt idx="21">
                  <c:v>217</c:v>
                </c:pt>
                <c:pt idx="22">
                  <c:v>175</c:v>
                </c:pt>
                <c:pt idx="23">
                  <c:v>177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3B5-43D7-8A8D-1950D83038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2802048"/>
        <c:axId val="112824704"/>
      </c:lineChart>
      <c:catAx>
        <c:axId val="11280204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824704"/>
        <c:crosses val="autoZero"/>
        <c:auto val="1"/>
        <c:lblAlgn val="ctr"/>
        <c:lblOffset val="100"/>
        <c:noMultiLvlLbl val="0"/>
      </c:catAx>
      <c:valAx>
        <c:axId val="11282470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2802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CC2-41FB-AB6C-D0315A687D3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CC2-41FB-AB6C-D0315A687D35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CC2-41FB-AB6C-D0315A687D35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CC2-41FB-AB6C-D0315A687D35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CC2-41FB-AB6C-D0315A687D35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CC2-41FB-AB6C-D0315A687D35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CC2-41FB-AB6C-D0315A687D35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CC2-41FB-AB6C-D0315A687D35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CC2-41FB-AB6C-D0315A687D35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CC2-41FB-AB6C-D0315A687D35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CC2-41FB-AB6C-D0315A687D35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CC2-41FB-AB6C-D0315A687D35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CC2-41FB-AB6C-D0315A687D3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Kira Road-Jinja 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Kira Road-Jinja Road-24h'!$C$107:$N$107</c:f>
              <c:numCache>
                <c:formatCode>0.0%</c:formatCode>
                <c:ptCount val="12"/>
                <c:pt idx="0">
                  <c:v>0.48726517341040465</c:v>
                </c:pt>
                <c:pt idx="1">
                  <c:v>0.14971700385356454</c:v>
                </c:pt>
                <c:pt idx="2">
                  <c:v>2.1947254335260114E-2</c:v>
                </c:pt>
                <c:pt idx="3">
                  <c:v>6.8340558766859343E-3</c:v>
                </c:pt>
                <c:pt idx="4">
                  <c:v>5.1180154142581888E-4</c:v>
                </c:pt>
                <c:pt idx="5">
                  <c:v>3.0105973025048169E-5</c:v>
                </c:pt>
                <c:pt idx="6">
                  <c:v>8.1286127167630052E-3</c:v>
                </c:pt>
                <c:pt idx="7">
                  <c:v>2.9804913294797686E-3</c:v>
                </c:pt>
                <c:pt idx="8">
                  <c:v>8.4296724470134872E-4</c:v>
                </c:pt>
                <c:pt idx="9">
                  <c:v>2.4084778420038535E-4</c:v>
                </c:pt>
                <c:pt idx="10">
                  <c:v>0.32150168593448941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CC2-41FB-AB6C-D0315A687D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7A-4202-BB82-6DE350EE311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7A-4202-BB82-6DE350EE311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477A-4202-BB82-6DE350EE311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477A-4202-BB82-6DE350EE311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77A-4202-BB82-6DE350EE311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477A-4202-BB82-6DE350EE311C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77A-4202-BB82-6DE350EE311C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477A-4202-BB82-6DE350EE311C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477A-4202-BB82-6DE350EE311C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477A-4202-BB82-6DE350EE311C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477A-4202-BB82-6DE350EE311C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477A-4202-BB82-6DE350EE311C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477A-4202-BB82-6DE350EE31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'3.08 Kira Road-Jinja Road-24h'!$C$9:$N$9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'3.08 Kira Road-Jinja Road-24h'!$C$108:$N$108</c:f>
              <c:numCache>
                <c:formatCode>0.00%</c:formatCode>
                <c:ptCount val="12"/>
                <c:pt idx="0">
                  <c:v>0.71815237165549983</c:v>
                </c:pt>
                <c:pt idx="1">
                  <c:v>0.22065936016328705</c:v>
                </c:pt>
                <c:pt idx="2">
                  <c:v>3.2346807472156895E-2</c:v>
                </c:pt>
                <c:pt idx="3">
                  <c:v>1.007232550916271E-2</c:v>
                </c:pt>
                <c:pt idx="4">
                  <c:v>7.5431512623685493E-4</c:v>
                </c:pt>
                <c:pt idx="5">
                  <c:v>4.4371478013932642E-5</c:v>
                </c:pt>
                <c:pt idx="6">
                  <c:v>1.1980299063761813E-2</c:v>
                </c:pt>
                <c:pt idx="7">
                  <c:v>4.3927763233793321E-3</c:v>
                </c:pt>
                <c:pt idx="8">
                  <c:v>1.2424013843901141E-3</c:v>
                </c:pt>
                <c:pt idx="9">
                  <c:v>3.5497182411146113E-4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477A-4202-BB82-6DE350EE3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'4.08.JINJA ROAD-KIIRA'!$AE$9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'4.08.JINJA ROAD-KIIRA'!$R$10:$R$21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'4.08.JINJA ROAD-KIIRA'!$AE$10:$AE$21</c:f>
              <c:numCache>
                <c:formatCode>0</c:formatCode>
                <c:ptCount val="12"/>
                <c:pt idx="0">
                  <c:v>70</c:v>
                </c:pt>
                <c:pt idx="1">
                  <c:v>106</c:v>
                </c:pt>
                <c:pt idx="2">
                  <c:v>204</c:v>
                </c:pt>
                <c:pt idx="3">
                  <c:v>282</c:v>
                </c:pt>
                <c:pt idx="4">
                  <c:v>339</c:v>
                </c:pt>
                <c:pt idx="5">
                  <c:v>337</c:v>
                </c:pt>
                <c:pt idx="6">
                  <c:v>459</c:v>
                </c:pt>
                <c:pt idx="7">
                  <c:v>455</c:v>
                </c:pt>
                <c:pt idx="8">
                  <c:v>389</c:v>
                </c:pt>
                <c:pt idx="9">
                  <c:v>332</c:v>
                </c:pt>
                <c:pt idx="10">
                  <c:v>366</c:v>
                </c:pt>
                <c:pt idx="11">
                  <c:v>361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5C8-45AB-8CEF-A7108B6754B8}"/>
            </c:ext>
          </c:extLst>
        </c:ser>
        <c:ser>
          <c:idx val="1"/>
          <c:order val="1"/>
          <c:tx>
            <c:strRef>
              <c:f>'4.08.JINJA ROAD-KIIRA'!$AF$9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'4.08.JINJA ROAD-KIIRA'!$R$10:$R$21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'4.08.JINJA ROAD-KIIRA'!$AF$10:$AF$21</c:f>
              <c:numCache>
                <c:formatCode>0</c:formatCode>
                <c:ptCount val="12"/>
                <c:pt idx="0">
                  <c:v>273</c:v>
                </c:pt>
                <c:pt idx="1">
                  <c:v>422</c:v>
                </c:pt>
                <c:pt idx="2">
                  <c:v>558</c:v>
                </c:pt>
                <c:pt idx="3">
                  <c:v>613</c:v>
                </c:pt>
                <c:pt idx="4">
                  <c:v>683</c:v>
                </c:pt>
                <c:pt idx="5">
                  <c:v>756</c:v>
                </c:pt>
                <c:pt idx="6">
                  <c:v>844</c:v>
                </c:pt>
                <c:pt idx="7">
                  <c:v>892</c:v>
                </c:pt>
                <c:pt idx="8">
                  <c:v>752</c:v>
                </c:pt>
                <c:pt idx="9">
                  <c:v>803</c:v>
                </c:pt>
                <c:pt idx="10">
                  <c:v>752</c:v>
                </c:pt>
                <c:pt idx="11">
                  <c:v>609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5C8-45AB-8CEF-A7108B675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032192"/>
        <c:axId val="113054848"/>
      </c:lineChart>
      <c:catAx>
        <c:axId val="113032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054848"/>
        <c:crosses val="autoZero"/>
        <c:auto val="1"/>
        <c:lblAlgn val="ctr"/>
        <c:lblOffset val="100"/>
        <c:noMultiLvlLbl val="0"/>
      </c:catAx>
      <c:valAx>
        <c:axId val="11305484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032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C085-4D7B-92D4-0FE0B8706BF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085-4D7B-92D4-0FE0B8706BF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C085-4D7B-92D4-0FE0B8706BF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C085-4D7B-92D4-0FE0B8706BF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C085-4D7B-92D4-0FE0B8706BF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C085-4D7B-92D4-0FE0B8706BF0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C085-4D7B-92D4-0FE0B8706BF0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C085-4D7B-92D4-0FE0B8706BF0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C085-4D7B-92D4-0FE0B8706BF0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C085-4D7B-92D4-0FE0B8706BF0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C085-4D7B-92D4-0FE0B8706BF0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C085-4D7B-92D4-0FE0B8706BF0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C085-4D7B-92D4-0FE0B8706BF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'4.08.JINJA ROAD-KIIRA'!$C$9:$N$9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'4.08.JINJA ROAD-KIIRA'!$C$59:$N$59</c:f>
              <c:numCache>
                <c:formatCode>0.0%</c:formatCode>
                <c:ptCount val="12"/>
                <c:pt idx="0">
                  <c:v>0.29043609400527837</c:v>
                </c:pt>
                <c:pt idx="1">
                  <c:v>0.12379037325625236</c:v>
                </c:pt>
                <c:pt idx="2">
                  <c:v>2.6643207238909138E-2</c:v>
                </c:pt>
                <c:pt idx="3">
                  <c:v>1.2064848561015458E-2</c:v>
                </c:pt>
                <c:pt idx="4">
                  <c:v>6.2837752921955506E-4</c:v>
                </c:pt>
                <c:pt idx="5">
                  <c:v>0</c:v>
                </c:pt>
                <c:pt idx="6">
                  <c:v>4.6499937162247078E-3</c:v>
                </c:pt>
                <c:pt idx="7">
                  <c:v>4.1472916928490637E-3</c:v>
                </c:pt>
                <c:pt idx="8">
                  <c:v>2.5135101168782203E-3</c:v>
                </c:pt>
                <c:pt idx="9">
                  <c:v>1.2567550584391103E-4</c:v>
                </c:pt>
                <c:pt idx="10">
                  <c:v>0.53500062837752926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C085-4D7B-92D4-0FE0B8706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'4.08.JINJA ROAD-KIIRA'!$S$9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'4.08.JINJA ROAD-KIIRA'!$R$10:$R$21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'4.08.JINJA ROAD-KIIRA'!$S$10:$S$21</c:f>
              <c:numCache>
                <c:formatCode>0</c:formatCode>
                <c:ptCount val="12"/>
                <c:pt idx="0">
                  <c:v>45</c:v>
                </c:pt>
                <c:pt idx="1">
                  <c:v>69</c:v>
                </c:pt>
                <c:pt idx="2">
                  <c:v>134</c:v>
                </c:pt>
                <c:pt idx="3">
                  <c:v>186</c:v>
                </c:pt>
                <c:pt idx="4">
                  <c:v>206</c:v>
                </c:pt>
                <c:pt idx="5">
                  <c:v>213</c:v>
                </c:pt>
                <c:pt idx="6">
                  <c:v>265</c:v>
                </c:pt>
                <c:pt idx="7">
                  <c:v>272</c:v>
                </c:pt>
                <c:pt idx="8">
                  <c:v>255</c:v>
                </c:pt>
                <c:pt idx="9">
                  <c:v>200</c:v>
                </c:pt>
                <c:pt idx="10">
                  <c:v>230</c:v>
                </c:pt>
                <c:pt idx="11">
                  <c:v>236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28B-46B4-90C5-4BE58AC1B7CD}"/>
            </c:ext>
          </c:extLst>
        </c:ser>
        <c:ser>
          <c:idx val="1"/>
          <c:order val="1"/>
          <c:tx>
            <c:strRef>
              <c:f>'4.08.JINJA ROAD-KIIRA'!$T$9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'4.08.JINJA ROAD-KIIRA'!$R$10:$R$21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'4.08.JINJA ROAD-KIIRA'!$T$10:$T$21</c:f>
              <c:numCache>
                <c:formatCode>0</c:formatCode>
                <c:ptCount val="12"/>
                <c:pt idx="0">
                  <c:v>13</c:v>
                </c:pt>
                <c:pt idx="1">
                  <c:v>21</c:v>
                </c:pt>
                <c:pt idx="2">
                  <c:v>38</c:v>
                </c:pt>
                <c:pt idx="3">
                  <c:v>64</c:v>
                </c:pt>
                <c:pt idx="4">
                  <c:v>89</c:v>
                </c:pt>
                <c:pt idx="5">
                  <c:v>86</c:v>
                </c:pt>
                <c:pt idx="6">
                  <c:v>156</c:v>
                </c:pt>
                <c:pt idx="7">
                  <c:v>138</c:v>
                </c:pt>
                <c:pt idx="8">
                  <c:v>92</c:v>
                </c:pt>
                <c:pt idx="9">
                  <c:v>89</c:v>
                </c:pt>
                <c:pt idx="10">
                  <c:v>95</c:v>
                </c:pt>
                <c:pt idx="11">
                  <c:v>104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28B-46B4-90C5-4BE58AC1B7CD}"/>
            </c:ext>
          </c:extLst>
        </c:ser>
        <c:ser>
          <c:idx val="2"/>
          <c:order val="2"/>
          <c:tx>
            <c:strRef>
              <c:f>'4.08.JINJA ROAD-KIIRA'!$U$9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ROAD-KIIRA'!$U$10:$U$21</c:f>
              <c:numCache>
                <c:formatCode>0</c:formatCode>
                <c:ptCount val="12"/>
                <c:pt idx="0">
                  <c:v>5</c:v>
                </c:pt>
                <c:pt idx="1">
                  <c:v>9</c:v>
                </c:pt>
                <c:pt idx="2">
                  <c:v>19</c:v>
                </c:pt>
                <c:pt idx="3">
                  <c:v>19</c:v>
                </c:pt>
                <c:pt idx="4">
                  <c:v>21</c:v>
                </c:pt>
                <c:pt idx="5">
                  <c:v>25</c:v>
                </c:pt>
                <c:pt idx="6">
                  <c:v>22</c:v>
                </c:pt>
                <c:pt idx="7">
                  <c:v>25</c:v>
                </c:pt>
                <c:pt idx="8">
                  <c:v>10</c:v>
                </c:pt>
                <c:pt idx="9">
                  <c:v>25</c:v>
                </c:pt>
                <c:pt idx="10">
                  <c:v>20</c:v>
                </c:pt>
                <c:pt idx="11">
                  <c:v>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28B-46B4-90C5-4BE58AC1B7CD}"/>
            </c:ext>
          </c:extLst>
        </c:ser>
        <c:ser>
          <c:idx val="3"/>
          <c:order val="3"/>
          <c:tx>
            <c:strRef>
              <c:f>'4.08.JINJA ROAD-KIIRA'!$V$9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ROAD-KIIRA'!$V$10:$V$21</c:f>
              <c:numCache>
                <c:formatCode>0</c:formatCode>
                <c:ptCount val="12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8</c:v>
                </c:pt>
                <c:pt idx="4">
                  <c:v>11</c:v>
                </c:pt>
                <c:pt idx="5">
                  <c:v>6</c:v>
                </c:pt>
                <c:pt idx="6">
                  <c:v>6</c:v>
                </c:pt>
                <c:pt idx="7">
                  <c:v>12</c:v>
                </c:pt>
                <c:pt idx="8">
                  <c:v>15</c:v>
                </c:pt>
                <c:pt idx="9">
                  <c:v>14</c:v>
                </c:pt>
                <c:pt idx="10">
                  <c:v>14</c:v>
                </c:pt>
                <c:pt idx="11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28B-46B4-90C5-4BE58AC1B7CD}"/>
            </c:ext>
          </c:extLst>
        </c:ser>
        <c:ser>
          <c:idx val="4"/>
          <c:order val="4"/>
          <c:tx>
            <c:strRef>
              <c:f>'4.08.JINJA ROAD-KIIRA'!$W$9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28B-46B4-90C5-4BE58AC1B7CD}"/>
            </c:ext>
          </c:extLst>
        </c:ser>
        <c:ser>
          <c:idx val="5"/>
          <c:order val="5"/>
          <c:tx>
            <c:strRef>
              <c:f>'4.08.JINJA ROAD-KIIRA'!$X$9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28B-46B4-90C5-4BE58AC1B7CD}"/>
            </c:ext>
          </c:extLst>
        </c:ser>
        <c:ser>
          <c:idx val="6"/>
          <c:order val="6"/>
          <c:tx>
            <c:strRef>
              <c:f>'4.08.JINJA ROAD-KIIRA'!$Y$9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ROAD-KIIRA'!$Y$10:$Y$21</c:f>
              <c:numCache>
                <c:formatCode>0</c:formatCode>
                <c:ptCount val="12"/>
                <c:pt idx="0">
                  <c:v>3</c:v>
                </c:pt>
                <c:pt idx="1">
                  <c:v>4</c:v>
                </c:pt>
                <c:pt idx="2">
                  <c:v>0</c:v>
                </c:pt>
                <c:pt idx="3">
                  <c:v>2</c:v>
                </c:pt>
                <c:pt idx="4">
                  <c:v>1</c:v>
                </c:pt>
                <c:pt idx="5">
                  <c:v>6</c:v>
                </c:pt>
                <c:pt idx="6">
                  <c:v>7</c:v>
                </c:pt>
                <c:pt idx="7">
                  <c:v>0</c:v>
                </c:pt>
                <c:pt idx="8">
                  <c:v>6</c:v>
                </c:pt>
                <c:pt idx="9">
                  <c:v>3</c:v>
                </c:pt>
                <c:pt idx="10">
                  <c:v>3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428B-46B4-90C5-4BE58AC1B7CD}"/>
            </c:ext>
          </c:extLst>
        </c:ser>
        <c:ser>
          <c:idx val="7"/>
          <c:order val="7"/>
          <c:tx>
            <c:strRef>
              <c:f>'4.08.JINJA ROAD-KIIRA'!$Z$9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ROAD-KIIRA'!$Z$10:$Z$21</c:f>
              <c:numCache>
                <c:formatCode>0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8</c:v>
                </c:pt>
                <c:pt idx="3">
                  <c:v>1</c:v>
                </c:pt>
                <c:pt idx="4">
                  <c:v>4</c:v>
                </c:pt>
                <c:pt idx="5">
                  <c:v>0</c:v>
                </c:pt>
                <c:pt idx="6">
                  <c:v>2</c:v>
                </c:pt>
                <c:pt idx="7">
                  <c:v>6</c:v>
                </c:pt>
                <c:pt idx="8">
                  <c:v>8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428B-46B4-90C5-4BE58AC1B7CD}"/>
            </c:ext>
          </c:extLst>
        </c:ser>
        <c:ser>
          <c:idx val="8"/>
          <c:order val="8"/>
          <c:tx>
            <c:strRef>
              <c:f>'4.08.JINJA ROAD-KIIRA'!$AA$9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ROAD-KIIRA'!$AA$10:$AA$21</c:f>
              <c:numCache>
                <c:formatCode>0</c:formatCode>
                <c:ptCount val="12"/>
                <c:pt idx="0">
                  <c:v>0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7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28B-46B4-90C5-4BE58AC1B7CD}"/>
            </c:ext>
          </c:extLst>
        </c:ser>
        <c:ser>
          <c:idx val="9"/>
          <c:order val="9"/>
          <c:tx>
            <c:strRef>
              <c:f>'4.08.JINJA ROAD-KIIRA'!$AB$9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ROAD-KIIRA'!$AB$10:$AB$21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28B-46B4-90C5-4BE58AC1B7CD}"/>
            </c:ext>
          </c:extLst>
        </c:ser>
        <c:ser>
          <c:idx val="10"/>
          <c:order val="10"/>
          <c:tx>
            <c:strRef>
              <c:f>'4.08.JINJA ROAD-KIIRA'!$AC$9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ROAD-KIIRA'!$AC$10:$AC$21</c:f>
              <c:numCache>
                <c:formatCode>0</c:formatCode>
                <c:ptCount val="12"/>
                <c:pt idx="0">
                  <c:v>203</c:v>
                </c:pt>
                <c:pt idx="1">
                  <c:v>316</c:v>
                </c:pt>
                <c:pt idx="2">
                  <c:v>354</c:v>
                </c:pt>
                <c:pt idx="3">
                  <c:v>331</c:v>
                </c:pt>
                <c:pt idx="4">
                  <c:v>344</c:v>
                </c:pt>
                <c:pt idx="5">
                  <c:v>419</c:v>
                </c:pt>
                <c:pt idx="6">
                  <c:v>385</c:v>
                </c:pt>
                <c:pt idx="7">
                  <c:v>437</c:v>
                </c:pt>
                <c:pt idx="8">
                  <c:v>363</c:v>
                </c:pt>
                <c:pt idx="9">
                  <c:v>471</c:v>
                </c:pt>
                <c:pt idx="10">
                  <c:v>386</c:v>
                </c:pt>
                <c:pt idx="11">
                  <c:v>248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428B-46B4-90C5-4BE58AC1B7CD}"/>
            </c:ext>
          </c:extLst>
        </c:ser>
        <c:ser>
          <c:idx val="11"/>
          <c:order val="11"/>
          <c:tx>
            <c:strRef>
              <c:f>'4.08.JINJA ROAD-KIIRA'!$AD$9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'4.08.JINJA ROAD-KIIRA'!$AD$10:$AD$21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428B-46B4-90C5-4BE58AC1B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238784"/>
        <c:axId val="113240320"/>
      </c:lineChart>
      <c:catAx>
        <c:axId val="1132387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40320"/>
        <c:crosses val="autoZero"/>
        <c:auto val="1"/>
        <c:lblAlgn val="ctr"/>
        <c:lblOffset val="100"/>
        <c:noMultiLvlLbl val="0"/>
      </c:catAx>
      <c:valAx>
        <c:axId val="113240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2387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C12-4217-8AB6-47C18865D9D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C12-4217-8AB6-47C18865D9D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C12-4217-8AB6-47C18865D9D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C12-4217-8AB6-47C18865D9D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C12-4217-8AB6-47C18865D9D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C12-4217-8AB6-47C18865D9D7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C12-4217-8AB6-47C18865D9D7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C12-4217-8AB6-47C18865D9D7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C12-4217-8AB6-47C18865D9D7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C12-4217-8AB6-47C18865D9D7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C12-4217-8AB6-47C18865D9D7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C12-4217-8AB6-47C18865D9D7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C12-4217-8AB6-47C18865D9D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'4.08.JINJA ROAD-KIIRA'!$C$9:$N$9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'4.08.JINJA ROAD-KIIRA'!$C$60:$N$60</c:f>
              <c:numCache>
                <c:formatCode>0.00%</c:formatCode>
                <c:ptCount val="12"/>
                <c:pt idx="0">
                  <c:v>0.62459459459459454</c:v>
                </c:pt>
                <c:pt idx="1">
                  <c:v>0.26621621621621622</c:v>
                </c:pt>
                <c:pt idx="2">
                  <c:v>5.7297297297297295E-2</c:v>
                </c:pt>
                <c:pt idx="3">
                  <c:v>2.5945945945945945E-2</c:v>
                </c:pt>
                <c:pt idx="4">
                  <c:v>1.3513513513513514E-3</c:v>
                </c:pt>
                <c:pt idx="5">
                  <c:v>0</c:v>
                </c:pt>
                <c:pt idx="6">
                  <c:v>0.01</c:v>
                </c:pt>
                <c:pt idx="7">
                  <c:v>8.9189189189189198E-3</c:v>
                </c:pt>
                <c:pt idx="8">
                  <c:v>5.4054054054054057E-3</c:v>
                </c:pt>
                <c:pt idx="9">
                  <c:v>2.7027027027027027E-4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C12-4217-8AB6-47C18865D9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'4.08.KIIRA-JINJAROAD'!$AE$9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'4.08.KIIRA-JINJAROAD'!$R$10:$R$21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'4.08.KIIRA-JINJAROAD'!$AE$10:$AE$21</c:f>
              <c:numCache>
                <c:formatCode>0</c:formatCode>
                <c:ptCount val="12"/>
                <c:pt idx="0">
                  <c:v>109</c:v>
                </c:pt>
                <c:pt idx="1">
                  <c:v>214</c:v>
                </c:pt>
                <c:pt idx="2">
                  <c:v>275</c:v>
                </c:pt>
                <c:pt idx="3">
                  <c:v>411</c:v>
                </c:pt>
                <c:pt idx="4">
                  <c:v>419</c:v>
                </c:pt>
                <c:pt idx="5">
                  <c:v>459</c:v>
                </c:pt>
                <c:pt idx="6">
                  <c:v>735</c:v>
                </c:pt>
                <c:pt idx="7">
                  <c:v>609</c:v>
                </c:pt>
                <c:pt idx="8">
                  <c:v>504</c:v>
                </c:pt>
                <c:pt idx="9">
                  <c:v>543</c:v>
                </c:pt>
                <c:pt idx="10">
                  <c:v>553</c:v>
                </c:pt>
                <c:pt idx="11">
                  <c:v>1097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9DE-43FB-B018-4B429EDDE76A}"/>
            </c:ext>
          </c:extLst>
        </c:ser>
        <c:ser>
          <c:idx val="1"/>
          <c:order val="1"/>
          <c:tx>
            <c:strRef>
              <c:f>'4.08.KIIRA-JINJAROAD'!$AF$9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'4.08.KIIRA-JINJAROAD'!$R$10:$R$21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'4.08.KIIRA-JINJAROAD'!$AF$10:$AF$21</c:f>
              <c:numCache>
                <c:formatCode>0</c:formatCode>
                <c:ptCount val="12"/>
                <c:pt idx="0">
                  <c:v>320</c:v>
                </c:pt>
                <c:pt idx="1">
                  <c:v>504</c:v>
                </c:pt>
                <c:pt idx="2">
                  <c:v>639</c:v>
                </c:pt>
                <c:pt idx="3">
                  <c:v>842</c:v>
                </c:pt>
                <c:pt idx="4">
                  <c:v>788</c:v>
                </c:pt>
                <c:pt idx="5">
                  <c:v>893</c:v>
                </c:pt>
                <c:pt idx="6">
                  <c:v>1119</c:v>
                </c:pt>
                <c:pt idx="7">
                  <c:v>943</c:v>
                </c:pt>
                <c:pt idx="8">
                  <c:v>882</c:v>
                </c:pt>
                <c:pt idx="9">
                  <c:v>956</c:v>
                </c:pt>
                <c:pt idx="10">
                  <c:v>902</c:v>
                </c:pt>
                <c:pt idx="11">
                  <c:v>1097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9DE-43FB-B018-4B429EDDE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499136"/>
        <c:axId val="113525888"/>
      </c:lineChart>
      <c:catAx>
        <c:axId val="113499136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525888"/>
        <c:crosses val="autoZero"/>
        <c:auto val="1"/>
        <c:lblAlgn val="ctr"/>
        <c:lblOffset val="100"/>
        <c:noMultiLvlLbl val="0"/>
      </c:catAx>
      <c:valAx>
        <c:axId val="1135258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499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4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85F-4049-90B5-622F08A1EAA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85F-4049-90B5-622F08A1EAA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85F-4049-90B5-622F08A1EAA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85F-4049-90B5-622F08A1EAA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85F-4049-90B5-622F08A1EAA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85F-4049-90B5-622F08A1EAA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85F-4049-90B5-622F08A1EAA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85F-4049-90B5-622F08A1EAA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85F-4049-90B5-622F08A1EAA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85F-4049-90B5-622F08A1EAA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85F-4049-90B5-622F08A1EAA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85F-4049-90B5-622F08A1EAA3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85F-4049-90B5-622F08A1EAA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'4.08.KIIRA-JINJAROAD'!$C$9:$N$9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'4.08.KIIRA-JINJAROAD'!$C$59:$N$59</c:f>
              <c:numCache>
                <c:formatCode>0.0%</c:formatCode>
                <c:ptCount val="12"/>
                <c:pt idx="0">
                  <c:v>0.31340414769853314</c:v>
                </c:pt>
                <c:pt idx="1">
                  <c:v>0.19089529590288315</c:v>
                </c:pt>
                <c:pt idx="2">
                  <c:v>2.8123419322205363E-2</c:v>
                </c:pt>
                <c:pt idx="3">
                  <c:v>1.1229135053110774E-2</c:v>
                </c:pt>
                <c:pt idx="4">
                  <c:v>0</c:v>
                </c:pt>
                <c:pt idx="5">
                  <c:v>4.0465351542741526E-4</c:v>
                </c:pt>
                <c:pt idx="6">
                  <c:v>5.968639352554375E-3</c:v>
                </c:pt>
                <c:pt idx="7">
                  <c:v>3.8442083965604451E-3</c:v>
                </c:pt>
                <c:pt idx="8">
                  <c:v>1.618614061709661E-3</c:v>
                </c:pt>
                <c:pt idx="9">
                  <c:v>4.0465351542741526E-4</c:v>
                </c:pt>
                <c:pt idx="10">
                  <c:v>0.40030349013657057</c:v>
                </c:pt>
                <c:pt idx="11">
                  <c:v>4.3803743045017704E-2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85F-4049-90B5-622F08A1EA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4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Hourly</a:t>
            </a:r>
            <a:r>
              <a:rPr lang="en-US" b="1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Variation of Classified Traffic</a:t>
            </a:r>
            <a:endParaRPr lang="en-US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layout>
        <c:manualLayout>
          <c:xMode val="edge"/>
          <c:yMode val="edge"/>
          <c:x val="0.31244670799128937"/>
          <c:y val="2.296022663732377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'4.08.KIIRA-JINJAROAD'!$S$9</c:f>
              <c:strCache>
                <c:ptCount val="1"/>
                <c:pt idx="0">
                  <c:v>1. Car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'4.08.KIIRA-JINJAROAD'!$R$10:$R$21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'4.08.KIIRA-JINJAROAD'!$S$10:$S$21</c:f>
              <c:numCache>
                <c:formatCode>0</c:formatCode>
                <c:ptCount val="12"/>
                <c:pt idx="0">
                  <c:v>55</c:v>
                </c:pt>
                <c:pt idx="1">
                  <c:v>118</c:v>
                </c:pt>
                <c:pt idx="2">
                  <c:v>163</c:v>
                </c:pt>
                <c:pt idx="3">
                  <c:v>213</c:v>
                </c:pt>
                <c:pt idx="4">
                  <c:v>208</c:v>
                </c:pt>
                <c:pt idx="5">
                  <c:v>276</c:v>
                </c:pt>
                <c:pt idx="6">
                  <c:v>388</c:v>
                </c:pt>
                <c:pt idx="7">
                  <c:v>310</c:v>
                </c:pt>
                <c:pt idx="8">
                  <c:v>313</c:v>
                </c:pt>
                <c:pt idx="9">
                  <c:v>336</c:v>
                </c:pt>
                <c:pt idx="10">
                  <c:v>323</c:v>
                </c:pt>
                <c:pt idx="11">
                  <c:v>395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5793-4957-A836-ECDA67D2C747}"/>
            </c:ext>
          </c:extLst>
        </c:ser>
        <c:ser>
          <c:idx val="1"/>
          <c:order val="1"/>
          <c:tx>
            <c:strRef>
              <c:f>'4.08.KIIRA-JINJAROAD'!$T$9</c:f>
              <c:strCache>
                <c:ptCount val="1"/>
                <c:pt idx="0">
                  <c:v>2. Station Wagon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'4.08.KIIRA-JINJAROAD'!$R$10:$R$21</c:f>
              <c:strCache>
                <c:ptCount val="12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</c:strCache>
            </c:strRef>
          </c:cat>
          <c:val>
            <c:numRef>
              <c:f>'4.08.KIIRA-JINJAROAD'!$T$10:$T$21</c:f>
              <c:numCache>
                <c:formatCode>0</c:formatCode>
                <c:ptCount val="12"/>
                <c:pt idx="0">
                  <c:v>30</c:v>
                </c:pt>
                <c:pt idx="1">
                  <c:v>50</c:v>
                </c:pt>
                <c:pt idx="2">
                  <c:v>85</c:v>
                </c:pt>
                <c:pt idx="3">
                  <c:v>159</c:v>
                </c:pt>
                <c:pt idx="4">
                  <c:v>168</c:v>
                </c:pt>
                <c:pt idx="5">
                  <c:v>127</c:v>
                </c:pt>
                <c:pt idx="6">
                  <c:v>265</c:v>
                </c:pt>
                <c:pt idx="7">
                  <c:v>259</c:v>
                </c:pt>
                <c:pt idx="8">
                  <c:v>158</c:v>
                </c:pt>
                <c:pt idx="9">
                  <c:v>160</c:v>
                </c:pt>
                <c:pt idx="10">
                  <c:v>187</c:v>
                </c:pt>
                <c:pt idx="11">
                  <c:v>239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5793-4957-A836-ECDA67D2C747}"/>
            </c:ext>
          </c:extLst>
        </c:ser>
        <c:ser>
          <c:idx val="2"/>
          <c:order val="2"/>
          <c:tx>
            <c:strRef>
              <c:f>'4.08.KIIRA-JINJAROAD'!$U$9</c:f>
              <c:strCache>
                <c:ptCount val="1"/>
                <c:pt idx="0">
                  <c:v>3. Pickups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'4.08.KIIRA-JINJAROAD'!$U$10:$U$21</c:f>
              <c:numCache>
                <c:formatCode>0</c:formatCode>
                <c:ptCount val="12"/>
                <c:pt idx="0">
                  <c:v>14</c:v>
                </c:pt>
                <c:pt idx="1">
                  <c:v>24</c:v>
                </c:pt>
                <c:pt idx="2">
                  <c:v>10</c:v>
                </c:pt>
                <c:pt idx="3">
                  <c:v>22</c:v>
                </c:pt>
                <c:pt idx="4">
                  <c:v>20</c:v>
                </c:pt>
                <c:pt idx="5">
                  <c:v>26</c:v>
                </c:pt>
                <c:pt idx="6">
                  <c:v>67</c:v>
                </c:pt>
                <c:pt idx="7">
                  <c:v>19</c:v>
                </c:pt>
                <c:pt idx="8">
                  <c:v>18</c:v>
                </c:pt>
                <c:pt idx="9">
                  <c:v>23</c:v>
                </c:pt>
                <c:pt idx="10">
                  <c:v>22</c:v>
                </c:pt>
                <c:pt idx="11">
                  <c:v>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793-4957-A836-ECDA67D2C747}"/>
            </c:ext>
          </c:extLst>
        </c:ser>
        <c:ser>
          <c:idx val="3"/>
          <c:order val="3"/>
          <c:tx>
            <c:strRef>
              <c:f>'4.08.KIIRA-JINJAROAD'!$V$9</c:f>
              <c:strCache>
                <c:ptCount val="1"/>
                <c:pt idx="0">
                  <c:v>4. Minibus, matatu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'4.08.KIIRA-JINJAROAD'!$V$10:$V$21</c:f>
              <c:numCache>
                <c:formatCode>0</c:formatCode>
                <c:ptCount val="12"/>
                <c:pt idx="0">
                  <c:v>7</c:v>
                </c:pt>
                <c:pt idx="1">
                  <c:v>7</c:v>
                </c:pt>
                <c:pt idx="2">
                  <c:v>3</c:v>
                </c:pt>
                <c:pt idx="3">
                  <c:v>6</c:v>
                </c:pt>
                <c:pt idx="4">
                  <c:v>11</c:v>
                </c:pt>
                <c:pt idx="5">
                  <c:v>16</c:v>
                </c:pt>
                <c:pt idx="6">
                  <c:v>9</c:v>
                </c:pt>
                <c:pt idx="7">
                  <c:v>12</c:v>
                </c:pt>
                <c:pt idx="8">
                  <c:v>7</c:v>
                </c:pt>
                <c:pt idx="9">
                  <c:v>16</c:v>
                </c:pt>
                <c:pt idx="10">
                  <c:v>8</c:v>
                </c:pt>
                <c:pt idx="11">
                  <c:v>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793-4957-A836-ECDA67D2C747}"/>
            </c:ext>
          </c:extLst>
        </c:ser>
        <c:ser>
          <c:idx val="4"/>
          <c:order val="4"/>
          <c:tx>
            <c:strRef>
              <c:f>'4.08.KIIRA-JINJAROAD'!$W$9</c:f>
              <c:strCache>
                <c:ptCount val="1"/>
                <c:pt idx="0">
                  <c:v>5. Medium bus 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'4.08.KIIRA-JINJAROAD'!$W$10:$W$21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793-4957-A836-ECDA67D2C747}"/>
            </c:ext>
          </c:extLst>
        </c:ser>
        <c:ser>
          <c:idx val="5"/>
          <c:order val="5"/>
          <c:tx>
            <c:strRef>
              <c:f>'4.08.KIIRA-JINJAROAD'!$X$9</c:f>
              <c:strCache>
                <c:ptCount val="1"/>
                <c:pt idx="0">
                  <c:v>6. Large Bus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'4.08.KIIRA-JINJAROAD'!$X$10:$X$21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4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793-4957-A836-ECDA67D2C747}"/>
            </c:ext>
          </c:extLst>
        </c:ser>
        <c:ser>
          <c:idx val="6"/>
          <c:order val="6"/>
          <c:tx>
            <c:strRef>
              <c:f>'4.08.KIIRA-JINJAROAD'!$Y$9</c:f>
              <c:strCache>
                <c:ptCount val="1"/>
                <c:pt idx="0">
                  <c:v>7. Light Truck 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'4.08.KIIRA-JINJAROAD'!$Y$10:$Y$21</c:f>
              <c:numCache>
                <c:formatCode>0</c:formatCode>
                <c:ptCount val="12"/>
                <c:pt idx="0">
                  <c:v>2</c:v>
                </c:pt>
                <c:pt idx="1">
                  <c:v>11</c:v>
                </c:pt>
                <c:pt idx="2">
                  <c:v>6</c:v>
                </c:pt>
                <c:pt idx="3">
                  <c:v>5</c:v>
                </c:pt>
                <c:pt idx="4">
                  <c:v>5</c:v>
                </c:pt>
                <c:pt idx="5">
                  <c:v>6</c:v>
                </c:pt>
                <c:pt idx="6">
                  <c:v>3</c:v>
                </c:pt>
                <c:pt idx="7">
                  <c:v>2</c:v>
                </c:pt>
                <c:pt idx="8">
                  <c:v>6</c:v>
                </c:pt>
                <c:pt idx="9">
                  <c:v>6</c:v>
                </c:pt>
                <c:pt idx="10">
                  <c:v>7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793-4957-A836-ECDA67D2C747}"/>
            </c:ext>
          </c:extLst>
        </c:ser>
        <c:ser>
          <c:idx val="7"/>
          <c:order val="7"/>
          <c:tx>
            <c:strRef>
              <c:f>'4.08.KIIRA-JINJAROAD'!$Z$9</c:f>
              <c:strCache>
                <c:ptCount val="1"/>
                <c:pt idx="0">
                  <c:v>8. Medium Truck 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'4.08.KIIRA-JINJAROAD'!$Z$10:$Z$21</c:f>
              <c:numCache>
                <c:formatCode>0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2</c:v>
                </c:pt>
                <c:pt idx="3">
                  <c:v>6</c:v>
                </c:pt>
                <c:pt idx="4">
                  <c:v>7</c:v>
                </c:pt>
                <c:pt idx="5">
                  <c:v>5</c:v>
                </c:pt>
                <c:pt idx="6">
                  <c:v>3</c:v>
                </c:pt>
                <c:pt idx="7">
                  <c:v>1</c:v>
                </c:pt>
                <c:pt idx="8">
                  <c:v>2</c:v>
                </c:pt>
                <c:pt idx="9">
                  <c:v>2</c:v>
                </c:pt>
                <c:pt idx="10">
                  <c:v>5</c:v>
                </c:pt>
                <c:pt idx="11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793-4957-A836-ECDA67D2C747}"/>
            </c:ext>
          </c:extLst>
        </c:ser>
        <c:ser>
          <c:idx val="8"/>
          <c:order val="8"/>
          <c:tx>
            <c:strRef>
              <c:f>'4.08.KIIRA-JINJAROAD'!$AA$9</c:f>
              <c:strCache>
                <c:ptCount val="1"/>
                <c:pt idx="0">
                  <c:v>9. Heavy truck 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'4.08.KIIRA-JINJAROAD'!$AA$10:$AA$21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6</c:v>
                </c:pt>
                <c:pt idx="3">
                  <c:v>0</c:v>
                </c:pt>
                <c:pt idx="4">
                  <c:v>0</c:v>
                </c:pt>
                <c:pt idx="5">
                  <c:v>3</c:v>
                </c:pt>
                <c:pt idx="6">
                  <c:v>0</c:v>
                </c:pt>
                <c:pt idx="7">
                  <c:v>2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793-4957-A836-ECDA67D2C747}"/>
            </c:ext>
          </c:extLst>
        </c:ser>
        <c:ser>
          <c:idx val="9"/>
          <c:order val="9"/>
          <c:tx>
            <c:strRef>
              <c:f>'4.08.KIIRA-JINJAROAD'!$AB$9</c:f>
              <c:strCache>
                <c:ptCount val="1"/>
                <c:pt idx="0">
                  <c:v>10. Truck Trailer 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'4.08.KIIRA-JINJAROAD'!$AB$10:$AB$21</c:f>
              <c:numCache>
                <c:formatCode>0</c:formatCode>
                <c:ptCount val="12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793-4957-A836-ECDA67D2C747}"/>
            </c:ext>
          </c:extLst>
        </c:ser>
        <c:ser>
          <c:idx val="10"/>
          <c:order val="10"/>
          <c:tx>
            <c:strRef>
              <c:f>'4.08.KIIRA-JINJAROAD'!$AC$9</c:f>
              <c:strCache>
                <c:ptCount val="1"/>
                <c:pt idx="0">
                  <c:v>11. Motorcycles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'4.08.KIIRA-JINJAROAD'!$AC$10:$AC$21</c:f>
              <c:numCache>
                <c:formatCode>0</c:formatCode>
                <c:ptCount val="12"/>
                <c:pt idx="0">
                  <c:v>211</c:v>
                </c:pt>
                <c:pt idx="1">
                  <c:v>290</c:v>
                </c:pt>
                <c:pt idx="2">
                  <c:v>364</c:v>
                </c:pt>
                <c:pt idx="3">
                  <c:v>431</c:v>
                </c:pt>
                <c:pt idx="4">
                  <c:v>369</c:v>
                </c:pt>
                <c:pt idx="5">
                  <c:v>434</c:v>
                </c:pt>
                <c:pt idx="6">
                  <c:v>384</c:v>
                </c:pt>
                <c:pt idx="7">
                  <c:v>334</c:v>
                </c:pt>
                <c:pt idx="8">
                  <c:v>378</c:v>
                </c:pt>
                <c:pt idx="9">
                  <c:v>413</c:v>
                </c:pt>
                <c:pt idx="10">
                  <c:v>349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793-4957-A836-ECDA67D2C747}"/>
            </c:ext>
          </c:extLst>
        </c:ser>
        <c:ser>
          <c:idx val="11"/>
          <c:order val="11"/>
          <c:tx>
            <c:strRef>
              <c:f>'4.08.KIIRA-JINJAROAD'!$AD$9</c:f>
              <c:strCache>
                <c:ptCount val="1"/>
                <c:pt idx="0">
                  <c:v>12. Tractors, Graders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'4.08.KIIRA-JINJAROAD'!$AD$10:$AD$21</c:f>
              <c:numCache>
                <c:formatCode>0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433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793-4957-A836-ECDA67D2C7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3701632"/>
        <c:axId val="113703168"/>
      </c:lineChart>
      <c:catAx>
        <c:axId val="1137016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03168"/>
        <c:crosses val="autoZero"/>
        <c:auto val="1"/>
        <c:lblAlgn val="ctr"/>
        <c:lblOffset val="100"/>
        <c:noMultiLvlLbl val="0"/>
      </c:catAx>
      <c:valAx>
        <c:axId val="11370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r>
                  <a:rPr lang="en-US" sz="105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 Volume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7016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CB0-4F20-A91A-77634015494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CB0-4F20-A91A-77634015494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ACB0-4F20-A91A-77634015494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CB0-4F20-A91A-77634015494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CB0-4F20-A91A-77634015494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ACB0-4F20-A91A-77634015494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ACB0-4F20-A91A-77634015494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ACB0-4F20-A91A-77634015494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ACB0-4F20-A91A-77634015494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ACB0-4F20-A91A-77634015494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ACB0-4F20-A91A-77634015494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ACB0-4F20-A91A-776340154943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ACB0-4F20-A91A-7763401549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'4.08.KIIRA-JINJAROAD'!$C$9:$N$9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'4.08.KIIRA-JINJAROAD'!$C$60:$N$60</c:f>
              <c:numCache>
                <c:formatCode>0.00%</c:formatCode>
                <c:ptCount val="12"/>
                <c:pt idx="0">
                  <c:v>0.5226045883940621</c:v>
                </c:pt>
                <c:pt idx="1">
                  <c:v>0.31831983805668018</c:v>
                </c:pt>
                <c:pt idx="2">
                  <c:v>4.6896086369770579E-2</c:v>
                </c:pt>
                <c:pt idx="3">
                  <c:v>1.8724696356275303E-2</c:v>
                </c:pt>
                <c:pt idx="4">
                  <c:v>0</c:v>
                </c:pt>
                <c:pt idx="5">
                  <c:v>6.7476383265856947E-4</c:v>
                </c:pt>
                <c:pt idx="6">
                  <c:v>9.9527665317139004E-3</c:v>
                </c:pt>
                <c:pt idx="7">
                  <c:v>6.41025641025641E-3</c:v>
                </c:pt>
                <c:pt idx="8">
                  <c:v>2.6990553306342779E-3</c:v>
                </c:pt>
                <c:pt idx="9">
                  <c:v>6.7476383265856947E-4</c:v>
                </c:pt>
                <c:pt idx="11">
                  <c:v>7.3043184885290144E-2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ACB0-4F20-A91A-776340154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Jinja Rd-Kiira 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Jinja Rd-Kiira 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 Rd-Kiira '!$AE$10:$AE$33</c:f>
              <c:numCache>
                <c:formatCode>0</c:formatCode>
                <c:ptCount val="24"/>
                <c:pt idx="0">
                  <c:v>336.71428571428567</c:v>
                </c:pt>
                <c:pt idx="1">
                  <c:v>333.85714285714289</c:v>
                </c:pt>
                <c:pt idx="2">
                  <c:v>429.57142857142861</c:v>
                </c:pt>
                <c:pt idx="3">
                  <c:v>513.14285714285711</c:v>
                </c:pt>
                <c:pt idx="4">
                  <c:v>491.57142857142861</c:v>
                </c:pt>
                <c:pt idx="5">
                  <c:v>629.71428571428567</c:v>
                </c:pt>
                <c:pt idx="6">
                  <c:v>653.16666666666652</c:v>
                </c:pt>
                <c:pt idx="7">
                  <c:v>633.57142857142856</c:v>
                </c:pt>
                <c:pt idx="8">
                  <c:v>621.85714285714278</c:v>
                </c:pt>
                <c:pt idx="9">
                  <c:v>655</c:v>
                </c:pt>
                <c:pt idx="10">
                  <c:v>721.28571428571422</c:v>
                </c:pt>
                <c:pt idx="11">
                  <c:v>712.57142857142856</c:v>
                </c:pt>
                <c:pt idx="12">
                  <c:v>416.5</c:v>
                </c:pt>
                <c:pt idx="13">
                  <c:v>348</c:v>
                </c:pt>
                <c:pt idx="14">
                  <c:v>292.5</c:v>
                </c:pt>
                <c:pt idx="15">
                  <c:v>227</c:v>
                </c:pt>
                <c:pt idx="16">
                  <c:v>179.5</c:v>
                </c:pt>
                <c:pt idx="17">
                  <c:v>136.5</c:v>
                </c:pt>
                <c:pt idx="18">
                  <c:v>77</c:v>
                </c:pt>
                <c:pt idx="19">
                  <c:v>63.5</c:v>
                </c:pt>
                <c:pt idx="20">
                  <c:v>43.5</c:v>
                </c:pt>
                <c:pt idx="21">
                  <c:v>39</c:v>
                </c:pt>
                <c:pt idx="22">
                  <c:v>32.5</c:v>
                </c:pt>
                <c:pt idx="23">
                  <c:v>133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E85-422C-8502-C8D950B820C5}"/>
            </c:ext>
          </c:extLst>
        </c:ser>
        <c:ser>
          <c:idx val="1"/>
          <c:order val="1"/>
          <c:tx>
            <c:strRef>
              <c:f>'Avg Week Jinja Rd-Kiira 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Jinja Rd-Kiira 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 Rd-Kiira '!$AF$10:$AF$33</c:f>
              <c:numCache>
                <c:formatCode>0</c:formatCode>
                <c:ptCount val="24"/>
                <c:pt idx="0">
                  <c:v>819.71428571428555</c:v>
                </c:pt>
                <c:pt idx="1">
                  <c:v>959.57142857142867</c:v>
                </c:pt>
                <c:pt idx="2">
                  <c:v>984.42857142857156</c:v>
                </c:pt>
                <c:pt idx="3">
                  <c:v>1049.8571428571429</c:v>
                </c:pt>
                <c:pt idx="4">
                  <c:v>1011.7142857142858</c:v>
                </c:pt>
                <c:pt idx="5">
                  <c:v>1103</c:v>
                </c:pt>
                <c:pt idx="6">
                  <c:v>1132.5952380952381</c:v>
                </c:pt>
                <c:pt idx="7">
                  <c:v>1149.2857142857142</c:v>
                </c:pt>
                <c:pt idx="8">
                  <c:v>1194.2857142857142</c:v>
                </c:pt>
                <c:pt idx="9">
                  <c:v>1267.7142857142858</c:v>
                </c:pt>
                <c:pt idx="10">
                  <c:v>1345.7142857142858</c:v>
                </c:pt>
                <c:pt idx="11">
                  <c:v>1259</c:v>
                </c:pt>
                <c:pt idx="12">
                  <c:v>956.5</c:v>
                </c:pt>
                <c:pt idx="13">
                  <c:v>758</c:v>
                </c:pt>
                <c:pt idx="14">
                  <c:v>497</c:v>
                </c:pt>
                <c:pt idx="15">
                  <c:v>419.5</c:v>
                </c:pt>
                <c:pt idx="16">
                  <c:v>365</c:v>
                </c:pt>
                <c:pt idx="17">
                  <c:v>259</c:v>
                </c:pt>
                <c:pt idx="18">
                  <c:v>159.5</c:v>
                </c:pt>
                <c:pt idx="19">
                  <c:v>103</c:v>
                </c:pt>
                <c:pt idx="20">
                  <c:v>72</c:v>
                </c:pt>
                <c:pt idx="21">
                  <c:v>78</c:v>
                </c:pt>
                <c:pt idx="22">
                  <c:v>101.5</c:v>
                </c:pt>
                <c:pt idx="23">
                  <c:v>268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E85-422C-8502-C8D950B8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904640"/>
        <c:axId val="113915008"/>
      </c:lineChart>
      <c:catAx>
        <c:axId val="113904640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915008"/>
        <c:crosses val="autoZero"/>
        <c:auto val="1"/>
        <c:lblAlgn val="ctr"/>
        <c:lblOffset val="100"/>
        <c:noMultiLvlLbl val="0"/>
      </c:catAx>
      <c:valAx>
        <c:axId val="11391500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3904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0432998816324431"/>
          <c:y val="6.0785224929122972E-2"/>
          <c:w val="0.81748381452318464"/>
          <c:h val="0.7590239920770097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5E7-413A-BC41-2C6194EF8EC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15E7-413A-BC41-2C6194EF8EC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15E7-413A-BC41-2C6194EF8EC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5E7-413A-BC41-2C6194EF8EC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15E7-413A-BC41-2C6194EF8EC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15E7-413A-BC41-2C6194EF8EC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15E7-413A-BC41-2C6194EF8EC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15E7-413A-BC41-2C6194EF8EC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15E7-413A-BC41-2C6194EF8EC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15E7-413A-BC41-2C6194EF8EC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15E7-413A-BC41-2C6194EF8EC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15E7-413A-BC41-2C6194EF8EC3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15E7-413A-BC41-2C6194EF8EC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 Rd-Kiira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 Rd-Kiira '!$C$107:$N$107</c:f>
              <c:numCache>
                <c:formatCode>0.0%</c:formatCode>
                <c:ptCount val="12"/>
                <c:pt idx="0">
                  <c:v>0.29973060426330095</c:v>
                </c:pt>
                <c:pt idx="1">
                  <c:v>0.14248682931256643</c:v>
                </c:pt>
                <c:pt idx="2">
                  <c:v>3.6514880023322878E-2</c:v>
                </c:pt>
                <c:pt idx="3">
                  <c:v>1.0702945475898088E-2</c:v>
                </c:pt>
                <c:pt idx="4">
                  <c:v>7.59093653179461E-4</c:v>
                </c:pt>
                <c:pt idx="5">
                  <c:v>2.3515401212624598E-4</c:v>
                </c:pt>
                <c:pt idx="6">
                  <c:v>7.4877988071778328E-3</c:v>
                </c:pt>
                <c:pt idx="7">
                  <c:v>3.8408488647286854E-3</c:v>
                </c:pt>
                <c:pt idx="8">
                  <c:v>1.1675190426618882E-3</c:v>
                </c:pt>
                <c:pt idx="9">
                  <c:v>7.219640723174223E-4</c:v>
                </c:pt>
                <c:pt idx="10">
                  <c:v>0.49632760941881199</c:v>
                </c:pt>
                <c:pt idx="11">
                  <c:v>2.4753053908025899E-5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15E7-413A-BC41-2C6194EF8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4584580250731489E-2"/>
          <c:y val="0.24133245844269471"/>
          <c:w val="0.82182781835050078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80A-4F64-9F70-B5B6C796803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80A-4F64-9F70-B5B6C796803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80A-4F64-9F70-B5B6C796803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80A-4F64-9F70-B5B6C796803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80A-4F64-9F70-B5B6C796803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80A-4F64-9F70-B5B6C796803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80A-4F64-9F70-B5B6C796803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80A-4F64-9F70-B5B6C796803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80A-4F64-9F70-B5B6C796803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80A-4F64-9F70-B5B6C796803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80A-4F64-9F70-B5B6C796803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80A-4F64-9F70-B5B6C796803E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80A-4F64-9F70-B5B6C796803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 Rd-Kiira 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 Rd-Kiira '!$C$108:$N$108</c:f>
              <c:numCache>
                <c:formatCode>0.00%</c:formatCode>
                <c:ptCount val="12"/>
                <c:pt idx="0">
                  <c:v>0.59509039976847178</c:v>
                </c:pt>
                <c:pt idx="1">
                  <c:v>0.28289585051138255</c:v>
                </c:pt>
                <c:pt idx="2">
                  <c:v>7.2497283365459714E-2</c:v>
                </c:pt>
                <c:pt idx="3">
                  <c:v>2.1249815705697016E-2</c:v>
                </c:pt>
                <c:pt idx="4">
                  <c:v>1.5071178555241878E-3</c:v>
                </c:pt>
                <c:pt idx="5">
                  <c:v>4.6687890089607974E-4</c:v>
                </c:pt>
                <c:pt idx="6">
                  <c:v>1.4866407107480434E-2</c:v>
                </c:pt>
                <c:pt idx="7">
                  <c:v>7.6256887146359713E-3</c:v>
                </c:pt>
                <c:pt idx="8">
                  <c:v>2.318012788659484E-3</c:v>
                </c:pt>
                <c:pt idx="9">
                  <c:v>1.4334001343300701E-3</c:v>
                </c:pt>
                <c:pt idx="11">
                  <c:v>4.9145147462745246E-5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80A-4F64-9F70-B5B6C79680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264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'Avg Week Kiira-JinjaRoad'!$AE$9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Kiira-JinjaRoad'!$R$10:$R$33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Kiira-JinjaRoad'!$AE$10:$AE$33</c:f>
              <c:numCache>
                <c:formatCode>0</c:formatCode>
                <c:ptCount val="24"/>
                <c:pt idx="0">
                  <c:v>539</c:v>
                </c:pt>
                <c:pt idx="1">
                  <c:v>665.28571428571422</c:v>
                </c:pt>
                <c:pt idx="2">
                  <c:v>794.57142857142856</c:v>
                </c:pt>
                <c:pt idx="3">
                  <c:v>813.99999999999989</c:v>
                </c:pt>
                <c:pt idx="4">
                  <c:v>769.85714285714289</c:v>
                </c:pt>
                <c:pt idx="5">
                  <c:v>734.42857142857144</c:v>
                </c:pt>
                <c:pt idx="6">
                  <c:v>770.14285714285711</c:v>
                </c:pt>
                <c:pt idx="7">
                  <c:v>787.85714285714289</c:v>
                </c:pt>
                <c:pt idx="8">
                  <c:v>746</c:v>
                </c:pt>
                <c:pt idx="9">
                  <c:v>778.85714285714278</c:v>
                </c:pt>
                <c:pt idx="10">
                  <c:v>2073.5714285714284</c:v>
                </c:pt>
                <c:pt idx="11">
                  <c:v>791.14285714285711</c:v>
                </c:pt>
                <c:pt idx="12">
                  <c:v>638</c:v>
                </c:pt>
                <c:pt idx="13">
                  <c:v>686.5</c:v>
                </c:pt>
                <c:pt idx="14">
                  <c:v>544</c:v>
                </c:pt>
                <c:pt idx="15">
                  <c:v>504.5</c:v>
                </c:pt>
                <c:pt idx="16">
                  <c:v>423</c:v>
                </c:pt>
                <c:pt idx="17">
                  <c:v>272</c:v>
                </c:pt>
                <c:pt idx="18">
                  <c:v>241.5</c:v>
                </c:pt>
                <c:pt idx="19">
                  <c:v>164.5</c:v>
                </c:pt>
                <c:pt idx="20">
                  <c:v>129.5</c:v>
                </c:pt>
                <c:pt idx="21">
                  <c:v>104</c:v>
                </c:pt>
                <c:pt idx="22">
                  <c:v>97</c:v>
                </c:pt>
                <c:pt idx="23">
                  <c:v>227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6F8-46F1-A26B-8380F37E487A}"/>
            </c:ext>
          </c:extLst>
        </c:ser>
        <c:ser>
          <c:idx val="1"/>
          <c:order val="1"/>
          <c:tx>
            <c:strRef>
              <c:f>'Avg Week Kiira-JinjaRoad'!$AF$9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Kiira-JinjaRoad'!$R$10:$R$33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Kiira-JinjaRoad'!$AF$10:$AF$33</c:f>
              <c:numCache>
                <c:formatCode>0</c:formatCode>
                <c:ptCount val="24"/>
                <c:pt idx="0">
                  <c:v>1017.1428571428571</c:v>
                </c:pt>
                <c:pt idx="1">
                  <c:v>1385.8571428571427</c:v>
                </c:pt>
                <c:pt idx="2">
                  <c:v>1475.2857142857142</c:v>
                </c:pt>
                <c:pt idx="3">
                  <c:v>1497.4285714285716</c:v>
                </c:pt>
                <c:pt idx="4">
                  <c:v>1477.7142857142858</c:v>
                </c:pt>
                <c:pt idx="5">
                  <c:v>1469</c:v>
                </c:pt>
                <c:pt idx="6">
                  <c:v>1470.1428571428573</c:v>
                </c:pt>
                <c:pt idx="7">
                  <c:v>1478</c:v>
                </c:pt>
                <c:pt idx="8">
                  <c:v>1499.5714285714284</c:v>
                </c:pt>
                <c:pt idx="9">
                  <c:v>1497.8571428571429</c:v>
                </c:pt>
                <c:pt idx="10">
                  <c:v>2828.5714285714284</c:v>
                </c:pt>
                <c:pt idx="11">
                  <c:v>1465.5714285714284</c:v>
                </c:pt>
                <c:pt idx="12">
                  <c:v>1308</c:v>
                </c:pt>
                <c:pt idx="13">
                  <c:v>1232</c:v>
                </c:pt>
                <c:pt idx="14">
                  <c:v>873</c:v>
                </c:pt>
                <c:pt idx="15">
                  <c:v>735.5</c:v>
                </c:pt>
                <c:pt idx="16">
                  <c:v>617</c:v>
                </c:pt>
                <c:pt idx="17">
                  <c:v>391.5</c:v>
                </c:pt>
                <c:pt idx="18">
                  <c:v>312.5</c:v>
                </c:pt>
                <c:pt idx="19">
                  <c:v>236.5</c:v>
                </c:pt>
                <c:pt idx="20">
                  <c:v>173.5</c:v>
                </c:pt>
                <c:pt idx="21">
                  <c:v>158</c:v>
                </c:pt>
                <c:pt idx="22">
                  <c:v>161</c:v>
                </c:pt>
                <c:pt idx="23">
                  <c:v>403.5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6F8-46F1-A26B-8380F37E48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4568192"/>
        <c:axId val="114570368"/>
      </c:lineChart>
      <c:catAx>
        <c:axId val="114568192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570368"/>
        <c:crosses val="autoZero"/>
        <c:auto val="1"/>
        <c:lblAlgn val="ctr"/>
        <c:lblOffset val="100"/>
        <c:noMultiLvlLbl val="0"/>
      </c:catAx>
      <c:valAx>
        <c:axId val="11457036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5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145681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/>
  </c:printSettings>
</c:chartSpace>
</file>

<file path=xl/charts/chart5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200162626730482"/>
          <c:y val="6.3553245164742755E-2"/>
          <c:w val="0.81748381452318464"/>
          <c:h val="0.75862177421997012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3B84-4A7D-9CBD-0C2ADBE1B04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3B84-4A7D-9CBD-0C2ADBE1B04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3B84-4A7D-9CBD-0C2ADBE1B04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3B84-4A7D-9CBD-0C2ADBE1B04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3B84-4A7D-9CBD-0C2ADBE1B04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3B84-4A7D-9CBD-0C2ADBE1B04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3B84-4A7D-9CBD-0C2ADBE1B04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3B84-4A7D-9CBD-0C2ADBE1B04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3B84-4A7D-9CBD-0C2ADBE1B04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3B84-4A7D-9CBD-0C2ADBE1B04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3B84-4A7D-9CBD-0C2ADBE1B04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3B84-4A7D-9CBD-0C2ADBE1B04D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3B84-4A7D-9CBD-0C2ADBE1B04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Kiira-JinjaRoad'!$C$9:$N$9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Kiira-JinjaRoad'!$C$107:$N$107</c:f>
              <c:numCache>
                <c:formatCode>0.0%</c:formatCode>
                <c:ptCount val="12"/>
                <c:pt idx="0">
                  <c:v>0.37130497476568131</c:v>
                </c:pt>
                <c:pt idx="1">
                  <c:v>0.12371344713850205</c:v>
                </c:pt>
                <c:pt idx="2">
                  <c:v>3.7601689478793519E-2</c:v>
                </c:pt>
                <c:pt idx="3">
                  <c:v>1.516897626441251E-2</c:v>
                </c:pt>
                <c:pt idx="4">
                  <c:v>6.925954731505713E-4</c:v>
                </c:pt>
                <c:pt idx="5">
                  <c:v>1.9301841055015915E-4</c:v>
                </c:pt>
                <c:pt idx="6">
                  <c:v>1.1447694849246941E-2</c:v>
                </c:pt>
                <c:pt idx="7">
                  <c:v>3.9540389102407604E-3</c:v>
                </c:pt>
                <c:pt idx="8">
                  <c:v>1.1751414995259692E-3</c:v>
                </c:pt>
                <c:pt idx="9">
                  <c:v>4.0874486940033721E-4</c:v>
                </c:pt>
                <c:pt idx="10">
                  <c:v>0.43188153211201874</c:v>
                </c:pt>
                <c:pt idx="11">
                  <c:v>2.4581462284770273E-3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3B84-4A7D-9CBD-0C2ADBE1B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2167661821728471E-2"/>
          <c:y val="0.23855468066491689"/>
          <c:w val="0.82182781835050078"/>
          <c:h val="0.75846019247594054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8B8A-48E6-9C2F-F83D2727468E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8B8A-48E6-9C2F-F83D2727468E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8B8A-48E6-9C2F-F83D2727468E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8B8A-48E6-9C2F-F83D2727468E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8B8A-48E6-9C2F-F83D2727468E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8B8A-48E6-9C2F-F83D2727468E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8B8A-48E6-9C2F-F83D2727468E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8B8A-48E6-9C2F-F83D2727468E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8B8A-48E6-9C2F-F83D2727468E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8B8A-48E6-9C2F-F83D2727468E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8B8A-48E6-9C2F-F83D2727468E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8B8A-48E6-9C2F-F83D2727468E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8B8A-48E6-9C2F-F83D2727468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Kiira-JinjaRoad'!$C$9:$N$9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Kiira-JinjaRoad'!$C$108:$N$108</c:f>
              <c:numCache>
                <c:formatCode>0.00%</c:formatCode>
                <c:ptCount val="12"/>
                <c:pt idx="0">
                  <c:v>0.65356962632465154</c:v>
                </c:pt>
                <c:pt idx="1">
                  <c:v>0.21775994643936711</c:v>
                </c:pt>
                <c:pt idx="2">
                  <c:v>6.6186353030522574E-2</c:v>
                </c:pt>
                <c:pt idx="3">
                  <c:v>2.6700375224210204E-2</c:v>
                </c:pt>
                <c:pt idx="4">
                  <c:v>1.2191039585904362E-3</c:v>
                </c:pt>
                <c:pt idx="5">
                  <c:v>3.3975028354159688E-4</c:v>
                </c:pt>
                <c:pt idx="6">
                  <c:v>2.0150189610636183E-2</c:v>
                </c:pt>
                <c:pt idx="7">
                  <c:v>6.9598844849035951E-3</c:v>
                </c:pt>
                <c:pt idx="8">
                  <c:v>2.0684796674444285E-3</c:v>
                </c:pt>
                <c:pt idx="9">
                  <c:v>7.1947118867632311E-4</c:v>
                </c:pt>
                <c:pt idx="11">
                  <c:v>4.32681978745622E-3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8B8A-48E6-9C2F-F83D272746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0.13869033037536976"/>
          <c:y val="8.2418098547398178E-2"/>
          <c:w val="0.82843944506936629"/>
          <c:h val="0.76176309945062537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D9B1-462A-9165-7345BB81096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D9B1-462A-9165-7345BB81096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D9B1-462A-9165-7345BB81096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D9B1-462A-9165-7345BB81096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D9B1-462A-9165-7345BB81096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D9B1-462A-9165-7345BB810963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D9B1-462A-9165-7345BB810963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D9B1-462A-9165-7345BB810963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D9B1-462A-9165-7345BB810963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D9B1-462A-9165-7345BB810963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D9B1-462A-9165-7345BB810963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D9B1-462A-9165-7345BB810963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D9B1-462A-9165-7345BB81096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 RD-Kiira-2Dir'!$C$9:$N$9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 RD-Kiira-2Dir'!$C$107:$N$107</c:f>
              <c:numCache>
                <c:formatCode>0.0%</c:formatCode>
                <c:ptCount val="12"/>
                <c:pt idx="0">
                  <c:v>0.34213153356049081</c:v>
                </c:pt>
                <c:pt idx="1">
                  <c:v>0.13136540631374088</c:v>
                </c:pt>
                <c:pt idx="2">
                  <c:v>3.7158710078096388E-2</c:v>
                </c:pt>
                <c:pt idx="3">
                  <c:v>1.3348639100218201E-2</c:v>
                </c:pt>
                <c:pt idx="4">
                  <c:v>7.1969987842452948E-4</c:v>
                </c:pt>
                <c:pt idx="5">
                  <c:v>2.1019272150249121E-4</c:v>
                </c:pt>
                <c:pt idx="6">
                  <c:v>9.8336562827725446E-3</c:v>
                </c:pt>
                <c:pt idx="7">
                  <c:v>3.9079030781743141E-3</c:v>
                </c:pt>
                <c:pt idx="8">
                  <c:v>1.1720346150978901E-3</c:v>
                </c:pt>
                <c:pt idx="9">
                  <c:v>5.3641182527435741E-4</c:v>
                </c:pt>
                <c:pt idx="10">
                  <c:v>0.45814950812100574</c:v>
                </c:pt>
                <c:pt idx="11">
                  <c:v>1.4663044252013781E-3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D9B1-462A-9165-7345BB8109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Average Vehicle Proportions without Motor Cycles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8.7039869965677016E-2"/>
          <c:y val="0.23649909267910038"/>
          <c:w val="0.82101228366016787"/>
          <c:h val="0.76161007908280043"/>
        </c:manualLayout>
      </c:layout>
      <c:pie3DChart>
        <c:varyColors val="1"/>
        <c:ser>
          <c:idx val="0"/>
          <c:order val="0"/>
          <c:explosion val="9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0EAD-440A-938B-73199DDCAD0D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0EAD-440A-938B-73199DDCAD0D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0EAD-440A-938B-73199DDCAD0D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EAD-440A-938B-73199DDCAD0D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0EAD-440A-938B-73199DDCAD0D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0EAD-440A-938B-73199DDCAD0D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0EAD-440A-938B-73199DDCAD0D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0EAD-440A-938B-73199DDCAD0D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0EAD-440A-938B-73199DDCAD0D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0EAD-440A-938B-73199DDCAD0D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0EAD-440A-938B-73199DDCAD0D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7-0EAD-440A-938B-73199DDCAD0D}"/>
              </c:ext>
            </c:extLst>
          </c:dPt>
          <c:dLbls>
            <c:dLbl>
              <c:idx val="10"/>
              <c:layout>
                <c:manualLayout>
                  <c:x val="-2.617530457693977E-2"/>
                  <c:y val="-3.2434080003295201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5-0EAD-440A-938B-73199DDCAD0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'Avg Week Jinja RD-Kiira-2Dir'!$C$9:$N$9</c:f>
              <c:strCache>
                <c:ptCount val="12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 cycles</c:v>
                </c:pt>
                <c:pt idx="11">
                  <c:v>12. Tractors</c:v>
                </c:pt>
              </c:strCache>
            </c:strRef>
          </c:cat>
          <c:val>
            <c:numRef>
              <c:f>'Avg Week Jinja RD-Kiira-2Dir'!$C$108:$N$108</c:f>
              <c:numCache>
                <c:formatCode>0.00%</c:formatCode>
                <c:ptCount val="12"/>
                <c:pt idx="0">
                  <c:v>0.63141316412590009</c:v>
                </c:pt>
                <c:pt idx="1">
                  <c:v>0.24243847386425818</c:v>
                </c:pt>
                <c:pt idx="2">
                  <c:v>6.8577422434811935E-2</c:v>
                </c:pt>
                <c:pt idx="3">
                  <c:v>2.4635280949784989E-2</c:v>
                </c:pt>
                <c:pt idx="4">
                  <c:v>1.3282259390940134E-3</c:v>
                </c:pt>
                <c:pt idx="5">
                  <c:v>3.8791645417465365E-4</c:v>
                </c:pt>
                <c:pt idx="6">
                  <c:v>1.814828339210699E-2</c:v>
                </c:pt>
                <c:pt idx="7">
                  <c:v>7.2121427160151564E-3</c:v>
                </c:pt>
                <c:pt idx="8">
                  <c:v>2.1630221484778673E-3</c:v>
                </c:pt>
                <c:pt idx="9">
                  <c:v>9.8996279105371585E-4</c:v>
                </c:pt>
                <c:pt idx="11">
                  <c:v>2.7061051843223828E-3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8-0EAD-440A-938B-73199DDCAD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22" l="0.70000000000000062" r="0.70000000000000062" t="0.75000000000000122" header="0.30000000000000032" footer="0.30000000000000032"/>
    <c:pageSetup/>
  </c:printSettings>
</c:chartSpace>
</file>

<file path=xl/charts/chart5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1200" b="1" i="0" baseline="0">
                <a:effectLst/>
              </a:rPr>
              <a:t>Average Hourly Traffic Variation </a:t>
            </a:r>
            <a:endParaRPr lang="x-none" sz="1000">
              <a:effectLst/>
            </a:endParaRPr>
          </a:p>
        </c:rich>
      </c:tx>
      <c:layout>
        <c:manualLayout>
          <c:xMode val="edge"/>
          <c:yMode val="edge"/>
          <c:x val="0.32631032509630192"/>
          <c:y val="2.6504260748158488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9.2205989512129785E-2"/>
          <c:y val="9.5768624478110825E-2"/>
          <c:w val="0.88636855234397283"/>
          <c:h val="0.65054452836231913"/>
        </c:manualLayout>
      </c:layout>
      <c:lineChart>
        <c:grouping val="standard"/>
        <c:varyColors val="0"/>
        <c:ser>
          <c:idx val="0"/>
          <c:order val="0"/>
          <c:tx>
            <c:strRef>
              <c:f>'Avg Week Jinja RD-Kiira-2Dir'!$AE$9</c:f>
              <c:strCache>
                <c:ptCount val="1"/>
                <c:pt idx="0">
                  <c:v>Total Excl M/ Cycles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triangle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'Avg Week Jinja RD-Kiira-2Dir'!$R$10:$R$33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 RD-Kiira-2Dir'!$AE$10:$AE$33</c:f>
              <c:numCache>
                <c:formatCode>0</c:formatCode>
                <c:ptCount val="24"/>
                <c:pt idx="0">
                  <c:v>875.71428571428578</c:v>
                </c:pt>
                <c:pt idx="1">
                  <c:v>999.142857142857</c:v>
                </c:pt>
                <c:pt idx="2">
                  <c:v>1224.1428571428571</c:v>
                </c:pt>
                <c:pt idx="3">
                  <c:v>1327.1428571428573</c:v>
                </c:pt>
                <c:pt idx="4">
                  <c:v>1261.4285714285713</c:v>
                </c:pt>
                <c:pt idx="5">
                  <c:v>1364.1428571428573</c:v>
                </c:pt>
                <c:pt idx="6">
                  <c:v>1423.3095238095239</c:v>
                </c:pt>
                <c:pt idx="7">
                  <c:v>1421.4285714285716</c:v>
                </c:pt>
                <c:pt idx="8">
                  <c:v>1367.8571428571429</c:v>
                </c:pt>
                <c:pt idx="9">
                  <c:v>1433.8571428571431</c:v>
                </c:pt>
                <c:pt idx="10">
                  <c:v>2794.8571428571427</c:v>
                </c:pt>
                <c:pt idx="11">
                  <c:v>1503.7142857142858</c:v>
                </c:pt>
                <c:pt idx="12">
                  <c:v>1054.5</c:v>
                </c:pt>
                <c:pt idx="13">
                  <c:v>1034.5</c:v>
                </c:pt>
                <c:pt idx="14">
                  <c:v>836.5</c:v>
                </c:pt>
                <c:pt idx="15">
                  <c:v>731.5</c:v>
                </c:pt>
                <c:pt idx="16">
                  <c:v>602.5</c:v>
                </c:pt>
                <c:pt idx="17">
                  <c:v>408.5</c:v>
                </c:pt>
                <c:pt idx="18">
                  <c:v>318.5</c:v>
                </c:pt>
                <c:pt idx="19">
                  <c:v>228</c:v>
                </c:pt>
                <c:pt idx="20">
                  <c:v>173</c:v>
                </c:pt>
                <c:pt idx="21">
                  <c:v>143</c:v>
                </c:pt>
                <c:pt idx="22">
                  <c:v>129.5</c:v>
                </c:pt>
                <c:pt idx="23">
                  <c:v>360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46FC-48BD-A522-F79C883C0576}"/>
            </c:ext>
          </c:extLst>
        </c:ser>
        <c:ser>
          <c:idx val="1"/>
          <c:order val="1"/>
          <c:tx>
            <c:strRef>
              <c:f>'Avg Week Jinja RD-Kiira-2Dir'!$AF$9</c:f>
              <c:strCache>
                <c:ptCount val="1"/>
                <c:pt idx="0">
                  <c:v>Total All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'Avg Week Jinja RD-Kiira-2Dir'!$R$10:$R$33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 RD-Kiira-2Dir'!$AF$10:$AF$33</c:f>
              <c:numCache>
                <c:formatCode>0</c:formatCode>
                <c:ptCount val="24"/>
                <c:pt idx="0">
                  <c:v>1836.8571428571429</c:v>
                </c:pt>
                <c:pt idx="1">
                  <c:v>2345.4285714285716</c:v>
                </c:pt>
                <c:pt idx="2">
                  <c:v>2459.7142857142858</c:v>
                </c:pt>
                <c:pt idx="3">
                  <c:v>2547.2857142857142</c:v>
                </c:pt>
                <c:pt idx="4">
                  <c:v>2489.4285714285716</c:v>
                </c:pt>
                <c:pt idx="5">
                  <c:v>2572</c:v>
                </c:pt>
                <c:pt idx="6">
                  <c:v>2602.7380952380954</c:v>
                </c:pt>
                <c:pt idx="7">
                  <c:v>2627.2857142857142</c:v>
                </c:pt>
                <c:pt idx="8">
                  <c:v>2693.8571428571431</c:v>
                </c:pt>
                <c:pt idx="9">
                  <c:v>2765.5714285714284</c:v>
                </c:pt>
                <c:pt idx="10">
                  <c:v>4174.2857142857138</c:v>
                </c:pt>
                <c:pt idx="11">
                  <c:v>2724.5714285714284</c:v>
                </c:pt>
                <c:pt idx="12">
                  <c:v>2264.5</c:v>
                </c:pt>
                <c:pt idx="13">
                  <c:v>1990</c:v>
                </c:pt>
                <c:pt idx="14">
                  <c:v>1370</c:v>
                </c:pt>
                <c:pt idx="15">
                  <c:v>1155</c:v>
                </c:pt>
                <c:pt idx="16">
                  <c:v>982</c:v>
                </c:pt>
                <c:pt idx="17">
                  <c:v>650.5</c:v>
                </c:pt>
                <c:pt idx="18">
                  <c:v>472</c:v>
                </c:pt>
                <c:pt idx="19">
                  <c:v>339.5</c:v>
                </c:pt>
                <c:pt idx="20">
                  <c:v>245.5</c:v>
                </c:pt>
                <c:pt idx="21">
                  <c:v>236</c:v>
                </c:pt>
                <c:pt idx="22">
                  <c:v>262.5</c:v>
                </c:pt>
                <c:pt idx="23">
                  <c:v>671.5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46FC-48BD-A522-F79C883C0576}"/>
            </c:ext>
          </c:extLst>
        </c:ser>
        <c:ser>
          <c:idx val="5"/>
          <c:order val="2"/>
          <c:tx>
            <c:strRef>
              <c:f>'Avg Week Jinja RD-Kiira-2Dir'!$AC$9</c:f>
              <c:strCache>
                <c:ptCount val="1"/>
                <c:pt idx="0">
                  <c:v>11. Motorcycles</c:v>
                </c:pt>
              </c:strCache>
            </c:strRef>
          </c:tx>
          <c:cat>
            <c:strRef>
              <c:f>'Avg Week Jinja RD-Kiira-2Dir'!$R$10:$R$33</c:f>
              <c:strCache>
                <c:ptCount val="24"/>
                <c:pt idx="0">
                  <c:v>0700-0800</c:v>
                </c:pt>
                <c:pt idx="1">
                  <c:v>0800-0900</c:v>
                </c:pt>
                <c:pt idx="2">
                  <c:v>0900-1000</c:v>
                </c:pt>
                <c:pt idx="3">
                  <c:v>1000-1100</c:v>
                </c:pt>
                <c:pt idx="4">
                  <c:v>1100-1200</c:v>
                </c:pt>
                <c:pt idx="5">
                  <c:v>1200-1300</c:v>
                </c:pt>
                <c:pt idx="6">
                  <c:v>1300-1400</c:v>
                </c:pt>
                <c:pt idx="7">
                  <c:v>1400-1500</c:v>
                </c:pt>
                <c:pt idx="8">
                  <c:v>1500-1600</c:v>
                </c:pt>
                <c:pt idx="9">
                  <c:v>1600-1700</c:v>
                </c:pt>
                <c:pt idx="10">
                  <c:v>1700-1800</c:v>
                </c:pt>
                <c:pt idx="11">
                  <c:v>1800-1900</c:v>
                </c:pt>
                <c:pt idx="12">
                  <c:v>1900-2000</c:v>
                </c:pt>
                <c:pt idx="13">
                  <c:v>2000-2100</c:v>
                </c:pt>
                <c:pt idx="14">
                  <c:v>2100-2200</c:v>
                </c:pt>
                <c:pt idx="15">
                  <c:v>2200-2300</c:v>
                </c:pt>
                <c:pt idx="16">
                  <c:v>2300-0000</c:v>
                </c:pt>
                <c:pt idx="17">
                  <c:v>0000-0100</c:v>
                </c:pt>
                <c:pt idx="18">
                  <c:v>0100-0200</c:v>
                </c:pt>
                <c:pt idx="19">
                  <c:v>0200-0300</c:v>
                </c:pt>
                <c:pt idx="20">
                  <c:v>0300-0400</c:v>
                </c:pt>
                <c:pt idx="21">
                  <c:v>0400-0500</c:v>
                </c:pt>
                <c:pt idx="22">
                  <c:v>0500-0600</c:v>
                </c:pt>
                <c:pt idx="23">
                  <c:v>0600-0700</c:v>
                </c:pt>
              </c:strCache>
            </c:strRef>
          </c:cat>
          <c:val>
            <c:numRef>
              <c:f>'Avg Week Jinja RD-Kiira-2Dir'!$AC$10:$AC$33</c:f>
              <c:numCache>
                <c:formatCode>0</c:formatCode>
                <c:ptCount val="24"/>
                <c:pt idx="0">
                  <c:v>961.14285714285711</c:v>
                </c:pt>
                <c:pt idx="1">
                  <c:v>1346.2857142857142</c:v>
                </c:pt>
                <c:pt idx="2">
                  <c:v>1235.5714285714284</c:v>
                </c:pt>
                <c:pt idx="3">
                  <c:v>1220.1428571428571</c:v>
                </c:pt>
                <c:pt idx="4">
                  <c:v>1228</c:v>
                </c:pt>
                <c:pt idx="5">
                  <c:v>1207.8571428571427</c:v>
                </c:pt>
                <c:pt idx="6">
                  <c:v>1179.4285714285716</c:v>
                </c:pt>
                <c:pt idx="7">
                  <c:v>1205.8571428571427</c:v>
                </c:pt>
                <c:pt idx="8">
                  <c:v>1326</c:v>
                </c:pt>
                <c:pt idx="9">
                  <c:v>1331.7142857142858</c:v>
                </c:pt>
                <c:pt idx="10">
                  <c:v>1379.4285714285716</c:v>
                </c:pt>
                <c:pt idx="11">
                  <c:v>1220.8571428571429</c:v>
                </c:pt>
                <c:pt idx="12">
                  <c:v>1210</c:v>
                </c:pt>
                <c:pt idx="13">
                  <c:v>955.5</c:v>
                </c:pt>
                <c:pt idx="14">
                  <c:v>533.5</c:v>
                </c:pt>
                <c:pt idx="15">
                  <c:v>423.5</c:v>
                </c:pt>
                <c:pt idx="16">
                  <c:v>379.5</c:v>
                </c:pt>
                <c:pt idx="17">
                  <c:v>242</c:v>
                </c:pt>
                <c:pt idx="18">
                  <c:v>153.5</c:v>
                </c:pt>
                <c:pt idx="19">
                  <c:v>111.5</c:v>
                </c:pt>
                <c:pt idx="20">
                  <c:v>72.5</c:v>
                </c:pt>
                <c:pt idx="21">
                  <c:v>93</c:v>
                </c:pt>
                <c:pt idx="22">
                  <c:v>133</c:v>
                </c:pt>
                <c:pt idx="23">
                  <c:v>311.5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6FC-48BD-A522-F79C883C057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11253088"/>
        <c:axId val="811254720"/>
      </c:lineChart>
      <c:catAx>
        <c:axId val="811253088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1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4720"/>
        <c:crosses val="autoZero"/>
        <c:auto val="1"/>
        <c:lblAlgn val="ctr"/>
        <c:lblOffset val="100"/>
        <c:noMultiLvlLbl val="0"/>
      </c:catAx>
      <c:valAx>
        <c:axId val="81125472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Traffic</a:t>
                </a:r>
                <a:r>
                  <a:rPr lang="en-US" sz="1200" b="1" baseline="0">
                    <a:solidFill>
                      <a:schemeClr val="tx1"/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Volume </a:t>
                </a:r>
                <a:endParaRPr lang="en-US" sz="12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3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11253088"/>
        <c:crosses val="autoZero"/>
        <c:crossBetween val="between"/>
        <c:majorUnit val="25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6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Average Daily Traffic (ADT)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Jinja RD-Kiira-2Dir'!$S$9:$AF$9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Jinja RD-Kiira-2Dir'!$S$41:$AF$41</c:f>
              <c:numCache>
                <c:formatCode>_(* #,##0_);_(* \(#,##0\);_(* "-"_);_(@_)</c:formatCode>
                <c:ptCount val="14"/>
                <c:pt idx="0">
                  <c:v>14533.071428571429</c:v>
                </c:pt>
                <c:pt idx="1">
                  <c:v>5580.1428571428569</c:v>
                </c:pt>
                <c:pt idx="2">
                  <c:v>1578.4285714285716</c:v>
                </c:pt>
                <c:pt idx="3">
                  <c:v>567.0238095238094</c:v>
                </c:pt>
                <c:pt idx="4">
                  <c:v>30.571428571428569</c:v>
                </c:pt>
                <c:pt idx="5">
                  <c:v>8.928571428571427</c:v>
                </c:pt>
                <c:pt idx="6">
                  <c:v>417.71428571428572</c:v>
                </c:pt>
                <c:pt idx="7">
                  <c:v>165.99999999999997</c:v>
                </c:pt>
                <c:pt idx="8">
                  <c:v>49.785714285714278</c:v>
                </c:pt>
                <c:pt idx="9">
                  <c:v>22.785714285714285</c:v>
                </c:pt>
                <c:pt idx="10">
                  <c:v>19461.285714285717</c:v>
                </c:pt>
                <c:pt idx="11">
                  <c:v>62.285714285714285</c:v>
                </c:pt>
                <c:pt idx="12">
                  <c:v>23016.738095238095</c:v>
                </c:pt>
                <c:pt idx="13">
                  <c:v>42478.023809523802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94-4081-8A7F-9F999EBACBD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solidFill>
                  <a:schemeClr val="tx1"/>
                </a:solidFill>
              </a:rPr>
              <a:t>Night Equivalent Factors (NEF)</a:t>
            </a:r>
            <a:r>
              <a:rPr lang="en-US" b="1" baseline="0">
                <a:solidFill>
                  <a:schemeClr val="tx1"/>
                </a:solidFill>
              </a:rPr>
              <a:t> by vehicle class</a:t>
            </a:r>
            <a:endParaRPr lang="en-US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28951305428926649"/>
          <c:y val="2.25431464951730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8983112308329878"/>
          <c:y val="0.1045156629382462"/>
          <c:w val="0.64701098217985908"/>
          <c:h val="0.7828249624521264"/>
        </c:manualLayout>
      </c:layout>
      <c:barChart>
        <c:barDir val="bar"/>
        <c:grouping val="clustered"/>
        <c:varyColors val="0"/>
        <c:ser>
          <c:idx val="0"/>
          <c:order val="0"/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'Avg Week Jinja RD-Kiira-2Dir'!$S$9:$AF$9</c:f>
              <c:strCache>
                <c:ptCount val="14"/>
                <c:pt idx="0">
                  <c:v>1. Car</c:v>
                </c:pt>
                <c:pt idx="1">
                  <c:v>2. Station Wagon</c:v>
                </c:pt>
                <c:pt idx="2">
                  <c:v>3. Pickups</c:v>
                </c:pt>
                <c:pt idx="3">
                  <c:v>4. Minibus, matatu</c:v>
                </c:pt>
                <c:pt idx="4">
                  <c:v>5. Medium bus </c:v>
                </c:pt>
                <c:pt idx="5">
                  <c:v>6. Large Bus</c:v>
                </c:pt>
                <c:pt idx="6">
                  <c:v>7. Light Truck </c:v>
                </c:pt>
                <c:pt idx="7">
                  <c:v>8. Medium Truck </c:v>
                </c:pt>
                <c:pt idx="8">
                  <c:v>9. Heavy truck </c:v>
                </c:pt>
                <c:pt idx="9">
                  <c:v>10. Truck Trailer </c:v>
                </c:pt>
                <c:pt idx="10">
                  <c:v>11. Motorcycles</c:v>
                </c:pt>
                <c:pt idx="11">
                  <c:v>12. Tractors, Graders</c:v>
                </c:pt>
                <c:pt idx="12">
                  <c:v>Total Excl M/ Cycles</c:v>
                </c:pt>
                <c:pt idx="13">
                  <c:v>Total All</c:v>
                </c:pt>
              </c:strCache>
            </c:strRef>
          </c:cat>
          <c:val>
            <c:numRef>
              <c:f>'Avg Week Jinja RD-Kiira-2Dir'!$S$42:$AF$42</c:f>
              <c:numCache>
                <c:formatCode>0.000</c:formatCode>
                <c:ptCount val="14"/>
                <c:pt idx="0">
                  <c:v>1.4002959394356504</c:v>
                </c:pt>
                <c:pt idx="1">
                  <c:v>1.3166481275491286</c:v>
                </c:pt>
                <c:pt idx="2">
                  <c:v>1.2414606741573033</c:v>
                </c:pt>
                <c:pt idx="3">
                  <c:v>1.2461409659358484</c:v>
                </c:pt>
                <c:pt idx="4">
                  <c:v>1.2441860465116279</c:v>
                </c:pt>
                <c:pt idx="5">
                  <c:v>1.2019230769230769</c:v>
                </c:pt>
                <c:pt idx="6">
                  <c:v>1.1421874999999999</c:v>
                </c:pt>
                <c:pt idx="7">
                  <c:v>1.2116788321167884</c:v>
                </c:pt>
                <c:pt idx="8">
                  <c:v>1.335249042145594</c:v>
                </c:pt>
                <c:pt idx="9">
                  <c:v>1.1814814814814816</c:v>
                </c:pt>
                <c:pt idx="10">
                  <c:v>1.3112054362054364</c:v>
                </c:pt>
                <c:pt idx="11">
                  <c:v>1</c:v>
                </c:pt>
                <c:pt idx="12">
                  <c:v>1.3541856070422476</c:v>
                </c:pt>
                <c:pt idx="13">
                  <c:v>1.334149692014666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55-4BAC-A35E-ACDA90687E9C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613522704"/>
        <c:axId val="613520736"/>
      </c:barChart>
      <c:catAx>
        <c:axId val="61352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0736"/>
        <c:crosses val="autoZero"/>
        <c:auto val="1"/>
        <c:lblAlgn val="ctr"/>
        <c:lblOffset val="100"/>
        <c:noMultiLvlLbl val="0"/>
      </c:catAx>
      <c:valAx>
        <c:axId val="613520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61352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bg1">
          <a:lumMod val="6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1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7.xml"/><Relationship Id="rId1" Type="http://schemas.openxmlformats.org/officeDocument/2006/relationships/chart" Target="../charts/chart4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6.xml"/><Relationship Id="rId10" Type="http://schemas.openxmlformats.org/officeDocument/2006/relationships/image" Target="../media/image13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1.xml"/><Relationship Id="rId1" Type="http://schemas.openxmlformats.org/officeDocument/2006/relationships/chart" Target="../charts/chart8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0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5.xml"/><Relationship Id="rId1" Type="http://schemas.openxmlformats.org/officeDocument/2006/relationships/chart" Target="../charts/chart12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14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19.xml"/><Relationship Id="rId1" Type="http://schemas.openxmlformats.org/officeDocument/2006/relationships/chart" Target="../charts/chart16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1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1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2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1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5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3.xml"/><Relationship Id="rId6" Type="http://schemas.openxmlformats.org/officeDocument/2006/relationships/image" Target="../media/image5.emf"/><Relationship Id="rId11" Type="http://schemas.openxmlformats.org/officeDocument/2006/relationships/image" Target="../media/image16.jpeg"/><Relationship Id="rId5" Type="http://schemas.openxmlformats.org/officeDocument/2006/relationships/image" Target="../media/image4.emf"/><Relationship Id="rId15" Type="http://schemas.openxmlformats.org/officeDocument/2006/relationships/chart" Target="../charts/chart2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4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26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28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27.xml"/></Relationships>
</file>

<file path=xl/drawings/_rels/drawing9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2.xml"/><Relationship Id="rId1" Type="http://schemas.openxmlformats.org/officeDocument/2006/relationships/chart" Target="../charts/chart29.xml"/><Relationship Id="rId6" Type="http://schemas.openxmlformats.org/officeDocument/2006/relationships/image" Target="../media/image5.emf"/><Relationship Id="rId11" Type="http://schemas.openxmlformats.org/officeDocument/2006/relationships/image" Target="../media/image10.jpeg"/><Relationship Id="rId5" Type="http://schemas.openxmlformats.org/officeDocument/2006/relationships/image" Target="../media/image4.emf"/><Relationship Id="rId15" Type="http://schemas.openxmlformats.org/officeDocument/2006/relationships/chart" Target="../charts/chart31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0.xml"/></Relationships>
</file>

<file path=xl/drawings/_rels/drawing10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36.xml"/><Relationship Id="rId1" Type="http://schemas.openxmlformats.org/officeDocument/2006/relationships/chart" Target="../charts/chart3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3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4.xml"/></Relationships>
</file>

<file path=xl/drawings/_rels/drawing1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37.xml"/><Relationship Id="rId6" Type="http://schemas.openxmlformats.org/officeDocument/2006/relationships/image" Target="../media/image5.emf"/><Relationship Id="rId11" Type="http://schemas.openxmlformats.org/officeDocument/2006/relationships/image" Target="../media/image17.jpeg"/><Relationship Id="rId5" Type="http://schemas.openxmlformats.org/officeDocument/2006/relationships/image" Target="../media/image4.emf"/><Relationship Id="rId15" Type="http://schemas.openxmlformats.org/officeDocument/2006/relationships/chart" Target="../charts/chart3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38.xml"/></Relationships>
</file>

<file path=xl/drawings/_rels/drawing12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40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2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1.xml"/></Relationships>
</file>

<file path=xl/drawings/_rels/drawing13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46.xml"/><Relationship Id="rId1" Type="http://schemas.openxmlformats.org/officeDocument/2006/relationships/chart" Target="../charts/chart43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5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4.xml"/></Relationships>
</file>

<file path=xl/drawings/_rels/drawing14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6" Type="http://schemas.openxmlformats.org/officeDocument/2006/relationships/chart" Target="../charts/chart50.xml"/><Relationship Id="rId1" Type="http://schemas.openxmlformats.org/officeDocument/2006/relationships/chart" Target="../charts/chart47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49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48.xml"/></Relationships>
</file>

<file path=xl/drawings/_rels/drawing15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1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3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2.xml"/></Relationships>
</file>

<file path=xl/drawings/_rels/drawing16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emf"/><Relationship Id="rId13" Type="http://schemas.openxmlformats.org/officeDocument/2006/relationships/image" Target="../media/image12.jpeg"/><Relationship Id="rId3" Type="http://schemas.openxmlformats.org/officeDocument/2006/relationships/image" Target="../media/image2.emf"/><Relationship Id="rId7" Type="http://schemas.openxmlformats.org/officeDocument/2006/relationships/image" Target="../media/image6.emf"/><Relationship Id="rId12" Type="http://schemas.openxmlformats.org/officeDocument/2006/relationships/image" Target="../media/image11.jpeg"/><Relationship Id="rId2" Type="http://schemas.openxmlformats.org/officeDocument/2006/relationships/image" Target="../media/image1.emf"/><Relationship Id="rId1" Type="http://schemas.openxmlformats.org/officeDocument/2006/relationships/chart" Target="../charts/chart54.xml"/><Relationship Id="rId6" Type="http://schemas.openxmlformats.org/officeDocument/2006/relationships/image" Target="../media/image5.emf"/><Relationship Id="rId11" Type="http://schemas.openxmlformats.org/officeDocument/2006/relationships/image" Target="../media/image14.jpeg"/><Relationship Id="rId5" Type="http://schemas.openxmlformats.org/officeDocument/2006/relationships/image" Target="../media/image4.emf"/><Relationship Id="rId15" Type="http://schemas.openxmlformats.org/officeDocument/2006/relationships/chart" Target="../charts/chart56.xml"/><Relationship Id="rId10" Type="http://schemas.openxmlformats.org/officeDocument/2006/relationships/image" Target="../media/image9.jpeg"/><Relationship Id="rId4" Type="http://schemas.openxmlformats.org/officeDocument/2006/relationships/image" Target="../media/image3.emf"/><Relationship Id="rId9" Type="http://schemas.openxmlformats.org/officeDocument/2006/relationships/image" Target="../media/image8.emf"/><Relationship Id="rId14" Type="http://schemas.openxmlformats.org/officeDocument/2006/relationships/chart" Target="../charts/chart55.xml"/></Relationships>
</file>

<file path=xl/drawings/_rels/drawing17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emf"/><Relationship Id="rId13" Type="http://schemas.openxmlformats.org/officeDocument/2006/relationships/chart" Target="../charts/chart57.xml"/><Relationship Id="rId3" Type="http://schemas.openxmlformats.org/officeDocument/2006/relationships/image" Target="../media/image3.emf"/><Relationship Id="rId7" Type="http://schemas.openxmlformats.org/officeDocument/2006/relationships/image" Target="../media/image7.emf"/><Relationship Id="rId12" Type="http://schemas.openxmlformats.org/officeDocument/2006/relationships/image" Target="../media/image15.jpeg"/><Relationship Id="rId17" Type="http://schemas.openxmlformats.org/officeDocument/2006/relationships/chart" Target="../charts/chart61.xml"/><Relationship Id="rId2" Type="http://schemas.openxmlformats.org/officeDocument/2006/relationships/image" Target="../media/image2.emf"/><Relationship Id="rId16" Type="http://schemas.openxmlformats.org/officeDocument/2006/relationships/chart" Target="../charts/chart60.xml"/><Relationship Id="rId1" Type="http://schemas.openxmlformats.org/officeDocument/2006/relationships/image" Target="../media/image1.emf"/><Relationship Id="rId6" Type="http://schemas.openxmlformats.org/officeDocument/2006/relationships/image" Target="../media/image6.emf"/><Relationship Id="rId11" Type="http://schemas.openxmlformats.org/officeDocument/2006/relationships/image" Target="../media/image11.jpeg"/><Relationship Id="rId5" Type="http://schemas.openxmlformats.org/officeDocument/2006/relationships/image" Target="../media/image5.emf"/><Relationship Id="rId15" Type="http://schemas.openxmlformats.org/officeDocument/2006/relationships/chart" Target="../charts/chart59.xml"/><Relationship Id="rId10" Type="http://schemas.openxmlformats.org/officeDocument/2006/relationships/image" Target="../media/image14.jpeg"/><Relationship Id="rId4" Type="http://schemas.openxmlformats.org/officeDocument/2006/relationships/image" Target="../media/image4.emf"/><Relationship Id="rId9" Type="http://schemas.openxmlformats.org/officeDocument/2006/relationships/image" Target="../media/image9.jpeg"/><Relationship Id="rId14" Type="http://schemas.openxmlformats.org/officeDocument/2006/relationships/chart" Target="../charts/chart5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11CFC8F-8205-41F9-9B66-3FB509C1B3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69668C2-2D94-4C8C-96DE-2CD1278FFA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333500" y="1673906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5BC59C-7E3C-4E1F-91A2-6F538DE49D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117311" y="1670737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B6741EE-101A-4A6F-997F-922F9E44B8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025475" y="1687514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1DAA80F-C131-44FF-BDF1-CA9E99769D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627613" y="1691935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F46918-8C1C-4569-909D-FD12E8C597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469001" y="1736837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F735D66-9CA4-4254-B9CE-F7C19D9AC2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170720" y="1702028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74CF17-906F-46A6-B2D3-E4FB5B997C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042565" y="1674812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7A836CBE-E43B-4747-B456-ED2BC6AB95B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510155" y="1646689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3D52FEC-A071-4566-B75B-A8B46F3354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4861479" y="1693368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522811C-AE7E-45C3-999C-EFC5CE53DDF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797259" y="1646690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3FAFA0F-5253-46F9-B5E5-09FCA768E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163548" y="1666875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5E2D3460-AF99-4CF8-B315-BC15BD18C0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237448" y="1615168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CCF053B-5EE4-4D1D-9765-55AB84E67D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D8383C4-2A7E-4FD9-8219-0A81ADCB04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C2C0347-031E-41BF-9698-B9D2F9703D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A14BA3-34AF-404D-9061-B4634F44D48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FC2162-A6BC-4391-9A69-3D8C5544F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E3FA3AE-9984-4154-B374-4610ED1E6D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2528374-C385-4D0B-BC3C-A1B06CB6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3FE29D3-8F89-4F3F-84DA-37414C1B5B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2C67768-AB9B-43C5-9CF9-EED2366D95F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F28159B-FC13-4FCA-ADF6-4FEC6C3824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30E89F1-CD3B-4869-AE97-8EFA490099E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6B891E8-B6FF-4446-BB0E-8326D5C83C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A3F91A-FB1F-4FA7-8EC9-86727745CB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9AAF4C-3770-465C-8BD4-005CF823465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95FF5EB-DAD7-4CB9-A84F-7E6DCE4CA1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C3A10EFF-54D3-42C6-A641-4F2C5D8BB04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2897E610-198F-4797-B1DD-819E571F088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98581BB7-4A56-4ADF-96B2-6F63A98F5A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CD83B4B-FDF8-4F87-8F75-60637E0F59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F2E341C-99E0-4E94-B000-EF651B159EE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357BF90-5E78-4CE9-8F6D-17919CF931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2510501-ECDE-4C26-91A3-A96646FDA7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27C0573-D332-492A-A3A7-3FE018587CB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F8BE280-8189-4E91-A8F8-A2BBBB1D1F5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908D9BF-8405-4431-A904-8C08188A36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D73E152-1E1E-4B07-9426-D9D662F02CC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FF81ADE5-C017-481D-AC00-CAB3F2681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A66D135-723A-4789-B7B4-ECA20A0FFCD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A303E91-D188-4198-9869-D6544838D9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B3035FD1-0A58-44C6-B7CB-2E208566C2C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414DE2D-8B57-4FC6-B505-2EE9020AA5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B1441D28-4BFD-464B-AA5C-64C94D1712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4812AF20-09AA-4DDA-9975-7AE7B3E294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2C644DC-E669-4020-AC88-491A3FEAB6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E50EFE-1DE0-4F36-B48C-A69FF36114E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EBDA1F-EC34-4EA9-976D-6289DE0FB9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8A6D516-6369-4DF7-976B-FBD3A1EF04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2BF08E9-0317-45DF-9764-5E2AFD1532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8647EFF-C4C1-44C3-AC8E-F40BB82E12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484C3A2-0AA3-4E8E-A647-EBD805BB49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2C3E48D-2F03-4F5E-8402-482EEA7BC3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77F25959-7B9A-4DD0-8D16-556A4E80981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5A704E06-1314-4D2D-8CBA-81BD622C6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F8145C8-FE4D-4244-A206-AA0C05319B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79485777-7D50-46B6-965E-65B58F2D54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656E12E-5B01-4152-825E-79993A11E0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957C12B-D8EF-4055-B4D0-7E0011F8E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F5C02A8-A5EC-4B9F-85CB-E1BEE4C52D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6B69222-0397-44E0-9C74-708D4A6DBD1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2A5628F-C824-44D7-A41E-75796BEF0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C61C7AC-8404-4FB2-9E2A-96A3009AB2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85E319-E1D8-4517-B949-556C3CE302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BB457DF-B5A1-410D-9BB1-A95BB7E5D9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30BB277-1955-4EDC-9A5C-BC7DCD1244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E017E93-72EF-48E2-831E-CD7D7EEB4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7DFF92E4-C563-4536-987C-D24D1C7463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79BCA9A5-16A1-413D-8FBC-CB7CC854FD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B408C7D7-F161-4A8D-ACEC-EB041736E1D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97CD0D3-73F8-42EC-85C5-3E1C385FA7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3FD549FA-B008-417E-BF85-75D96392B8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0D5A0C7D-7BAB-4935-8EE1-FEC5A375CDA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1C839DE-231F-4ACD-86F3-F59FB50EF0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2D641106-2317-4F80-87C7-C13B5FB048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E4D0AED3-3098-4D8D-B25D-9F5581AA5D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3CB3AE0-43BD-4850-9667-0DE1DC5258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EEA84219-10C6-4B19-97B2-1D4D595AB4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B00FFE-DD09-45A9-B33F-4C450DB096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173AE11-444F-4EC3-B71E-F539F0647A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FD4C580-EC77-4048-AC2B-2BD67560D2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9518047-B158-4835-92F8-EAC36AEE48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97311B7-08BF-42A8-ACEC-0D016FD3D5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0F041C-2D0D-4BAC-ACDD-966BB38494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FD4D835-662A-4596-8863-F9E128B037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CEF17B-C14E-47EA-AF5C-30EE46F71D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CA8A7C0-DB2A-4BCE-8988-68C272C05D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10A3017-8013-4BF0-B56E-544ABCD026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A2E5C341-0FBD-4FBD-A30D-34D8094520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41FAE38C-A41A-46F2-AA04-7F38CF91F9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486FF56-DA39-420A-9E58-7B3F931CC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313355F-B328-417E-8CC5-FCD157B1FE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5BCD592-340E-492C-96BD-36C9FC5425A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A5A00-3F3E-4DBA-AD14-690787A24FC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95E51A4-0F43-47FB-BCAE-F51F8BAACFA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630DFB9-D4D4-4CDE-A91B-F1DC724995E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932A2E4-E7EE-409F-AC15-01426DB5939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8FE05EDC-131A-4C10-9500-FACF491A9A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5C7BC54-4C0E-49B3-A8E3-B116B62A452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51489E6-558E-4134-87C8-4C1F569F60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A18647-F6CB-4D27-8E90-6AF05A1712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690289A6-A003-456F-90CE-D799661B10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90214C5D-5BBD-405E-BE0F-3B23F9C84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2887784-3C03-4F6B-9C5B-394BAA31B6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BBA41DC-5511-41C0-B5A4-3930BD242F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733BC1-F32D-4BE4-972B-658A1C0D2B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30AC53BB-20A6-473E-8FE0-88E6F885D6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09E55AF-4406-4A38-AA5A-2F1F9B7080D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BE5B84F-E7F9-4888-8364-5155D46635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9F8FE3-434C-498C-B69C-5D6653FA2A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92E213C-AC12-4AB2-8177-5988196C599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6E9F966-108A-437A-BA82-30567CD847D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333210A5-3608-4FA6-A870-15F7A148EC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2E9C6A-86FC-43C8-ACC5-4E8F1D7C16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3849C80-1C79-4E58-BCA0-DADFCCC7D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1F0B3A3-2D65-4925-A130-ACE32C1696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5C815D1-3DC3-49D4-8EC4-F0F9844C71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7392CC8-C478-4740-9F98-E794DD0671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394D704-B477-44ED-9B81-731CE82146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99B64C7-FCB5-4657-9490-6332A3AC50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3180EDBA-E56F-4F40-8629-7FA88E9F3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41715DD5-608D-41A8-9BD9-0CBABB14A2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418EF71-2456-4AC3-8C28-8D9EEDDA711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C078940-D67E-4802-9FBB-4F55C4BD16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0530FB7-75AB-4825-A797-D7AA75235DC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35A41DF-59D0-4AD7-92C6-E962F44A876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CCC58F1-3EDC-423C-B2A6-04BAD9A48C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DBBFF5B-347F-438A-8A35-2E65D31C3D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8A571D3F-AFC5-4A01-A84E-8CEB978B6B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6F93436-8CDE-45F1-868D-1F76FB4087E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F520AE7-EC71-4888-B58B-81185D1654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92A2E0E-4AE9-4466-BC9C-5763893482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090FDE7-E4CB-4E22-B076-5707B6D0E8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F4AD34A0-4ABD-4539-AB95-A0B25A4F58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73990A3-EB40-4A65-9507-E2A0F49D17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078063-06B0-4C57-8381-301B07C378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4096C3F-CC05-4533-A944-12E0A90C970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A82EA7F7-7ED0-4466-A41A-9E4F7CA51EC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D05ED10C-2476-4BCE-8984-47C0B6FAA0E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FDDE2E-EA38-4B4D-8F37-64E25CE883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A60D40-9565-4BE5-885C-69774B7BDB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8DA518A-CF2C-4098-A02A-1FEED12B5F3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D7427E8-FCCB-4B05-902E-94004146B6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C457C5FA-4230-45D3-9BEA-5E77FB0BFD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30933819-0678-4844-93F6-365B817E199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2CCF32F-F899-4E8E-B169-C557ED0E33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23289F-04AC-42EC-BEB0-F19B76801E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C56928B-5F6F-4CA9-95A8-F399437D49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CFF91CBE-F1A9-4733-8633-AD10A781A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C6E00A70-5769-4FF4-BE23-24F31F7307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6B68D07-B3D3-4201-B269-156425BE3D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C49B6ACB-2E8A-4F79-8D8F-272D6FB94C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1D804CD-FF7D-4398-800E-A1697F34FDE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124A468D-B7E9-45D8-994D-4AB3845E96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B99EDFE-EFBB-4B74-9F4F-C15AA0D8AF7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A000981-BCC2-455D-92B1-84DD7DCCBD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7BD92-CB62-48CA-9DD0-D7D774A4374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9B28062-6AFE-4011-AC68-49C6148E77A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6BBE398-A56C-48CA-BFC1-610BFA1F68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E16943D-B516-40D0-9F97-98CDF8795F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3D749C9-5906-4CCA-B152-603DD1B861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11ACD35-E8D5-49D7-8A70-A0EE7F2387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3A3C7FF-69D9-458C-90FE-961D7820FC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36C6BECF-838E-467B-9866-1751A3FA86A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48C437B6-5E45-41B7-A976-1F2FE47140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4B44EA52-C439-4105-8E19-92FF5E0EEE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92DAE31-610C-4B7C-92D5-87E8242420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BC5A4F1F-083B-416F-92CC-4CB874426E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28D37E80-8382-43D6-89E4-90052E5CA7D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B672CC8-D710-48E5-AB41-49A38A9B5F3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44</xdr:row>
      <xdr:rowOff>276224</xdr:rowOff>
    </xdr:from>
    <xdr:to>
      <xdr:col>31</xdr:col>
      <xdr:colOff>603250</xdr:colOff>
      <xdr:row>59</xdr:row>
      <xdr:rowOff>69399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090FA51-49AF-4CA3-893F-A6307CD377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F387249-FF27-4F30-987E-FC22E7B52B3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A32569C-9E75-463F-ACBE-CF56B22E1B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92D3384-2668-4564-822A-662D7C8E54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E13CE831-D300-49E1-8F9A-D08884AEE1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9E34F9B-964E-4D0D-A88C-FC65CFB865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D160651-F549-4C3F-909F-ED55905A27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F2A909-B6DE-424E-A030-5AE73C58F1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73ED4A3-7329-4B47-96A7-1D4BAF08AB8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58E7A2BB-1E98-4723-BFA1-4F9AE59328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8646930-FD6D-4C3B-BCD4-B71CD49281A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E787FB74-CC8A-46EC-9323-5806E88426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A5AD1D5-6AEB-4429-B00D-A6CE4C8EDD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47625</xdr:colOff>
      <xdr:row>62</xdr:row>
      <xdr:rowOff>57150</xdr:rowOff>
    </xdr:from>
    <xdr:to>
      <xdr:col>24</xdr:col>
      <xdr:colOff>190500</xdr:colOff>
      <xdr:row>76</xdr:row>
      <xdr:rowOff>142875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F200170-D06E-4657-AE7F-2C965A096B3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24</xdr:col>
      <xdr:colOff>254001</xdr:colOff>
      <xdr:row>62</xdr:row>
      <xdr:rowOff>63502</xdr:rowOff>
    </xdr:from>
    <xdr:to>
      <xdr:col>31</xdr:col>
      <xdr:colOff>666750</xdr:colOff>
      <xdr:row>76</xdr:row>
      <xdr:rowOff>127000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D7BEA8A8-6B06-44C3-9B82-A3448FA4E5F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3769D03-56A4-48BA-B708-B148277AB3D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2B164D1-D3A6-4F49-9915-40FB592F1B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E22DE1-2830-460C-AD37-672B9EDF9D5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4B4FF9F-7500-457A-A8E0-459FE0B6B5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0ABC7C4-EBC7-43FB-81F4-8FD3DD6945D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41605433-CB66-4379-9010-6F98A56B22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9160004-F210-483C-B162-76455BE5213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1BE1DF2-A9D8-4961-907D-55040170AD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B691F47-86A4-4229-906C-ECE96BF798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DDFCDC9-1F96-4F74-B537-4F2AFC05E93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5EF5D29-A47E-4AF8-85B3-1374B4F6A7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CABD53E-2D47-4AB7-9914-01C65DBFFA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70D1C830-FF5D-4624-ABBF-4B163D9A5D7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FCDC906-6885-45D8-83E7-FFBB67A6322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EE1C5C6E-100B-42E3-92B6-502B45D5AB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A8EE9ABE-75B0-4BCE-B434-CB5CBADB77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19961</xdr:colOff>
      <xdr:row>31</xdr:row>
      <xdr:rowOff>22224</xdr:rowOff>
    </xdr:from>
    <xdr:to>
      <xdr:col>24</xdr:col>
      <xdr:colOff>460376</xdr:colOff>
      <xdr:row>45</xdr:row>
      <xdr:rowOff>101149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4D07F7-A505-4739-B386-7B6D7DD089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0BBC979-15AA-4A11-9224-18E0E7CF6E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1B8E3D4-7E5F-418C-BBAF-8F5F6270B8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D05A13E-1128-4A13-B522-6EF66121EE1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7A79A5-DE2C-43B6-93E8-029BEE79CC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6335A27C-6117-4ADE-BAD3-8B5E13539C0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E099A6C3-B976-4FB8-8A58-5E45F6D0F1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EA27B75-11E2-47C3-92D0-E1274591C96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2DE68A34-6B83-4CE1-B89D-93C3D05F7CE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A6CD2C4-2193-49F0-A361-74A7AAA290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89D090DF-78EB-40DF-8A6D-54E8002AB2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CC2D505-B814-4153-9006-3734F69121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849053B-C2A2-4B10-B63A-9FD0112A14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24</xdr:col>
      <xdr:colOff>508000</xdr:colOff>
      <xdr:row>31</xdr:row>
      <xdr:rowOff>9525</xdr:rowOff>
    </xdr:from>
    <xdr:to>
      <xdr:col>31</xdr:col>
      <xdr:colOff>682624</xdr:colOff>
      <xdr:row>45</xdr:row>
      <xdr:rowOff>95250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5497C2-F34C-49E6-A4E9-41E13AD164E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32</xdr:col>
      <xdr:colOff>285750</xdr:colOff>
      <xdr:row>42</xdr:row>
      <xdr:rowOff>239711</xdr:rowOff>
    </xdr:from>
    <xdr:to>
      <xdr:col>40</xdr:col>
      <xdr:colOff>31750</xdr:colOff>
      <xdr:row>59</xdr:row>
      <xdr:rowOff>63500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944922A7-8790-46BB-B71A-6BD4B4C9DF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24</xdr:col>
      <xdr:colOff>508000</xdr:colOff>
      <xdr:row>45</xdr:row>
      <xdr:rowOff>142875</xdr:rowOff>
    </xdr:from>
    <xdr:to>
      <xdr:col>31</xdr:col>
      <xdr:colOff>682624</xdr:colOff>
      <xdr:row>59</xdr:row>
      <xdr:rowOff>228600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7F0904D3-4B8A-474B-86E5-F1190B2850C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6349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06C45E2-77C7-4510-884F-FEF0715DD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19AEE80-7130-4FE5-8DCD-05DF10B8C2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E1E659-91F2-4594-978C-33DD6417A5B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B73A80-E2E3-4174-B73D-D61B63E600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E46CF73-4595-47F7-B47F-2B24A9AA94D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7AF59A5-69EA-4554-923B-279A64D6C4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400AE0E0-9A4F-45E2-BBB2-010A32C6E9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7AD0C11-87DE-4860-AEB0-7F2EB944A6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B53AA64-9B63-48C4-86C6-C93F947459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31503D-49F8-4886-9D79-D1CF7783162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D89B662C-1BD4-43B0-ACB7-D5C2088AE05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2C04AF1-D698-4B62-BF42-BE1F9D58FB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06F0358-DE0D-42DF-9D85-A89ACE833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263525</xdr:rowOff>
    </xdr:from>
    <xdr:to>
      <xdr:col>31</xdr:col>
      <xdr:colOff>571501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872B518F-3318-457A-AD2F-F257EB81D5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F07B1E9E-4942-4AD4-98C8-E1AF836600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4085</xdr:colOff>
      <xdr:row>43</xdr:row>
      <xdr:rowOff>22224</xdr:rowOff>
    </xdr:from>
    <xdr:to>
      <xdr:col>27</xdr:col>
      <xdr:colOff>714374</xdr:colOff>
      <xdr:row>58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0B270C2-815D-4851-AC3C-4EA46B2C644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A68EABE-F73F-486D-BB3C-5805225122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9A39479-5D94-439F-AAAE-4B1288B89B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A639D45-A3C5-49D6-8FD7-337DBA8703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32685D6-892C-43F5-AFA8-62F9167E79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CB110D7-9219-4421-AE6E-5DABBB7FCC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CC9CC16-C5B8-4879-9435-5E3796BA4AE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D0DABC-8D47-4952-A548-79AF3DF1FAC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F999087-E9AB-4F93-B9EF-BE24ADD193A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963AAD9-4121-45A3-93F6-094DAF14FE6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9B7D99CA-796E-4A36-B9D3-FD180F1A83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1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7C936931-6EFD-4A74-AEA9-47EEB365E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F200DC7B-A120-4F30-A5FF-185ED29C03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25</xdr:col>
      <xdr:colOff>1</xdr:colOff>
      <xdr:row>58</xdr:row>
      <xdr:rowOff>279400</xdr:rowOff>
    </xdr:from>
    <xdr:to>
      <xdr:col>31</xdr:col>
      <xdr:colOff>571501</xdr:colOff>
      <xdr:row>75</xdr:row>
      <xdr:rowOff>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57033F9A-A642-43E1-B688-5FBA3AD22AD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24</xdr:col>
      <xdr:colOff>0</xdr:colOff>
      <xdr:row>75</xdr:row>
      <xdr:rowOff>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0288892E-53EA-4DAD-967C-F738DF767C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7</xdr:row>
      <xdr:rowOff>140381</xdr:rowOff>
    </xdr:from>
    <xdr:to>
      <xdr:col>3</xdr:col>
      <xdr:colOff>32576</xdr:colOff>
      <xdr:row>7</xdr:row>
      <xdr:rowOff>541104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092412C-BA1C-4D34-B971-DE0C2104536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514475" y="1969181"/>
          <a:ext cx="766001" cy="400723"/>
        </a:xfrm>
        <a:prstGeom prst="rect">
          <a:avLst/>
        </a:prstGeom>
        <a:noFill/>
      </xdr:spPr>
    </xdr:pic>
    <xdr:clientData/>
  </xdr:twoCellAnchor>
  <xdr:twoCellAnchor>
    <xdr:from>
      <xdr:col>3</xdr:col>
      <xdr:colOff>50386</xdr:colOff>
      <xdr:row>7</xdr:row>
      <xdr:rowOff>137212</xdr:rowOff>
    </xdr:from>
    <xdr:to>
      <xdr:col>3</xdr:col>
      <xdr:colOff>838541</xdr:colOff>
      <xdr:row>7</xdr:row>
      <xdr:rowOff>537935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13F6493-22B5-43D3-89E3-9CBBD5F672E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298286" y="1966012"/>
          <a:ext cx="788155" cy="400723"/>
        </a:xfrm>
        <a:prstGeom prst="rect">
          <a:avLst/>
        </a:prstGeom>
        <a:noFill/>
      </xdr:spPr>
    </xdr:pic>
    <xdr:clientData/>
  </xdr:twoCellAnchor>
  <xdr:twoCellAnchor>
    <xdr:from>
      <xdr:col>5</xdr:col>
      <xdr:colOff>91650</xdr:colOff>
      <xdr:row>7</xdr:row>
      <xdr:rowOff>153989</xdr:rowOff>
    </xdr:from>
    <xdr:to>
      <xdr:col>5</xdr:col>
      <xdr:colOff>795912</xdr:colOff>
      <xdr:row>7</xdr:row>
      <xdr:rowOff>554712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A6F653-AFF5-4987-B236-C85A1CE131E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4206450" y="1982789"/>
          <a:ext cx="704262" cy="400723"/>
        </a:xfrm>
        <a:prstGeom prst="rect">
          <a:avLst/>
        </a:prstGeom>
        <a:noFill/>
      </xdr:spPr>
    </xdr:pic>
    <xdr:clientData/>
  </xdr:twoCellAnchor>
  <xdr:twoCellAnchor>
    <xdr:from>
      <xdr:col>7</xdr:col>
      <xdr:colOff>122163</xdr:colOff>
      <xdr:row>7</xdr:row>
      <xdr:rowOff>158410</xdr:rowOff>
    </xdr:from>
    <xdr:to>
      <xdr:col>7</xdr:col>
      <xdr:colOff>829350</xdr:colOff>
      <xdr:row>7</xdr:row>
      <xdr:rowOff>539836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B621B9F-62A3-4E5A-AFD4-DC12703D4B0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5808588" y="1987210"/>
          <a:ext cx="707187" cy="381426"/>
        </a:xfrm>
        <a:prstGeom prst="rect">
          <a:avLst/>
        </a:prstGeom>
        <a:noFill/>
      </xdr:spPr>
    </xdr:pic>
    <xdr:clientData/>
  </xdr:twoCellAnchor>
  <xdr:twoCellAnchor>
    <xdr:from>
      <xdr:col>8</xdr:col>
      <xdr:colOff>58676</xdr:colOff>
      <xdr:row>7</xdr:row>
      <xdr:rowOff>203312</xdr:rowOff>
    </xdr:from>
    <xdr:to>
      <xdr:col>8</xdr:col>
      <xdr:colOff>663705</xdr:colOff>
      <xdr:row>7</xdr:row>
      <xdr:rowOff>544285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2AE15982-C002-4BDF-96C3-22A45DA5C7B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649976" y="2032112"/>
          <a:ext cx="605029" cy="340973"/>
        </a:xfrm>
        <a:prstGeom prst="rect">
          <a:avLst/>
        </a:prstGeom>
        <a:noFill/>
      </xdr:spPr>
    </xdr:pic>
    <xdr:clientData/>
  </xdr:twoCellAnchor>
  <xdr:twoCellAnchor>
    <xdr:from>
      <xdr:col>9</xdr:col>
      <xdr:colOff>26970</xdr:colOff>
      <xdr:row>7</xdr:row>
      <xdr:rowOff>168503</xdr:rowOff>
    </xdr:from>
    <xdr:to>
      <xdr:col>9</xdr:col>
      <xdr:colOff>724344</xdr:colOff>
      <xdr:row>7</xdr:row>
      <xdr:rowOff>544287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B3C3AB7B-75D5-418A-958E-EACBF65A12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7351695" y="1997303"/>
          <a:ext cx="697374" cy="375784"/>
        </a:xfrm>
        <a:prstGeom prst="rect">
          <a:avLst/>
        </a:prstGeom>
        <a:noFill/>
      </xdr:spPr>
    </xdr:pic>
    <xdr:clientData/>
  </xdr:twoCellAnchor>
  <xdr:twoCellAnchor>
    <xdr:from>
      <xdr:col>10</xdr:col>
      <xdr:colOff>32040</xdr:colOff>
      <xdr:row>7</xdr:row>
      <xdr:rowOff>141287</xdr:rowOff>
    </xdr:from>
    <xdr:to>
      <xdr:col>10</xdr:col>
      <xdr:colOff>680357</xdr:colOff>
      <xdr:row>7</xdr:row>
      <xdr:rowOff>557892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0CF7CE4-A85A-4C22-9DC3-5893508098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 bwMode="auto">
        <a:xfrm>
          <a:off x="8223540" y="1970087"/>
          <a:ext cx="648317" cy="416605"/>
        </a:xfrm>
        <a:prstGeom prst="rect">
          <a:avLst/>
        </a:prstGeom>
        <a:noFill/>
      </xdr:spPr>
    </xdr:pic>
    <xdr:clientData/>
  </xdr:twoCellAnchor>
  <xdr:twoCellAnchor>
    <xdr:from>
      <xdr:col>12</xdr:col>
      <xdr:colOff>32780</xdr:colOff>
      <xdr:row>7</xdr:row>
      <xdr:rowOff>113164</xdr:rowOff>
    </xdr:from>
    <xdr:to>
      <xdr:col>12</xdr:col>
      <xdr:colOff>625930</xdr:colOff>
      <xdr:row>7</xdr:row>
      <xdr:rowOff>513887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E90AC934-2ABE-477D-8A15-38EFC09415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 bwMode="auto">
        <a:xfrm>
          <a:off x="9691130" y="1941964"/>
          <a:ext cx="593150" cy="400723"/>
        </a:xfrm>
        <a:prstGeom prst="rect">
          <a:avLst/>
        </a:prstGeom>
        <a:noFill/>
      </xdr:spPr>
    </xdr:pic>
    <xdr:clientData/>
  </xdr:twoCellAnchor>
  <xdr:twoCellAnchor>
    <xdr:from>
      <xdr:col>6</xdr:col>
      <xdr:colOff>89454</xdr:colOff>
      <xdr:row>7</xdr:row>
      <xdr:rowOff>159843</xdr:rowOff>
    </xdr:from>
    <xdr:to>
      <xdr:col>6</xdr:col>
      <xdr:colOff>694305</xdr:colOff>
      <xdr:row>7</xdr:row>
      <xdr:rowOff>519374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E53BA24-BE44-430F-9803-6A8B6CB29F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/>
        <a:srcRect/>
        <a:stretch>
          <a:fillRect/>
        </a:stretch>
      </xdr:blipFill>
      <xdr:spPr bwMode="auto">
        <a:xfrm>
          <a:off x="5042454" y="1988643"/>
          <a:ext cx="604851" cy="359531"/>
        </a:xfrm>
        <a:prstGeom prst="rect">
          <a:avLst/>
        </a:prstGeom>
        <a:noFill/>
      </xdr:spPr>
    </xdr:pic>
    <xdr:clientData/>
  </xdr:twoCellAnchor>
  <xdr:twoCellAnchor>
    <xdr:from>
      <xdr:col>11</xdr:col>
      <xdr:colOff>53309</xdr:colOff>
      <xdr:row>7</xdr:row>
      <xdr:rowOff>113165</xdr:rowOff>
    </xdr:from>
    <xdr:to>
      <xdr:col>11</xdr:col>
      <xdr:colOff>653143</xdr:colOff>
      <xdr:row>7</xdr:row>
      <xdr:rowOff>513888</xdr:rowOff>
    </xdr:to>
    <xdr:pic>
      <xdr:nvPicPr>
        <xdr:cNvPr id="12" name="Picture 4">
          <a:extLst>
            <a:ext uri="{FF2B5EF4-FFF2-40B4-BE49-F238E27FC236}">
              <a16:creationId xmlns:a16="http://schemas.microsoft.com/office/drawing/2014/main" id="{11BA8E67-A1DD-42EA-85BC-CB4649F507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/>
        <a:srcRect/>
        <a:stretch>
          <a:fillRect/>
        </a:stretch>
      </xdr:blipFill>
      <xdr:spPr bwMode="auto">
        <a:xfrm>
          <a:off x="8978234" y="1941965"/>
          <a:ext cx="599834" cy="400723"/>
        </a:xfrm>
        <a:prstGeom prst="rect">
          <a:avLst/>
        </a:prstGeom>
        <a:noFill/>
      </xdr:spPr>
    </xdr:pic>
    <xdr:clientData/>
  </xdr:twoCellAnchor>
  <xdr:twoCellAnchor editAs="oneCell">
    <xdr:from>
      <xdr:col>4</xdr:col>
      <xdr:colOff>134598</xdr:colOff>
      <xdr:row>7</xdr:row>
      <xdr:rowOff>133350</xdr:rowOff>
    </xdr:from>
    <xdr:to>
      <xdr:col>4</xdr:col>
      <xdr:colOff>874373</xdr:colOff>
      <xdr:row>7</xdr:row>
      <xdr:rowOff>527050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AA7FF40-C1FE-4D4D-88B0-F8E6F92136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3344523" y="1962150"/>
          <a:ext cx="739775" cy="39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26648</xdr:colOff>
      <xdr:row>7</xdr:row>
      <xdr:rowOff>81643</xdr:rowOff>
    </xdr:from>
    <xdr:to>
      <xdr:col>13</xdr:col>
      <xdr:colOff>680358</xdr:colOff>
      <xdr:row>7</xdr:row>
      <xdr:rowOff>564242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65D294B-6A53-4A12-9BC4-B2A9462DB2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10418423" y="1910443"/>
          <a:ext cx="653710" cy="482599"/>
        </a:xfrm>
        <a:prstGeom prst="rect">
          <a:avLst/>
        </a:prstGeom>
      </xdr:spPr>
    </xdr:pic>
    <xdr:clientData/>
  </xdr:twoCellAnchor>
  <xdr:twoCellAnchor>
    <xdr:from>
      <xdr:col>17</xdr:col>
      <xdr:colOff>0</xdr:colOff>
      <xdr:row>75</xdr:row>
      <xdr:rowOff>104775</xdr:rowOff>
    </xdr:from>
    <xdr:to>
      <xdr:col>25</xdr:col>
      <xdr:colOff>31750</xdr:colOff>
      <xdr:row>91</xdr:row>
      <xdr:rowOff>238125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829EB85-A50A-4379-94F7-6C2E31DC19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17</xdr:col>
      <xdr:colOff>0</xdr:colOff>
      <xdr:row>59</xdr:row>
      <xdr:rowOff>0</xdr:rowOff>
    </xdr:from>
    <xdr:to>
      <xdr:col>25</xdr:col>
      <xdr:colOff>15875</xdr:colOff>
      <xdr:row>75</xdr:row>
      <xdr:rowOff>126999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603DD9D7-E468-486E-B0CF-46B1770E4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17</xdr:col>
      <xdr:colOff>0</xdr:colOff>
      <xdr:row>43</xdr:row>
      <xdr:rowOff>0</xdr:rowOff>
    </xdr:from>
    <xdr:to>
      <xdr:col>28</xdr:col>
      <xdr:colOff>0</xdr:colOff>
      <xdr:row>58</xdr:row>
      <xdr:rowOff>285749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1F3C755B-FA06-4641-8226-864954F6E9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15875</xdr:colOff>
      <xdr:row>59</xdr:row>
      <xdr:rowOff>0</xdr:rowOff>
    </xdr:from>
    <xdr:to>
      <xdr:col>31</xdr:col>
      <xdr:colOff>714375</xdr:colOff>
      <xdr:row>75</xdr:row>
      <xdr:rowOff>93663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3627A04-1E0E-4C3A-8B25-FA92ABCB63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25</xdr:col>
      <xdr:colOff>31750</xdr:colOff>
      <xdr:row>75</xdr:row>
      <xdr:rowOff>94919</xdr:rowOff>
    </xdr:from>
    <xdr:to>
      <xdr:col>31</xdr:col>
      <xdr:colOff>730250</xdr:colOff>
      <xdr:row>91</xdr:row>
      <xdr:rowOff>204788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7CD2BF54-C297-4A9B-8975-0C4CE3D1A65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H57" sqref="H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1" t="s">
        <v>96</v>
      </c>
      <c r="C3" s="59" t="s">
        <v>163</v>
      </c>
      <c r="D3" s="59"/>
      <c r="E3" s="59"/>
      <c r="F3" s="59"/>
      <c r="G3" s="59"/>
      <c r="H3" s="21"/>
      <c r="I3" s="21"/>
      <c r="J3" s="21"/>
      <c r="K3" s="21"/>
      <c r="L3" s="21"/>
      <c r="M3" s="21"/>
      <c r="N3" s="21"/>
      <c r="O3" s="21"/>
      <c r="P3" s="21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170</v>
      </c>
      <c r="E5" s="3"/>
      <c r="F5" s="41" t="s">
        <v>1</v>
      </c>
      <c r="G5" s="54" t="s">
        <v>166</v>
      </c>
      <c r="H5" s="55"/>
      <c r="I5" s="14"/>
      <c r="J5" s="2" t="s">
        <v>5</v>
      </c>
      <c r="K5" s="54" t="s">
        <v>167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164</v>
      </c>
      <c r="E6" s="55"/>
      <c r="F6" s="2" t="s">
        <v>2</v>
      </c>
      <c r="G6" s="54" t="s">
        <v>165</v>
      </c>
      <c r="H6" s="55"/>
      <c r="J6" s="2" t="s">
        <v>21</v>
      </c>
      <c r="K6" s="54" t="s">
        <v>168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120</v>
      </c>
      <c r="D10" s="50">
        <v>12</v>
      </c>
      <c r="E10" s="50">
        <v>5</v>
      </c>
      <c r="F10" s="50">
        <v>9</v>
      </c>
      <c r="G10" s="50">
        <v>1</v>
      </c>
      <c r="H10" s="50">
        <v>0</v>
      </c>
      <c r="I10" s="50">
        <v>2</v>
      </c>
      <c r="J10" s="50">
        <v>0</v>
      </c>
      <c r="K10" s="50">
        <v>1</v>
      </c>
      <c r="L10" s="50">
        <v>0</v>
      </c>
      <c r="M10" s="50">
        <v>175</v>
      </c>
      <c r="N10" s="50">
        <v>0</v>
      </c>
      <c r="O10" s="15">
        <f t="shared" ref="O10:O57" si="0">SUM(C10:L10,N10)</f>
        <v>150</v>
      </c>
      <c r="P10" s="15">
        <f t="shared" ref="P10:P57" si="1">SUM(C10:N10)</f>
        <v>325</v>
      </c>
      <c r="R10" s="1" t="s">
        <v>6</v>
      </c>
      <c r="S10" s="17">
        <f t="shared" ref="S10:AF10" si="2">SUM(C10:C13)</f>
        <v>360</v>
      </c>
      <c r="T10" s="17">
        <f t="shared" si="2"/>
        <v>51</v>
      </c>
      <c r="U10" s="17">
        <f t="shared" si="2"/>
        <v>32</v>
      </c>
      <c r="V10" s="17">
        <f t="shared" si="2"/>
        <v>18</v>
      </c>
      <c r="W10" s="17">
        <f t="shared" si="2"/>
        <v>3</v>
      </c>
      <c r="X10" s="17">
        <f t="shared" si="2"/>
        <v>1</v>
      </c>
      <c r="Y10" s="17">
        <f t="shared" si="2"/>
        <v>14</v>
      </c>
      <c r="Z10" s="17">
        <f t="shared" si="2"/>
        <v>0</v>
      </c>
      <c r="AA10" s="17">
        <f t="shared" si="2"/>
        <v>1</v>
      </c>
      <c r="AB10" s="17">
        <f t="shared" si="2"/>
        <v>3</v>
      </c>
      <c r="AC10" s="17">
        <f t="shared" si="2"/>
        <v>780</v>
      </c>
      <c r="AD10" s="17">
        <f t="shared" si="2"/>
        <v>0</v>
      </c>
      <c r="AE10" s="31">
        <f t="shared" si="2"/>
        <v>483</v>
      </c>
      <c r="AF10" s="31">
        <f t="shared" si="2"/>
        <v>1263</v>
      </c>
    </row>
    <row r="11" spans="2:32" s="6" customFormat="1" ht="23.1" customHeight="1" x14ac:dyDescent="0.25">
      <c r="B11" s="23" t="s">
        <v>38</v>
      </c>
      <c r="C11" s="50">
        <v>85</v>
      </c>
      <c r="D11" s="50">
        <v>4</v>
      </c>
      <c r="E11" s="50">
        <v>15</v>
      </c>
      <c r="F11" s="50">
        <v>4</v>
      </c>
      <c r="G11" s="50">
        <v>0</v>
      </c>
      <c r="H11" s="50">
        <v>1</v>
      </c>
      <c r="I11" s="50">
        <v>5</v>
      </c>
      <c r="J11" s="50">
        <v>0</v>
      </c>
      <c r="K11" s="50">
        <v>0</v>
      </c>
      <c r="L11" s="50">
        <v>0</v>
      </c>
      <c r="M11" s="50">
        <v>180</v>
      </c>
      <c r="N11" s="50">
        <v>0</v>
      </c>
      <c r="O11" s="15">
        <f t="shared" si="0"/>
        <v>114</v>
      </c>
      <c r="P11" s="15">
        <f t="shared" si="1"/>
        <v>294</v>
      </c>
      <c r="R11" s="1" t="s">
        <v>7</v>
      </c>
      <c r="S11" s="17">
        <f t="shared" ref="S11:AF11" si="3">SUM(C14:C17)</f>
        <v>159</v>
      </c>
      <c r="T11" s="17">
        <f t="shared" si="3"/>
        <v>22</v>
      </c>
      <c r="U11" s="17">
        <f t="shared" si="3"/>
        <v>19</v>
      </c>
      <c r="V11" s="17">
        <f t="shared" si="3"/>
        <v>15</v>
      </c>
      <c r="W11" s="17">
        <f t="shared" si="3"/>
        <v>1</v>
      </c>
      <c r="X11" s="17">
        <f t="shared" si="3"/>
        <v>2</v>
      </c>
      <c r="Y11" s="17">
        <f t="shared" si="3"/>
        <v>15</v>
      </c>
      <c r="Z11" s="17">
        <f t="shared" si="3"/>
        <v>0</v>
      </c>
      <c r="AA11" s="17">
        <f t="shared" si="3"/>
        <v>2</v>
      </c>
      <c r="AB11" s="17">
        <f t="shared" si="3"/>
        <v>2</v>
      </c>
      <c r="AC11" s="17">
        <f t="shared" si="3"/>
        <v>318</v>
      </c>
      <c r="AD11" s="17">
        <f t="shared" si="3"/>
        <v>0</v>
      </c>
      <c r="AE11" s="31">
        <f t="shared" si="3"/>
        <v>237</v>
      </c>
      <c r="AF11" s="31">
        <f t="shared" si="3"/>
        <v>555</v>
      </c>
    </row>
    <row r="12" spans="2:32" ht="23.1" customHeight="1" x14ac:dyDescent="0.25">
      <c r="B12" s="23" t="s">
        <v>39</v>
      </c>
      <c r="C12" s="50">
        <v>75</v>
      </c>
      <c r="D12" s="50">
        <v>20</v>
      </c>
      <c r="E12" s="50">
        <v>8</v>
      </c>
      <c r="F12" s="50">
        <v>3</v>
      </c>
      <c r="G12" s="50">
        <v>0</v>
      </c>
      <c r="H12" s="50">
        <v>0</v>
      </c>
      <c r="I12" s="50">
        <v>7</v>
      </c>
      <c r="J12" s="50">
        <v>0</v>
      </c>
      <c r="K12" s="50">
        <v>0</v>
      </c>
      <c r="L12" s="50">
        <v>2</v>
      </c>
      <c r="M12" s="50">
        <v>225</v>
      </c>
      <c r="N12" s="50">
        <v>0</v>
      </c>
      <c r="O12" s="15">
        <f t="shared" si="0"/>
        <v>115</v>
      </c>
      <c r="P12" s="15">
        <f t="shared" si="1"/>
        <v>340</v>
      </c>
      <c r="R12" s="1" t="s">
        <v>8</v>
      </c>
      <c r="S12" s="17">
        <f t="shared" ref="S12:AF12" si="4">SUM(C18:C21)</f>
        <v>425</v>
      </c>
      <c r="T12" s="17">
        <f t="shared" si="4"/>
        <v>97</v>
      </c>
      <c r="U12" s="17">
        <f t="shared" si="4"/>
        <v>36</v>
      </c>
      <c r="V12" s="17">
        <f t="shared" si="4"/>
        <v>14</v>
      </c>
      <c r="W12" s="17">
        <f t="shared" si="4"/>
        <v>2</v>
      </c>
      <c r="X12" s="17">
        <f t="shared" si="4"/>
        <v>0</v>
      </c>
      <c r="Y12" s="17">
        <f t="shared" si="4"/>
        <v>22</v>
      </c>
      <c r="Z12" s="17">
        <f t="shared" si="4"/>
        <v>3</v>
      </c>
      <c r="AA12" s="17">
        <f t="shared" si="4"/>
        <v>2</v>
      </c>
      <c r="AB12" s="17">
        <f t="shared" si="4"/>
        <v>1</v>
      </c>
      <c r="AC12" s="17">
        <f t="shared" si="4"/>
        <v>665</v>
      </c>
      <c r="AD12" s="17">
        <f t="shared" si="4"/>
        <v>1</v>
      </c>
      <c r="AE12" s="31">
        <f t="shared" si="4"/>
        <v>603</v>
      </c>
      <c r="AF12" s="31">
        <f t="shared" si="4"/>
        <v>1268</v>
      </c>
    </row>
    <row r="13" spans="2:32" ht="23.1" customHeight="1" x14ac:dyDescent="0.25">
      <c r="B13" s="23" t="s">
        <v>40</v>
      </c>
      <c r="C13" s="50">
        <v>80</v>
      </c>
      <c r="D13" s="50">
        <v>15</v>
      </c>
      <c r="E13" s="50">
        <v>4</v>
      </c>
      <c r="F13" s="50">
        <v>2</v>
      </c>
      <c r="G13" s="50">
        <v>2</v>
      </c>
      <c r="H13" s="50">
        <v>0</v>
      </c>
      <c r="I13" s="50">
        <v>0</v>
      </c>
      <c r="J13" s="50">
        <v>0</v>
      </c>
      <c r="K13" s="50">
        <v>0</v>
      </c>
      <c r="L13" s="50">
        <v>1</v>
      </c>
      <c r="M13" s="50">
        <v>200</v>
      </c>
      <c r="N13" s="50">
        <v>0</v>
      </c>
      <c r="O13" s="15">
        <f t="shared" si="0"/>
        <v>104</v>
      </c>
      <c r="P13" s="15">
        <f t="shared" si="1"/>
        <v>304</v>
      </c>
      <c r="R13" s="1" t="s">
        <v>9</v>
      </c>
      <c r="S13" s="17">
        <f t="shared" ref="S13:AF13" si="5">SUM(C22:C25)</f>
        <v>585</v>
      </c>
      <c r="T13" s="17">
        <f t="shared" si="5"/>
        <v>146</v>
      </c>
      <c r="U13" s="17">
        <f t="shared" si="5"/>
        <v>50</v>
      </c>
      <c r="V13" s="17">
        <f t="shared" si="5"/>
        <v>24</v>
      </c>
      <c r="W13" s="17">
        <f t="shared" si="5"/>
        <v>1</v>
      </c>
      <c r="X13" s="17">
        <f t="shared" si="5"/>
        <v>0</v>
      </c>
      <c r="Y13" s="17">
        <f t="shared" si="5"/>
        <v>17</v>
      </c>
      <c r="Z13" s="17">
        <f t="shared" si="5"/>
        <v>8</v>
      </c>
      <c r="AA13" s="17">
        <f t="shared" si="5"/>
        <v>1</v>
      </c>
      <c r="AB13" s="17">
        <f t="shared" si="5"/>
        <v>0</v>
      </c>
      <c r="AC13" s="17">
        <f t="shared" si="5"/>
        <v>1075</v>
      </c>
      <c r="AD13" s="17">
        <f t="shared" si="5"/>
        <v>0</v>
      </c>
      <c r="AE13" s="31">
        <f t="shared" si="5"/>
        <v>832</v>
      </c>
      <c r="AF13" s="31">
        <f t="shared" si="5"/>
        <v>1907</v>
      </c>
    </row>
    <row r="14" spans="2:32" ht="23.1" customHeight="1" x14ac:dyDescent="0.25">
      <c r="B14" s="23" t="s">
        <v>41</v>
      </c>
      <c r="C14" s="50">
        <v>55</v>
      </c>
      <c r="D14" s="50">
        <v>6</v>
      </c>
      <c r="E14" s="50">
        <v>4</v>
      </c>
      <c r="F14" s="50">
        <v>4</v>
      </c>
      <c r="G14" s="50">
        <v>0</v>
      </c>
      <c r="H14" s="50">
        <v>0</v>
      </c>
      <c r="I14" s="50">
        <v>7</v>
      </c>
      <c r="J14" s="50">
        <v>0</v>
      </c>
      <c r="K14" s="50">
        <v>0</v>
      </c>
      <c r="L14" s="50">
        <v>0</v>
      </c>
      <c r="M14" s="50">
        <v>94</v>
      </c>
      <c r="N14" s="50">
        <v>0</v>
      </c>
      <c r="O14" s="15">
        <f t="shared" si="0"/>
        <v>76</v>
      </c>
      <c r="P14" s="15">
        <f t="shared" si="1"/>
        <v>170</v>
      </c>
      <c r="R14" s="1" t="s">
        <v>10</v>
      </c>
      <c r="S14" s="17">
        <f t="shared" ref="S14:AF14" si="6">SUM(C26:C29)</f>
        <v>470</v>
      </c>
      <c r="T14" s="17">
        <f t="shared" si="6"/>
        <v>79</v>
      </c>
      <c r="U14" s="17">
        <f t="shared" si="6"/>
        <v>26</v>
      </c>
      <c r="V14" s="17">
        <f t="shared" si="6"/>
        <v>19</v>
      </c>
      <c r="W14" s="17">
        <f t="shared" si="6"/>
        <v>0</v>
      </c>
      <c r="X14" s="17">
        <f t="shared" si="6"/>
        <v>0</v>
      </c>
      <c r="Y14" s="17">
        <f t="shared" si="6"/>
        <v>16</v>
      </c>
      <c r="Z14" s="17">
        <f t="shared" si="6"/>
        <v>0</v>
      </c>
      <c r="AA14" s="17">
        <f t="shared" si="6"/>
        <v>7</v>
      </c>
      <c r="AB14" s="17">
        <f t="shared" si="6"/>
        <v>0</v>
      </c>
      <c r="AC14" s="17">
        <f t="shared" si="6"/>
        <v>830</v>
      </c>
      <c r="AD14" s="17">
        <f t="shared" si="6"/>
        <v>0</v>
      </c>
      <c r="AE14" s="31">
        <f t="shared" si="6"/>
        <v>617</v>
      </c>
      <c r="AF14" s="31">
        <f t="shared" si="6"/>
        <v>1447</v>
      </c>
    </row>
    <row r="15" spans="2:32" ht="23.1" customHeight="1" x14ac:dyDescent="0.25">
      <c r="B15" s="23" t="s">
        <v>42</v>
      </c>
      <c r="C15" s="50">
        <v>42</v>
      </c>
      <c r="D15" s="50">
        <v>4</v>
      </c>
      <c r="E15" s="50">
        <v>10</v>
      </c>
      <c r="F15" s="50">
        <v>4</v>
      </c>
      <c r="G15" s="50">
        <v>0</v>
      </c>
      <c r="H15" s="50">
        <v>2</v>
      </c>
      <c r="I15" s="50">
        <v>3</v>
      </c>
      <c r="J15" s="50">
        <v>0</v>
      </c>
      <c r="K15" s="50">
        <v>0</v>
      </c>
      <c r="L15" s="50">
        <v>1</v>
      </c>
      <c r="M15" s="50">
        <v>85</v>
      </c>
      <c r="N15" s="50">
        <v>0</v>
      </c>
      <c r="O15" s="15">
        <f t="shared" si="0"/>
        <v>66</v>
      </c>
      <c r="P15" s="15">
        <f t="shared" si="1"/>
        <v>151</v>
      </c>
      <c r="R15" s="1" t="s">
        <v>11</v>
      </c>
      <c r="S15" s="17">
        <f t="shared" ref="S15:AF15" si="7">SUM(C30:C33)</f>
        <v>542</v>
      </c>
      <c r="T15" s="17">
        <f t="shared" si="7"/>
        <v>380</v>
      </c>
      <c r="U15" s="17">
        <f t="shared" si="7"/>
        <v>206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13</v>
      </c>
      <c r="Z15" s="17">
        <f t="shared" si="7"/>
        <v>5</v>
      </c>
      <c r="AA15" s="17">
        <f t="shared" si="7"/>
        <v>2</v>
      </c>
      <c r="AB15" s="17">
        <f t="shared" si="7"/>
        <v>0</v>
      </c>
      <c r="AC15" s="17">
        <f t="shared" si="7"/>
        <v>542</v>
      </c>
      <c r="AD15" s="17">
        <f t="shared" si="7"/>
        <v>0</v>
      </c>
      <c r="AE15" s="31">
        <f t="shared" si="7"/>
        <v>1164</v>
      </c>
      <c r="AF15" s="31">
        <f t="shared" si="7"/>
        <v>1706</v>
      </c>
    </row>
    <row r="16" spans="2:32" ht="23.1" customHeight="1" x14ac:dyDescent="0.25">
      <c r="B16" s="23" t="s">
        <v>43</v>
      </c>
      <c r="C16" s="50">
        <v>35</v>
      </c>
      <c r="D16" s="50">
        <v>10</v>
      </c>
      <c r="E16" s="50">
        <v>3</v>
      </c>
      <c r="F16" s="50">
        <v>6</v>
      </c>
      <c r="G16" s="50">
        <v>1</v>
      </c>
      <c r="H16" s="50">
        <v>0</v>
      </c>
      <c r="I16" s="50">
        <v>1</v>
      </c>
      <c r="J16" s="50">
        <v>0</v>
      </c>
      <c r="K16" s="50">
        <v>0</v>
      </c>
      <c r="L16" s="50">
        <v>0</v>
      </c>
      <c r="M16" s="50">
        <v>75</v>
      </c>
      <c r="N16" s="50">
        <v>0</v>
      </c>
      <c r="O16" s="15">
        <f t="shared" si="0"/>
        <v>56</v>
      </c>
      <c r="P16" s="15">
        <f t="shared" si="1"/>
        <v>131</v>
      </c>
      <c r="R16" s="1" t="s">
        <v>12</v>
      </c>
      <c r="S16" s="17">
        <f t="shared" ref="S16:AF16" si="8">SUM(C34:C37)</f>
        <v>495</v>
      </c>
      <c r="T16" s="17">
        <f t="shared" si="8"/>
        <v>311</v>
      </c>
      <c r="U16" s="17">
        <f t="shared" si="8"/>
        <v>176</v>
      </c>
      <c r="V16" s="17">
        <f t="shared" si="8"/>
        <v>7</v>
      </c>
      <c r="W16" s="17">
        <f t="shared" si="8"/>
        <v>2</v>
      </c>
      <c r="X16" s="17">
        <f t="shared" si="8"/>
        <v>0</v>
      </c>
      <c r="Y16" s="17">
        <f t="shared" si="8"/>
        <v>7</v>
      </c>
      <c r="Z16" s="17">
        <f t="shared" si="8"/>
        <v>8</v>
      </c>
      <c r="AA16" s="17">
        <f t="shared" si="8"/>
        <v>1</v>
      </c>
      <c r="AB16" s="17">
        <f t="shared" si="8"/>
        <v>1</v>
      </c>
      <c r="AC16" s="17">
        <f t="shared" si="8"/>
        <v>383</v>
      </c>
      <c r="AD16" s="17">
        <f t="shared" si="8"/>
        <v>0</v>
      </c>
      <c r="AE16" s="31">
        <f t="shared" si="8"/>
        <v>1008</v>
      </c>
      <c r="AF16" s="31">
        <f t="shared" si="8"/>
        <v>1391</v>
      </c>
    </row>
    <row r="17" spans="2:32" ht="23.1" customHeight="1" x14ac:dyDescent="0.25">
      <c r="B17" s="23" t="s">
        <v>44</v>
      </c>
      <c r="C17" s="50">
        <v>27</v>
      </c>
      <c r="D17" s="50">
        <v>2</v>
      </c>
      <c r="E17" s="50">
        <v>2</v>
      </c>
      <c r="F17" s="50">
        <v>1</v>
      </c>
      <c r="G17" s="50">
        <v>0</v>
      </c>
      <c r="H17" s="50">
        <v>0</v>
      </c>
      <c r="I17" s="50">
        <v>4</v>
      </c>
      <c r="J17" s="50">
        <v>0</v>
      </c>
      <c r="K17" s="50">
        <v>2</v>
      </c>
      <c r="L17" s="50">
        <v>1</v>
      </c>
      <c r="M17" s="50">
        <v>64</v>
      </c>
      <c r="N17" s="50">
        <v>0</v>
      </c>
      <c r="O17" s="15">
        <f t="shared" si="0"/>
        <v>39</v>
      </c>
      <c r="P17" s="15">
        <f t="shared" si="1"/>
        <v>103</v>
      </c>
      <c r="R17" s="1" t="s">
        <v>13</v>
      </c>
      <c r="S17" s="17">
        <f t="shared" ref="S17:AF17" si="9">SUM(C38:C41)</f>
        <v>477</v>
      </c>
      <c r="T17" s="17">
        <f t="shared" si="9"/>
        <v>307</v>
      </c>
      <c r="U17" s="17">
        <f t="shared" si="9"/>
        <v>119</v>
      </c>
      <c r="V17" s="17">
        <f t="shared" si="9"/>
        <v>16</v>
      </c>
      <c r="W17" s="17">
        <f t="shared" si="9"/>
        <v>1</v>
      </c>
      <c r="X17" s="17">
        <f t="shared" si="9"/>
        <v>0</v>
      </c>
      <c r="Y17" s="17">
        <f t="shared" si="9"/>
        <v>11</v>
      </c>
      <c r="Z17" s="17">
        <f t="shared" si="9"/>
        <v>3</v>
      </c>
      <c r="AA17" s="17">
        <f t="shared" si="9"/>
        <v>3</v>
      </c>
      <c r="AB17" s="17">
        <f t="shared" si="9"/>
        <v>0</v>
      </c>
      <c r="AC17" s="17">
        <f t="shared" si="9"/>
        <v>605</v>
      </c>
      <c r="AD17" s="17">
        <f t="shared" si="9"/>
        <v>0</v>
      </c>
      <c r="AE17" s="31">
        <f t="shared" si="9"/>
        <v>937</v>
      </c>
      <c r="AF17" s="31">
        <f t="shared" si="9"/>
        <v>1542</v>
      </c>
    </row>
    <row r="18" spans="2:32" ht="23.1" customHeight="1" x14ac:dyDescent="0.25">
      <c r="B18" s="23" t="s">
        <v>45</v>
      </c>
      <c r="C18" s="50">
        <v>135</v>
      </c>
      <c r="D18" s="50">
        <v>39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15">
        <f t="shared" si="0"/>
        <v>174</v>
      </c>
      <c r="P18" s="15">
        <f t="shared" si="1"/>
        <v>174</v>
      </c>
      <c r="R18" s="1" t="s">
        <v>14</v>
      </c>
      <c r="S18" s="17">
        <f t="shared" ref="S18:AF18" si="10">SUM(C42:C45)</f>
        <v>438</v>
      </c>
      <c r="T18" s="17">
        <f t="shared" si="10"/>
        <v>232</v>
      </c>
      <c r="U18" s="17">
        <f t="shared" si="10"/>
        <v>74</v>
      </c>
      <c r="V18" s="17">
        <f t="shared" si="10"/>
        <v>9</v>
      </c>
      <c r="W18" s="17">
        <f t="shared" si="10"/>
        <v>1</v>
      </c>
      <c r="X18" s="17">
        <f t="shared" si="10"/>
        <v>0</v>
      </c>
      <c r="Y18" s="17">
        <f t="shared" si="10"/>
        <v>6</v>
      </c>
      <c r="Z18" s="17">
        <f t="shared" si="10"/>
        <v>3</v>
      </c>
      <c r="AA18" s="17">
        <f t="shared" si="10"/>
        <v>2</v>
      </c>
      <c r="AB18" s="17">
        <f t="shared" si="10"/>
        <v>2</v>
      </c>
      <c r="AC18" s="17">
        <f t="shared" si="10"/>
        <v>580</v>
      </c>
      <c r="AD18" s="17">
        <f t="shared" si="10"/>
        <v>0</v>
      </c>
      <c r="AE18" s="31">
        <f t="shared" si="10"/>
        <v>767</v>
      </c>
      <c r="AF18" s="31">
        <f t="shared" si="10"/>
        <v>1347</v>
      </c>
    </row>
    <row r="19" spans="2:32" ht="23.1" customHeight="1" x14ac:dyDescent="0.25">
      <c r="B19" s="23" t="s">
        <v>46</v>
      </c>
      <c r="C19" s="50">
        <v>55</v>
      </c>
      <c r="D19" s="50">
        <v>17</v>
      </c>
      <c r="E19" s="50">
        <v>5</v>
      </c>
      <c r="F19" s="50">
        <v>3</v>
      </c>
      <c r="G19" s="50">
        <v>2</v>
      </c>
      <c r="H19" s="50">
        <v>0</v>
      </c>
      <c r="I19" s="50">
        <v>2</v>
      </c>
      <c r="J19" s="50">
        <v>0</v>
      </c>
      <c r="K19" s="50">
        <v>1</v>
      </c>
      <c r="L19" s="50">
        <v>0</v>
      </c>
      <c r="M19" s="50">
        <v>190</v>
      </c>
      <c r="N19" s="50">
        <v>1</v>
      </c>
      <c r="O19" s="15">
        <f t="shared" si="0"/>
        <v>86</v>
      </c>
      <c r="P19" s="15">
        <f t="shared" si="1"/>
        <v>276</v>
      </c>
      <c r="R19" s="1" t="s">
        <v>15</v>
      </c>
      <c r="S19" s="17">
        <f t="shared" ref="S19:AF19" si="11">SUM(C46:C49)</f>
        <v>331</v>
      </c>
      <c r="T19" s="17">
        <f t="shared" si="11"/>
        <v>234</v>
      </c>
      <c r="U19" s="17">
        <f t="shared" si="11"/>
        <v>126</v>
      </c>
      <c r="V19" s="17">
        <f t="shared" si="11"/>
        <v>13</v>
      </c>
      <c r="W19" s="17">
        <f t="shared" si="11"/>
        <v>1</v>
      </c>
      <c r="X19" s="17">
        <f t="shared" si="11"/>
        <v>0</v>
      </c>
      <c r="Y19" s="17">
        <f t="shared" si="11"/>
        <v>8</v>
      </c>
      <c r="Z19" s="17">
        <f t="shared" si="11"/>
        <v>3</v>
      </c>
      <c r="AA19" s="17">
        <f t="shared" si="11"/>
        <v>0</v>
      </c>
      <c r="AB19" s="17">
        <f t="shared" si="11"/>
        <v>1</v>
      </c>
      <c r="AC19" s="17">
        <f t="shared" si="11"/>
        <v>880</v>
      </c>
      <c r="AD19" s="17">
        <f t="shared" si="11"/>
        <v>0</v>
      </c>
      <c r="AE19" s="31">
        <f t="shared" si="11"/>
        <v>717</v>
      </c>
      <c r="AF19" s="31">
        <f t="shared" si="11"/>
        <v>1597</v>
      </c>
    </row>
    <row r="20" spans="2:32" ht="23.1" customHeight="1" x14ac:dyDescent="0.25">
      <c r="B20" s="23" t="s">
        <v>47</v>
      </c>
      <c r="C20" s="50">
        <v>100</v>
      </c>
      <c r="D20" s="50">
        <v>26</v>
      </c>
      <c r="E20" s="50">
        <v>23</v>
      </c>
      <c r="F20" s="50">
        <v>9</v>
      </c>
      <c r="G20" s="50">
        <v>0</v>
      </c>
      <c r="H20" s="50">
        <v>0</v>
      </c>
      <c r="I20" s="50">
        <v>8</v>
      </c>
      <c r="J20" s="50">
        <v>1</v>
      </c>
      <c r="K20" s="50">
        <v>0</v>
      </c>
      <c r="L20" s="50">
        <v>1</v>
      </c>
      <c r="M20" s="50">
        <v>235</v>
      </c>
      <c r="N20" s="50">
        <v>0</v>
      </c>
      <c r="O20" s="15">
        <f t="shared" si="0"/>
        <v>168</v>
      </c>
      <c r="P20" s="15">
        <f t="shared" si="1"/>
        <v>403</v>
      </c>
      <c r="R20" s="1" t="s">
        <v>16</v>
      </c>
      <c r="S20" s="17">
        <f t="shared" ref="S20:AF20" si="12">SUM(C50:C53)</f>
        <v>510</v>
      </c>
      <c r="T20" s="17">
        <f t="shared" si="12"/>
        <v>284</v>
      </c>
      <c r="U20" s="17">
        <f t="shared" si="12"/>
        <v>131</v>
      </c>
      <c r="V20" s="17">
        <f t="shared" si="12"/>
        <v>22</v>
      </c>
      <c r="W20" s="17">
        <f t="shared" si="12"/>
        <v>6</v>
      </c>
      <c r="X20" s="17">
        <f t="shared" si="12"/>
        <v>0</v>
      </c>
      <c r="Y20" s="17">
        <f t="shared" si="12"/>
        <v>9</v>
      </c>
      <c r="Z20" s="17">
        <f t="shared" si="12"/>
        <v>8</v>
      </c>
      <c r="AA20" s="17">
        <f t="shared" si="12"/>
        <v>1</v>
      </c>
      <c r="AB20" s="17">
        <f t="shared" si="12"/>
        <v>0</v>
      </c>
      <c r="AC20" s="17">
        <f t="shared" si="12"/>
        <v>455</v>
      </c>
      <c r="AD20" s="17">
        <f t="shared" si="12"/>
        <v>0</v>
      </c>
      <c r="AE20" s="31">
        <f t="shared" si="12"/>
        <v>971</v>
      </c>
      <c r="AF20" s="31">
        <f t="shared" si="12"/>
        <v>1426</v>
      </c>
    </row>
    <row r="21" spans="2:32" ht="23.1" customHeight="1" x14ac:dyDescent="0.25">
      <c r="B21" s="23" t="s">
        <v>48</v>
      </c>
      <c r="C21" s="50">
        <v>135</v>
      </c>
      <c r="D21" s="50">
        <v>15</v>
      </c>
      <c r="E21" s="50">
        <v>8</v>
      </c>
      <c r="F21" s="50">
        <v>2</v>
      </c>
      <c r="G21" s="50">
        <v>0</v>
      </c>
      <c r="H21" s="50">
        <v>0</v>
      </c>
      <c r="I21" s="50">
        <v>12</v>
      </c>
      <c r="J21" s="50">
        <v>2</v>
      </c>
      <c r="K21" s="50">
        <v>1</v>
      </c>
      <c r="L21" s="50">
        <v>0</v>
      </c>
      <c r="M21" s="50">
        <v>240</v>
      </c>
      <c r="N21" s="50">
        <v>0</v>
      </c>
      <c r="O21" s="15">
        <f t="shared" si="0"/>
        <v>175</v>
      </c>
      <c r="P21" s="15">
        <f t="shared" si="1"/>
        <v>415</v>
      </c>
      <c r="R21" s="36" t="s">
        <v>20</v>
      </c>
      <c r="S21" s="34">
        <f t="shared" ref="S21:AF21" si="13">SUM(C54:C57)</f>
        <v>537</v>
      </c>
      <c r="T21" s="17">
        <f t="shared" si="13"/>
        <v>300</v>
      </c>
      <c r="U21" s="17">
        <f t="shared" si="13"/>
        <v>157</v>
      </c>
      <c r="V21" s="17">
        <f t="shared" si="13"/>
        <v>52</v>
      </c>
      <c r="W21" s="17">
        <f t="shared" si="13"/>
        <v>6</v>
      </c>
      <c r="X21" s="17">
        <f t="shared" si="13"/>
        <v>1</v>
      </c>
      <c r="Y21" s="17">
        <f t="shared" si="13"/>
        <v>14</v>
      </c>
      <c r="Z21" s="17">
        <f t="shared" si="13"/>
        <v>1</v>
      </c>
      <c r="AA21" s="17">
        <f t="shared" si="13"/>
        <v>3</v>
      </c>
      <c r="AB21" s="17">
        <f t="shared" si="13"/>
        <v>2</v>
      </c>
      <c r="AC21" s="17">
        <f t="shared" si="13"/>
        <v>806</v>
      </c>
      <c r="AD21" s="17">
        <f t="shared" si="13"/>
        <v>0</v>
      </c>
      <c r="AE21" s="31">
        <f t="shared" si="13"/>
        <v>1073</v>
      </c>
      <c r="AF21" s="31">
        <f t="shared" si="13"/>
        <v>1879</v>
      </c>
    </row>
    <row r="22" spans="2:32" ht="23.1" customHeight="1" x14ac:dyDescent="0.25">
      <c r="B22" s="23" t="s">
        <v>49</v>
      </c>
      <c r="C22" s="50">
        <v>135</v>
      </c>
      <c r="D22" s="50">
        <v>60</v>
      </c>
      <c r="E22" s="50">
        <v>20</v>
      </c>
      <c r="F22" s="50">
        <v>10</v>
      </c>
      <c r="G22" s="50">
        <v>0</v>
      </c>
      <c r="H22" s="50">
        <v>0</v>
      </c>
      <c r="I22" s="50">
        <v>5</v>
      </c>
      <c r="J22" s="50">
        <v>3</v>
      </c>
      <c r="K22" s="50">
        <v>0</v>
      </c>
      <c r="L22" s="50">
        <v>0</v>
      </c>
      <c r="M22" s="50">
        <v>275</v>
      </c>
      <c r="N22" s="50">
        <v>0</v>
      </c>
      <c r="O22" s="15">
        <f t="shared" si="0"/>
        <v>233</v>
      </c>
      <c r="P22" s="15">
        <f t="shared" si="1"/>
        <v>508</v>
      </c>
      <c r="R22" s="38" t="s">
        <v>90</v>
      </c>
      <c r="S22" s="39">
        <f>MAX(S10:S12)</f>
        <v>425</v>
      </c>
      <c r="T22" s="39">
        <f t="shared" ref="T22:AF22" si="14">MAX(T10:T12)</f>
        <v>97</v>
      </c>
      <c r="U22" s="39">
        <f t="shared" si="14"/>
        <v>36</v>
      </c>
      <c r="V22" s="39">
        <f t="shared" si="14"/>
        <v>18</v>
      </c>
      <c r="W22" s="39">
        <f t="shared" si="14"/>
        <v>3</v>
      </c>
      <c r="X22" s="39">
        <f t="shared" si="14"/>
        <v>2</v>
      </c>
      <c r="Y22" s="39">
        <f t="shared" si="14"/>
        <v>22</v>
      </c>
      <c r="Z22" s="39">
        <f t="shared" si="14"/>
        <v>3</v>
      </c>
      <c r="AA22" s="39">
        <f t="shared" si="14"/>
        <v>2</v>
      </c>
      <c r="AB22" s="39">
        <f t="shared" si="14"/>
        <v>3</v>
      </c>
      <c r="AC22" s="39">
        <f t="shared" si="14"/>
        <v>780</v>
      </c>
      <c r="AD22" s="39">
        <f t="shared" si="14"/>
        <v>1</v>
      </c>
      <c r="AE22" s="40">
        <f t="shared" si="14"/>
        <v>603</v>
      </c>
      <c r="AF22" s="40">
        <f t="shared" si="14"/>
        <v>1268</v>
      </c>
    </row>
    <row r="23" spans="2:32" ht="23.1" customHeight="1" x14ac:dyDescent="0.25">
      <c r="B23" s="23" t="s">
        <v>50</v>
      </c>
      <c r="C23" s="50">
        <v>160</v>
      </c>
      <c r="D23" s="50">
        <v>25</v>
      </c>
      <c r="E23" s="50">
        <v>10</v>
      </c>
      <c r="F23" s="50">
        <v>5</v>
      </c>
      <c r="G23" s="50">
        <v>1</v>
      </c>
      <c r="H23" s="50">
        <v>0</v>
      </c>
      <c r="I23" s="50">
        <v>4</v>
      </c>
      <c r="J23" s="50">
        <v>1</v>
      </c>
      <c r="K23" s="50">
        <v>0</v>
      </c>
      <c r="L23" s="50">
        <v>0</v>
      </c>
      <c r="M23" s="50">
        <v>280</v>
      </c>
      <c r="N23" s="50">
        <v>0</v>
      </c>
      <c r="O23" s="15">
        <f t="shared" si="0"/>
        <v>206</v>
      </c>
      <c r="P23" s="15">
        <f t="shared" si="1"/>
        <v>486</v>
      </c>
      <c r="R23" s="38" t="s">
        <v>91</v>
      </c>
      <c r="S23" s="39">
        <f>MAX(S13:S18)</f>
        <v>585</v>
      </c>
      <c r="T23" s="39">
        <f t="shared" ref="T23:AF23" si="15">MAX(T13:T18)</f>
        <v>380</v>
      </c>
      <c r="U23" s="39">
        <f t="shared" si="15"/>
        <v>206</v>
      </c>
      <c r="V23" s="39">
        <f t="shared" si="15"/>
        <v>24</v>
      </c>
      <c r="W23" s="39">
        <f t="shared" si="15"/>
        <v>2</v>
      </c>
      <c r="X23" s="39">
        <f t="shared" si="15"/>
        <v>0</v>
      </c>
      <c r="Y23" s="39">
        <f t="shared" si="15"/>
        <v>17</v>
      </c>
      <c r="Z23" s="39">
        <f t="shared" si="15"/>
        <v>8</v>
      </c>
      <c r="AA23" s="39">
        <f t="shared" si="15"/>
        <v>7</v>
      </c>
      <c r="AB23" s="39">
        <f t="shared" si="15"/>
        <v>2</v>
      </c>
      <c r="AC23" s="39">
        <f t="shared" si="15"/>
        <v>1075</v>
      </c>
      <c r="AD23" s="39">
        <f t="shared" si="15"/>
        <v>0</v>
      </c>
      <c r="AE23" s="40">
        <f t="shared" si="15"/>
        <v>1164</v>
      </c>
      <c r="AF23" s="40">
        <f t="shared" si="15"/>
        <v>1907</v>
      </c>
    </row>
    <row r="24" spans="2:32" ht="23.1" customHeight="1" x14ac:dyDescent="0.25">
      <c r="B24" s="23" t="s">
        <v>51</v>
      </c>
      <c r="C24" s="50">
        <v>160</v>
      </c>
      <c r="D24" s="50">
        <v>11</v>
      </c>
      <c r="E24" s="50">
        <v>4</v>
      </c>
      <c r="F24" s="50">
        <v>8</v>
      </c>
      <c r="G24" s="50">
        <v>0</v>
      </c>
      <c r="H24" s="50">
        <v>0</v>
      </c>
      <c r="I24" s="50">
        <v>2</v>
      </c>
      <c r="J24" s="50">
        <v>4</v>
      </c>
      <c r="K24" s="50">
        <v>1</v>
      </c>
      <c r="L24" s="50">
        <v>0</v>
      </c>
      <c r="M24" s="50">
        <v>290</v>
      </c>
      <c r="N24" s="50">
        <v>0</v>
      </c>
      <c r="O24" s="15">
        <f t="shared" si="0"/>
        <v>190</v>
      </c>
      <c r="P24" s="15">
        <f t="shared" si="1"/>
        <v>480</v>
      </c>
      <c r="R24" s="38" t="s">
        <v>92</v>
      </c>
      <c r="S24" s="39">
        <f>MAX(S19:S21)</f>
        <v>537</v>
      </c>
      <c r="T24" s="39">
        <f t="shared" ref="T24:AF24" si="16">MAX(T19:T21)</f>
        <v>300</v>
      </c>
      <c r="U24" s="39">
        <f t="shared" si="16"/>
        <v>157</v>
      </c>
      <c r="V24" s="39">
        <f t="shared" si="16"/>
        <v>52</v>
      </c>
      <c r="W24" s="39">
        <f t="shared" si="16"/>
        <v>6</v>
      </c>
      <c r="X24" s="39">
        <f t="shared" si="16"/>
        <v>1</v>
      </c>
      <c r="Y24" s="39">
        <f t="shared" si="16"/>
        <v>14</v>
      </c>
      <c r="Z24" s="39">
        <f t="shared" si="16"/>
        <v>8</v>
      </c>
      <c r="AA24" s="39">
        <f t="shared" si="16"/>
        <v>3</v>
      </c>
      <c r="AB24" s="39">
        <f t="shared" si="16"/>
        <v>2</v>
      </c>
      <c r="AC24" s="39">
        <f t="shared" si="16"/>
        <v>880</v>
      </c>
      <c r="AD24" s="39">
        <f t="shared" si="16"/>
        <v>0</v>
      </c>
      <c r="AE24" s="40">
        <f t="shared" si="16"/>
        <v>1073</v>
      </c>
      <c r="AF24" s="40">
        <f t="shared" si="16"/>
        <v>1879</v>
      </c>
    </row>
    <row r="25" spans="2:32" ht="23.1" customHeight="1" x14ac:dyDescent="0.25">
      <c r="B25" s="23" t="s">
        <v>52</v>
      </c>
      <c r="C25" s="50">
        <v>130</v>
      </c>
      <c r="D25" s="50">
        <v>50</v>
      </c>
      <c r="E25" s="50">
        <v>16</v>
      </c>
      <c r="F25" s="50">
        <v>1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230</v>
      </c>
      <c r="N25" s="50">
        <v>0</v>
      </c>
      <c r="O25" s="15">
        <f t="shared" si="0"/>
        <v>203</v>
      </c>
      <c r="P25" s="15">
        <f t="shared" si="1"/>
        <v>433</v>
      </c>
      <c r="R25" s="37" t="s">
        <v>85</v>
      </c>
      <c r="S25" s="35">
        <f t="shared" ref="S25:AF25" si="17">SUM(S10:S12)</f>
        <v>944</v>
      </c>
      <c r="T25" s="16">
        <f t="shared" si="17"/>
        <v>170</v>
      </c>
      <c r="U25" s="16">
        <f t="shared" si="17"/>
        <v>87</v>
      </c>
      <c r="V25" s="16">
        <f t="shared" si="17"/>
        <v>47</v>
      </c>
      <c r="W25" s="16">
        <f t="shared" si="17"/>
        <v>6</v>
      </c>
      <c r="X25" s="16">
        <f t="shared" si="17"/>
        <v>3</v>
      </c>
      <c r="Y25" s="16">
        <f t="shared" si="17"/>
        <v>51</v>
      </c>
      <c r="Z25" s="16">
        <f t="shared" si="17"/>
        <v>3</v>
      </c>
      <c r="AA25" s="16">
        <f t="shared" si="17"/>
        <v>5</v>
      </c>
      <c r="AB25" s="16">
        <f t="shared" si="17"/>
        <v>6</v>
      </c>
      <c r="AC25" s="16">
        <f t="shared" si="17"/>
        <v>1763</v>
      </c>
      <c r="AD25" s="16">
        <f t="shared" si="17"/>
        <v>1</v>
      </c>
      <c r="AE25" s="32">
        <f t="shared" si="17"/>
        <v>1323</v>
      </c>
      <c r="AF25" s="32">
        <f t="shared" si="17"/>
        <v>3086</v>
      </c>
    </row>
    <row r="26" spans="2:32" ht="23.1" customHeight="1" x14ac:dyDescent="0.25">
      <c r="B26" s="23" t="s">
        <v>53</v>
      </c>
      <c r="C26" s="50">
        <v>120</v>
      </c>
      <c r="D26" s="50">
        <v>19</v>
      </c>
      <c r="E26" s="50">
        <v>5</v>
      </c>
      <c r="F26" s="50">
        <v>1</v>
      </c>
      <c r="G26" s="50">
        <v>0</v>
      </c>
      <c r="H26" s="50">
        <v>0</v>
      </c>
      <c r="I26" s="50">
        <v>6</v>
      </c>
      <c r="J26" s="50">
        <v>0</v>
      </c>
      <c r="K26" s="50">
        <v>2</v>
      </c>
      <c r="L26" s="50">
        <v>0</v>
      </c>
      <c r="M26" s="50">
        <v>215</v>
      </c>
      <c r="N26" s="50">
        <v>0</v>
      </c>
      <c r="O26" s="15">
        <f t="shared" si="0"/>
        <v>153</v>
      </c>
      <c r="P26" s="15">
        <f t="shared" si="1"/>
        <v>368</v>
      </c>
      <c r="R26" s="28" t="s">
        <v>86</v>
      </c>
      <c r="S26" s="16">
        <f t="shared" ref="S26:AF26" si="18">SUM(S13:S18)</f>
        <v>3007</v>
      </c>
      <c r="T26" s="16">
        <f t="shared" si="18"/>
        <v>1455</v>
      </c>
      <c r="U26" s="16">
        <f t="shared" si="18"/>
        <v>651</v>
      </c>
      <c r="V26" s="16">
        <f t="shared" si="18"/>
        <v>91</v>
      </c>
      <c r="W26" s="16">
        <f t="shared" si="18"/>
        <v>5</v>
      </c>
      <c r="X26" s="16">
        <f t="shared" si="18"/>
        <v>0</v>
      </c>
      <c r="Y26" s="16">
        <f t="shared" si="18"/>
        <v>70</v>
      </c>
      <c r="Z26" s="16">
        <f t="shared" si="18"/>
        <v>27</v>
      </c>
      <c r="AA26" s="16">
        <f t="shared" si="18"/>
        <v>16</v>
      </c>
      <c r="AB26" s="16">
        <f t="shared" si="18"/>
        <v>3</v>
      </c>
      <c r="AC26" s="16">
        <f t="shared" si="18"/>
        <v>4015</v>
      </c>
      <c r="AD26" s="16">
        <f t="shared" si="18"/>
        <v>0</v>
      </c>
      <c r="AE26" s="32">
        <f t="shared" si="18"/>
        <v>5325</v>
      </c>
      <c r="AF26" s="32">
        <f t="shared" si="18"/>
        <v>9340</v>
      </c>
    </row>
    <row r="27" spans="2:32" ht="23.1" customHeight="1" x14ac:dyDescent="0.25">
      <c r="B27" s="23" t="s">
        <v>54</v>
      </c>
      <c r="C27" s="50">
        <v>140</v>
      </c>
      <c r="D27" s="50">
        <v>19</v>
      </c>
      <c r="E27" s="50">
        <v>8</v>
      </c>
      <c r="F27" s="50">
        <v>7</v>
      </c>
      <c r="G27" s="50">
        <v>0</v>
      </c>
      <c r="H27" s="50">
        <v>0</v>
      </c>
      <c r="I27" s="50">
        <v>5</v>
      </c>
      <c r="J27" s="50">
        <v>0</v>
      </c>
      <c r="K27" s="50">
        <v>0</v>
      </c>
      <c r="L27" s="50">
        <v>0</v>
      </c>
      <c r="M27" s="50">
        <v>275</v>
      </c>
      <c r="N27" s="50">
        <v>0</v>
      </c>
      <c r="O27" s="15">
        <f t="shared" si="0"/>
        <v>179</v>
      </c>
      <c r="P27" s="15">
        <f t="shared" si="1"/>
        <v>454</v>
      </c>
      <c r="R27" s="29" t="s">
        <v>87</v>
      </c>
      <c r="S27" s="16">
        <f t="shared" ref="S27:AF27" si="19">SUM(S19:S21)</f>
        <v>1378</v>
      </c>
      <c r="T27" s="16">
        <f t="shared" si="19"/>
        <v>818</v>
      </c>
      <c r="U27" s="16">
        <f t="shared" si="19"/>
        <v>414</v>
      </c>
      <c r="V27" s="16">
        <f t="shared" si="19"/>
        <v>87</v>
      </c>
      <c r="W27" s="16">
        <f t="shared" si="19"/>
        <v>13</v>
      </c>
      <c r="X27" s="16">
        <f t="shared" si="19"/>
        <v>1</v>
      </c>
      <c r="Y27" s="16">
        <f t="shared" si="19"/>
        <v>31</v>
      </c>
      <c r="Z27" s="16">
        <f t="shared" si="19"/>
        <v>12</v>
      </c>
      <c r="AA27" s="16">
        <f t="shared" si="19"/>
        <v>4</v>
      </c>
      <c r="AB27" s="16">
        <f t="shared" si="19"/>
        <v>3</v>
      </c>
      <c r="AC27" s="16">
        <f t="shared" si="19"/>
        <v>2141</v>
      </c>
      <c r="AD27" s="16">
        <f t="shared" si="19"/>
        <v>0</v>
      </c>
      <c r="AE27" s="32">
        <f t="shared" si="19"/>
        <v>2761</v>
      </c>
      <c r="AF27" s="32">
        <f t="shared" si="19"/>
        <v>4902</v>
      </c>
    </row>
    <row r="28" spans="2:32" ht="23.1" customHeight="1" x14ac:dyDescent="0.25">
      <c r="B28" s="23" t="s">
        <v>55</v>
      </c>
      <c r="C28" s="50">
        <v>100</v>
      </c>
      <c r="D28" s="50">
        <v>23</v>
      </c>
      <c r="E28" s="50">
        <v>5</v>
      </c>
      <c r="F28" s="50">
        <v>4</v>
      </c>
      <c r="G28" s="50">
        <v>0</v>
      </c>
      <c r="H28" s="50">
        <v>0</v>
      </c>
      <c r="I28" s="50">
        <v>2</v>
      </c>
      <c r="J28" s="50">
        <v>0</v>
      </c>
      <c r="K28" s="50">
        <v>5</v>
      </c>
      <c r="L28" s="50">
        <v>0</v>
      </c>
      <c r="M28" s="50">
        <v>175</v>
      </c>
      <c r="N28" s="50">
        <v>0</v>
      </c>
      <c r="O28" s="15">
        <f t="shared" si="0"/>
        <v>139</v>
      </c>
      <c r="P28" s="15">
        <f t="shared" si="1"/>
        <v>314</v>
      </c>
      <c r="R28" s="5" t="s">
        <v>17</v>
      </c>
      <c r="S28" s="16">
        <f t="shared" ref="S28:AF28" si="20">SUM(S10:S21)</f>
        <v>5329</v>
      </c>
      <c r="T28" s="16">
        <f t="shared" si="20"/>
        <v>2443</v>
      </c>
      <c r="U28" s="16">
        <f t="shared" si="20"/>
        <v>1152</v>
      </c>
      <c r="V28" s="16">
        <f t="shared" si="20"/>
        <v>225</v>
      </c>
      <c r="W28" s="16">
        <f t="shared" si="20"/>
        <v>24</v>
      </c>
      <c r="X28" s="16">
        <f t="shared" si="20"/>
        <v>4</v>
      </c>
      <c r="Y28" s="16">
        <f t="shared" si="20"/>
        <v>152</v>
      </c>
      <c r="Z28" s="16">
        <f t="shared" si="20"/>
        <v>42</v>
      </c>
      <c r="AA28" s="16">
        <f t="shared" si="20"/>
        <v>25</v>
      </c>
      <c r="AB28" s="16">
        <f t="shared" si="20"/>
        <v>12</v>
      </c>
      <c r="AC28" s="16">
        <f t="shared" si="20"/>
        <v>7919</v>
      </c>
      <c r="AD28" s="16">
        <f t="shared" si="20"/>
        <v>1</v>
      </c>
      <c r="AE28" s="32">
        <f t="shared" si="20"/>
        <v>9409</v>
      </c>
      <c r="AF28" s="32">
        <f t="shared" si="20"/>
        <v>17328</v>
      </c>
    </row>
    <row r="29" spans="2:32" ht="23.1" customHeight="1" x14ac:dyDescent="0.25">
      <c r="B29" s="23" t="s">
        <v>56</v>
      </c>
      <c r="C29" s="50">
        <v>110</v>
      </c>
      <c r="D29" s="50">
        <v>18</v>
      </c>
      <c r="E29" s="50">
        <v>8</v>
      </c>
      <c r="F29" s="50">
        <v>7</v>
      </c>
      <c r="G29" s="50">
        <v>0</v>
      </c>
      <c r="H29" s="50">
        <v>0</v>
      </c>
      <c r="I29" s="50">
        <v>3</v>
      </c>
      <c r="J29" s="50">
        <v>0</v>
      </c>
      <c r="K29" s="50">
        <v>0</v>
      </c>
      <c r="L29" s="50">
        <v>0</v>
      </c>
      <c r="M29" s="50">
        <v>165</v>
      </c>
      <c r="N29" s="50">
        <v>0</v>
      </c>
      <c r="O29" s="15">
        <f t="shared" si="0"/>
        <v>146</v>
      </c>
      <c r="P29" s="15">
        <f t="shared" si="1"/>
        <v>311</v>
      </c>
      <c r="R29"/>
      <c r="S29" s="20"/>
      <c r="T29" s="19"/>
    </row>
    <row r="30" spans="2:32" ht="23.1" customHeight="1" x14ac:dyDescent="0.25">
      <c r="B30" s="23" t="s">
        <v>57</v>
      </c>
      <c r="C30" s="50">
        <v>140</v>
      </c>
      <c r="D30" s="50">
        <v>100</v>
      </c>
      <c r="E30" s="50">
        <v>51</v>
      </c>
      <c r="F30" s="50">
        <v>6</v>
      </c>
      <c r="G30" s="50">
        <v>0</v>
      </c>
      <c r="H30" s="50">
        <v>0</v>
      </c>
      <c r="I30" s="50">
        <v>5</v>
      </c>
      <c r="J30" s="50">
        <v>3</v>
      </c>
      <c r="K30" s="50">
        <v>0</v>
      </c>
      <c r="L30" s="50">
        <v>0</v>
      </c>
      <c r="M30" s="50">
        <v>170</v>
      </c>
      <c r="N30" s="50">
        <v>0</v>
      </c>
      <c r="O30" s="15">
        <f t="shared" si="0"/>
        <v>305</v>
      </c>
      <c r="P30" s="15">
        <f t="shared" si="1"/>
        <v>475</v>
      </c>
    </row>
    <row r="31" spans="2:32" ht="23.1" customHeight="1" x14ac:dyDescent="0.25">
      <c r="B31" s="24" t="s">
        <v>58</v>
      </c>
      <c r="C31" s="50">
        <v>130</v>
      </c>
      <c r="D31" s="50">
        <v>85</v>
      </c>
      <c r="E31" s="50">
        <v>46</v>
      </c>
      <c r="F31" s="50">
        <v>2</v>
      </c>
      <c r="G31" s="50">
        <v>0</v>
      </c>
      <c r="H31" s="50">
        <v>0</v>
      </c>
      <c r="I31" s="50">
        <v>3</v>
      </c>
      <c r="J31" s="50">
        <v>1</v>
      </c>
      <c r="K31" s="50">
        <v>1</v>
      </c>
      <c r="L31" s="50">
        <v>0</v>
      </c>
      <c r="M31" s="50">
        <v>75</v>
      </c>
      <c r="N31" s="50">
        <v>0</v>
      </c>
      <c r="O31" s="15">
        <f t="shared" si="0"/>
        <v>268</v>
      </c>
      <c r="P31" s="15">
        <f t="shared" si="1"/>
        <v>343</v>
      </c>
    </row>
    <row r="32" spans="2:32" ht="23.1" customHeight="1" x14ac:dyDescent="0.25">
      <c r="B32" s="24" t="s">
        <v>59</v>
      </c>
      <c r="C32" s="50">
        <v>135</v>
      </c>
      <c r="D32" s="50">
        <v>95</v>
      </c>
      <c r="E32" s="50">
        <v>60</v>
      </c>
      <c r="F32" s="50">
        <v>3</v>
      </c>
      <c r="G32" s="50">
        <v>0</v>
      </c>
      <c r="H32" s="50">
        <v>0</v>
      </c>
      <c r="I32" s="50">
        <v>2</v>
      </c>
      <c r="J32" s="50">
        <v>0</v>
      </c>
      <c r="K32" s="50">
        <v>1</v>
      </c>
      <c r="L32" s="50">
        <v>0</v>
      </c>
      <c r="M32" s="50">
        <v>172</v>
      </c>
      <c r="N32" s="50">
        <v>0</v>
      </c>
      <c r="O32" s="15">
        <f t="shared" si="0"/>
        <v>296</v>
      </c>
      <c r="P32" s="15">
        <f t="shared" si="1"/>
        <v>468</v>
      </c>
    </row>
    <row r="33" spans="2:20" ht="23.1" customHeight="1" x14ac:dyDescent="0.25">
      <c r="B33" s="23" t="s">
        <v>60</v>
      </c>
      <c r="C33" s="50">
        <v>137</v>
      </c>
      <c r="D33" s="50">
        <v>100</v>
      </c>
      <c r="E33" s="50">
        <v>49</v>
      </c>
      <c r="F33" s="50">
        <v>5</v>
      </c>
      <c r="G33" s="50">
        <v>0</v>
      </c>
      <c r="H33" s="50">
        <v>0</v>
      </c>
      <c r="I33" s="50">
        <v>3</v>
      </c>
      <c r="J33" s="50">
        <v>1</v>
      </c>
      <c r="K33" s="50">
        <v>0</v>
      </c>
      <c r="L33" s="50">
        <v>0</v>
      </c>
      <c r="M33" s="50">
        <v>125</v>
      </c>
      <c r="N33" s="50">
        <v>0</v>
      </c>
      <c r="O33" s="15">
        <f t="shared" si="0"/>
        <v>295</v>
      </c>
      <c r="P33" s="15">
        <f t="shared" si="1"/>
        <v>420</v>
      </c>
    </row>
    <row r="34" spans="2:20" ht="23.1" customHeight="1" x14ac:dyDescent="0.25">
      <c r="B34" s="24" t="s">
        <v>61</v>
      </c>
      <c r="C34" s="50">
        <v>140</v>
      </c>
      <c r="D34" s="50">
        <v>79</v>
      </c>
      <c r="E34" s="50">
        <v>51</v>
      </c>
      <c r="F34" s="50">
        <v>3</v>
      </c>
      <c r="G34" s="50">
        <v>1</v>
      </c>
      <c r="H34" s="50">
        <v>0</v>
      </c>
      <c r="I34" s="50">
        <v>1</v>
      </c>
      <c r="J34" s="50">
        <v>3</v>
      </c>
      <c r="K34" s="50">
        <v>0</v>
      </c>
      <c r="L34" s="50">
        <v>0</v>
      </c>
      <c r="M34" s="50">
        <v>85</v>
      </c>
      <c r="N34" s="50">
        <v>0</v>
      </c>
      <c r="O34" s="15">
        <f t="shared" si="0"/>
        <v>278</v>
      </c>
      <c r="P34" s="15">
        <f t="shared" si="1"/>
        <v>363</v>
      </c>
    </row>
    <row r="35" spans="2:20" ht="23.1" customHeight="1" x14ac:dyDescent="0.25">
      <c r="B35" s="24" t="s">
        <v>62</v>
      </c>
      <c r="C35" s="50">
        <v>105</v>
      </c>
      <c r="D35" s="50">
        <v>83</v>
      </c>
      <c r="E35" s="50">
        <v>65</v>
      </c>
      <c r="F35" s="50">
        <v>2</v>
      </c>
      <c r="G35" s="50">
        <v>0</v>
      </c>
      <c r="H35" s="50">
        <v>0</v>
      </c>
      <c r="I35" s="50">
        <v>1</v>
      </c>
      <c r="J35" s="50">
        <v>0</v>
      </c>
      <c r="K35" s="50">
        <v>0</v>
      </c>
      <c r="L35" s="50">
        <v>0</v>
      </c>
      <c r="M35" s="50">
        <v>98</v>
      </c>
      <c r="N35" s="50">
        <v>0</v>
      </c>
      <c r="O35" s="15">
        <f t="shared" si="0"/>
        <v>256</v>
      </c>
      <c r="P35" s="15">
        <f t="shared" si="1"/>
        <v>354</v>
      </c>
    </row>
    <row r="36" spans="2:20" ht="23.1" customHeight="1" x14ac:dyDescent="0.25">
      <c r="B36" s="24" t="s">
        <v>63</v>
      </c>
      <c r="C36" s="50">
        <v>135</v>
      </c>
      <c r="D36" s="50">
        <v>95</v>
      </c>
      <c r="E36" s="50">
        <v>35</v>
      </c>
      <c r="F36" s="50">
        <v>2</v>
      </c>
      <c r="G36" s="50">
        <v>0</v>
      </c>
      <c r="H36" s="50">
        <v>0</v>
      </c>
      <c r="I36" s="50">
        <v>2</v>
      </c>
      <c r="J36" s="50">
        <v>2</v>
      </c>
      <c r="K36" s="50">
        <v>1</v>
      </c>
      <c r="L36" s="50">
        <v>1</v>
      </c>
      <c r="M36" s="50">
        <v>100</v>
      </c>
      <c r="N36" s="50">
        <v>0</v>
      </c>
      <c r="O36" s="15">
        <f t="shared" si="0"/>
        <v>273</v>
      </c>
      <c r="P36" s="15">
        <f t="shared" si="1"/>
        <v>373</v>
      </c>
    </row>
    <row r="37" spans="2:20" ht="23.1" customHeight="1" x14ac:dyDescent="0.25">
      <c r="B37" s="23" t="s">
        <v>64</v>
      </c>
      <c r="C37" s="50">
        <v>115</v>
      </c>
      <c r="D37" s="50">
        <v>54</v>
      </c>
      <c r="E37" s="50">
        <v>25</v>
      </c>
      <c r="F37" s="50">
        <v>0</v>
      </c>
      <c r="G37" s="50">
        <v>1</v>
      </c>
      <c r="H37" s="50">
        <v>0</v>
      </c>
      <c r="I37" s="50">
        <v>3</v>
      </c>
      <c r="J37" s="50">
        <v>3</v>
      </c>
      <c r="K37" s="50">
        <v>0</v>
      </c>
      <c r="L37" s="50">
        <v>0</v>
      </c>
      <c r="M37" s="50">
        <v>100</v>
      </c>
      <c r="N37" s="50">
        <v>0</v>
      </c>
      <c r="O37" s="15">
        <f t="shared" si="0"/>
        <v>201</v>
      </c>
      <c r="P37" s="15">
        <f t="shared" si="1"/>
        <v>301</v>
      </c>
    </row>
    <row r="38" spans="2:20" ht="23.1" customHeight="1" x14ac:dyDescent="0.25">
      <c r="B38" s="24" t="s">
        <v>65</v>
      </c>
      <c r="C38" s="50">
        <v>115</v>
      </c>
      <c r="D38" s="50">
        <v>80</v>
      </c>
      <c r="E38" s="50">
        <v>45</v>
      </c>
      <c r="F38" s="50">
        <v>5</v>
      </c>
      <c r="G38" s="50">
        <v>1</v>
      </c>
      <c r="H38" s="50">
        <v>0</v>
      </c>
      <c r="I38" s="50">
        <v>4</v>
      </c>
      <c r="J38" s="50">
        <v>1</v>
      </c>
      <c r="K38" s="50">
        <v>1</v>
      </c>
      <c r="L38" s="50">
        <v>0</v>
      </c>
      <c r="M38" s="50">
        <v>137</v>
      </c>
      <c r="N38" s="50">
        <v>0</v>
      </c>
      <c r="O38" s="15">
        <f t="shared" si="0"/>
        <v>252</v>
      </c>
      <c r="P38" s="15">
        <f t="shared" si="1"/>
        <v>389</v>
      </c>
    </row>
    <row r="39" spans="2:20" ht="23.1" customHeight="1" x14ac:dyDescent="0.25">
      <c r="B39" s="24" t="s">
        <v>66</v>
      </c>
      <c r="C39" s="50">
        <v>140</v>
      </c>
      <c r="D39" s="50">
        <v>92</v>
      </c>
      <c r="E39" s="50">
        <v>42</v>
      </c>
      <c r="F39" s="50">
        <v>3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145</v>
      </c>
      <c r="N39" s="50">
        <v>0</v>
      </c>
      <c r="O39" s="15">
        <f t="shared" si="0"/>
        <v>280</v>
      </c>
      <c r="P39" s="15">
        <f t="shared" si="1"/>
        <v>425</v>
      </c>
    </row>
    <row r="40" spans="2:20" ht="23.1" customHeight="1" x14ac:dyDescent="0.25">
      <c r="B40" s="24" t="s">
        <v>67</v>
      </c>
      <c r="C40" s="50">
        <v>135</v>
      </c>
      <c r="D40" s="50">
        <v>80</v>
      </c>
      <c r="E40" s="50">
        <v>13</v>
      </c>
      <c r="F40" s="50">
        <v>6</v>
      </c>
      <c r="G40" s="50">
        <v>0</v>
      </c>
      <c r="H40" s="50">
        <v>0</v>
      </c>
      <c r="I40" s="50">
        <v>3</v>
      </c>
      <c r="J40" s="50">
        <v>0</v>
      </c>
      <c r="K40" s="50">
        <v>1</v>
      </c>
      <c r="L40" s="50">
        <v>0</v>
      </c>
      <c r="M40" s="50">
        <v>160</v>
      </c>
      <c r="N40" s="50">
        <v>0</v>
      </c>
      <c r="O40" s="15">
        <f t="shared" si="0"/>
        <v>238</v>
      </c>
      <c r="P40" s="15">
        <f t="shared" si="1"/>
        <v>398</v>
      </c>
    </row>
    <row r="41" spans="2:20" ht="23.1" customHeight="1" x14ac:dyDescent="0.25">
      <c r="B41" s="23" t="s">
        <v>68</v>
      </c>
      <c r="C41" s="50">
        <v>87</v>
      </c>
      <c r="D41" s="50">
        <v>55</v>
      </c>
      <c r="E41" s="50">
        <v>19</v>
      </c>
      <c r="F41" s="50">
        <v>2</v>
      </c>
      <c r="G41" s="50">
        <v>0</v>
      </c>
      <c r="H41" s="50">
        <v>0</v>
      </c>
      <c r="I41" s="50">
        <v>1</v>
      </c>
      <c r="J41" s="50">
        <v>2</v>
      </c>
      <c r="K41" s="50">
        <v>1</v>
      </c>
      <c r="L41" s="50">
        <v>0</v>
      </c>
      <c r="M41" s="50">
        <v>163</v>
      </c>
      <c r="N41" s="50">
        <v>0</v>
      </c>
      <c r="O41" s="15">
        <f t="shared" si="0"/>
        <v>167</v>
      </c>
      <c r="P41" s="15">
        <f t="shared" si="1"/>
        <v>330</v>
      </c>
    </row>
    <row r="42" spans="2:20" ht="23.1" customHeight="1" x14ac:dyDescent="0.25">
      <c r="B42" s="24" t="s">
        <v>69</v>
      </c>
      <c r="C42" s="50">
        <v>150</v>
      </c>
      <c r="D42" s="50">
        <v>60</v>
      </c>
      <c r="E42" s="50">
        <v>15</v>
      </c>
      <c r="F42" s="50">
        <v>2</v>
      </c>
      <c r="G42" s="50">
        <v>0</v>
      </c>
      <c r="H42" s="50">
        <v>0</v>
      </c>
      <c r="I42" s="50">
        <v>2</v>
      </c>
      <c r="J42" s="50">
        <v>1</v>
      </c>
      <c r="K42" s="50">
        <v>1</v>
      </c>
      <c r="L42" s="50">
        <v>1</v>
      </c>
      <c r="M42" s="50">
        <v>85</v>
      </c>
      <c r="N42" s="50">
        <v>0</v>
      </c>
      <c r="O42" s="15">
        <f t="shared" si="0"/>
        <v>232</v>
      </c>
      <c r="P42" s="15">
        <f t="shared" si="1"/>
        <v>317</v>
      </c>
    </row>
    <row r="43" spans="2:20" ht="23.1" customHeight="1" x14ac:dyDescent="0.25">
      <c r="B43" s="23" t="s">
        <v>70</v>
      </c>
      <c r="C43" s="50">
        <v>130</v>
      </c>
      <c r="D43" s="50">
        <v>88</v>
      </c>
      <c r="E43" s="50">
        <v>30</v>
      </c>
      <c r="F43" s="50">
        <v>2</v>
      </c>
      <c r="G43" s="50">
        <v>1</v>
      </c>
      <c r="H43" s="50">
        <v>0</v>
      </c>
      <c r="I43" s="50">
        <v>1</v>
      </c>
      <c r="J43" s="50">
        <v>2</v>
      </c>
      <c r="K43" s="50">
        <v>0</v>
      </c>
      <c r="L43" s="50">
        <v>0</v>
      </c>
      <c r="M43" s="50">
        <v>80</v>
      </c>
      <c r="N43" s="50">
        <v>0</v>
      </c>
      <c r="O43" s="15">
        <f t="shared" si="0"/>
        <v>254</v>
      </c>
      <c r="P43" s="15">
        <f t="shared" si="1"/>
        <v>334</v>
      </c>
    </row>
    <row r="44" spans="2:20" ht="23.1" customHeight="1" x14ac:dyDescent="0.25">
      <c r="B44" s="25" t="s">
        <v>71</v>
      </c>
      <c r="C44" s="50">
        <v>75</v>
      </c>
      <c r="D44" s="50">
        <v>45</v>
      </c>
      <c r="E44" s="50">
        <v>20</v>
      </c>
      <c r="F44" s="50">
        <v>1</v>
      </c>
      <c r="G44" s="50">
        <v>0</v>
      </c>
      <c r="H44" s="50">
        <v>0</v>
      </c>
      <c r="I44" s="50">
        <v>0</v>
      </c>
      <c r="J44" s="50">
        <v>0</v>
      </c>
      <c r="K44" s="50">
        <v>0</v>
      </c>
      <c r="L44" s="50">
        <v>0</v>
      </c>
      <c r="M44" s="50">
        <v>175</v>
      </c>
      <c r="N44" s="50">
        <v>0</v>
      </c>
      <c r="O44" s="15">
        <f t="shared" si="0"/>
        <v>141</v>
      </c>
      <c r="P44" s="15">
        <f t="shared" si="1"/>
        <v>316</v>
      </c>
    </row>
    <row r="45" spans="2:20" ht="23.1" customHeight="1" x14ac:dyDescent="0.25">
      <c r="B45" s="23" t="s">
        <v>72</v>
      </c>
      <c r="C45" s="50">
        <v>83</v>
      </c>
      <c r="D45" s="50">
        <v>39</v>
      </c>
      <c r="E45" s="50">
        <v>9</v>
      </c>
      <c r="F45" s="50">
        <v>4</v>
      </c>
      <c r="G45" s="50">
        <v>0</v>
      </c>
      <c r="H45" s="50">
        <v>0</v>
      </c>
      <c r="I45" s="50">
        <v>3</v>
      </c>
      <c r="J45" s="50">
        <v>0</v>
      </c>
      <c r="K45" s="50">
        <v>1</v>
      </c>
      <c r="L45" s="50">
        <v>1</v>
      </c>
      <c r="M45" s="50">
        <v>240</v>
      </c>
      <c r="N45" s="50">
        <v>0</v>
      </c>
      <c r="O45" s="15">
        <f t="shared" si="0"/>
        <v>140</v>
      </c>
      <c r="P45" s="15">
        <f t="shared" si="1"/>
        <v>380</v>
      </c>
    </row>
    <row r="46" spans="2:20" ht="23.1" customHeight="1" x14ac:dyDescent="0.25">
      <c r="B46" s="24" t="s">
        <v>73</v>
      </c>
      <c r="C46" s="50">
        <v>84</v>
      </c>
      <c r="D46" s="50">
        <v>60</v>
      </c>
      <c r="E46" s="50">
        <v>22</v>
      </c>
      <c r="F46" s="50">
        <v>5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230</v>
      </c>
      <c r="N46" s="50">
        <v>0</v>
      </c>
      <c r="O46" s="15">
        <f t="shared" si="0"/>
        <v>175</v>
      </c>
      <c r="P46" s="15">
        <f t="shared" si="1"/>
        <v>405</v>
      </c>
      <c r="R46" s="8"/>
      <c r="T46"/>
    </row>
    <row r="47" spans="2:20" ht="23.1" customHeight="1" x14ac:dyDescent="0.25">
      <c r="B47" s="24" t="s">
        <v>74</v>
      </c>
      <c r="C47" s="50">
        <v>100</v>
      </c>
      <c r="D47" s="50">
        <v>52</v>
      </c>
      <c r="E47" s="50">
        <v>39</v>
      </c>
      <c r="F47" s="50">
        <v>2</v>
      </c>
      <c r="G47" s="50">
        <v>0</v>
      </c>
      <c r="H47" s="50">
        <v>0</v>
      </c>
      <c r="I47" s="50">
        <v>3</v>
      </c>
      <c r="J47" s="50">
        <v>2</v>
      </c>
      <c r="K47" s="50">
        <v>0</v>
      </c>
      <c r="L47" s="50">
        <v>0</v>
      </c>
      <c r="M47" s="50">
        <v>220</v>
      </c>
      <c r="N47" s="50">
        <v>0</v>
      </c>
      <c r="O47" s="15">
        <f t="shared" si="0"/>
        <v>198</v>
      </c>
      <c r="P47" s="15">
        <f t="shared" si="1"/>
        <v>418</v>
      </c>
      <c r="R47" s="8"/>
      <c r="T47"/>
    </row>
    <row r="48" spans="2:20" ht="23.1" customHeight="1" x14ac:dyDescent="0.25">
      <c r="B48" s="24" t="s">
        <v>75</v>
      </c>
      <c r="C48" s="50">
        <v>95</v>
      </c>
      <c r="D48" s="50">
        <v>57</v>
      </c>
      <c r="E48" s="50">
        <v>26</v>
      </c>
      <c r="F48" s="50">
        <v>4</v>
      </c>
      <c r="G48" s="50">
        <v>1</v>
      </c>
      <c r="H48" s="50">
        <v>0</v>
      </c>
      <c r="I48" s="50">
        <v>2</v>
      </c>
      <c r="J48" s="50">
        <v>0</v>
      </c>
      <c r="K48" s="50">
        <v>0</v>
      </c>
      <c r="L48" s="50">
        <v>1</v>
      </c>
      <c r="M48" s="50">
        <v>200</v>
      </c>
      <c r="N48" s="50">
        <v>0</v>
      </c>
      <c r="O48" s="15">
        <f t="shared" si="0"/>
        <v>186</v>
      </c>
      <c r="P48" s="15">
        <f t="shared" si="1"/>
        <v>386</v>
      </c>
      <c r="R48" s="8"/>
      <c r="T48"/>
    </row>
    <row r="49" spans="2:20" ht="23.1" customHeight="1" x14ac:dyDescent="0.25">
      <c r="B49" s="23" t="s">
        <v>76</v>
      </c>
      <c r="C49" s="50">
        <v>52</v>
      </c>
      <c r="D49" s="50">
        <v>65</v>
      </c>
      <c r="E49" s="50">
        <v>39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230</v>
      </c>
      <c r="N49" s="50">
        <v>0</v>
      </c>
      <c r="O49" s="15">
        <f t="shared" si="0"/>
        <v>158</v>
      </c>
      <c r="P49" s="15">
        <f t="shared" si="1"/>
        <v>388</v>
      </c>
      <c r="R49" s="8"/>
      <c r="T49"/>
    </row>
    <row r="50" spans="2:20" ht="23.1" customHeight="1" x14ac:dyDescent="0.25">
      <c r="B50" s="24" t="s">
        <v>77</v>
      </c>
      <c r="C50" s="50">
        <v>150</v>
      </c>
      <c r="D50" s="50">
        <v>80</v>
      </c>
      <c r="E50" s="50">
        <v>29</v>
      </c>
      <c r="F50" s="50">
        <v>2</v>
      </c>
      <c r="G50" s="50">
        <v>0</v>
      </c>
      <c r="H50" s="50">
        <v>0</v>
      </c>
      <c r="I50" s="50">
        <v>3</v>
      </c>
      <c r="J50" s="50">
        <v>6</v>
      </c>
      <c r="K50" s="50">
        <v>0</v>
      </c>
      <c r="L50" s="50">
        <v>0</v>
      </c>
      <c r="M50" s="50">
        <v>230</v>
      </c>
      <c r="N50" s="50">
        <v>0</v>
      </c>
      <c r="O50" s="15">
        <f t="shared" si="0"/>
        <v>270</v>
      </c>
      <c r="P50" s="15">
        <f t="shared" si="1"/>
        <v>500</v>
      </c>
      <c r="R50" s="8"/>
      <c r="T50"/>
    </row>
    <row r="51" spans="2:20" ht="23.1" customHeight="1" x14ac:dyDescent="0.25">
      <c r="B51" s="24" t="s">
        <v>78</v>
      </c>
      <c r="C51" s="50">
        <v>145</v>
      </c>
      <c r="D51" s="50">
        <v>85</v>
      </c>
      <c r="E51" s="50">
        <v>40</v>
      </c>
      <c r="F51" s="50">
        <v>2</v>
      </c>
      <c r="G51" s="50">
        <v>3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100</v>
      </c>
      <c r="N51" s="50">
        <v>0</v>
      </c>
      <c r="O51" s="15">
        <f t="shared" si="0"/>
        <v>275</v>
      </c>
      <c r="P51" s="15">
        <f t="shared" si="1"/>
        <v>375</v>
      </c>
      <c r="R51" s="8"/>
      <c r="T51"/>
    </row>
    <row r="52" spans="2:20" ht="23.1" customHeight="1" x14ac:dyDescent="0.25">
      <c r="B52" s="24" t="s">
        <v>79</v>
      </c>
      <c r="C52" s="50">
        <v>120</v>
      </c>
      <c r="D52" s="50">
        <v>69</v>
      </c>
      <c r="E52" s="50">
        <v>37</v>
      </c>
      <c r="F52" s="50">
        <v>10</v>
      </c>
      <c r="G52" s="50">
        <v>2</v>
      </c>
      <c r="H52" s="50">
        <v>0</v>
      </c>
      <c r="I52" s="50">
        <v>4</v>
      </c>
      <c r="J52" s="50">
        <v>2</v>
      </c>
      <c r="K52" s="50">
        <v>1</v>
      </c>
      <c r="L52" s="50">
        <v>0</v>
      </c>
      <c r="M52" s="50">
        <v>70</v>
      </c>
      <c r="N52" s="50">
        <v>0</v>
      </c>
      <c r="O52" s="15">
        <f t="shared" si="0"/>
        <v>245</v>
      </c>
      <c r="P52" s="15">
        <f t="shared" si="1"/>
        <v>315</v>
      </c>
      <c r="R52" s="8"/>
      <c r="T52"/>
    </row>
    <row r="53" spans="2:20" ht="23.1" customHeight="1" x14ac:dyDescent="0.25">
      <c r="B53" s="23" t="s">
        <v>80</v>
      </c>
      <c r="C53" s="50">
        <v>95</v>
      </c>
      <c r="D53" s="50">
        <v>50</v>
      </c>
      <c r="E53" s="50">
        <v>25</v>
      </c>
      <c r="F53" s="50">
        <v>8</v>
      </c>
      <c r="G53" s="50">
        <v>1</v>
      </c>
      <c r="H53" s="50">
        <v>0</v>
      </c>
      <c r="I53" s="50">
        <v>2</v>
      </c>
      <c r="J53" s="50">
        <v>0</v>
      </c>
      <c r="K53" s="50">
        <v>0</v>
      </c>
      <c r="L53" s="50">
        <v>0</v>
      </c>
      <c r="M53" s="50">
        <v>55</v>
      </c>
      <c r="N53" s="50">
        <v>0</v>
      </c>
      <c r="O53" s="15">
        <f t="shared" si="0"/>
        <v>181</v>
      </c>
      <c r="P53" s="15">
        <f t="shared" si="1"/>
        <v>236</v>
      </c>
      <c r="R53" s="8"/>
      <c r="T53"/>
    </row>
    <row r="54" spans="2:20" ht="23.1" customHeight="1" x14ac:dyDescent="0.25">
      <c r="B54" s="23" t="s">
        <v>81</v>
      </c>
      <c r="C54" s="50">
        <v>145</v>
      </c>
      <c r="D54" s="50">
        <v>72</v>
      </c>
      <c r="E54" s="50">
        <v>43</v>
      </c>
      <c r="F54" s="50">
        <v>19</v>
      </c>
      <c r="G54" s="50">
        <v>0</v>
      </c>
      <c r="H54" s="50">
        <v>0</v>
      </c>
      <c r="I54" s="50">
        <v>3</v>
      </c>
      <c r="J54" s="50">
        <v>0</v>
      </c>
      <c r="K54" s="50">
        <v>2</v>
      </c>
      <c r="L54" s="50">
        <v>0</v>
      </c>
      <c r="M54" s="50">
        <v>211</v>
      </c>
      <c r="N54" s="50">
        <v>0</v>
      </c>
      <c r="O54" s="15">
        <f t="shared" si="0"/>
        <v>284</v>
      </c>
      <c r="P54" s="15">
        <f t="shared" si="1"/>
        <v>495</v>
      </c>
      <c r="R54" s="8"/>
      <c r="T54"/>
    </row>
    <row r="55" spans="2:20" ht="23.1" customHeight="1" x14ac:dyDescent="0.25">
      <c r="B55" s="23" t="s">
        <v>82</v>
      </c>
      <c r="C55" s="50">
        <v>99</v>
      </c>
      <c r="D55" s="50">
        <v>60</v>
      </c>
      <c r="E55" s="50">
        <v>13</v>
      </c>
      <c r="F55" s="50">
        <v>2</v>
      </c>
      <c r="G55" s="50">
        <v>0</v>
      </c>
      <c r="H55" s="50">
        <v>0</v>
      </c>
      <c r="I55" s="50">
        <v>6</v>
      </c>
      <c r="J55" s="50">
        <v>1</v>
      </c>
      <c r="K55" s="50">
        <v>0</v>
      </c>
      <c r="L55" s="50">
        <v>1</v>
      </c>
      <c r="M55" s="50">
        <v>235</v>
      </c>
      <c r="N55" s="50">
        <v>0</v>
      </c>
      <c r="O55" s="15">
        <f t="shared" si="0"/>
        <v>182</v>
      </c>
      <c r="P55" s="15">
        <f t="shared" si="1"/>
        <v>417</v>
      </c>
      <c r="R55" s="8"/>
      <c r="T55"/>
    </row>
    <row r="56" spans="2:20" ht="23.1" customHeight="1" x14ac:dyDescent="0.25">
      <c r="B56" s="23" t="s">
        <v>83</v>
      </c>
      <c r="C56" s="50">
        <v>140</v>
      </c>
      <c r="D56" s="50">
        <v>80</v>
      </c>
      <c r="E56" s="50">
        <v>32</v>
      </c>
      <c r="F56" s="50">
        <v>9</v>
      </c>
      <c r="G56" s="50">
        <v>5</v>
      </c>
      <c r="H56" s="50">
        <v>0</v>
      </c>
      <c r="I56" s="50">
        <v>2</v>
      </c>
      <c r="J56" s="50">
        <v>0</v>
      </c>
      <c r="K56" s="50">
        <v>0</v>
      </c>
      <c r="L56" s="50">
        <v>1</v>
      </c>
      <c r="M56" s="50">
        <v>250</v>
      </c>
      <c r="N56" s="50">
        <v>0</v>
      </c>
      <c r="O56" s="15">
        <f t="shared" si="0"/>
        <v>269</v>
      </c>
      <c r="P56" s="15">
        <f t="shared" si="1"/>
        <v>519</v>
      </c>
      <c r="R56" s="8"/>
      <c r="T56"/>
    </row>
    <row r="57" spans="2:20" ht="23.1" customHeight="1" x14ac:dyDescent="0.25">
      <c r="B57" s="23" t="s">
        <v>84</v>
      </c>
      <c r="C57" s="50">
        <v>153</v>
      </c>
      <c r="D57" s="50">
        <v>88</v>
      </c>
      <c r="E57" s="50">
        <v>69</v>
      </c>
      <c r="F57" s="50">
        <v>22</v>
      </c>
      <c r="G57" s="50">
        <v>1</v>
      </c>
      <c r="H57" s="50">
        <v>1</v>
      </c>
      <c r="I57" s="50">
        <v>3</v>
      </c>
      <c r="J57" s="50">
        <v>0</v>
      </c>
      <c r="K57" s="50">
        <v>1</v>
      </c>
      <c r="L57" s="50">
        <v>0</v>
      </c>
      <c r="M57" s="50">
        <v>110</v>
      </c>
      <c r="N57" s="50">
        <v>0</v>
      </c>
      <c r="O57" s="15">
        <f t="shared" si="0"/>
        <v>338</v>
      </c>
      <c r="P57" s="15">
        <f t="shared" si="1"/>
        <v>448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5329</v>
      </c>
      <c r="D58" s="16">
        <f t="shared" si="21"/>
        <v>2443</v>
      </c>
      <c r="E58" s="16">
        <f t="shared" si="21"/>
        <v>1152</v>
      </c>
      <c r="F58" s="16">
        <f t="shared" si="21"/>
        <v>225</v>
      </c>
      <c r="G58" s="16">
        <f t="shared" si="21"/>
        <v>24</v>
      </c>
      <c r="H58" s="16">
        <f t="shared" si="21"/>
        <v>4</v>
      </c>
      <c r="I58" s="16">
        <f t="shared" si="21"/>
        <v>152</v>
      </c>
      <c r="J58" s="16">
        <f t="shared" si="21"/>
        <v>42</v>
      </c>
      <c r="K58" s="16">
        <f t="shared" si="21"/>
        <v>25</v>
      </c>
      <c r="L58" s="16">
        <f t="shared" si="21"/>
        <v>12</v>
      </c>
      <c r="M58" s="16">
        <f t="shared" si="21"/>
        <v>7919</v>
      </c>
      <c r="N58" s="16">
        <f t="shared" si="21"/>
        <v>1</v>
      </c>
      <c r="O58" s="16">
        <f t="shared" si="21"/>
        <v>9409</v>
      </c>
      <c r="P58" s="16">
        <f t="shared" si="21"/>
        <v>17328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0.30753693444136659</v>
      </c>
      <c r="D59" s="43">
        <f t="shared" si="22"/>
        <v>0.14098568790397045</v>
      </c>
      <c r="E59" s="43">
        <f t="shared" si="22"/>
        <v>6.6481994459833799E-2</v>
      </c>
      <c r="F59" s="43">
        <f t="shared" si="22"/>
        <v>1.2984764542936287E-2</v>
      </c>
      <c r="G59" s="43">
        <f t="shared" si="22"/>
        <v>1.3850415512465374E-3</v>
      </c>
      <c r="H59" s="43">
        <f t="shared" si="22"/>
        <v>2.3084025854108956E-4</v>
      </c>
      <c r="I59" s="43">
        <f t="shared" si="22"/>
        <v>8.771929824561403E-3</v>
      </c>
      <c r="J59" s="43">
        <f t="shared" si="22"/>
        <v>2.4238227146814403E-3</v>
      </c>
      <c r="K59" s="43">
        <f t="shared" si="22"/>
        <v>1.4427516158818099E-3</v>
      </c>
      <c r="L59" s="43">
        <f t="shared" si="22"/>
        <v>6.925207756232687E-4</v>
      </c>
      <c r="M59" s="43">
        <f t="shared" si="22"/>
        <v>0.45700600184672208</v>
      </c>
      <c r="N59" s="43">
        <f t="shared" si="22"/>
        <v>5.7710064635272389E-5</v>
      </c>
      <c r="R59" s="8"/>
      <c r="T59"/>
    </row>
    <row r="60" spans="2:20" ht="23.1" customHeight="1" x14ac:dyDescent="0.25">
      <c r="B60" s="42" t="s">
        <v>94</v>
      </c>
      <c r="C60" s="44">
        <f>C58/$O$58</f>
        <v>0.56637262195770011</v>
      </c>
      <c r="D60" s="44">
        <f t="shared" ref="D60:N60" si="23">D58/$O$58</f>
        <v>0.25964502072483792</v>
      </c>
      <c r="E60" s="44">
        <f t="shared" si="23"/>
        <v>0.12243596556488469</v>
      </c>
      <c r="F60" s="44">
        <f t="shared" si="23"/>
        <v>2.3913274524391539E-2</v>
      </c>
      <c r="G60" s="44">
        <f t="shared" si="23"/>
        <v>2.5507492826017642E-3</v>
      </c>
      <c r="H60" s="44">
        <f t="shared" si="23"/>
        <v>4.251248804336274E-4</v>
      </c>
      <c r="I60" s="44">
        <f t="shared" si="23"/>
        <v>1.615474545647784E-2</v>
      </c>
      <c r="J60" s="44">
        <f t="shared" si="23"/>
        <v>4.4638112445530877E-3</v>
      </c>
      <c r="K60" s="44">
        <f t="shared" si="23"/>
        <v>2.6570305027101711E-3</v>
      </c>
      <c r="L60" s="44">
        <f t="shared" si="23"/>
        <v>1.2753746413008821E-3</v>
      </c>
      <c r="M60" s="44"/>
      <c r="N60" s="44">
        <f t="shared" si="23"/>
        <v>1.0628122010840685E-4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G5:H5"/>
    <mergeCell ref="G6:H6"/>
    <mergeCell ref="R8:AF8"/>
    <mergeCell ref="B1:AE1"/>
    <mergeCell ref="B2:AE2"/>
    <mergeCell ref="C3:G3"/>
    <mergeCell ref="D6:E6"/>
    <mergeCell ref="K6:L6"/>
    <mergeCell ref="K5:L5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37" zoomScale="60" workbookViewId="0">
      <selection activeCell="C30" sqref="C3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'29.07 JinjaRoad-Kira Road'!D5</f>
        <v>29.07.19</v>
      </c>
      <c r="E5" s="3"/>
      <c r="F5" s="41" t="s">
        <v>1</v>
      </c>
      <c r="G5" s="60" t="str">
        <f>'29.07 JinjaRoad-Kira Road'!G5:H5</f>
        <v>DHL (47)</v>
      </c>
      <c r="H5" s="61"/>
      <c r="I5" s="14"/>
      <c r="J5" s="2" t="s">
        <v>5</v>
      </c>
      <c r="K5" s="54" t="s">
        <v>169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54" t="str">
        <f>'29.07 JinjaRoad-Kira Road'!K6:L6</f>
        <v>Felix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0</v>
      </c>
      <c r="D10" s="50">
        <v>0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0</v>
      </c>
      <c r="N10" s="50">
        <v>0</v>
      </c>
      <c r="O10" s="15">
        <f t="shared" ref="O10:O57" si="0">SUM(C10:L10,N10)</f>
        <v>0</v>
      </c>
      <c r="P10" s="15">
        <f t="shared" ref="P10:P57" si="1">SUM(C10:N10)</f>
        <v>0</v>
      </c>
      <c r="R10" s="1" t="s">
        <v>6</v>
      </c>
      <c r="S10" s="17">
        <f t="shared" ref="S10:AF10" si="2">SUM(C10:C13)</f>
        <v>0</v>
      </c>
      <c r="T10" s="17">
        <f t="shared" si="2"/>
        <v>0</v>
      </c>
      <c r="U10" s="17">
        <f t="shared" si="2"/>
        <v>0</v>
      </c>
      <c r="V10" s="17">
        <f t="shared" si="2"/>
        <v>0</v>
      </c>
      <c r="W10" s="17">
        <f t="shared" si="2"/>
        <v>0</v>
      </c>
      <c r="X10" s="17">
        <f t="shared" si="2"/>
        <v>0</v>
      </c>
      <c r="Y10" s="17">
        <f t="shared" si="2"/>
        <v>0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0</v>
      </c>
      <c r="AD10" s="17">
        <f t="shared" si="2"/>
        <v>0</v>
      </c>
      <c r="AE10" s="31">
        <f t="shared" si="2"/>
        <v>0</v>
      </c>
      <c r="AF10" s="31">
        <f t="shared" si="2"/>
        <v>0</v>
      </c>
    </row>
    <row r="11" spans="2:32" s="6" customFormat="1" ht="23.1" customHeight="1" x14ac:dyDescent="0.25">
      <c r="B11" s="23" t="s">
        <v>38</v>
      </c>
      <c r="C11" s="50">
        <v>0</v>
      </c>
      <c r="D11" s="50">
        <v>0</v>
      </c>
      <c r="E11" s="50">
        <v>0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15">
        <f t="shared" si="0"/>
        <v>0</v>
      </c>
      <c r="P11" s="15">
        <f t="shared" si="1"/>
        <v>0</v>
      </c>
      <c r="R11" s="1" t="s">
        <v>7</v>
      </c>
      <c r="S11" s="17">
        <f t="shared" ref="S11:AF11" si="3">SUM(C14:C17)</f>
        <v>0</v>
      </c>
      <c r="T11" s="17">
        <f t="shared" si="3"/>
        <v>0</v>
      </c>
      <c r="U11" s="17">
        <f t="shared" si="3"/>
        <v>0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0</v>
      </c>
      <c r="Z11" s="17">
        <f t="shared" si="3"/>
        <v>0</v>
      </c>
      <c r="AA11" s="17">
        <f t="shared" si="3"/>
        <v>0</v>
      </c>
      <c r="AB11" s="17">
        <f t="shared" si="3"/>
        <v>0</v>
      </c>
      <c r="AC11" s="17">
        <f t="shared" si="3"/>
        <v>0</v>
      </c>
      <c r="AD11" s="17">
        <f t="shared" si="3"/>
        <v>0</v>
      </c>
      <c r="AE11" s="31">
        <f t="shared" si="3"/>
        <v>0</v>
      </c>
      <c r="AF11" s="31">
        <f t="shared" si="3"/>
        <v>0</v>
      </c>
    </row>
    <row r="12" spans="2:32" ht="23.1" customHeight="1" x14ac:dyDescent="0.25">
      <c r="B12" s="23" t="s">
        <v>39</v>
      </c>
      <c r="C12" s="50">
        <v>0</v>
      </c>
      <c r="D12" s="50">
        <v>0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15">
        <f t="shared" si="0"/>
        <v>0</v>
      </c>
      <c r="P12" s="15">
        <f t="shared" si="1"/>
        <v>0</v>
      </c>
      <c r="R12" s="1" t="s">
        <v>8</v>
      </c>
      <c r="S12" s="17">
        <f t="shared" ref="S12:AF12" si="4">SUM(C18:C21)</f>
        <v>296</v>
      </c>
      <c r="T12" s="17">
        <f t="shared" si="4"/>
        <v>76</v>
      </c>
      <c r="U12" s="17">
        <f t="shared" si="4"/>
        <v>51</v>
      </c>
      <c r="V12" s="17">
        <f t="shared" si="4"/>
        <v>1</v>
      </c>
      <c r="W12" s="17">
        <f t="shared" si="4"/>
        <v>0</v>
      </c>
      <c r="X12" s="17">
        <f t="shared" si="4"/>
        <v>1</v>
      </c>
      <c r="Y12" s="17">
        <f t="shared" si="4"/>
        <v>10</v>
      </c>
      <c r="Z12" s="17">
        <f t="shared" si="4"/>
        <v>4</v>
      </c>
      <c r="AA12" s="17">
        <f t="shared" si="4"/>
        <v>2</v>
      </c>
      <c r="AB12" s="17">
        <f t="shared" si="4"/>
        <v>1</v>
      </c>
      <c r="AC12" s="17">
        <f t="shared" si="4"/>
        <v>306</v>
      </c>
      <c r="AD12" s="17">
        <f t="shared" si="4"/>
        <v>0</v>
      </c>
      <c r="AE12" s="31">
        <f t="shared" si="4"/>
        <v>442</v>
      </c>
      <c r="AF12" s="31">
        <f t="shared" si="4"/>
        <v>748</v>
      </c>
    </row>
    <row r="13" spans="2:32" ht="23.1" customHeight="1" x14ac:dyDescent="0.25">
      <c r="B13" s="23" t="s">
        <v>40</v>
      </c>
      <c r="C13" s="50">
        <v>0</v>
      </c>
      <c r="D13" s="50">
        <v>0</v>
      </c>
      <c r="E13" s="50">
        <v>0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15">
        <f t="shared" si="0"/>
        <v>0</v>
      </c>
      <c r="P13" s="15">
        <f t="shared" si="1"/>
        <v>0</v>
      </c>
      <c r="R13" s="1" t="s">
        <v>9</v>
      </c>
      <c r="S13" s="17">
        <f t="shared" ref="S13:AF13" si="5">SUM(C22:C25)</f>
        <v>362</v>
      </c>
      <c r="T13" s="17">
        <f t="shared" si="5"/>
        <v>57</v>
      </c>
      <c r="U13" s="17">
        <f t="shared" si="5"/>
        <v>40</v>
      </c>
      <c r="V13" s="17">
        <f t="shared" si="5"/>
        <v>5</v>
      </c>
      <c r="W13" s="17">
        <f t="shared" si="5"/>
        <v>1</v>
      </c>
      <c r="X13" s="17">
        <f t="shared" si="5"/>
        <v>0</v>
      </c>
      <c r="Y13" s="17">
        <f t="shared" si="5"/>
        <v>11</v>
      </c>
      <c r="Z13" s="17">
        <f t="shared" si="5"/>
        <v>7</v>
      </c>
      <c r="AA13" s="17">
        <f t="shared" si="5"/>
        <v>3</v>
      </c>
      <c r="AB13" s="17">
        <f t="shared" si="5"/>
        <v>0</v>
      </c>
      <c r="AC13" s="17">
        <f t="shared" si="5"/>
        <v>485</v>
      </c>
      <c r="AD13" s="17">
        <f t="shared" si="5"/>
        <v>0</v>
      </c>
      <c r="AE13" s="31">
        <f t="shared" si="5"/>
        <v>486</v>
      </c>
      <c r="AF13" s="31">
        <f t="shared" si="5"/>
        <v>971</v>
      </c>
    </row>
    <row r="14" spans="2:32" ht="23.1" customHeight="1" x14ac:dyDescent="0.25">
      <c r="B14" s="23" t="s">
        <v>41</v>
      </c>
      <c r="C14" s="50">
        <v>0</v>
      </c>
      <c r="D14" s="50">
        <v>0</v>
      </c>
      <c r="E14" s="50">
        <v>0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0</v>
      </c>
      <c r="N14" s="50">
        <v>0</v>
      </c>
      <c r="O14" s="15">
        <f t="shared" si="0"/>
        <v>0</v>
      </c>
      <c r="P14" s="15">
        <f t="shared" si="1"/>
        <v>0</v>
      </c>
      <c r="R14" s="1" t="s">
        <v>10</v>
      </c>
      <c r="S14" s="17">
        <f t="shared" ref="S14:AF14" si="6">SUM(C26:C29)</f>
        <v>249</v>
      </c>
      <c r="T14" s="17">
        <f t="shared" si="6"/>
        <v>46</v>
      </c>
      <c r="U14" s="17">
        <f t="shared" si="6"/>
        <v>18</v>
      </c>
      <c r="V14" s="17">
        <f t="shared" si="6"/>
        <v>3</v>
      </c>
      <c r="W14" s="17">
        <f t="shared" si="6"/>
        <v>1</v>
      </c>
      <c r="X14" s="17">
        <f t="shared" si="6"/>
        <v>7</v>
      </c>
      <c r="Y14" s="17">
        <f t="shared" si="6"/>
        <v>18</v>
      </c>
      <c r="Z14" s="17">
        <f t="shared" si="6"/>
        <v>2</v>
      </c>
      <c r="AA14" s="17">
        <f t="shared" si="6"/>
        <v>0</v>
      </c>
      <c r="AB14" s="17">
        <f t="shared" si="6"/>
        <v>2</v>
      </c>
      <c r="AC14" s="17">
        <f t="shared" si="6"/>
        <v>436</v>
      </c>
      <c r="AD14" s="17">
        <f t="shared" si="6"/>
        <v>0</v>
      </c>
      <c r="AE14" s="31">
        <f t="shared" si="6"/>
        <v>346</v>
      </c>
      <c r="AF14" s="31">
        <f t="shared" si="6"/>
        <v>782</v>
      </c>
    </row>
    <row r="15" spans="2:32" ht="23.1" customHeight="1" x14ac:dyDescent="0.25">
      <c r="B15" s="23" t="s">
        <v>42</v>
      </c>
      <c r="C15" s="50">
        <v>0</v>
      </c>
      <c r="D15" s="50">
        <v>0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15">
        <f t="shared" si="0"/>
        <v>0</v>
      </c>
      <c r="P15" s="15">
        <f t="shared" si="1"/>
        <v>0</v>
      </c>
      <c r="R15" s="1" t="s">
        <v>11</v>
      </c>
      <c r="S15" s="17">
        <f t="shared" ref="S15:AF15" si="7">SUM(C30:C33)</f>
        <v>243</v>
      </c>
      <c r="T15" s="17">
        <f t="shared" si="7"/>
        <v>103</v>
      </c>
      <c r="U15" s="17">
        <f t="shared" si="7"/>
        <v>36</v>
      </c>
      <c r="V15" s="17">
        <f t="shared" si="7"/>
        <v>12</v>
      </c>
      <c r="W15" s="17">
        <f t="shared" si="7"/>
        <v>1</v>
      </c>
      <c r="X15" s="17">
        <f t="shared" si="7"/>
        <v>0</v>
      </c>
      <c r="Y15" s="17">
        <f t="shared" si="7"/>
        <v>20</v>
      </c>
      <c r="Z15" s="17">
        <f t="shared" si="7"/>
        <v>7</v>
      </c>
      <c r="AA15" s="17">
        <f t="shared" si="7"/>
        <v>1</v>
      </c>
      <c r="AB15" s="17">
        <f t="shared" si="7"/>
        <v>1</v>
      </c>
      <c r="AC15" s="17">
        <f t="shared" si="7"/>
        <v>814</v>
      </c>
      <c r="AD15" s="17">
        <f t="shared" si="7"/>
        <v>0</v>
      </c>
      <c r="AE15" s="31">
        <f t="shared" si="7"/>
        <v>424</v>
      </c>
      <c r="AF15" s="31">
        <f t="shared" si="7"/>
        <v>1238</v>
      </c>
    </row>
    <row r="16" spans="2:32" ht="23.1" customHeight="1" x14ac:dyDescent="0.25">
      <c r="B16" s="23" t="s">
        <v>43</v>
      </c>
      <c r="C16" s="50">
        <v>0</v>
      </c>
      <c r="D16" s="50">
        <v>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15">
        <f t="shared" si="0"/>
        <v>0</v>
      </c>
      <c r="P16" s="15">
        <f t="shared" si="1"/>
        <v>0</v>
      </c>
      <c r="R16" s="1" t="s">
        <v>12</v>
      </c>
      <c r="S16" s="17">
        <f t="shared" ref="S16:AF16" si="8">SUM(C34:C37)</f>
        <v>212</v>
      </c>
      <c r="T16" s="17">
        <f t="shared" si="8"/>
        <v>105</v>
      </c>
      <c r="U16" s="17">
        <f t="shared" si="8"/>
        <v>40</v>
      </c>
      <c r="V16" s="17">
        <f t="shared" si="8"/>
        <v>6</v>
      </c>
      <c r="W16" s="17">
        <f t="shared" si="8"/>
        <v>1</v>
      </c>
      <c r="X16" s="17">
        <f t="shared" si="8"/>
        <v>1</v>
      </c>
      <c r="Y16" s="17">
        <f t="shared" si="8"/>
        <v>20</v>
      </c>
      <c r="Z16" s="17">
        <f t="shared" si="8"/>
        <v>7</v>
      </c>
      <c r="AA16" s="17">
        <f t="shared" si="8"/>
        <v>1</v>
      </c>
      <c r="AB16" s="17">
        <f t="shared" si="8"/>
        <v>1</v>
      </c>
      <c r="AC16" s="17">
        <f t="shared" si="8"/>
        <v>774</v>
      </c>
      <c r="AD16" s="17">
        <f t="shared" si="8"/>
        <v>0</v>
      </c>
      <c r="AE16" s="31">
        <f t="shared" si="8"/>
        <v>394</v>
      </c>
      <c r="AF16" s="31">
        <f t="shared" si="8"/>
        <v>1168</v>
      </c>
    </row>
    <row r="17" spans="2:32" ht="23.1" customHeight="1" x14ac:dyDescent="0.25">
      <c r="B17" s="23" t="s">
        <v>44</v>
      </c>
      <c r="C17" s="50">
        <v>0</v>
      </c>
      <c r="D17" s="50">
        <v>0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15">
        <f t="shared" si="0"/>
        <v>0</v>
      </c>
      <c r="P17" s="15">
        <f t="shared" si="1"/>
        <v>0</v>
      </c>
      <c r="R17" s="1" t="s">
        <v>13</v>
      </c>
      <c r="S17" s="17">
        <f t="shared" ref="S17:AF17" si="9">SUM(C38:C41)</f>
        <v>206</v>
      </c>
      <c r="T17" s="17">
        <f t="shared" si="9"/>
        <v>117</v>
      </c>
      <c r="U17" s="17">
        <f t="shared" si="9"/>
        <v>20</v>
      </c>
      <c r="V17" s="17">
        <f t="shared" si="9"/>
        <v>19</v>
      </c>
      <c r="W17" s="17">
        <f t="shared" si="9"/>
        <v>2</v>
      </c>
      <c r="X17" s="17">
        <f t="shared" si="9"/>
        <v>0</v>
      </c>
      <c r="Y17" s="17">
        <f t="shared" si="9"/>
        <v>25</v>
      </c>
      <c r="Z17" s="17">
        <f t="shared" si="9"/>
        <v>10</v>
      </c>
      <c r="AA17" s="17">
        <f t="shared" si="9"/>
        <v>3</v>
      </c>
      <c r="AB17" s="17">
        <f t="shared" si="9"/>
        <v>1</v>
      </c>
      <c r="AC17" s="17">
        <f t="shared" si="9"/>
        <v>726</v>
      </c>
      <c r="AD17" s="17">
        <f t="shared" si="9"/>
        <v>0</v>
      </c>
      <c r="AE17" s="31">
        <f t="shared" si="9"/>
        <v>403</v>
      </c>
      <c r="AF17" s="31">
        <f t="shared" si="9"/>
        <v>1129</v>
      </c>
    </row>
    <row r="18" spans="2:32" ht="23.1" customHeight="1" x14ac:dyDescent="0.25">
      <c r="B18" s="23" t="s">
        <v>45</v>
      </c>
      <c r="C18" s="50">
        <v>0</v>
      </c>
      <c r="D18" s="50">
        <v>0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2</v>
      </c>
      <c r="N18" s="50">
        <v>0</v>
      </c>
      <c r="O18" s="15">
        <f t="shared" si="0"/>
        <v>0</v>
      </c>
      <c r="P18" s="15">
        <f t="shared" si="1"/>
        <v>2</v>
      </c>
      <c r="R18" s="1" t="s">
        <v>14</v>
      </c>
      <c r="S18" s="17">
        <f t="shared" ref="S18:AF18" si="10">SUM(C42:C45)</f>
        <v>261</v>
      </c>
      <c r="T18" s="17">
        <f t="shared" si="10"/>
        <v>144</v>
      </c>
      <c r="U18" s="17">
        <f t="shared" si="10"/>
        <v>31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33</v>
      </c>
      <c r="Z18" s="17">
        <f t="shared" si="10"/>
        <v>10</v>
      </c>
      <c r="AA18" s="17">
        <f t="shared" si="10"/>
        <v>3</v>
      </c>
      <c r="AB18" s="17">
        <f t="shared" si="10"/>
        <v>1</v>
      </c>
      <c r="AC18" s="17">
        <f t="shared" si="10"/>
        <v>750</v>
      </c>
      <c r="AD18" s="17">
        <f t="shared" si="10"/>
        <v>0</v>
      </c>
      <c r="AE18" s="31">
        <f t="shared" si="10"/>
        <v>490</v>
      </c>
      <c r="AF18" s="31">
        <f t="shared" si="10"/>
        <v>1240</v>
      </c>
    </row>
    <row r="19" spans="2:32" ht="23.1" customHeight="1" x14ac:dyDescent="0.25">
      <c r="B19" s="23" t="s">
        <v>46</v>
      </c>
      <c r="C19" s="50">
        <v>135</v>
      </c>
      <c r="D19" s="50">
        <v>52</v>
      </c>
      <c r="E19" s="50">
        <v>23</v>
      </c>
      <c r="F19" s="50">
        <v>0</v>
      </c>
      <c r="G19" s="50">
        <v>0</v>
      </c>
      <c r="H19" s="50">
        <v>1</v>
      </c>
      <c r="I19" s="50">
        <v>4</v>
      </c>
      <c r="J19" s="50">
        <v>3</v>
      </c>
      <c r="K19" s="50">
        <v>1</v>
      </c>
      <c r="L19" s="50">
        <v>0</v>
      </c>
      <c r="M19" s="50">
        <v>112</v>
      </c>
      <c r="N19" s="50">
        <v>0</v>
      </c>
      <c r="O19" s="15">
        <f t="shared" si="0"/>
        <v>219</v>
      </c>
      <c r="P19" s="15">
        <f t="shared" si="1"/>
        <v>331</v>
      </c>
      <c r="R19" s="1" t="s">
        <v>15</v>
      </c>
      <c r="S19" s="17">
        <f t="shared" ref="S19:AF19" si="11">SUM(C46:C49)</f>
        <v>345</v>
      </c>
      <c r="T19" s="17">
        <f t="shared" si="11"/>
        <v>157</v>
      </c>
      <c r="U19" s="17">
        <f t="shared" si="11"/>
        <v>36</v>
      </c>
      <c r="V19" s="17">
        <f t="shared" si="11"/>
        <v>12</v>
      </c>
      <c r="W19" s="17">
        <f t="shared" si="11"/>
        <v>0</v>
      </c>
      <c r="X19" s="17">
        <f t="shared" si="11"/>
        <v>1</v>
      </c>
      <c r="Y19" s="17">
        <f t="shared" si="11"/>
        <v>23</v>
      </c>
      <c r="Z19" s="17">
        <f t="shared" si="11"/>
        <v>20</v>
      </c>
      <c r="AA19" s="17">
        <f t="shared" si="11"/>
        <v>2</v>
      </c>
      <c r="AB19" s="17">
        <f t="shared" si="11"/>
        <v>0</v>
      </c>
      <c r="AC19" s="17">
        <f t="shared" si="11"/>
        <v>763</v>
      </c>
      <c r="AD19" s="17">
        <f t="shared" si="11"/>
        <v>0</v>
      </c>
      <c r="AE19" s="31">
        <f t="shared" si="11"/>
        <v>596</v>
      </c>
      <c r="AF19" s="31">
        <f t="shared" si="11"/>
        <v>1359</v>
      </c>
    </row>
    <row r="20" spans="2:32" ht="23.1" customHeight="1" x14ac:dyDescent="0.25">
      <c r="B20" s="23" t="s">
        <v>47</v>
      </c>
      <c r="C20" s="50">
        <v>60</v>
      </c>
      <c r="D20" s="50">
        <v>11</v>
      </c>
      <c r="E20" s="50">
        <v>12</v>
      </c>
      <c r="F20" s="50">
        <v>0</v>
      </c>
      <c r="G20" s="50">
        <v>0</v>
      </c>
      <c r="H20" s="50">
        <v>0</v>
      </c>
      <c r="I20" s="50">
        <v>2</v>
      </c>
      <c r="J20" s="50">
        <v>0</v>
      </c>
      <c r="K20" s="50">
        <v>0</v>
      </c>
      <c r="L20" s="50">
        <v>1</v>
      </c>
      <c r="M20" s="50">
        <v>82</v>
      </c>
      <c r="N20" s="50">
        <v>0</v>
      </c>
      <c r="O20" s="15">
        <f t="shared" si="0"/>
        <v>86</v>
      </c>
      <c r="P20" s="15">
        <f t="shared" si="1"/>
        <v>168</v>
      </c>
      <c r="R20" s="1" t="s">
        <v>16</v>
      </c>
      <c r="S20" s="17">
        <f t="shared" ref="S20:AF20" si="12">SUM(C50:C53)</f>
        <v>315</v>
      </c>
      <c r="T20" s="17">
        <f t="shared" si="12"/>
        <v>146</v>
      </c>
      <c r="U20" s="17">
        <f t="shared" si="12"/>
        <v>38</v>
      </c>
      <c r="V20" s="17">
        <f t="shared" si="12"/>
        <v>10</v>
      </c>
      <c r="W20" s="17">
        <f t="shared" si="12"/>
        <v>0</v>
      </c>
      <c r="X20" s="17">
        <f t="shared" si="12"/>
        <v>0</v>
      </c>
      <c r="Y20" s="17">
        <f t="shared" si="12"/>
        <v>20</v>
      </c>
      <c r="Z20" s="17">
        <f t="shared" si="12"/>
        <v>13</v>
      </c>
      <c r="AA20" s="17">
        <f t="shared" si="12"/>
        <v>0</v>
      </c>
      <c r="AB20" s="17">
        <f t="shared" si="12"/>
        <v>0</v>
      </c>
      <c r="AC20" s="17">
        <f t="shared" si="12"/>
        <v>787</v>
      </c>
      <c r="AD20" s="17">
        <f t="shared" si="12"/>
        <v>0</v>
      </c>
      <c r="AE20" s="31">
        <f t="shared" si="12"/>
        <v>542</v>
      </c>
      <c r="AF20" s="31">
        <f t="shared" si="12"/>
        <v>1329</v>
      </c>
    </row>
    <row r="21" spans="2:32" ht="23.1" customHeight="1" x14ac:dyDescent="0.25">
      <c r="B21" s="23" t="s">
        <v>48</v>
      </c>
      <c r="C21" s="50">
        <v>101</v>
      </c>
      <c r="D21" s="50">
        <v>13</v>
      </c>
      <c r="E21" s="50">
        <v>16</v>
      </c>
      <c r="F21" s="50">
        <v>1</v>
      </c>
      <c r="G21" s="50">
        <v>0</v>
      </c>
      <c r="H21" s="50">
        <v>0</v>
      </c>
      <c r="I21" s="50">
        <v>4</v>
      </c>
      <c r="J21" s="50">
        <v>1</v>
      </c>
      <c r="K21" s="50">
        <v>1</v>
      </c>
      <c r="L21" s="50">
        <v>0</v>
      </c>
      <c r="M21" s="50">
        <v>110</v>
      </c>
      <c r="N21" s="50">
        <v>0</v>
      </c>
      <c r="O21" s="15">
        <f t="shared" si="0"/>
        <v>137</v>
      </c>
      <c r="P21" s="15">
        <f t="shared" si="1"/>
        <v>247</v>
      </c>
      <c r="R21" s="36" t="s">
        <v>20</v>
      </c>
      <c r="S21" s="34">
        <f t="shared" ref="S21:AF21" si="13">SUM(C54:C57)</f>
        <v>274</v>
      </c>
      <c r="T21" s="17">
        <f t="shared" si="13"/>
        <v>123</v>
      </c>
      <c r="U21" s="17">
        <f t="shared" si="13"/>
        <v>29</v>
      </c>
      <c r="V21" s="17">
        <f t="shared" si="13"/>
        <v>15</v>
      </c>
      <c r="W21" s="17">
        <f t="shared" si="13"/>
        <v>2</v>
      </c>
      <c r="X21" s="17">
        <f t="shared" si="13"/>
        <v>1</v>
      </c>
      <c r="Y21" s="17">
        <f t="shared" si="13"/>
        <v>20</v>
      </c>
      <c r="Z21" s="17">
        <f t="shared" si="13"/>
        <v>8</v>
      </c>
      <c r="AA21" s="17">
        <f t="shared" si="13"/>
        <v>2</v>
      </c>
      <c r="AB21" s="17">
        <f t="shared" si="13"/>
        <v>1</v>
      </c>
      <c r="AC21" s="17">
        <f t="shared" si="13"/>
        <v>816</v>
      </c>
      <c r="AD21" s="17">
        <f t="shared" si="13"/>
        <v>0</v>
      </c>
      <c r="AE21" s="31">
        <f t="shared" si="13"/>
        <v>475</v>
      </c>
      <c r="AF21" s="31">
        <f t="shared" si="13"/>
        <v>1291</v>
      </c>
    </row>
    <row r="22" spans="2:32" ht="23.1" customHeight="1" x14ac:dyDescent="0.25">
      <c r="B22" s="23" t="s">
        <v>49</v>
      </c>
      <c r="C22" s="50">
        <v>125</v>
      </c>
      <c r="D22" s="50">
        <v>15</v>
      </c>
      <c r="E22" s="50">
        <v>22</v>
      </c>
      <c r="F22" s="50">
        <v>2</v>
      </c>
      <c r="G22" s="50">
        <v>0</v>
      </c>
      <c r="H22" s="50">
        <v>0</v>
      </c>
      <c r="I22" s="50">
        <v>2</v>
      </c>
      <c r="J22" s="50">
        <v>0</v>
      </c>
      <c r="K22" s="50">
        <v>0</v>
      </c>
      <c r="L22" s="50">
        <v>0</v>
      </c>
      <c r="M22" s="50">
        <v>110</v>
      </c>
      <c r="N22" s="50">
        <v>0</v>
      </c>
      <c r="O22" s="15">
        <f t="shared" si="0"/>
        <v>166</v>
      </c>
      <c r="P22" s="15">
        <f t="shared" si="1"/>
        <v>276</v>
      </c>
      <c r="R22" s="38" t="s">
        <v>90</v>
      </c>
      <c r="S22" s="39">
        <f>MAX(S10:S12)</f>
        <v>296</v>
      </c>
      <c r="T22" s="39">
        <f t="shared" ref="T22:AF22" si="14">MAX(T10:T12)</f>
        <v>76</v>
      </c>
      <c r="U22" s="39">
        <f t="shared" si="14"/>
        <v>51</v>
      </c>
      <c r="V22" s="39">
        <f t="shared" si="14"/>
        <v>1</v>
      </c>
      <c r="W22" s="39">
        <f t="shared" si="14"/>
        <v>0</v>
      </c>
      <c r="X22" s="39">
        <f t="shared" si="14"/>
        <v>1</v>
      </c>
      <c r="Y22" s="39">
        <f t="shared" si="14"/>
        <v>10</v>
      </c>
      <c r="Z22" s="39">
        <f t="shared" si="14"/>
        <v>4</v>
      </c>
      <c r="AA22" s="39">
        <f t="shared" si="14"/>
        <v>2</v>
      </c>
      <c r="AB22" s="39">
        <f t="shared" si="14"/>
        <v>1</v>
      </c>
      <c r="AC22" s="39">
        <f t="shared" si="14"/>
        <v>306</v>
      </c>
      <c r="AD22" s="39">
        <f t="shared" si="14"/>
        <v>0</v>
      </c>
      <c r="AE22" s="40">
        <f t="shared" si="14"/>
        <v>442</v>
      </c>
      <c r="AF22" s="40">
        <f t="shared" si="14"/>
        <v>748</v>
      </c>
    </row>
    <row r="23" spans="2:32" ht="23.1" customHeight="1" x14ac:dyDescent="0.25">
      <c r="B23" s="23" t="s">
        <v>50</v>
      </c>
      <c r="C23" s="50">
        <v>81</v>
      </c>
      <c r="D23" s="50">
        <v>16</v>
      </c>
      <c r="E23" s="50">
        <v>6</v>
      </c>
      <c r="F23" s="50">
        <v>0</v>
      </c>
      <c r="G23" s="50">
        <v>0</v>
      </c>
      <c r="H23" s="50">
        <v>0</v>
      </c>
      <c r="I23" s="50">
        <v>3</v>
      </c>
      <c r="J23" s="50">
        <v>3</v>
      </c>
      <c r="K23" s="50">
        <v>2</v>
      </c>
      <c r="L23" s="50">
        <v>0</v>
      </c>
      <c r="M23" s="50">
        <v>130</v>
      </c>
      <c r="N23" s="50">
        <v>0</v>
      </c>
      <c r="O23" s="15">
        <f t="shared" si="0"/>
        <v>111</v>
      </c>
      <c r="P23" s="15">
        <f t="shared" si="1"/>
        <v>241</v>
      </c>
      <c r="R23" s="38" t="s">
        <v>91</v>
      </c>
      <c r="S23" s="39">
        <f>MAX(S13:S18)</f>
        <v>362</v>
      </c>
      <c r="T23" s="39">
        <f t="shared" ref="T23:AF23" si="15">MAX(T13:T18)</f>
        <v>144</v>
      </c>
      <c r="U23" s="39">
        <f t="shared" si="15"/>
        <v>40</v>
      </c>
      <c r="V23" s="39">
        <f t="shared" si="15"/>
        <v>19</v>
      </c>
      <c r="W23" s="39">
        <f t="shared" si="15"/>
        <v>2</v>
      </c>
      <c r="X23" s="39">
        <f t="shared" si="15"/>
        <v>7</v>
      </c>
      <c r="Y23" s="39">
        <f t="shared" si="15"/>
        <v>33</v>
      </c>
      <c r="Z23" s="39">
        <f t="shared" si="15"/>
        <v>10</v>
      </c>
      <c r="AA23" s="39">
        <f t="shared" si="15"/>
        <v>3</v>
      </c>
      <c r="AB23" s="39">
        <f t="shared" si="15"/>
        <v>2</v>
      </c>
      <c r="AC23" s="39">
        <f t="shared" si="15"/>
        <v>814</v>
      </c>
      <c r="AD23" s="39">
        <f t="shared" si="15"/>
        <v>0</v>
      </c>
      <c r="AE23" s="40">
        <f t="shared" si="15"/>
        <v>490</v>
      </c>
      <c r="AF23" s="40">
        <f t="shared" si="15"/>
        <v>1240</v>
      </c>
    </row>
    <row r="24" spans="2:32" ht="23.1" customHeight="1" x14ac:dyDescent="0.25">
      <c r="B24" s="23" t="s">
        <v>51</v>
      </c>
      <c r="C24" s="50">
        <v>85</v>
      </c>
      <c r="D24" s="50">
        <v>15</v>
      </c>
      <c r="E24" s="50">
        <v>6</v>
      </c>
      <c r="F24" s="50">
        <v>2</v>
      </c>
      <c r="G24" s="50">
        <v>0</v>
      </c>
      <c r="H24" s="50">
        <v>0</v>
      </c>
      <c r="I24" s="50">
        <v>3</v>
      </c>
      <c r="J24" s="50">
        <v>3</v>
      </c>
      <c r="K24" s="50">
        <v>0</v>
      </c>
      <c r="L24" s="50">
        <v>0</v>
      </c>
      <c r="M24" s="50">
        <v>112</v>
      </c>
      <c r="N24" s="50">
        <v>0</v>
      </c>
      <c r="O24" s="15">
        <f t="shared" si="0"/>
        <v>114</v>
      </c>
      <c r="P24" s="15">
        <f t="shared" si="1"/>
        <v>226</v>
      </c>
      <c r="R24" s="38" t="s">
        <v>92</v>
      </c>
      <c r="S24" s="39">
        <f>MAX(S19:S21)</f>
        <v>345</v>
      </c>
      <c r="T24" s="39">
        <f t="shared" ref="T24:AF24" si="16">MAX(T19:T21)</f>
        <v>157</v>
      </c>
      <c r="U24" s="39">
        <f t="shared" si="16"/>
        <v>38</v>
      </c>
      <c r="V24" s="39">
        <f t="shared" si="16"/>
        <v>15</v>
      </c>
      <c r="W24" s="39">
        <f t="shared" si="16"/>
        <v>2</v>
      </c>
      <c r="X24" s="39">
        <f t="shared" si="16"/>
        <v>1</v>
      </c>
      <c r="Y24" s="39">
        <f t="shared" si="16"/>
        <v>23</v>
      </c>
      <c r="Z24" s="39">
        <f t="shared" si="16"/>
        <v>20</v>
      </c>
      <c r="AA24" s="39">
        <f t="shared" si="16"/>
        <v>2</v>
      </c>
      <c r="AB24" s="39">
        <f t="shared" si="16"/>
        <v>1</v>
      </c>
      <c r="AC24" s="39">
        <f t="shared" si="16"/>
        <v>816</v>
      </c>
      <c r="AD24" s="39">
        <f t="shared" si="16"/>
        <v>0</v>
      </c>
      <c r="AE24" s="40">
        <f t="shared" si="16"/>
        <v>596</v>
      </c>
      <c r="AF24" s="40">
        <f t="shared" si="16"/>
        <v>1359</v>
      </c>
    </row>
    <row r="25" spans="2:32" ht="23.1" customHeight="1" x14ac:dyDescent="0.25">
      <c r="B25" s="23" t="s">
        <v>52</v>
      </c>
      <c r="C25" s="50">
        <v>71</v>
      </c>
      <c r="D25" s="50">
        <v>11</v>
      </c>
      <c r="E25" s="50">
        <v>6</v>
      </c>
      <c r="F25" s="50">
        <v>1</v>
      </c>
      <c r="G25" s="50">
        <v>1</v>
      </c>
      <c r="H25" s="50">
        <v>0</v>
      </c>
      <c r="I25" s="50">
        <v>3</v>
      </c>
      <c r="J25" s="50">
        <v>1</v>
      </c>
      <c r="K25" s="50">
        <v>1</v>
      </c>
      <c r="L25" s="50">
        <v>0</v>
      </c>
      <c r="M25" s="50">
        <v>133</v>
      </c>
      <c r="N25" s="50">
        <v>0</v>
      </c>
      <c r="O25" s="15">
        <f t="shared" si="0"/>
        <v>95</v>
      </c>
      <c r="P25" s="15">
        <f t="shared" si="1"/>
        <v>228</v>
      </c>
      <c r="R25" s="37" t="s">
        <v>85</v>
      </c>
      <c r="S25" s="35">
        <f t="shared" ref="S25:AF25" si="17">SUM(S10:S12)</f>
        <v>296</v>
      </c>
      <c r="T25" s="16">
        <f t="shared" si="17"/>
        <v>76</v>
      </c>
      <c r="U25" s="16">
        <f t="shared" si="17"/>
        <v>51</v>
      </c>
      <c r="V25" s="16">
        <f t="shared" si="17"/>
        <v>1</v>
      </c>
      <c r="W25" s="16">
        <f t="shared" si="17"/>
        <v>0</v>
      </c>
      <c r="X25" s="16">
        <f t="shared" si="17"/>
        <v>1</v>
      </c>
      <c r="Y25" s="16">
        <f t="shared" si="17"/>
        <v>10</v>
      </c>
      <c r="Z25" s="16">
        <f t="shared" si="17"/>
        <v>4</v>
      </c>
      <c r="AA25" s="16">
        <f t="shared" si="17"/>
        <v>2</v>
      </c>
      <c r="AB25" s="16">
        <f t="shared" si="17"/>
        <v>1</v>
      </c>
      <c r="AC25" s="16">
        <f t="shared" si="17"/>
        <v>306</v>
      </c>
      <c r="AD25" s="16">
        <f t="shared" si="17"/>
        <v>0</v>
      </c>
      <c r="AE25" s="32">
        <f t="shared" si="17"/>
        <v>442</v>
      </c>
      <c r="AF25" s="32">
        <f t="shared" si="17"/>
        <v>748</v>
      </c>
    </row>
    <row r="26" spans="2:32" ht="23.1" customHeight="1" x14ac:dyDescent="0.25">
      <c r="B26" s="23" t="s">
        <v>53</v>
      </c>
      <c r="C26" s="50">
        <v>81</v>
      </c>
      <c r="D26" s="50">
        <v>28</v>
      </c>
      <c r="E26" s="50">
        <v>4</v>
      </c>
      <c r="F26" s="50">
        <v>1</v>
      </c>
      <c r="G26" s="50">
        <v>1</v>
      </c>
      <c r="H26" s="50">
        <v>0</v>
      </c>
      <c r="I26" s="50">
        <v>7</v>
      </c>
      <c r="J26" s="50">
        <v>0</v>
      </c>
      <c r="K26" s="50">
        <v>0</v>
      </c>
      <c r="L26" s="50">
        <v>0</v>
      </c>
      <c r="M26" s="50">
        <v>89</v>
      </c>
      <c r="N26" s="50">
        <v>0</v>
      </c>
      <c r="O26" s="15">
        <f t="shared" si="0"/>
        <v>122</v>
      </c>
      <c r="P26" s="15">
        <f t="shared" si="1"/>
        <v>211</v>
      </c>
      <c r="R26" s="28" t="s">
        <v>86</v>
      </c>
      <c r="S26" s="16">
        <f t="shared" ref="S26:AF26" si="18">SUM(S13:S18)</f>
        <v>1533</v>
      </c>
      <c r="T26" s="16">
        <f t="shared" si="18"/>
        <v>572</v>
      </c>
      <c r="U26" s="16">
        <f t="shared" si="18"/>
        <v>185</v>
      </c>
      <c r="V26" s="16">
        <f t="shared" si="18"/>
        <v>52</v>
      </c>
      <c r="W26" s="16">
        <f t="shared" si="18"/>
        <v>6</v>
      </c>
      <c r="X26" s="16">
        <f t="shared" si="18"/>
        <v>8</v>
      </c>
      <c r="Y26" s="16">
        <f t="shared" si="18"/>
        <v>127</v>
      </c>
      <c r="Z26" s="16">
        <f t="shared" si="18"/>
        <v>43</v>
      </c>
      <c r="AA26" s="16">
        <f t="shared" si="18"/>
        <v>11</v>
      </c>
      <c r="AB26" s="16">
        <f t="shared" si="18"/>
        <v>6</v>
      </c>
      <c r="AC26" s="16">
        <f t="shared" si="18"/>
        <v>3985</v>
      </c>
      <c r="AD26" s="16">
        <f t="shared" si="18"/>
        <v>0</v>
      </c>
      <c r="AE26" s="32">
        <f t="shared" si="18"/>
        <v>2543</v>
      </c>
      <c r="AF26" s="32">
        <f t="shared" si="18"/>
        <v>6528</v>
      </c>
    </row>
    <row r="27" spans="2:32" ht="23.1" customHeight="1" x14ac:dyDescent="0.25">
      <c r="B27" s="23" t="s">
        <v>54</v>
      </c>
      <c r="C27" s="50">
        <v>97</v>
      </c>
      <c r="D27" s="50">
        <v>13</v>
      </c>
      <c r="E27" s="50">
        <v>9</v>
      </c>
      <c r="F27" s="50">
        <v>1</v>
      </c>
      <c r="G27" s="50">
        <v>0</v>
      </c>
      <c r="H27" s="50">
        <v>0</v>
      </c>
      <c r="I27" s="50">
        <v>2</v>
      </c>
      <c r="J27" s="50">
        <v>0</v>
      </c>
      <c r="K27" s="50">
        <v>0</v>
      </c>
      <c r="L27" s="50">
        <v>0</v>
      </c>
      <c r="M27" s="50">
        <v>97</v>
      </c>
      <c r="N27" s="50">
        <v>0</v>
      </c>
      <c r="O27" s="15">
        <f t="shared" si="0"/>
        <v>122</v>
      </c>
      <c r="P27" s="15">
        <f t="shared" si="1"/>
        <v>219</v>
      </c>
      <c r="R27" s="29" t="s">
        <v>87</v>
      </c>
      <c r="S27" s="16">
        <f t="shared" ref="S27:AF27" si="19">SUM(S19:S21)</f>
        <v>934</v>
      </c>
      <c r="T27" s="16">
        <f t="shared" si="19"/>
        <v>426</v>
      </c>
      <c r="U27" s="16">
        <f t="shared" si="19"/>
        <v>103</v>
      </c>
      <c r="V27" s="16">
        <f t="shared" si="19"/>
        <v>37</v>
      </c>
      <c r="W27" s="16">
        <f t="shared" si="19"/>
        <v>2</v>
      </c>
      <c r="X27" s="16">
        <f t="shared" si="19"/>
        <v>2</v>
      </c>
      <c r="Y27" s="16">
        <f t="shared" si="19"/>
        <v>63</v>
      </c>
      <c r="Z27" s="16">
        <f t="shared" si="19"/>
        <v>41</v>
      </c>
      <c r="AA27" s="16">
        <f t="shared" si="19"/>
        <v>4</v>
      </c>
      <c r="AB27" s="16">
        <f t="shared" si="19"/>
        <v>1</v>
      </c>
      <c r="AC27" s="16">
        <f t="shared" si="19"/>
        <v>2366</v>
      </c>
      <c r="AD27" s="16">
        <f t="shared" si="19"/>
        <v>0</v>
      </c>
      <c r="AE27" s="32">
        <f t="shared" si="19"/>
        <v>1613</v>
      </c>
      <c r="AF27" s="32">
        <f t="shared" si="19"/>
        <v>3979</v>
      </c>
    </row>
    <row r="28" spans="2:32" ht="23.1" customHeight="1" x14ac:dyDescent="0.25">
      <c r="B28" s="23" t="s">
        <v>55</v>
      </c>
      <c r="C28" s="50">
        <v>71</v>
      </c>
      <c r="D28" s="50">
        <v>5</v>
      </c>
      <c r="E28" s="50">
        <v>5</v>
      </c>
      <c r="F28" s="50">
        <v>1</v>
      </c>
      <c r="G28" s="50">
        <v>0</v>
      </c>
      <c r="H28" s="50">
        <v>1</v>
      </c>
      <c r="I28" s="50">
        <v>6</v>
      </c>
      <c r="J28" s="50">
        <v>2</v>
      </c>
      <c r="K28" s="50">
        <v>0</v>
      </c>
      <c r="L28" s="50">
        <v>1</v>
      </c>
      <c r="M28" s="50">
        <v>75</v>
      </c>
      <c r="N28" s="50">
        <v>0</v>
      </c>
      <c r="O28" s="15">
        <f t="shared" si="0"/>
        <v>92</v>
      </c>
      <c r="P28" s="15">
        <f t="shared" si="1"/>
        <v>167</v>
      </c>
      <c r="R28" s="5" t="s">
        <v>17</v>
      </c>
      <c r="S28" s="16">
        <f t="shared" ref="S28:AF28" si="20">SUM(S10:S21)</f>
        <v>2763</v>
      </c>
      <c r="T28" s="16">
        <f t="shared" si="20"/>
        <v>1074</v>
      </c>
      <c r="U28" s="16">
        <f t="shared" si="20"/>
        <v>339</v>
      </c>
      <c r="V28" s="16">
        <f t="shared" si="20"/>
        <v>90</v>
      </c>
      <c r="W28" s="16">
        <f t="shared" si="20"/>
        <v>8</v>
      </c>
      <c r="X28" s="16">
        <f t="shared" si="20"/>
        <v>11</v>
      </c>
      <c r="Y28" s="16">
        <f t="shared" si="20"/>
        <v>200</v>
      </c>
      <c r="Z28" s="16">
        <f t="shared" si="20"/>
        <v>88</v>
      </c>
      <c r="AA28" s="16">
        <f t="shared" si="20"/>
        <v>17</v>
      </c>
      <c r="AB28" s="16">
        <f t="shared" si="20"/>
        <v>8</v>
      </c>
      <c r="AC28" s="16">
        <f t="shared" si="20"/>
        <v>6657</v>
      </c>
      <c r="AD28" s="16">
        <f t="shared" si="20"/>
        <v>0</v>
      </c>
      <c r="AE28" s="32">
        <f t="shared" si="20"/>
        <v>4598</v>
      </c>
      <c r="AF28" s="32">
        <f t="shared" si="20"/>
        <v>11255</v>
      </c>
    </row>
    <row r="29" spans="2:32" ht="23.1" customHeight="1" x14ac:dyDescent="0.25">
      <c r="B29" s="23" t="s">
        <v>56</v>
      </c>
      <c r="C29" s="50">
        <v>0</v>
      </c>
      <c r="D29" s="50">
        <v>0</v>
      </c>
      <c r="E29" s="50">
        <v>0</v>
      </c>
      <c r="F29" s="50">
        <v>0</v>
      </c>
      <c r="G29" s="50">
        <v>0</v>
      </c>
      <c r="H29" s="50">
        <v>6</v>
      </c>
      <c r="I29" s="50">
        <v>3</v>
      </c>
      <c r="J29" s="50">
        <v>0</v>
      </c>
      <c r="K29" s="50">
        <v>0</v>
      </c>
      <c r="L29" s="50">
        <v>1</v>
      </c>
      <c r="M29" s="50">
        <v>175</v>
      </c>
      <c r="N29" s="50">
        <v>0</v>
      </c>
      <c r="O29" s="15">
        <f t="shared" si="0"/>
        <v>10</v>
      </c>
      <c r="P29" s="15">
        <f t="shared" si="1"/>
        <v>185</v>
      </c>
      <c r="R29"/>
      <c r="S29" s="20"/>
      <c r="T29" s="19"/>
    </row>
    <row r="30" spans="2:32" ht="23.1" customHeight="1" x14ac:dyDescent="0.25">
      <c r="B30" s="23" t="s">
        <v>57</v>
      </c>
      <c r="C30" s="50">
        <v>76</v>
      </c>
      <c r="D30" s="50">
        <v>32</v>
      </c>
      <c r="E30" s="50">
        <v>9</v>
      </c>
      <c r="F30" s="50">
        <v>3</v>
      </c>
      <c r="G30" s="50">
        <v>1</v>
      </c>
      <c r="H30" s="50">
        <v>0</v>
      </c>
      <c r="I30" s="50">
        <v>4</v>
      </c>
      <c r="J30" s="50">
        <v>1</v>
      </c>
      <c r="K30" s="50">
        <v>0</v>
      </c>
      <c r="L30" s="50">
        <v>0</v>
      </c>
      <c r="M30" s="50">
        <v>245</v>
      </c>
      <c r="N30" s="50">
        <v>0</v>
      </c>
      <c r="O30" s="15">
        <f t="shared" si="0"/>
        <v>126</v>
      </c>
      <c r="P30" s="15">
        <f t="shared" si="1"/>
        <v>371</v>
      </c>
    </row>
    <row r="31" spans="2:32" ht="23.1" customHeight="1" x14ac:dyDescent="0.25">
      <c r="B31" s="24" t="s">
        <v>58</v>
      </c>
      <c r="C31" s="50">
        <v>56</v>
      </c>
      <c r="D31" s="50">
        <v>25</v>
      </c>
      <c r="E31" s="50">
        <v>11</v>
      </c>
      <c r="F31" s="50">
        <v>2</v>
      </c>
      <c r="G31" s="50">
        <v>0</v>
      </c>
      <c r="H31" s="50">
        <v>0</v>
      </c>
      <c r="I31" s="50">
        <v>5</v>
      </c>
      <c r="J31" s="50">
        <v>4</v>
      </c>
      <c r="K31" s="50">
        <v>0</v>
      </c>
      <c r="L31" s="50">
        <v>1</v>
      </c>
      <c r="M31" s="50">
        <v>211</v>
      </c>
      <c r="N31" s="50">
        <v>0</v>
      </c>
      <c r="O31" s="15">
        <f t="shared" si="0"/>
        <v>104</v>
      </c>
      <c r="P31" s="15">
        <f t="shared" si="1"/>
        <v>315</v>
      </c>
    </row>
    <row r="32" spans="2:32" ht="23.1" customHeight="1" x14ac:dyDescent="0.25">
      <c r="B32" s="24" t="s">
        <v>59</v>
      </c>
      <c r="C32" s="50">
        <v>49</v>
      </c>
      <c r="D32" s="50">
        <v>24</v>
      </c>
      <c r="E32" s="50">
        <v>6</v>
      </c>
      <c r="F32" s="50">
        <v>1</v>
      </c>
      <c r="G32" s="50">
        <v>0</v>
      </c>
      <c r="H32" s="50">
        <v>0</v>
      </c>
      <c r="I32" s="50">
        <v>5</v>
      </c>
      <c r="J32" s="50">
        <v>2</v>
      </c>
      <c r="K32" s="50">
        <v>0</v>
      </c>
      <c r="L32" s="50">
        <v>0</v>
      </c>
      <c r="M32" s="50">
        <v>167</v>
      </c>
      <c r="N32" s="50">
        <v>0</v>
      </c>
      <c r="O32" s="15">
        <f t="shared" si="0"/>
        <v>87</v>
      </c>
      <c r="P32" s="15">
        <f t="shared" si="1"/>
        <v>254</v>
      </c>
    </row>
    <row r="33" spans="2:20" ht="23.1" customHeight="1" x14ac:dyDescent="0.25">
      <c r="B33" s="23" t="s">
        <v>60</v>
      </c>
      <c r="C33" s="50">
        <v>62</v>
      </c>
      <c r="D33" s="50">
        <v>22</v>
      </c>
      <c r="E33" s="50">
        <v>10</v>
      </c>
      <c r="F33" s="50">
        <v>6</v>
      </c>
      <c r="G33" s="50">
        <v>0</v>
      </c>
      <c r="H33" s="50">
        <v>0</v>
      </c>
      <c r="I33" s="50">
        <v>6</v>
      </c>
      <c r="J33" s="50">
        <v>0</v>
      </c>
      <c r="K33" s="50">
        <v>1</v>
      </c>
      <c r="L33" s="50">
        <v>0</v>
      </c>
      <c r="M33" s="50">
        <v>191</v>
      </c>
      <c r="N33" s="50">
        <v>0</v>
      </c>
      <c r="O33" s="15">
        <f t="shared" si="0"/>
        <v>107</v>
      </c>
      <c r="P33" s="15">
        <f t="shared" si="1"/>
        <v>298</v>
      </c>
    </row>
    <row r="34" spans="2:20" ht="23.1" customHeight="1" x14ac:dyDescent="0.25">
      <c r="B34" s="24" t="s">
        <v>61</v>
      </c>
      <c r="C34" s="50">
        <v>52</v>
      </c>
      <c r="D34" s="50">
        <v>28</v>
      </c>
      <c r="E34" s="50">
        <v>9</v>
      </c>
      <c r="F34" s="50">
        <v>3</v>
      </c>
      <c r="G34" s="50">
        <v>0</v>
      </c>
      <c r="H34" s="50">
        <v>0</v>
      </c>
      <c r="I34" s="50">
        <v>3</v>
      </c>
      <c r="J34" s="50">
        <v>1</v>
      </c>
      <c r="K34" s="50">
        <v>1</v>
      </c>
      <c r="L34" s="50">
        <v>1</v>
      </c>
      <c r="M34" s="50">
        <v>192</v>
      </c>
      <c r="N34" s="50">
        <v>0</v>
      </c>
      <c r="O34" s="15">
        <f t="shared" si="0"/>
        <v>98</v>
      </c>
      <c r="P34" s="15">
        <f t="shared" si="1"/>
        <v>290</v>
      </c>
    </row>
    <row r="35" spans="2:20" ht="23.1" customHeight="1" x14ac:dyDescent="0.25">
      <c r="B35" s="24" t="s">
        <v>62</v>
      </c>
      <c r="C35" s="50">
        <v>54</v>
      </c>
      <c r="D35" s="50">
        <v>20</v>
      </c>
      <c r="E35" s="50">
        <v>12</v>
      </c>
      <c r="F35" s="50">
        <v>1</v>
      </c>
      <c r="G35" s="50">
        <v>1</v>
      </c>
      <c r="H35" s="50">
        <v>0</v>
      </c>
      <c r="I35" s="50">
        <v>6</v>
      </c>
      <c r="J35" s="50">
        <v>2</v>
      </c>
      <c r="K35" s="50">
        <v>0</v>
      </c>
      <c r="L35" s="50">
        <v>0</v>
      </c>
      <c r="M35" s="50">
        <v>201</v>
      </c>
      <c r="N35" s="50">
        <v>0</v>
      </c>
      <c r="O35" s="15">
        <f t="shared" si="0"/>
        <v>96</v>
      </c>
      <c r="P35" s="15">
        <f t="shared" si="1"/>
        <v>297</v>
      </c>
    </row>
    <row r="36" spans="2:20" ht="23.1" customHeight="1" x14ac:dyDescent="0.25">
      <c r="B36" s="24" t="s">
        <v>63</v>
      </c>
      <c r="C36" s="50">
        <v>40</v>
      </c>
      <c r="D36" s="50">
        <v>27</v>
      </c>
      <c r="E36" s="50">
        <v>6</v>
      </c>
      <c r="F36" s="50">
        <v>1</v>
      </c>
      <c r="G36" s="50">
        <v>0</v>
      </c>
      <c r="H36" s="50">
        <v>0</v>
      </c>
      <c r="I36" s="50">
        <v>5</v>
      </c>
      <c r="J36" s="50">
        <v>0</v>
      </c>
      <c r="K36" s="50">
        <v>0</v>
      </c>
      <c r="L36" s="50">
        <v>0</v>
      </c>
      <c r="M36" s="50">
        <v>193</v>
      </c>
      <c r="N36" s="50">
        <v>0</v>
      </c>
      <c r="O36" s="15">
        <f t="shared" si="0"/>
        <v>79</v>
      </c>
      <c r="P36" s="15">
        <f t="shared" si="1"/>
        <v>272</v>
      </c>
    </row>
    <row r="37" spans="2:20" ht="23.1" customHeight="1" x14ac:dyDescent="0.25">
      <c r="B37" s="23" t="s">
        <v>64</v>
      </c>
      <c r="C37" s="50">
        <v>66</v>
      </c>
      <c r="D37" s="50">
        <v>30</v>
      </c>
      <c r="E37" s="50">
        <v>13</v>
      </c>
      <c r="F37" s="50">
        <v>1</v>
      </c>
      <c r="G37" s="50">
        <v>0</v>
      </c>
      <c r="H37" s="50">
        <v>1</v>
      </c>
      <c r="I37" s="50">
        <v>6</v>
      </c>
      <c r="J37" s="50">
        <v>4</v>
      </c>
      <c r="K37" s="50">
        <v>0</v>
      </c>
      <c r="L37" s="50">
        <v>0</v>
      </c>
      <c r="M37" s="50">
        <v>188</v>
      </c>
      <c r="N37" s="50">
        <v>0</v>
      </c>
      <c r="O37" s="15">
        <f t="shared" si="0"/>
        <v>121</v>
      </c>
      <c r="P37" s="15">
        <f t="shared" si="1"/>
        <v>309</v>
      </c>
    </row>
    <row r="38" spans="2:20" ht="23.1" customHeight="1" x14ac:dyDescent="0.25">
      <c r="B38" s="24" t="s">
        <v>65</v>
      </c>
      <c r="C38" s="50">
        <v>53</v>
      </c>
      <c r="D38" s="50">
        <v>24</v>
      </c>
      <c r="E38" s="50">
        <v>4</v>
      </c>
      <c r="F38" s="50">
        <v>4</v>
      </c>
      <c r="G38" s="50">
        <v>0</v>
      </c>
      <c r="H38" s="50">
        <v>0</v>
      </c>
      <c r="I38" s="50">
        <v>6</v>
      </c>
      <c r="J38" s="50">
        <v>0</v>
      </c>
      <c r="K38" s="50">
        <v>3</v>
      </c>
      <c r="L38" s="50">
        <v>0</v>
      </c>
      <c r="M38" s="50">
        <v>173</v>
      </c>
      <c r="N38" s="50">
        <v>0</v>
      </c>
      <c r="O38" s="15">
        <f t="shared" si="0"/>
        <v>94</v>
      </c>
      <c r="P38" s="15">
        <f t="shared" si="1"/>
        <v>267</v>
      </c>
    </row>
    <row r="39" spans="2:20" ht="23.1" customHeight="1" x14ac:dyDescent="0.25">
      <c r="B39" s="24" t="s">
        <v>66</v>
      </c>
      <c r="C39" s="50">
        <v>56</v>
      </c>
      <c r="D39" s="50">
        <v>28</v>
      </c>
      <c r="E39" s="50">
        <v>7</v>
      </c>
      <c r="F39" s="50">
        <v>4</v>
      </c>
      <c r="G39" s="50">
        <v>0</v>
      </c>
      <c r="H39" s="50">
        <v>0</v>
      </c>
      <c r="I39" s="50">
        <v>4</v>
      </c>
      <c r="J39" s="50">
        <v>6</v>
      </c>
      <c r="K39" s="50">
        <v>0</v>
      </c>
      <c r="L39" s="50">
        <v>0</v>
      </c>
      <c r="M39" s="50">
        <v>184</v>
      </c>
      <c r="N39" s="50">
        <v>0</v>
      </c>
      <c r="O39" s="15">
        <f t="shared" si="0"/>
        <v>105</v>
      </c>
      <c r="P39" s="15">
        <f t="shared" si="1"/>
        <v>289</v>
      </c>
    </row>
    <row r="40" spans="2:20" ht="23.1" customHeight="1" x14ac:dyDescent="0.25">
      <c r="B40" s="24" t="s">
        <v>67</v>
      </c>
      <c r="C40" s="50">
        <v>41</v>
      </c>
      <c r="D40" s="50">
        <v>36</v>
      </c>
      <c r="E40" s="50">
        <v>4</v>
      </c>
      <c r="F40" s="50">
        <v>2</v>
      </c>
      <c r="G40" s="50">
        <v>1</v>
      </c>
      <c r="H40" s="50">
        <v>0</v>
      </c>
      <c r="I40" s="50">
        <v>9</v>
      </c>
      <c r="J40" s="50">
        <v>3</v>
      </c>
      <c r="K40" s="50">
        <v>0</v>
      </c>
      <c r="L40" s="50">
        <v>1</v>
      </c>
      <c r="M40" s="50">
        <v>189</v>
      </c>
      <c r="N40" s="50">
        <v>0</v>
      </c>
      <c r="O40" s="15">
        <f t="shared" si="0"/>
        <v>97</v>
      </c>
      <c r="P40" s="15">
        <f t="shared" si="1"/>
        <v>286</v>
      </c>
    </row>
    <row r="41" spans="2:20" ht="23.1" customHeight="1" x14ac:dyDescent="0.25">
      <c r="B41" s="23" t="s">
        <v>68</v>
      </c>
      <c r="C41" s="50">
        <v>56</v>
      </c>
      <c r="D41" s="50">
        <v>29</v>
      </c>
      <c r="E41" s="50">
        <v>5</v>
      </c>
      <c r="F41" s="50">
        <v>9</v>
      </c>
      <c r="G41" s="50">
        <v>1</v>
      </c>
      <c r="H41" s="50">
        <v>0</v>
      </c>
      <c r="I41" s="50">
        <v>6</v>
      </c>
      <c r="J41" s="50">
        <v>1</v>
      </c>
      <c r="K41" s="50">
        <v>0</v>
      </c>
      <c r="L41" s="50">
        <v>0</v>
      </c>
      <c r="M41" s="50">
        <v>180</v>
      </c>
      <c r="N41" s="50">
        <v>0</v>
      </c>
      <c r="O41" s="15">
        <f t="shared" si="0"/>
        <v>107</v>
      </c>
      <c r="P41" s="15">
        <f t="shared" si="1"/>
        <v>287</v>
      </c>
    </row>
    <row r="42" spans="2:20" ht="23.1" customHeight="1" x14ac:dyDescent="0.25">
      <c r="B42" s="24" t="s">
        <v>69</v>
      </c>
      <c r="C42" s="50">
        <v>75</v>
      </c>
      <c r="D42" s="50">
        <v>43</v>
      </c>
      <c r="E42" s="50">
        <v>6</v>
      </c>
      <c r="F42" s="50">
        <v>0</v>
      </c>
      <c r="G42" s="50">
        <v>0</v>
      </c>
      <c r="H42" s="50">
        <v>0</v>
      </c>
      <c r="I42" s="50">
        <v>8</v>
      </c>
      <c r="J42" s="50">
        <v>1</v>
      </c>
      <c r="K42" s="50">
        <v>0</v>
      </c>
      <c r="L42" s="50">
        <v>0</v>
      </c>
      <c r="M42" s="50">
        <v>200</v>
      </c>
      <c r="N42" s="50">
        <v>0</v>
      </c>
      <c r="O42" s="15">
        <f t="shared" si="0"/>
        <v>133</v>
      </c>
      <c r="P42" s="15">
        <f t="shared" si="1"/>
        <v>333</v>
      </c>
    </row>
    <row r="43" spans="2:20" ht="23.1" customHeight="1" x14ac:dyDescent="0.25">
      <c r="B43" s="23" t="s">
        <v>70</v>
      </c>
      <c r="C43" s="50">
        <v>52</v>
      </c>
      <c r="D43" s="50">
        <v>33</v>
      </c>
      <c r="E43" s="50">
        <v>7</v>
      </c>
      <c r="F43" s="50">
        <v>1</v>
      </c>
      <c r="G43" s="50">
        <v>0</v>
      </c>
      <c r="H43" s="50">
        <v>0</v>
      </c>
      <c r="I43" s="50">
        <v>10</v>
      </c>
      <c r="J43" s="50">
        <v>4</v>
      </c>
      <c r="K43" s="50">
        <v>0</v>
      </c>
      <c r="L43" s="50">
        <v>0</v>
      </c>
      <c r="M43" s="50">
        <v>212</v>
      </c>
      <c r="N43" s="50">
        <v>0</v>
      </c>
      <c r="O43" s="15">
        <f t="shared" si="0"/>
        <v>107</v>
      </c>
      <c r="P43" s="15">
        <f t="shared" si="1"/>
        <v>319</v>
      </c>
    </row>
    <row r="44" spans="2:20" ht="23.1" customHeight="1" x14ac:dyDescent="0.25">
      <c r="B44" s="25" t="s">
        <v>71</v>
      </c>
      <c r="C44" s="50">
        <v>63</v>
      </c>
      <c r="D44" s="50">
        <v>42</v>
      </c>
      <c r="E44" s="50">
        <v>9</v>
      </c>
      <c r="F44" s="50">
        <v>2</v>
      </c>
      <c r="G44" s="50">
        <v>0</v>
      </c>
      <c r="H44" s="50">
        <v>0</v>
      </c>
      <c r="I44" s="50">
        <v>4</v>
      </c>
      <c r="J44" s="50">
        <v>3</v>
      </c>
      <c r="K44" s="50">
        <v>0</v>
      </c>
      <c r="L44" s="50">
        <v>0</v>
      </c>
      <c r="M44" s="50">
        <v>158</v>
      </c>
      <c r="N44" s="50">
        <v>0</v>
      </c>
      <c r="O44" s="15">
        <f t="shared" si="0"/>
        <v>123</v>
      </c>
      <c r="P44" s="15">
        <f t="shared" si="1"/>
        <v>281</v>
      </c>
    </row>
    <row r="45" spans="2:20" ht="23.1" customHeight="1" x14ac:dyDescent="0.25">
      <c r="B45" s="23" t="s">
        <v>72</v>
      </c>
      <c r="C45" s="50">
        <v>71</v>
      </c>
      <c r="D45" s="50">
        <v>26</v>
      </c>
      <c r="E45" s="50">
        <v>9</v>
      </c>
      <c r="F45" s="50">
        <v>4</v>
      </c>
      <c r="G45" s="50">
        <v>0</v>
      </c>
      <c r="H45" s="50">
        <v>0</v>
      </c>
      <c r="I45" s="50">
        <v>11</v>
      </c>
      <c r="J45" s="50">
        <v>2</v>
      </c>
      <c r="K45" s="50">
        <v>3</v>
      </c>
      <c r="L45" s="50">
        <v>1</v>
      </c>
      <c r="M45" s="50">
        <v>180</v>
      </c>
      <c r="N45" s="50">
        <v>0</v>
      </c>
      <c r="O45" s="15">
        <f t="shared" si="0"/>
        <v>127</v>
      </c>
      <c r="P45" s="15">
        <f t="shared" si="1"/>
        <v>307</v>
      </c>
    </row>
    <row r="46" spans="2:20" ht="23.1" customHeight="1" x14ac:dyDescent="0.25">
      <c r="B46" s="24" t="s">
        <v>73</v>
      </c>
      <c r="C46" s="50">
        <v>102</v>
      </c>
      <c r="D46" s="50">
        <v>33</v>
      </c>
      <c r="E46" s="50">
        <v>7</v>
      </c>
      <c r="F46" s="50">
        <v>3</v>
      </c>
      <c r="G46" s="50">
        <v>0</v>
      </c>
      <c r="H46" s="50">
        <v>0</v>
      </c>
      <c r="I46" s="50">
        <v>11</v>
      </c>
      <c r="J46" s="50">
        <v>3</v>
      </c>
      <c r="K46" s="50">
        <v>0</v>
      </c>
      <c r="L46" s="50">
        <v>0</v>
      </c>
      <c r="M46" s="50">
        <v>172</v>
      </c>
      <c r="N46" s="50">
        <v>0</v>
      </c>
      <c r="O46" s="15">
        <f t="shared" si="0"/>
        <v>159</v>
      </c>
      <c r="P46" s="15">
        <f t="shared" si="1"/>
        <v>331</v>
      </c>
      <c r="R46" s="8"/>
      <c r="T46"/>
    </row>
    <row r="47" spans="2:20" ht="23.1" customHeight="1" x14ac:dyDescent="0.25">
      <c r="B47" s="24" t="s">
        <v>74</v>
      </c>
      <c r="C47" s="50">
        <v>84</v>
      </c>
      <c r="D47" s="50">
        <v>42</v>
      </c>
      <c r="E47" s="50">
        <v>10</v>
      </c>
      <c r="F47" s="50">
        <v>4</v>
      </c>
      <c r="G47" s="50">
        <v>0</v>
      </c>
      <c r="H47" s="50">
        <v>0</v>
      </c>
      <c r="I47" s="50">
        <v>7</v>
      </c>
      <c r="J47" s="50">
        <v>3</v>
      </c>
      <c r="K47" s="50">
        <v>0</v>
      </c>
      <c r="L47" s="50">
        <v>0</v>
      </c>
      <c r="M47" s="50">
        <v>174</v>
      </c>
      <c r="N47" s="50">
        <v>0</v>
      </c>
      <c r="O47" s="15">
        <f t="shared" si="0"/>
        <v>150</v>
      </c>
      <c r="P47" s="15">
        <f t="shared" si="1"/>
        <v>324</v>
      </c>
      <c r="R47" s="8"/>
      <c r="T47"/>
    </row>
    <row r="48" spans="2:20" ht="23.1" customHeight="1" x14ac:dyDescent="0.25">
      <c r="B48" s="24" t="s">
        <v>75</v>
      </c>
      <c r="C48" s="50">
        <v>98</v>
      </c>
      <c r="D48" s="50">
        <v>35</v>
      </c>
      <c r="E48" s="50">
        <v>9</v>
      </c>
      <c r="F48" s="50">
        <v>5</v>
      </c>
      <c r="G48" s="50">
        <v>0</v>
      </c>
      <c r="H48" s="50">
        <v>1</v>
      </c>
      <c r="I48" s="50">
        <v>0</v>
      </c>
      <c r="J48" s="50">
        <v>14</v>
      </c>
      <c r="K48" s="50">
        <v>2</v>
      </c>
      <c r="L48" s="50">
        <v>0</v>
      </c>
      <c r="M48" s="50">
        <v>183</v>
      </c>
      <c r="N48" s="50">
        <v>0</v>
      </c>
      <c r="O48" s="15">
        <f t="shared" si="0"/>
        <v>164</v>
      </c>
      <c r="P48" s="15">
        <f t="shared" si="1"/>
        <v>347</v>
      </c>
      <c r="R48" s="8"/>
      <c r="T48"/>
    </row>
    <row r="49" spans="2:20" ht="23.1" customHeight="1" x14ac:dyDescent="0.25">
      <c r="B49" s="23" t="s">
        <v>76</v>
      </c>
      <c r="C49" s="50">
        <v>61</v>
      </c>
      <c r="D49" s="50">
        <v>47</v>
      </c>
      <c r="E49" s="50">
        <v>10</v>
      </c>
      <c r="F49" s="50">
        <v>0</v>
      </c>
      <c r="G49" s="50">
        <v>0</v>
      </c>
      <c r="H49" s="50">
        <v>0</v>
      </c>
      <c r="I49" s="50">
        <v>5</v>
      </c>
      <c r="J49" s="50">
        <v>0</v>
      </c>
      <c r="K49" s="50">
        <v>0</v>
      </c>
      <c r="L49" s="50">
        <v>0</v>
      </c>
      <c r="M49" s="50">
        <v>234</v>
      </c>
      <c r="N49" s="50">
        <v>0</v>
      </c>
      <c r="O49" s="15">
        <f t="shared" si="0"/>
        <v>123</v>
      </c>
      <c r="P49" s="15">
        <f t="shared" si="1"/>
        <v>357</v>
      </c>
      <c r="R49" s="8"/>
      <c r="T49"/>
    </row>
    <row r="50" spans="2:20" ht="23.1" customHeight="1" x14ac:dyDescent="0.25">
      <c r="B50" s="24" t="s">
        <v>77</v>
      </c>
      <c r="C50" s="50">
        <v>78</v>
      </c>
      <c r="D50" s="50">
        <v>43</v>
      </c>
      <c r="E50" s="50">
        <v>10</v>
      </c>
      <c r="F50" s="50">
        <v>4</v>
      </c>
      <c r="G50" s="50">
        <v>0</v>
      </c>
      <c r="H50" s="50">
        <v>0</v>
      </c>
      <c r="I50" s="50">
        <v>6</v>
      </c>
      <c r="J50" s="50">
        <v>6</v>
      </c>
      <c r="K50" s="50">
        <v>0</v>
      </c>
      <c r="L50" s="50">
        <v>0</v>
      </c>
      <c r="M50" s="50">
        <v>194</v>
      </c>
      <c r="N50" s="50">
        <v>0</v>
      </c>
      <c r="O50" s="15">
        <f t="shared" si="0"/>
        <v>147</v>
      </c>
      <c r="P50" s="15">
        <f t="shared" si="1"/>
        <v>341</v>
      </c>
      <c r="R50" s="8"/>
      <c r="T50"/>
    </row>
    <row r="51" spans="2:20" ht="23.1" customHeight="1" x14ac:dyDescent="0.25">
      <c r="B51" s="24" t="s">
        <v>78</v>
      </c>
      <c r="C51" s="50">
        <v>80</v>
      </c>
      <c r="D51" s="50">
        <v>35</v>
      </c>
      <c r="E51" s="50">
        <v>9</v>
      </c>
      <c r="F51" s="50">
        <v>1</v>
      </c>
      <c r="G51" s="50">
        <v>0</v>
      </c>
      <c r="H51" s="50">
        <v>0</v>
      </c>
      <c r="I51" s="50">
        <v>5</v>
      </c>
      <c r="J51" s="50">
        <v>3</v>
      </c>
      <c r="K51" s="50">
        <v>0</v>
      </c>
      <c r="L51" s="50">
        <v>0</v>
      </c>
      <c r="M51" s="50">
        <v>252</v>
      </c>
      <c r="N51" s="50">
        <v>0</v>
      </c>
      <c r="O51" s="15">
        <f t="shared" si="0"/>
        <v>133</v>
      </c>
      <c r="P51" s="15">
        <f t="shared" si="1"/>
        <v>385</v>
      </c>
      <c r="R51" s="8"/>
      <c r="T51"/>
    </row>
    <row r="52" spans="2:20" ht="23.1" customHeight="1" x14ac:dyDescent="0.25">
      <c r="B52" s="24" t="s">
        <v>79</v>
      </c>
      <c r="C52" s="50">
        <v>73</v>
      </c>
      <c r="D52" s="50">
        <v>43</v>
      </c>
      <c r="E52" s="50">
        <v>7</v>
      </c>
      <c r="F52" s="50">
        <v>4</v>
      </c>
      <c r="G52" s="50">
        <v>0</v>
      </c>
      <c r="H52" s="50">
        <v>0</v>
      </c>
      <c r="I52" s="50">
        <v>5</v>
      </c>
      <c r="J52" s="50">
        <v>4</v>
      </c>
      <c r="K52" s="50">
        <v>0</v>
      </c>
      <c r="L52" s="50">
        <v>0</v>
      </c>
      <c r="M52" s="50">
        <v>121</v>
      </c>
      <c r="N52" s="50">
        <v>0</v>
      </c>
      <c r="O52" s="15">
        <f t="shared" si="0"/>
        <v>136</v>
      </c>
      <c r="P52" s="15">
        <f t="shared" si="1"/>
        <v>257</v>
      </c>
      <c r="R52" s="8"/>
      <c r="T52"/>
    </row>
    <row r="53" spans="2:20" ht="23.1" customHeight="1" x14ac:dyDescent="0.25">
      <c r="B53" s="23" t="s">
        <v>80</v>
      </c>
      <c r="C53" s="50">
        <v>84</v>
      </c>
      <c r="D53" s="50">
        <v>25</v>
      </c>
      <c r="E53" s="50">
        <v>12</v>
      </c>
      <c r="F53" s="50">
        <v>1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220</v>
      </c>
      <c r="N53" s="50">
        <v>0</v>
      </c>
      <c r="O53" s="15">
        <f t="shared" si="0"/>
        <v>126</v>
      </c>
      <c r="P53" s="15">
        <f t="shared" si="1"/>
        <v>346</v>
      </c>
      <c r="R53" s="8"/>
      <c r="T53"/>
    </row>
    <row r="54" spans="2:20" ht="23.1" customHeight="1" x14ac:dyDescent="0.25">
      <c r="B54" s="23" t="s">
        <v>81</v>
      </c>
      <c r="C54" s="50">
        <v>92</v>
      </c>
      <c r="D54" s="50">
        <v>40</v>
      </c>
      <c r="E54" s="50">
        <v>10</v>
      </c>
      <c r="F54" s="50">
        <v>3</v>
      </c>
      <c r="G54" s="50">
        <v>0</v>
      </c>
      <c r="H54" s="50">
        <v>0</v>
      </c>
      <c r="I54" s="50">
        <v>4</v>
      </c>
      <c r="J54" s="50">
        <v>2</v>
      </c>
      <c r="K54" s="50">
        <v>0</v>
      </c>
      <c r="L54" s="50">
        <v>0</v>
      </c>
      <c r="M54" s="50">
        <v>228</v>
      </c>
      <c r="N54" s="50">
        <v>0</v>
      </c>
      <c r="O54" s="15">
        <f t="shared" si="0"/>
        <v>151</v>
      </c>
      <c r="P54" s="15">
        <f t="shared" si="1"/>
        <v>379</v>
      </c>
      <c r="R54" s="8"/>
      <c r="T54"/>
    </row>
    <row r="55" spans="2:20" ht="23.1" customHeight="1" x14ac:dyDescent="0.25">
      <c r="B55" s="23" t="s">
        <v>82</v>
      </c>
      <c r="C55" s="50">
        <v>70</v>
      </c>
      <c r="D55" s="50">
        <v>26</v>
      </c>
      <c r="E55" s="50">
        <v>5</v>
      </c>
      <c r="F55" s="50">
        <v>5</v>
      </c>
      <c r="G55" s="50">
        <v>0</v>
      </c>
      <c r="H55" s="50">
        <v>0</v>
      </c>
      <c r="I55" s="50">
        <v>8</v>
      </c>
      <c r="J55" s="50">
        <v>1</v>
      </c>
      <c r="K55" s="50">
        <v>0</v>
      </c>
      <c r="L55" s="50">
        <v>1</v>
      </c>
      <c r="M55" s="50">
        <v>170</v>
      </c>
      <c r="N55" s="50">
        <v>0</v>
      </c>
      <c r="O55" s="15">
        <f t="shared" si="0"/>
        <v>116</v>
      </c>
      <c r="P55" s="15">
        <f t="shared" si="1"/>
        <v>286</v>
      </c>
      <c r="R55" s="8"/>
      <c r="T55"/>
    </row>
    <row r="56" spans="2:20" ht="23.1" customHeight="1" x14ac:dyDescent="0.25">
      <c r="B56" s="23" t="s">
        <v>83</v>
      </c>
      <c r="C56" s="50">
        <v>59</v>
      </c>
      <c r="D56" s="50">
        <v>29</v>
      </c>
      <c r="E56" s="50">
        <v>7</v>
      </c>
      <c r="F56" s="50">
        <v>4</v>
      </c>
      <c r="G56" s="50">
        <v>1</v>
      </c>
      <c r="H56" s="50">
        <v>1</v>
      </c>
      <c r="I56" s="50">
        <v>6</v>
      </c>
      <c r="J56" s="50">
        <v>2</v>
      </c>
      <c r="K56" s="50">
        <v>2</v>
      </c>
      <c r="L56" s="50">
        <v>0</v>
      </c>
      <c r="M56" s="50">
        <v>211</v>
      </c>
      <c r="N56" s="50">
        <v>0</v>
      </c>
      <c r="O56" s="15">
        <f t="shared" si="0"/>
        <v>111</v>
      </c>
      <c r="P56" s="15">
        <f t="shared" si="1"/>
        <v>322</v>
      </c>
      <c r="R56" s="8"/>
      <c r="T56"/>
    </row>
    <row r="57" spans="2:20" ht="23.1" customHeight="1" x14ac:dyDescent="0.25">
      <c r="B57" s="23" t="s">
        <v>84</v>
      </c>
      <c r="C57" s="50">
        <v>53</v>
      </c>
      <c r="D57" s="50">
        <v>28</v>
      </c>
      <c r="E57" s="50">
        <v>7</v>
      </c>
      <c r="F57" s="50">
        <v>3</v>
      </c>
      <c r="G57" s="50">
        <v>1</v>
      </c>
      <c r="H57" s="50">
        <v>0</v>
      </c>
      <c r="I57" s="50">
        <v>2</v>
      </c>
      <c r="J57" s="50">
        <v>3</v>
      </c>
      <c r="K57" s="50">
        <v>0</v>
      </c>
      <c r="L57" s="50">
        <v>0</v>
      </c>
      <c r="M57" s="50">
        <v>207</v>
      </c>
      <c r="N57" s="50">
        <v>0</v>
      </c>
      <c r="O57" s="15">
        <f t="shared" si="0"/>
        <v>97</v>
      </c>
      <c r="P57" s="15">
        <f t="shared" si="1"/>
        <v>304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2763</v>
      </c>
      <c r="D58" s="16">
        <f t="shared" si="21"/>
        <v>1074</v>
      </c>
      <c r="E58" s="16">
        <f t="shared" si="21"/>
        <v>339</v>
      </c>
      <c r="F58" s="16">
        <f t="shared" si="21"/>
        <v>90</v>
      </c>
      <c r="G58" s="16">
        <f t="shared" si="21"/>
        <v>8</v>
      </c>
      <c r="H58" s="16">
        <f t="shared" si="21"/>
        <v>11</v>
      </c>
      <c r="I58" s="16">
        <f t="shared" si="21"/>
        <v>200</v>
      </c>
      <c r="J58" s="16">
        <f t="shared" si="21"/>
        <v>88</v>
      </c>
      <c r="K58" s="16">
        <f t="shared" si="21"/>
        <v>17</v>
      </c>
      <c r="L58" s="16">
        <f t="shared" si="21"/>
        <v>8</v>
      </c>
      <c r="M58" s="16">
        <f t="shared" si="21"/>
        <v>6657</v>
      </c>
      <c r="N58" s="16">
        <f t="shared" si="21"/>
        <v>0</v>
      </c>
      <c r="O58" s="16">
        <f t="shared" si="21"/>
        <v>4598</v>
      </c>
      <c r="P58" s="16">
        <f t="shared" si="21"/>
        <v>11255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0.24549089293647267</v>
      </c>
      <c r="D59" s="43">
        <f t="shared" si="22"/>
        <v>9.5424255886272763E-2</v>
      </c>
      <c r="E59" s="43">
        <f t="shared" si="22"/>
        <v>3.011994669035984E-2</v>
      </c>
      <c r="F59" s="43">
        <f t="shared" si="22"/>
        <v>7.9964460239893374E-3</v>
      </c>
      <c r="G59" s="43">
        <f t="shared" si="22"/>
        <v>7.1079520213238566E-4</v>
      </c>
      <c r="H59" s="43">
        <f t="shared" si="22"/>
        <v>9.7734340293203028E-4</v>
      </c>
      <c r="I59" s="43">
        <f t="shared" si="22"/>
        <v>1.776988005330964E-2</v>
      </c>
      <c r="J59" s="43">
        <f t="shared" si="22"/>
        <v>7.8187472234562422E-3</v>
      </c>
      <c r="K59" s="43">
        <f t="shared" si="22"/>
        <v>1.5104398045313193E-3</v>
      </c>
      <c r="L59" s="43">
        <f t="shared" si="22"/>
        <v>7.1079520213238566E-4</v>
      </c>
      <c r="M59" s="43">
        <f t="shared" si="22"/>
        <v>0.59147045757441141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0.60091344062635932</v>
      </c>
      <c r="D60" s="44">
        <f t="shared" ref="D60:N60" si="23">D58/$O$58</f>
        <v>0.23357981731187472</v>
      </c>
      <c r="E60" s="44">
        <f t="shared" si="23"/>
        <v>7.372770769899957E-2</v>
      </c>
      <c r="F60" s="44">
        <f t="shared" si="23"/>
        <v>1.9573727707698999E-2</v>
      </c>
      <c r="G60" s="44">
        <f t="shared" si="23"/>
        <v>1.7398869073510222E-3</v>
      </c>
      <c r="H60" s="44">
        <f t="shared" si="23"/>
        <v>2.3923444976076554E-3</v>
      </c>
      <c r="I60" s="44">
        <f t="shared" si="23"/>
        <v>4.3497172683775558E-2</v>
      </c>
      <c r="J60" s="44">
        <f t="shared" si="23"/>
        <v>1.9138755980861243E-2</v>
      </c>
      <c r="K60" s="44">
        <f t="shared" si="23"/>
        <v>3.6972596781209223E-3</v>
      </c>
      <c r="L60" s="44">
        <f t="shared" si="23"/>
        <v>1.7398869073510222E-3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4" zoomScale="60" workbookViewId="0">
      <selection activeCell="I57" sqref="I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171</v>
      </c>
      <c r="E5" s="3"/>
      <c r="F5" s="41" t="s">
        <v>1</v>
      </c>
      <c r="G5" s="54" t="str">
        <f>'29.07 JinjaRoad-Kira Road'!G5:H5</f>
        <v>DHL (47)</v>
      </c>
      <c r="H5" s="55"/>
      <c r="I5" s="14"/>
      <c r="J5" s="2" t="s">
        <v>5</v>
      </c>
      <c r="K5" s="54" t="str">
        <f>'29.07 JinjaRoad-Kira Road'!K5:L5</f>
        <v>Nalubega Resty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JinjaRoad-Kira Road'!D6:E6</f>
        <v>Jinja Road</v>
      </c>
      <c r="E6" s="55"/>
      <c r="F6" s="2" t="s">
        <v>2</v>
      </c>
      <c r="G6" s="54" t="str">
        <f>'29.07 JinjaRoad-Kira Road'!G6:H6</f>
        <v>Kira Road</v>
      </c>
      <c r="H6" s="55"/>
      <c r="J6" s="2" t="s">
        <v>21</v>
      </c>
      <c r="K6" s="54" t="str">
        <f>'29.07 JinjaRoad-Kira Road'!K6:L6</f>
        <v>Felix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54</v>
      </c>
      <c r="D10" s="50">
        <v>17</v>
      </c>
      <c r="E10" s="50">
        <v>3</v>
      </c>
      <c r="F10" s="50">
        <v>1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85</v>
      </c>
      <c r="N10" s="50">
        <v>0</v>
      </c>
      <c r="O10" s="15">
        <f t="shared" ref="O10:O57" si="0">SUM(C10:L10,N10)</f>
        <v>76</v>
      </c>
      <c r="P10" s="15">
        <f t="shared" ref="P10:P57" si="1">SUM(C10:N10)</f>
        <v>161</v>
      </c>
      <c r="R10" s="1" t="s">
        <v>6</v>
      </c>
      <c r="S10" s="17">
        <f t="shared" ref="S10:AF10" si="2">SUM(C10:C13)</f>
        <v>268</v>
      </c>
      <c r="T10" s="17">
        <f t="shared" si="2"/>
        <v>102</v>
      </c>
      <c r="U10" s="17">
        <f t="shared" si="2"/>
        <v>48</v>
      </c>
      <c r="V10" s="17">
        <f t="shared" si="2"/>
        <v>4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649</v>
      </c>
      <c r="AD10" s="17">
        <f t="shared" si="2"/>
        <v>0</v>
      </c>
      <c r="AE10" s="31">
        <f t="shared" si="2"/>
        <v>430</v>
      </c>
      <c r="AF10" s="31">
        <f t="shared" si="2"/>
        <v>1079</v>
      </c>
    </row>
    <row r="11" spans="2:32" s="6" customFormat="1" ht="23.1" customHeight="1" x14ac:dyDescent="0.25">
      <c r="B11" s="23" t="s">
        <v>38</v>
      </c>
      <c r="C11" s="50">
        <v>62</v>
      </c>
      <c r="D11" s="50">
        <v>15</v>
      </c>
      <c r="E11" s="50">
        <v>25</v>
      </c>
      <c r="F11" s="50">
        <v>2</v>
      </c>
      <c r="G11" s="50">
        <v>0</v>
      </c>
      <c r="H11" s="50">
        <v>0</v>
      </c>
      <c r="I11" s="50">
        <v>0</v>
      </c>
      <c r="J11" s="50">
        <v>1</v>
      </c>
      <c r="K11" s="50">
        <v>0</v>
      </c>
      <c r="L11" s="50">
        <v>0</v>
      </c>
      <c r="M11" s="50">
        <v>147</v>
      </c>
      <c r="N11" s="50">
        <v>0</v>
      </c>
      <c r="O11" s="15">
        <f t="shared" si="0"/>
        <v>105</v>
      </c>
      <c r="P11" s="15">
        <f t="shared" si="1"/>
        <v>252</v>
      </c>
      <c r="R11" s="1" t="s">
        <v>7</v>
      </c>
      <c r="S11" s="17">
        <f t="shared" ref="S11:AF11" si="3">SUM(C14:C17)</f>
        <v>256</v>
      </c>
      <c r="T11" s="17">
        <f t="shared" si="3"/>
        <v>126</v>
      </c>
      <c r="U11" s="17">
        <f t="shared" si="3"/>
        <v>27</v>
      </c>
      <c r="V11" s="17">
        <f t="shared" si="3"/>
        <v>11</v>
      </c>
      <c r="W11" s="17">
        <f t="shared" si="3"/>
        <v>0</v>
      </c>
      <c r="X11" s="17">
        <f t="shared" si="3"/>
        <v>0</v>
      </c>
      <c r="Y11" s="17">
        <f t="shared" si="3"/>
        <v>19</v>
      </c>
      <c r="Z11" s="17">
        <f t="shared" si="3"/>
        <v>5</v>
      </c>
      <c r="AA11" s="17">
        <f t="shared" si="3"/>
        <v>0</v>
      </c>
      <c r="AB11" s="17">
        <f t="shared" si="3"/>
        <v>0</v>
      </c>
      <c r="AC11" s="17">
        <f t="shared" si="3"/>
        <v>875</v>
      </c>
      <c r="AD11" s="17">
        <f t="shared" si="3"/>
        <v>0</v>
      </c>
      <c r="AE11" s="31">
        <f t="shared" si="3"/>
        <v>444</v>
      </c>
      <c r="AF11" s="31">
        <f t="shared" si="3"/>
        <v>1319</v>
      </c>
    </row>
    <row r="12" spans="2:32" ht="23.1" customHeight="1" x14ac:dyDescent="0.25">
      <c r="B12" s="23" t="s">
        <v>39</v>
      </c>
      <c r="C12" s="50">
        <v>65</v>
      </c>
      <c r="D12" s="50">
        <v>30</v>
      </c>
      <c r="E12" s="50">
        <v>12</v>
      </c>
      <c r="F12" s="50">
        <v>0</v>
      </c>
      <c r="G12" s="50">
        <v>1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187</v>
      </c>
      <c r="N12" s="50">
        <v>0</v>
      </c>
      <c r="O12" s="15">
        <f t="shared" si="0"/>
        <v>109</v>
      </c>
      <c r="P12" s="15">
        <f t="shared" si="1"/>
        <v>296</v>
      </c>
      <c r="R12" s="1" t="s">
        <v>8</v>
      </c>
      <c r="S12" s="17">
        <f t="shared" ref="S12:AF12" si="4">SUM(C18:C21)</f>
        <v>206</v>
      </c>
      <c r="T12" s="17">
        <f t="shared" si="4"/>
        <v>131</v>
      </c>
      <c r="U12" s="17">
        <f t="shared" si="4"/>
        <v>37</v>
      </c>
      <c r="V12" s="17">
        <f t="shared" si="4"/>
        <v>7</v>
      </c>
      <c r="W12" s="17">
        <f t="shared" si="4"/>
        <v>2</v>
      </c>
      <c r="X12" s="17">
        <f t="shared" si="4"/>
        <v>0</v>
      </c>
      <c r="Y12" s="17">
        <f t="shared" si="4"/>
        <v>21</v>
      </c>
      <c r="Z12" s="17">
        <f t="shared" si="4"/>
        <v>5</v>
      </c>
      <c r="AA12" s="17">
        <f t="shared" si="4"/>
        <v>4</v>
      </c>
      <c r="AB12" s="17">
        <f t="shared" si="4"/>
        <v>1</v>
      </c>
      <c r="AC12" s="17">
        <f t="shared" si="4"/>
        <v>563</v>
      </c>
      <c r="AD12" s="17">
        <f t="shared" si="4"/>
        <v>0</v>
      </c>
      <c r="AE12" s="31">
        <f t="shared" si="4"/>
        <v>414</v>
      </c>
      <c r="AF12" s="31">
        <f t="shared" si="4"/>
        <v>977</v>
      </c>
    </row>
    <row r="13" spans="2:32" ht="23.1" customHeight="1" x14ac:dyDescent="0.25">
      <c r="B13" s="23" t="s">
        <v>40</v>
      </c>
      <c r="C13" s="50">
        <v>87</v>
      </c>
      <c r="D13" s="50">
        <v>40</v>
      </c>
      <c r="E13" s="50">
        <v>8</v>
      </c>
      <c r="F13" s="50">
        <v>1</v>
      </c>
      <c r="G13" s="50">
        <v>0</v>
      </c>
      <c r="H13" s="50">
        <v>0</v>
      </c>
      <c r="I13" s="50">
        <v>4</v>
      </c>
      <c r="J13" s="50">
        <v>0</v>
      </c>
      <c r="K13" s="50">
        <v>0</v>
      </c>
      <c r="L13" s="50">
        <v>0</v>
      </c>
      <c r="M13" s="50">
        <v>230</v>
      </c>
      <c r="N13" s="50">
        <v>0</v>
      </c>
      <c r="O13" s="15">
        <f t="shared" si="0"/>
        <v>140</v>
      </c>
      <c r="P13" s="15">
        <f t="shared" si="1"/>
        <v>370</v>
      </c>
      <c r="R13" s="1" t="s">
        <v>9</v>
      </c>
      <c r="S13" s="17">
        <f t="shared" ref="S13:AF13" si="5">SUM(C22:C25)</f>
        <v>271</v>
      </c>
      <c r="T13" s="17">
        <f t="shared" si="5"/>
        <v>141</v>
      </c>
      <c r="U13" s="17">
        <f t="shared" si="5"/>
        <v>28</v>
      </c>
      <c r="V13" s="17">
        <f t="shared" si="5"/>
        <v>13</v>
      </c>
      <c r="W13" s="17">
        <f t="shared" si="5"/>
        <v>0</v>
      </c>
      <c r="X13" s="17">
        <f t="shared" si="5"/>
        <v>0</v>
      </c>
      <c r="Y13" s="17">
        <f t="shared" si="5"/>
        <v>24</v>
      </c>
      <c r="Z13" s="17">
        <f t="shared" si="5"/>
        <v>3</v>
      </c>
      <c r="AA13" s="17">
        <f t="shared" si="5"/>
        <v>4</v>
      </c>
      <c r="AB13" s="17">
        <f t="shared" si="5"/>
        <v>0</v>
      </c>
      <c r="AC13" s="17">
        <f t="shared" si="5"/>
        <v>504</v>
      </c>
      <c r="AD13" s="17">
        <f t="shared" si="5"/>
        <v>0</v>
      </c>
      <c r="AE13" s="31">
        <f t="shared" si="5"/>
        <v>484</v>
      </c>
      <c r="AF13" s="31">
        <f t="shared" si="5"/>
        <v>988</v>
      </c>
    </row>
    <row r="14" spans="2:32" ht="23.1" customHeight="1" x14ac:dyDescent="0.25">
      <c r="B14" s="23" t="s">
        <v>41</v>
      </c>
      <c r="C14" s="50">
        <v>56</v>
      </c>
      <c r="D14" s="50">
        <v>42</v>
      </c>
      <c r="E14" s="50">
        <v>7</v>
      </c>
      <c r="F14" s="50">
        <v>3</v>
      </c>
      <c r="G14" s="50">
        <v>0</v>
      </c>
      <c r="H14" s="50">
        <v>0</v>
      </c>
      <c r="I14" s="50">
        <v>4</v>
      </c>
      <c r="J14" s="50">
        <v>2</v>
      </c>
      <c r="K14" s="50">
        <v>0</v>
      </c>
      <c r="L14" s="50">
        <v>0</v>
      </c>
      <c r="M14" s="50">
        <v>221</v>
      </c>
      <c r="N14" s="50">
        <v>0</v>
      </c>
      <c r="O14" s="15">
        <f t="shared" si="0"/>
        <v>114</v>
      </c>
      <c r="P14" s="15">
        <f t="shared" si="1"/>
        <v>335</v>
      </c>
      <c r="R14" s="1" t="s">
        <v>10</v>
      </c>
      <c r="S14" s="17">
        <f t="shared" ref="S14:AF14" si="6">SUM(C26:C29)</f>
        <v>284</v>
      </c>
      <c r="T14" s="17">
        <f t="shared" si="6"/>
        <v>161</v>
      </c>
      <c r="U14" s="17">
        <f t="shared" si="6"/>
        <v>47</v>
      </c>
      <c r="V14" s="17">
        <f t="shared" si="6"/>
        <v>8</v>
      </c>
      <c r="W14" s="17">
        <f t="shared" si="6"/>
        <v>0</v>
      </c>
      <c r="X14" s="17">
        <f t="shared" si="6"/>
        <v>0</v>
      </c>
      <c r="Y14" s="17">
        <f t="shared" si="6"/>
        <v>13</v>
      </c>
      <c r="Z14" s="17">
        <f t="shared" si="6"/>
        <v>4</v>
      </c>
      <c r="AA14" s="17">
        <f t="shared" si="6"/>
        <v>1</v>
      </c>
      <c r="AB14" s="17">
        <f t="shared" si="6"/>
        <v>0</v>
      </c>
      <c r="AC14" s="17">
        <f t="shared" si="6"/>
        <v>525</v>
      </c>
      <c r="AD14" s="17">
        <f t="shared" si="6"/>
        <v>0</v>
      </c>
      <c r="AE14" s="31">
        <f t="shared" si="6"/>
        <v>518</v>
      </c>
      <c r="AF14" s="31">
        <f t="shared" si="6"/>
        <v>1043</v>
      </c>
    </row>
    <row r="15" spans="2:32" ht="23.1" customHeight="1" x14ac:dyDescent="0.25">
      <c r="B15" s="23" t="s">
        <v>42</v>
      </c>
      <c r="C15" s="50">
        <v>81</v>
      </c>
      <c r="D15" s="50">
        <v>25</v>
      </c>
      <c r="E15" s="50">
        <v>6</v>
      </c>
      <c r="F15" s="50">
        <v>4</v>
      </c>
      <c r="G15" s="50">
        <v>0</v>
      </c>
      <c r="H15" s="50">
        <v>0</v>
      </c>
      <c r="I15" s="50">
        <v>7</v>
      </c>
      <c r="J15" s="50">
        <v>1</v>
      </c>
      <c r="K15" s="50">
        <v>0</v>
      </c>
      <c r="L15" s="50">
        <v>0</v>
      </c>
      <c r="M15" s="50">
        <v>217</v>
      </c>
      <c r="N15" s="50">
        <v>0</v>
      </c>
      <c r="O15" s="15">
        <f t="shared" si="0"/>
        <v>124</v>
      </c>
      <c r="P15" s="15">
        <f t="shared" si="1"/>
        <v>341</v>
      </c>
      <c r="R15" s="1" t="s">
        <v>11</v>
      </c>
      <c r="S15" s="17">
        <f t="shared" ref="S15:AF15" si="7">SUM(C30:C33)</f>
        <v>374</v>
      </c>
      <c r="T15" s="17">
        <f t="shared" si="7"/>
        <v>218</v>
      </c>
      <c r="U15" s="17">
        <f t="shared" si="7"/>
        <v>71</v>
      </c>
      <c r="V15" s="17">
        <f t="shared" si="7"/>
        <v>5</v>
      </c>
      <c r="W15" s="17">
        <f t="shared" si="7"/>
        <v>1</v>
      </c>
      <c r="X15" s="17">
        <f t="shared" si="7"/>
        <v>0</v>
      </c>
      <c r="Y15" s="17">
        <f t="shared" si="7"/>
        <v>15</v>
      </c>
      <c r="Z15" s="17">
        <f t="shared" si="7"/>
        <v>4</v>
      </c>
      <c r="AA15" s="17">
        <f t="shared" si="7"/>
        <v>1</v>
      </c>
      <c r="AB15" s="17">
        <f t="shared" si="7"/>
        <v>1</v>
      </c>
      <c r="AC15" s="17">
        <f t="shared" si="7"/>
        <v>517</v>
      </c>
      <c r="AD15" s="17">
        <f t="shared" si="7"/>
        <v>0</v>
      </c>
      <c r="AE15" s="31">
        <f t="shared" si="7"/>
        <v>690</v>
      </c>
      <c r="AF15" s="31">
        <f t="shared" si="7"/>
        <v>1207</v>
      </c>
    </row>
    <row r="16" spans="2:32" ht="23.1" customHeight="1" x14ac:dyDescent="0.25">
      <c r="B16" s="23" t="s">
        <v>43</v>
      </c>
      <c r="C16" s="50">
        <v>64</v>
      </c>
      <c r="D16" s="50">
        <v>35</v>
      </c>
      <c r="E16" s="50">
        <v>7</v>
      </c>
      <c r="F16" s="50">
        <v>1</v>
      </c>
      <c r="G16" s="50">
        <v>0</v>
      </c>
      <c r="H16" s="50">
        <v>0</v>
      </c>
      <c r="I16" s="50">
        <v>6</v>
      </c>
      <c r="J16" s="50">
        <v>1</v>
      </c>
      <c r="K16" s="50">
        <v>0</v>
      </c>
      <c r="L16" s="50">
        <v>0</v>
      </c>
      <c r="M16" s="50">
        <v>237</v>
      </c>
      <c r="N16" s="50">
        <v>0</v>
      </c>
      <c r="O16" s="15">
        <f t="shared" si="0"/>
        <v>114</v>
      </c>
      <c r="P16" s="15">
        <f t="shared" si="1"/>
        <v>351</v>
      </c>
      <c r="R16" s="1" t="s">
        <v>12</v>
      </c>
      <c r="S16" s="17">
        <f t="shared" ref="S16:AF16" si="8">SUM(C34:C37)</f>
        <v>392</v>
      </c>
      <c r="T16" s="17">
        <f t="shared" si="8"/>
        <v>266</v>
      </c>
      <c r="U16" s="17">
        <f t="shared" si="8"/>
        <v>78</v>
      </c>
      <c r="V16" s="17">
        <f t="shared" si="8"/>
        <v>19</v>
      </c>
      <c r="W16" s="17">
        <f t="shared" si="8"/>
        <v>0</v>
      </c>
      <c r="X16" s="17">
        <f t="shared" si="8"/>
        <v>0</v>
      </c>
      <c r="Y16" s="17">
        <f t="shared" si="8"/>
        <v>12</v>
      </c>
      <c r="Z16" s="17">
        <f t="shared" si="8"/>
        <v>2</v>
      </c>
      <c r="AA16" s="17">
        <f t="shared" si="8"/>
        <v>0</v>
      </c>
      <c r="AB16" s="17">
        <f t="shared" si="8"/>
        <v>1</v>
      </c>
      <c r="AC16" s="17">
        <f t="shared" si="8"/>
        <v>395</v>
      </c>
      <c r="AD16" s="17">
        <f t="shared" si="8"/>
        <v>0</v>
      </c>
      <c r="AE16" s="31">
        <f t="shared" si="8"/>
        <v>770</v>
      </c>
      <c r="AF16" s="31">
        <f t="shared" si="8"/>
        <v>1165</v>
      </c>
    </row>
    <row r="17" spans="2:32" ht="23.1" customHeight="1" x14ac:dyDescent="0.25">
      <c r="B17" s="23" t="s">
        <v>44</v>
      </c>
      <c r="C17" s="50">
        <v>55</v>
      </c>
      <c r="D17" s="50">
        <v>24</v>
      </c>
      <c r="E17" s="50">
        <v>7</v>
      </c>
      <c r="F17" s="50">
        <v>3</v>
      </c>
      <c r="G17" s="50">
        <v>0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200</v>
      </c>
      <c r="N17" s="50">
        <v>0</v>
      </c>
      <c r="O17" s="15">
        <f t="shared" si="0"/>
        <v>92</v>
      </c>
      <c r="P17" s="15">
        <f t="shared" si="1"/>
        <v>292</v>
      </c>
      <c r="R17" s="1" t="s">
        <v>13</v>
      </c>
      <c r="S17" s="17">
        <f t="shared" ref="S17:AF17" si="9">SUM(C38:C41)</f>
        <v>381</v>
      </c>
      <c r="T17" s="17">
        <f t="shared" si="9"/>
        <v>218</v>
      </c>
      <c r="U17" s="17">
        <f t="shared" si="9"/>
        <v>43</v>
      </c>
      <c r="V17" s="17">
        <f t="shared" si="9"/>
        <v>12</v>
      </c>
      <c r="W17" s="17">
        <f t="shared" si="9"/>
        <v>0</v>
      </c>
      <c r="X17" s="17">
        <f t="shared" si="9"/>
        <v>0</v>
      </c>
      <c r="Y17" s="17">
        <f t="shared" si="9"/>
        <v>18</v>
      </c>
      <c r="Z17" s="17">
        <f t="shared" si="9"/>
        <v>6</v>
      </c>
      <c r="AA17" s="17">
        <f t="shared" si="9"/>
        <v>1</v>
      </c>
      <c r="AB17" s="17">
        <f t="shared" si="9"/>
        <v>1</v>
      </c>
      <c r="AC17" s="17">
        <f t="shared" si="9"/>
        <v>572</v>
      </c>
      <c r="AD17" s="17">
        <f t="shared" si="9"/>
        <v>1</v>
      </c>
      <c r="AE17" s="31">
        <f t="shared" si="9"/>
        <v>681</v>
      </c>
      <c r="AF17" s="31">
        <f t="shared" si="9"/>
        <v>1253</v>
      </c>
    </row>
    <row r="18" spans="2:32" ht="23.1" customHeight="1" x14ac:dyDescent="0.25">
      <c r="B18" s="23" t="s">
        <v>45</v>
      </c>
      <c r="C18" s="50">
        <v>48</v>
      </c>
      <c r="D18" s="50">
        <v>35</v>
      </c>
      <c r="E18" s="50">
        <v>12</v>
      </c>
      <c r="F18" s="50">
        <v>2</v>
      </c>
      <c r="G18" s="50">
        <v>0</v>
      </c>
      <c r="H18" s="50">
        <v>0</v>
      </c>
      <c r="I18" s="50">
        <v>4</v>
      </c>
      <c r="J18" s="50">
        <v>1</v>
      </c>
      <c r="K18" s="50">
        <v>0</v>
      </c>
      <c r="L18" s="50">
        <v>0</v>
      </c>
      <c r="M18" s="50">
        <v>188</v>
      </c>
      <c r="N18" s="50">
        <v>0</v>
      </c>
      <c r="O18" s="15">
        <f t="shared" si="0"/>
        <v>102</v>
      </c>
      <c r="P18" s="15">
        <f t="shared" si="1"/>
        <v>290</v>
      </c>
      <c r="R18" s="1" t="s">
        <v>14</v>
      </c>
      <c r="S18" s="17">
        <f t="shared" ref="S18:AF18" si="10">SUM(C42:C45)</f>
        <v>369</v>
      </c>
      <c r="T18" s="17">
        <f t="shared" si="10"/>
        <v>263</v>
      </c>
      <c r="U18" s="17">
        <f t="shared" si="10"/>
        <v>50</v>
      </c>
      <c r="V18" s="17">
        <f t="shared" si="10"/>
        <v>9</v>
      </c>
      <c r="W18" s="17">
        <f t="shared" si="10"/>
        <v>0</v>
      </c>
      <c r="X18" s="17">
        <f t="shared" si="10"/>
        <v>0</v>
      </c>
      <c r="Y18" s="17">
        <f t="shared" si="10"/>
        <v>12</v>
      </c>
      <c r="Z18" s="17">
        <f t="shared" si="10"/>
        <v>5</v>
      </c>
      <c r="AA18" s="17">
        <f t="shared" si="10"/>
        <v>3</v>
      </c>
      <c r="AB18" s="17">
        <f t="shared" si="10"/>
        <v>1</v>
      </c>
      <c r="AC18" s="17">
        <f t="shared" si="10"/>
        <v>554</v>
      </c>
      <c r="AD18" s="17">
        <f t="shared" si="10"/>
        <v>0</v>
      </c>
      <c r="AE18" s="31">
        <f t="shared" si="10"/>
        <v>712</v>
      </c>
      <c r="AF18" s="31">
        <f t="shared" si="10"/>
        <v>1266</v>
      </c>
    </row>
    <row r="19" spans="2:32" ht="23.1" customHeight="1" x14ac:dyDescent="0.25">
      <c r="B19" s="23" t="s">
        <v>46</v>
      </c>
      <c r="C19" s="50">
        <v>49</v>
      </c>
      <c r="D19" s="50">
        <v>26</v>
      </c>
      <c r="E19" s="50">
        <v>12</v>
      </c>
      <c r="F19" s="50">
        <v>2</v>
      </c>
      <c r="G19" s="50">
        <v>0</v>
      </c>
      <c r="H19" s="50">
        <v>0</v>
      </c>
      <c r="I19" s="50">
        <v>4</v>
      </c>
      <c r="J19" s="50">
        <v>2</v>
      </c>
      <c r="K19" s="50">
        <v>3</v>
      </c>
      <c r="L19" s="50">
        <v>0</v>
      </c>
      <c r="M19" s="50">
        <v>110</v>
      </c>
      <c r="N19" s="50">
        <v>0</v>
      </c>
      <c r="O19" s="15">
        <f t="shared" si="0"/>
        <v>98</v>
      </c>
      <c r="P19" s="15">
        <f t="shared" si="1"/>
        <v>208</v>
      </c>
      <c r="R19" s="1" t="s">
        <v>15</v>
      </c>
      <c r="S19" s="17">
        <f t="shared" ref="S19:AF19" si="11">SUM(C46:C49)</f>
        <v>510</v>
      </c>
      <c r="T19" s="17">
        <f t="shared" si="11"/>
        <v>278</v>
      </c>
      <c r="U19" s="17">
        <f t="shared" si="11"/>
        <v>78</v>
      </c>
      <c r="V19" s="17">
        <f t="shared" si="11"/>
        <v>30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6</v>
      </c>
      <c r="AA19" s="17">
        <f t="shared" si="11"/>
        <v>2</v>
      </c>
      <c r="AB19" s="17">
        <f t="shared" si="11"/>
        <v>1</v>
      </c>
      <c r="AC19" s="17">
        <f t="shared" si="11"/>
        <v>464</v>
      </c>
      <c r="AD19" s="17">
        <f t="shared" si="11"/>
        <v>0</v>
      </c>
      <c r="AE19" s="31">
        <f t="shared" si="11"/>
        <v>911</v>
      </c>
      <c r="AF19" s="31">
        <f t="shared" si="11"/>
        <v>1375</v>
      </c>
    </row>
    <row r="20" spans="2:32" ht="23.1" customHeight="1" x14ac:dyDescent="0.25">
      <c r="B20" s="23" t="s">
        <v>47</v>
      </c>
      <c r="C20" s="50">
        <v>47</v>
      </c>
      <c r="D20" s="50">
        <v>34</v>
      </c>
      <c r="E20" s="50">
        <v>1</v>
      </c>
      <c r="F20" s="50">
        <v>1</v>
      </c>
      <c r="G20" s="50">
        <v>2</v>
      </c>
      <c r="H20" s="50">
        <v>0</v>
      </c>
      <c r="I20" s="50">
        <v>6</v>
      </c>
      <c r="J20" s="50">
        <v>0</v>
      </c>
      <c r="K20" s="50">
        <v>1</v>
      </c>
      <c r="L20" s="50">
        <v>0</v>
      </c>
      <c r="M20" s="50">
        <v>75</v>
      </c>
      <c r="N20" s="50">
        <v>0</v>
      </c>
      <c r="O20" s="15">
        <f t="shared" si="0"/>
        <v>92</v>
      </c>
      <c r="P20" s="15">
        <f t="shared" si="1"/>
        <v>167</v>
      </c>
      <c r="R20" s="1" t="s">
        <v>16</v>
      </c>
      <c r="S20" s="17">
        <f t="shared" ref="S20:AF20" si="12">SUM(C50:C53)</f>
        <v>612</v>
      </c>
      <c r="T20" s="17">
        <f t="shared" si="12"/>
        <v>195</v>
      </c>
      <c r="U20" s="17">
        <f t="shared" si="12"/>
        <v>70</v>
      </c>
      <c r="V20" s="17">
        <f t="shared" si="12"/>
        <v>12</v>
      </c>
      <c r="W20" s="17">
        <f t="shared" si="12"/>
        <v>0</v>
      </c>
      <c r="X20" s="17">
        <f t="shared" si="12"/>
        <v>0</v>
      </c>
      <c r="Y20" s="17">
        <f t="shared" si="12"/>
        <v>12</v>
      </c>
      <c r="Z20" s="17">
        <f t="shared" si="12"/>
        <v>4</v>
      </c>
      <c r="AA20" s="17">
        <f t="shared" si="12"/>
        <v>4</v>
      </c>
      <c r="AB20" s="17">
        <f t="shared" si="12"/>
        <v>1</v>
      </c>
      <c r="AC20" s="17">
        <f t="shared" si="12"/>
        <v>740</v>
      </c>
      <c r="AD20" s="17">
        <f t="shared" si="12"/>
        <v>0</v>
      </c>
      <c r="AE20" s="31">
        <f t="shared" si="12"/>
        <v>910</v>
      </c>
      <c r="AF20" s="31">
        <f t="shared" si="12"/>
        <v>1650</v>
      </c>
    </row>
    <row r="21" spans="2:32" ht="23.1" customHeight="1" x14ac:dyDescent="0.25">
      <c r="B21" s="23" t="s">
        <v>48</v>
      </c>
      <c r="C21" s="50">
        <v>62</v>
      </c>
      <c r="D21" s="50">
        <v>36</v>
      </c>
      <c r="E21" s="50">
        <v>12</v>
      </c>
      <c r="F21" s="50">
        <v>2</v>
      </c>
      <c r="G21" s="50">
        <v>0</v>
      </c>
      <c r="H21" s="50">
        <v>0</v>
      </c>
      <c r="I21" s="50">
        <v>7</v>
      </c>
      <c r="J21" s="50">
        <v>2</v>
      </c>
      <c r="K21" s="50">
        <v>0</v>
      </c>
      <c r="L21" s="50">
        <v>1</v>
      </c>
      <c r="M21" s="50">
        <v>190</v>
      </c>
      <c r="N21" s="50">
        <v>0</v>
      </c>
      <c r="O21" s="15">
        <f t="shared" si="0"/>
        <v>122</v>
      </c>
      <c r="P21" s="15">
        <f t="shared" si="1"/>
        <v>312</v>
      </c>
      <c r="R21" s="36" t="s">
        <v>20</v>
      </c>
      <c r="S21" s="34">
        <f t="shared" ref="S21:AF21" si="13">SUM(C54:C57)</f>
        <v>494</v>
      </c>
      <c r="T21" s="17">
        <f t="shared" si="13"/>
        <v>146</v>
      </c>
      <c r="U21" s="17">
        <f t="shared" si="13"/>
        <v>52</v>
      </c>
      <c r="V21" s="17">
        <f t="shared" si="13"/>
        <v>30</v>
      </c>
      <c r="W21" s="17">
        <f t="shared" si="13"/>
        <v>6</v>
      </c>
      <c r="X21" s="17">
        <f t="shared" si="13"/>
        <v>0</v>
      </c>
      <c r="Y21" s="17">
        <f t="shared" si="13"/>
        <v>10</v>
      </c>
      <c r="Z21" s="17">
        <f t="shared" si="13"/>
        <v>4</v>
      </c>
      <c r="AA21" s="17">
        <f t="shared" si="13"/>
        <v>0</v>
      </c>
      <c r="AB21" s="17">
        <f t="shared" si="13"/>
        <v>0</v>
      </c>
      <c r="AC21" s="17">
        <f t="shared" si="13"/>
        <v>623</v>
      </c>
      <c r="AD21" s="17">
        <f t="shared" si="13"/>
        <v>0</v>
      </c>
      <c r="AE21" s="31">
        <f t="shared" si="13"/>
        <v>742</v>
      </c>
      <c r="AF21" s="31">
        <f t="shared" si="13"/>
        <v>1365</v>
      </c>
    </row>
    <row r="22" spans="2:32" ht="23.1" customHeight="1" x14ac:dyDescent="0.25">
      <c r="B22" s="23" t="s">
        <v>49</v>
      </c>
      <c r="C22" s="50">
        <v>82</v>
      </c>
      <c r="D22" s="50">
        <v>34</v>
      </c>
      <c r="E22" s="50">
        <v>12</v>
      </c>
      <c r="F22" s="50">
        <v>4</v>
      </c>
      <c r="G22" s="50">
        <v>0</v>
      </c>
      <c r="H22" s="50">
        <v>0</v>
      </c>
      <c r="I22" s="50">
        <v>4</v>
      </c>
      <c r="J22" s="50">
        <v>0</v>
      </c>
      <c r="K22" s="50">
        <v>2</v>
      </c>
      <c r="L22" s="50">
        <v>0</v>
      </c>
      <c r="M22" s="50">
        <v>50</v>
      </c>
      <c r="N22" s="50">
        <v>0</v>
      </c>
      <c r="O22" s="15">
        <f t="shared" si="0"/>
        <v>138</v>
      </c>
      <c r="P22" s="15">
        <f t="shared" si="1"/>
        <v>188</v>
      </c>
      <c r="R22" s="38" t="s">
        <v>90</v>
      </c>
      <c r="S22" s="39">
        <f>MAX(S10:S12)</f>
        <v>268</v>
      </c>
      <c r="T22" s="39">
        <f t="shared" ref="T22:AF22" si="14">MAX(T10:T12)</f>
        <v>131</v>
      </c>
      <c r="U22" s="39">
        <f t="shared" si="14"/>
        <v>48</v>
      </c>
      <c r="V22" s="39">
        <f t="shared" si="14"/>
        <v>11</v>
      </c>
      <c r="W22" s="39">
        <f t="shared" si="14"/>
        <v>2</v>
      </c>
      <c r="X22" s="39">
        <f t="shared" si="14"/>
        <v>0</v>
      </c>
      <c r="Y22" s="39">
        <f t="shared" si="14"/>
        <v>21</v>
      </c>
      <c r="Z22" s="39">
        <f t="shared" si="14"/>
        <v>5</v>
      </c>
      <c r="AA22" s="39">
        <f t="shared" si="14"/>
        <v>4</v>
      </c>
      <c r="AB22" s="39">
        <f t="shared" si="14"/>
        <v>1</v>
      </c>
      <c r="AC22" s="39">
        <f t="shared" si="14"/>
        <v>875</v>
      </c>
      <c r="AD22" s="39">
        <f t="shared" si="14"/>
        <v>0</v>
      </c>
      <c r="AE22" s="40">
        <f t="shared" si="14"/>
        <v>444</v>
      </c>
      <c r="AF22" s="40">
        <f t="shared" si="14"/>
        <v>1319</v>
      </c>
    </row>
    <row r="23" spans="2:32" ht="23.1" customHeight="1" x14ac:dyDescent="0.25">
      <c r="B23" s="23" t="s">
        <v>50</v>
      </c>
      <c r="C23" s="50">
        <v>62</v>
      </c>
      <c r="D23" s="50">
        <v>23</v>
      </c>
      <c r="E23" s="50">
        <v>7</v>
      </c>
      <c r="F23" s="50">
        <v>3</v>
      </c>
      <c r="G23" s="50">
        <v>0</v>
      </c>
      <c r="H23" s="50">
        <v>0</v>
      </c>
      <c r="I23" s="50">
        <v>10</v>
      </c>
      <c r="J23" s="50">
        <v>1</v>
      </c>
      <c r="K23" s="50">
        <v>1</v>
      </c>
      <c r="L23" s="50">
        <v>0</v>
      </c>
      <c r="M23" s="50">
        <v>175</v>
      </c>
      <c r="N23" s="50">
        <v>0</v>
      </c>
      <c r="O23" s="15">
        <f t="shared" si="0"/>
        <v>107</v>
      </c>
      <c r="P23" s="15">
        <f t="shared" si="1"/>
        <v>282</v>
      </c>
      <c r="R23" s="38" t="s">
        <v>91</v>
      </c>
      <c r="S23" s="39">
        <f>MAX(S13:S18)</f>
        <v>392</v>
      </c>
      <c r="T23" s="39">
        <f t="shared" ref="T23:AF23" si="15">MAX(T13:T18)</f>
        <v>266</v>
      </c>
      <c r="U23" s="39">
        <f t="shared" si="15"/>
        <v>78</v>
      </c>
      <c r="V23" s="39">
        <f t="shared" si="15"/>
        <v>19</v>
      </c>
      <c r="W23" s="39">
        <f t="shared" si="15"/>
        <v>1</v>
      </c>
      <c r="X23" s="39">
        <f t="shared" si="15"/>
        <v>0</v>
      </c>
      <c r="Y23" s="39">
        <f t="shared" si="15"/>
        <v>24</v>
      </c>
      <c r="Z23" s="39">
        <f t="shared" si="15"/>
        <v>6</v>
      </c>
      <c r="AA23" s="39">
        <f t="shared" si="15"/>
        <v>4</v>
      </c>
      <c r="AB23" s="39">
        <f t="shared" si="15"/>
        <v>1</v>
      </c>
      <c r="AC23" s="39">
        <f t="shared" si="15"/>
        <v>572</v>
      </c>
      <c r="AD23" s="39">
        <f t="shared" si="15"/>
        <v>1</v>
      </c>
      <c r="AE23" s="40">
        <f t="shared" si="15"/>
        <v>770</v>
      </c>
      <c r="AF23" s="40">
        <f t="shared" si="15"/>
        <v>1266</v>
      </c>
    </row>
    <row r="24" spans="2:32" ht="23.1" customHeight="1" x14ac:dyDescent="0.25">
      <c r="B24" s="23" t="s">
        <v>51</v>
      </c>
      <c r="C24" s="50">
        <v>51</v>
      </c>
      <c r="D24" s="50">
        <v>41</v>
      </c>
      <c r="E24" s="50">
        <v>1</v>
      </c>
      <c r="F24" s="50">
        <v>3</v>
      </c>
      <c r="G24" s="50">
        <v>0</v>
      </c>
      <c r="H24" s="50">
        <v>0</v>
      </c>
      <c r="I24" s="50">
        <v>4</v>
      </c>
      <c r="J24" s="50">
        <v>2</v>
      </c>
      <c r="K24" s="50">
        <v>1</v>
      </c>
      <c r="L24" s="50">
        <v>0</v>
      </c>
      <c r="M24" s="50">
        <v>130</v>
      </c>
      <c r="N24" s="50">
        <v>0</v>
      </c>
      <c r="O24" s="15">
        <f t="shared" si="0"/>
        <v>103</v>
      </c>
      <c r="P24" s="15">
        <f t="shared" si="1"/>
        <v>233</v>
      </c>
      <c r="R24" s="38" t="s">
        <v>92</v>
      </c>
      <c r="S24" s="39">
        <f>MAX(S19:S21)</f>
        <v>612</v>
      </c>
      <c r="T24" s="39">
        <f t="shared" ref="T24:AF24" si="16">MAX(T19:T21)</f>
        <v>278</v>
      </c>
      <c r="U24" s="39">
        <f t="shared" si="16"/>
        <v>78</v>
      </c>
      <c r="V24" s="39">
        <f t="shared" si="16"/>
        <v>30</v>
      </c>
      <c r="W24" s="39">
        <f t="shared" si="16"/>
        <v>6</v>
      </c>
      <c r="X24" s="39">
        <f t="shared" si="16"/>
        <v>0</v>
      </c>
      <c r="Y24" s="39">
        <f t="shared" si="16"/>
        <v>12</v>
      </c>
      <c r="Z24" s="39">
        <f t="shared" si="16"/>
        <v>6</v>
      </c>
      <c r="AA24" s="39">
        <f t="shared" si="16"/>
        <v>4</v>
      </c>
      <c r="AB24" s="39">
        <f t="shared" si="16"/>
        <v>1</v>
      </c>
      <c r="AC24" s="39">
        <f t="shared" si="16"/>
        <v>740</v>
      </c>
      <c r="AD24" s="39">
        <f t="shared" si="16"/>
        <v>0</v>
      </c>
      <c r="AE24" s="40">
        <f t="shared" si="16"/>
        <v>911</v>
      </c>
      <c r="AF24" s="40">
        <f t="shared" si="16"/>
        <v>1650</v>
      </c>
    </row>
    <row r="25" spans="2:32" ht="23.1" customHeight="1" x14ac:dyDescent="0.25">
      <c r="B25" s="23" t="s">
        <v>52</v>
      </c>
      <c r="C25" s="50">
        <v>76</v>
      </c>
      <c r="D25" s="50">
        <v>43</v>
      </c>
      <c r="E25" s="50">
        <v>8</v>
      </c>
      <c r="F25" s="50">
        <v>3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149</v>
      </c>
      <c r="N25" s="50">
        <v>0</v>
      </c>
      <c r="O25" s="15">
        <f t="shared" si="0"/>
        <v>136</v>
      </c>
      <c r="P25" s="15">
        <f t="shared" si="1"/>
        <v>285</v>
      </c>
      <c r="R25" s="37" t="s">
        <v>85</v>
      </c>
      <c r="S25" s="35">
        <f t="shared" ref="S25:AF25" si="17">SUM(S10:S12)</f>
        <v>730</v>
      </c>
      <c r="T25" s="16">
        <f t="shared" si="17"/>
        <v>359</v>
      </c>
      <c r="U25" s="16">
        <f t="shared" si="17"/>
        <v>112</v>
      </c>
      <c r="V25" s="16">
        <f t="shared" si="17"/>
        <v>22</v>
      </c>
      <c r="W25" s="16">
        <f t="shared" si="17"/>
        <v>3</v>
      </c>
      <c r="X25" s="16">
        <f t="shared" si="17"/>
        <v>0</v>
      </c>
      <c r="Y25" s="16">
        <f t="shared" si="17"/>
        <v>46</v>
      </c>
      <c r="Z25" s="16">
        <f t="shared" si="17"/>
        <v>11</v>
      </c>
      <c r="AA25" s="16">
        <f t="shared" si="17"/>
        <v>4</v>
      </c>
      <c r="AB25" s="16">
        <f t="shared" si="17"/>
        <v>1</v>
      </c>
      <c r="AC25" s="16">
        <f t="shared" si="17"/>
        <v>2087</v>
      </c>
      <c r="AD25" s="16">
        <f t="shared" si="17"/>
        <v>0</v>
      </c>
      <c r="AE25" s="32">
        <f t="shared" si="17"/>
        <v>1288</v>
      </c>
      <c r="AF25" s="32">
        <f t="shared" si="17"/>
        <v>3375</v>
      </c>
    </row>
    <row r="26" spans="2:32" ht="23.1" customHeight="1" x14ac:dyDescent="0.25">
      <c r="B26" s="23" t="s">
        <v>53</v>
      </c>
      <c r="C26" s="50">
        <v>74</v>
      </c>
      <c r="D26" s="50">
        <v>48</v>
      </c>
      <c r="E26" s="50">
        <v>15</v>
      </c>
      <c r="F26" s="50">
        <v>4</v>
      </c>
      <c r="G26" s="50">
        <v>0</v>
      </c>
      <c r="H26" s="50">
        <v>0</v>
      </c>
      <c r="I26" s="50">
        <v>7</v>
      </c>
      <c r="J26" s="50">
        <v>1</v>
      </c>
      <c r="K26" s="50">
        <v>0</v>
      </c>
      <c r="L26" s="50">
        <v>0</v>
      </c>
      <c r="M26" s="50">
        <v>130</v>
      </c>
      <c r="N26" s="50">
        <v>0</v>
      </c>
      <c r="O26" s="15">
        <f t="shared" si="0"/>
        <v>149</v>
      </c>
      <c r="P26" s="15">
        <f t="shared" si="1"/>
        <v>279</v>
      </c>
      <c r="R26" s="28" t="s">
        <v>86</v>
      </c>
      <c r="S26" s="16">
        <f t="shared" ref="S26:AF26" si="18">SUM(S13:S18)</f>
        <v>2071</v>
      </c>
      <c r="T26" s="16">
        <f t="shared" si="18"/>
        <v>1267</v>
      </c>
      <c r="U26" s="16">
        <f t="shared" si="18"/>
        <v>317</v>
      </c>
      <c r="V26" s="16">
        <f t="shared" si="18"/>
        <v>66</v>
      </c>
      <c r="W26" s="16">
        <f t="shared" si="18"/>
        <v>1</v>
      </c>
      <c r="X26" s="16">
        <f t="shared" si="18"/>
        <v>0</v>
      </c>
      <c r="Y26" s="16">
        <f t="shared" si="18"/>
        <v>94</v>
      </c>
      <c r="Z26" s="16">
        <f t="shared" si="18"/>
        <v>24</v>
      </c>
      <c r="AA26" s="16">
        <f t="shared" si="18"/>
        <v>10</v>
      </c>
      <c r="AB26" s="16">
        <f t="shared" si="18"/>
        <v>4</v>
      </c>
      <c r="AC26" s="16">
        <f t="shared" si="18"/>
        <v>3067</v>
      </c>
      <c r="AD26" s="16">
        <f t="shared" si="18"/>
        <v>1</v>
      </c>
      <c r="AE26" s="32">
        <f t="shared" si="18"/>
        <v>3855</v>
      </c>
      <c r="AF26" s="32">
        <f t="shared" si="18"/>
        <v>6922</v>
      </c>
    </row>
    <row r="27" spans="2:32" ht="23.1" customHeight="1" x14ac:dyDescent="0.25">
      <c r="B27" s="23" t="s">
        <v>54</v>
      </c>
      <c r="C27" s="50">
        <v>67</v>
      </c>
      <c r="D27" s="50">
        <v>30</v>
      </c>
      <c r="E27" s="50">
        <v>8</v>
      </c>
      <c r="F27" s="50">
        <v>2</v>
      </c>
      <c r="G27" s="50">
        <v>0</v>
      </c>
      <c r="H27" s="50">
        <v>0</v>
      </c>
      <c r="I27" s="50">
        <v>2</v>
      </c>
      <c r="J27" s="50">
        <v>2</v>
      </c>
      <c r="K27" s="50">
        <v>0</v>
      </c>
      <c r="L27" s="50">
        <v>0</v>
      </c>
      <c r="M27" s="50">
        <v>135</v>
      </c>
      <c r="N27" s="50">
        <v>0</v>
      </c>
      <c r="O27" s="15">
        <f t="shared" si="0"/>
        <v>111</v>
      </c>
      <c r="P27" s="15">
        <f t="shared" si="1"/>
        <v>246</v>
      </c>
      <c r="R27" s="29" t="s">
        <v>87</v>
      </c>
      <c r="S27" s="16">
        <f t="shared" ref="S27:AF27" si="19">SUM(S19:S21)</f>
        <v>1616</v>
      </c>
      <c r="T27" s="16">
        <f t="shared" si="19"/>
        <v>619</v>
      </c>
      <c r="U27" s="16">
        <f t="shared" si="19"/>
        <v>200</v>
      </c>
      <c r="V27" s="16">
        <f t="shared" si="19"/>
        <v>72</v>
      </c>
      <c r="W27" s="16">
        <f t="shared" si="19"/>
        <v>6</v>
      </c>
      <c r="X27" s="16">
        <f t="shared" si="19"/>
        <v>0</v>
      </c>
      <c r="Y27" s="16">
        <f t="shared" si="19"/>
        <v>28</v>
      </c>
      <c r="Z27" s="16">
        <f t="shared" si="19"/>
        <v>14</v>
      </c>
      <c r="AA27" s="16">
        <f t="shared" si="19"/>
        <v>6</v>
      </c>
      <c r="AB27" s="16">
        <f t="shared" si="19"/>
        <v>2</v>
      </c>
      <c r="AC27" s="16">
        <f t="shared" si="19"/>
        <v>1827</v>
      </c>
      <c r="AD27" s="16">
        <f t="shared" si="19"/>
        <v>0</v>
      </c>
      <c r="AE27" s="32">
        <f t="shared" si="19"/>
        <v>2563</v>
      </c>
      <c r="AF27" s="32">
        <f t="shared" si="19"/>
        <v>4390</v>
      </c>
    </row>
    <row r="28" spans="2:32" ht="23.1" customHeight="1" x14ac:dyDescent="0.25">
      <c r="B28" s="23" t="s">
        <v>55</v>
      </c>
      <c r="C28" s="50">
        <v>72</v>
      </c>
      <c r="D28" s="50">
        <v>52</v>
      </c>
      <c r="E28" s="50">
        <v>17</v>
      </c>
      <c r="F28" s="50">
        <v>1</v>
      </c>
      <c r="G28" s="50">
        <v>0</v>
      </c>
      <c r="H28" s="50">
        <v>0</v>
      </c>
      <c r="I28" s="50">
        <v>3</v>
      </c>
      <c r="J28" s="50">
        <v>0</v>
      </c>
      <c r="K28" s="50">
        <v>1</v>
      </c>
      <c r="L28" s="50">
        <v>0</v>
      </c>
      <c r="M28" s="50">
        <v>135</v>
      </c>
      <c r="N28" s="50">
        <v>0</v>
      </c>
      <c r="O28" s="15">
        <f t="shared" si="0"/>
        <v>146</v>
      </c>
      <c r="P28" s="15">
        <f t="shared" si="1"/>
        <v>281</v>
      </c>
      <c r="R28" s="5" t="s">
        <v>17</v>
      </c>
      <c r="S28" s="16">
        <f t="shared" ref="S28:AF28" si="20">SUM(S10:S21)</f>
        <v>4417</v>
      </c>
      <c r="T28" s="16">
        <f t="shared" si="20"/>
        <v>2245</v>
      </c>
      <c r="U28" s="16">
        <f t="shared" si="20"/>
        <v>629</v>
      </c>
      <c r="V28" s="16">
        <f t="shared" si="20"/>
        <v>160</v>
      </c>
      <c r="W28" s="16">
        <f t="shared" si="20"/>
        <v>10</v>
      </c>
      <c r="X28" s="16">
        <f t="shared" si="20"/>
        <v>0</v>
      </c>
      <c r="Y28" s="16">
        <f t="shared" si="20"/>
        <v>168</v>
      </c>
      <c r="Z28" s="16">
        <f t="shared" si="20"/>
        <v>49</v>
      </c>
      <c r="AA28" s="16">
        <f t="shared" si="20"/>
        <v>20</v>
      </c>
      <c r="AB28" s="16">
        <f t="shared" si="20"/>
        <v>7</v>
      </c>
      <c r="AC28" s="16">
        <f t="shared" si="20"/>
        <v>6981</v>
      </c>
      <c r="AD28" s="16">
        <f t="shared" si="20"/>
        <v>1</v>
      </c>
      <c r="AE28" s="32">
        <f t="shared" si="20"/>
        <v>7706</v>
      </c>
      <c r="AF28" s="32">
        <f t="shared" si="20"/>
        <v>14687</v>
      </c>
    </row>
    <row r="29" spans="2:32" ht="23.1" customHeight="1" x14ac:dyDescent="0.25">
      <c r="B29" s="23" t="s">
        <v>56</v>
      </c>
      <c r="C29" s="50">
        <v>71</v>
      </c>
      <c r="D29" s="50">
        <v>31</v>
      </c>
      <c r="E29" s="50">
        <v>7</v>
      </c>
      <c r="F29" s="50">
        <v>1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125</v>
      </c>
      <c r="N29" s="50">
        <v>0</v>
      </c>
      <c r="O29" s="15">
        <f t="shared" si="0"/>
        <v>112</v>
      </c>
      <c r="P29" s="15">
        <f t="shared" si="1"/>
        <v>237</v>
      </c>
      <c r="R29"/>
      <c r="S29" s="20"/>
      <c r="T29" s="19"/>
    </row>
    <row r="30" spans="2:32" ht="23.1" customHeight="1" x14ac:dyDescent="0.25">
      <c r="B30" s="23" t="s">
        <v>57</v>
      </c>
      <c r="C30" s="50">
        <v>63</v>
      </c>
      <c r="D30" s="50">
        <v>41</v>
      </c>
      <c r="E30" s="50">
        <v>17</v>
      </c>
      <c r="F30" s="50">
        <v>1</v>
      </c>
      <c r="G30" s="50">
        <v>1</v>
      </c>
      <c r="H30" s="50">
        <v>0</v>
      </c>
      <c r="I30" s="50">
        <v>3</v>
      </c>
      <c r="J30" s="50">
        <v>0</v>
      </c>
      <c r="K30" s="50">
        <v>1</v>
      </c>
      <c r="L30" s="50">
        <v>0</v>
      </c>
      <c r="M30" s="50">
        <v>110</v>
      </c>
      <c r="N30" s="50">
        <v>0</v>
      </c>
      <c r="O30" s="15">
        <f t="shared" si="0"/>
        <v>127</v>
      </c>
      <c r="P30" s="15">
        <f t="shared" si="1"/>
        <v>237</v>
      </c>
    </row>
    <row r="31" spans="2:32" ht="23.1" customHeight="1" x14ac:dyDescent="0.25">
      <c r="B31" s="24" t="s">
        <v>58</v>
      </c>
      <c r="C31" s="50">
        <v>83</v>
      </c>
      <c r="D31" s="50">
        <v>55</v>
      </c>
      <c r="E31" s="50">
        <v>9</v>
      </c>
      <c r="F31" s="50">
        <v>1</v>
      </c>
      <c r="G31" s="50">
        <v>0</v>
      </c>
      <c r="H31" s="50">
        <v>0</v>
      </c>
      <c r="I31" s="50">
        <v>6</v>
      </c>
      <c r="J31" s="50">
        <v>3</v>
      </c>
      <c r="K31" s="50">
        <v>0</v>
      </c>
      <c r="L31" s="50">
        <v>0</v>
      </c>
      <c r="M31" s="50">
        <v>130</v>
      </c>
      <c r="N31" s="50">
        <v>0</v>
      </c>
      <c r="O31" s="15">
        <f t="shared" si="0"/>
        <v>157</v>
      </c>
      <c r="P31" s="15">
        <f t="shared" si="1"/>
        <v>287</v>
      </c>
    </row>
    <row r="32" spans="2:32" ht="23.1" customHeight="1" x14ac:dyDescent="0.25">
      <c r="B32" s="24" t="s">
        <v>59</v>
      </c>
      <c r="C32" s="50">
        <v>120</v>
      </c>
      <c r="D32" s="50">
        <v>59</v>
      </c>
      <c r="E32" s="50">
        <v>15</v>
      </c>
      <c r="F32" s="50">
        <v>0</v>
      </c>
      <c r="G32" s="50">
        <v>0</v>
      </c>
      <c r="H32" s="50">
        <v>0</v>
      </c>
      <c r="I32" s="50">
        <v>2</v>
      </c>
      <c r="J32" s="50">
        <v>1</v>
      </c>
      <c r="K32" s="50">
        <v>0</v>
      </c>
      <c r="L32" s="50">
        <v>1</v>
      </c>
      <c r="M32" s="50">
        <v>115</v>
      </c>
      <c r="N32" s="50">
        <v>0</v>
      </c>
      <c r="O32" s="15">
        <f t="shared" si="0"/>
        <v>198</v>
      </c>
      <c r="P32" s="15">
        <f t="shared" si="1"/>
        <v>313</v>
      </c>
    </row>
    <row r="33" spans="2:20" ht="23.1" customHeight="1" x14ac:dyDescent="0.25">
      <c r="B33" s="23" t="s">
        <v>60</v>
      </c>
      <c r="C33" s="50">
        <v>108</v>
      </c>
      <c r="D33" s="50">
        <v>63</v>
      </c>
      <c r="E33" s="50">
        <v>30</v>
      </c>
      <c r="F33" s="50">
        <v>3</v>
      </c>
      <c r="G33" s="50">
        <v>0</v>
      </c>
      <c r="H33" s="50">
        <v>0</v>
      </c>
      <c r="I33" s="50">
        <v>4</v>
      </c>
      <c r="J33" s="50">
        <v>0</v>
      </c>
      <c r="K33" s="50">
        <v>0</v>
      </c>
      <c r="L33" s="50">
        <v>0</v>
      </c>
      <c r="M33" s="50">
        <v>162</v>
      </c>
      <c r="N33" s="50">
        <v>0</v>
      </c>
      <c r="O33" s="15">
        <f t="shared" si="0"/>
        <v>208</v>
      </c>
      <c r="P33" s="15">
        <f t="shared" si="1"/>
        <v>370</v>
      </c>
    </row>
    <row r="34" spans="2:20" ht="23.1" customHeight="1" x14ac:dyDescent="0.25">
      <c r="B34" s="24" t="s">
        <v>61</v>
      </c>
      <c r="C34" s="50">
        <v>116</v>
      </c>
      <c r="D34" s="50">
        <v>78</v>
      </c>
      <c r="E34" s="50">
        <v>23</v>
      </c>
      <c r="F34" s="50">
        <v>3</v>
      </c>
      <c r="G34" s="50">
        <v>0</v>
      </c>
      <c r="H34" s="50">
        <v>0</v>
      </c>
      <c r="I34" s="50">
        <v>3</v>
      </c>
      <c r="J34" s="50">
        <v>1</v>
      </c>
      <c r="K34" s="50">
        <v>0</v>
      </c>
      <c r="L34" s="50">
        <v>0</v>
      </c>
      <c r="M34" s="50">
        <v>90</v>
      </c>
      <c r="N34" s="50">
        <v>0</v>
      </c>
      <c r="O34" s="15">
        <f t="shared" si="0"/>
        <v>224</v>
      </c>
      <c r="P34" s="15">
        <f t="shared" si="1"/>
        <v>314</v>
      </c>
    </row>
    <row r="35" spans="2:20" ht="23.1" customHeight="1" x14ac:dyDescent="0.25">
      <c r="B35" s="24" t="s">
        <v>62</v>
      </c>
      <c r="C35" s="50">
        <v>125</v>
      </c>
      <c r="D35" s="50">
        <v>77</v>
      </c>
      <c r="E35" s="50">
        <v>23</v>
      </c>
      <c r="F35" s="50">
        <v>11</v>
      </c>
      <c r="G35" s="50">
        <v>0</v>
      </c>
      <c r="H35" s="50">
        <v>0</v>
      </c>
      <c r="I35" s="50">
        <v>2</v>
      </c>
      <c r="J35" s="50">
        <v>1</v>
      </c>
      <c r="K35" s="50">
        <v>0</v>
      </c>
      <c r="L35" s="50">
        <v>1</v>
      </c>
      <c r="M35" s="50">
        <v>155</v>
      </c>
      <c r="N35" s="50">
        <v>0</v>
      </c>
      <c r="O35" s="15">
        <f t="shared" si="0"/>
        <v>240</v>
      </c>
      <c r="P35" s="15">
        <f t="shared" si="1"/>
        <v>395</v>
      </c>
    </row>
    <row r="36" spans="2:20" ht="23.1" customHeight="1" x14ac:dyDescent="0.25">
      <c r="B36" s="24" t="s">
        <v>63</v>
      </c>
      <c r="C36" s="50">
        <v>85</v>
      </c>
      <c r="D36" s="50">
        <v>63</v>
      </c>
      <c r="E36" s="50">
        <v>21</v>
      </c>
      <c r="F36" s="50">
        <v>4</v>
      </c>
      <c r="G36" s="50">
        <v>0</v>
      </c>
      <c r="H36" s="50">
        <v>0</v>
      </c>
      <c r="I36" s="50">
        <v>2</v>
      </c>
      <c r="J36" s="50">
        <v>0</v>
      </c>
      <c r="K36" s="50">
        <v>0</v>
      </c>
      <c r="L36" s="50">
        <v>0</v>
      </c>
      <c r="M36" s="50">
        <v>80</v>
      </c>
      <c r="N36" s="50">
        <v>0</v>
      </c>
      <c r="O36" s="15">
        <f t="shared" si="0"/>
        <v>175</v>
      </c>
      <c r="P36" s="15">
        <f t="shared" si="1"/>
        <v>255</v>
      </c>
    </row>
    <row r="37" spans="2:20" ht="23.1" customHeight="1" x14ac:dyDescent="0.25">
      <c r="B37" s="23" t="s">
        <v>64</v>
      </c>
      <c r="C37" s="50">
        <v>66</v>
      </c>
      <c r="D37" s="50">
        <v>48</v>
      </c>
      <c r="E37" s="50">
        <v>11</v>
      </c>
      <c r="F37" s="50">
        <v>1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70</v>
      </c>
      <c r="N37" s="50">
        <v>0</v>
      </c>
      <c r="O37" s="15">
        <f t="shared" si="0"/>
        <v>131</v>
      </c>
      <c r="P37" s="15">
        <f t="shared" si="1"/>
        <v>201</v>
      </c>
    </row>
    <row r="38" spans="2:20" ht="23.1" customHeight="1" x14ac:dyDescent="0.25">
      <c r="B38" s="24" t="s">
        <v>65</v>
      </c>
      <c r="C38" s="50">
        <v>73</v>
      </c>
      <c r="D38" s="50">
        <v>43</v>
      </c>
      <c r="E38" s="50">
        <v>12</v>
      </c>
      <c r="F38" s="50">
        <v>4</v>
      </c>
      <c r="G38" s="50">
        <v>0</v>
      </c>
      <c r="H38" s="50">
        <v>0</v>
      </c>
      <c r="I38" s="50">
        <v>9</v>
      </c>
      <c r="J38" s="50">
        <v>2</v>
      </c>
      <c r="K38" s="50">
        <v>0</v>
      </c>
      <c r="L38" s="50">
        <v>0</v>
      </c>
      <c r="M38" s="50">
        <v>125</v>
      </c>
      <c r="N38" s="50">
        <v>0</v>
      </c>
      <c r="O38" s="15">
        <f t="shared" si="0"/>
        <v>143</v>
      </c>
      <c r="P38" s="15">
        <f t="shared" si="1"/>
        <v>268</v>
      </c>
    </row>
    <row r="39" spans="2:20" ht="23.1" customHeight="1" x14ac:dyDescent="0.25">
      <c r="B39" s="24" t="s">
        <v>66</v>
      </c>
      <c r="C39" s="50">
        <v>102</v>
      </c>
      <c r="D39" s="50">
        <v>64</v>
      </c>
      <c r="E39" s="50">
        <v>7</v>
      </c>
      <c r="F39" s="50">
        <v>3</v>
      </c>
      <c r="G39" s="50">
        <v>0</v>
      </c>
      <c r="H39" s="50">
        <v>0</v>
      </c>
      <c r="I39" s="50">
        <v>5</v>
      </c>
      <c r="J39" s="50">
        <v>3</v>
      </c>
      <c r="K39" s="50">
        <v>1</v>
      </c>
      <c r="L39" s="50">
        <v>0</v>
      </c>
      <c r="M39" s="50">
        <v>165</v>
      </c>
      <c r="N39" s="50">
        <v>0</v>
      </c>
      <c r="O39" s="15">
        <f t="shared" si="0"/>
        <v>185</v>
      </c>
      <c r="P39" s="15">
        <f t="shared" si="1"/>
        <v>350</v>
      </c>
    </row>
    <row r="40" spans="2:20" ht="23.1" customHeight="1" x14ac:dyDescent="0.25">
      <c r="B40" s="24" t="s">
        <v>67</v>
      </c>
      <c r="C40" s="50">
        <v>103</v>
      </c>
      <c r="D40" s="50">
        <v>55</v>
      </c>
      <c r="E40" s="50">
        <v>13</v>
      </c>
      <c r="F40" s="50">
        <v>2</v>
      </c>
      <c r="G40" s="50">
        <v>0</v>
      </c>
      <c r="H40" s="50">
        <v>0</v>
      </c>
      <c r="I40" s="50">
        <v>1</v>
      </c>
      <c r="J40" s="50">
        <v>0</v>
      </c>
      <c r="K40" s="50">
        <v>0</v>
      </c>
      <c r="L40" s="50">
        <v>1</v>
      </c>
      <c r="M40" s="50">
        <v>167</v>
      </c>
      <c r="N40" s="50">
        <v>0</v>
      </c>
      <c r="O40" s="15">
        <f t="shared" si="0"/>
        <v>175</v>
      </c>
      <c r="P40" s="15">
        <f t="shared" si="1"/>
        <v>342</v>
      </c>
    </row>
    <row r="41" spans="2:20" ht="23.1" customHeight="1" x14ac:dyDescent="0.25">
      <c r="B41" s="23" t="s">
        <v>68</v>
      </c>
      <c r="C41" s="50">
        <v>103</v>
      </c>
      <c r="D41" s="50">
        <v>56</v>
      </c>
      <c r="E41" s="50">
        <v>11</v>
      </c>
      <c r="F41" s="50">
        <v>3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115</v>
      </c>
      <c r="N41" s="50">
        <v>1</v>
      </c>
      <c r="O41" s="15">
        <f t="shared" si="0"/>
        <v>178</v>
      </c>
      <c r="P41" s="15">
        <f t="shared" si="1"/>
        <v>293</v>
      </c>
    </row>
    <row r="42" spans="2:20" ht="23.1" customHeight="1" x14ac:dyDescent="0.25">
      <c r="B42" s="24" t="s">
        <v>69</v>
      </c>
      <c r="C42" s="50">
        <v>98</v>
      </c>
      <c r="D42" s="50">
        <v>66</v>
      </c>
      <c r="E42" s="50">
        <v>14</v>
      </c>
      <c r="F42" s="50">
        <v>3</v>
      </c>
      <c r="G42" s="50">
        <v>0</v>
      </c>
      <c r="H42" s="50">
        <v>0</v>
      </c>
      <c r="I42" s="50">
        <v>4</v>
      </c>
      <c r="J42" s="50">
        <v>1</v>
      </c>
      <c r="K42" s="50">
        <v>2</v>
      </c>
      <c r="L42" s="50">
        <v>0</v>
      </c>
      <c r="M42" s="50">
        <v>135</v>
      </c>
      <c r="N42" s="50">
        <v>0</v>
      </c>
      <c r="O42" s="15">
        <f t="shared" si="0"/>
        <v>188</v>
      </c>
      <c r="P42" s="15">
        <f t="shared" si="1"/>
        <v>323</v>
      </c>
    </row>
    <row r="43" spans="2:20" ht="23.1" customHeight="1" x14ac:dyDescent="0.25">
      <c r="B43" s="23" t="s">
        <v>70</v>
      </c>
      <c r="C43" s="50">
        <v>88</v>
      </c>
      <c r="D43" s="50">
        <v>62</v>
      </c>
      <c r="E43" s="50">
        <v>15</v>
      </c>
      <c r="F43" s="50">
        <v>1</v>
      </c>
      <c r="G43" s="50">
        <v>0</v>
      </c>
      <c r="H43" s="50">
        <v>0</v>
      </c>
      <c r="I43" s="50">
        <v>4</v>
      </c>
      <c r="J43" s="50">
        <v>2</v>
      </c>
      <c r="K43" s="50">
        <v>0</v>
      </c>
      <c r="L43" s="50">
        <v>0</v>
      </c>
      <c r="M43" s="50">
        <v>100</v>
      </c>
      <c r="N43" s="50">
        <v>0</v>
      </c>
      <c r="O43" s="15">
        <f t="shared" si="0"/>
        <v>172</v>
      </c>
      <c r="P43" s="15">
        <f t="shared" si="1"/>
        <v>272</v>
      </c>
    </row>
    <row r="44" spans="2:20" ht="23.1" customHeight="1" x14ac:dyDescent="0.25">
      <c r="B44" s="25" t="s">
        <v>71</v>
      </c>
      <c r="C44" s="50">
        <v>91</v>
      </c>
      <c r="D44" s="50">
        <v>60</v>
      </c>
      <c r="E44" s="50">
        <v>8</v>
      </c>
      <c r="F44" s="50">
        <v>4</v>
      </c>
      <c r="G44" s="50">
        <v>0</v>
      </c>
      <c r="H44" s="50">
        <v>0</v>
      </c>
      <c r="I44" s="50">
        <v>3</v>
      </c>
      <c r="J44" s="50">
        <v>0</v>
      </c>
      <c r="K44" s="50">
        <v>1</v>
      </c>
      <c r="L44" s="50">
        <v>1</v>
      </c>
      <c r="M44" s="50">
        <v>160</v>
      </c>
      <c r="N44" s="50">
        <v>0</v>
      </c>
      <c r="O44" s="15">
        <f t="shared" si="0"/>
        <v>168</v>
      </c>
      <c r="P44" s="15">
        <f t="shared" si="1"/>
        <v>328</v>
      </c>
    </row>
    <row r="45" spans="2:20" ht="23.1" customHeight="1" x14ac:dyDescent="0.25">
      <c r="B45" s="23" t="s">
        <v>72</v>
      </c>
      <c r="C45" s="50">
        <v>92</v>
      </c>
      <c r="D45" s="50">
        <v>75</v>
      </c>
      <c r="E45" s="50">
        <v>13</v>
      </c>
      <c r="F45" s="50">
        <v>1</v>
      </c>
      <c r="G45" s="50">
        <v>0</v>
      </c>
      <c r="H45" s="50">
        <v>0</v>
      </c>
      <c r="I45" s="50">
        <v>1</v>
      </c>
      <c r="J45" s="50">
        <v>2</v>
      </c>
      <c r="K45" s="50">
        <v>0</v>
      </c>
      <c r="L45" s="50">
        <v>0</v>
      </c>
      <c r="M45" s="50">
        <v>159</v>
      </c>
      <c r="N45" s="50">
        <v>0</v>
      </c>
      <c r="O45" s="15">
        <f t="shared" si="0"/>
        <v>184</v>
      </c>
      <c r="P45" s="15">
        <f t="shared" si="1"/>
        <v>343</v>
      </c>
    </row>
    <row r="46" spans="2:20" ht="23.1" customHeight="1" x14ac:dyDescent="0.25">
      <c r="B46" s="24" t="s">
        <v>73</v>
      </c>
      <c r="C46" s="50">
        <v>110</v>
      </c>
      <c r="D46" s="50">
        <v>56</v>
      </c>
      <c r="E46" s="50">
        <v>16</v>
      </c>
      <c r="F46" s="50">
        <v>2</v>
      </c>
      <c r="G46" s="50">
        <v>0</v>
      </c>
      <c r="H46" s="50">
        <v>0</v>
      </c>
      <c r="I46" s="50">
        <v>2</v>
      </c>
      <c r="J46" s="50">
        <v>2</v>
      </c>
      <c r="K46" s="50">
        <v>1</v>
      </c>
      <c r="L46" s="50">
        <v>0</v>
      </c>
      <c r="M46" s="50">
        <v>130</v>
      </c>
      <c r="N46" s="50">
        <v>0</v>
      </c>
      <c r="O46" s="15">
        <f t="shared" si="0"/>
        <v>189</v>
      </c>
      <c r="P46" s="15">
        <f t="shared" si="1"/>
        <v>319</v>
      </c>
      <c r="R46" s="8"/>
      <c r="T46"/>
    </row>
    <row r="47" spans="2:20" ht="23.1" customHeight="1" x14ac:dyDescent="0.25">
      <c r="B47" s="24" t="s">
        <v>74</v>
      </c>
      <c r="C47" s="50">
        <v>120</v>
      </c>
      <c r="D47" s="50">
        <v>77</v>
      </c>
      <c r="E47" s="50">
        <v>19</v>
      </c>
      <c r="F47" s="50">
        <v>12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0</v>
      </c>
      <c r="M47" s="50">
        <v>95</v>
      </c>
      <c r="N47" s="50">
        <v>0</v>
      </c>
      <c r="O47" s="15">
        <f t="shared" si="0"/>
        <v>231</v>
      </c>
      <c r="P47" s="15">
        <f t="shared" si="1"/>
        <v>326</v>
      </c>
      <c r="R47" s="8"/>
      <c r="T47"/>
    </row>
    <row r="48" spans="2:20" ht="23.1" customHeight="1" x14ac:dyDescent="0.25">
      <c r="B48" s="24" t="s">
        <v>75</v>
      </c>
      <c r="C48" s="50">
        <v>128</v>
      </c>
      <c r="D48" s="50">
        <v>68</v>
      </c>
      <c r="E48" s="50">
        <v>15</v>
      </c>
      <c r="F48" s="50">
        <v>9</v>
      </c>
      <c r="G48" s="50">
        <v>0</v>
      </c>
      <c r="H48" s="50">
        <v>0</v>
      </c>
      <c r="I48" s="50">
        <v>1</v>
      </c>
      <c r="J48" s="50">
        <v>1</v>
      </c>
      <c r="K48" s="50">
        <v>1</v>
      </c>
      <c r="L48" s="50">
        <v>0</v>
      </c>
      <c r="M48" s="50">
        <v>79</v>
      </c>
      <c r="N48" s="50">
        <v>0</v>
      </c>
      <c r="O48" s="15">
        <f t="shared" si="0"/>
        <v>223</v>
      </c>
      <c r="P48" s="15">
        <f t="shared" si="1"/>
        <v>302</v>
      </c>
      <c r="R48" s="8"/>
      <c r="T48"/>
    </row>
    <row r="49" spans="2:20" ht="23.1" customHeight="1" x14ac:dyDescent="0.25">
      <c r="B49" s="23" t="s">
        <v>76</v>
      </c>
      <c r="C49" s="50">
        <v>152</v>
      </c>
      <c r="D49" s="50">
        <v>77</v>
      </c>
      <c r="E49" s="50">
        <v>28</v>
      </c>
      <c r="F49" s="50">
        <v>7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1</v>
      </c>
      <c r="M49" s="50">
        <v>160</v>
      </c>
      <c r="N49" s="50">
        <v>0</v>
      </c>
      <c r="O49" s="15">
        <f t="shared" si="0"/>
        <v>268</v>
      </c>
      <c r="P49" s="15">
        <f t="shared" si="1"/>
        <v>428</v>
      </c>
      <c r="R49" s="8"/>
      <c r="T49"/>
    </row>
    <row r="50" spans="2:20" ht="23.1" customHeight="1" x14ac:dyDescent="0.25">
      <c r="B50" s="24" t="s">
        <v>77</v>
      </c>
      <c r="C50" s="50">
        <v>183</v>
      </c>
      <c r="D50" s="50">
        <v>44</v>
      </c>
      <c r="E50" s="50">
        <v>14</v>
      </c>
      <c r="F50" s="50">
        <v>3</v>
      </c>
      <c r="G50" s="50">
        <v>0</v>
      </c>
      <c r="H50" s="50">
        <v>0</v>
      </c>
      <c r="I50" s="50">
        <v>1</v>
      </c>
      <c r="J50" s="50">
        <v>1</v>
      </c>
      <c r="K50" s="50">
        <v>1</v>
      </c>
      <c r="L50" s="50">
        <v>0</v>
      </c>
      <c r="M50" s="50">
        <v>195</v>
      </c>
      <c r="N50" s="50">
        <v>0</v>
      </c>
      <c r="O50" s="15">
        <f t="shared" si="0"/>
        <v>247</v>
      </c>
      <c r="P50" s="15">
        <f t="shared" si="1"/>
        <v>442</v>
      </c>
      <c r="R50" s="8"/>
      <c r="T50"/>
    </row>
    <row r="51" spans="2:20" ht="23.1" customHeight="1" x14ac:dyDescent="0.25">
      <c r="B51" s="24" t="s">
        <v>78</v>
      </c>
      <c r="C51" s="50">
        <v>156</v>
      </c>
      <c r="D51" s="50">
        <v>64</v>
      </c>
      <c r="E51" s="50">
        <v>21</v>
      </c>
      <c r="F51" s="50">
        <v>2</v>
      </c>
      <c r="G51" s="50">
        <v>0</v>
      </c>
      <c r="H51" s="50">
        <v>0</v>
      </c>
      <c r="I51" s="50">
        <v>4</v>
      </c>
      <c r="J51" s="50">
        <v>2</v>
      </c>
      <c r="K51" s="50">
        <v>0</v>
      </c>
      <c r="L51" s="50">
        <v>0</v>
      </c>
      <c r="M51" s="50">
        <v>225</v>
      </c>
      <c r="N51" s="50">
        <v>0</v>
      </c>
      <c r="O51" s="15">
        <f t="shared" si="0"/>
        <v>249</v>
      </c>
      <c r="P51" s="15">
        <f t="shared" si="1"/>
        <v>474</v>
      </c>
      <c r="R51" s="8"/>
      <c r="T51"/>
    </row>
    <row r="52" spans="2:20" ht="23.1" customHeight="1" x14ac:dyDescent="0.25">
      <c r="B52" s="24" t="s">
        <v>79</v>
      </c>
      <c r="C52" s="50">
        <v>134</v>
      </c>
      <c r="D52" s="50">
        <v>53</v>
      </c>
      <c r="E52" s="50">
        <v>17</v>
      </c>
      <c r="F52" s="50">
        <v>4</v>
      </c>
      <c r="G52" s="50">
        <v>0</v>
      </c>
      <c r="H52" s="50">
        <v>0</v>
      </c>
      <c r="I52" s="50">
        <v>2</v>
      </c>
      <c r="J52" s="50">
        <v>0</v>
      </c>
      <c r="K52" s="50">
        <v>2</v>
      </c>
      <c r="L52" s="50">
        <v>0</v>
      </c>
      <c r="M52" s="50">
        <v>140</v>
      </c>
      <c r="N52" s="50">
        <v>0</v>
      </c>
      <c r="O52" s="15">
        <f t="shared" si="0"/>
        <v>212</v>
      </c>
      <c r="P52" s="15">
        <f t="shared" si="1"/>
        <v>352</v>
      </c>
      <c r="R52" s="8"/>
      <c r="T52"/>
    </row>
    <row r="53" spans="2:20" ht="23.1" customHeight="1" x14ac:dyDescent="0.25">
      <c r="B53" s="23" t="s">
        <v>80</v>
      </c>
      <c r="C53" s="50">
        <v>139</v>
      </c>
      <c r="D53" s="50">
        <v>34</v>
      </c>
      <c r="E53" s="50">
        <v>18</v>
      </c>
      <c r="F53" s="50">
        <v>3</v>
      </c>
      <c r="G53" s="50">
        <v>0</v>
      </c>
      <c r="H53" s="50">
        <v>0</v>
      </c>
      <c r="I53" s="50">
        <v>5</v>
      </c>
      <c r="J53" s="50">
        <v>1</v>
      </c>
      <c r="K53" s="50">
        <v>1</v>
      </c>
      <c r="L53" s="50">
        <v>1</v>
      </c>
      <c r="M53" s="50">
        <v>180</v>
      </c>
      <c r="N53" s="50">
        <v>0</v>
      </c>
      <c r="O53" s="15">
        <f t="shared" si="0"/>
        <v>202</v>
      </c>
      <c r="P53" s="15">
        <f t="shared" si="1"/>
        <v>382</v>
      </c>
      <c r="R53" s="8"/>
      <c r="T53"/>
    </row>
    <row r="54" spans="2:20" ht="23.1" customHeight="1" x14ac:dyDescent="0.25">
      <c r="B54" s="23" t="s">
        <v>81</v>
      </c>
      <c r="C54" s="50">
        <v>103</v>
      </c>
      <c r="D54" s="50">
        <v>32</v>
      </c>
      <c r="E54" s="50">
        <v>11</v>
      </c>
      <c r="F54" s="50">
        <v>8</v>
      </c>
      <c r="G54" s="50">
        <v>0</v>
      </c>
      <c r="H54" s="50">
        <v>0</v>
      </c>
      <c r="I54" s="50">
        <v>3</v>
      </c>
      <c r="J54" s="50">
        <v>2</v>
      </c>
      <c r="K54" s="50">
        <v>0</v>
      </c>
      <c r="L54" s="50">
        <v>0</v>
      </c>
      <c r="M54" s="50">
        <v>255</v>
      </c>
      <c r="N54" s="50">
        <v>0</v>
      </c>
      <c r="O54" s="15">
        <f t="shared" si="0"/>
        <v>159</v>
      </c>
      <c r="P54" s="15">
        <f t="shared" si="1"/>
        <v>414</v>
      </c>
      <c r="R54" s="8"/>
      <c r="T54"/>
    </row>
    <row r="55" spans="2:20" ht="23.1" customHeight="1" x14ac:dyDescent="0.25">
      <c r="B55" s="23" t="s">
        <v>82</v>
      </c>
      <c r="C55" s="50">
        <v>128</v>
      </c>
      <c r="D55" s="50">
        <v>37</v>
      </c>
      <c r="E55" s="50">
        <v>16</v>
      </c>
      <c r="F55" s="50">
        <v>6</v>
      </c>
      <c r="G55" s="50">
        <v>3</v>
      </c>
      <c r="H55" s="50">
        <v>0</v>
      </c>
      <c r="I55" s="50">
        <v>1</v>
      </c>
      <c r="J55" s="50">
        <v>1</v>
      </c>
      <c r="K55" s="50">
        <v>0</v>
      </c>
      <c r="L55" s="50">
        <v>0</v>
      </c>
      <c r="M55" s="50">
        <v>145</v>
      </c>
      <c r="N55" s="50">
        <v>0</v>
      </c>
      <c r="O55" s="15">
        <f t="shared" si="0"/>
        <v>192</v>
      </c>
      <c r="P55" s="15">
        <f t="shared" si="1"/>
        <v>337</v>
      </c>
      <c r="R55" s="8"/>
      <c r="T55"/>
    </row>
    <row r="56" spans="2:20" ht="23.1" customHeight="1" x14ac:dyDescent="0.25">
      <c r="B56" s="23" t="s">
        <v>83</v>
      </c>
      <c r="C56" s="50">
        <v>139</v>
      </c>
      <c r="D56" s="50">
        <v>43</v>
      </c>
      <c r="E56" s="50">
        <v>13</v>
      </c>
      <c r="F56" s="50">
        <v>9</v>
      </c>
      <c r="G56" s="50">
        <v>1</v>
      </c>
      <c r="H56" s="50">
        <v>0</v>
      </c>
      <c r="I56" s="50">
        <v>4</v>
      </c>
      <c r="J56" s="50">
        <v>1</v>
      </c>
      <c r="K56" s="50">
        <v>0</v>
      </c>
      <c r="L56" s="50">
        <v>0</v>
      </c>
      <c r="M56" s="50">
        <v>120</v>
      </c>
      <c r="N56" s="50">
        <v>0</v>
      </c>
      <c r="O56" s="15">
        <f t="shared" si="0"/>
        <v>210</v>
      </c>
      <c r="P56" s="15">
        <f t="shared" si="1"/>
        <v>330</v>
      </c>
      <c r="R56" s="8"/>
      <c r="T56"/>
    </row>
    <row r="57" spans="2:20" ht="23.1" customHeight="1" x14ac:dyDescent="0.25">
      <c r="B57" s="23" t="s">
        <v>84</v>
      </c>
      <c r="C57" s="50">
        <v>124</v>
      </c>
      <c r="D57" s="50">
        <v>34</v>
      </c>
      <c r="E57" s="50">
        <v>12</v>
      </c>
      <c r="F57" s="50">
        <v>7</v>
      </c>
      <c r="G57" s="50">
        <v>2</v>
      </c>
      <c r="H57" s="50">
        <v>0</v>
      </c>
      <c r="I57" s="50">
        <v>2</v>
      </c>
      <c r="J57" s="50">
        <v>0</v>
      </c>
      <c r="K57" s="50">
        <v>0</v>
      </c>
      <c r="L57" s="50">
        <v>0</v>
      </c>
      <c r="M57" s="50">
        <v>103</v>
      </c>
      <c r="N57" s="50">
        <v>0</v>
      </c>
      <c r="O57" s="15">
        <f t="shared" si="0"/>
        <v>181</v>
      </c>
      <c r="P57" s="15">
        <f t="shared" si="1"/>
        <v>284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4417</v>
      </c>
      <c r="D58" s="16">
        <f t="shared" si="21"/>
        <v>2245</v>
      </c>
      <c r="E58" s="16">
        <f t="shared" si="21"/>
        <v>629</v>
      </c>
      <c r="F58" s="16">
        <f t="shared" si="21"/>
        <v>160</v>
      </c>
      <c r="G58" s="16">
        <f t="shared" si="21"/>
        <v>10</v>
      </c>
      <c r="H58" s="16">
        <f t="shared" si="21"/>
        <v>0</v>
      </c>
      <c r="I58" s="16">
        <f t="shared" si="21"/>
        <v>168</v>
      </c>
      <c r="J58" s="16">
        <f t="shared" si="21"/>
        <v>49</v>
      </c>
      <c r="K58" s="16">
        <f t="shared" si="21"/>
        <v>20</v>
      </c>
      <c r="L58" s="16">
        <f t="shared" si="21"/>
        <v>7</v>
      </c>
      <c r="M58" s="16">
        <f t="shared" si="21"/>
        <v>6981</v>
      </c>
      <c r="N58" s="16">
        <f t="shared" si="21"/>
        <v>1</v>
      </c>
      <c r="O58" s="16">
        <f t="shared" si="21"/>
        <v>7706</v>
      </c>
      <c r="P58" s="16">
        <f t="shared" si="21"/>
        <v>14687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0.30074215292435486</v>
      </c>
      <c r="D59" s="43">
        <f t="shared" si="22"/>
        <v>0.15285626744740247</v>
      </c>
      <c r="E59" s="43">
        <f t="shared" si="22"/>
        <v>4.2826989854973789E-2</v>
      </c>
      <c r="F59" s="43">
        <f t="shared" si="22"/>
        <v>1.0893987880438483E-2</v>
      </c>
      <c r="G59" s="43">
        <f t="shared" si="22"/>
        <v>6.8087424252740521E-4</v>
      </c>
      <c r="H59" s="43">
        <f t="shared" si="22"/>
        <v>0</v>
      </c>
      <c r="I59" s="43">
        <f t="shared" si="22"/>
        <v>1.1438687274460407E-2</v>
      </c>
      <c r="J59" s="43">
        <f t="shared" si="22"/>
        <v>3.3362837883842856E-3</v>
      </c>
      <c r="K59" s="43">
        <f t="shared" si="22"/>
        <v>1.3617484850548104E-3</v>
      </c>
      <c r="L59" s="43">
        <f t="shared" si="22"/>
        <v>4.7661196976918362E-4</v>
      </c>
      <c r="M59" s="43">
        <f t="shared" si="22"/>
        <v>0.47531830870838154</v>
      </c>
      <c r="N59" s="43">
        <f t="shared" si="22"/>
        <v>6.8087424252740524E-5</v>
      </c>
      <c r="R59" s="8"/>
      <c r="T59"/>
    </row>
    <row r="60" spans="2:20" ht="23.1" customHeight="1" x14ac:dyDescent="0.25">
      <c r="B60" s="42" t="s">
        <v>94</v>
      </c>
      <c r="C60" s="44">
        <f>C58/$O$58</f>
        <v>0.57318972229431608</v>
      </c>
      <c r="D60" s="44">
        <f t="shared" ref="D60:N60" si="23">D58/$O$58</f>
        <v>0.29133143005450296</v>
      </c>
      <c r="E60" s="44">
        <f t="shared" si="23"/>
        <v>8.1624708019724893E-2</v>
      </c>
      <c r="F60" s="44">
        <f t="shared" si="23"/>
        <v>2.0763041785621595E-2</v>
      </c>
      <c r="G60" s="44">
        <f t="shared" si="23"/>
        <v>1.2976901116013497E-3</v>
      </c>
      <c r="H60" s="44">
        <f t="shared" si="23"/>
        <v>0</v>
      </c>
      <c r="I60" s="44">
        <f t="shared" si="23"/>
        <v>2.1801193874902675E-2</v>
      </c>
      <c r="J60" s="44">
        <f t="shared" si="23"/>
        <v>6.3586815468466128E-3</v>
      </c>
      <c r="K60" s="44">
        <f t="shared" si="23"/>
        <v>2.5953802232026994E-3</v>
      </c>
      <c r="L60" s="44">
        <f t="shared" si="23"/>
        <v>9.0838307812094474E-4</v>
      </c>
      <c r="M60" s="44"/>
      <c r="N60" s="44">
        <f t="shared" si="23"/>
        <v>1.2976901116013495E-4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11" sqref="M11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Kira Road-Jinaj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'30.07 Jinja Road-Kira Road'!D5</f>
        <v>30.07.19</v>
      </c>
      <c r="E5" s="3"/>
      <c r="F5" s="41" t="s">
        <v>1</v>
      </c>
      <c r="G5" s="54" t="str">
        <f>'29.07 JinjaRoad-Kira Road'!G5:H5</f>
        <v>DHL (47)</v>
      </c>
      <c r="H5" s="55"/>
      <c r="I5" s="14"/>
      <c r="J5" s="2" t="s">
        <v>5</v>
      </c>
      <c r="K5" s="54" t="str">
        <f>'29.07 JinjaRoad-Kira Road'!K5:L5</f>
        <v>Nalubega Resty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">
        <v>165</v>
      </c>
      <c r="E6" s="55"/>
      <c r="F6" s="2" t="s">
        <v>2</v>
      </c>
      <c r="G6" s="54" t="s">
        <v>164</v>
      </c>
      <c r="H6" s="55"/>
      <c r="J6" s="2" t="s">
        <v>21</v>
      </c>
      <c r="K6" s="54" t="str">
        <f>'29.07 JinjaRoad-Kira Road'!K6:L6</f>
        <v>Felix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175</v>
      </c>
      <c r="D10" s="50">
        <v>80</v>
      </c>
      <c r="E10" s="50">
        <v>48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135</v>
      </c>
      <c r="N10" s="50">
        <v>0</v>
      </c>
      <c r="O10" s="15">
        <f t="shared" ref="O10:O57" si="0">SUM(C10:L10,N10)</f>
        <v>306</v>
      </c>
      <c r="P10" s="15">
        <f t="shared" ref="P10:P57" si="1">SUM(C10:N10)</f>
        <v>441</v>
      </c>
      <c r="R10" s="1" t="s">
        <v>6</v>
      </c>
      <c r="S10" s="17">
        <f t="shared" ref="S10:AF10" si="2">SUM(C10:C13)</f>
        <v>688</v>
      </c>
      <c r="T10" s="17">
        <f t="shared" si="2"/>
        <v>292</v>
      </c>
      <c r="U10" s="17">
        <f t="shared" si="2"/>
        <v>132</v>
      </c>
      <c r="V10" s="17">
        <f t="shared" si="2"/>
        <v>30</v>
      </c>
      <c r="W10" s="17">
        <f t="shared" si="2"/>
        <v>1</v>
      </c>
      <c r="X10" s="17">
        <f t="shared" si="2"/>
        <v>0</v>
      </c>
      <c r="Y10" s="17">
        <f t="shared" si="2"/>
        <v>6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680</v>
      </c>
      <c r="AD10" s="17">
        <f t="shared" si="2"/>
        <v>0</v>
      </c>
      <c r="AE10" s="31">
        <f t="shared" si="2"/>
        <v>1150</v>
      </c>
      <c r="AF10" s="31">
        <f t="shared" si="2"/>
        <v>1830</v>
      </c>
    </row>
    <row r="11" spans="2:32" s="6" customFormat="1" ht="23.1" customHeight="1" x14ac:dyDescent="0.25">
      <c r="B11" s="23" t="s">
        <v>38</v>
      </c>
      <c r="C11" s="50">
        <v>173</v>
      </c>
      <c r="D11" s="50">
        <v>58</v>
      </c>
      <c r="E11" s="50">
        <v>37</v>
      </c>
      <c r="F11" s="50">
        <v>8</v>
      </c>
      <c r="G11" s="50">
        <v>1</v>
      </c>
      <c r="H11" s="50">
        <v>0</v>
      </c>
      <c r="I11" s="50">
        <v>4</v>
      </c>
      <c r="J11" s="50">
        <v>1</v>
      </c>
      <c r="K11" s="50">
        <v>0</v>
      </c>
      <c r="L11" s="50">
        <v>0</v>
      </c>
      <c r="M11" s="50">
        <v>135</v>
      </c>
      <c r="N11" s="50">
        <v>0</v>
      </c>
      <c r="O11" s="15">
        <f t="shared" si="0"/>
        <v>282</v>
      </c>
      <c r="P11" s="15">
        <f t="shared" si="1"/>
        <v>417</v>
      </c>
      <c r="R11" s="1" t="s">
        <v>7</v>
      </c>
      <c r="S11" s="17">
        <f t="shared" ref="S11:AF11" si="3">SUM(C14:C17)</f>
        <v>740</v>
      </c>
      <c r="T11" s="17">
        <f t="shared" si="3"/>
        <v>307</v>
      </c>
      <c r="U11" s="17">
        <f t="shared" si="3"/>
        <v>125</v>
      </c>
      <c r="V11" s="17">
        <f t="shared" si="3"/>
        <v>22</v>
      </c>
      <c r="W11" s="17">
        <f t="shared" si="3"/>
        <v>3</v>
      </c>
      <c r="X11" s="17">
        <f t="shared" si="3"/>
        <v>0</v>
      </c>
      <c r="Y11" s="17">
        <f t="shared" si="3"/>
        <v>11</v>
      </c>
      <c r="Z11" s="17">
        <f t="shared" si="3"/>
        <v>5</v>
      </c>
      <c r="AA11" s="17">
        <f t="shared" si="3"/>
        <v>1</v>
      </c>
      <c r="AB11" s="17">
        <f t="shared" si="3"/>
        <v>0</v>
      </c>
      <c r="AC11" s="17">
        <f t="shared" si="3"/>
        <v>991</v>
      </c>
      <c r="AD11" s="17">
        <f t="shared" si="3"/>
        <v>0</v>
      </c>
      <c r="AE11" s="31">
        <f t="shared" si="3"/>
        <v>1214</v>
      </c>
      <c r="AF11" s="31">
        <f t="shared" si="3"/>
        <v>2205</v>
      </c>
    </row>
    <row r="12" spans="2:32" ht="23.1" customHeight="1" x14ac:dyDescent="0.25">
      <c r="B12" s="23" t="s">
        <v>39</v>
      </c>
      <c r="C12" s="50">
        <v>180</v>
      </c>
      <c r="D12" s="50">
        <v>74</v>
      </c>
      <c r="E12" s="50">
        <v>25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189</v>
      </c>
      <c r="N12" s="50">
        <v>0</v>
      </c>
      <c r="O12" s="15">
        <f t="shared" si="0"/>
        <v>282</v>
      </c>
      <c r="P12" s="15">
        <f t="shared" si="1"/>
        <v>471</v>
      </c>
      <c r="R12" s="1" t="s">
        <v>8</v>
      </c>
      <c r="S12" s="17">
        <f t="shared" ref="S12:AF12" si="4">SUM(C18:C21)</f>
        <v>749</v>
      </c>
      <c r="T12" s="17">
        <f t="shared" si="4"/>
        <v>301</v>
      </c>
      <c r="U12" s="17">
        <f t="shared" si="4"/>
        <v>147</v>
      </c>
      <c r="V12" s="17">
        <f t="shared" si="4"/>
        <v>17</v>
      </c>
      <c r="W12" s="17">
        <f t="shared" si="4"/>
        <v>6</v>
      </c>
      <c r="X12" s="17">
        <f t="shared" si="4"/>
        <v>1</v>
      </c>
      <c r="Y12" s="17">
        <f t="shared" si="4"/>
        <v>25</v>
      </c>
      <c r="Z12" s="17">
        <f t="shared" si="4"/>
        <v>8</v>
      </c>
      <c r="AA12" s="17">
        <f t="shared" si="4"/>
        <v>1</v>
      </c>
      <c r="AB12" s="17">
        <f t="shared" si="4"/>
        <v>0</v>
      </c>
      <c r="AC12" s="17">
        <f t="shared" si="4"/>
        <v>804</v>
      </c>
      <c r="AD12" s="17">
        <f t="shared" si="4"/>
        <v>0</v>
      </c>
      <c r="AE12" s="31">
        <f t="shared" si="4"/>
        <v>1255</v>
      </c>
      <c r="AF12" s="31">
        <f t="shared" si="4"/>
        <v>2059</v>
      </c>
    </row>
    <row r="13" spans="2:32" ht="23.1" customHeight="1" x14ac:dyDescent="0.25">
      <c r="B13" s="23" t="s">
        <v>40</v>
      </c>
      <c r="C13" s="50">
        <v>160</v>
      </c>
      <c r="D13" s="50">
        <v>80</v>
      </c>
      <c r="E13" s="50">
        <v>22</v>
      </c>
      <c r="F13" s="50">
        <v>17</v>
      </c>
      <c r="G13" s="50">
        <v>0</v>
      </c>
      <c r="H13" s="50">
        <v>0</v>
      </c>
      <c r="I13" s="50">
        <v>1</v>
      </c>
      <c r="J13" s="50">
        <v>0</v>
      </c>
      <c r="K13" s="50">
        <v>0</v>
      </c>
      <c r="L13" s="50">
        <v>0</v>
      </c>
      <c r="M13" s="50">
        <v>221</v>
      </c>
      <c r="N13" s="50">
        <v>0</v>
      </c>
      <c r="O13" s="15">
        <f t="shared" si="0"/>
        <v>280</v>
      </c>
      <c r="P13" s="15">
        <f t="shared" si="1"/>
        <v>501</v>
      </c>
      <c r="R13" s="1" t="s">
        <v>9</v>
      </c>
      <c r="S13" s="17">
        <f t="shared" ref="S13:AF13" si="5">SUM(C22:C25)</f>
        <v>679</v>
      </c>
      <c r="T13" s="17">
        <f t="shared" si="5"/>
        <v>276</v>
      </c>
      <c r="U13" s="17">
        <f t="shared" si="5"/>
        <v>166</v>
      </c>
      <c r="V13" s="17">
        <f t="shared" si="5"/>
        <v>14</v>
      </c>
      <c r="W13" s="17">
        <f t="shared" si="5"/>
        <v>2</v>
      </c>
      <c r="X13" s="17">
        <f t="shared" si="5"/>
        <v>0</v>
      </c>
      <c r="Y13" s="17">
        <f t="shared" si="5"/>
        <v>24</v>
      </c>
      <c r="Z13" s="17">
        <f t="shared" si="5"/>
        <v>8</v>
      </c>
      <c r="AA13" s="17">
        <f t="shared" si="5"/>
        <v>8</v>
      </c>
      <c r="AB13" s="17">
        <f t="shared" si="5"/>
        <v>1</v>
      </c>
      <c r="AC13" s="17">
        <f t="shared" si="5"/>
        <v>763</v>
      </c>
      <c r="AD13" s="17">
        <f t="shared" si="5"/>
        <v>0</v>
      </c>
      <c r="AE13" s="31">
        <f t="shared" si="5"/>
        <v>1178</v>
      </c>
      <c r="AF13" s="31">
        <f t="shared" si="5"/>
        <v>1941</v>
      </c>
    </row>
    <row r="14" spans="2:32" ht="23.1" customHeight="1" x14ac:dyDescent="0.25">
      <c r="B14" s="23" t="s">
        <v>41</v>
      </c>
      <c r="C14" s="50">
        <v>160</v>
      </c>
      <c r="D14" s="50">
        <v>77</v>
      </c>
      <c r="E14" s="50">
        <v>27</v>
      </c>
      <c r="F14" s="50">
        <v>3</v>
      </c>
      <c r="G14" s="50">
        <v>2</v>
      </c>
      <c r="H14" s="50">
        <v>0</v>
      </c>
      <c r="I14" s="50">
        <v>2</v>
      </c>
      <c r="J14" s="50">
        <v>0</v>
      </c>
      <c r="K14" s="50">
        <v>0</v>
      </c>
      <c r="L14" s="50">
        <v>0</v>
      </c>
      <c r="M14" s="50">
        <v>247</v>
      </c>
      <c r="N14" s="50">
        <v>0</v>
      </c>
      <c r="O14" s="15">
        <f t="shared" si="0"/>
        <v>271</v>
      </c>
      <c r="P14" s="15">
        <f t="shared" si="1"/>
        <v>518</v>
      </c>
      <c r="R14" s="1" t="s">
        <v>10</v>
      </c>
      <c r="S14" s="17">
        <f t="shared" ref="S14:AF14" si="6">SUM(C26:C29)</f>
        <v>622</v>
      </c>
      <c r="T14" s="17">
        <f t="shared" si="6"/>
        <v>279</v>
      </c>
      <c r="U14" s="17">
        <f t="shared" si="6"/>
        <v>149</v>
      </c>
      <c r="V14" s="17">
        <f t="shared" si="6"/>
        <v>15</v>
      </c>
      <c r="W14" s="17">
        <f t="shared" si="6"/>
        <v>1</v>
      </c>
      <c r="X14" s="17">
        <f t="shared" si="6"/>
        <v>0</v>
      </c>
      <c r="Y14" s="17">
        <f t="shared" si="6"/>
        <v>22</v>
      </c>
      <c r="Z14" s="17">
        <f t="shared" si="6"/>
        <v>6</v>
      </c>
      <c r="AA14" s="17">
        <f t="shared" si="6"/>
        <v>0</v>
      </c>
      <c r="AB14" s="17">
        <f t="shared" si="6"/>
        <v>1</v>
      </c>
      <c r="AC14" s="17">
        <f t="shared" si="6"/>
        <v>791</v>
      </c>
      <c r="AD14" s="17">
        <f t="shared" si="6"/>
        <v>0</v>
      </c>
      <c r="AE14" s="31">
        <f t="shared" si="6"/>
        <v>1095</v>
      </c>
      <c r="AF14" s="31">
        <f t="shared" si="6"/>
        <v>1886</v>
      </c>
    </row>
    <row r="15" spans="2:32" ht="23.1" customHeight="1" x14ac:dyDescent="0.25">
      <c r="B15" s="23" t="s">
        <v>42</v>
      </c>
      <c r="C15" s="50">
        <v>200</v>
      </c>
      <c r="D15" s="50">
        <v>64</v>
      </c>
      <c r="E15" s="50">
        <v>35</v>
      </c>
      <c r="F15" s="50">
        <v>7</v>
      </c>
      <c r="G15" s="50">
        <v>0</v>
      </c>
      <c r="H15" s="50">
        <v>0</v>
      </c>
      <c r="I15" s="50">
        <v>4</v>
      </c>
      <c r="J15" s="50">
        <v>1</v>
      </c>
      <c r="K15" s="50">
        <v>0</v>
      </c>
      <c r="L15" s="50">
        <v>0</v>
      </c>
      <c r="M15" s="50">
        <v>243</v>
      </c>
      <c r="N15" s="50">
        <v>0</v>
      </c>
      <c r="O15" s="15">
        <f t="shared" si="0"/>
        <v>311</v>
      </c>
      <c r="P15" s="15">
        <f t="shared" si="1"/>
        <v>554</v>
      </c>
      <c r="R15" s="1" t="s">
        <v>11</v>
      </c>
      <c r="S15" s="17">
        <f t="shared" ref="S15:AF15" si="7">SUM(C30:C33)</f>
        <v>672</v>
      </c>
      <c r="T15" s="17">
        <f t="shared" si="7"/>
        <v>97</v>
      </c>
      <c r="U15" s="17">
        <f t="shared" si="7"/>
        <v>58</v>
      </c>
      <c r="V15" s="17">
        <f t="shared" si="7"/>
        <v>9</v>
      </c>
      <c r="W15" s="17">
        <f t="shared" si="7"/>
        <v>0</v>
      </c>
      <c r="X15" s="17">
        <f t="shared" si="7"/>
        <v>0</v>
      </c>
      <c r="Y15" s="17">
        <f t="shared" si="7"/>
        <v>34</v>
      </c>
      <c r="Z15" s="17">
        <f t="shared" si="7"/>
        <v>6</v>
      </c>
      <c r="AA15" s="17">
        <f t="shared" si="7"/>
        <v>2</v>
      </c>
      <c r="AB15" s="17">
        <f t="shared" si="7"/>
        <v>1</v>
      </c>
      <c r="AC15" s="17">
        <f t="shared" si="7"/>
        <v>699</v>
      </c>
      <c r="AD15" s="17">
        <f t="shared" si="7"/>
        <v>0</v>
      </c>
      <c r="AE15" s="31">
        <f t="shared" si="7"/>
        <v>879</v>
      </c>
      <c r="AF15" s="31">
        <f t="shared" si="7"/>
        <v>1578</v>
      </c>
    </row>
    <row r="16" spans="2:32" ht="23.1" customHeight="1" x14ac:dyDescent="0.25">
      <c r="B16" s="23" t="s">
        <v>43</v>
      </c>
      <c r="C16" s="50">
        <v>200</v>
      </c>
      <c r="D16" s="50">
        <v>82</v>
      </c>
      <c r="E16" s="50">
        <v>43</v>
      </c>
      <c r="F16" s="50">
        <v>10</v>
      </c>
      <c r="G16" s="50">
        <v>1</v>
      </c>
      <c r="H16" s="50">
        <v>0</v>
      </c>
      <c r="I16" s="50">
        <v>2</v>
      </c>
      <c r="J16" s="50">
        <v>3</v>
      </c>
      <c r="K16" s="50">
        <v>1</v>
      </c>
      <c r="L16" s="50">
        <v>0</v>
      </c>
      <c r="M16" s="50">
        <v>242</v>
      </c>
      <c r="N16" s="50">
        <v>0</v>
      </c>
      <c r="O16" s="15">
        <f t="shared" si="0"/>
        <v>342</v>
      </c>
      <c r="P16" s="15">
        <f t="shared" si="1"/>
        <v>584</v>
      </c>
      <c r="R16" s="1" t="s">
        <v>12</v>
      </c>
      <c r="S16" s="17">
        <f t="shared" ref="S16:AF16" si="8">SUM(C34:C37)</f>
        <v>670</v>
      </c>
      <c r="T16" s="17">
        <f t="shared" si="8"/>
        <v>217</v>
      </c>
      <c r="U16" s="17">
        <f t="shared" si="8"/>
        <v>115</v>
      </c>
      <c r="V16" s="17">
        <f t="shared" si="8"/>
        <v>18</v>
      </c>
      <c r="W16" s="17">
        <f t="shared" si="8"/>
        <v>1</v>
      </c>
      <c r="X16" s="17">
        <f t="shared" si="8"/>
        <v>0</v>
      </c>
      <c r="Y16" s="17">
        <f t="shared" si="8"/>
        <v>32</v>
      </c>
      <c r="Z16" s="17">
        <f t="shared" si="8"/>
        <v>6</v>
      </c>
      <c r="AA16" s="17">
        <f t="shared" si="8"/>
        <v>0</v>
      </c>
      <c r="AB16" s="17">
        <f t="shared" si="8"/>
        <v>0</v>
      </c>
      <c r="AC16" s="17">
        <f t="shared" si="8"/>
        <v>783</v>
      </c>
      <c r="AD16" s="17">
        <f t="shared" si="8"/>
        <v>0</v>
      </c>
      <c r="AE16" s="31">
        <f t="shared" si="8"/>
        <v>1059</v>
      </c>
      <c r="AF16" s="31">
        <f t="shared" si="8"/>
        <v>1842</v>
      </c>
    </row>
    <row r="17" spans="2:32" ht="23.1" customHeight="1" x14ac:dyDescent="0.25">
      <c r="B17" s="23" t="s">
        <v>44</v>
      </c>
      <c r="C17" s="50">
        <v>180</v>
      </c>
      <c r="D17" s="50">
        <v>84</v>
      </c>
      <c r="E17" s="50">
        <v>20</v>
      </c>
      <c r="F17" s="50">
        <v>2</v>
      </c>
      <c r="G17" s="50">
        <v>0</v>
      </c>
      <c r="H17" s="50">
        <v>0</v>
      </c>
      <c r="I17" s="50">
        <v>3</v>
      </c>
      <c r="J17" s="50">
        <v>1</v>
      </c>
      <c r="K17" s="50">
        <v>0</v>
      </c>
      <c r="L17" s="50">
        <v>0</v>
      </c>
      <c r="M17" s="50">
        <v>259</v>
      </c>
      <c r="N17" s="50">
        <v>0</v>
      </c>
      <c r="O17" s="15">
        <f t="shared" si="0"/>
        <v>290</v>
      </c>
      <c r="P17" s="15">
        <f t="shared" si="1"/>
        <v>549</v>
      </c>
      <c r="R17" s="1" t="s">
        <v>13</v>
      </c>
      <c r="S17" s="17">
        <f t="shared" ref="S17:AF17" si="9">SUM(C38:C41)</f>
        <v>687</v>
      </c>
      <c r="T17" s="17">
        <f t="shared" si="9"/>
        <v>213</v>
      </c>
      <c r="U17" s="17">
        <f t="shared" si="9"/>
        <v>88</v>
      </c>
      <c r="V17" s="17">
        <f t="shared" si="9"/>
        <v>15</v>
      </c>
      <c r="W17" s="17">
        <f t="shared" si="9"/>
        <v>1</v>
      </c>
      <c r="X17" s="17">
        <f t="shared" si="9"/>
        <v>0</v>
      </c>
      <c r="Y17" s="17">
        <f t="shared" si="9"/>
        <v>32</v>
      </c>
      <c r="Z17" s="17">
        <f t="shared" si="9"/>
        <v>10</v>
      </c>
      <c r="AA17" s="17">
        <f t="shared" si="9"/>
        <v>1</v>
      </c>
      <c r="AB17" s="17">
        <f t="shared" si="9"/>
        <v>0</v>
      </c>
      <c r="AC17" s="17">
        <f t="shared" si="9"/>
        <v>769</v>
      </c>
      <c r="AD17" s="17">
        <f t="shared" si="9"/>
        <v>0</v>
      </c>
      <c r="AE17" s="31">
        <f t="shared" si="9"/>
        <v>1047</v>
      </c>
      <c r="AF17" s="31">
        <f t="shared" si="9"/>
        <v>1816</v>
      </c>
    </row>
    <row r="18" spans="2:32" ht="23.1" customHeight="1" x14ac:dyDescent="0.25">
      <c r="B18" s="23" t="s">
        <v>45</v>
      </c>
      <c r="C18" s="50">
        <v>180</v>
      </c>
      <c r="D18" s="50">
        <v>80</v>
      </c>
      <c r="E18" s="50">
        <v>33</v>
      </c>
      <c r="F18" s="50">
        <v>7</v>
      </c>
      <c r="G18" s="50">
        <v>5</v>
      </c>
      <c r="H18" s="50">
        <v>0</v>
      </c>
      <c r="I18" s="50">
        <v>5</v>
      </c>
      <c r="J18" s="50">
        <v>1</v>
      </c>
      <c r="K18" s="50">
        <v>1</v>
      </c>
      <c r="L18" s="50">
        <v>0</v>
      </c>
      <c r="M18" s="50">
        <v>229</v>
      </c>
      <c r="N18" s="50">
        <v>0</v>
      </c>
      <c r="O18" s="15">
        <f t="shared" si="0"/>
        <v>312</v>
      </c>
      <c r="P18" s="15">
        <f t="shared" si="1"/>
        <v>541</v>
      </c>
      <c r="R18" s="1" t="s">
        <v>14</v>
      </c>
      <c r="S18" s="17">
        <f t="shared" ref="S18:AF18" si="10">SUM(C42:C45)</f>
        <v>579</v>
      </c>
      <c r="T18" s="17">
        <f t="shared" si="10"/>
        <v>276</v>
      </c>
      <c r="U18" s="17">
        <f t="shared" si="10"/>
        <v>122</v>
      </c>
      <c r="V18" s="17">
        <f t="shared" si="10"/>
        <v>26</v>
      </c>
      <c r="W18" s="17">
        <f t="shared" si="10"/>
        <v>1</v>
      </c>
      <c r="X18" s="17">
        <f t="shared" si="10"/>
        <v>0</v>
      </c>
      <c r="Y18" s="17">
        <f t="shared" si="10"/>
        <v>30</v>
      </c>
      <c r="Z18" s="17">
        <f t="shared" si="10"/>
        <v>12</v>
      </c>
      <c r="AA18" s="17">
        <f t="shared" si="10"/>
        <v>0</v>
      </c>
      <c r="AB18" s="17">
        <f t="shared" si="10"/>
        <v>1</v>
      </c>
      <c r="AC18" s="17">
        <f t="shared" si="10"/>
        <v>837</v>
      </c>
      <c r="AD18" s="17">
        <f t="shared" si="10"/>
        <v>0</v>
      </c>
      <c r="AE18" s="31">
        <f t="shared" si="10"/>
        <v>1047</v>
      </c>
      <c r="AF18" s="31">
        <f t="shared" si="10"/>
        <v>1884</v>
      </c>
    </row>
    <row r="19" spans="2:32" ht="23.1" customHeight="1" x14ac:dyDescent="0.25">
      <c r="B19" s="23" t="s">
        <v>46</v>
      </c>
      <c r="C19" s="50">
        <v>200</v>
      </c>
      <c r="D19" s="50">
        <v>69</v>
      </c>
      <c r="E19" s="50">
        <v>42</v>
      </c>
      <c r="F19" s="50">
        <v>2</v>
      </c>
      <c r="G19" s="50">
        <v>0</v>
      </c>
      <c r="H19" s="50">
        <v>1</v>
      </c>
      <c r="I19" s="50">
        <v>3</v>
      </c>
      <c r="J19" s="50">
        <v>2</v>
      </c>
      <c r="K19" s="50">
        <v>0</v>
      </c>
      <c r="L19" s="50">
        <v>0</v>
      </c>
      <c r="M19" s="50">
        <v>234</v>
      </c>
      <c r="N19" s="50">
        <v>0</v>
      </c>
      <c r="O19" s="15">
        <f t="shared" si="0"/>
        <v>319</v>
      </c>
      <c r="P19" s="15">
        <f t="shared" si="1"/>
        <v>553</v>
      </c>
      <c r="R19" s="1" t="s">
        <v>15</v>
      </c>
      <c r="S19" s="17">
        <f t="shared" ref="S19:AF19" si="11">SUM(C46:C49)</f>
        <v>611</v>
      </c>
      <c r="T19" s="17">
        <f t="shared" si="11"/>
        <v>264</v>
      </c>
      <c r="U19" s="17">
        <f t="shared" si="11"/>
        <v>184</v>
      </c>
      <c r="V19" s="17">
        <f t="shared" si="11"/>
        <v>79</v>
      </c>
      <c r="W19" s="17">
        <f t="shared" si="11"/>
        <v>1</v>
      </c>
      <c r="X19" s="17">
        <f t="shared" si="11"/>
        <v>0</v>
      </c>
      <c r="Y19" s="17">
        <f t="shared" si="11"/>
        <v>32</v>
      </c>
      <c r="Z19" s="17">
        <f t="shared" si="11"/>
        <v>13</v>
      </c>
      <c r="AA19" s="17">
        <f t="shared" si="11"/>
        <v>1</v>
      </c>
      <c r="AB19" s="17">
        <f t="shared" si="11"/>
        <v>1</v>
      </c>
      <c r="AC19" s="17">
        <f t="shared" si="11"/>
        <v>890</v>
      </c>
      <c r="AD19" s="17">
        <f t="shared" si="11"/>
        <v>0</v>
      </c>
      <c r="AE19" s="31">
        <f t="shared" si="11"/>
        <v>1186</v>
      </c>
      <c r="AF19" s="31">
        <f t="shared" si="11"/>
        <v>2076</v>
      </c>
    </row>
    <row r="20" spans="2:32" ht="23.1" customHeight="1" x14ac:dyDescent="0.25">
      <c r="B20" s="23" t="s">
        <v>47</v>
      </c>
      <c r="C20" s="50">
        <v>180</v>
      </c>
      <c r="D20" s="50">
        <v>68</v>
      </c>
      <c r="E20" s="50">
        <v>42</v>
      </c>
      <c r="F20" s="50">
        <v>3</v>
      </c>
      <c r="G20" s="50">
        <v>1</v>
      </c>
      <c r="H20" s="50">
        <v>0</v>
      </c>
      <c r="I20" s="50">
        <v>7</v>
      </c>
      <c r="J20" s="50">
        <v>3</v>
      </c>
      <c r="K20" s="50">
        <v>0</v>
      </c>
      <c r="L20" s="50">
        <v>0</v>
      </c>
      <c r="M20" s="50">
        <v>154</v>
      </c>
      <c r="N20" s="50">
        <v>0</v>
      </c>
      <c r="O20" s="15">
        <f t="shared" si="0"/>
        <v>304</v>
      </c>
      <c r="P20" s="15">
        <f t="shared" si="1"/>
        <v>458</v>
      </c>
      <c r="R20" s="1" t="s">
        <v>16</v>
      </c>
      <c r="S20" s="17">
        <f t="shared" ref="S20:AF20" si="12">SUM(C50:C53)</f>
        <v>670</v>
      </c>
      <c r="T20" s="17">
        <f t="shared" si="12"/>
        <v>323</v>
      </c>
      <c r="U20" s="17">
        <f t="shared" si="12"/>
        <v>150</v>
      </c>
      <c r="V20" s="17">
        <f t="shared" si="12"/>
        <v>72</v>
      </c>
      <c r="W20" s="17">
        <f t="shared" si="12"/>
        <v>2</v>
      </c>
      <c r="X20" s="17">
        <f t="shared" si="12"/>
        <v>0</v>
      </c>
      <c r="Y20" s="17">
        <f t="shared" si="12"/>
        <v>22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972</v>
      </c>
      <c r="AD20" s="17">
        <f t="shared" si="12"/>
        <v>0</v>
      </c>
      <c r="AE20" s="31">
        <f t="shared" si="12"/>
        <v>1245</v>
      </c>
      <c r="AF20" s="31">
        <f t="shared" si="12"/>
        <v>2217</v>
      </c>
    </row>
    <row r="21" spans="2:32" ht="23.1" customHeight="1" x14ac:dyDescent="0.25">
      <c r="B21" s="23" t="s">
        <v>48</v>
      </c>
      <c r="C21" s="50">
        <v>189</v>
      </c>
      <c r="D21" s="50">
        <v>84</v>
      </c>
      <c r="E21" s="50">
        <v>30</v>
      </c>
      <c r="F21" s="50">
        <v>5</v>
      </c>
      <c r="G21" s="50">
        <v>0</v>
      </c>
      <c r="H21" s="50">
        <v>0</v>
      </c>
      <c r="I21" s="50">
        <v>10</v>
      </c>
      <c r="J21" s="50">
        <v>2</v>
      </c>
      <c r="K21" s="50">
        <v>0</v>
      </c>
      <c r="L21" s="50">
        <v>0</v>
      </c>
      <c r="M21" s="50">
        <v>187</v>
      </c>
      <c r="N21" s="50">
        <v>0</v>
      </c>
      <c r="O21" s="15">
        <f t="shared" si="0"/>
        <v>320</v>
      </c>
      <c r="P21" s="15">
        <f t="shared" si="1"/>
        <v>507</v>
      </c>
      <c r="R21" s="36" t="s">
        <v>20</v>
      </c>
      <c r="S21" s="34">
        <f t="shared" ref="S21:AF21" si="13">SUM(C54:C57)</f>
        <v>580</v>
      </c>
      <c r="T21" s="17">
        <f t="shared" si="13"/>
        <v>230</v>
      </c>
      <c r="U21" s="17">
        <f t="shared" si="13"/>
        <v>111</v>
      </c>
      <c r="V21" s="17">
        <f t="shared" si="13"/>
        <v>16</v>
      </c>
      <c r="W21" s="17">
        <f t="shared" si="13"/>
        <v>1</v>
      </c>
      <c r="X21" s="17">
        <f t="shared" si="13"/>
        <v>0</v>
      </c>
      <c r="Y21" s="17">
        <f t="shared" si="13"/>
        <v>18</v>
      </c>
      <c r="Z21" s="17">
        <f t="shared" si="13"/>
        <v>10</v>
      </c>
      <c r="AA21" s="17">
        <f t="shared" si="13"/>
        <v>0</v>
      </c>
      <c r="AB21" s="17">
        <f t="shared" si="13"/>
        <v>0</v>
      </c>
      <c r="AC21" s="17">
        <f t="shared" si="13"/>
        <v>841</v>
      </c>
      <c r="AD21" s="17">
        <f t="shared" si="13"/>
        <v>0</v>
      </c>
      <c r="AE21" s="31">
        <f t="shared" si="13"/>
        <v>966</v>
      </c>
      <c r="AF21" s="31">
        <f t="shared" si="13"/>
        <v>1807</v>
      </c>
    </row>
    <row r="22" spans="2:32" ht="23.1" customHeight="1" x14ac:dyDescent="0.25">
      <c r="B22" s="23" t="s">
        <v>49</v>
      </c>
      <c r="C22" s="50">
        <v>195</v>
      </c>
      <c r="D22" s="50">
        <v>75</v>
      </c>
      <c r="E22" s="50">
        <v>36</v>
      </c>
      <c r="F22" s="50">
        <v>2</v>
      </c>
      <c r="G22" s="50">
        <v>0</v>
      </c>
      <c r="H22" s="50">
        <v>0</v>
      </c>
      <c r="I22" s="50">
        <v>6</v>
      </c>
      <c r="J22" s="50">
        <v>2</v>
      </c>
      <c r="K22" s="50">
        <v>2</v>
      </c>
      <c r="L22" s="50">
        <v>0</v>
      </c>
      <c r="M22" s="50">
        <v>207</v>
      </c>
      <c r="N22" s="50">
        <v>0</v>
      </c>
      <c r="O22" s="15">
        <f t="shared" si="0"/>
        <v>318</v>
      </c>
      <c r="P22" s="15">
        <f t="shared" si="1"/>
        <v>525</v>
      </c>
      <c r="R22" s="38" t="s">
        <v>90</v>
      </c>
      <c r="S22" s="39">
        <f>MAX(S10:S12)</f>
        <v>749</v>
      </c>
      <c r="T22" s="39">
        <f t="shared" ref="T22:AF22" si="14">MAX(T10:T12)</f>
        <v>307</v>
      </c>
      <c r="U22" s="39">
        <f t="shared" si="14"/>
        <v>147</v>
      </c>
      <c r="V22" s="39">
        <f t="shared" si="14"/>
        <v>30</v>
      </c>
      <c r="W22" s="39">
        <f t="shared" si="14"/>
        <v>6</v>
      </c>
      <c r="X22" s="39">
        <f t="shared" si="14"/>
        <v>1</v>
      </c>
      <c r="Y22" s="39">
        <f t="shared" si="14"/>
        <v>25</v>
      </c>
      <c r="Z22" s="39">
        <f t="shared" si="14"/>
        <v>8</v>
      </c>
      <c r="AA22" s="39">
        <f t="shared" si="14"/>
        <v>1</v>
      </c>
      <c r="AB22" s="39">
        <f t="shared" si="14"/>
        <v>0</v>
      </c>
      <c r="AC22" s="39">
        <f t="shared" si="14"/>
        <v>991</v>
      </c>
      <c r="AD22" s="39">
        <f t="shared" si="14"/>
        <v>0</v>
      </c>
      <c r="AE22" s="40">
        <f t="shared" si="14"/>
        <v>1255</v>
      </c>
      <c r="AF22" s="40">
        <f t="shared" si="14"/>
        <v>2205</v>
      </c>
    </row>
    <row r="23" spans="2:32" ht="23.1" customHeight="1" x14ac:dyDescent="0.25">
      <c r="B23" s="23" t="s">
        <v>50</v>
      </c>
      <c r="C23" s="50">
        <v>163</v>
      </c>
      <c r="D23" s="50">
        <v>79</v>
      </c>
      <c r="E23" s="50">
        <v>60</v>
      </c>
      <c r="F23" s="50">
        <v>3</v>
      </c>
      <c r="G23" s="50">
        <v>0</v>
      </c>
      <c r="H23" s="50">
        <v>0</v>
      </c>
      <c r="I23" s="50">
        <v>5</v>
      </c>
      <c r="J23" s="50">
        <v>2</v>
      </c>
      <c r="K23" s="50">
        <v>0</v>
      </c>
      <c r="L23" s="50">
        <v>1</v>
      </c>
      <c r="M23" s="50">
        <v>148</v>
      </c>
      <c r="N23" s="50">
        <v>0</v>
      </c>
      <c r="O23" s="15">
        <f t="shared" si="0"/>
        <v>313</v>
      </c>
      <c r="P23" s="15">
        <f t="shared" si="1"/>
        <v>461</v>
      </c>
      <c r="R23" s="38" t="s">
        <v>91</v>
      </c>
      <c r="S23" s="39">
        <f>MAX(S13:S18)</f>
        <v>687</v>
      </c>
      <c r="T23" s="39">
        <f t="shared" ref="T23:AF23" si="15">MAX(T13:T18)</f>
        <v>279</v>
      </c>
      <c r="U23" s="39">
        <f t="shared" si="15"/>
        <v>166</v>
      </c>
      <c r="V23" s="39">
        <f t="shared" si="15"/>
        <v>26</v>
      </c>
      <c r="W23" s="39">
        <f t="shared" si="15"/>
        <v>2</v>
      </c>
      <c r="X23" s="39">
        <f t="shared" si="15"/>
        <v>0</v>
      </c>
      <c r="Y23" s="39">
        <f t="shared" si="15"/>
        <v>34</v>
      </c>
      <c r="Z23" s="39">
        <f t="shared" si="15"/>
        <v>12</v>
      </c>
      <c r="AA23" s="39">
        <f t="shared" si="15"/>
        <v>8</v>
      </c>
      <c r="AB23" s="39">
        <f t="shared" si="15"/>
        <v>1</v>
      </c>
      <c r="AC23" s="39">
        <f t="shared" si="15"/>
        <v>837</v>
      </c>
      <c r="AD23" s="39">
        <f t="shared" si="15"/>
        <v>0</v>
      </c>
      <c r="AE23" s="40">
        <f t="shared" si="15"/>
        <v>1178</v>
      </c>
      <c r="AF23" s="40">
        <f t="shared" si="15"/>
        <v>1941</v>
      </c>
    </row>
    <row r="24" spans="2:32" ht="23.1" customHeight="1" x14ac:dyDescent="0.25">
      <c r="B24" s="23" t="s">
        <v>51</v>
      </c>
      <c r="C24" s="50">
        <v>161</v>
      </c>
      <c r="D24" s="50">
        <v>62</v>
      </c>
      <c r="E24" s="50">
        <v>50</v>
      </c>
      <c r="F24" s="50">
        <v>6</v>
      </c>
      <c r="G24" s="50">
        <v>2</v>
      </c>
      <c r="H24" s="50">
        <v>0</v>
      </c>
      <c r="I24" s="50">
        <v>6</v>
      </c>
      <c r="J24" s="50">
        <v>1</v>
      </c>
      <c r="K24" s="50">
        <v>3</v>
      </c>
      <c r="L24" s="50">
        <v>0</v>
      </c>
      <c r="M24" s="50">
        <v>204</v>
      </c>
      <c r="N24" s="50">
        <v>0</v>
      </c>
      <c r="O24" s="15">
        <f t="shared" si="0"/>
        <v>291</v>
      </c>
      <c r="P24" s="15">
        <f t="shared" si="1"/>
        <v>495</v>
      </c>
      <c r="R24" s="38" t="s">
        <v>92</v>
      </c>
      <c r="S24" s="39">
        <f>MAX(S19:S21)</f>
        <v>670</v>
      </c>
      <c r="T24" s="39">
        <f t="shared" ref="T24:AF24" si="16">MAX(T19:T21)</f>
        <v>323</v>
      </c>
      <c r="U24" s="39">
        <f t="shared" si="16"/>
        <v>184</v>
      </c>
      <c r="V24" s="39">
        <f t="shared" si="16"/>
        <v>79</v>
      </c>
      <c r="W24" s="39">
        <f t="shared" si="16"/>
        <v>2</v>
      </c>
      <c r="X24" s="39">
        <f t="shared" si="16"/>
        <v>0</v>
      </c>
      <c r="Y24" s="39">
        <f t="shared" si="16"/>
        <v>32</v>
      </c>
      <c r="Z24" s="39">
        <f t="shared" si="16"/>
        <v>13</v>
      </c>
      <c r="AA24" s="39">
        <f t="shared" si="16"/>
        <v>1</v>
      </c>
      <c r="AB24" s="39">
        <f t="shared" si="16"/>
        <v>1</v>
      </c>
      <c r="AC24" s="39">
        <f t="shared" si="16"/>
        <v>972</v>
      </c>
      <c r="AD24" s="39">
        <f t="shared" si="16"/>
        <v>0</v>
      </c>
      <c r="AE24" s="40">
        <f t="shared" si="16"/>
        <v>1245</v>
      </c>
      <c r="AF24" s="40">
        <f t="shared" si="16"/>
        <v>2217</v>
      </c>
    </row>
    <row r="25" spans="2:32" ht="23.1" customHeight="1" x14ac:dyDescent="0.25">
      <c r="B25" s="23" t="s">
        <v>52</v>
      </c>
      <c r="C25" s="50">
        <v>160</v>
      </c>
      <c r="D25" s="50">
        <v>60</v>
      </c>
      <c r="E25" s="50">
        <v>20</v>
      </c>
      <c r="F25" s="50">
        <v>3</v>
      </c>
      <c r="G25" s="50">
        <v>0</v>
      </c>
      <c r="H25" s="50">
        <v>0</v>
      </c>
      <c r="I25" s="50">
        <v>7</v>
      </c>
      <c r="J25" s="50">
        <v>3</v>
      </c>
      <c r="K25" s="50">
        <v>3</v>
      </c>
      <c r="L25" s="50">
        <v>0</v>
      </c>
      <c r="M25" s="50">
        <v>204</v>
      </c>
      <c r="N25" s="50">
        <v>0</v>
      </c>
      <c r="O25" s="15">
        <f t="shared" si="0"/>
        <v>256</v>
      </c>
      <c r="P25" s="15">
        <f t="shared" si="1"/>
        <v>460</v>
      </c>
      <c r="R25" s="37" t="s">
        <v>85</v>
      </c>
      <c r="S25" s="35">
        <f t="shared" ref="S25:AF25" si="17">SUM(S10:S12)</f>
        <v>2177</v>
      </c>
      <c r="T25" s="16">
        <f t="shared" si="17"/>
        <v>900</v>
      </c>
      <c r="U25" s="16">
        <f t="shared" si="17"/>
        <v>404</v>
      </c>
      <c r="V25" s="16">
        <f t="shared" si="17"/>
        <v>69</v>
      </c>
      <c r="W25" s="16">
        <f t="shared" si="17"/>
        <v>10</v>
      </c>
      <c r="X25" s="16">
        <f t="shared" si="17"/>
        <v>1</v>
      </c>
      <c r="Y25" s="16">
        <f t="shared" si="17"/>
        <v>42</v>
      </c>
      <c r="Z25" s="16">
        <f t="shared" si="17"/>
        <v>14</v>
      </c>
      <c r="AA25" s="16">
        <f t="shared" si="17"/>
        <v>2</v>
      </c>
      <c r="AB25" s="16">
        <f t="shared" si="17"/>
        <v>0</v>
      </c>
      <c r="AC25" s="16">
        <f t="shared" si="17"/>
        <v>2475</v>
      </c>
      <c r="AD25" s="16">
        <f t="shared" si="17"/>
        <v>0</v>
      </c>
      <c r="AE25" s="32">
        <f t="shared" si="17"/>
        <v>3619</v>
      </c>
      <c r="AF25" s="32">
        <f t="shared" si="17"/>
        <v>6094</v>
      </c>
    </row>
    <row r="26" spans="2:32" ht="23.1" customHeight="1" x14ac:dyDescent="0.25">
      <c r="B26" s="23" t="s">
        <v>53</v>
      </c>
      <c r="C26" s="50">
        <v>155</v>
      </c>
      <c r="D26" s="50">
        <v>63</v>
      </c>
      <c r="E26" s="50">
        <v>47</v>
      </c>
      <c r="F26" s="50">
        <v>6</v>
      </c>
      <c r="G26" s="50">
        <v>1</v>
      </c>
      <c r="H26" s="50">
        <v>0</v>
      </c>
      <c r="I26" s="50">
        <v>5</v>
      </c>
      <c r="J26" s="50">
        <v>3</v>
      </c>
      <c r="K26" s="50">
        <v>0</v>
      </c>
      <c r="L26" s="50">
        <v>0</v>
      </c>
      <c r="M26" s="50">
        <v>199</v>
      </c>
      <c r="N26" s="50">
        <v>0</v>
      </c>
      <c r="O26" s="15">
        <f t="shared" si="0"/>
        <v>280</v>
      </c>
      <c r="P26" s="15">
        <f t="shared" si="1"/>
        <v>479</v>
      </c>
      <c r="R26" s="28" t="s">
        <v>86</v>
      </c>
      <c r="S26" s="16">
        <f t="shared" ref="S26:AF26" si="18">SUM(S13:S18)</f>
        <v>3909</v>
      </c>
      <c r="T26" s="16">
        <f t="shared" si="18"/>
        <v>1358</v>
      </c>
      <c r="U26" s="16">
        <f t="shared" si="18"/>
        <v>698</v>
      </c>
      <c r="V26" s="16">
        <f t="shared" si="18"/>
        <v>97</v>
      </c>
      <c r="W26" s="16">
        <f t="shared" si="18"/>
        <v>6</v>
      </c>
      <c r="X26" s="16">
        <f t="shared" si="18"/>
        <v>0</v>
      </c>
      <c r="Y26" s="16">
        <f t="shared" si="18"/>
        <v>174</v>
      </c>
      <c r="Z26" s="16">
        <f t="shared" si="18"/>
        <v>48</v>
      </c>
      <c r="AA26" s="16">
        <f t="shared" si="18"/>
        <v>11</v>
      </c>
      <c r="AB26" s="16">
        <f t="shared" si="18"/>
        <v>4</v>
      </c>
      <c r="AC26" s="16">
        <f t="shared" si="18"/>
        <v>4642</v>
      </c>
      <c r="AD26" s="16">
        <f t="shared" si="18"/>
        <v>0</v>
      </c>
      <c r="AE26" s="32">
        <f t="shared" si="18"/>
        <v>6305</v>
      </c>
      <c r="AF26" s="32">
        <f t="shared" si="18"/>
        <v>10947</v>
      </c>
    </row>
    <row r="27" spans="2:32" ht="23.1" customHeight="1" x14ac:dyDescent="0.25">
      <c r="B27" s="23" t="s">
        <v>54</v>
      </c>
      <c r="C27" s="50">
        <v>140</v>
      </c>
      <c r="D27" s="50">
        <v>80</v>
      </c>
      <c r="E27" s="50">
        <v>38</v>
      </c>
      <c r="F27" s="50">
        <v>3</v>
      </c>
      <c r="G27" s="50">
        <v>0</v>
      </c>
      <c r="H27" s="50">
        <v>0</v>
      </c>
      <c r="I27" s="50">
        <v>8</v>
      </c>
      <c r="J27" s="50">
        <v>0</v>
      </c>
      <c r="K27" s="50">
        <v>0</v>
      </c>
      <c r="L27" s="50">
        <v>1</v>
      </c>
      <c r="M27" s="50">
        <v>189</v>
      </c>
      <c r="N27" s="50">
        <v>0</v>
      </c>
      <c r="O27" s="15">
        <f t="shared" si="0"/>
        <v>270</v>
      </c>
      <c r="P27" s="15">
        <f t="shared" si="1"/>
        <v>459</v>
      </c>
      <c r="R27" s="29" t="s">
        <v>87</v>
      </c>
      <c r="S27" s="16">
        <f t="shared" ref="S27:AF27" si="19">SUM(S19:S21)</f>
        <v>1861</v>
      </c>
      <c r="T27" s="16">
        <f t="shared" si="19"/>
        <v>817</v>
      </c>
      <c r="U27" s="16">
        <f t="shared" si="19"/>
        <v>445</v>
      </c>
      <c r="V27" s="16">
        <f t="shared" si="19"/>
        <v>167</v>
      </c>
      <c r="W27" s="16">
        <f t="shared" si="19"/>
        <v>4</v>
      </c>
      <c r="X27" s="16">
        <f t="shared" si="19"/>
        <v>0</v>
      </c>
      <c r="Y27" s="16">
        <f t="shared" si="19"/>
        <v>72</v>
      </c>
      <c r="Z27" s="16">
        <f t="shared" si="19"/>
        <v>28</v>
      </c>
      <c r="AA27" s="16">
        <f t="shared" si="19"/>
        <v>2</v>
      </c>
      <c r="AB27" s="16">
        <f t="shared" si="19"/>
        <v>1</v>
      </c>
      <c r="AC27" s="16">
        <f t="shared" si="19"/>
        <v>2703</v>
      </c>
      <c r="AD27" s="16">
        <f t="shared" si="19"/>
        <v>0</v>
      </c>
      <c r="AE27" s="32">
        <f t="shared" si="19"/>
        <v>3397</v>
      </c>
      <c r="AF27" s="32">
        <f t="shared" si="19"/>
        <v>6100</v>
      </c>
    </row>
    <row r="28" spans="2:32" ht="23.1" customHeight="1" x14ac:dyDescent="0.25">
      <c r="B28" s="23" t="s">
        <v>55</v>
      </c>
      <c r="C28" s="50">
        <v>145</v>
      </c>
      <c r="D28" s="50">
        <v>68</v>
      </c>
      <c r="E28" s="50">
        <v>40</v>
      </c>
      <c r="F28" s="50">
        <v>2</v>
      </c>
      <c r="G28" s="50">
        <v>0</v>
      </c>
      <c r="H28" s="50">
        <v>0</v>
      </c>
      <c r="I28" s="50">
        <v>9</v>
      </c>
      <c r="J28" s="50">
        <v>3</v>
      </c>
      <c r="K28" s="50">
        <v>0</v>
      </c>
      <c r="L28" s="50">
        <v>0</v>
      </c>
      <c r="M28" s="50">
        <v>224</v>
      </c>
      <c r="N28" s="50">
        <v>0</v>
      </c>
      <c r="O28" s="15">
        <f t="shared" si="0"/>
        <v>267</v>
      </c>
      <c r="P28" s="15">
        <f t="shared" si="1"/>
        <v>491</v>
      </c>
      <c r="R28" s="5" t="s">
        <v>17</v>
      </c>
      <c r="S28" s="16">
        <f t="shared" ref="S28:AF28" si="20">SUM(S10:S21)</f>
        <v>7947</v>
      </c>
      <c r="T28" s="16">
        <f t="shared" si="20"/>
        <v>3075</v>
      </c>
      <c r="U28" s="16">
        <f t="shared" si="20"/>
        <v>1547</v>
      </c>
      <c r="V28" s="16">
        <f t="shared" si="20"/>
        <v>333</v>
      </c>
      <c r="W28" s="16">
        <f t="shared" si="20"/>
        <v>20</v>
      </c>
      <c r="X28" s="16">
        <f t="shared" si="20"/>
        <v>1</v>
      </c>
      <c r="Y28" s="16">
        <f t="shared" si="20"/>
        <v>288</v>
      </c>
      <c r="Z28" s="16">
        <f t="shared" si="20"/>
        <v>90</v>
      </c>
      <c r="AA28" s="16">
        <f t="shared" si="20"/>
        <v>15</v>
      </c>
      <c r="AB28" s="16">
        <f t="shared" si="20"/>
        <v>5</v>
      </c>
      <c r="AC28" s="16">
        <f t="shared" si="20"/>
        <v>9820</v>
      </c>
      <c r="AD28" s="16">
        <f t="shared" si="20"/>
        <v>0</v>
      </c>
      <c r="AE28" s="32">
        <f t="shared" si="20"/>
        <v>13321</v>
      </c>
      <c r="AF28" s="32">
        <f t="shared" si="20"/>
        <v>23141</v>
      </c>
    </row>
    <row r="29" spans="2:32" ht="23.1" customHeight="1" x14ac:dyDescent="0.25">
      <c r="B29" s="23" t="s">
        <v>56</v>
      </c>
      <c r="C29" s="50">
        <v>182</v>
      </c>
      <c r="D29" s="50">
        <v>68</v>
      </c>
      <c r="E29" s="50">
        <v>24</v>
      </c>
      <c r="F29" s="50">
        <v>4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179</v>
      </c>
      <c r="N29" s="50">
        <v>0</v>
      </c>
      <c r="O29" s="15">
        <f t="shared" si="0"/>
        <v>278</v>
      </c>
      <c r="P29" s="15">
        <f t="shared" si="1"/>
        <v>457</v>
      </c>
      <c r="R29"/>
      <c r="S29" s="20"/>
      <c r="T29" s="19"/>
    </row>
    <row r="30" spans="2:32" ht="23.1" customHeight="1" x14ac:dyDescent="0.25">
      <c r="B30" s="23" t="s">
        <v>57</v>
      </c>
      <c r="C30" s="50">
        <v>165</v>
      </c>
      <c r="D30" s="50">
        <v>26</v>
      </c>
      <c r="E30" s="50">
        <v>13</v>
      </c>
      <c r="F30" s="50">
        <v>2</v>
      </c>
      <c r="G30" s="50">
        <v>0</v>
      </c>
      <c r="H30" s="50">
        <v>0</v>
      </c>
      <c r="I30" s="50">
        <v>11</v>
      </c>
      <c r="J30" s="50">
        <v>0</v>
      </c>
      <c r="K30" s="50">
        <v>1</v>
      </c>
      <c r="L30" s="50">
        <v>1</v>
      </c>
      <c r="M30" s="50">
        <v>132</v>
      </c>
      <c r="N30" s="50">
        <v>0</v>
      </c>
      <c r="O30" s="15">
        <f t="shared" si="0"/>
        <v>219</v>
      </c>
      <c r="P30" s="15">
        <f t="shared" si="1"/>
        <v>351</v>
      </c>
    </row>
    <row r="31" spans="2:32" ht="23.1" customHeight="1" x14ac:dyDescent="0.25">
      <c r="B31" s="24" t="s">
        <v>58</v>
      </c>
      <c r="C31" s="50">
        <v>187</v>
      </c>
      <c r="D31" s="50">
        <v>31</v>
      </c>
      <c r="E31" s="50">
        <v>18</v>
      </c>
      <c r="F31" s="50">
        <v>2</v>
      </c>
      <c r="G31" s="50">
        <v>0</v>
      </c>
      <c r="H31" s="50">
        <v>0</v>
      </c>
      <c r="I31" s="50">
        <v>9</v>
      </c>
      <c r="J31" s="50">
        <v>1</v>
      </c>
      <c r="K31" s="50">
        <v>0</v>
      </c>
      <c r="L31" s="50">
        <v>0</v>
      </c>
      <c r="M31" s="50">
        <v>201</v>
      </c>
      <c r="N31" s="50">
        <v>0</v>
      </c>
      <c r="O31" s="15">
        <f t="shared" si="0"/>
        <v>248</v>
      </c>
      <c r="P31" s="15">
        <f t="shared" si="1"/>
        <v>449</v>
      </c>
    </row>
    <row r="32" spans="2:32" ht="23.1" customHeight="1" x14ac:dyDescent="0.25">
      <c r="B32" s="24" t="s">
        <v>59</v>
      </c>
      <c r="C32" s="50">
        <v>175</v>
      </c>
      <c r="D32" s="50">
        <v>13</v>
      </c>
      <c r="E32" s="50">
        <v>13</v>
      </c>
      <c r="F32" s="50">
        <v>3</v>
      </c>
      <c r="G32" s="50">
        <v>0</v>
      </c>
      <c r="H32" s="50">
        <v>0</v>
      </c>
      <c r="I32" s="50">
        <v>5</v>
      </c>
      <c r="J32" s="50">
        <v>3</v>
      </c>
      <c r="K32" s="50">
        <v>1</v>
      </c>
      <c r="L32" s="50">
        <v>0</v>
      </c>
      <c r="M32" s="50">
        <v>189</v>
      </c>
      <c r="N32" s="50">
        <v>0</v>
      </c>
      <c r="O32" s="15">
        <f t="shared" si="0"/>
        <v>213</v>
      </c>
      <c r="P32" s="15">
        <f t="shared" si="1"/>
        <v>402</v>
      </c>
    </row>
    <row r="33" spans="2:20" ht="23.1" customHeight="1" x14ac:dyDescent="0.25">
      <c r="B33" s="23" t="s">
        <v>60</v>
      </c>
      <c r="C33" s="50">
        <v>145</v>
      </c>
      <c r="D33" s="50">
        <v>27</v>
      </c>
      <c r="E33" s="50">
        <v>14</v>
      </c>
      <c r="F33" s="50">
        <v>2</v>
      </c>
      <c r="G33" s="50">
        <v>0</v>
      </c>
      <c r="H33" s="50">
        <v>0</v>
      </c>
      <c r="I33" s="50">
        <v>9</v>
      </c>
      <c r="J33" s="50">
        <v>2</v>
      </c>
      <c r="K33" s="50">
        <v>0</v>
      </c>
      <c r="L33" s="50">
        <v>0</v>
      </c>
      <c r="M33" s="50">
        <v>177</v>
      </c>
      <c r="N33" s="50">
        <v>0</v>
      </c>
      <c r="O33" s="15">
        <f t="shared" si="0"/>
        <v>199</v>
      </c>
      <c r="P33" s="15">
        <f t="shared" si="1"/>
        <v>376</v>
      </c>
    </row>
    <row r="34" spans="2:20" ht="23.1" customHeight="1" x14ac:dyDescent="0.25">
      <c r="B34" s="24" t="s">
        <v>61</v>
      </c>
      <c r="C34" s="50">
        <v>227</v>
      </c>
      <c r="D34" s="50">
        <v>31</v>
      </c>
      <c r="E34" s="50">
        <v>23</v>
      </c>
      <c r="F34" s="50">
        <v>5</v>
      </c>
      <c r="G34" s="50">
        <v>0</v>
      </c>
      <c r="H34" s="50">
        <v>0</v>
      </c>
      <c r="I34" s="50">
        <v>6</v>
      </c>
      <c r="J34" s="50">
        <v>3</v>
      </c>
      <c r="K34" s="50">
        <v>0</v>
      </c>
      <c r="L34" s="50">
        <v>0</v>
      </c>
      <c r="M34" s="50">
        <v>154</v>
      </c>
      <c r="N34" s="50">
        <v>0</v>
      </c>
      <c r="O34" s="15">
        <f t="shared" si="0"/>
        <v>295</v>
      </c>
      <c r="P34" s="15">
        <f t="shared" si="1"/>
        <v>449</v>
      </c>
    </row>
    <row r="35" spans="2:20" ht="23.1" customHeight="1" x14ac:dyDescent="0.25">
      <c r="B35" s="24" t="s">
        <v>62</v>
      </c>
      <c r="C35" s="50">
        <v>160</v>
      </c>
      <c r="D35" s="50">
        <v>60</v>
      </c>
      <c r="E35" s="50">
        <v>34</v>
      </c>
      <c r="F35" s="50">
        <v>3</v>
      </c>
      <c r="G35" s="50">
        <v>1</v>
      </c>
      <c r="H35" s="50">
        <v>0</v>
      </c>
      <c r="I35" s="50">
        <v>11</v>
      </c>
      <c r="J35" s="50">
        <v>1</v>
      </c>
      <c r="K35" s="50">
        <v>0</v>
      </c>
      <c r="L35" s="50">
        <v>0</v>
      </c>
      <c r="M35" s="50">
        <v>221</v>
      </c>
      <c r="N35" s="50">
        <v>0</v>
      </c>
      <c r="O35" s="15">
        <f t="shared" si="0"/>
        <v>270</v>
      </c>
      <c r="P35" s="15">
        <f t="shared" si="1"/>
        <v>491</v>
      </c>
    </row>
    <row r="36" spans="2:20" ht="23.1" customHeight="1" x14ac:dyDescent="0.25">
      <c r="B36" s="24" t="s">
        <v>63</v>
      </c>
      <c r="C36" s="50">
        <v>120</v>
      </c>
      <c r="D36" s="50">
        <v>56</v>
      </c>
      <c r="E36" s="50">
        <v>20</v>
      </c>
      <c r="F36" s="50">
        <v>8</v>
      </c>
      <c r="G36" s="50">
        <v>0</v>
      </c>
      <c r="H36" s="50">
        <v>0</v>
      </c>
      <c r="I36" s="50">
        <v>9</v>
      </c>
      <c r="J36" s="50">
        <v>1</v>
      </c>
      <c r="K36" s="50">
        <v>0</v>
      </c>
      <c r="L36" s="50">
        <v>0</v>
      </c>
      <c r="M36" s="50">
        <v>207</v>
      </c>
      <c r="N36" s="50">
        <v>0</v>
      </c>
      <c r="O36" s="15">
        <f t="shared" si="0"/>
        <v>214</v>
      </c>
      <c r="P36" s="15">
        <f t="shared" si="1"/>
        <v>421</v>
      </c>
    </row>
    <row r="37" spans="2:20" ht="23.1" customHeight="1" x14ac:dyDescent="0.25">
      <c r="B37" s="23" t="s">
        <v>64</v>
      </c>
      <c r="C37" s="50">
        <v>163</v>
      </c>
      <c r="D37" s="50">
        <v>70</v>
      </c>
      <c r="E37" s="50">
        <v>38</v>
      </c>
      <c r="F37" s="50">
        <v>2</v>
      </c>
      <c r="G37" s="50">
        <v>0</v>
      </c>
      <c r="H37" s="50">
        <v>0</v>
      </c>
      <c r="I37" s="50">
        <v>6</v>
      </c>
      <c r="J37" s="50">
        <v>1</v>
      </c>
      <c r="K37" s="50">
        <v>0</v>
      </c>
      <c r="L37" s="50">
        <v>0</v>
      </c>
      <c r="M37" s="50">
        <v>201</v>
      </c>
      <c r="N37" s="50">
        <v>0</v>
      </c>
      <c r="O37" s="15">
        <f t="shared" si="0"/>
        <v>280</v>
      </c>
      <c r="P37" s="15">
        <f t="shared" si="1"/>
        <v>481</v>
      </c>
    </row>
    <row r="38" spans="2:20" ht="23.1" customHeight="1" x14ac:dyDescent="0.25">
      <c r="B38" s="24" t="s">
        <v>65</v>
      </c>
      <c r="C38" s="50">
        <v>200</v>
      </c>
      <c r="D38" s="50">
        <v>54</v>
      </c>
      <c r="E38" s="50">
        <v>30</v>
      </c>
      <c r="F38" s="50">
        <v>2</v>
      </c>
      <c r="G38" s="50">
        <v>0</v>
      </c>
      <c r="H38" s="50">
        <v>0</v>
      </c>
      <c r="I38" s="50">
        <v>6</v>
      </c>
      <c r="J38" s="50">
        <v>5</v>
      </c>
      <c r="K38" s="50">
        <v>0</v>
      </c>
      <c r="L38" s="50">
        <v>0</v>
      </c>
      <c r="M38" s="50">
        <v>216</v>
      </c>
      <c r="N38" s="50">
        <v>0</v>
      </c>
      <c r="O38" s="15">
        <f t="shared" si="0"/>
        <v>297</v>
      </c>
      <c r="P38" s="15">
        <f t="shared" si="1"/>
        <v>513</v>
      </c>
    </row>
    <row r="39" spans="2:20" ht="23.1" customHeight="1" x14ac:dyDescent="0.25">
      <c r="B39" s="24" t="s">
        <v>66</v>
      </c>
      <c r="C39" s="50">
        <v>135</v>
      </c>
      <c r="D39" s="50">
        <v>40</v>
      </c>
      <c r="E39" s="50">
        <v>17</v>
      </c>
      <c r="F39" s="50">
        <v>3</v>
      </c>
      <c r="G39" s="50">
        <v>0</v>
      </c>
      <c r="H39" s="50">
        <v>0</v>
      </c>
      <c r="I39" s="50">
        <v>7</v>
      </c>
      <c r="J39" s="50">
        <v>2</v>
      </c>
      <c r="K39" s="50">
        <v>0</v>
      </c>
      <c r="L39" s="50">
        <v>0</v>
      </c>
      <c r="M39" s="50">
        <v>194</v>
      </c>
      <c r="N39" s="50">
        <v>0</v>
      </c>
      <c r="O39" s="15">
        <f t="shared" si="0"/>
        <v>204</v>
      </c>
      <c r="P39" s="15">
        <f t="shared" si="1"/>
        <v>398</v>
      </c>
    </row>
    <row r="40" spans="2:20" ht="23.1" customHeight="1" x14ac:dyDescent="0.25">
      <c r="B40" s="24" t="s">
        <v>67</v>
      </c>
      <c r="C40" s="50">
        <v>170</v>
      </c>
      <c r="D40" s="50">
        <v>44</v>
      </c>
      <c r="E40" s="50">
        <v>21</v>
      </c>
      <c r="F40" s="50">
        <v>9</v>
      </c>
      <c r="G40" s="50">
        <v>0</v>
      </c>
      <c r="H40" s="50">
        <v>0</v>
      </c>
      <c r="I40" s="50">
        <v>10</v>
      </c>
      <c r="J40" s="50">
        <v>1</v>
      </c>
      <c r="K40" s="50">
        <v>1</v>
      </c>
      <c r="L40" s="50">
        <v>0</v>
      </c>
      <c r="M40" s="50">
        <v>190</v>
      </c>
      <c r="N40" s="50">
        <v>0</v>
      </c>
      <c r="O40" s="15">
        <f t="shared" si="0"/>
        <v>256</v>
      </c>
      <c r="P40" s="15">
        <f t="shared" si="1"/>
        <v>446</v>
      </c>
    </row>
    <row r="41" spans="2:20" ht="23.1" customHeight="1" x14ac:dyDescent="0.25">
      <c r="B41" s="23" t="s">
        <v>68</v>
      </c>
      <c r="C41" s="50">
        <v>182</v>
      </c>
      <c r="D41" s="50">
        <v>75</v>
      </c>
      <c r="E41" s="50">
        <v>20</v>
      </c>
      <c r="F41" s="50">
        <v>1</v>
      </c>
      <c r="G41" s="50">
        <v>1</v>
      </c>
      <c r="H41" s="50">
        <v>0</v>
      </c>
      <c r="I41" s="50">
        <v>9</v>
      </c>
      <c r="J41" s="50">
        <v>2</v>
      </c>
      <c r="K41" s="50">
        <v>0</v>
      </c>
      <c r="L41" s="50">
        <v>0</v>
      </c>
      <c r="M41" s="50">
        <v>169</v>
      </c>
      <c r="N41" s="50">
        <v>0</v>
      </c>
      <c r="O41" s="15">
        <f t="shared" si="0"/>
        <v>290</v>
      </c>
      <c r="P41" s="15">
        <f t="shared" si="1"/>
        <v>459</v>
      </c>
    </row>
    <row r="42" spans="2:20" ht="23.1" customHeight="1" x14ac:dyDescent="0.25">
      <c r="B42" s="24" t="s">
        <v>69</v>
      </c>
      <c r="C42" s="50">
        <v>165</v>
      </c>
      <c r="D42" s="50">
        <v>120</v>
      </c>
      <c r="E42" s="50">
        <v>41</v>
      </c>
      <c r="F42" s="50">
        <v>4</v>
      </c>
      <c r="G42" s="50">
        <v>0</v>
      </c>
      <c r="H42" s="50">
        <v>0</v>
      </c>
      <c r="I42" s="50">
        <v>6</v>
      </c>
      <c r="J42" s="50">
        <v>0</v>
      </c>
      <c r="K42" s="50">
        <v>0</v>
      </c>
      <c r="L42" s="50">
        <v>0</v>
      </c>
      <c r="M42" s="50">
        <v>209</v>
      </c>
      <c r="N42" s="50">
        <v>0</v>
      </c>
      <c r="O42" s="15">
        <f t="shared" si="0"/>
        <v>336</v>
      </c>
      <c r="P42" s="15">
        <f t="shared" si="1"/>
        <v>545</v>
      </c>
    </row>
    <row r="43" spans="2:20" ht="23.1" customHeight="1" x14ac:dyDescent="0.25">
      <c r="B43" s="23" t="s">
        <v>70</v>
      </c>
      <c r="C43" s="50">
        <v>144</v>
      </c>
      <c r="D43" s="50">
        <v>76</v>
      </c>
      <c r="E43" s="50">
        <v>38</v>
      </c>
      <c r="F43" s="50">
        <v>7</v>
      </c>
      <c r="G43" s="50">
        <v>0</v>
      </c>
      <c r="H43" s="50">
        <v>0</v>
      </c>
      <c r="I43" s="50">
        <v>7</v>
      </c>
      <c r="J43" s="50">
        <v>2</v>
      </c>
      <c r="K43" s="50">
        <v>0</v>
      </c>
      <c r="L43" s="50">
        <v>1</v>
      </c>
      <c r="M43" s="50">
        <v>197</v>
      </c>
      <c r="N43" s="50">
        <v>0</v>
      </c>
      <c r="O43" s="15">
        <f t="shared" si="0"/>
        <v>275</v>
      </c>
      <c r="P43" s="15">
        <f t="shared" si="1"/>
        <v>472</v>
      </c>
    </row>
    <row r="44" spans="2:20" ht="23.1" customHeight="1" x14ac:dyDescent="0.25">
      <c r="B44" s="25" t="s">
        <v>71</v>
      </c>
      <c r="C44" s="50">
        <v>140</v>
      </c>
      <c r="D44" s="50">
        <v>20</v>
      </c>
      <c r="E44" s="50">
        <v>8</v>
      </c>
      <c r="F44" s="50">
        <v>4</v>
      </c>
      <c r="G44" s="50">
        <v>0</v>
      </c>
      <c r="H44" s="50">
        <v>0</v>
      </c>
      <c r="I44" s="50">
        <v>8</v>
      </c>
      <c r="J44" s="50">
        <v>6</v>
      </c>
      <c r="K44" s="50">
        <v>0</v>
      </c>
      <c r="L44" s="50">
        <v>0</v>
      </c>
      <c r="M44" s="50">
        <v>213</v>
      </c>
      <c r="N44" s="50">
        <v>0</v>
      </c>
      <c r="O44" s="15">
        <f t="shared" si="0"/>
        <v>186</v>
      </c>
      <c r="P44" s="15">
        <f t="shared" si="1"/>
        <v>399</v>
      </c>
    </row>
    <row r="45" spans="2:20" ht="23.1" customHeight="1" x14ac:dyDescent="0.25">
      <c r="B45" s="23" t="s">
        <v>72</v>
      </c>
      <c r="C45" s="50">
        <v>130</v>
      </c>
      <c r="D45" s="50">
        <v>60</v>
      </c>
      <c r="E45" s="50">
        <v>35</v>
      </c>
      <c r="F45" s="50">
        <v>11</v>
      </c>
      <c r="G45" s="50">
        <v>1</v>
      </c>
      <c r="H45" s="50">
        <v>0</v>
      </c>
      <c r="I45" s="50">
        <v>9</v>
      </c>
      <c r="J45" s="50">
        <v>4</v>
      </c>
      <c r="K45" s="50">
        <v>0</v>
      </c>
      <c r="L45" s="50">
        <v>0</v>
      </c>
      <c r="M45" s="50">
        <v>218</v>
      </c>
      <c r="N45" s="50">
        <v>0</v>
      </c>
      <c r="O45" s="15">
        <f t="shared" si="0"/>
        <v>250</v>
      </c>
      <c r="P45" s="15">
        <f t="shared" si="1"/>
        <v>468</v>
      </c>
    </row>
    <row r="46" spans="2:20" ht="23.1" customHeight="1" x14ac:dyDescent="0.25">
      <c r="B46" s="24" t="s">
        <v>73</v>
      </c>
      <c r="C46" s="50">
        <v>162</v>
      </c>
      <c r="D46" s="50">
        <v>55</v>
      </c>
      <c r="E46" s="50">
        <v>40</v>
      </c>
      <c r="F46" s="50">
        <v>4</v>
      </c>
      <c r="G46" s="50">
        <v>0</v>
      </c>
      <c r="H46" s="50">
        <v>0</v>
      </c>
      <c r="I46" s="50">
        <v>11</v>
      </c>
      <c r="J46" s="50">
        <v>1</v>
      </c>
      <c r="K46" s="50">
        <v>0</v>
      </c>
      <c r="L46" s="50">
        <v>0</v>
      </c>
      <c r="M46" s="50">
        <v>214</v>
      </c>
      <c r="N46" s="50">
        <v>0</v>
      </c>
      <c r="O46" s="15">
        <f t="shared" si="0"/>
        <v>273</v>
      </c>
      <c r="P46" s="15">
        <f t="shared" si="1"/>
        <v>487</v>
      </c>
      <c r="R46" s="8"/>
      <c r="T46"/>
    </row>
    <row r="47" spans="2:20" ht="23.1" customHeight="1" x14ac:dyDescent="0.25">
      <c r="B47" s="24" t="s">
        <v>74</v>
      </c>
      <c r="C47" s="50">
        <v>150</v>
      </c>
      <c r="D47" s="50">
        <v>60</v>
      </c>
      <c r="E47" s="50">
        <v>33</v>
      </c>
      <c r="F47" s="50">
        <v>3</v>
      </c>
      <c r="G47" s="50">
        <v>1</v>
      </c>
      <c r="H47" s="50">
        <v>0</v>
      </c>
      <c r="I47" s="50">
        <v>6</v>
      </c>
      <c r="J47" s="50">
        <v>6</v>
      </c>
      <c r="K47" s="50">
        <v>0</v>
      </c>
      <c r="L47" s="50">
        <v>0</v>
      </c>
      <c r="M47" s="50">
        <v>213</v>
      </c>
      <c r="N47" s="50">
        <v>0</v>
      </c>
      <c r="O47" s="15">
        <f t="shared" si="0"/>
        <v>259</v>
      </c>
      <c r="P47" s="15">
        <f t="shared" si="1"/>
        <v>472</v>
      </c>
      <c r="R47" s="8"/>
      <c r="T47"/>
    </row>
    <row r="48" spans="2:20" ht="23.1" customHeight="1" x14ac:dyDescent="0.25">
      <c r="B48" s="24" t="s">
        <v>75</v>
      </c>
      <c r="C48" s="50">
        <v>160</v>
      </c>
      <c r="D48" s="50">
        <v>69</v>
      </c>
      <c r="E48" s="50">
        <v>44</v>
      </c>
      <c r="F48" s="50">
        <v>67</v>
      </c>
      <c r="G48" s="50">
        <v>0</v>
      </c>
      <c r="H48" s="50">
        <v>0</v>
      </c>
      <c r="I48" s="50">
        <v>10</v>
      </c>
      <c r="J48" s="50">
        <v>1</v>
      </c>
      <c r="K48" s="50">
        <v>1</v>
      </c>
      <c r="L48" s="50">
        <v>0</v>
      </c>
      <c r="M48" s="50">
        <v>218</v>
      </c>
      <c r="N48" s="50">
        <v>0</v>
      </c>
      <c r="O48" s="15">
        <f t="shared" si="0"/>
        <v>352</v>
      </c>
      <c r="P48" s="15">
        <f t="shared" si="1"/>
        <v>570</v>
      </c>
      <c r="R48" s="8"/>
      <c r="T48"/>
    </row>
    <row r="49" spans="2:20" ht="23.1" customHeight="1" x14ac:dyDescent="0.25">
      <c r="B49" s="23" t="s">
        <v>76</v>
      </c>
      <c r="C49" s="50">
        <v>139</v>
      </c>
      <c r="D49" s="50">
        <v>80</v>
      </c>
      <c r="E49" s="50">
        <v>67</v>
      </c>
      <c r="F49" s="50">
        <v>5</v>
      </c>
      <c r="G49" s="50">
        <v>0</v>
      </c>
      <c r="H49" s="50">
        <v>0</v>
      </c>
      <c r="I49" s="50">
        <v>5</v>
      </c>
      <c r="J49" s="50">
        <v>5</v>
      </c>
      <c r="K49" s="50">
        <v>0</v>
      </c>
      <c r="L49" s="50">
        <v>1</v>
      </c>
      <c r="M49" s="50">
        <v>245</v>
      </c>
      <c r="N49" s="50">
        <v>0</v>
      </c>
      <c r="O49" s="15">
        <f t="shared" si="0"/>
        <v>302</v>
      </c>
      <c r="P49" s="15">
        <f t="shared" si="1"/>
        <v>547</v>
      </c>
      <c r="R49" s="8"/>
      <c r="T49"/>
    </row>
    <row r="50" spans="2:20" ht="23.1" customHeight="1" x14ac:dyDescent="0.25">
      <c r="B50" s="24" t="s">
        <v>77</v>
      </c>
      <c r="C50" s="50">
        <v>188</v>
      </c>
      <c r="D50" s="50">
        <v>84</v>
      </c>
      <c r="E50" s="50">
        <v>40</v>
      </c>
      <c r="F50" s="50">
        <v>18</v>
      </c>
      <c r="G50" s="50">
        <v>2</v>
      </c>
      <c r="H50" s="50">
        <v>0</v>
      </c>
      <c r="I50" s="50">
        <v>5</v>
      </c>
      <c r="J50" s="50">
        <v>1</v>
      </c>
      <c r="K50" s="50">
        <v>0</v>
      </c>
      <c r="L50" s="50">
        <v>0</v>
      </c>
      <c r="M50" s="50">
        <v>214</v>
      </c>
      <c r="N50" s="50">
        <v>0</v>
      </c>
      <c r="O50" s="15">
        <f t="shared" si="0"/>
        <v>338</v>
      </c>
      <c r="P50" s="15">
        <f t="shared" si="1"/>
        <v>552</v>
      </c>
      <c r="R50" s="8"/>
      <c r="T50"/>
    </row>
    <row r="51" spans="2:20" ht="23.1" customHeight="1" x14ac:dyDescent="0.25">
      <c r="B51" s="24" t="s">
        <v>78</v>
      </c>
      <c r="C51" s="50">
        <v>180</v>
      </c>
      <c r="D51" s="50">
        <v>92</v>
      </c>
      <c r="E51" s="50">
        <v>48</v>
      </c>
      <c r="F51" s="50">
        <v>27</v>
      </c>
      <c r="G51" s="50">
        <v>0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231</v>
      </c>
      <c r="N51" s="50">
        <v>0</v>
      </c>
      <c r="O51" s="15">
        <f t="shared" si="0"/>
        <v>354</v>
      </c>
      <c r="P51" s="15">
        <f t="shared" si="1"/>
        <v>585</v>
      </c>
      <c r="R51" s="8"/>
      <c r="T51"/>
    </row>
    <row r="52" spans="2:20" ht="23.1" customHeight="1" x14ac:dyDescent="0.25">
      <c r="B52" s="24" t="s">
        <v>79</v>
      </c>
      <c r="C52" s="50">
        <v>169</v>
      </c>
      <c r="D52" s="50">
        <v>80</v>
      </c>
      <c r="E52" s="50">
        <v>35</v>
      </c>
      <c r="F52" s="50">
        <v>7</v>
      </c>
      <c r="G52" s="50">
        <v>0</v>
      </c>
      <c r="H52" s="50">
        <v>0</v>
      </c>
      <c r="I52" s="50">
        <v>5</v>
      </c>
      <c r="J52" s="50">
        <v>1</v>
      </c>
      <c r="K52" s="50">
        <v>0</v>
      </c>
      <c r="L52" s="50">
        <v>0</v>
      </c>
      <c r="M52" s="50">
        <v>260</v>
      </c>
      <c r="N52" s="50">
        <v>0</v>
      </c>
      <c r="O52" s="15">
        <f t="shared" si="0"/>
        <v>297</v>
      </c>
      <c r="P52" s="15">
        <f t="shared" si="1"/>
        <v>557</v>
      </c>
      <c r="R52" s="8"/>
      <c r="T52"/>
    </row>
    <row r="53" spans="2:20" ht="23.1" customHeight="1" x14ac:dyDescent="0.25">
      <c r="B53" s="23" t="s">
        <v>80</v>
      </c>
      <c r="C53" s="50">
        <v>133</v>
      </c>
      <c r="D53" s="50">
        <v>67</v>
      </c>
      <c r="E53" s="50">
        <v>27</v>
      </c>
      <c r="F53" s="50">
        <v>20</v>
      </c>
      <c r="G53" s="50">
        <v>0</v>
      </c>
      <c r="H53" s="50">
        <v>0</v>
      </c>
      <c r="I53" s="50">
        <v>7</v>
      </c>
      <c r="J53" s="50">
        <v>1</v>
      </c>
      <c r="K53" s="50">
        <v>1</v>
      </c>
      <c r="L53" s="50">
        <v>0</v>
      </c>
      <c r="M53" s="50">
        <v>267</v>
      </c>
      <c r="N53" s="50">
        <v>0</v>
      </c>
      <c r="O53" s="15">
        <f t="shared" si="0"/>
        <v>256</v>
      </c>
      <c r="P53" s="15">
        <f t="shared" si="1"/>
        <v>523</v>
      </c>
      <c r="R53" s="8"/>
      <c r="T53"/>
    </row>
    <row r="54" spans="2:20" ht="23.1" customHeight="1" x14ac:dyDescent="0.25">
      <c r="B54" s="23" t="s">
        <v>81</v>
      </c>
      <c r="C54" s="50">
        <v>200</v>
      </c>
      <c r="D54" s="50">
        <v>95</v>
      </c>
      <c r="E54" s="50">
        <v>48</v>
      </c>
      <c r="F54" s="50">
        <v>8</v>
      </c>
      <c r="G54" s="50">
        <v>0</v>
      </c>
      <c r="H54" s="50">
        <v>0</v>
      </c>
      <c r="I54" s="50">
        <v>11</v>
      </c>
      <c r="J54" s="50">
        <v>7</v>
      </c>
      <c r="K54" s="50">
        <v>0</v>
      </c>
      <c r="L54" s="50">
        <v>0</v>
      </c>
      <c r="M54" s="50">
        <v>240</v>
      </c>
      <c r="N54" s="50">
        <v>0</v>
      </c>
      <c r="O54" s="15">
        <f t="shared" si="0"/>
        <v>369</v>
      </c>
      <c r="P54" s="15">
        <f t="shared" si="1"/>
        <v>609</v>
      </c>
      <c r="R54" s="8"/>
      <c r="T54"/>
    </row>
    <row r="55" spans="2:20" ht="23.1" customHeight="1" x14ac:dyDescent="0.25">
      <c r="B55" s="23" t="s">
        <v>82</v>
      </c>
      <c r="C55" s="50">
        <v>132</v>
      </c>
      <c r="D55" s="50">
        <v>48</v>
      </c>
      <c r="E55" s="50">
        <v>28</v>
      </c>
      <c r="F55" s="50">
        <v>2</v>
      </c>
      <c r="G55" s="50">
        <v>1</v>
      </c>
      <c r="H55" s="50">
        <v>0</v>
      </c>
      <c r="I55" s="50">
        <v>2</v>
      </c>
      <c r="J55" s="50">
        <v>3</v>
      </c>
      <c r="K55" s="50">
        <v>0</v>
      </c>
      <c r="L55" s="50">
        <v>0</v>
      </c>
      <c r="M55" s="50">
        <v>226</v>
      </c>
      <c r="N55" s="50">
        <v>0</v>
      </c>
      <c r="O55" s="15">
        <f t="shared" si="0"/>
        <v>216</v>
      </c>
      <c r="P55" s="15">
        <f t="shared" si="1"/>
        <v>442</v>
      </c>
      <c r="R55" s="8"/>
      <c r="T55"/>
    </row>
    <row r="56" spans="2:20" ht="23.1" customHeight="1" x14ac:dyDescent="0.25">
      <c r="B56" s="23" t="s">
        <v>83</v>
      </c>
      <c r="C56" s="50">
        <v>140</v>
      </c>
      <c r="D56" s="50">
        <v>40</v>
      </c>
      <c r="E56" s="50">
        <v>20</v>
      </c>
      <c r="F56" s="50">
        <v>1</v>
      </c>
      <c r="G56" s="50">
        <v>0</v>
      </c>
      <c r="H56" s="50">
        <v>0</v>
      </c>
      <c r="I56" s="50">
        <v>2</v>
      </c>
      <c r="J56" s="50">
        <v>0</v>
      </c>
      <c r="K56" s="50">
        <v>0</v>
      </c>
      <c r="L56" s="50">
        <v>0</v>
      </c>
      <c r="M56" s="50">
        <v>215</v>
      </c>
      <c r="N56" s="50">
        <v>0</v>
      </c>
      <c r="O56" s="15">
        <f t="shared" si="0"/>
        <v>203</v>
      </c>
      <c r="P56" s="15">
        <f t="shared" si="1"/>
        <v>418</v>
      </c>
      <c r="R56" s="8"/>
      <c r="T56"/>
    </row>
    <row r="57" spans="2:20" ht="23.1" customHeight="1" x14ac:dyDescent="0.25">
      <c r="B57" s="23" t="s">
        <v>84</v>
      </c>
      <c r="C57" s="50">
        <v>108</v>
      </c>
      <c r="D57" s="50">
        <v>47</v>
      </c>
      <c r="E57" s="50">
        <v>15</v>
      </c>
      <c r="F57" s="50">
        <v>5</v>
      </c>
      <c r="G57" s="50">
        <v>0</v>
      </c>
      <c r="H57" s="50">
        <v>0</v>
      </c>
      <c r="I57" s="50">
        <v>3</v>
      </c>
      <c r="J57" s="50">
        <v>0</v>
      </c>
      <c r="K57" s="50">
        <v>0</v>
      </c>
      <c r="L57" s="50">
        <v>0</v>
      </c>
      <c r="M57" s="50">
        <v>160</v>
      </c>
      <c r="N57" s="50">
        <v>0</v>
      </c>
      <c r="O57" s="15">
        <f t="shared" si="0"/>
        <v>178</v>
      </c>
      <c r="P57" s="15">
        <f t="shared" si="1"/>
        <v>338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7947</v>
      </c>
      <c r="D58" s="16">
        <f t="shared" si="21"/>
        <v>3075</v>
      </c>
      <c r="E58" s="16">
        <f t="shared" si="21"/>
        <v>1547</v>
      </c>
      <c r="F58" s="16">
        <f t="shared" si="21"/>
        <v>333</v>
      </c>
      <c r="G58" s="16">
        <f t="shared" si="21"/>
        <v>20</v>
      </c>
      <c r="H58" s="16">
        <f t="shared" si="21"/>
        <v>1</v>
      </c>
      <c r="I58" s="16">
        <f t="shared" si="21"/>
        <v>288</v>
      </c>
      <c r="J58" s="16">
        <f t="shared" si="21"/>
        <v>90</v>
      </c>
      <c r="K58" s="16">
        <f t="shared" si="21"/>
        <v>15</v>
      </c>
      <c r="L58" s="16">
        <f t="shared" si="21"/>
        <v>5</v>
      </c>
      <c r="M58" s="16">
        <f t="shared" si="21"/>
        <v>9820</v>
      </c>
      <c r="N58" s="16">
        <f t="shared" si="21"/>
        <v>0</v>
      </c>
      <c r="O58" s="16">
        <f t="shared" si="21"/>
        <v>13321</v>
      </c>
      <c r="P58" s="16">
        <f t="shared" si="21"/>
        <v>23141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0.34341644699883322</v>
      </c>
      <c r="D59" s="43">
        <f t="shared" si="22"/>
        <v>0.1328810336631952</v>
      </c>
      <c r="E59" s="43">
        <f t="shared" si="22"/>
        <v>6.6851043602264376E-2</v>
      </c>
      <c r="F59" s="43">
        <f t="shared" si="22"/>
        <v>1.4390043645477723E-2</v>
      </c>
      <c r="G59" s="43">
        <f t="shared" si="22"/>
        <v>8.642668856142777E-4</v>
      </c>
      <c r="H59" s="43">
        <f t="shared" si="22"/>
        <v>4.3213344280713883E-5</v>
      </c>
      <c r="I59" s="43">
        <f t="shared" si="22"/>
        <v>1.24454431528456E-2</v>
      </c>
      <c r="J59" s="43">
        <f t="shared" si="22"/>
        <v>3.8892009852642497E-3</v>
      </c>
      <c r="K59" s="43">
        <f t="shared" si="22"/>
        <v>6.4820016421070822E-4</v>
      </c>
      <c r="L59" s="43">
        <f t="shared" si="22"/>
        <v>2.1606672140356942E-4</v>
      </c>
      <c r="M59" s="43">
        <f t="shared" si="22"/>
        <v>0.42435504083661035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0.59657683357105318</v>
      </c>
      <c r="D60" s="44">
        <f t="shared" ref="D60:N60" si="23">D58/$O$58</f>
        <v>0.23083852563621349</v>
      </c>
      <c r="E60" s="44">
        <f t="shared" si="23"/>
        <v>0.11613242249080399</v>
      </c>
      <c r="F60" s="44">
        <f t="shared" si="23"/>
        <v>2.4998123264019217E-2</v>
      </c>
      <c r="G60" s="44">
        <f t="shared" si="23"/>
        <v>1.5013887846257788E-3</v>
      </c>
      <c r="H60" s="44">
        <f t="shared" si="23"/>
        <v>7.5069439231288936E-5</v>
      </c>
      <c r="I60" s="44">
        <f t="shared" si="23"/>
        <v>2.1619998498611216E-2</v>
      </c>
      <c r="J60" s="44">
        <f t="shared" si="23"/>
        <v>6.7562495308160046E-3</v>
      </c>
      <c r="K60" s="44">
        <f t="shared" si="23"/>
        <v>1.1260415884693342E-3</v>
      </c>
      <c r="L60" s="44">
        <f t="shared" si="23"/>
        <v>3.7534719615644471E-4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J10" sqref="J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172</v>
      </c>
      <c r="E5" s="3"/>
      <c r="F5" s="41" t="s">
        <v>1</v>
      </c>
      <c r="G5" s="62" t="str">
        <f>'29.07 JinjaRoad-Kira Road'!G5:H5</f>
        <v>DHL (47)</v>
      </c>
      <c r="H5" s="63"/>
      <c r="I5" s="14"/>
      <c r="J5" s="2" t="s">
        <v>5</v>
      </c>
      <c r="K5" s="54" t="s">
        <v>174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JinjaRoad-Kira Road'!D6:E6</f>
        <v>Jinja Road</v>
      </c>
      <c r="E6" s="55"/>
      <c r="F6" s="2" t="s">
        <v>2</v>
      </c>
      <c r="G6" s="54" t="str">
        <f>'29.07 JinjaRoad-Kira Road'!G6:H6</f>
        <v>Kira Road</v>
      </c>
      <c r="H6" s="55"/>
      <c r="J6" s="2" t="s">
        <v>21</v>
      </c>
      <c r="K6" s="54" t="s">
        <v>173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54</v>
      </c>
      <c r="D10" s="50">
        <v>23</v>
      </c>
      <c r="E10" s="50">
        <v>4</v>
      </c>
      <c r="F10" s="50">
        <v>0</v>
      </c>
      <c r="G10" s="50">
        <v>0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92</v>
      </c>
      <c r="N10" s="50">
        <v>0</v>
      </c>
      <c r="O10" s="15">
        <f t="shared" ref="O10:O57" si="0">SUM(C10:L10,N10)</f>
        <v>82</v>
      </c>
      <c r="P10" s="15">
        <f t="shared" ref="P10:P57" si="1">SUM(C10:N10)</f>
        <v>174</v>
      </c>
      <c r="R10" s="1" t="s">
        <v>6</v>
      </c>
      <c r="S10" s="17">
        <f t="shared" ref="S10:AF10" si="2">SUM(C10:C13)</f>
        <v>289</v>
      </c>
      <c r="T10" s="17">
        <f t="shared" si="2"/>
        <v>107</v>
      </c>
      <c r="U10" s="17">
        <f t="shared" si="2"/>
        <v>32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7</v>
      </c>
      <c r="Z10" s="17">
        <f t="shared" si="2"/>
        <v>2</v>
      </c>
      <c r="AA10" s="17">
        <f t="shared" si="2"/>
        <v>0</v>
      </c>
      <c r="AB10" s="17">
        <f t="shared" si="2"/>
        <v>2</v>
      </c>
      <c r="AC10" s="17">
        <f t="shared" si="2"/>
        <v>634</v>
      </c>
      <c r="AD10" s="17">
        <f t="shared" si="2"/>
        <v>0</v>
      </c>
      <c r="AE10" s="31">
        <f t="shared" si="2"/>
        <v>446</v>
      </c>
      <c r="AF10" s="31">
        <f t="shared" si="2"/>
        <v>1080</v>
      </c>
    </row>
    <row r="11" spans="2:32" s="6" customFormat="1" ht="23.1" customHeight="1" x14ac:dyDescent="0.25">
      <c r="B11" s="23" t="s">
        <v>38</v>
      </c>
      <c r="C11" s="50">
        <v>78</v>
      </c>
      <c r="D11" s="50">
        <v>33</v>
      </c>
      <c r="E11" s="50">
        <v>5</v>
      </c>
      <c r="F11" s="50">
        <v>4</v>
      </c>
      <c r="G11" s="50">
        <v>0</v>
      </c>
      <c r="H11" s="50">
        <v>0</v>
      </c>
      <c r="I11" s="50">
        <v>3</v>
      </c>
      <c r="J11" s="50">
        <v>1</v>
      </c>
      <c r="K11" s="50">
        <v>0</v>
      </c>
      <c r="L11" s="50">
        <v>1</v>
      </c>
      <c r="M11" s="50">
        <v>140</v>
      </c>
      <c r="N11" s="50">
        <v>0</v>
      </c>
      <c r="O11" s="15">
        <f t="shared" si="0"/>
        <v>125</v>
      </c>
      <c r="P11" s="15">
        <f t="shared" si="1"/>
        <v>265</v>
      </c>
      <c r="R11" s="1" t="s">
        <v>7</v>
      </c>
      <c r="S11" s="17">
        <f t="shared" ref="S11:AF11" si="3">SUM(C14:C17)</f>
        <v>275</v>
      </c>
      <c r="T11" s="17">
        <f t="shared" si="3"/>
        <v>127</v>
      </c>
      <c r="U11" s="17">
        <f t="shared" si="3"/>
        <v>37</v>
      </c>
      <c r="V11" s="17">
        <f t="shared" si="3"/>
        <v>20</v>
      </c>
      <c r="W11" s="17">
        <f t="shared" si="3"/>
        <v>1</v>
      </c>
      <c r="X11" s="17">
        <f t="shared" si="3"/>
        <v>0</v>
      </c>
      <c r="Y11" s="17">
        <f t="shared" si="3"/>
        <v>8</v>
      </c>
      <c r="Z11" s="17">
        <f t="shared" si="3"/>
        <v>7</v>
      </c>
      <c r="AA11" s="17">
        <f t="shared" si="3"/>
        <v>0</v>
      </c>
      <c r="AB11" s="17">
        <f t="shared" si="3"/>
        <v>5</v>
      </c>
      <c r="AC11" s="17">
        <f t="shared" si="3"/>
        <v>992</v>
      </c>
      <c r="AD11" s="17">
        <f t="shared" si="3"/>
        <v>0</v>
      </c>
      <c r="AE11" s="31">
        <f t="shared" si="3"/>
        <v>480</v>
      </c>
      <c r="AF11" s="31">
        <f t="shared" si="3"/>
        <v>1472</v>
      </c>
    </row>
    <row r="12" spans="2:32" ht="23.1" customHeight="1" x14ac:dyDescent="0.25">
      <c r="B12" s="23" t="s">
        <v>39</v>
      </c>
      <c r="C12" s="50">
        <v>75</v>
      </c>
      <c r="D12" s="50">
        <v>23</v>
      </c>
      <c r="E12" s="50">
        <v>13</v>
      </c>
      <c r="F12" s="50">
        <v>0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1</v>
      </c>
      <c r="M12" s="50">
        <v>177</v>
      </c>
      <c r="N12" s="50">
        <v>0</v>
      </c>
      <c r="O12" s="15">
        <f t="shared" si="0"/>
        <v>114</v>
      </c>
      <c r="P12" s="15">
        <f t="shared" si="1"/>
        <v>291</v>
      </c>
      <c r="R12" s="1" t="s">
        <v>8</v>
      </c>
      <c r="S12" s="17">
        <f t="shared" ref="S12:AF12" si="4">SUM(C18:C21)</f>
        <v>212</v>
      </c>
      <c r="T12" s="17">
        <f t="shared" si="4"/>
        <v>116</v>
      </c>
      <c r="U12" s="17">
        <f t="shared" si="4"/>
        <v>42</v>
      </c>
      <c r="V12" s="17">
        <f t="shared" si="4"/>
        <v>13</v>
      </c>
      <c r="W12" s="17">
        <f t="shared" si="4"/>
        <v>0</v>
      </c>
      <c r="X12" s="17">
        <f t="shared" si="4"/>
        <v>0</v>
      </c>
      <c r="Y12" s="17">
        <f t="shared" si="4"/>
        <v>10</v>
      </c>
      <c r="Z12" s="17">
        <f t="shared" si="4"/>
        <v>9</v>
      </c>
      <c r="AA12" s="17">
        <f t="shared" si="4"/>
        <v>1</v>
      </c>
      <c r="AB12" s="17">
        <f t="shared" si="4"/>
        <v>4</v>
      </c>
      <c r="AC12" s="17">
        <f t="shared" si="4"/>
        <v>656</v>
      </c>
      <c r="AD12" s="17">
        <f t="shared" si="4"/>
        <v>0</v>
      </c>
      <c r="AE12" s="31">
        <f t="shared" si="4"/>
        <v>407</v>
      </c>
      <c r="AF12" s="31">
        <f t="shared" si="4"/>
        <v>1063</v>
      </c>
    </row>
    <row r="13" spans="2:32" ht="23.1" customHeight="1" x14ac:dyDescent="0.25">
      <c r="B13" s="23" t="s">
        <v>40</v>
      </c>
      <c r="C13" s="50">
        <v>82</v>
      </c>
      <c r="D13" s="50">
        <v>28</v>
      </c>
      <c r="E13" s="50">
        <v>10</v>
      </c>
      <c r="F13" s="50">
        <v>2</v>
      </c>
      <c r="G13" s="50">
        <v>1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225</v>
      </c>
      <c r="N13" s="50">
        <v>0</v>
      </c>
      <c r="O13" s="15">
        <f t="shared" si="0"/>
        <v>125</v>
      </c>
      <c r="P13" s="15">
        <f t="shared" si="1"/>
        <v>350</v>
      </c>
      <c r="R13" s="1" t="s">
        <v>9</v>
      </c>
      <c r="S13" s="17">
        <f t="shared" ref="S13:AF13" si="5">SUM(C22:C25)</f>
        <v>253</v>
      </c>
      <c r="T13" s="17">
        <f t="shared" si="5"/>
        <v>152</v>
      </c>
      <c r="U13" s="17">
        <f t="shared" si="5"/>
        <v>53</v>
      </c>
      <c r="V13" s="17">
        <f t="shared" si="5"/>
        <v>20</v>
      </c>
      <c r="W13" s="17">
        <f t="shared" si="5"/>
        <v>4</v>
      </c>
      <c r="X13" s="17">
        <f t="shared" si="5"/>
        <v>0</v>
      </c>
      <c r="Y13" s="17">
        <f t="shared" si="5"/>
        <v>9</v>
      </c>
      <c r="Z13" s="17">
        <f t="shared" si="5"/>
        <v>11</v>
      </c>
      <c r="AA13" s="17">
        <f t="shared" si="5"/>
        <v>2</v>
      </c>
      <c r="AB13" s="17">
        <f t="shared" si="5"/>
        <v>4</v>
      </c>
      <c r="AC13" s="17">
        <f t="shared" si="5"/>
        <v>730</v>
      </c>
      <c r="AD13" s="17">
        <f t="shared" si="5"/>
        <v>1</v>
      </c>
      <c r="AE13" s="31">
        <f t="shared" si="5"/>
        <v>509</v>
      </c>
      <c r="AF13" s="31">
        <f t="shared" si="5"/>
        <v>1239</v>
      </c>
    </row>
    <row r="14" spans="2:32" ht="23.1" customHeight="1" x14ac:dyDescent="0.25">
      <c r="B14" s="23" t="s">
        <v>41</v>
      </c>
      <c r="C14" s="50">
        <v>87</v>
      </c>
      <c r="D14" s="50">
        <v>26</v>
      </c>
      <c r="E14" s="50">
        <v>11</v>
      </c>
      <c r="F14" s="50">
        <v>8</v>
      </c>
      <c r="G14" s="50">
        <v>0</v>
      </c>
      <c r="H14" s="50">
        <v>0</v>
      </c>
      <c r="I14" s="50">
        <v>1</v>
      </c>
      <c r="J14" s="50">
        <v>0</v>
      </c>
      <c r="K14" s="50">
        <v>0</v>
      </c>
      <c r="L14" s="50">
        <v>2</v>
      </c>
      <c r="M14" s="50">
        <v>250</v>
      </c>
      <c r="N14" s="50">
        <v>0</v>
      </c>
      <c r="O14" s="15">
        <f t="shared" si="0"/>
        <v>135</v>
      </c>
      <c r="P14" s="15">
        <f t="shared" si="1"/>
        <v>385</v>
      </c>
      <c r="R14" s="1" t="s">
        <v>10</v>
      </c>
      <c r="S14" s="17">
        <f t="shared" ref="S14:AF14" si="6">SUM(C26:C29)</f>
        <v>260</v>
      </c>
      <c r="T14" s="17">
        <f t="shared" si="6"/>
        <v>172</v>
      </c>
      <c r="U14" s="17">
        <f t="shared" si="6"/>
        <v>51</v>
      </c>
      <c r="V14" s="17">
        <f t="shared" si="6"/>
        <v>9</v>
      </c>
      <c r="W14" s="17">
        <f t="shared" si="6"/>
        <v>0</v>
      </c>
      <c r="X14" s="17">
        <f t="shared" si="6"/>
        <v>0</v>
      </c>
      <c r="Y14" s="17">
        <f t="shared" si="6"/>
        <v>11</v>
      </c>
      <c r="Z14" s="17">
        <f t="shared" si="6"/>
        <v>8</v>
      </c>
      <c r="AA14" s="17">
        <f t="shared" si="6"/>
        <v>2</v>
      </c>
      <c r="AB14" s="17">
        <f t="shared" si="6"/>
        <v>5</v>
      </c>
      <c r="AC14" s="17">
        <f t="shared" si="6"/>
        <v>767</v>
      </c>
      <c r="AD14" s="17">
        <f t="shared" si="6"/>
        <v>0</v>
      </c>
      <c r="AE14" s="31">
        <f t="shared" si="6"/>
        <v>518</v>
      </c>
      <c r="AF14" s="31">
        <f t="shared" si="6"/>
        <v>1285</v>
      </c>
    </row>
    <row r="15" spans="2:32" ht="23.1" customHeight="1" x14ac:dyDescent="0.25">
      <c r="B15" s="23" t="s">
        <v>42</v>
      </c>
      <c r="C15" s="50">
        <v>90</v>
      </c>
      <c r="D15" s="50">
        <v>45</v>
      </c>
      <c r="E15" s="50">
        <v>15</v>
      </c>
      <c r="F15" s="50">
        <v>9</v>
      </c>
      <c r="G15" s="50">
        <v>0</v>
      </c>
      <c r="H15" s="50">
        <v>0</v>
      </c>
      <c r="I15" s="50">
        <v>2</v>
      </c>
      <c r="J15" s="50">
        <v>3</v>
      </c>
      <c r="K15" s="50">
        <v>0</v>
      </c>
      <c r="L15" s="50">
        <v>2</v>
      </c>
      <c r="M15" s="50">
        <v>255</v>
      </c>
      <c r="N15" s="50">
        <v>0</v>
      </c>
      <c r="O15" s="15">
        <f t="shared" si="0"/>
        <v>166</v>
      </c>
      <c r="P15" s="15">
        <f t="shared" si="1"/>
        <v>421</v>
      </c>
      <c r="R15" s="1" t="s">
        <v>11</v>
      </c>
      <c r="S15" s="17">
        <f t="shared" ref="S15:AF15" si="7">SUM(C30:C33)</f>
        <v>279</v>
      </c>
      <c r="T15" s="17">
        <f t="shared" si="7"/>
        <v>169</v>
      </c>
      <c r="U15" s="17">
        <f t="shared" si="7"/>
        <v>40</v>
      </c>
      <c r="V15" s="17">
        <f t="shared" si="7"/>
        <v>15</v>
      </c>
      <c r="W15" s="17">
        <f t="shared" si="7"/>
        <v>0</v>
      </c>
      <c r="X15" s="17">
        <f t="shared" si="7"/>
        <v>0</v>
      </c>
      <c r="Y15" s="17">
        <f t="shared" si="7"/>
        <v>20</v>
      </c>
      <c r="Z15" s="17">
        <f t="shared" si="7"/>
        <v>10</v>
      </c>
      <c r="AA15" s="17">
        <f t="shared" si="7"/>
        <v>0</v>
      </c>
      <c r="AB15" s="17">
        <f t="shared" si="7"/>
        <v>1</v>
      </c>
      <c r="AC15" s="17">
        <f t="shared" si="7"/>
        <v>560</v>
      </c>
      <c r="AD15" s="17">
        <f t="shared" si="7"/>
        <v>0</v>
      </c>
      <c r="AE15" s="31">
        <f t="shared" si="7"/>
        <v>534</v>
      </c>
      <c r="AF15" s="31">
        <f t="shared" si="7"/>
        <v>1094</v>
      </c>
    </row>
    <row r="16" spans="2:32" ht="23.1" customHeight="1" x14ac:dyDescent="0.25">
      <c r="B16" s="23" t="s">
        <v>43</v>
      </c>
      <c r="C16" s="50">
        <v>46</v>
      </c>
      <c r="D16" s="50">
        <v>22</v>
      </c>
      <c r="E16" s="50">
        <v>6</v>
      </c>
      <c r="F16" s="50">
        <v>0</v>
      </c>
      <c r="G16" s="50">
        <v>0</v>
      </c>
      <c r="H16" s="50">
        <v>0</v>
      </c>
      <c r="I16" s="50">
        <v>3</v>
      </c>
      <c r="J16" s="50">
        <v>2</v>
      </c>
      <c r="K16" s="50">
        <v>0</v>
      </c>
      <c r="L16" s="50">
        <v>0</v>
      </c>
      <c r="M16" s="50">
        <v>300</v>
      </c>
      <c r="N16" s="50">
        <v>0</v>
      </c>
      <c r="O16" s="15">
        <f t="shared" si="0"/>
        <v>79</v>
      </c>
      <c r="P16" s="15">
        <f t="shared" si="1"/>
        <v>379</v>
      </c>
      <c r="R16" s="1" t="s">
        <v>12</v>
      </c>
      <c r="S16" s="17">
        <f t="shared" ref="S16:AF16" si="8">SUM(C34:C37)</f>
        <v>320</v>
      </c>
      <c r="T16" s="17">
        <f t="shared" si="8"/>
        <v>178</v>
      </c>
      <c r="U16" s="17">
        <f t="shared" si="8"/>
        <v>57</v>
      </c>
      <c r="V16" s="17">
        <f t="shared" si="8"/>
        <v>17</v>
      </c>
      <c r="W16" s="17">
        <f t="shared" si="8"/>
        <v>2</v>
      </c>
      <c r="X16" s="17">
        <f t="shared" si="8"/>
        <v>0</v>
      </c>
      <c r="Y16" s="17">
        <f t="shared" si="8"/>
        <v>17</v>
      </c>
      <c r="Z16" s="17">
        <f t="shared" si="8"/>
        <v>6</v>
      </c>
      <c r="AA16" s="17">
        <f t="shared" si="8"/>
        <v>0</v>
      </c>
      <c r="AB16" s="17">
        <f t="shared" si="8"/>
        <v>3</v>
      </c>
      <c r="AC16" s="17">
        <f t="shared" si="8"/>
        <v>686</v>
      </c>
      <c r="AD16" s="17">
        <f t="shared" si="8"/>
        <v>0</v>
      </c>
      <c r="AE16" s="31">
        <f t="shared" si="8"/>
        <v>600</v>
      </c>
      <c r="AF16" s="31">
        <f t="shared" si="8"/>
        <v>1286</v>
      </c>
    </row>
    <row r="17" spans="2:32" ht="23.1" customHeight="1" x14ac:dyDescent="0.25">
      <c r="B17" s="23" t="s">
        <v>44</v>
      </c>
      <c r="C17" s="50">
        <v>52</v>
      </c>
      <c r="D17" s="50">
        <v>34</v>
      </c>
      <c r="E17" s="50">
        <v>5</v>
      </c>
      <c r="F17" s="50">
        <v>3</v>
      </c>
      <c r="G17" s="50">
        <v>1</v>
      </c>
      <c r="H17" s="50">
        <v>0</v>
      </c>
      <c r="I17" s="50">
        <v>2</v>
      </c>
      <c r="J17" s="50">
        <v>2</v>
      </c>
      <c r="K17" s="50">
        <v>0</v>
      </c>
      <c r="L17" s="50">
        <v>1</v>
      </c>
      <c r="M17" s="50">
        <v>187</v>
      </c>
      <c r="N17" s="50">
        <v>0</v>
      </c>
      <c r="O17" s="15">
        <f t="shared" si="0"/>
        <v>100</v>
      </c>
      <c r="P17" s="15">
        <f t="shared" si="1"/>
        <v>287</v>
      </c>
      <c r="R17" s="1" t="s">
        <v>13</v>
      </c>
      <c r="S17" s="17">
        <f t="shared" ref="S17:AF17" si="9">SUM(C38:C41)</f>
        <v>368</v>
      </c>
      <c r="T17" s="17">
        <f t="shared" si="9"/>
        <v>202</v>
      </c>
      <c r="U17" s="17">
        <f t="shared" si="9"/>
        <v>47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7</v>
      </c>
      <c r="Z17" s="17">
        <f t="shared" si="9"/>
        <v>3</v>
      </c>
      <c r="AA17" s="17">
        <f t="shared" si="9"/>
        <v>1</v>
      </c>
      <c r="AB17" s="17">
        <f t="shared" si="9"/>
        <v>1</v>
      </c>
      <c r="AC17" s="17">
        <f t="shared" si="9"/>
        <v>453</v>
      </c>
      <c r="AD17" s="17">
        <f t="shared" si="9"/>
        <v>0</v>
      </c>
      <c r="AE17" s="31">
        <f t="shared" si="9"/>
        <v>639</v>
      </c>
      <c r="AF17" s="31">
        <f t="shared" si="9"/>
        <v>1092</v>
      </c>
    </row>
    <row r="18" spans="2:32" ht="23.1" customHeight="1" x14ac:dyDescent="0.25">
      <c r="B18" s="23" t="s">
        <v>45</v>
      </c>
      <c r="C18" s="50">
        <v>62</v>
      </c>
      <c r="D18" s="50">
        <v>33</v>
      </c>
      <c r="E18" s="50">
        <v>11</v>
      </c>
      <c r="F18" s="50">
        <v>4</v>
      </c>
      <c r="G18" s="50">
        <v>0</v>
      </c>
      <c r="H18" s="50">
        <v>0</v>
      </c>
      <c r="I18" s="50">
        <v>5</v>
      </c>
      <c r="J18" s="50">
        <v>1</v>
      </c>
      <c r="K18" s="50">
        <v>1</v>
      </c>
      <c r="L18" s="50">
        <v>2</v>
      </c>
      <c r="M18" s="50">
        <v>155</v>
      </c>
      <c r="N18" s="50">
        <v>0</v>
      </c>
      <c r="O18" s="15">
        <f t="shared" si="0"/>
        <v>119</v>
      </c>
      <c r="P18" s="15">
        <f t="shared" si="1"/>
        <v>274</v>
      </c>
      <c r="R18" s="1" t="s">
        <v>14</v>
      </c>
      <c r="S18" s="17">
        <f t="shared" ref="S18:AF18" si="10">SUM(C42:C45)</f>
        <v>414</v>
      </c>
      <c r="T18" s="17">
        <f t="shared" si="10"/>
        <v>203</v>
      </c>
      <c r="U18" s="17">
        <f t="shared" si="10"/>
        <v>44</v>
      </c>
      <c r="V18" s="17">
        <f t="shared" si="10"/>
        <v>16</v>
      </c>
      <c r="W18" s="17">
        <f t="shared" si="10"/>
        <v>1</v>
      </c>
      <c r="X18" s="17">
        <f t="shared" si="10"/>
        <v>2</v>
      </c>
      <c r="Y18" s="17">
        <f t="shared" si="10"/>
        <v>14</v>
      </c>
      <c r="Z18" s="17">
        <f t="shared" si="10"/>
        <v>8</v>
      </c>
      <c r="AA18" s="17">
        <f t="shared" si="10"/>
        <v>4</v>
      </c>
      <c r="AB18" s="17">
        <f t="shared" si="10"/>
        <v>2</v>
      </c>
      <c r="AC18" s="17">
        <f t="shared" si="10"/>
        <v>880</v>
      </c>
      <c r="AD18" s="17">
        <f t="shared" si="10"/>
        <v>0</v>
      </c>
      <c r="AE18" s="31">
        <f t="shared" si="10"/>
        <v>708</v>
      </c>
      <c r="AF18" s="31">
        <f t="shared" si="10"/>
        <v>1588</v>
      </c>
    </row>
    <row r="19" spans="2:32" ht="23.1" customHeight="1" x14ac:dyDescent="0.25">
      <c r="B19" s="23" t="s">
        <v>46</v>
      </c>
      <c r="C19" s="50">
        <v>50</v>
      </c>
      <c r="D19" s="50">
        <v>26</v>
      </c>
      <c r="E19" s="50">
        <v>7</v>
      </c>
      <c r="F19" s="50">
        <v>1</v>
      </c>
      <c r="G19" s="50">
        <v>0</v>
      </c>
      <c r="H19" s="50">
        <v>0</v>
      </c>
      <c r="I19" s="50">
        <v>3</v>
      </c>
      <c r="J19" s="50">
        <v>4</v>
      </c>
      <c r="K19" s="50">
        <v>0</v>
      </c>
      <c r="L19" s="50">
        <v>0</v>
      </c>
      <c r="M19" s="50">
        <v>175</v>
      </c>
      <c r="N19" s="50">
        <v>0</v>
      </c>
      <c r="O19" s="15">
        <f t="shared" si="0"/>
        <v>91</v>
      </c>
      <c r="P19" s="15">
        <f t="shared" si="1"/>
        <v>266</v>
      </c>
      <c r="R19" s="1" t="s">
        <v>15</v>
      </c>
      <c r="S19" s="17">
        <f t="shared" ref="S19:AF19" si="11">SUM(C46:C49)</f>
        <v>475</v>
      </c>
      <c r="T19" s="17">
        <f t="shared" si="11"/>
        <v>239</v>
      </c>
      <c r="U19" s="17">
        <f t="shared" si="11"/>
        <v>51</v>
      </c>
      <c r="V19" s="17">
        <f t="shared" si="11"/>
        <v>28</v>
      </c>
      <c r="W19" s="17">
        <f t="shared" si="11"/>
        <v>0</v>
      </c>
      <c r="X19" s="17">
        <f t="shared" si="11"/>
        <v>0</v>
      </c>
      <c r="Y19" s="17">
        <f t="shared" si="11"/>
        <v>14</v>
      </c>
      <c r="Z19" s="17">
        <f t="shared" si="11"/>
        <v>2</v>
      </c>
      <c r="AA19" s="17">
        <f t="shared" si="11"/>
        <v>0</v>
      </c>
      <c r="AB19" s="17">
        <f t="shared" si="11"/>
        <v>4</v>
      </c>
      <c r="AC19" s="17">
        <f t="shared" si="11"/>
        <v>647</v>
      </c>
      <c r="AD19" s="17">
        <f t="shared" si="11"/>
        <v>0</v>
      </c>
      <c r="AE19" s="31">
        <f t="shared" si="11"/>
        <v>813</v>
      </c>
      <c r="AF19" s="31">
        <f t="shared" si="11"/>
        <v>1460</v>
      </c>
    </row>
    <row r="20" spans="2:32" ht="23.1" customHeight="1" x14ac:dyDescent="0.25">
      <c r="B20" s="23" t="s">
        <v>47</v>
      </c>
      <c r="C20" s="50">
        <v>48</v>
      </c>
      <c r="D20" s="50">
        <v>35</v>
      </c>
      <c r="E20" s="50">
        <v>7</v>
      </c>
      <c r="F20" s="50">
        <v>4</v>
      </c>
      <c r="G20" s="50">
        <v>0</v>
      </c>
      <c r="H20" s="50">
        <v>0</v>
      </c>
      <c r="I20" s="50">
        <v>0</v>
      </c>
      <c r="J20" s="50">
        <v>2</v>
      </c>
      <c r="K20" s="50">
        <v>0</v>
      </c>
      <c r="L20" s="50">
        <v>0</v>
      </c>
      <c r="M20" s="50">
        <v>141</v>
      </c>
      <c r="N20" s="50">
        <v>0</v>
      </c>
      <c r="O20" s="15">
        <f t="shared" si="0"/>
        <v>96</v>
      </c>
      <c r="P20" s="15">
        <f t="shared" si="1"/>
        <v>237</v>
      </c>
      <c r="R20" s="1" t="s">
        <v>16</v>
      </c>
      <c r="S20" s="17">
        <f t="shared" ref="S20:AF20" si="12">SUM(C50:C53)</f>
        <v>490</v>
      </c>
      <c r="T20" s="17">
        <f t="shared" si="12"/>
        <v>202</v>
      </c>
      <c r="U20" s="17">
        <f t="shared" si="12"/>
        <v>47</v>
      </c>
      <c r="V20" s="17">
        <f t="shared" si="12"/>
        <v>7</v>
      </c>
      <c r="W20" s="17">
        <f t="shared" si="12"/>
        <v>2</v>
      </c>
      <c r="X20" s="17">
        <f t="shared" si="12"/>
        <v>0</v>
      </c>
      <c r="Y20" s="17">
        <f t="shared" si="12"/>
        <v>7</v>
      </c>
      <c r="Z20" s="17">
        <f t="shared" si="12"/>
        <v>7</v>
      </c>
      <c r="AA20" s="17">
        <f t="shared" si="12"/>
        <v>1</v>
      </c>
      <c r="AB20" s="17">
        <f t="shared" si="12"/>
        <v>2</v>
      </c>
      <c r="AC20" s="17">
        <f t="shared" si="12"/>
        <v>945</v>
      </c>
      <c r="AD20" s="17">
        <f t="shared" si="12"/>
        <v>0</v>
      </c>
      <c r="AE20" s="31">
        <f t="shared" si="12"/>
        <v>765</v>
      </c>
      <c r="AF20" s="31">
        <f t="shared" si="12"/>
        <v>1710</v>
      </c>
    </row>
    <row r="21" spans="2:32" ht="23.1" customHeight="1" x14ac:dyDescent="0.25">
      <c r="B21" s="23" t="s">
        <v>48</v>
      </c>
      <c r="C21" s="50">
        <v>52</v>
      </c>
      <c r="D21" s="50">
        <v>22</v>
      </c>
      <c r="E21" s="50">
        <v>17</v>
      </c>
      <c r="F21" s="50">
        <v>4</v>
      </c>
      <c r="G21" s="50">
        <v>0</v>
      </c>
      <c r="H21" s="50">
        <v>0</v>
      </c>
      <c r="I21" s="50">
        <v>2</v>
      </c>
      <c r="J21" s="50">
        <v>2</v>
      </c>
      <c r="K21" s="50">
        <v>0</v>
      </c>
      <c r="L21" s="50">
        <v>2</v>
      </c>
      <c r="M21" s="50">
        <v>185</v>
      </c>
      <c r="N21" s="50">
        <v>0</v>
      </c>
      <c r="O21" s="15">
        <f t="shared" si="0"/>
        <v>101</v>
      </c>
      <c r="P21" s="15">
        <f t="shared" si="1"/>
        <v>286</v>
      </c>
      <c r="R21" s="36" t="s">
        <v>20</v>
      </c>
      <c r="S21" s="34">
        <f t="shared" ref="S21:AF21" si="13">SUM(C54:C57)</f>
        <v>448</v>
      </c>
      <c r="T21" s="17">
        <f t="shared" si="13"/>
        <v>236</v>
      </c>
      <c r="U21" s="17">
        <f t="shared" si="13"/>
        <v>49</v>
      </c>
      <c r="V21" s="17">
        <f t="shared" si="13"/>
        <v>22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5</v>
      </c>
      <c r="AA21" s="17">
        <f t="shared" si="13"/>
        <v>2</v>
      </c>
      <c r="AB21" s="17">
        <f t="shared" si="13"/>
        <v>4</v>
      </c>
      <c r="AC21" s="17">
        <f t="shared" si="13"/>
        <v>488</v>
      </c>
      <c r="AD21" s="17">
        <f t="shared" si="13"/>
        <v>0</v>
      </c>
      <c r="AE21" s="31">
        <f t="shared" si="13"/>
        <v>774</v>
      </c>
      <c r="AF21" s="31">
        <f t="shared" si="13"/>
        <v>1262</v>
      </c>
    </row>
    <row r="22" spans="2:32" ht="23.1" customHeight="1" x14ac:dyDescent="0.25">
      <c r="B22" s="23" t="s">
        <v>49</v>
      </c>
      <c r="C22" s="50">
        <v>61</v>
      </c>
      <c r="D22" s="50">
        <v>36</v>
      </c>
      <c r="E22" s="50">
        <v>14</v>
      </c>
      <c r="F22" s="50">
        <v>4</v>
      </c>
      <c r="G22" s="50">
        <v>1</v>
      </c>
      <c r="H22" s="50">
        <v>0</v>
      </c>
      <c r="I22" s="50">
        <v>3</v>
      </c>
      <c r="J22" s="50">
        <v>1</v>
      </c>
      <c r="K22" s="50">
        <v>0</v>
      </c>
      <c r="L22" s="50">
        <v>1</v>
      </c>
      <c r="M22" s="50">
        <v>160</v>
      </c>
      <c r="N22" s="50">
        <v>0</v>
      </c>
      <c r="O22" s="15">
        <f t="shared" si="0"/>
        <v>121</v>
      </c>
      <c r="P22" s="15">
        <f t="shared" si="1"/>
        <v>281</v>
      </c>
      <c r="R22" s="38" t="s">
        <v>90</v>
      </c>
      <c r="S22" s="39">
        <f>MAX(S10:S12)</f>
        <v>289</v>
      </c>
      <c r="T22" s="39">
        <f t="shared" ref="T22:AF22" si="14">MAX(T10:T12)</f>
        <v>127</v>
      </c>
      <c r="U22" s="39">
        <f t="shared" si="14"/>
        <v>42</v>
      </c>
      <c r="V22" s="39">
        <f t="shared" si="14"/>
        <v>20</v>
      </c>
      <c r="W22" s="39">
        <f t="shared" si="14"/>
        <v>1</v>
      </c>
      <c r="X22" s="39">
        <f t="shared" si="14"/>
        <v>0</v>
      </c>
      <c r="Y22" s="39">
        <f t="shared" si="14"/>
        <v>10</v>
      </c>
      <c r="Z22" s="39">
        <f t="shared" si="14"/>
        <v>9</v>
      </c>
      <c r="AA22" s="39">
        <f t="shared" si="14"/>
        <v>1</v>
      </c>
      <c r="AB22" s="39">
        <f t="shared" si="14"/>
        <v>5</v>
      </c>
      <c r="AC22" s="39">
        <f t="shared" si="14"/>
        <v>992</v>
      </c>
      <c r="AD22" s="39">
        <f t="shared" si="14"/>
        <v>0</v>
      </c>
      <c r="AE22" s="40">
        <f t="shared" si="14"/>
        <v>480</v>
      </c>
      <c r="AF22" s="40">
        <f t="shared" si="14"/>
        <v>1472</v>
      </c>
    </row>
    <row r="23" spans="2:32" ht="23.1" customHeight="1" x14ac:dyDescent="0.25">
      <c r="B23" s="23" t="s">
        <v>50</v>
      </c>
      <c r="C23" s="50">
        <v>55</v>
      </c>
      <c r="D23" s="50">
        <v>30</v>
      </c>
      <c r="E23" s="50">
        <v>11</v>
      </c>
      <c r="F23" s="50">
        <v>3</v>
      </c>
      <c r="G23" s="50">
        <v>0</v>
      </c>
      <c r="H23" s="50">
        <v>0</v>
      </c>
      <c r="I23" s="50">
        <v>2</v>
      </c>
      <c r="J23" s="50">
        <v>2</v>
      </c>
      <c r="K23" s="50">
        <v>1</v>
      </c>
      <c r="L23" s="50">
        <v>0</v>
      </c>
      <c r="M23" s="50">
        <v>125</v>
      </c>
      <c r="N23" s="50">
        <v>1</v>
      </c>
      <c r="O23" s="15">
        <f t="shared" si="0"/>
        <v>105</v>
      </c>
      <c r="P23" s="15">
        <f t="shared" si="1"/>
        <v>230</v>
      </c>
      <c r="R23" s="38" t="s">
        <v>91</v>
      </c>
      <c r="S23" s="39">
        <f>MAX(S13:S18)</f>
        <v>414</v>
      </c>
      <c r="T23" s="39">
        <f t="shared" ref="T23:AF23" si="15">MAX(T13:T18)</f>
        <v>203</v>
      </c>
      <c r="U23" s="39">
        <f t="shared" si="15"/>
        <v>57</v>
      </c>
      <c r="V23" s="39">
        <f t="shared" si="15"/>
        <v>20</v>
      </c>
      <c r="W23" s="39">
        <f t="shared" si="15"/>
        <v>4</v>
      </c>
      <c r="X23" s="39">
        <f t="shared" si="15"/>
        <v>2</v>
      </c>
      <c r="Y23" s="39">
        <f t="shared" si="15"/>
        <v>20</v>
      </c>
      <c r="Z23" s="39">
        <f t="shared" si="15"/>
        <v>11</v>
      </c>
      <c r="AA23" s="39">
        <f t="shared" si="15"/>
        <v>4</v>
      </c>
      <c r="AB23" s="39">
        <f t="shared" si="15"/>
        <v>5</v>
      </c>
      <c r="AC23" s="39">
        <f t="shared" si="15"/>
        <v>880</v>
      </c>
      <c r="AD23" s="39">
        <f t="shared" si="15"/>
        <v>1</v>
      </c>
      <c r="AE23" s="40">
        <f t="shared" si="15"/>
        <v>708</v>
      </c>
      <c r="AF23" s="40">
        <f t="shared" si="15"/>
        <v>1588</v>
      </c>
    </row>
    <row r="24" spans="2:32" ht="23.1" customHeight="1" x14ac:dyDescent="0.25">
      <c r="B24" s="23" t="s">
        <v>51</v>
      </c>
      <c r="C24" s="50">
        <v>75</v>
      </c>
      <c r="D24" s="50">
        <v>52</v>
      </c>
      <c r="E24" s="50">
        <v>16</v>
      </c>
      <c r="F24" s="50">
        <v>9</v>
      </c>
      <c r="G24" s="50">
        <v>1</v>
      </c>
      <c r="H24" s="50">
        <v>0</v>
      </c>
      <c r="I24" s="50">
        <v>3</v>
      </c>
      <c r="J24" s="50">
        <v>4</v>
      </c>
      <c r="K24" s="50">
        <v>1</v>
      </c>
      <c r="L24" s="50">
        <v>2</v>
      </c>
      <c r="M24" s="50">
        <v>215</v>
      </c>
      <c r="N24" s="50">
        <v>0</v>
      </c>
      <c r="O24" s="15">
        <f t="shared" si="0"/>
        <v>163</v>
      </c>
      <c r="P24" s="15">
        <f t="shared" si="1"/>
        <v>378</v>
      </c>
      <c r="R24" s="38" t="s">
        <v>92</v>
      </c>
      <c r="S24" s="39">
        <f>MAX(S19:S21)</f>
        <v>490</v>
      </c>
      <c r="T24" s="39">
        <f t="shared" ref="T24:AF24" si="16">MAX(T19:T21)</f>
        <v>239</v>
      </c>
      <c r="U24" s="39">
        <f t="shared" si="16"/>
        <v>51</v>
      </c>
      <c r="V24" s="39">
        <f t="shared" si="16"/>
        <v>28</v>
      </c>
      <c r="W24" s="39">
        <f t="shared" si="16"/>
        <v>2</v>
      </c>
      <c r="X24" s="39">
        <f t="shared" si="16"/>
        <v>0</v>
      </c>
      <c r="Y24" s="39">
        <f t="shared" si="16"/>
        <v>14</v>
      </c>
      <c r="Z24" s="39">
        <f t="shared" si="16"/>
        <v>7</v>
      </c>
      <c r="AA24" s="39">
        <f t="shared" si="16"/>
        <v>2</v>
      </c>
      <c r="AB24" s="39">
        <f t="shared" si="16"/>
        <v>4</v>
      </c>
      <c r="AC24" s="39">
        <f t="shared" si="16"/>
        <v>945</v>
      </c>
      <c r="AD24" s="39">
        <f t="shared" si="16"/>
        <v>0</v>
      </c>
      <c r="AE24" s="40">
        <f t="shared" si="16"/>
        <v>813</v>
      </c>
      <c r="AF24" s="40">
        <f t="shared" si="16"/>
        <v>1710</v>
      </c>
    </row>
    <row r="25" spans="2:32" ht="23.1" customHeight="1" x14ac:dyDescent="0.25">
      <c r="B25" s="23" t="s">
        <v>52</v>
      </c>
      <c r="C25" s="50">
        <v>62</v>
      </c>
      <c r="D25" s="50">
        <v>34</v>
      </c>
      <c r="E25" s="50">
        <v>12</v>
      </c>
      <c r="F25" s="50">
        <v>4</v>
      </c>
      <c r="G25" s="50">
        <v>2</v>
      </c>
      <c r="H25" s="50">
        <v>0</v>
      </c>
      <c r="I25" s="50">
        <v>1</v>
      </c>
      <c r="J25" s="50">
        <v>4</v>
      </c>
      <c r="K25" s="50">
        <v>0</v>
      </c>
      <c r="L25" s="50">
        <v>1</v>
      </c>
      <c r="M25" s="50">
        <v>230</v>
      </c>
      <c r="N25" s="50">
        <v>0</v>
      </c>
      <c r="O25" s="15">
        <f t="shared" si="0"/>
        <v>120</v>
      </c>
      <c r="P25" s="15">
        <f t="shared" si="1"/>
        <v>350</v>
      </c>
      <c r="R25" s="37" t="s">
        <v>85</v>
      </c>
      <c r="S25" s="35">
        <f t="shared" ref="S25:AF25" si="17">SUM(S10:S12)</f>
        <v>776</v>
      </c>
      <c r="T25" s="16">
        <f t="shared" si="17"/>
        <v>350</v>
      </c>
      <c r="U25" s="16">
        <f t="shared" si="17"/>
        <v>111</v>
      </c>
      <c r="V25" s="16">
        <f t="shared" si="17"/>
        <v>39</v>
      </c>
      <c r="W25" s="16">
        <f t="shared" si="17"/>
        <v>2</v>
      </c>
      <c r="X25" s="16">
        <f t="shared" si="17"/>
        <v>0</v>
      </c>
      <c r="Y25" s="16">
        <f t="shared" si="17"/>
        <v>25</v>
      </c>
      <c r="Z25" s="16">
        <f t="shared" si="17"/>
        <v>18</v>
      </c>
      <c r="AA25" s="16">
        <f t="shared" si="17"/>
        <v>1</v>
      </c>
      <c r="AB25" s="16">
        <f t="shared" si="17"/>
        <v>11</v>
      </c>
      <c r="AC25" s="16">
        <f t="shared" si="17"/>
        <v>2282</v>
      </c>
      <c r="AD25" s="16">
        <f t="shared" si="17"/>
        <v>0</v>
      </c>
      <c r="AE25" s="32">
        <f t="shared" si="17"/>
        <v>1333</v>
      </c>
      <c r="AF25" s="32">
        <f t="shared" si="17"/>
        <v>3615</v>
      </c>
    </row>
    <row r="26" spans="2:32" ht="23.1" customHeight="1" x14ac:dyDescent="0.25">
      <c r="B26" s="23" t="s">
        <v>53</v>
      </c>
      <c r="C26" s="50">
        <v>65</v>
      </c>
      <c r="D26" s="50">
        <v>40</v>
      </c>
      <c r="E26" s="50">
        <v>11</v>
      </c>
      <c r="F26" s="50">
        <v>5</v>
      </c>
      <c r="G26" s="50">
        <v>0</v>
      </c>
      <c r="H26" s="50">
        <v>0</v>
      </c>
      <c r="I26" s="50">
        <v>2</v>
      </c>
      <c r="J26" s="50">
        <v>3</v>
      </c>
      <c r="K26" s="50">
        <v>1</v>
      </c>
      <c r="L26" s="50">
        <v>1</v>
      </c>
      <c r="M26" s="50">
        <v>240</v>
      </c>
      <c r="N26" s="50">
        <v>0</v>
      </c>
      <c r="O26" s="15">
        <f t="shared" si="0"/>
        <v>128</v>
      </c>
      <c r="P26" s="15">
        <f t="shared" si="1"/>
        <v>368</v>
      </c>
      <c r="R26" s="28" t="s">
        <v>86</v>
      </c>
      <c r="S26" s="16">
        <f t="shared" ref="S26:AF26" si="18">SUM(S13:S18)</f>
        <v>1894</v>
      </c>
      <c r="T26" s="16">
        <f t="shared" si="18"/>
        <v>1076</v>
      </c>
      <c r="U26" s="16">
        <f t="shared" si="18"/>
        <v>292</v>
      </c>
      <c r="V26" s="16">
        <f t="shared" si="18"/>
        <v>87</v>
      </c>
      <c r="W26" s="16">
        <f t="shared" si="18"/>
        <v>7</v>
      </c>
      <c r="X26" s="16">
        <f t="shared" si="18"/>
        <v>2</v>
      </c>
      <c r="Y26" s="16">
        <f t="shared" si="18"/>
        <v>78</v>
      </c>
      <c r="Z26" s="16">
        <f t="shared" si="18"/>
        <v>46</v>
      </c>
      <c r="AA26" s="16">
        <f t="shared" si="18"/>
        <v>9</v>
      </c>
      <c r="AB26" s="16">
        <f t="shared" si="18"/>
        <v>16</v>
      </c>
      <c r="AC26" s="16">
        <f t="shared" si="18"/>
        <v>4076</v>
      </c>
      <c r="AD26" s="16">
        <f t="shared" si="18"/>
        <v>1</v>
      </c>
      <c r="AE26" s="32">
        <f t="shared" si="18"/>
        <v>3508</v>
      </c>
      <c r="AF26" s="32">
        <f t="shared" si="18"/>
        <v>7584</v>
      </c>
    </row>
    <row r="27" spans="2:32" ht="23.1" customHeight="1" x14ac:dyDescent="0.25">
      <c r="B27" s="23" t="s">
        <v>54</v>
      </c>
      <c r="C27" s="50">
        <v>57</v>
      </c>
      <c r="D27" s="50">
        <v>43</v>
      </c>
      <c r="E27" s="50">
        <v>13</v>
      </c>
      <c r="F27" s="50">
        <v>3</v>
      </c>
      <c r="G27" s="50">
        <v>0</v>
      </c>
      <c r="H27" s="50">
        <v>0</v>
      </c>
      <c r="I27" s="50">
        <v>4</v>
      </c>
      <c r="J27" s="50">
        <v>2</v>
      </c>
      <c r="K27" s="50">
        <v>0</v>
      </c>
      <c r="L27" s="50">
        <v>1</v>
      </c>
      <c r="M27" s="50">
        <v>155</v>
      </c>
      <c r="N27" s="50">
        <v>0</v>
      </c>
      <c r="O27" s="15">
        <f t="shared" si="0"/>
        <v>123</v>
      </c>
      <c r="P27" s="15">
        <f t="shared" si="1"/>
        <v>278</v>
      </c>
      <c r="R27" s="29" t="s">
        <v>87</v>
      </c>
      <c r="S27" s="16">
        <f t="shared" ref="S27:AF27" si="19">SUM(S19:S21)</f>
        <v>1413</v>
      </c>
      <c r="T27" s="16">
        <f t="shared" si="19"/>
        <v>677</v>
      </c>
      <c r="U27" s="16">
        <f t="shared" si="19"/>
        <v>147</v>
      </c>
      <c r="V27" s="16">
        <f t="shared" si="19"/>
        <v>57</v>
      </c>
      <c r="W27" s="16">
        <f t="shared" si="19"/>
        <v>2</v>
      </c>
      <c r="X27" s="16">
        <f t="shared" si="19"/>
        <v>0</v>
      </c>
      <c r="Y27" s="16">
        <f t="shared" si="19"/>
        <v>29</v>
      </c>
      <c r="Z27" s="16">
        <f t="shared" si="19"/>
        <v>14</v>
      </c>
      <c r="AA27" s="16">
        <f t="shared" si="19"/>
        <v>3</v>
      </c>
      <c r="AB27" s="16">
        <f t="shared" si="19"/>
        <v>10</v>
      </c>
      <c r="AC27" s="16">
        <f t="shared" si="19"/>
        <v>2080</v>
      </c>
      <c r="AD27" s="16">
        <f t="shared" si="19"/>
        <v>0</v>
      </c>
      <c r="AE27" s="32">
        <f t="shared" si="19"/>
        <v>2352</v>
      </c>
      <c r="AF27" s="32">
        <f t="shared" si="19"/>
        <v>4432</v>
      </c>
    </row>
    <row r="28" spans="2:32" ht="23.1" customHeight="1" x14ac:dyDescent="0.25">
      <c r="B28" s="23" t="s">
        <v>55</v>
      </c>
      <c r="C28" s="50">
        <v>74</v>
      </c>
      <c r="D28" s="50">
        <v>44</v>
      </c>
      <c r="E28" s="50">
        <v>16</v>
      </c>
      <c r="F28" s="50">
        <v>1</v>
      </c>
      <c r="G28" s="50">
        <v>0</v>
      </c>
      <c r="H28" s="50">
        <v>0</v>
      </c>
      <c r="I28" s="50">
        <v>1</v>
      </c>
      <c r="J28" s="50">
        <v>1</v>
      </c>
      <c r="K28" s="50">
        <v>0</v>
      </c>
      <c r="L28" s="50">
        <v>0</v>
      </c>
      <c r="M28" s="50">
        <v>217</v>
      </c>
      <c r="N28" s="50">
        <v>0</v>
      </c>
      <c r="O28" s="15">
        <f t="shared" si="0"/>
        <v>137</v>
      </c>
      <c r="P28" s="15">
        <f t="shared" si="1"/>
        <v>354</v>
      </c>
      <c r="R28" s="5" t="s">
        <v>17</v>
      </c>
      <c r="S28" s="16">
        <f t="shared" ref="S28:AF28" si="20">SUM(S10:S21)</f>
        <v>4083</v>
      </c>
      <c r="T28" s="16">
        <f t="shared" si="20"/>
        <v>2103</v>
      </c>
      <c r="U28" s="16">
        <f t="shared" si="20"/>
        <v>550</v>
      </c>
      <c r="V28" s="16">
        <f t="shared" si="20"/>
        <v>183</v>
      </c>
      <c r="W28" s="16">
        <f t="shared" si="20"/>
        <v>11</v>
      </c>
      <c r="X28" s="16">
        <f t="shared" si="20"/>
        <v>2</v>
      </c>
      <c r="Y28" s="16">
        <f t="shared" si="20"/>
        <v>132</v>
      </c>
      <c r="Z28" s="16">
        <f t="shared" si="20"/>
        <v>78</v>
      </c>
      <c r="AA28" s="16">
        <f t="shared" si="20"/>
        <v>13</v>
      </c>
      <c r="AB28" s="16">
        <f t="shared" si="20"/>
        <v>37</v>
      </c>
      <c r="AC28" s="16">
        <f t="shared" si="20"/>
        <v>8438</v>
      </c>
      <c r="AD28" s="16">
        <f t="shared" si="20"/>
        <v>1</v>
      </c>
      <c r="AE28" s="32">
        <f t="shared" si="20"/>
        <v>7193</v>
      </c>
      <c r="AF28" s="32">
        <f t="shared" si="20"/>
        <v>15631</v>
      </c>
    </row>
    <row r="29" spans="2:32" ht="23.1" customHeight="1" x14ac:dyDescent="0.25">
      <c r="B29" s="23" t="s">
        <v>56</v>
      </c>
      <c r="C29" s="50">
        <v>64</v>
      </c>
      <c r="D29" s="50">
        <v>45</v>
      </c>
      <c r="E29" s="50">
        <v>11</v>
      </c>
      <c r="F29" s="50">
        <v>0</v>
      </c>
      <c r="G29" s="50">
        <v>0</v>
      </c>
      <c r="H29" s="50">
        <v>0</v>
      </c>
      <c r="I29" s="50">
        <v>4</v>
      </c>
      <c r="J29" s="50">
        <v>2</v>
      </c>
      <c r="K29" s="50">
        <v>1</v>
      </c>
      <c r="L29" s="50">
        <v>3</v>
      </c>
      <c r="M29" s="50">
        <v>155</v>
      </c>
      <c r="N29" s="50">
        <v>0</v>
      </c>
      <c r="O29" s="15">
        <f t="shared" si="0"/>
        <v>130</v>
      </c>
      <c r="P29" s="15">
        <f t="shared" si="1"/>
        <v>285</v>
      </c>
      <c r="R29"/>
      <c r="S29" s="20"/>
      <c r="T29" s="19"/>
    </row>
    <row r="30" spans="2:32" ht="23.1" customHeight="1" x14ac:dyDescent="0.25">
      <c r="B30" s="23" t="s">
        <v>57</v>
      </c>
      <c r="C30" s="50">
        <v>69</v>
      </c>
      <c r="D30" s="50">
        <v>43</v>
      </c>
      <c r="E30" s="50">
        <v>9</v>
      </c>
      <c r="F30" s="50">
        <v>5</v>
      </c>
      <c r="G30" s="50">
        <v>0</v>
      </c>
      <c r="H30" s="50">
        <v>0</v>
      </c>
      <c r="I30" s="50">
        <v>12</v>
      </c>
      <c r="J30" s="50">
        <v>4</v>
      </c>
      <c r="K30" s="50">
        <v>0</v>
      </c>
      <c r="L30" s="50">
        <v>1</v>
      </c>
      <c r="M30" s="50">
        <v>150</v>
      </c>
      <c r="N30" s="50">
        <v>0</v>
      </c>
      <c r="O30" s="15">
        <f t="shared" si="0"/>
        <v>143</v>
      </c>
      <c r="P30" s="15">
        <f t="shared" si="1"/>
        <v>293</v>
      </c>
    </row>
    <row r="31" spans="2:32" ht="23.1" customHeight="1" x14ac:dyDescent="0.25">
      <c r="B31" s="24" t="s">
        <v>58</v>
      </c>
      <c r="C31" s="50">
        <v>77</v>
      </c>
      <c r="D31" s="50">
        <v>41</v>
      </c>
      <c r="E31" s="50">
        <v>13</v>
      </c>
      <c r="F31" s="50">
        <v>4</v>
      </c>
      <c r="G31" s="50">
        <v>0</v>
      </c>
      <c r="H31" s="50">
        <v>0</v>
      </c>
      <c r="I31" s="50">
        <v>2</v>
      </c>
      <c r="J31" s="50">
        <v>3</v>
      </c>
      <c r="K31" s="50">
        <v>0</v>
      </c>
      <c r="L31" s="50">
        <v>0</v>
      </c>
      <c r="M31" s="50">
        <v>190</v>
      </c>
      <c r="N31" s="50">
        <v>0</v>
      </c>
      <c r="O31" s="15">
        <f t="shared" si="0"/>
        <v>140</v>
      </c>
      <c r="P31" s="15">
        <f t="shared" si="1"/>
        <v>330</v>
      </c>
    </row>
    <row r="32" spans="2:32" ht="23.1" customHeight="1" x14ac:dyDescent="0.25">
      <c r="B32" s="24" t="s">
        <v>59</v>
      </c>
      <c r="C32" s="50">
        <v>69</v>
      </c>
      <c r="D32" s="50">
        <v>48</v>
      </c>
      <c r="E32" s="50">
        <v>7</v>
      </c>
      <c r="F32" s="50">
        <v>4</v>
      </c>
      <c r="G32" s="50">
        <v>0</v>
      </c>
      <c r="H32" s="50">
        <v>0</v>
      </c>
      <c r="I32" s="50">
        <v>5</v>
      </c>
      <c r="J32" s="50">
        <v>2</v>
      </c>
      <c r="K32" s="50">
        <v>0</v>
      </c>
      <c r="L32" s="50">
        <v>0</v>
      </c>
      <c r="M32" s="50">
        <v>115</v>
      </c>
      <c r="N32" s="50">
        <v>0</v>
      </c>
      <c r="O32" s="15">
        <f t="shared" si="0"/>
        <v>135</v>
      </c>
      <c r="P32" s="15">
        <f t="shared" si="1"/>
        <v>250</v>
      </c>
    </row>
    <row r="33" spans="2:20" ht="23.1" customHeight="1" x14ac:dyDescent="0.25">
      <c r="B33" s="23" t="s">
        <v>60</v>
      </c>
      <c r="C33" s="50">
        <v>64</v>
      </c>
      <c r="D33" s="50">
        <v>37</v>
      </c>
      <c r="E33" s="50">
        <v>11</v>
      </c>
      <c r="F33" s="50">
        <v>2</v>
      </c>
      <c r="G33" s="50">
        <v>0</v>
      </c>
      <c r="H33" s="50">
        <v>0</v>
      </c>
      <c r="I33" s="50">
        <v>1</v>
      </c>
      <c r="J33" s="50">
        <v>1</v>
      </c>
      <c r="K33" s="50">
        <v>0</v>
      </c>
      <c r="L33" s="50">
        <v>0</v>
      </c>
      <c r="M33" s="50">
        <v>105</v>
      </c>
      <c r="N33" s="50">
        <v>0</v>
      </c>
      <c r="O33" s="15">
        <f t="shared" si="0"/>
        <v>116</v>
      </c>
      <c r="P33" s="15">
        <f t="shared" si="1"/>
        <v>221</v>
      </c>
    </row>
    <row r="34" spans="2:20" ht="23.1" customHeight="1" x14ac:dyDescent="0.25">
      <c r="B34" s="24" t="s">
        <v>61</v>
      </c>
      <c r="C34" s="50">
        <v>93</v>
      </c>
      <c r="D34" s="50">
        <v>41</v>
      </c>
      <c r="E34" s="50">
        <v>16</v>
      </c>
      <c r="F34" s="50">
        <v>6</v>
      </c>
      <c r="G34" s="50">
        <v>1</v>
      </c>
      <c r="H34" s="50">
        <v>0</v>
      </c>
      <c r="I34" s="50">
        <v>0</v>
      </c>
      <c r="J34" s="50">
        <v>1</v>
      </c>
      <c r="K34" s="50">
        <v>0</v>
      </c>
      <c r="L34" s="50">
        <v>1</v>
      </c>
      <c r="M34" s="50">
        <v>145</v>
      </c>
      <c r="N34" s="50">
        <v>0</v>
      </c>
      <c r="O34" s="15">
        <f t="shared" si="0"/>
        <v>159</v>
      </c>
      <c r="P34" s="15">
        <f t="shared" si="1"/>
        <v>304</v>
      </c>
    </row>
    <row r="35" spans="2:20" ht="23.1" customHeight="1" x14ac:dyDescent="0.25">
      <c r="B35" s="24" t="s">
        <v>62</v>
      </c>
      <c r="C35" s="50">
        <v>82</v>
      </c>
      <c r="D35" s="50">
        <v>46</v>
      </c>
      <c r="E35" s="50">
        <v>6</v>
      </c>
      <c r="F35" s="50">
        <v>5</v>
      </c>
      <c r="G35" s="50">
        <v>0</v>
      </c>
      <c r="H35" s="50">
        <v>0</v>
      </c>
      <c r="I35" s="50">
        <v>6</v>
      </c>
      <c r="J35" s="50">
        <v>4</v>
      </c>
      <c r="K35" s="50">
        <v>0</v>
      </c>
      <c r="L35" s="50">
        <v>1</v>
      </c>
      <c r="M35" s="50">
        <v>164</v>
      </c>
      <c r="N35" s="50">
        <v>0</v>
      </c>
      <c r="O35" s="15">
        <f t="shared" si="0"/>
        <v>150</v>
      </c>
      <c r="P35" s="15">
        <f t="shared" si="1"/>
        <v>314</v>
      </c>
    </row>
    <row r="36" spans="2:20" ht="23.1" customHeight="1" x14ac:dyDescent="0.25">
      <c r="B36" s="24" t="s">
        <v>63</v>
      </c>
      <c r="C36" s="50">
        <v>72</v>
      </c>
      <c r="D36" s="50">
        <v>60</v>
      </c>
      <c r="E36" s="50">
        <v>17</v>
      </c>
      <c r="F36" s="50">
        <v>3</v>
      </c>
      <c r="G36" s="50">
        <v>1</v>
      </c>
      <c r="H36" s="50">
        <v>0</v>
      </c>
      <c r="I36" s="50">
        <v>5</v>
      </c>
      <c r="J36" s="50">
        <v>1</v>
      </c>
      <c r="K36" s="50">
        <v>0</v>
      </c>
      <c r="L36" s="50">
        <v>1</v>
      </c>
      <c r="M36" s="50">
        <v>247</v>
      </c>
      <c r="N36" s="50">
        <v>0</v>
      </c>
      <c r="O36" s="15">
        <f t="shared" si="0"/>
        <v>160</v>
      </c>
      <c r="P36" s="15">
        <f t="shared" si="1"/>
        <v>407</v>
      </c>
    </row>
    <row r="37" spans="2:20" ht="23.1" customHeight="1" x14ac:dyDescent="0.25">
      <c r="B37" s="23" t="s">
        <v>64</v>
      </c>
      <c r="C37" s="50">
        <v>73</v>
      </c>
      <c r="D37" s="50">
        <v>31</v>
      </c>
      <c r="E37" s="50">
        <v>18</v>
      </c>
      <c r="F37" s="50">
        <v>3</v>
      </c>
      <c r="G37" s="50">
        <v>0</v>
      </c>
      <c r="H37" s="50">
        <v>0</v>
      </c>
      <c r="I37" s="50">
        <v>6</v>
      </c>
      <c r="J37" s="50">
        <v>0</v>
      </c>
      <c r="K37" s="50">
        <v>0</v>
      </c>
      <c r="L37" s="50">
        <v>0</v>
      </c>
      <c r="M37" s="50">
        <v>130</v>
      </c>
      <c r="N37" s="50">
        <v>0</v>
      </c>
      <c r="O37" s="15">
        <f t="shared" si="0"/>
        <v>131</v>
      </c>
      <c r="P37" s="15">
        <f t="shared" si="1"/>
        <v>261</v>
      </c>
    </row>
    <row r="38" spans="2:20" ht="23.1" customHeight="1" x14ac:dyDescent="0.25">
      <c r="B38" s="24" t="s">
        <v>65</v>
      </c>
      <c r="C38" s="50">
        <v>98</v>
      </c>
      <c r="D38" s="50">
        <v>44</v>
      </c>
      <c r="E38" s="50">
        <v>15</v>
      </c>
      <c r="F38" s="50">
        <v>1</v>
      </c>
      <c r="G38" s="50">
        <v>0</v>
      </c>
      <c r="H38" s="50">
        <v>0</v>
      </c>
      <c r="I38" s="50">
        <v>1</v>
      </c>
      <c r="J38" s="50">
        <v>3</v>
      </c>
      <c r="K38" s="50">
        <v>1</v>
      </c>
      <c r="L38" s="50">
        <v>1</v>
      </c>
      <c r="M38" s="50">
        <v>105</v>
      </c>
      <c r="N38" s="50">
        <v>0</v>
      </c>
      <c r="O38" s="15">
        <f t="shared" si="0"/>
        <v>164</v>
      </c>
      <c r="P38" s="15">
        <f t="shared" si="1"/>
        <v>269</v>
      </c>
    </row>
    <row r="39" spans="2:20" ht="23.1" customHeight="1" x14ac:dyDescent="0.25">
      <c r="B39" s="24" t="s">
        <v>66</v>
      </c>
      <c r="C39" s="50">
        <v>89</v>
      </c>
      <c r="D39" s="50">
        <v>42</v>
      </c>
      <c r="E39" s="50">
        <v>7</v>
      </c>
      <c r="F39" s="50">
        <v>1</v>
      </c>
      <c r="G39" s="50">
        <v>0</v>
      </c>
      <c r="H39" s="50">
        <v>0</v>
      </c>
      <c r="I39" s="50">
        <v>5</v>
      </c>
      <c r="J39" s="50">
        <v>0</v>
      </c>
      <c r="K39" s="50">
        <v>0</v>
      </c>
      <c r="L39" s="50">
        <v>0</v>
      </c>
      <c r="M39" s="50">
        <v>110</v>
      </c>
      <c r="N39" s="50">
        <v>0</v>
      </c>
      <c r="O39" s="15">
        <f t="shared" si="0"/>
        <v>144</v>
      </c>
      <c r="P39" s="15">
        <f t="shared" si="1"/>
        <v>254</v>
      </c>
    </row>
    <row r="40" spans="2:20" ht="23.1" customHeight="1" x14ac:dyDescent="0.25">
      <c r="B40" s="24" t="s">
        <v>67</v>
      </c>
      <c r="C40" s="50">
        <v>78</v>
      </c>
      <c r="D40" s="50">
        <v>46</v>
      </c>
      <c r="E40" s="50">
        <v>17</v>
      </c>
      <c r="F40" s="50">
        <v>7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130</v>
      </c>
      <c r="N40" s="50">
        <v>0</v>
      </c>
      <c r="O40" s="15">
        <f t="shared" si="0"/>
        <v>148</v>
      </c>
      <c r="P40" s="15">
        <f t="shared" si="1"/>
        <v>278</v>
      </c>
    </row>
    <row r="41" spans="2:20" ht="23.1" customHeight="1" x14ac:dyDescent="0.25">
      <c r="B41" s="23" t="s">
        <v>68</v>
      </c>
      <c r="C41" s="50">
        <v>103</v>
      </c>
      <c r="D41" s="50">
        <v>70</v>
      </c>
      <c r="E41" s="50">
        <v>8</v>
      </c>
      <c r="F41" s="50">
        <v>1</v>
      </c>
      <c r="G41" s="50">
        <v>0</v>
      </c>
      <c r="H41" s="50">
        <v>0</v>
      </c>
      <c r="I41" s="50">
        <v>1</v>
      </c>
      <c r="J41" s="50">
        <v>0</v>
      </c>
      <c r="K41" s="50">
        <v>0</v>
      </c>
      <c r="L41" s="50">
        <v>0</v>
      </c>
      <c r="M41" s="50">
        <v>108</v>
      </c>
      <c r="N41" s="50">
        <v>0</v>
      </c>
      <c r="O41" s="15">
        <f t="shared" si="0"/>
        <v>183</v>
      </c>
      <c r="P41" s="15">
        <f t="shared" si="1"/>
        <v>291</v>
      </c>
    </row>
    <row r="42" spans="2:20" ht="23.1" customHeight="1" x14ac:dyDescent="0.25">
      <c r="B42" s="24" t="s">
        <v>69</v>
      </c>
      <c r="C42" s="50">
        <v>101</v>
      </c>
      <c r="D42" s="50">
        <v>50</v>
      </c>
      <c r="E42" s="50">
        <v>8</v>
      </c>
      <c r="F42" s="50">
        <v>5</v>
      </c>
      <c r="G42" s="50">
        <v>0</v>
      </c>
      <c r="H42" s="50">
        <v>1</v>
      </c>
      <c r="I42" s="50">
        <v>5</v>
      </c>
      <c r="J42" s="50">
        <v>5</v>
      </c>
      <c r="K42" s="50">
        <v>1</v>
      </c>
      <c r="L42" s="50">
        <v>0</v>
      </c>
      <c r="M42" s="50">
        <v>210</v>
      </c>
      <c r="N42" s="50">
        <v>0</v>
      </c>
      <c r="O42" s="15">
        <f t="shared" si="0"/>
        <v>176</v>
      </c>
      <c r="P42" s="15">
        <f t="shared" si="1"/>
        <v>386</v>
      </c>
    </row>
    <row r="43" spans="2:20" ht="23.1" customHeight="1" x14ac:dyDescent="0.25">
      <c r="B43" s="23" t="s">
        <v>70</v>
      </c>
      <c r="C43" s="50">
        <v>106</v>
      </c>
      <c r="D43" s="50">
        <v>47</v>
      </c>
      <c r="E43" s="50">
        <v>12</v>
      </c>
      <c r="F43" s="50">
        <v>4</v>
      </c>
      <c r="G43" s="50">
        <v>1</v>
      </c>
      <c r="H43" s="50">
        <v>0</v>
      </c>
      <c r="I43" s="50">
        <v>3</v>
      </c>
      <c r="J43" s="50">
        <v>1</v>
      </c>
      <c r="K43" s="50">
        <v>0</v>
      </c>
      <c r="L43" s="50">
        <v>0</v>
      </c>
      <c r="M43" s="50">
        <v>240</v>
      </c>
      <c r="N43" s="50">
        <v>0</v>
      </c>
      <c r="O43" s="15">
        <f t="shared" si="0"/>
        <v>174</v>
      </c>
      <c r="P43" s="15">
        <f t="shared" si="1"/>
        <v>414</v>
      </c>
    </row>
    <row r="44" spans="2:20" ht="23.1" customHeight="1" x14ac:dyDescent="0.25">
      <c r="B44" s="25" t="s">
        <v>71</v>
      </c>
      <c r="C44" s="50">
        <v>124</v>
      </c>
      <c r="D44" s="50">
        <v>63</v>
      </c>
      <c r="E44" s="50">
        <v>15</v>
      </c>
      <c r="F44" s="50">
        <v>4</v>
      </c>
      <c r="G44" s="50">
        <v>0</v>
      </c>
      <c r="H44" s="50">
        <v>0</v>
      </c>
      <c r="I44" s="50">
        <v>3</v>
      </c>
      <c r="J44" s="50">
        <v>1</v>
      </c>
      <c r="K44" s="50">
        <v>0</v>
      </c>
      <c r="L44" s="50">
        <v>2</v>
      </c>
      <c r="M44" s="50">
        <v>265</v>
      </c>
      <c r="N44" s="50">
        <v>0</v>
      </c>
      <c r="O44" s="15">
        <f t="shared" si="0"/>
        <v>212</v>
      </c>
      <c r="P44" s="15">
        <f t="shared" si="1"/>
        <v>477</v>
      </c>
    </row>
    <row r="45" spans="2:20" ht="23.1" customHeight="1" x14ac:dyDescent="0.25">
      <c r="B45" s="23" t="s">
        <v>72</v>
      </c>
      <c r="C45" s="50">
        <v>83</v>
      </c>
      <c r="D45" s="50">
        <v>43</v>
      </c>
      <c r="E45" s="50">
        <v>9</v>
      </c>
      <c r="F45" s="50">
        <v>3</v>
      </c>
      <c r="G45" s="50">
        <v>0</v>
      </c>
      <c r="H45" s="50">
        <v>1</v>
      </c>
      <c r="I45" s="50">
        <v>3</v>
      </c>
      <c r="J45" s="50">
        <v>1</v>
      </c>
      <c r="K45" s="50">
        <v>3</v>
      </c>
      <c r="L45" s="50">
        <v>0</v>
      </c>
      <c r="M45" s="50">
        <v>165</v>
      </c>
      <c r="N45" s="50">
        <v>0</v>
      </c>
      <c r="O45" s="15">
        <f t="shared" si="0"/>
        <v>146</v>
      </c>
      <c r="P45" s="15">
        <f t="shared" si="1"/>
        <v>311</v>
      </c>
    </row>
    <row r="46" spans="2:20" ht="23.1" customHeight="1" x14ac:dyDescent="0.25">
      <c r="B46" s="24" t="s">
        <v>73</v>
      </c>
      <c r="C46" s="50">
        <v>107</v>
      </c>
      <c r="D46" s="50">
        <v>60</v>
      </c>
      <c r="E46" s="50">
        <v>21</v>
      </c>
      <c r="F46" s="50">
        <v>7</v>
      </c>
      <c r="G46" s="50">
        <v>0</v>
      </c>
      <c r="H46" s="50">
        <v>0</v>
      </c>
      <c r="I46" s="50">
        <v>4</v>
      </c>
      <c r="J46" s="50">
        <v>2</v>
      </c>
      <c r="K46" s="50">
        <v>0</v>
      </c>
      <c r="L46" s="50">
        <v>0</v>
      </c>
      <c r="M46" s="50">
        <v>210</v>
      </c>
      <c r="N46" s="50">
        <v>0</v>
      </c>
      <c r="O46" s="15">
        <f t="shared" si="0"/>
        <v>201</v>
      </c>
      <c r="P46" s="15">
        <f t="shared" si="1"/>
        <v>411</v>
      </c>
      <c r="R46" s="8"/>
      <c r="T46"/>
    </row>
    <row r="47" spans="2:20" ht="23.1" customHeight="1" x14ac:dyDescent="0.25">
      <c r="B47" s="24" t="s">
        <v>74</v>
      </c>
      <c r="C47" s="50">
        <v>121</v>
      </c>
      <c r="D47" s="50">
        <v>55</v>
      </c>
      <c r="E47" s="50">
        <v>12</v>
      </c>
      <c r="F47" s="50">
        <v>10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1</v>
      </c>
      <c r="M47" s="50">
        <v>157</v>
      </c>
      <c r="N47" s="50">
        <v>0</v>
      </c>
      <c r="O47" s="15">
        <f t="shared" si="0"/>
        <v>205</v>
      </c>
      <c r="P47" s="15">
        <f t="shared" si="1"/>
        <v>362</v>
      </c>
      <c r="R47" s="8"/>
      <c r="T47"/>
    </row>
    <row r="48" spans="2:20" ht="23.1" customHeight="1" x14ac:dyDescent="0.25">
      <c r="B48" s="24" t="s">
        <v>75</v>
      </c>
      <c r="C48" s="50">
        <v>97</v>
      </c>
      <c r="D48" s="50">
        <v>59</v>
      </c>
      <c r="E48" s="50">
        <v>9</v>
      </c>
      <c r="F48" s="50">
        <v>5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1</v>
      </c>
      <c r="M48" s="50">
        <v>130</v>
      </c>
      <c r="N48" s="50">
        <v>0</v>
      </c>
      <c r="O48" s="15">
        <f t="shared" si="0"/>
        <v>174</v>
      </c>
      <c r="P48" s="15">
        <f t="shared" si="1"/>
        <v>304</v>
      </c>
      <c r="R48" s="8"/>
      <c r="T48"/>
    </row>
    <row r="49" spans="2:20" ht="23.1" customHeight="1" x14ac:dyDescent="0.25">
      <c r="B49" s="23" t="s">
        <v>76</v>
      </c>
      <c r="C49" s="50">
        <v>150</v>
      </c>
      <c r="D49" s="50">
        <v>65</v>
      </c>
      <c r="E49" s="50">
        <v>9</v>
      </c>
      <c r="F49" s="50">
        <v>6</v>
      </c>
      <c r="G49" s="50">
        <v>0</v>
      </c>
      <c r="H49" s="50">
        <v>0</v>
      </c>
      <c r="I49" s="50">
        <v>1</v>
      </c>
      <c r="J49" s="50">
        <v>0</v>
      </c>
      <c r="K49" s="50">
        <v>0</v>
      </c>
      <c r="L49" s="50">
        <v>2</v>
      </c>
      <c r="M49" s="50">
        <v>150</v>
      </c>
      <c r="N49" s="50">
        <v>0</v>
      </c>
      <c r="O49" s="15">
        <f t="shared" si="0"/>
        <v>233</v>
      </c>
      <c r="P49" s="15">
        <f t="shared" si="1"/>
        <v>383</v>
      </c>
      <c r="R49" s="8"/>
      <c r="T49"/>
    </row>
    <row r="50" spans="2:20" ht="23.1" customHeight="1" x14ac:dyDescent="0.25">
      <c r="B50" s="24" t="s">
        <v>77</v>
      </c>
      <c r="C50" s="50">
        <v>145</v>
      </c>
      <c r="D50" s="50">
        <v>56</v>
      </c>
      <c r="E50" s="50">
        <v>18</v>
      </c>
      <c r="F50" s="50">
        <v>1</v>
      </c>
      <c r="G50" s="50">
        <v>1</v>
      </c>
      <c r="H50" s="50">
        <v>0</v>
      </c>
      <c r="I50" s="50">
        <v>2</v>
      </c>
      <c r="J50" s="50">
        <v>1</v>
      </c>
      <c r="K50" s="50">
        <v>0</v>
      </c>
      <c r="L50" s="50">
        <v>1</v>
      </c>
      <c r="M50" s="50">
        <v>200</v>
      </c>
      <c r="N50" s="50">
        <v>0</v>
      </c>
      <c r="O50" s="15">
        <f t="shared" si="0"/>
        <v>225</v>
      </c>
      <c r="P50" s="15">
        <f t="shared" si="1"/>
        <v>425</v>
      </c>
      <c r="R50" s="8"/>
      <c r="T50"/>
    </row>
    <row r="51" spans="2:20" ht="23.1" customHeight="1" x14ac:dyDescent="0.25">
      <c r="B51" s="24" t="s">
        <v>78</v>
      </c>
      <c r="C51" s="50">
        <v>126</v>
      </c>
      <c r="D51" s="50">
        <v>49</v>
      </c>
      <c r="E51" s="50">
        <v>6</v>
      </c>
      <c r="F51" s="50">
        <v>3</v>
      </c>
      <c r="G51" s="50">
        <v>0</v>
      </c>
      <c r="H51" s="50">
        <v>0</v>
      </c>
      <c r="I51" s="50">
        <v>4</v>
      </c>
      <c r="J51" s="50">
        <v>3</v>
      </c>
      <c r="K51" s="50">
        <v>1</v>
      </c>
      <c r="L51" s="50">
        <v>0</v>
      </c>
      <c r="M51" s="50">
        <v>230</v>
      </c>
      <c r="N51" s="50">
        <v>0</v>
      </c>
      <c r="O51" s="15">
        <f t="shared" si="0"/>
        <v>192</v>
      </c>
      <c r="P51" s="15">
        <f t="shared" si="1"/>
        <v>422</v>
      </c>
      <c r="R51" s="8"/>
      <c r="T51"/>
    </row>
    <row r="52" spans="2:20" ht="23.1" customHeight="1" x14ac:dyDescent="0.25">
      <c r="B52" s="24" t="s">
        <v>79</v>
      </c>
      <c r="C52" s="50">
        <v>117</v>
      </c>
      <c r="D52" s="50">
        <v>46</v>
      </c>
      <c r="E52" s="50">
        <v>11</v>
      </c>
      <c r="F52" s="50">
        <v>2</v>
      </c>
      <c r="G52" s="50">
        <v>1</v>
      </c>
      <c r="H52" s="50">
        <v>0</v>
      </c>
      <c r="I52" s="50">
        <v>1</v>
      </c>
      <c r="J52" s="50">
        <v>2</v>
      </c>
      <c r="K52" s="50">
        <v>0</v>
      </c>
      <c r="L52" s="50">
        <v>1</v>
      </c>
      <c r="M52" s="50">
        <v>245</v>
      </c>
      <c r="N52" s="50">
        <v>0</v>
      </c>
      <c r="O52" s="15">
        <f t="shared" si="0"/>
        <v>181</v>
      </c>
      <c r="P52" s="15">
        <f t="shared" si="1"/>
        <v>426</v>
      </c>
      <c r="R52" s="8"/>
      <c r="T52"/>
    </row>
    <row r="53" spans="2:20" ht="23.1" customHeight="1" x14ac:dyDescent="0.25">
      <c r="B53" s="23" t="s">
        <v>80</v>
      </c>
      <c r="C53" s="50">
        <v>102</v>
      </c>
      <c r="D53" s="50">
        <v>51</v>
      </c>
      <c r="E53" s="50">
        <v>12</v>
      </c>
      <c r="F53" s="50">
        <v>1</v>
      </c>
      <c r="G53" s="50">
        <v>0</v>
      </c>
      <c r="H53" s="50">
        <v>0</v>
      </c>
      <c r="I53" s="50">
        <v>0</v>
      </c>
      <c r="J53" s="50">
        <v>1</v>
      </c>
      <c r="K53" s="50">
        <v>0</v>
      </c>
      <c r="L53" s="50">
        <v>0</v>
      </c>
      <c r="M53" s="50">
        <v>270</v>
      </c>
      <c r="N53" s="50">
        <v>0</v>
      </c>
      <c r="O53" s="15">
        <f t="shared" si="0"/>
        <v>167</v>
      </c>
      <c r="P53" s="15">
        <f t="shared" si="1"/>
        <v>437</v>
      </c>
      <c r="R53" s="8"/>
      <c r="T53"/>
    </row>
    <row r="54" spans="2:20" ht="23.1" customHeight="1" x14ac:dyDescent="0.25">
      <c r="B54" s="23" t="s">
        <v>81</v>
      </c>
      <c r="C54" s="50">
        <v>102</v>
      </c>
      <c r="D54" s="50">
        <v>68</v>
      </c>
      <c r="E54" s="50">
        <v>9</v>
      </c>
      <c r="F54" s="50">
        <v>5</v>
      </c>
      <c r="G54" s="50">
        <v>0</v>
      </c>
      <c r="H54" s="50">
        <v>0</v>
      </c>
      <c r="I54" s="50">
        <v>2</v>
      </c>
      <c r="J54" s="50">
        <v>2</v>
      </c>
      <c r="K54" s="50">
        <v>2</v>
      </c>
      <c r="L54" s="50">
        <v>1</v>
      </c>
      <c r="M54" s="50">
        <v>200</v>
      </c>
      <c r="N54" s="50">
        <v>0</v>
      </c>
      <c r="O54" s="15">
        <f t="shared" si="0"/>
        <v>191</v>
      </c>
      <c r="P54" s="15">
        <f t="shared" si="1"/>
        <v>391</v>
      </c>
      <c r="R54" s="8"/>
      <c r="T54"/>
    </row>
    <row r="55" spans="2:20" ht="23.1" customHeight="1" x14ac:dyDescent="0.25">
      <c r="B55" s="23" t="s">
        <v>82</v>
      </c>
      <c r="C55" s="50">
        <v>118</v>
      </c>
      <c r="D55" s="50">
        <v>54</v>
      </c>
      <c r="E55" s="50">
        <v>9</v>
      </c>
      <c r="F55" s="50">
        <v>4</v>
      </c>
      <c r="G55" s="50">
        <v>0</v>
      </c>
      <c r="H55" s="50">
        <v>0</v>
      </c>
      <c r="I55" s="50">
        <v>1</v>
      </c>
      <c r="J55" s="50">
        <v>1</v>
      </c>
      <c r="K55" s="50">
        <v>0</v>
      </c>
      <c r="L55" s="50">
        <v>1</v>
      </c>
      <c r="M55" s="50">
        <v>116</v>
      </c>
      <c r="N55" s="50">
        <v>0</v>
      </c>
      <c r="O55" s="15">
        <f t="shared" si="0"/>
        <v>188</v>
      </c>
      <c r="P55" s="15">
        <f t="shared" si="1"/>
        <v>304</v>
      </c>
      <c r="R55" s="8"/>
      <c r="T55"/>
    </row>
    <row r="56" spans="2:20" ht="23.1" customHeight="1" x14ac:dyDescent="0.25">
      <c r="B56" s="23" t="s">
        <v>83</v>
      </c>
      <c r="C56" s="50">
        <v>104</v>
      </c>
      <c r="D56" s="50">
        <v>46</v>
      </c>
      <c r="E56" s="50">
        <v>17</v>
      </c>
      <c r="F56" s="50">
        <v>2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2</v>
      </c>
      <c r="M56" s="50">
        <v>95</v>
      </c>
      <c r="N56" s="50">
        <v>0</v>
      </c>
      <c r="O56" s="15">
        <f t="shared" si="0"/>
        <v>174</v>
      </c>
      <c r="P56" s="15">
        <f t="shared" si="1"/>
        <v>269</v>
      </c>
      <c r="R56" s="8"/>
      <c r="T56"/>
    </row>
    <row r="57" spans="2:20" ht="23.1" customHeight="1" x14ac:dyDescent="0.25">
      <c r="B57" s="23" t="s">
        <v>84</v>
      </c>
      <c r="C57" s="50">
        <v>124</v>
      </c>
      <c r="D57" s="50">
        <v>68</v>
      </c>
      <c r="E57" s="50">
        <v>14</v>
      </c>
      <c r="F57" s="50">
        <v>11</v>
      </c>
      <c r="G57" s="50">
        <v>0</v>
      </c>
      <c r="H57" s="50">
        <v>0</v>
      </c>
      <c r="I57" s="50">
        <v>2</v>
      </c>
      <c r="J57" s="50">
        <v>2</v>
      </c>
      <c r="K57" s="50">
        <v>0</v>
      </c>
      <c r="L57" s="50">
        <v>0</v>
      </c>
      <c r="M57" s="50">
        <v>77</v>
      </c>
      <c r="N57" s="50">
        <v>0</v>
      </c>
      <c r="O57" s="15">
        <f t="shared" si="0"/>
        <v>221</v>
      </c>
      <c r="P57" s="15">
        <f t="shared" si="1"/>
        <v>298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4083</v>
      </c>
      <c r="D58" s="16">
        <f t="shared" si="21"/>
        <v>2103</v>
      </c>
      <c r="E58" s="16">
        <f t="shared" si="21"/>
        <v>550</v>
      </c>
      <c r="F58" s="16">
        <f t="shared" si="21"/>
        <v>183</v>
      </c>
      <c r="G58" s="16">
        <f t="shared" si="21"/>
        <v>11</v>
      </c>
      <c r="H58" s="16">
        <f t="shared" si="21"/>
        <v>2</v>
      </c>
      <c r="I58" s="16">
        <f t="shared" si="21"/>
        <v>132</v>
      </c>
      <c r="J58" s="16">
        <f t="shared" si="21"/>
        <v>78</v>
      </c>
      <c r="K58" s="16">
        <f t="shared" si="21"/>
        <v>13</v>
      </c>
      <c r="L58" s="16">
        <f t="shared" si="21"/>
        <v>37</v>
      </c>
      <c r="M58" s="16">
        <f t="shared" si="21"/>
        <v>8438</v>
      </c>
      <c r="N58" s="16">
        <f t="shared" si="21"/>
        <v>1</v>
      </c>
      <c r="O58" s="16">
        <f t="shared" si="21"/>
        <v>7193</v>
      </c>
      <c r="P58" s="16">
        <f t="shared" si="21"/>
        <v>15631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0.26121169470923167</v>
      </c>
      <c r="D59" s="43">
        <f t="shared" si="22"/>
        <v>0.13454033651077987</v>
      </c>
      <c r="E59" s="43">
        <f t="shared" si="22"/>
        <v>3.5186488388458829E-2</v>
      </c>
      <c r="F59" s="43">
        <f t="shared" si="22"/>
        <v>1.1707504318341756E-2</v>
      </c>
      <c r="G59" s="43">
        <f t="shared" si="22"/>
        <v>7.0372976776917663E-4</v>
      </c>
      <c r="H59" s="43">
        <f t="shared" si="22"/>
        <v>1.2795086686712303E-4</v>
      </c>
      <c r="I59" s="43">
        <f t="shared" si="22"/>
        <v>8.44475721323012E-3</v>
      </c>
      <c r="J59" s="43">
        <f t="shared" si="22"/>
        <v>4.9900838078177981E-3</v>
      </c>
      <c r="K59" s="43">
        <f t="shared" si="22"/>
        <v>8.3168063463629968E-4</v>
      </c>
      <c r="L59" s="43">
        <f t="shared" si="22"/>
        <v>2.3670910370417759E-3</v>
      </c>
      <c r="M59" s="43">
        <f t="shared" si="22"/>
        <v>0.53982470731239207</v>
      </c>
      <c r="N59" s="43">
        <f t="shared" si="22"/>
        <v>6.3975433433561513E-5</v>
      </c>
      <c r="R59" s="8"/>
      <c r="T59"/>
    </row>
    <row r="60" spans="2:20" ht="23.1" customHeight="1" x14ac:dyDescent="0.25">
      <c r="B60" s="42" t="s">
        <v>94</v>
      </c>
      <c r="C60" s="44">
        <f>C58/$O$58</f>
        <v>0.56763520088975394</v>
      </c>
      <c r="D60" s="44">
        <f t="shared" ref="D60:N60" si="23">D58/$O$58</f>
        <v>0.2923675795912693</v>
      </c>
      <c r="E60" s="44">
        <f t="shared" si="23"/>
        <v>7.6463228138467954E-2</v>
      </c>
      <c r="F60" s="44">
        <f t="shared" si="23"/>
        <v>2.5441401362435702E-2</v>
      </c>
      <c r="G60" s="44">
        <f t="shared" si="23"/>
        <v>1.5292645627693591E-3</v>
      </c>
      <c r="H60" s="44">
        <f t="shared" si="23"/>
        <v>2.7804810232170165E-4</v>
      </c>
      <c r="I60" s="44">
        <f t="shared" si="23"/>
        <v>1.8351174753232308E-2</v>
      </c>
      <c r="J60" s="44">
        <f t="shared" si="23"/>
        <v>1.0843875990546365E-2</v>
      </c>
      <c r="K60" s="44">
        <f t="shared" si="23"/>
        <v>1.8073126650910607E-3</v>
      </c>
      <c r="L60" s="44">
        <f t="shared" si="23"/>
        <v>5.1438898929514806E-3</v>
      </c>
      <c r="M60" s="44"/>
      <c r="N60" s="44">
        <f t="shared" si="23"/>
        <v>1.3902405116085083E-4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topLeftCell="A19" zoomScale="60" workbookViewId="0">
      <selection activeCell="M24" sqref="M24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Kira Road-Jinaj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'31.07 Jinja Road-Kira Road'!D5</f>
        <v>31.07.19</v>
      </c>
      <c r="E5" s="3"/>
      <c r="F5" s="41" t="s">
        <v>1</v>
      </c>
      <c r="G5" s="54" t="str">
        <f>'29.07 JinjaRoad-Kira Road'!G5:H5</f>
        <v>DHL (47)</v>
      </c>
      <c r="H5" s="55"/>
      <c r="I5" s="14"/>
      <c r="J5" s="2" t="s">
        <v>5</v>
      </c>
      <c r="K5" s="54" t="s">
        <v>175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Kira Road-Jinaj Road'!D6:E6</f>
        <v>Kira Road</v>
      </c>
      <c r="E6" s="55"/>
      <c r="F6" s="2" t="s">
        <v>2</v>
      </c>
      <c r="G6" s="54" t="str">
        <f>'29.07 Kira Road-Jinaj Road'!G6:H6</f>
        <v>Jinja Road</v>
      </c>
      <c r="H6" s="55"/>
      <c r="J6" s="2" t="s">
        <v>21</v>
      </c>
      <c r="K6" s="54" t="s">
        <v>176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221</v>
      </c>
      <c r="D10" s="50">
        <v>63</v>
      </c>
      <c r="E10" s="50">
        <v>29</v>
      </c>
      <c r="F10" s="50">
        <v>7</v>
      </c>
      <c r="G10" s="50">
        <v>2</v>
      </c>
      <c r="H10" s="50">
        <v>0</v>
      </c>
      <c r="I10" s="50">
        <v>0</v>
      </c>
      <c r="J10" s="50">
        <v>1</v>
      </c>
      <c r="K10" s="50">
        <v>0</v>
      </c>
      <c r="L10" s="50">
        <v>0</v>
      </c>
      <c r="M10" s="50">
        <v>115</v>
      </c>
      <c r="N10" s="50">
        <v>0</v>
      </c>
      <c r="O10" s="15">
        <f t="shared" ref="O10:O57" si="0">SUM(C10:L10,N10)</f>
        <v>323</v>
      </c>
      <c r="P10" s="15">
        <f t="shared" ref="P10:P57" si="1">SUM(C10:N10)</f>
        <v>438</v>
      </c>
      <c r="R10" s="1" t="s">
        <v>6</v>
      </c>
      <c r="S10" s="17">
        <f t="shared" ref="S10:AF10" si="2">SUM(C10:C13)</f>
        <v>746</v>
      </c>
      <c r="T10" s="17">
        <f t="shared" si="2"/>
        <v>279</v>
      </c>
      <c r="U10" s="17">
        <f t="shared" si="2"/>
        <v>111</v>
      </c>
      <c r="V10" s="17">
        <f t="shared" si="2"/>
        <v>21</v>
      </c>
      <c r="W10" s="17">
        <f t="shared" si="2"/>
        <v>3</v>
      </c>
      <c r="X10" s="17">
        <f t="shared" si="2"/>
        <v>0</v>
      </c>
      <c r="Y10" s="17">
        <f t="shared" si="2"/>
        <v>5</v>
      </c>
      <c r="Z10" s="17">
        <f t="shared" si="2"/>
        <v>2</v>
      </c>
      <c r="AA10" s="17">
        <f t="shared" si="2"/>
        <v>2</v>
      </c>
      <c r="AB10" s="17">
        <f t="shared" si="2"/>
        <v>0</v>
      </c>
      <c r="AC10" s="17">
        <f t="shared" si="2"/>
        <v>732</v>
      </c>
      <c r="AD10" s="17">
        <f t="shared" si="2"/>
        <v>0</v>
      </c>
      <c r="AE10" s="31">
        <f t="shared" si="2"/>
        <v>1169</v>
      </c>
      <c r="AF10" s="31">
        <f t="shared" si="2"/>
        <v>1901</v>
      </c>
    </row>
    <row r="11" spans="2:32" s="6" customFormat="1" ht="23.1" customHeight="1" x14ac:dyDescent="0.25">
      <c r="B11" s="23" t="s">
        <v>38</v>
      </c>
      <c r="C11" s="50">
        <v>227</v>
      </c>
      <c r="D11" s="50">
        <v>61</v>
      </c>
      <c r="E11" s="50">
        <v>40</v>
      </c>
      <c r="F11" s="50">
        <v>4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0</v>
      </c>
      <c r="M11" s="50">
        <v>191</v>
      </c>
      <c r="N11" s="50">
        <v>0</v>
      </c>
      <c r="O11" s="15">
        <f t="shared" si="0"/>
        <v>335</v>
      </c>
      <c r="P11" s="15">
        <f t="shared" si="1"/>
        <v>526</v>
      </c>
      <c r="R11" s="1" t="s">
        <v>7</v>
      </c>
      <c r="S11" s="17">
        <f t="shared" ref="S11:AF11" si="3">SUM(C14:C17)</f>
        <v>848</v>
      </c>
      <c r="T11" s="17">
        <f t="shared" si="3"/>
        <v>431</v>
      </c>
      <c r="U11" s="17">
        <f t="shared" si="3"/>
        <v>118</v>
      </c>
      <c r="V11" s="17">
        <f t="shared" si="3"/>
        <v>23</v>
      </c>
      <c r="W11" s="17">
        <f t="shared" si="3"/>
        <v>2</v>
      </c>
      <c r="X11" s="17">
        <f t="shared" si="3"/>
        <v>0</v>
      </c>
      <c r="Y11" s="17">
        <f t="shared" si="3"/>
        <v>26</v>
      </c>
      <c r="Z11" s="17">
        <f t="shared" si="3"/>
        <v>7</v>
      </c>
      <c r="AA11" s="17">
        <f t="shared" si="3"/>
        <v>0</v>
      </c>
      <c r="AB11" s="17">
        <f t="shared" si="3"/>
        <v>1</v>
      </c>
      <c r="AC11" s="17">
        <f t="shared" si="3"/>
        <v>1101</v>
      </c>
      <c r="AD11" s="17">
        <f t="shared" si="3"/>
        <v>0</v>
      </c>
      <c r="AE11" s="31">
        <f t="shared" si="3"/>
        <v>1456</v>
      </c>
      <c r="AF11" s="31">
        <f t="shared" si="3"/>
        <v>2557</v>
      </c>
    </row>
    <row r="12" spans="2:32" ht="23.1" customHeight="1" x14ac:dyDescent="0.25">
      <c r="B12" s="23" t="s">
        <v>39</v>
      </c>
      <c r="C12" s="50">
        <v>155</v>
      </c>
      <c r="D12" s="50">
        <v>75</v>
      </c>
      <c r="E12" s="50">
        <v>22</v>
      </c>
      <c r="F12" s="50">
        <v>2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189</v>
      </c>
      <c r="N12" s="50">
        <v>0</v>
      </c>
      <c r="O12" s="15">
        <f t="shared" si="0"/>
        <v>255</v>
      </c>
      <c r="P12" s="15">
        <f t="shared" si="1"/>
        <v>444</v>
      </c>
      <c r="R12" s="1" t="s">
        <v>8</v>
      </c>
      <c r="S12" s="17">
        <f t="shared" ref="S12:AF12" si="4">SUM(C18:C21)</f>
        <v>891</v>
      </c>
      <c r="T12" s="17">
        <f t="shared" si="4"/>
        <v>380</v>
      </c>
      <c r="U12" s="17">
        <f t="shared" si="4"/>
        <v>165</v>
      </c>
      <c r="V12" s="17">
        <f t="shared" si="4"/>
        <v>21</v>
      </c>
      <c r="W12" s="17">
        <f t="shared" si="4"/>
        <v>4</v>
      </c>
      <c r="X12" s="17">
        <f t="shared" si="4"/>
        <v>1</v>
      </c>
      <c r="Y12" s="17">
        <f t="shared" si="4"/>
        <v>23</v>
      </c>
      <c r="Z12" s="17">
        <f t="shared" si="4"/>
        <v>12</v>
      </c>
      <c r="AA12" s="17">
        <f t="shared" si="4"/>
        <v>2</v>
      </c>
      <c r="AB12" s="17">
        <f t="shared" si="4"/>
        <v>2</v>
      </c>
      <c r="AC12" s="17">
        <f t="shared" si="4"/>
        <v>891</v>
      </c>
      <c r="AD12" s="17">
        <f t="shared" si="4"/>
        <v>0</v>
      </c>
      <c r="AE12" s="31">
        <f t="shared" si="4"/>
        <v>1501</v>
      </c>
      <c r="AF12" s="31">
        <f t="shared" si="4"/>
        <v>2392</v>
      </c>
    </row>
    <row r="13" spans="2:32" ht="23.1" customHeight="1" x14ac:dyDescent="0.25">
      <c r="B13" s="23" t="s">
        <v>40</v>
      </c>
      <c r="C13" s="50">
        <v>143</v>
      </c>
      <c r="D13" s="50">
        <v>80</v>
      </c>
      <c r="E13" s="50">
        <v>20</v>
      </c>
      <c r="F13" s="50">
        <v>8</v>
      </c>
      <c r="G13" s="50">
        <v>1</v>
      </c>
      <c r="H13" s="50">
        <v>0</v>
      </c>
      <c r="I13" s="50">
        <v>2</v>
      </c>
      <c r="J13" s="50">
        <v>1</v>
      </c>
      <c r="K13" s="50">
        <v>1</v>
      </c>
      <c r="L13" s="50">
        <v>0</v>
      </c>
      <c r="M13" s="50">
        <v>237</v>
      </c>
      <c r="N13" s="50">
        <v>0</v>
      </c>
      <c r="O13" s="15">
        <f t="shared" si="0"/>
        <v>256</v>
      </c>
      <c r="P13" s="15">
        <f t="shared" si="1"/>
        <v>493</v>
      </c>
      <c r="R13" s="1" t="s">
        <v>9</v>
      </c>
      <c r="S13" s="17">
        <f t="shared" ref="S13:AF13" si="5">SUM(C22:C25)</f>
        <v>712</v>
      </c>
      <c r="T13" s="17">
        <f t="shared" si="5"/>
        <v>376</v>
      </c>
      <c r="U13" s="17">
        <f t="shared" si="5"/>
        <v>133</v>
      </c>
      <c r="V13" s="17">
        <f t="shared" si="5"/>
        <v>73</v>
      </c>
      <c r="W13" s="17">
        <f t="shared" si="5"/>
        <v>0</v>
      </c>
      <c r="X13" s="17">
        <f t="shared" si="5"/>
        <v>0</v>
      </c>
      <c r="Y13" s="17">
        <f t="shared" si="5"/>
        <v>33</v>
      </c>
      <c r="Z13" s="17">
        <f t="shared" si="5"/>
        <v>3</v>
      </c>
      <c r="AA13" s="17">
        <f t="shared" si="5"/>
        <v>1</v>
      </c>
      <c r="AB13" s="17">
        <f t="shared" si="5"/>
        <v>3</v>
      </c>
      <c r="AC13" s="17">
        <f t="shared" si="5"/>
        <v>808</v>
      </c>
      <c r="AD13" s="17">
        <f t="shared" si="5"/>
        <v>0</v>
      </c>
      <c r="AE13" s="31">
        <f t="shared" si="5"/>
        <v>1334</v>
      </c>
      <c r="AF13" s="31">
        <f t="shared" si="5"/>
        <v>2142</v>
      </c>
    </row>
    <row r="14" spans="2:32" ht="23.1" customHeight="1" x14ac:dyDescent="0.25">
      <c r="B14" s="23" t="s">
        <v>41</v>
      </c>
      <c r="C14" s="50">
        <v>227</v>
      </c>
      <c r="D14" s="50">
        <v>88</v>
      </c>
      <c r="E14" s="50">
        <v>27</v>
      </c>
      <c r="F14" s="50">
        <v>8</v>
      </c>
      <c r="G14" s="50">
        <v>1</v>
      </c>
      <c r="H14" s="50">
        <v>0</v>
      </c>
      <c r="I14" s="50">
        <v>7</v>
      </c>
      <c r="J14" s="50">
        <v>2</v>
      </c>
      <c r="K14" s="50">
        <v>0</v>
      </c>
      <c r="L14" s="50">
        <v>1</v>
      </c>
      <c r="M14" s="50">
        <v>278</v>
      </c>
      <c r="N14" s="50">
        <v>0</v>
      </c>
      <c r="O14" s="15">
        <f t="shared" si="0"/>
        <v>361</v>
      </c>
      <c r="P14" s="15">
        <f t="shared" si="1"/>
        <v>639</v>
      </c>
      <c r="R14" s="1" t="s">
        <v>10</v>
      </c>
      <c r="S14" s="17">
        <f t="shared" ref="S14:AF14" si="6">SUM(C26:C29)</f>
        <v>653</v>
      </c>
      <c r="T14" s="17">
        <f t="shared" si="6"/>
        <v>403</v>
      </c>
      <c r="U14" s="17">
        <f t="shared" si="6"/>
        <v>150</v>
      </c>
      <c r="V14" s="17">
        <f t="shared" si="6"/>
        <v>46</v>
      </c>
      <c r="W14" s="17">
        <f t="shared" si="6"/>
        <v>2</v>
      </c>
      <c r="X14" s="17">
        <f t="shared" si="6"/>
        <v>0</v>
      </c>
      <c r="Y14" s="17">
        <f t="shared" si="6"/>
        <v>29</v>
      </c>
      <c r="Z14" s="17">
        <f t="shared" si="6"/>
        <v>15</v>
      </c>
      <c r="AA14" s="17">
        <f t="shared" si="6"/>
        <v>3</v>
      </c>
      <c r="AB14" s="17">
        <f t="shared" si="6"/>
        <v>1</v>
      </c>
      <c r="AC14" s="17">
        <f t="shared" si="6"/>
        <v>887</v>
      </c>
      <c r="AD14" s="17">
        <f t="shared" si="6"/>
        <v>0</v>
      </c>
      <c r="AE14" s="31">
        <f t="shared" si="6"/>
        <v>1302</v>
      </c>
      <c r="AF14" s="31">
        <f t="shared" si="6"/>
        <v>2189</v>
      </c>
    </row>
    <row r="15" spans="2:32" ht="23.1" customHeight="1" x14ac:dyDescent="0.25">
      <c r="B15" s="23" t="s">
        <v>42</v>
      </c>
      <c r="C15" s="50">
        <v>219</v>
      </c>
      <c r="D15" s="50">
        <v>120</v>
      </c>
      <c r="E15" s="50">
        <v>22</v>
      </c>
      <c r="F15" s="50">
        <v>3</v>
      </c>
      <c r="G15" s="50">
        <v>1</v>
      </c>
      <c r="H15" s="50">
        <v>0</v>
      </c>
      <c r="I15" s="50">
        <v>3</v>
      </c>
      <c r="J15" s="50">
        <v>0</v>
      </c>
      <c r="K15" s="50">
        <v>0</v>
      </c>
      <c r="L15" s="50">
        <v>0</v>
      </c>
      <c r="M15" s="50">
        <v>287</v>
      </c>
      <c r="N15" s="50">
        <v>0</v>
      </c>
      <c r="O15" s="15">
        <f t="shared" si="0"/>
        <v>368</v>
      </c>
      <c r="P15" s="15">
        <f t="shared" si="1"/>
        <v>655</v>
      </c>
      <c r="R15" s="1" t="s">
        <v>11</v>
      </c>
      <c r="S15" s="17">
        <f t="shared" ref="S15:AF15" si="7">SUM(C30:C33)</f>
        <v>641</v>
      </c>
      <c r="T15" s="17">
        <f t="shared" si="7"/>
        <v>258</v>
      </c>
      <c r="U15" s="17">
        <f t="shared" si="7"/>
        <v>107</v>
      </c>
      <c r="V15" s="17">
        <f t="shared" si="7"/>
        <v>33</v>
      </c>
      <c r="W15" s="17">
        <f t="shared" si="7"/>
        <v>0</v>
      </c>
      <c r="X15" s="17">
        <f t="shared" si="7"/>
        <v>0</v>
      </c>
      <c r="Y15" s="17">
        <f t="shared" si="7"/>
        <v>35</v>
      </c>
      <c r="Z15" s="17">
        <f t="shared" si="7"/>
        <v>16</v>
      </c>
      <c r="AA15" s="17">
        <f t="shared" si="7"/>
        <v>4</v>
      </c>
      <c r="AB15" s="17">
        <f t="shared" si="7"/>
        <v>1</v>
      </c>
      <c r="AC15" s="17">
        <f t="shared" si="7"/>
        <v>866</v>
      </c>
      <c r="AD15" s="17">
        <f t="shared" si="7"/>
        <v>0</v>
      </c>
      <c r="AE15" s="31">
        <f t="shared" si="7"/>
        <v>1095</v>
      </c>
      <c r="AF15" s="31">
        <f t="shared" si="7"/>
        <v>1961</v>
      </c>
    </row>
    <row r="16" spans="2:32" ht="23.1" customHeight="1" x14ac:dyDescent="0.25">
      <c r="B16" s="23" t="s">
        <v>43</v>
      </c>
      <c r="C16" s="50">
        <v>170</v>
      </c>
      <c r="D16" s="50">
        <v>115</v>
      </c>
      <c r="E16" s="50">
        <v>20</v>
      </c>
      <c r="F16" s="50">
        <v>8</v>
      </c>
      <c r="G16" s="50">
        <v>0</v>
      </c>
      <c r="H16" s="50">
        <v>0</v>
      </c>
      <c r="I16" s="50">
        <v>6</v>
      </c>
      <c r="J16" s="50">
        <v>2</v>
      </c>
      <c r="K16" s="50">
        <v>0</v>
      </c>
      <c r="L16" s="50">
        <v>0</v>
      </c>
      <c r="M16" s="50">
        <v>288</v>
      </c>
      <c r="N16" s="50">
        <v>0</v>
      </c>
      <c r="O16" s="15">
        <f t="shared" si="0"/>
        <v>321</v>
      </c>
      <c r="P16" s="15">
        <f t="shared" si="1"/>
        <v>609</v>
      </c>
      <c r="R16" s="1" t="s">
        <v>12</v>
      </c>
      <c r="S16" s="17">
        <f t="shared" ref="S16:AF16" si="8">SUM(C34:C37)</f>
        <v>594</v>
      </c>
      <c r="T16" s="17">
        <f t="shared" si="8"/>
        <v>231</v>
      </c>
      <c r="U16" s="17">
        <f t="shared" si="8"/>
        <v>92</v>
      </c>
      <c r="V16" s="17">
        <f t="shared" si="8"/>
        <v>19</v>
      </c>
      <c r="W16" s="17">
        <f t="shared" si="8"/>
        <v>1</v>
      </c>
      <c r="X16" s="17">
        <f t="shared" si="8"/>
        <v>0</v>
      </c>
      <c r="Y16" s="17">
        <f t="shared" si="8"/>
        <v>21</v>
      </c>
      <c r="Z16" s="17">
        <f t="shared" si="8"/>
        <v>13</v>
      </c>
      <c r="AA16" s="17">
        <f t="shared" si="8"/>
        <v>3</v>
      </c>
      <c r="AB16" s="17">
        <f t="shared" si="8"/>
        <v>0</v>
      </c>
      <c r="AC16" s="17">
        <f t="shared" si="8"/>
        <v>764</v>
      </c>
      <c r="AD16" s="17">
        <f t="shared" si="8"/>
        <v>0</v>
      </c>
      <c r="AE16" s="31">
        <f t="shared" si="8"/>
        <v>974</v>
      </c>
      <c r="AF16" s="31">
        <f t="shared" si="8"/>
        <v>1738</v>
      </c>
    </row>
    <row r="17" spans="2:32" ht="23.1" customHeight="1" x14ac:dyDescent="0.25">
      <c r="B17" s="23" t="s">
        <v>44</v>
      </c>
      <c r="C17" s="50">
        <v>232</v>
      </c>
      <c r="D17" s="50">
        <v>108</v>
      </c>
      <c r="E17" s="50">
        <v>49</v>
      </c>
      <c r="F17" s="50">
        <v>4</v>
      </c>
      <c r="G17" s="50">
        <v>0</v>
      </c>
      <c r="H17" s="50">
        <v>0</v>
      </c>
      <c r="I17" s="50">
        <v>10</v>
      </c>
      <c r="J17" s="50">
        <v>3</v>
      </c>
      <c r="K17" s="50">
        <v>0</v>
      </c>
      <c r="L17" s="50">
        <v>0</v>
      </c>
      <c r="M17" s="50">
        <v>248</v>
      </c>
      <c r="N17" s="50">
        <v>0</v>
      </c>
      <c r="O17" s="15">
        <f t="shared" si="0"/>
        <v>406</v>
      </c>
      <c r="P17" s="15">
        <f t="shared" si="1"/>
        <v>654</v>
      </c>
      <c r="R17" s="1" t="s">
        <v>13</v>
      </c>
      <c r="S17" s="17">
        <f t="shared" ref="S17:AF17" si="9">SUM(C38:C41)</f>
        <v>778</v>
      </c>
      <c r="T17" s="17">
        <f t="shared" si="9"/>
        <v>162</v>
      </c>
      <c r="U17" s="17">
        <f t="shared" si="9"/>
        <v>56</v>
      </c>
      <c r="V17" s="17">
        <f t="shared" si="9"/>
        <v>50</v>
      </c>
      <c r="W17" s="17">
        <f t="shared" si="9"/>
        <v>0</v>
      </c>
      <c r="X17" s="17">
        <f t="shared" si="9"/>
        <v>0</v>
      </c>
      <c r="Y17" s="17">
        <f t="shared" si="9"/>
        <v>43</v>
      </c>
      <c r="Z17" s="17">
        <f t="shared" si="9"/>
        <v>9</v>
      </c>
      <c r="AA17" s="17">
        <f t="shared" si="9"/>
        <v>4</v>
      </c>
      <c r="AB17" s="17">
        <f t="shared" si="9"/>
        <v>1</v>
      </c>
      <c r="AC17" s="17">
        <f t="shared" si="9"/>
        <v>773</v>
      </c>
      <c r="AD17" s="17">
        <f t="shared" si="9"/>
        <v>0</v>
      </c>
      <c r="AE17" s="31">
        <f t="shared" si="9"/>
        <v>1103</v>
      </c>
      <c r="AF17" s="31">
        <f t="shared" si="9"/>
        <v>1876</v>
      </c>
    </row>
    <row r="18" spans="2:32" ht="23.1" customHeight="1" x14ac:dyDescent="0.25">
      <c r="B18" s="23" t="s">
        <v>45</v>
      </c>
      <c r="C18" s="50">
        <v>228</v>
      </c>
      <c r="D18" s="50">
        <v>100</v>
      </c>
      <c r="E18" s="50">
        <v>33</v>
      </c>
      <c r="F18" s="50">
        <v>7</v>
      </c>
      <c r="G18" s="50">
        <v>0</v>
      </c>
      <c r="H18" s="50">
        <v>0</v>
      </c>
      <c r="I18" s="50">
        <v>8</v>
      </c>
      <c r="J18" s="50">
        <v>4</v>
      </c>
      <c r="K18" s="50">
        <v>0</v>
      </c>
      <c r="L18" s="50">
        <v>0</v>
      </c>
      <c r="M18" s="50">
        <v>255</v>
      </c>
      <c r="N18" s="50">
        <v>0</v>
      </c>
      <c r="O18" s="15">
        <f t="shared" si="0"/>
        <v>380</v>
      </c>
      <c r="P18" s="15">
        <f t="shared" si="1"/>
        <v>635</v>
      </c>
      <c r="R18" s="1" t="s">
        <v>14</v>
      </c>
      <c r="S18" s="17">
        <f t="shared" ref="S18:AF18" si="10">SUM(C42:C45)</f>
        <v>534</v>
      </c>
      <c r="T18" s="17">
        <f t="shared" si="10"/>
        <v>290</v>
      </c>
      <c r="U18" s="17">
        <f t="shared" si="10"/>
        <v>84</v>
      </c>
      <c r="V18" s="17">
        <f t="shared" si="10"/>
        <v>29</v>
      </c>
      <c r="W18" s="17">
        <f t="shared" si="10"/>
        <v>2</v>
      </c>
      <c r="X18" s="17">
        <f t="shared" si="10"/>
        <v>0</v>
      </c>
      <c r="Y18" s="17">
        <f t="shared" si="10"/>
        <v>35</v>
      </c>
      <c r="Z18" s="17">
        <f t="shared" si="10"/>
        <v>11</v>
      </c>
      <c r="AA18" s="17">
        <f t="shared" si="10"/>
        <v>2</v>
      </c>
      <c r="AB18" s="17">
        <f t="shared" si="10"/>
        <v>1</v>
      </c>
      <c r="AC18" s="17">
        <f t="shared" si="10"/>
        <v>928</v>
      </c>
      <c r="AD18" s="17">
        <f t="shared" si="10"/>
        <v>0</v>
      </c>
      <c r="AE18" s="31">
        <f t="shared" si="10"/>
        <v>988</v>
      </c>
      <c r="AF18" s="31">
        <f t="shared" si="10"/>
        <v>1916</v>
      </c>
    </row>
    <row r="19" spans="2:32" ht="23.1" customHeight="1" x14ac:dyDescent="0.25">
      <c r="B19" s="23" t="s">
        <v>46</v>
      </c>
      <c r="C19" s="50">
        <v>203</v>
      </c>
      <c r="D19" s="50">
        <v>101</v>
      </c>
      <c r="E19" s="50">
        <v>27</v>
      </c>
      <c r="F19" s="50">
        <v>3</v>
      </c>
      <c r="G19" s="50">
        <v>1</v>
      </c>
      <c r="H19" s="50">
        <v>1</v>
      </c>
      <c r="I19" s="50">
        <v>5</v>
      </c>
      <c r="J19" s="50">
        <v>2</v>
      </c>
      <c r="K19" s="50">
        <v>0</v>
      </c>
      <c r="L19" s="50">
        <v>0</v>
      </c>
      <c r="M19" s="50">
        <v>217</v>
      </c>
      <c r="N19" s="50">
        <v>0</v>
      </c>
      <c r="O19" s="15">
        <f t="shared" si="0"/>
        <v>343</v>
      </c>
      <c r="P19" s="15">
        <f t="shared" si="1"/>
        <v>560</v>
      </c>
      <c r="R19" s="1" t="s">
        <v>15</v>
      </c>
      <c r="S19" s="17">
        <f t="shared" ref="S19:AF19" si="11">SUM(C46:C49)</f>
        <v>593</v>
      </c>
      <c r="T19" s="17">
        <f t="shared" si="11"/>
        <v>216</v>
      </c>
      <c r="U19" s="17">
        <f t="shared" si="11"/>
        <v>114</v>
      </c>
      <c r="V19" s="17">
        <f t="shared" si="11"/>
        <v>16</v>
      </c>
      <c r="W19" s="17">
        <f t="shared" si="11"/>
        <v>2</v>
      </c>
      <c r="X19" s="17">
        <f t="shared" si="11"/>
        <v>0</v>
      </c>
      <c r="Y19" s="17">
        <f t="shared" si="11"/>
        <v>26</v>
      </c>
      <c r="Z19" s="17">
        <f t="shared" si="11"/>
        <v>5</v>
      </c>
      <c r="AA19" s="17">
        <f t="shared" si="11"/>
        <v>5</v>
      </c>
      <c r="AB19" s="17">
        <f t="shared" si="11"/>
        <v>1</v>
      </c>
      <c r="AC19" s="17">
        <f t="shared" si="11"/>
        <v>824</v>
      </c>
      <c r="AD19" s="17">
        <f t="shared" si="11"/>
        <v>0</v>
      </c>
      <c r="AE19" s="31">
        <f t="shared" si="11"/>
        <v>978</v>
      </c>
      <c r="AF19" s="31">
        <f t="shared" si="11"/>
        <v>1802</v>
      </c>
    </row>
    <row r="20" spans="2:32" ht="23.1" customHeight="1" x14ac:dyDescent="0.25">
      <c r="B20" s="23" t="s">
        <v>47</v>
      </c>
      <c r="C20" s="50">
        <v>220</v>
      </c>
      <c r="D20" s="50">
        <v>95</v>
      </c>
      <c r="E20" s="50">
        <v>25</v>
      </c>
      <c r="F20" s="50">
        <v>4</v>
      </c>
      <c r="G20" s="50">
        <v>3</v>
      </c>
      <c r="H20" s="50">
        <v>0</v>
      </c>
      <c r="I20" s="50">
        <v>3</v>
      </c>
      <c r="J20" s="50">
        <v>4</v>
      </c>
      <c r="K20" s="50">
        <v>2</v>
      </c>
      <c r="L20" s="50">
        <v>0</v>
      </c>
      <c r="M20" s="50">
        <v>201</v>
      </c>
      <c r="N20" s="50">
        <v>0</v>
      </c>
      <c r="O20" s="15">
        <f t="shared" si="0"/>
        <v>356</v>
      </c>
      <c r="P20" s="15">
        <f t="shared" si="1"/>
        <v>557</v>
      </c>
      <c r="R20" s="1" t="s">
        <v>16</v>
      </c>
      <c r="S20" s="17">
        <f t="shared" ref="S20:AF20" si="12">SUM(C50:C53)</f>
        <v>586</v>
      </c>
      <c r="T20" s="17">
        <f t="shared" si="12"/>
        <v>315</v>
      </c>
      <c r="U20" s="17">
        <f t="shared" si="12"/>
        <v>137</v>
      </c>
      <c r="V20" s="17">
        <f t="shared" si="12"/>
        <v>18</v>
      </c>
      <c r="W20" s="17">
        <f t="shared" si="12"/>
        <v>1</v>
      </c>
      <c r="X20" s="17">
        <f t="shared" si="12"/>
        <v>0</v>
      </c>
      <c r="Y20" s="17">
        <f t="shared" si="12"/>
        <v>19</v>
      </c>
      <c r="Z20" s="17">
        <f t="shared" si="12"/>
        <v>4</v>
      </c>
      <c r="AA20" s="17">
        <f t="shared" si="12"/>
        <v>4</v>
      </c>
      <c r="AB20" s="17">
        <f t="shared" si="12"/>
        <v>0</v>
      </c>
      <c r="AC20" s="17">
        <f t="shared" si="12"/>
        <v>937</v>
      </c>
      <c r="AD20" s="17">
        <f t="shared" si="12"/>
        <v>0</v>
      </c>
      <c r="AE20" s="31">
        <f t="shared" si="12"/>
        <v>1084</v>
      </c>
      <c r="AF20" s="31">
        <f t="shared" si="12"/>
        <v>2021</v>
      </c>
    </row>
    <row r="21" spans="2:32" ht="23.1" customHeight="1" x14ac:dyDescent="0.25">
      <c r="B21" s="23" t="s">
        <v>48</v>
      </c>
      <c r="C21" s="50">
        <v>240</v>
      </c>
      <c r="D21" s="50">
        <v>84</v>
      </c>
      <c r="E21" s="50">
        <v>80</v>
      </c>
      <c r="F21" s="50">
        <v>7</v>
      </c>
      <c r="G21" s="50">
        <v>0</v>
      </c>
      <c r="H21" s="50">
        <v>0</v>
      </c>
      <c r="I21" s="50">
        <v>7</v>
      </c>
      <c r="J21" s="50">
        <v>2</v>
      </c>
      <c r="K21" s="50">
        <v>0</v>
      </c>
      <c r="L21" s="50">
        <v>2</v>
      </c>
      <c r="M21" s="50">
        <v>218</v>
      </c>
      <c r="N21" s="50">
        <v>0</v>
      </c>
      <c r="O21" s="15">
        <f t="shared" si="0"/>
        <v>422</v>
      </c>
      <c r="P21" s="15">
        <f t="shared" si="1"/>
        <v>640</v>
      </c>
      <c r="R21" s="36" t="s">
        <v>20</v>
      </c>
      <c r="S21" s="34">
        <f t="shared" ref="S21:AF21" si="13">SUM(C54:C57)</f>
        <v>502</v>
      </c>
      <c r="T21" s="17">
        <f t="shared" si="13"/>
        <v>239</v>
      </c>
      <c r="U21" s="17">
        <f t="shared" si="13"/>
        <v>122</v>
      </c>
      <c r="V21" s="17">
        <f t="shared" si="13"/>
        <v>18</v>
      </c>
      <c r="W21" s="17">
        <f t="shared" si="13"/>
        <v>2</v>
      </c>
      <c r="X21" s="17">
        <f t="shared" si="13"/>
        <v>2</v>
      </c>
      <c r="Y21" s="17">
        <f t="shared" si="13"/>
        <v>26</v>
      </c>
      <c r="Z21" s="17">
        <f t="shared" si="13"/>
        <v>9</v>
      </c>
      <c r="AA21" s="17">
        <f t="shared" si="13"/>
        <v>2</v>
      </c>
      <c r="AB21" s="17">
        <f t="shared" si="13"/>
        <v>0</v>
      </c>
      <c r="AC21" s="17">
        <f t="shared" si="13"/>
        <v>896</v>
      </c>
      <c r="AD21" s="17">
        <f t="shared" si="13"/>
        <v>0</v>
      </c>
      <c r="AE21" s="31">
        <f t="shared" si="13"/>
        <v>922</v>
      </c>
      <c r="AF21" s="31">
        <f t="shared" si="13"/>
        <v>1818</v>
      </c>
    </row>
    <row r="22" spans="2:32" ht="23.1" customHeight="1" x14ac:dyDescent="0.25">
      <c r="B22" s="23" t="s">
        <v>49</v>
      </c>
      <c r="C22" s="50">
        <v>200</v>
      </c>
      <c r="D22" s="50">
        <v>120</v>
      </c>
      <c r="E22" s="50">
        <v>35</v>
      </c>
      <c r="F22" s="50">
        <v>63</v>
      </c>
      <c r="G22" s="50">
        <v>0</v>
      </c>
      <c r="H22" s="50">
        <v>0</v>
      </c>
      <c r="I22" s="50">
        <v>13</v>
      </c>
      <c r="J22" s="50">
        <v>1</v>
      </c>
      <c r="K22" s="50">
        <v>1</v>
      </c>
      <c r="L22" s="50">
        <v>1</v>
      </c>
      <c r="M22" s="50">
        <v>242</v>
      </c>
      <c r="N22" s="50">
        <v>0</v>
      </c>
      <c r="O22" s="15">
        <f t="shared" si="0"/>
        <v>434</v>
      </c>
      <c r="P22" s="15">
        <f t="shared" si="1"/>
        <v>676</v>
      </c>
      <c r="R22" s="38" t="s">
        <v>90</v>
      </c>
      <c r="S22" s="39">
        <f>MAX(S10:S12)</f>
        <v>891</v>
      </c>
      <c r="T22" s="39">
        <f t="shared" ref="T22:AF22" si="14">MAX(T10:T12)</f>
        <v>431</v>
      </c>
      <c r="U22" s="39">
        <f t="shared" si="14"/>
        <v>165</v>
      </c>
      <c r="V22" s="39">
        <f t="shared" si="14"/>
        <v>23</v>
      </c>
      <c r="W22" s="39">
        <f t="shared" si="14"/>
        <v>4</v>
      </c>
      <c r="X22" s="39">
        <f t="shared" si="14"/>
        <v>1</v>
      </c>
      <c r="Y22" s="39">
        <f t="shared" si="14"/>
        <v>26</v>
      </c>
      <c r="Z22" s="39">
        <f t="shared" si="14"/>
        <v>12</v>
      </c>
      <c r="AA22" s="39">
        <f t="shared" si="14"/>
        <v>2</v>
      </c>
      <c r="AB22" s="39">
        <f t="shared" si="14"/>
        <v>2</v>
      </c>
      <c r="AC22" s="39">
        <f t="shared" si="14"/>
        <v>1101</v>
      </c>
      <c r="AD22" s="39">
        <f t="shared" si="14"/>
        <v>0</v>
      </c>
      <c r="AE22" s="40">
        <f t="shared" si="14"/>
        <v>1501</v>
      </c>
      <c r="AF22" s="40">
        <f t="shared" si="14"/>
        <v>2557</v>
      </c>
    </row>
    <row r="23" spans="2:32" ht="23.1" customHeight="1" x14ac:dyDescent="0.25">
      <c r="B23" s="23" t="s">
        <v>50</v>
      </c>
      <c r="C23" s="50">
        <v>212</v>
      </c>
      <c r="D23" s="50">
        <v>104</v>
      </c>
      <c r="E23" s="50">
        <v>38</v>
      </c>
      <c r="F23" s="50">
        <v>4</v>
      </c>
      <c r="G23" s="50">
        <v>0</v>
      </c>
      <c r="H23" s="50">
        <v>0</v>
      </c>
      <c r="I23" s="50">
        <v>7</v>
      </c>
      <c r="J23" s="50">
        <v>0</v>
      </c>
      <c r="K23" s="50">
        <v>0</v>
      </c>
      <c r="L23" s="50">
        <v>0</v>
      </c>
      <c r="M23" s="50">
        <v>199</v>
      </c>
      <c r="N23" s="50">
        <v>0</v>
      </c>
      <c r="O23" s="15">
        <f t="shared" si="0"/>
        <v>365</v>
      </c>
      <c r="P23" s="15">
        <f t="shared" si="1"/>
        <v>564</v>
      </c>
      <c r="R23" s="38" t="s">
        <v>91</v>
      </c>
      <c r="S23" s="39">
        <f>MAX(S13:S18)</f>
        <v>778</v>
      </c>
      <c r="T23" s="39">
        <f t="shared" ref="T23:AF23" si="15">MAX(T13:T18)</f>
        <v>403</v>
      </c>
      <c r="U23" s="39">
        <f t="shared" si="15"/>
        <v>150</v>
      </c>
      <c r="V23" s="39">
        <f t="shared" si="15"/>
        <v>73</v>
      </c>
      <c r="W23" s="39">
        <f t="shared" si="15"/>
        <v>2</v>
      </c>
      <c r="X23" s="39">
        <f t="shared" si="15"/>
        <v>0</v>
      </c>
      <c r="Y23" s="39">
        <f t="shared" si="15"/>
        <v>43</v>
      </c>
      <c r="Z23" s="39">
        <f t="shared" si="15"/>
        <v>16</v>
      </c>
      <c r="AA23" s="39">
        <f t="shared" si="15"/>
        <v>4</v>
      </c>
      <c r="AB23" s="39">
        <f t="shared" si="15"/>
        <v>3</v>
      </c>
      <c r="AC23" s="39">
        <f t="shared" si="15"/>
        <v>928</v>
      </c>
      <c r="AD23" s="39">
        <f t="shared" si="15"/>
        <v>0</v>
      </c>
      <c r="AE23" s="40">
        <f t="shared" si="15"/>
        <v>1334</v>
      </c>
      <c r="AF23" s="40">
        <f t="shared" si="15"/>
        <v>2189</v>
      </c>
    </row>
    <row r="24" spans="2:32" ht="23.1" customHeight="1" x14ac:dyDescent="0.25">
      <c r="B24" s="23" t="s">
        <v>51</v>
      </c>
      <c r="C24" s="50">
        <v>160</v>
      </c>
      <c r="D24" s="50">
        <v>83</v>
      </c>
      <c r="E24" s="50">
        <v>40</v>
      </c>
      <c r="F24" s="50">
        <v>4</v>
      </c>
      <c r="G24" s="50">
        <v>0</v>
      </c>
      <c r="H24" s="50">
        <v>0</v>
      </c>
      <c r="I24" s="50">
        <v>7</v>
      </c>
      <c r="J24" s="50">
        <v>2</v>
      </c>
      <c r="K24" s="50">
        <v>0</v>
      </c>
      <c r="L24" s="50">
        <v>2</v>
      </c>
      <c r="M24" s="50">
        <v>131</v>
      </c>
      <c r="N24" s="50">
        <v>0</v>
      </c>
      <c r="O24" s="15">
        <f t="shared" si="0"/>
        <v>298</v>
      </c>
      <c r="P24" s="15">
        <f t="shared" si="1"/>
        <v>429</v>
      </c>
      <c r="R24" s="38" t="s">
        <v>92</v>
      </c>
      <c r="S24" s="39">
        <f>MAX(S19:S21)</f>
        <v>593</v>
      </c>
      <c r="T24" s="39">
        <f t="shared" ref="T24:AF24" si="16">MAX(T19:T21)</f>
        <v>315</v>
      </c>
      <c r="U24" s="39">
        <f t="shared" si="16"/>
        <v>137</v>
      </c>
      <c r="V24" s="39">
        <f t="shared" si="16"/>
        <v>18</v>
      </c>
      <c r="W24" s="39">
        <f t="shared" si="16"/>
        <v>2</v>
      </c>
      <c r="X24" s="39">
        <f t="shared" si="16"/>
        <v>2</v>
      </c>
      <c r="Y24" s="39">
        <f t="shared" si="16"/>
        <v>26</v>
      </c>
      <c r="Z24" s="39">
        <f t="shared" si="16"/>
        <v>9</v>
      </c>
      <c r="AA24" s="39">
        <f t="shared" si="16"/>
        <v>5</v>
      </c>
      <c r="AB24" s="39">
        <f t="shared" si="16"/>
        <v>1</v>
      </c>
      <c r="AC24" s="39">
        <f t="shared" si="16"/>
        <v>937</v>
      </c>
      <c r="AD24" s="39">
        <f t="shared" si="16"/>
        <v>0</v>
      </c>
      <c r="AE24" s="40">
        <f t="shared" si="16"/>
        <v>1084</v>
      </c>
      <c r="AF24" s="40">
        <f t="shared" si="16"/>
        <v>2021</v>
      </c>
    </row>
    <row r="25" spans="2:32" ht="23.1" customHeight="1" x14ac:dyDescent="0.25">
      <c r="B25" s="23" t="s">
        <v>52</v>
      </c>
      <c r="C25" s="50">
        <v>140</v>
      </c>
      <c r="D25" s="50">
        <v>69</v>
      </c>
      <c r="E25" s="50">
        <v>20</v>
      </c>
      <c r="F25" s="50">
        <v>2</v>
      </c>
      <c r="G25" s="50">
        <v>0</v>
      </c>
      <c r="H25" s="50">
        <v>0</v>
      </c>
      <c r="I25" s="50">
        <v>6</v>
      </c>
      <c r="J25" s="50">
        <v>0</v>
      </c>
      <c r="K25" s="50">
        <v>0</v>
      </c>
      <c r="L25" s="50">
        <v>0</v>
      </c>
      <c r="M25" s="50">
        <v>236</v>
      </c>
      <c r="N25" s="50">
        <v>0</v>
      </c>
      <c r="O25" s="15">
        <f t="shared" si="0"/>
        <v>237</v>
      </c>
      <c r="P25" s="15">
        <f t="shared" si="1"/>
        <v>473</v>
      </c>
      <c r="R25" s="37" t="s">
        <v>85</v>
      </c>
      <c r="S25" s="35">
        <f t="shared" ref="S25:AF25" si="17">SUM(S10:S12)</f>
        <v>2485</v>
      </c>
      <c r="T25" s="16">
        <f t="shared" si="17"/>
        <v>1090</v>
      </c>
      <c r="U25" s="16">
        <f t="shared" si="17"/>
        <v>394</v>
      </c>
      <c r="V25" s="16">
        <f t="shared" si="17"/>
        <v>65</v>
      </c>
      <c r="W25" s="16">
        <f t="shared" si="17"/>
        <v>9</v>
      </c>
      <c r="X25" s="16">
        <f t="shared" si="17"/>
        <v>1</v>
      </c>
      <c r="Y25" s="16">
        <f t="shared" si="17"/>
        <v>54</v>
      </c>
      <c r="Z25" s="16">
        <f t="shared" si="17"/>
        <v>21</v>
      </c>
      <c r="AA25" s="16">
        <f t="shared" si="17"/>
        <v>4</v>
      </c>
      <c r="AB25" s="16">
        <f t="shared" si="17"/>
        <v>3</v>
      </c>
      <c r="AC25" s="16">
        <f t="shared" si="17"/>
        <v>2724</v>
      </c>
      <c r="AD25" s="16">
        <f t="shared" si="17"/>
        <v>0</v>
      </c>
      <c r="AE25" s="32">
        <f t="shared" si="17"/>
        <v>4126</v>
      </c>
      <c r="AF25" s="32">
        <f t="shared" si="17"/>
        <v>6850</v>
      </c>
    </row>
    <row r="26" spans="2:32" ht="23.1" customHeight="1" x14ac:dyDescent="0.25">
      <c r="B26" s="23" t="s">
        <v>53</v>
      </c>
      <c r="C26" s="50">
        <v>158</v>
      </c>
      <c r="D26" s="50">
        <v>88</v>
      </c>
      <c r="E26" s="50">
        <v>20</v>
      </c>
      <c r="F26" s="50">
        <v>8</v>
      </c>
      <c r="G26" s="50">
        <v>0</v>
      </c>
      <c r="H26" s="50">
        <v>0</v>
      </c>
      <c r="I26" s="50">
        <v>4</v>
      </c>
      <c r="J26" s="50">
        <v>3</v>
      </c>
      <c r="K26" s="50">
        <v>1</v>
      </c>
      <c r="L26" s="50">
        <v>1</v>
      </c>
      <c r="M26" s="50">
        <v>249</v>
      </c>
      <c r="N26" s="50">
        <v>0</v>
      </c>
      <c r="O26" s="15">
        <f t="shared" si="0"/>
        <v>283</v>
      </c>
      <c r="P26" s="15">
        <f t="shared" si="1"/>
        <v>532</v>
      </c>
      <c r="R26" s="28" t="s">
        <v>86</v>
      </c>
      <c r="S26" s="16">
        <f t="shared" ref="S26:AF26" si="18">SUM(S13:S18)</f>
        <v>3912</v>
      </c>
      <c r="T26" s="16">
        <f t="shared" si="18"/>
        <v>1720</v>
      </c>
      <c r="U26" s="16">
        <f t="shared" si="18"/>
        <v>622</v>
      </c>
      <c r="V26" s="16">
        <f t="shared" si="18"/>
        <v>250</v>
      </c>
      <c r="W26" s="16">
        <f t="shared" si="18"/>
        <v>5</v>
      </c>
      <c r="X26" s="16">
        <f t="shared" si="18"/>
        <v>0</v>
      </c>
      <c r="Y26" s="16">
        <f t="shared" si="18"/>
        <v>196</v>
      </c>
      <c r="Z26" s="16">
        <f t="shared" si="18"/>
        <v>67</v>
      </c>
      <c r="AA26" s="16">
        <f t="shared" si="18"/>
        <v>17</v>
      </c>
      <c r="AB26" s="16">
        <f t="shared" si="18"/>
        <v>7</v>
      </c>
      <c r="AC26" s="16">
        <f t="shared" si="18"/>
        <v>5026</v>
      </c>
      <c r="AD26" s="16">
        <f t="shared" si="18"/>
        <v>0</v>
      </c>
      <c r="AE26" s="32">
        <f t="shared" si="18"/>
        <v>6796</v>
      </c>
      <c r="AF26" s="32">
        <f t="shared" si="18"/>
        <v>11822</v>
      </c>
    </row>
    <row r="27" spans="2:32" ht="23.1" customHeight="1" x14ac:dyDescent="0.25">
      <c r="B27" s="23" t="s">
        <v>54</v>
      </c>
      <c r="C27" s="50">
        <v>155</v>
      </c>
      <c r="D27" s="50">
        <v>90</v>
      </c>
      <c r="E27" s="50">
        <v>62</v>
      </c>
      <c r="F27" s="50">
        <v>15</v>
      </c>
      <c r="G27" s="50">
        <v>0</v>
      </c>
      <c r="H27" s="50">
        <v>0</v>
      </c>
      <c r="I27" s="50">
        <v>5</v>
      </c>
      <c r="J27" s="50">
        <v>2</v>
      </c>
      <c r="K27" s="50">
        <v>0</v>
      </c>
      <c r="L27" s="50">
        <v>0</v>
      </c>
      <c r="M27" s="50">
        <v>203</v>
      </c>
      <c r="N27" s="50">
        <v>0</v>
      </c>
      <c r="O27" s="15">
        <f t="shared" si="0"/>
        <v>329</v>
      </c>
      <c r="P27" s="15">
        <f t="shared" si="1"/>
        <v>532</v>
      </c>
      <c r="R27" s="29" t="s">
        <v>87</v>
      </c>
      <c r="S27" s="16">
        <f t="shared" ref="S27:AF27" si="19">SUM(S19:S21)</f>
        <v>1681</v>
      </c>
      <c r="T27" s="16">
        <f t="shared" si="19"/>
        <v>770</v>
      </c>
      <c r="U27" s="16">
        <f t="shared" si="19"/>
        <v>373</v>
      </c>
      <c r="V27" s="16">
        <f t="shared" si="19"/>
        <v>52</v>
      </c>
      <c r="W27" s="16">
        <f t="shared" si="19"/>
        <v>5</v>
      </c>
      <c r="X27" s="16">
        <f t="shared" si="19"/>
        <v>2</v>
      </c>
      <c r="Y27" s="16">
        <f t="shared" si="19"/>
        <v>71</v>
      </c>
      <c r="Z27" s="16">
        <f t="shared" si="19"/>
        <v>18</v>
      </c>
      <c r="AA27" s="16">
        <f t="shared" si="19"/>
        <v>11</v>
      </c>
      <c r="AB27" s="16">
        <f t="shared" si="19"/>
        <v>1</v>
      </c>
      <c r="AC27" s="16">
        <f t="shared" si="19"/>
        <v>2657</v>
      </c>
      <c r="AD27" s="16">
        <f t="shared" si="19"/>
        <v>0</v>
      </c>
      <c r="AE27" s="32">
        <f t="shared" si="19"/>
        <v>2984</v>
      </c>
      <c r="AF27" s="32">
        <f t="shared" si="19"/>
        <v>5641</v>
      </c>
    </row>
    <row r="28" spans="2:32" ht="23.1" customHeight="1" x14ac:dyDescent="0.25">
      <c r="B28" s="23" t="s">
        <v>55</v>
      </c>
      <c r="C28" s="50">
        <v>185</v>
      </c>
      <c r="D28" s="50">
        <v>95</v>
      </c>
      <c r="E28" s="50">
        <v>33</v>
      </c>
      <c r="F28" s="50">
        <v>14</v>
      </c>
      <c r="G28" s="50">
        <v>1</v>
      </c>
      <c r="H28" s="50">
        <v>0</v>
      </c>
      <c r="I28" s="50">
        <v>12</v>
      </c>
      <c r="J28" s="50">
        <v>5</v>
      </c>
      <c r="K28" s="50">
        <v>2</v>
      </c>
      <c r="L28" s="50">
        <v>0</v>
      </c>
      <c r="M28" s="50">
        <v>220</v>
      </c>
      <c r="N28" s="50">
        <v>0</v>
      </c>
      <c r="O28" s="15">
        <f t="shared" si="0"/>
        <v>347</v>
      </c>
      <c r="P28" s="15">
        <f t="shared" si="1"/>
        <v>567</v>
      </c>
      <c r="R28" s="5" t="s">
        <v>17</v>
      </c>
      <c r="S28" s="16">
        <f t="shared" ref="S28:AF28" si="20">SUM(S10:S21)</f>
        <v>8078</v>
      </c>
      <c r="T28" s="16">
        <f t="shared" si="20"/>
        <v>3580</v>
      </c>
      <c r="U28" s="16">
        <f t="shared" si="20"/>
        <v>1389</v>
      </c>
      <c r="V28" s="16">
        <f t="shared" si="20"/>
        <v>367</v>
      </c>
      <c r="W28" s="16">
        <f t="shared" si="20"/>
        <v>19</v>
      </c>
      <c r="X28" s="16">
        <f t="shared" si="20"/>
        <v>3</v>
      </c>
      <c r="Y28" s="16">
        <f t="shared" si="20"/>
        <v>321</v>
      </c>
      <c r="Z28" s="16">
        <f t="shared" si="20"/>
        <v>106</v>
      </c>
      <c r="AA28" s="16">
        <f t="shared" si="20"/>
        <v>32</v>
      </c>
      <c r="AB28" s="16">
        <f t="shared" si="20"/>
        <v>11</v>
      </c>
      <c r="AC28" s="16">
        <f t="shared" si="20"/>
        <v>10407</v>
      </c>
      <c r="AD28" s="16">
        <f t="shared" si="20"/>
        <v>0</v>
      </c>
      <c r="AE28" s="32">
        <f t="shared" si="20"/>
        <v>13906</v>
      </c>
      <c r="AF28" s="32">
        <f t="shared" si="20"/>
        <v>24313</v>
      </c>
    </row>
    <row r="29" spans="2:32" ht="23.1" customHeight="1" x14ac:dyDescent="0.25">
      <c r="B29" s="23" t="s">
        <v>56</v>
      </c>
      <c r="C29" s="50">
        <v>155</v>
      </c>
      <c r="D29" s="50">
        <v>130</v>
      </c>
      <c r="E29" s="50">
        <v>35</v>
      </c>
      <c r="F29" s="50">
        <v>9</v>
      </c>
      <c r="G29" s="50">
        <v>1</v>
      </c>
      <c r="H29" s="50">
        <v>0</v>
      </c>
      <c r="I29" s="50">
        <v>8</v>
      </c>
      <c r="J29" s="50">
        <v>5</v>
      </c>
      <c r="K29" s="50">
        <v>0</v>
      </c>
      <c r="L29" s="50">
        <v>0</v>
      </c>
      <c r="M29" s="50">
        <v>215</v>
      </c>
      <c r="N29" s="50">
        <v>0</v>
      </c>
      <c r="O29" s="15">
        <f t="shared" si="0"/>
        <v>343</v>
      </c>
      <c r="P29" s="15">
        <f t="shared" si="1"/>
        <v>558</v>
      </c>
      <c r="R29"/>
      <c r="S29" s="20"/>
      <c r="T29" s="19"/>
    </row>
    <row r="30" spans="2:32" ht="23.1" customHeight="1" x14ac:dyDescent="0.25">
      <c r="B30" s="23" t="s">
        <v>57</v>
      </c>
      <c r="C30" s="50">
        <v>188</v>
      </c>
      <c r="D30" s="50">
        <v>97</v>
      </c>
      <c r="E30" s="50">
        <v>41</v>
      </c>
      <c r="F30" s="50">
        <v>6</v>
      </c>
      <c r="G30" s="50">
        <v>0</v>
      </c>
      <c r="H30" s="50">
        <v>0</v>
      </c>
      <c r="I30" s="50">
        <v>10</v>
      </c>
      <c r="J30" s="50">
        <v>2</v>
      </c>
      <c r="K30" s="50">
        <v>1</v>
      </c>
      <c r="L30" s="50">
        <v>0</v>
      </c>
      <c r="M30" s="50">
        <v>234</v>
      </c>
      <c r="N30" s="50">
        <v>0</v>
      </c>
      <c r="O30" s="15">
        <f t="shared" si="0"/>
        <v>345</v>
      </c>
      <c r="P30" s="15">
        <f t="shared" si="1"/>
        <v>579</v>
      </c>
    </row>
    <row r="31" spans="2:32" ht="23.1" customHeight="1" x14ac:dyDescent="0.25">
      <c r="B31" s="24" t="s">
        <v>58</v>
      </c>
      <c r="C31" s="50">
        <v>140</v>
      </c>
      <c r="D31" s="50">
        <v>64</v>
      </c>
      <c r="E31" s="50">
        <v>22</v>
      </c>
      <c r="F31" s="50">
        <v>4</v>
      </c>
      <c r="G31" s="50">
        <v>0</v>
      </c>
      <c r="H31" s="50">
        <v>0</v>
      </c>
      <c r="I31" s="50">
        <v>2</v>
      </c>
      <c r="J31" s="50">
        <v>3</v>
      </c>
      <c r="K31" s="50">
        <v>2</v>
      </c>
      <c r="L31" s="50">
        <v>0</v>
      </c>
      <c r="M31" s="50">
        <v>221</v>
      </c>
      <c r="N31" s="50">
        <v>0</v>
      </c>
      <c r="O31" s="15">
        <f t="shared" si="0"/>
        <v>237</v>
      </c>
      <c r="P31" s="15">
        <f t="shared" si="1"/>
        <v>458</v>
      </c>
    </row>
    <row r="32" spans="2:32" ht="23.1" customHeight="1" x14ac:dyDescent="0.25">
      <c r="B32" s="24" t="s">
        <v>59</v>
      </c>
      <c r="C32" s="50">
        <v>153</v>
      </c>
      <c r="D32" s="50">
        <v>40</v>
      </c>
      <c r="E32" s="50">
        <v>20</v>
      </c>
      <c r="F32" s="50">
        <v>3</v>
      </c>
      <c r="G32" s="50">
        <v>0</v>
      </c>
      <c r="H32" s="50">
        <v>0</v>
      </c>
      <c r="I32" s="50">
        <v>14</v>
      </c>
      <c r="J32" s="50">
        <v>5</v>
      </c>
      <c r="K32" s="50">
        <v>1</v>
      </c>
      <c r="L32" s="50">
        <v>0</v>
      </c>
      <c r="M32" s="50">
        <v>209</v>
      </c>
      <c r="N32" s="50">
        <v>0</v>
      </c>
      <c r="O32" s="15">
        <f t="shared" si="0"/>
        <v>236</v>
      </c>
      <c r="P32" s="15">
        <f t="shared" si="1"/>
        <v>445</v>
      </c>
    </row>
    <row r="33" spans="2:20" ht="23.1" customHeight="1" x14ac:dyDescent="0.25">
      <c r="B33" s="23" t="s">
        <v>60</v>
      </c>
      <c r="C33" s="50">
        <v>160</v>
      </c>
      <c r="D33" s="50">
        <v>57</v>
      </c>
      <c r="E33" s="50">
        <v>24</v>
      </c>
      <c r="F33" s="50">
        <v>20</v>
      </c>
      <c r="G33" s="50">
        <v>0</v>
      </c>
      <c r="H33" s="50">
        <v>0</v>
      </c>
      <c r="I33" s="50">
        <v>9</v>
      </c>
      <c r="J33" s="50">
        <v>6</v>
      </c>
      <c r="K33" s="50">
        <v>0</v>
      </c>
      <c r="L33" s="50">
        <v>1</v>
      </c>
      <c r="M33" s="50">
        <v>202</v>
      </c>
      <c r="N33" s="50">
        <v>0</v>
      </c>
      <c r="O33" s="15">
        <f t="shared" si="0"/>
        <v>277</v>
      </c>
      <c r="P33" s="15">
        <f t="shared" si="1"/>
        <v>479</v>
      </c>
    </row>
    <row r="34" spans="2:20" ht="23.1" customHeight="1" x14ac:dyDescent="0.25">
      <c r="B34" s="24" t="s">
        <v>61</v>
      </c>
      <c r="C34" s="50">
        <v>205</v>
      </c>
      <c r="D34" s="50">
        <v>63</v>
      </c>
      <c r="E34" s="50">
        <v>21</v>
      </c>
      <c r="F34" s="50">
        <v>4</v>
      </c>
      <c r="G34" s="50">
        <v>0</v>
      </c>
      <c r="H34" s="50">
        <v>0</v>
      </c>
      <c r="I34" s="50">
        <v>7</v>
      </c>
      <c r="J34" s="50">
        <v>3</v>
      </c>
      <c r="K34" s="50">
        <v>0</v>
      </c>
      <c r="L34" s="50">
        <v>0</v>
      </c>
      <c r="M34" s="50">
        <v>196</v>
      </c>
      <c r="N34" s="50">
        <v>0</v>
      </c>
      <c r="O34" s="15">
        <f t="shared" si="0"/>
        <v>303</v>
      </c>
      <c r="P34" s="15">
        <f t="shared" si="1"/>
        <v>499</v>
      </c>
    </row>
    <row r="35" spans="2:20" ht="23.1" customHeight="1" x14ac:dyDescent="0.25">
      <c r="B35" s="24" t="s">
        <v>62</v>
      </c>
      <c r="C35" s="50">
        <v>120</v>
      </c>
      <c r="D35" s="50">
        <v>42</v>
      </c>
      <c r="E35" s="50">
        <v>17</v>
      </c>
      <c r="F35" s="50">
        <v>2</v>
      </c>
      <c r="G35" s="50">
        <v>0</v>
      </c>
      <c r="H35" s="50">
        <v>0</v>
      </c>
      <c r="I35" s="50">
        <v>1</v>
      </c>
      <c r="J35" s="50">
        <v>2</v>
      </c>
      <c r="K35" s="50">
        <v>0</v>
      </c>
      <c r="L35" s="50">
        <v>0</v>
      </c>
      <c r="M35" s="50">
        <v>186</v>
      </c>
      <c r="N35" s="50">
        <v>0</v>
      </c>
      <c r="O35" s="15">
        <f t="shared" si="0"/>
        <v>184</v>
      </c>
      <c r="P35" s="15">
        <f t="shared" si="1"/>
        <v>370</v>
      </c>
    </row>
    <row r="36" spans="2:20" ht="23.1" customHeight="1" x14ac:dyDescent="0.25">
      <c r="B36" s="24" t="s">
        <v>63</v>
      </c>
      <c r="C36" s="50">
        <v>129</v>
      </c>
      <c r="D36" s="50">
        <v>59</v>
      </c>
      <c r="E36" s="50">
        <v>29</v>
      </c>
      <c r="F36" s="50">
        <v>5</v>
      </c>
      <c r="G36" s="50">
        <v>1</v>
      </c>
      <c r="H36" s="50">
        <v>0</v>
      </c>
      <c r="I36" s="50">
        <v>7</v>
      </c>
      <c r="J36" s="50">
        <v>6</v>
      </c>
      <c r="K36" s="50">
        <v>2</v>
      </c>
      <c r="L36" s="50">
        <v>0</v>
      </c>
      <c r="M36" s="50">
        <v>207</v>
      </c>
      <c r="N36" s="50">
        <v>0</v>
      </c>
      <c r="O36" s="15">
        <f t="shared" si="0"/>
        <v>238</v>
      </c>
      <c r="P36" s="15">
        <f t="shared" si="1"/>
        <v>445</v>
      </c>
    </row>
    <row r="37" spans="2:20" ht="23.1" customHeight="1" x14ac:dyDescent="0.25">
      <c r="B37" s="23" t="s">
        <v>64</v>
      </c>
      <c r="C37" s="50">
        <v>140</v>
      </c>
      <c r="D37" s="50">
        <v>67</v>
      </c>
      <c r="E37" s="50">
        <v>25</v>
      </c>
      <c r="F37" s="50">
        <v>8</v>
      </c>
      <c r="G37" s="50">
        <v>0</v>
      </c>
      <c r="H37" s="50">
        <v>0</v>
      </c>
      <c r="I37" s="50">
        <v>6</v>
      </c>
      <c r="J37" s="50">
        <v>2</v>
      </c>
      <c r="K37" s="50">
        <v>1</v>
      </c>
      <c r="L37" s="50">
        <v>0</v>
      </c>
      <c r="M37" s="50">
        <v>175</v>
      </c>
      <c r="N37" s="50">
        <v>0</v>
      </c>
      <c r="O37" s="15">
        <f t="shared" si="0"/>
        <v>249</v>
      </c>
      <c r="P37" s="15">
        <f t="shared" si="1"/>
        <v>424</v>
      </c>
    </row>
    <row r="38" spans="2:20" ht="23.1" customHeight="1" x14ac:dyDescent="0.25">
      <c r="B38" s="24" t="s">
        <v>65</v>
      </c>
      <c r="C38" s="50">
        <v>190</v>
      </c>
      <c r="D38" s="50">
        <v>47</v>
      </c>
      <c r="E38" s="50">
        <v>19</v>
      </c>
      <c r="F38" s="50">
        <v>9</v>
      </c>
      <c r="G38" s="50">
        <v>0</v>
      </c>
      <c r="H38" s="50">
        <v>0</v>
      </c>
      <c r="I38" s="50">
        <v>7</v>
      </c>
      <c r="J38" s="50">
        <v>4</v>
      </c>
      <c r="K38" s="50">
        <v>0</v>
      </c>
      <c r="L38" s="50">
        <v>1</v>
      </c>
      <c r="M38" s="50">
        <v>165</v>
      </c>
      <c r="N38" s="50">
        <v>0</v>
      </c>
      <c r="O38" s="15">
        <f t="shared" si="0"/>
        <v>277</v>
      </c>
      <c r="P38" s="15">
        <f t="shared" si="1"/>
        <v>442</v>
      </c>
    </row>
    <row r="39" spans="2:20" ht="23.1" customHeight="1" x14ac:dyDescent="0.25">
      <c r="B39" s="24" t="s">
        <v>66</v>
      </c>
      <c r="C39" s="50">
        <v>180</v>
      </c>
      <c r="D39" s="50">
        <v>30</v>
      </c>
      <c r="E39" s="50">
        <v>10</v>
      </c>
      <c r="F39" s="50">
        <v>12</v>
      </c>
      <c r="G39" s="50">
        <v>0</v>
      </c>
      <c r="H39" s="50">
        <v>0</v>
      </c>
      <c r="I39" s="50">
        <v>9</v>
      </c>
      <c r="J39" s="50">
        <v>1</v>
      </c>
      <c r="K39" s="50">
        <v>0</v>
      </c>
      <c r="L39" s="50">
        <v>0</v>
      </c>
      <c r="M39" s="50">
        <v>196</v>
      </c>
      <c r="N39" s="50">
        <v>0</v>
      </c>
      <c r="O39" s="15">
        <f t="shared" si="0"/>
        <v>242</v>
      </c>
      <c r="P39" s="15">
        <f t="shared" si="1"/>
        <v>438</v>
      </c>
    </row>
    <row r="40" spans="2:20" ht="23.1" customHeight="1" x14ac:dyDescent="0.25">
      <c r="B40" s="24" t="s">
        <v>67</v>
      </c>
      <c r="C40" s="50">
        <v>223</v>
      </c>
      <c r="D40" s="50">
        <v>35</v>
      </c>
      <c r="E40" s="50">
        <v>8</v>
      </c>
      <c r="F40" s="50">
        <v>8</v>
      </c>
      <c r="G40" s="50">
        <v>0</v>
      </c>
      <c r="H40" s="50">
        <v>0</v>
      </c>
      <c r="I40" s="50">
        <v>13</v>
      </c>
      <c r="J40" s="50">
        <v>2</v>
      </c>
      <c r="K40" s="50">
        <v>2</v>
      </c>
      <c r="L40" s="50">
        <v>0</v>
      </c>
      <c r="M40" s="50">
        <v>207</v>
      </c>
      <c r="N40" s="50">
        <v>0</v>
      </c>
      <c r="O40" s="15">
        <f t="shared" si="0"/>
        <v>291</v>
      </c>
      <c r="P40" s="15">
        <f t="shared" si="1"/>
        <v>498</v>
      </c>
    </row>
    <row r="41" spans="2:20" ht="23.1" customHeight="1" x14ac:dyDescent="0.25">
      <c r="B41" s="23" t="s">
        <v>68</v>
      </c>
      <c r="C41" s="50">
        <v>185</v>
      </c>
      <c r="D41" s="50">
        <v>50</v>
      </c>
      <c r="E41" s="50">
        <v>19</v>
      </c>
      <c r="F41" s="50">
        <v>21</v>
      </c>
      <c r="G41" s="50">
        <v>0</v>
      </c>
      <c r="H41" s="50">
        <v>0</v>
      </c>
      <c r="I41" s="50">
        <v>14</v>
      </c>
      <c r="J41" s="50">
        <v>2</v>
      </c>
      <c r="K41" s="50">
        <v>2</v>
      </c>
      <c r="L41" s="50">
        <v>0</v>
      </c>
      <c r="M41" s="50">
        <v>205</v>
      </c>
      <c r="N41" s="50">
        <v>0</v>
      </c>
      <c r="O41" s="15">
        <f t="shared" si="0"/>
        <v>293</v>
      </c>
      <c r="P41" s="15">
        <f t="shared" si="1"/>
        <v>498</v>
      </c>
    </row>
    <row r="42" spans="2:20" ht="23.1" customHeight="1" x14ac:dyDescent="0.25">
      <c r="B42" s="24" t="s">
        <v>69</v>
      </c>
      <c r="C42" s="50">
        <v>144</v>
      </c>
      <c r="D42" s="50">
        <v>60</v>
      </c>
      <c r="E42" s="50">
        <v>20</v>
      </c>
      <c r="F42" s="50">
        <v>14</v>
      </c>
      <c r="G42" s="50">
        <v>0</v>
      </c>
      <c r="H42" s="50">
        <v>0</v>
      </c>
      <c r="I42" s="50">
        <v>8</v>
      </c>
      <c r="J42" s="50">
        <v>1</v>
      </c>
      <c r="K42" s="50">
        <v>0</v>
      </c>
      <c r="L42" s="50">
        <v>0</v>
      </c>
      <c r="M42" s="50">
        <v>218</v>
      </c>
      <c r="N42" s="50">
        <v>0</v>
      </c>
      <c r="O42" s="15">
        <f t="shared" si="0"/>
        <v>247</v>
      </c>
      <c r="P42" s="15">
        <f t="shared" si="1"/>
        <v>465</v>
      </c>
    </row>
    <row r="43" spans="2:20" ht="23.1" customHeight="1" x14ac:dyDescent="0.25">
      <c r="B43" s="23" t="s">
        <v>70</v>
      </c>
      <c r="C43" s="50">
        <v>120</v>
      </c>
      <c r="D43" s="50">
        <v>62</v>
      </c>
      <c r="E43" s="50">
        <v>23</v>
      </c>
      <c r="F43" s="50">
        <v>6</v>
      </c>
      <c r="G43" s="50">
        <v>0</v>
      </c>
      <c r="H43" s="50">
        <v>0</v>
      </c>
      <c r="I43" s="50">
        <v>10</v>
      </c>
      <c r="J43" s="50">
        <v>3</v>
      </c>
      <c r="K43" s="50">
        <v>0</v>
      </c>
      <c r="L43" s="50">
        <v>0</v>
      </c>
      <c r="M43" s="50">
        <v>247</v>
      </c>
      <c r="N43" s="50">
        <v>0</v>
      </c>
      <c r="O43" s="15">
        <f t="shared" si="0"/>
        <v>224</v>
      </c>
      <c r="P43" s="15">
        <f t="shared" si="1"/>
        <v>471</v>
      </c>
    </row>
    <row r="44" spans="2:20" ht="23.1" customHeight="1" x14ac:dyDescent="0.25">
      <c r="B44" s="25" t="s">
        <v>71</v>
      </c>
      <c r="C44" s="50">
        <v>130</v>
      </c>
      <c r="D44" s="50">
        <v>79</v>
      </c>
      <c r="E44" s="50">
        <v>19</v>
      </c>
      <c r="F44" s="50">
        <v>5</v>
      </c>
      <c r="G44" s="50">
        <v>0</v>
      </c>
      <c r="H44" s="50">
        <v>0</v>
      </c>
      <c r="I44" s="50">
        <v>9</v>
      </c>
      <c r="J44" s="50">
        <v>5</v>
      </c>
      <c r="K44" s="50">
        <v>1</v>
      </c>
      <c r="L44" s="50">
        <v>1</v>
      </c>
      <c r="M44" s="50">
        <v>226</v>
      </c>
      <c r="N44" s="50">
        <v>0</v>
      </c>
      <c r="O44" s="15">
        <f t="shared" si="0"/>
        <v>249</v>
      </c>
      <c r="P44" s="15">
        <f t="shared" si="1"/>
        <v>475</v>
      </c>
    </row>
    <row r="45" spans="2:20" ht="23.1" customHeight="1" x14ac:dyDescent="0.25">
      <c r="B45" s="23" t="s">
        <v>72</v>
      </c>
      <c r="C45" s="50">
        <v>140</v>
      </c>
      <c r="D45" s="50">
        <v>89</v>
      </c>
      <c r="E45" s="50">
        <v>22</v>
      </c>
      <c r="F45" s="50">
        <v>4</v>
      </c>
      <c r="G45" s="50">
        <v>2</v>
      </c>
      <c r="H45" s="50">
        <v>0</v>
      </c>
      <c r="I45" s="50">
        <v>8</v>
      </c>
      <c r="J45" s="50">
        <v>2</v>
      </c>
      <c r="K45" s="50">
        <v>1</v>
      </c>
      <c r="L45" s="50">
        <v>0</v>
      </c>
      <c r="M45" s="50">
        <v>237</v>
      </c>
      <c r="N45" s="50">
        <v>0</v>
      </c>
      <c r="O45" s="15">
        <f t="shared" si="0"/>
        <v>268</v>
      </c>
      <c r="P45" s="15">
        <f t="shared" si="1"/>
        <v>505</v>
      </c>
    </row>
    <row r="46" spans="2:20" ht="23.1" customHeight="1" x14ac:dyDescent="0.25">
      <c r="B46" s="24" t="s">
        <v>73</v>
      </c>
      <c r="C46" s="50">
        <v>140</v>
      </c>
      <c r="D46" s="50">
        <v>60</v>
      </c>
      <c r="E46" s="50">
        <v>32</v>
      </c>
      <c r="F46" s="50">
        <v>7</v>
      </c>
      <c r="G46" s="50">
        <v>2</v>
      </c>
      <c r="H46" s="50">
        <v>0</v>
      </c>
      <c r="I46" s="50">
        <v>7</v>
      </c>
      <c r="J46" s="50">
        <v>1</v>
      </c>
      <c r="K46" s="50">
        <v>0</v>
      </c>
      <c r="L46" s="50">
        <v>0</v>
      </c>
      <c r="M46" s="50">
        <v>198</v>
      </c>
      <c r="N46" s="50">
        <v>0</v>
      </c>
      <c r="O46" s="15">
        <f t="shared" si="0"/>
        <v>249</v>
      </c>
      <c r="P46" s="15">
        <f t="shared" si="1"/>
        <v>447</v>
      </c>
      <c r="R46" s="8"/>
      <c r="T46"/>
    </row>
    <row r="47" spans="2:20" ht="23.1" customHeight="1" x14ac:dyDescent="0.25">
      <c r="B47" s="24" t="s">
        <v>74</v>
      </c>
      <c r="C47" s="50">
        <v>153</v>
      </c>
      <c r="D47" s="50">
        <v>49</v>
      </c>
      <c r="E47" s="50">
        <v>25</v>
      </c>
      <c r="F47" s="50">
        <v>2</v>
      </c>
      <c r="G47" s="50">
        <v>0</v>
      </c>
      <c r="H47" s="50">
        <v>0</v>
      </c>
      <c r="I47" s="50">
        <v>4</v>
      </c>
      <c r="J47" s="50">
        <v>2</v>
      </c>
      <c r="K47" s="50">
        <v>1</v>
      </c>
      <c r="L47" s="50">
        <v>0</v>
      </c>
      <c r="M47" s="50">
        <v>206</v>
      </c>
      <c r="N47" s="50">
        <v>0</v>
      </c>
      <c r="O47" s="15">
        <f t="shared" si="0"/>
        <v>236</v>
      </c>
      <c r="P47" s="15">
        <f t="shared" si="1"/>
        <v>442</v>
      </c>
      <c r="R47" s="8"/>
      <c r="T47"/>
    </row>
    <row r="48" spans="2:20" ht="23.1" customHeight="1" x14ac:dyDescent="0.25">
      <c r="B48" s="24" t="s">
        <v>75</v>
      </c>
      <c r="C48" s="50">
        <v>160</v>
      </c>
      <c r="D48" s="50">
        <v>67</v>
      </c>
      <c r="E48" s="50">
        <v>37</v>
      </c>
      <c r="F48" s="50">
        <v>4</v>
      </c>
      <c r="G48" s="50">
        <v>0</v>
      </c>
      <c r="H48" s="50">
        <v>0</v>
      </c>
      <c r="I48" s="50">
        <v>4</v>
      </c>
      <c r="J48" s="50">
        <v>0</v>
      </c>
      <c r="K48" s="50">
        <v>0</v>
      </c>
      <c r="L48" s="50">
        <v>1</v>
      </c>
      <c r="M48" s="50">
        <v>210</v>
      </c>
      <c r="N48" s="50">
        <v>0</v>
      </c>
      <c r="O48" s="15">
        <f t="shared" si="0"/>
        <v>273</v>
      </c>
      <c r="P48" s="15">
        <f t="shared" si="1"/>
        <v>483</v>
      </c>
      <c r="R48" s="8"/>
      <c r="T48"/>
    </row>
    <row r="49" spans="2:20" ht="23.1" customHeight="1" x14ac:dyDescent="0.25">
      <c r="B49" s="23" t="s">
        <v>76</v>
      </c>
      <c r="C49" s="50">
        <v>140</v>
      </c>
      <c r="D49" s="50">
        <v>40</v>
      </c>
      <c r="E49" s="50">
        <v>20</v>
      </c>
      <c r="F49" s="50">
        <v>3</v>
      </c>
      <c r="G49" s="50">
        <v>0</v>
      </c>
      <c r="H49" s="50">
        <v>0</v>
      </c>
      <c r="I49" s="50">
        <v>11</v>
      </c>
      <c r="J49" s="50">
        <v>2</v>
      </c>
      <c r="K49" s="50">
        <v>4</v>
      </c>
      <c r="L49" s="50">
        <v>0</v>
      </c>
      <c r="M49" s="50">
        <v>210</v>
      </c>
      <c r="N49" s="50">
        <v>0</v>
      </c>
      <c r="O49" s="15">
        <f t="shared" si="0"/>
        <v>220</v>
      </c>
      <c r="P49" s="15">
        <f t="shared" si="1"/>
        <v>430</v>
      </c>
      <c r="R49" s="8"/>
      <c r="T49"/>
    </row>
    <row r="50" spans="2:20" ht="23.1" customHeight="1" x14ac:dyDescent="0.25">
      <c r="B50" s="24" t="s">
        <v>77</v>
      </c>
      <c r="C50" s="50">
        <v>140</v>
      </c>
      <c r="D50" s="50">
        <v>74</v>
      </c>
      <c r="E50" s="50">
        <v>29</v>
      </c>
      <c r="F50" s="50">
        <v>2</v>
      </c>
      <c r="G50" s="50">
        <v>0</v>
      </c>
      <c r="H50" s="50">
        <v>0</v>
      </c>
      <c r="I50" s="50">
        <v>3</v>
      </c>
      <c r="J50" s="50">
        <v>3</v>
      </c>
      <c r="K50" s="50">
        <v>1</v>
      </c>
      <c r="L50" s="50">
        <v>0</v>
      </c>
      <c r="M50" s="50">
        <v>229</v>
      </c>
      <c r="N50" s="50">
        <v>0</v>
      </c>
      <c r="O50" s="15">
        <f t="shared" si="0"/>
        <v>252</v>
      </c>
      <c r="P50" s="15">
        <f t="shared" si="1"/>
        <v>481</v>
      </c>
      <c r="R50" s="8"/>
      <c r="T50"/>
    </row>
    <row r="51" spans="2:20" ht="23.1" customHeight="1" x14ac:dyDescent="0.25">
      <c r="B51" s="24" t="s">
        <v>78</v>
      </c>
      <c r="C51" s="50">
        <v>147</v>
      </c>
      <c r="D51" s="50">
        <v>59</v>
      </c>
      <c r="E51" s="50">
        <v>39</v>
      </c>
      <c r="F51" s="50">
        <v>4</v>
      </c>
      <c r="G51" s="50">
        <v>0</v>
      </c>
      <c r="H51" s="50">
        <v>0</v>
      </c>
      <c r="I51" s="50">
        <v>8</v>
      </c>
      <c r="J51" s="50">
        <v>1</v>
      </c>
      <c r="K51" s="50">
        <v>2</v>
      </c>
      <c r="L51" s="50">
        <v>0</v>
      </c>
      <c r="M51" s="50">
        <v>246</v>
      </c>
      <c r="N51" s="50">
        <v>0</v>
      </c>
      <c r="O51" s="15">
        <f t="shared" si="0"/>
        <v>260</v>
      </c>
      <c r="P51" s="15">
        <f t="shared" si="1"/>
        <v>506</v>
      </c>
      <c r="R51" s="8"/>
      <c r="T51"/>
    </row>
    <row r="52" spans="2:20" ht="23.1" customHeight="1" x14ac:dyDescent="0.25">
      <c r="B52" s="24" t="s">
        <v>79</v>
      </c>
      <c r="C52" s="50">
        <v>120</v>
      </c>
      <c r="D52" s="50">
        <v>62</v>
      </c>
      <c r="E52" s="50">
        <v>19</v>
      </c>
      <c r="F52" s="50">
        <v>9</v>
      </c>
      <c r="G52" s="50">
        <v>1</v>
      </c>
      <c r="H52" s="50">
        <v>0</v>
      </c>
      <c r="I52" s="50">
        <v>4</v>
      </c>
      <c r="J52" s="50">
        <v>0</v>
      </c>
      <c r="K52" s="50">
        <v>1</v>
      </c>
      <c r="L52" s="50">
        <v>0</v>
      </c>
      <c r="M52" s="50">
        <v>265</v>
      </c>
      <c r="N52" s="50">
        <v>0</v>
      </c>
      <c r="O52" s="15">
        <f t="shared" si="0"/>
        <v>216</v>
      </c>
      <c r="P52" s="15">
        <f t="shared" si="1"/>
        <v>481</v>
      </c>
      <c r="R52" s="8"/>
      <c r="T52"/>
    </row>
    <row r="53" spans="2:20" ht="23.1" customHeight="1" x14ac:dyDescent="0.25">
      <c r="B53" s="23" t="s">
        <v>80</v>
      </c>
      <c r="C53" s="50">
        <v>179</v>
      </c>
      <c r="D53" s="50">
        <v>120</v>
      </c>
      <c r="E53" s="50">
        <v>50</v>
      </c>
      <c r="F53" s="50">
        <v>3</v>
      </c>
      <c r="G53" s="50">
        <v>0</v>
      </c>
      <c r="H53" s="50">
        <v>0</v>
      </c>
      <c r="I53" s="50">
        <v>4</v>
      </c>
      <c r="J53" s="50">
        <v>0</v>
      </c>
      <c r="K53" s="50">
        <v>0</v>
      </c>
      <c r="L53" s="50">
        <v>0</v>
      </c>
      <c r="M53" s="50">
        <v>197</v>
      </c>
      <c r="N53" s="50">
        <v>0</v>
      </c>
      <c r="O53" s="15">
        <f t="shared" si="0"/>
        <v>356</v>
      </c>
      <c r="P53" s="15">
        <f t="shared" si="1"/>
        <v>553</v>
      </c>
      <c r="R53" s="8"/>
      <c r="T53"/>
    </row>
    <row r="54" spans="2:20" ht="23.1" customHeight="1" x14ac:dyDescent="0.25">
      <c r="B54" s="23" t="s">
        <v>81</v>
      </c>
      <c r="C54" s="50">
        <v>127</v>
      </c>
      <c r="D54" s="50">
        <v>60</v>
      </c>
      <c r="E54" s="50">
        <v>37</v>
      </c>
      <c r="F54" s="50">
        <v>4</v>
      </c>
      <c r="G54" s="50">
        <v>0</v>
      </c>
      <c r="H54" s="50">
        <v>0</v>
      </c>
      <c r="I54" s="50">
        <v>8</v>
      </c>
      <c r="J54" s="50">
        <v>6</v>
      </c>
      <c r="K54" s="50">
        <v>0</v>
      </c>
      <c r="L54" s="50">
        <v>0</v>
      </c>
      <c r="M54" s="50">
        <v>252</v>
      </c>
      <c r="N54" s="50">
        <v>0</v>
      </c>
      <c r="O54" s="15">
        <f t="shared" si="0"/>
        <v>242</v>
      </c>
      <c r="P54" s="15">
        <f t="shared" si="1"/>
        <v>494</v>
      </c>
      <c r="R54" s="8"/>
      <c r="T54"/>
    </row>
    <row r="55" spans="2:20" ht="23.1" customHeight="1" x14ac:dyDescent="0.25">
      <c r="B55" s="23" t="s">
        <v>82</v>
      </c>
      <c r="C55" s="50">
        <v>115</v>
      </c>
      <c r="D55" s="50">
        <v>53</v>
      </c>
      <c r="E55" s="50">
        <v>28</v>
      </c>
      <c r="F55" s="50">
        <v>5</v>
      </c>
      <c r="G55" s="50">
        <v>2</v>
      </c>
      <c r="H55" s="50">
        <v>2</v>
      </c>
      <c r="I55" s="50">
        <v>8</v>
      </c>
      <c r="J55" s="50">
        <v>2</v>
      </c>
      <c r="K55" s="50">
        <v>1</v>
      </c>
      <c r="L55" s="50">
        <v>0</v>
      </c>
      <c r="M55" s="50">
        <v>209</v>
      </c>
      <c r="N55" s="50">
        <v>0</v>
      </c>
      <c r="O55" s="15">
        <f t="shared" si="0"/>
        <v>216</v>
      </c>
      <c r="P55" s="15">
        <f t="shared" si="1"/>
        <v>425</v>
      </c>
      <c r="R55" s="8"/>
      <c r="T55"/>
    </row>
    <row r="56" spans="2:20" ht="23.1" customHeight="1" x14ac:dyDescent="0.25">
      <c r="B56" s="23" t="s">
        <v>83</v>
      </c>
      <c r="C56" s="50">
        <v>120</v>
      </c>
      <c r="D56" s="50">
        <v>79</v>
      </c>
      <c r="E56" s="50">
        <v>30</v>
      </c>
      <c r="F56" s="50">
        <v>2</v>
      </c>
      <c r="G56" s="50">
        <v>0</v>
      </c>
      <c r="H56" s="50">
        <v>0</v>
      </c>
      <c r="I56" s="50">
        <v>6</v>
      </c>
      <c r="J56" s="50">
        <v>1</v>
      </c>
      <c r="K56" s="50">
        <v>0</v>
      </c>
      <c r="L56" s="50">
        <v>0</v>
      </c>
      <c r="M56" s="50">
        <v>217</v>
      </c>
      <c r="N56" s="50">
        <v>0</v>
      </c>
      <c r="O56" s="15">
        <f t="shared" si="0"/>
        <v>238</v>
      </c>
      <c r="P56" s="15">
        <f t="shared" si="1"/>
        <v>455</v>
      </c>
      <c r="R56" s="8"/>
      <c r="T56"/>
    </row>
    <row r="57" spans="2:20" ht="23.1" customHeight="1" x14ac:dyDescent="0.25">
      <c r="B57" s="23" t="s">
        <v>84</v>
      </c>
      <c r="C57" s="50">
        <v>140</v>
      </c>
      <c r="D57" s="50">
        <v>47</v>
      </c>
      <c r="E57" s="50">
        <v>27</v>
      </c>
      <c r="F57" s="50">
        <v>7</v>
      </c>
      <c r="G57" s="50">
        <v>0</v>
      </c>
      <c r="H57" s="50">
        <v>0</v>
      </c>
      <c r="I57" s="50">
        <v>4</v>
      </c>
      <c r="J57" s="50">
        <v>0</v>
      </c>
      <c r="K57" s="50">
        <v>1</v>
      </c>
      <c r="L57" s="50">
        <v>0</v>
      </c>
      <c r="M57" s="50">
        <v>218</v>
      </c>
      <c r="N57" s="50">
        <v>0</v>
      </c>
      <c r="O57" s="15">
        <f t="shared" si="0"/>
        <v>226</v>
      </c>
      <c r="P57" s="15">
        <f t="shared" si="1"/>
        <v>444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8078</v>
      </c>
      <c r="D58" s="16">
        <f t="shared" si="21"/>
        <v>3580</v>
      </c>
      <c r="E58" s="16">
        <f t="shared" si="21"/>
        <v>1389</v>
      </c>
      <c r="F58" s="16">
        <f t="shared" si="21"/>
        <v>367</v>
      </c>
      <c r="G58" s="16">
        <f t="shared" si="21"/>
        <v>19</v>
      </c>
      <c r="H58" s="16">
        <f t="shared" si="21"/>
        <v>3</v>
      </c>
      <c r="I58" s="16">
        <f t="shared" si="21"/>
        <v>321</v>
      </c>
      <c r="J58" s="16">
        <f t="shared" si="21"/>
        <v>106</v>
      </c>
      <c r="K58" s="16">
        <f t="shared" si="21"/>
        <v>32</v>
      </c>
      <c r="L58" s="16">
        <f t="shared" si="21"/>
        <v>11</v>
      </c>
      <c r="M58" s="16">
        <f t="shared" si="21"/>
        <v>10407</v>
      </c>
      <c r="N58" s="16">
        <f t="shared" si="21"/>
        <v>0</v>
      </c>
      <c r="O58" s="16">
        <f t="shared" si="21"/>
        <v>13906</v>
      </c>
      <c r="P58" s="16">
        <f t="shared" si="21"/>
        <v>24313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0.33225023649899232</v>
      </c>
      <c r="D59" s="43">
        <f t="shared" si="22"/>
        <v>0.14724632912433677</v>
      </c>
      <c r="E59" s="43">
        <f t="shared" si="22"/>
        <v>5.712993048986139E-2</v>
      </c>
      <c r="F59" s="43">
        <f t="shared" si="22"/>
        <v>1.5094805248221117E-2</v>
      </c>
      <c r="G59" s="43">
        <f t="shared" si="22"/>
        <v>7.8147493110681523E-4</v>
      </c>
      <c r="H59" s="43">
        <f t="shared" si="22"/>
        <v>1.2339077859581293E-4</v>
      </c>
      <c r="I59" s="43">
        <f t="shared" si="22"/>
        <v>1.3202813309751985E-2</v>
      </c>
      <c r="J59" s="43">
        <f t="shared" si="22"/>
        <v>4.3598075103853905E-3</v>
      </c>
      <c r="K59" s="43">
        <f t="shared" si="22"/>
        <v>1.3161683050220048E-3</v>
      </c>
      <c r="L59" s="43">
        <f t="shared" si="22"/>
        <v>4.5243285485131409E-4</v>
      </c>
      <c r="M59" s="43">
        <f t="shared" si="22"/>
        <v>0.42804261094887508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0.58090033079246373</v>
      </c>
      <c r="D60" s="44">
        <f t="shared" ref="D60:N60" si="23">D58/$O$58</f>
        <v>0.25744283043290667</v>
      </c>
      <c r="E60" s="44">
        <f t="shared" si="23"/>
        <v>9.9884941751761824E-2</v>
      </c>
      <c r="F60" s="44">
        <f t="shared" si="23"/>
        <v>2.6391485689630376E-2</v>
      </c>
      <c r="G60" s="44">
        <f t="shared" si="23"/>
        <v>1.3663166978282756E-3</v>
      </c>
      <c r="H60" s="44">
        <f t="shared" si="23"/>
        <v>2.1573421544656982E-4</v>
      </c>
      <c r="I60" s="44">
        <f t="shared" si="23"/>
        <v>2.3083561052782971E-2</v>
      </c>
      <c r="J60" s="44">
        <f t="shared" si="23"/>
        <v>7.6226089457788002E-3</v>
      </c>
      <c r="K60" s="44">
        <f t="shared" si="23"/>
        <v>2.3011649647634116E-3</v>
      </c>
      <c r="L60" s="44">
        <f t="shared" si="23"/>
        <v>7.9102545663742275E-4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55" zoomScale="60" workbookViewId="0">
      <selection activeCell="M10" sqref="M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178</v>
      </c>
      <c r="E5" s="3"/>
      <c r="F5" s="41" t="s">
        <v>1</v>
      </c>
      <c r="G5" s="54" t="str">
        <f>'2.08 Kira Road-Jinja road'!G5:H5</f>
        <v>Shell Petrol Station</v>
      </c>
      <c r="H5" s="55"/>
      <c r="I5" s="14"/>
      <c r="J5" s="2" t="s">
        <v>5</v>
      </c>
      <c r="K5" s="54" t="str">
        <f>'2.08 Kira Road-Jinja road'!K5:L5</f>
        <v>Ssemuko Samuel Junior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JinjaRoad-Kira Road'!D6:E6</f>
        <v>Jinja Road</v>
      </c>
      <c r="E6" s="55"/>
      <c r="F6" s="2" t="s">
        <v>2</v>
      </c>
      <c r="G6" s="54" t="str">
        <f>'29.07 JinjaRoad-Kira Road'!G6:H6</f>
        <v>Kira Road</v>
      </c>
      <c r="H6" s="55"/>
      <c r="J6" s="2" t="s">
        <v>21</v>
      </c>
      <c r="K6" s="54" t="str">
        <f>'2.08 Kira Road-Jinja road'!K6:L6</f>
        <v>Steven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43</v>
      </c>
      <c r="D10" s="50">
        <v>28</v>
      </c>
      <c r="E10" s="50">
        <v>6</v>
      </c>
      <c r="F10" s="50">
        <v>3</v>
      </c>
      <c r="G10" s="50">
        <v>0</v>
      </c>
      <c r="H10" s="50">
        <v>0</v>
      </c>
      <c r="I10" s="50">
        <v>2</v>
      </c>
      <c r="J10" s="50">
        <v>0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57" si="0">SUM(C10:L10,N10)</f>
        <v>82</v>
      </c>
      <c r="P10" s="15">
        <f t="shared" ref="P10:P57" si="1">SUM(C10:N10)</f>
        <v>142</v>
      </c>
      <c r="R10" s="1" t="s">
        <v>6</v>
      </c>
      <c r="S10" s="17">
        <f t="shared" ref="S10:AF10" si="2">SUM(C10:C13)</f>
        <v>239</v>
      </c>
      <c r="T10" s="17">
        <f t="shared" si="2"/>
        <v>110</v>
      </c>
      <c r="U10" s="17">
        <f t="shared" si="2"/>
        <v>23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0</v>
      </c>
      <c r="AA10" s="17">
        <f t="shared" si="2"/>
        <v>1</v>
      </c>
      <c r="AB10" s="17">
        <f t="shared" si="2"/>
        <v>2</v>
      </c>
      <c r="AC10" s="17">
        <f t="shared" si="2"/>
        <v>636</v>
      </c>
      <c r="AD10" s="17">
        <f t="shared" si="2"/>
        <v>0</v>
      </c>
      <c r="AE10" s="31">
        <f t="shared" si="2"/>
        <v>385</v>
      </c>
      <c r="AF10" s="31">
        <f t="shared" si="2"/>
        <v>1021</v>
      </c>
    </row>
    <row r="11" spans="2:32" s="6" customFormat="1" ht="23.1" customHeight="1" x14ac:dyDescent="0.25">
      <c r="B11" s="45" t="s">
        <v>38</v>
      </c>
      <c r="C11" s="50">
        <v>53</v>
      </c>
      <c r="D11" s="50">
        <v>21</v>
      </c>
      <c r="E11" s="50">
        <v>6</v>
      </c>
      <c r="F11" s="50">
        <v>2</v>
      </c>
      <c r="G11" s="50">
        <v>0</v>
      </c>
      <c r="H11" s="50">
        <v>0</v>
      </c>
      <c r="I11" s="50">
        <v>1</v>
      </c>
      <c r="J11" s="50">
        <v>0</v>
      </c>
      <c r="K11" s="50">
        <v>1</v>
      </c>
      <c r="L11" s="50">
        <v>0</v>
      </c>
      <c r="M11" s="50">
        <v>176</v>
      </c>
      <c r="N11" s="50">
        <v>0</v>
      </c>
      <c r="O11" s="15">
        <f t="shared" si="0"/>
        <v>84</v>
      </c>
      <c r="P11" s="15">
        <f t="shared" si="1"/>
        <v>260</v>
      </c>
      <c r="R11" s="1" t="s">
        <v>7</v>
      </c>
      <c r="S11" s="17">
        <f t="shared" ref="S11:AF11" si="3">SUM(C14:C17)</f>
        <v>220</v>
      </c>
      <c r="T11" s="17">
        <f t="shared" si="3"/>
        <v>92</v>
      </c>
      <c r="U11" s="17">
        <f t="shared" si="3"/>
        <v>31</v>
      </c>
      <c r="V11" s="17">
        <f t="shared" si="3"/>
        <v>13</v>
      </c>
      <c r="W11" s="17">
        <f t="shared" si="3"/>
        <v>1</v>
      </c>
      <c r="X11" s="17">
        <f t="shared" si="3"/>
        <v>0</v>
      </c>
      <c r="Y11" s="17">
        <f t="shared" si="3"/>
        <v>7</v>
      </c>
      <c r="Z11" s="17">
        <f t="shared" si="3"/>
        <v>2</v>
      </c>
      <c r="AA11" s="17">
        <f t="shared" si="3"/>
        <v>1</v>
      </c>
      <c r="AB11" s="17">
        <f t="shared" si="3"/>
        <v>0</v>
      </c>
      <c r="AC11" s="17">
        <f t="shared" si="3"/>
        <v>875</v>
      </c>
      <c r="AD11" s="17">
        <f t="shared" si="3"/>
        <v>0</v>
      </c>
      <c r="AE11" s="31">
        <f t="shared" si="3"/>
        <v>367</v>
      </c>
      <c r="AF11" s="31">
        <f t="shared" si="3"/>
        <v>1242</v>
      </c>
    </row>
    <row r="12" spans="2:32" ht="23.1" customHeight="1" x14ac:dyDescent="0.25">
      <c r="B12" s="45" t="s">
        <v>39</v>
      </c>
      <c r="C12" s="50">
        <v>72</v>
      </c>
      <c r="D12" s="50">
        <v>35</v>
      </c>
      <c r="E12" s="50">
        <v>4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2</v>
      </c>
      <c r="M12" s="50">
        <v>160</v>
      </c>
      <c r="N12" s="50">
        <v>0</v>
      </c>
      <c r="O12" s="15">
        <f t="shared" si="0"/>
        <v>114</v>
      </c>
      <c r="P12" s="15">
        <f t="shared" si="1"/>
        <v>274</v>
      </c>
      <c r="R12" s="1" t="s">
        <v>8</v>
      </c>
      <c r="S12" s="17">
        <f t="shared" ref="S12:AF12" si="4">SUM(C18:C21)</f>
        <v>199</v>
      </c>
      <c r="T12" s="17">
        <f t="shared" si="4"/>
        <v>128</v>
      </c>
      <c r="U12" s="17">
        <f t="shared" si="4"/>
        <v>39</v>
      </c>
      <c r="V12" s="17">
        <f t="shared" si="4"/>
        <v>17</v>
      </c>
      <c r="W12" s="17">
        <f t="shared" si="4"/>
        <v>1</v>
      </c>
      <c r="X12" s="17">
        <f t="shared" si="4"/>
        <v>0</v>
      </c>
      <c r="Y12" s="17">
        <f t="shared" si="4"/>
        <v>12</v>
      </c>
      <c r="Z12" s="17">
        <f t="shared" si="4"/>
        <v>8</v>
      </c>
      <c r="AA12" s="17">
        <f t="shared" si="4"/>
        <v>1</v>
      </c>
      <c r="AB12" s="17">
        <f t="shared" si="4"/>
        <v>0</v>
      </c>
      <c r="AC12" s="17">
        <f t="shared" si="4"/>
        <v>790</v>
      </c>
      <c r="AD12" s="17">
        <f t="shared" si="4"/>
        <v>0</v>
      </c>
      <c r="AE12" s="31">
        <f t="shared" si="4"/>
        <v>405</v>
      </c>
      <c r="AF12" s="31">
        <f t="shared" si="4"/>
        <v>1195</v>
      </c>
    </row>
    <row r="13" spans="2:32" ht="23.1" customHeight="1" x14ac:dyDescent="0.25">
      <c r="B13" s="45" t="s">
        <v>40</v>
      </c>
      <c r="C13" s="50">
        <v>71</v>
      </c>
      <c r="D13" s="50">
        <v>26</v>
      </c>
      <c r="E13" s="50">
        <v>7</v>
      </c>
      <c r="F13" s="50">
        <v>1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240</v>
      </c>
      <c r="N13" s="50">
        <v>0</v>
      </c>
      <c r="O13" s="15">
        <f t="shared" si="0"/>
        <v>105</v>
      </c>
      <c r="P13" s="15">
        <f t="shared" si="1"/>
        <v>345</v>
      </c>
      <c r="R13" s="1" t="s">
        <v>9</v>
      </c>
      <c r="S13" s="17">
        <f t="shared" ref="S13:AF13" si="5">SUM(C22:C25)</f>
        <v>234</v>
      </c>
      <c r="T13" s="17">
        <f t="shared" si="5"/>
        <v>152</v>
      </c>
      <c r="U13" s="17">
        <f t="shared" si="5"/>
        <v>40</v>
      </c>
      <c r="V13" s="17">
        <f t="shared" si="5"/>
        <v>14</v>
      </c>
      <c r="W13" s="17">
        <f t="shared" si="5"/>
        <v>2</v>
      </c>
      <c r="X13" s="17">
        <f t="shared" si="5"/>
        <v>0</v>
      </c>
      <c r="Y13" s="17">
        <f t="shared" si="5"/>
        <v>8</v>
      </c>
      <c r="Z13" s="17">
        <f t="shared" si="5"/>
        <v>6</v>
      </c>
      <c r="AA13" s="17">
        <f t="shared" si="5"/>
        <v>1</v>
      </c>
      <c r="AB13" s="17">
        <f t="shared" si="5"/>
        <v>3</v>
      </c>
      <c r="AC13" s="17">
        <f t="shared" si="5"/>
        <v>346</v>
      </c>
      <c r="AD13" s="17">
        <f t="shared" si="5"/>
        <v>0</v>
      </c>
      <c r="AE13" s="31">
        <f t="shared" si="5"/>
        <v>460</v>
      </c>
      <c r="AF13" s="31">
        <f t="shared" si="5"/>
        <v>806</v>
      </c>
    </row>
    <row r="14" spans="2:32" ht="23.1" customHeight="1" x14ac:dyDescent="0.25">
      <c r="B14" s="45" t="s">
        <v>41</v>
      </c>
      <c r="C14" s="50">
        <v>58</v>
      </c>
      <c r="D14" s="50">
        <v>28</v>
      </c>
      <c r="E14" s="50">
        <v>10</v>
      </c>
      <c r="F14" s="50">
        <v>7</v>
      </c>
      <c r="G14" s="50">
        <v>0</v>
      </c>
      <c r="H14" s="50">
        <v>0</v>
      </c>
      <c r="I14" s="50">
        <v>2</v>
      </c>
      <c r="J14" s="50">
        <v>1</v>
      </c>
      <c r="K14" s="50">
        <v>1</v>
      </c>
      <c r="L14" s="50">
        <v>0</v>
      </c>
      <c r="M14" s="50">
        <v>240</v>
      </c>
      <c r="N14" s="50">
        <v>0</v>
      </c>
      <c r="O14" s="15">
        <f t="shared" si="0"/>
        <v>107</v>
      </c>
      <c r="P14" s="15">
        <f t="shared" si="1"/>
        <v>347</v>
      </c>
      <c r="R14" s="1" t="s">
        <v>10</v>
      </c>
      <c r="S14" s="17">
        <f t="shared" ref="S14:AF14" si="6">SUM(C26:C29)</f>
        <v>267</v>
      </c>
      <c r="T14" s="17">
        <f t="shared" si="6"/>
        <v>171</v>
      </c>
      <c r="U14" s="17">
        <f t="shared" si="6"/>
        <v>32</v>
      </c>
      <c r="V14" s="17">
        <f t="shared" si="6"/>
        <v>10</v>
      </c>
      <c r="W14" s="17">
        <f t="shared" si="6"/>
        <v>1</v>
      </c>
      <c r="X14" s="17">
        <f t="shared" si="6"/>
        <v>0</v>
      </c>
      <c r="Y14" s="17">
        <f t="shared" si="6"/>
        <v>6</v>
      </c>
      <c r="Z14" s="17">
        <f t="shared" si="6"/>
        <v>5</v>
      </c>
      <c r="AA14" s="17">
        <f t="shared" si="6"/>
        <v>1</v>
      </c>
      <c r="AB14" s="17">
        <f t="shared" si="6"/>
        <v>0</v>
      </c>
      <c r="AC14" s="17">
        <f t="shared" si="6"/>
        <v>434</v>
      </c>
      <c r="AD14" s="17">
        <f t="shared" si="6"/>
        <v>0</v>
      </c>
      <c r="AE14" s="31">
        <f t="shared" si="6"/>
        <v>493</v>
      </c>
      <c r="AF14" s="31">
        <f t="shared" si="6"/>
        <v>927</v>
      </c>
    </row>
    <row r="15" spans="2:32" ht="23.1" customHeight="1" x14ac:dyDescent="0.25">
      <c r="B15" s="45" t="s">
        <v>42</v>
      </c>
      <c r="C15" s="50">
        <v>64</v>
      </c>
      <c r="D15" s="50">
        <v>18</v>
      </c>
      <c r="E15" s="50">
        <v>4</v>
      </c>
      <c r="F15" s="50">
        <v>1</v>
      </c>
      <c r="G15" s="50">
        <v>0</v>
      </c>
      <c r="H15" s="50">
        <v>0</v>
      </c>
      <c r="I15" s="50">
        <v>1</v>
      </c>
      <c r="J15" s="50">
        <v>0</v>
      </c>
      <c r="K15" s="50">
        <v>0</v>
      </c>
      <c r="L15" s="50">
        <v>0</v>
      </c>
      <c r="M15" s="50">
        <v>265</v>
      </c>
      <c r="N15" s="50">
        <v>0</v>
      </c>
      <c r="O15" s="15">
        <f t="shared" si="0"/>
        <v>88</v>
      </c>
      <c r="P15" s="15">
        <f t="shared" si="1"/>
        <v>353</v>
      </c>
      <c r="R15" s="1" t="s">
        <v>11</v>
      </c>
      <c r="S15" s="17">
        <f t="shared" ref="S15:AF15" si="7">SUM(C30:C33)</f>
        <v>299</v>
      </c>
      <c r="T15" s="17">
        <f t="shared" si="7"/>
        <v>180</v>
      </c>
      <c r="U15" s="17">
        <f t="shared" si="7"/>
        <v>41</v>
      </c>
      <c r="V15" s="17">
        <f t="shared" si="7"/>
        <v>15</v>
      </c>
      <c r="W15" s="17">
        <f t="shared" si="7"/>
        <v>4</v>
      </c>
      <c r="X15" s="17">
        <f t="shared" si="7"/>
        <v>2</v>
      </c>
      <c r="Y15" s="17">
        <f t="shared" si="7"/>
        <v>4</v>
      </c>
      <c r="Z15" s="17">
        <f t="shared" si="7"/>
        <v>3</v>
      </c>
      <c r="AA15" s="17">
        <f t="shared" si="7"/>
        <v>0</v>
      </c>
      <c r="AB15" s="17">
        <f t="shared" si="7"/>
        <v>2</v>
      </c>
      <c r="AC15" s="17">
        <f t="shared" si="7"/>
        <v>420</v>
      </c>
      <c r="AD15" s="17">
        <f t="shared" si="7"/>
        <v>0</v>
      </c>
      <c r="AE15" s="31">
        <f t="shared" si="7"/>
        <v>550</v>
      </c>
      <c r="AF15" s="31">
        <f t="shared" si="7"/>
        <v>970</v>
      </c>
    </row>
    <row r="16" spans="2:32" ht="23.1" customHeight="1" x14ac:dyDescent="0.25">
      <c r="B16" s="45" t="s">
        <v>43</v>
      </c>
      <c r="C16" s="50">
        <v>41</v>
      </c>
      <c r="D16" s="50">
        <v>16</v>
      </c>
      <c r="E16" s="50">
        <v>7</v>
      </c>
      <c r="F16" s="50">
        <v>1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105</v>
      </c>
      <c r="N16" s="50">
        <v>0</v>
      </c>
      <c r="O16" s="15">
        <f t="shared" si="0"/>
        <v>67</v>
      </c>
      <c r="P16" s="15">
        <f t="shared" si="1"/>
        <v>172</v>
      </c>
      <c r="R16" s="1" t="s">
        <v>12</v>
      </c>
      <c r="S16" s="17">
        <f t="shared" ref="S16:AF16" si="8">SUM(C34:C37)</f>
        <v>356</v>
      </c>
      <c r="T16" s="17">
        <f t="shared" si="8"/>
        <v>206</v>
      </c>
      <c r="U16" s="17">
        <f t="shared" si="8"/>
        <v>49</v>
      </c>
      <c r="V16" s="17">
        <f t="shared" si="8"/>
        <v>11</v>
      </c>
      <c r="W16" s="17">
        <f t="shared" si="8"/>
        <v>4</v>
      </c>
      <c r="X16" s="17">
        <f t="shared" si="8"/>
        <v>1</v>
      </c>
      <c r="Y16" s="17">
        <f t="shared" si="8"/>
        <v>14</v>
      </c>
      <c r="Z16" s="17">
        <f t="shared" si="8"/>
        <v>6</v>
      </c>
      <c r="AA16" s="17">
        <f t="shared" si="8"/>
        <v>1</v>
      </c>
      <c r="AB16" s="17">
        <f t="shared" si="8"/>
        <v>0</v>
      </c>
      <c r="AC16" s="17">
        <f t="shared" si="8"/>
        <v>540</v>
      </c>
      <c r="AD16" s="17">
        <f t="shared" si="8"/>
        <v>0</v>
      </c>
      <c r="AE16" s="31">
        <f t="shared" si="8"/>
        <v>648</v>
      </c>
      <c r="AF16" s="31">
        <f t="shared" si="8"/>
        <v>1188</v>
      </c>
    </row>
    <row r="17" spans="2:32" ht="23.1" customHeight="1" x14ac:dyDescent="0.25">
      <c r="B17" s="45" t="s">
        <v>44</v>
      </c>
      <c r="C17" s="50">
        <v>57</v>
      </c>
      <c r="D17" s="50">
        <v>30</v>
      </c>
      <c r="E17" s="50">
        <v>10</v>
      </c>
      <c r="F17" s="50">
        <v>4</v>
      </c>
      <c r="G17" s="50">
        <v>1</v>
      </c>
      <c r="H17" s="50">
        <v>0</v>
      </c>
      <c r="I17" s="50">
        <v>2</v>
      </c>
      <c r="J17" s="50">
        <v>1</v>
      </c>
      <c r="K17" s="50">
        <v>0</v>
      </c>
      <c r="L17" s="50">
        <v>0</v>
      </c>
      <c r="M17" s="50">
        <v>265</v>
      </c>
      <c r="N17" s="50">
        <v>0</v>
      </c>
      <c r="O17" s="15">
        <f t="shared" si="0"/>
        <v>105</v>
      </c>
      <c r="P17" s="15">
        <f t="shared" si="1"/>
        <v>370</v>
      </c>
      <c r="R17" s="1" t="s">
        <v>13</v>
      </c>
      <c r="S17" s="17">
        <f t="shared" ref="S17:AF17" si="9">SUM(C38:C41)</f>
        <v>302</v>
      </c>
      <c r="T17" s="17">
        <f t="shared" si="9"/>
        <v>191</v>
      </c>
      <c r="U17" s="17">
        <f t="shared" si="9"/>
        <v>35</v>
      </c>
      <c r="V17" s="17">
        <f t="shared" si="9"/>
        <v>10</v>
      </c>
      <c r="W17" s="17">
        <f t="shared" si="9"/>
        <v>0</v>
      </c>
      <c r="X17" s="17">
        <f t="shared" si="9"/>
        <v>0</v>
      </c>
      <c r="Y17" s="17">
        <f t="shared" si="9"/>
        <v>6</v>
      </c>
      <c r="Z17" s="17">
        <f t="shared" si="9"/>
        <v>8</v>
      </c>
      <c r="AA17" s="17">
        <f t="shared" si="9"/>
        <v>1</v>
      </c>
      <c r="AB17" s="17">
        <f t="shared" si="9"/>
        <v>0</v>
      </c>
      <c r="AC17" s="17">
        <f t="shared" si="9"/>
        <v>575</v>
      </c>
      <c r="AD17" s="17">
        <f t="shared" si="9"/>
        <v>0</v>
      </c>
      <c r="AE17" s="31">
        <f t="shared" si="9"/>
        <v>553</v>
      </c>
      <c r="AF17" s="31">
        <f t="shared" si="9"/>
        <v>1128</v>
      </c>
    </row>
    <row r="18" spans="2:32" ht="23.1" customHeight="1" x14ac:dyDescent="0.25">
      <c r="B18" s="45" t="s">
        <v>45</v>
      </c>
      <c r="C18" s="50">
        <v>49</v>
      </c>
      <c r="D18" s="50">
        <v>34</v>
      </c>
      <c r="E18" s="50">
        <v>9</v>
      </c>
      <c r="F18" s="50">
        <v>0</v>
      </c>
      <c r="G18" s="50">
        <v>0</v>
      </c>
      <c r="H18" s="50">
        <v>0</v>
      </c>
      <c r="I18" s="50">
        <v>4</v>
      </c>
      <c r="J18" s="50">
        <v>3</v>
      </c>
      <c r="K18" s="50">
        <v>0</v>
      </c>
      <c r="L18" s="50">
        <v>0</v>
      </c>
      <c r="M18" s="50">
        <v>250</v>
      </c>
      <c r="N18" s="50">
        <v>0</v>
      </c>
      <c r="O18" s="15">
        <f t="shared" si="0"/>
        <v>99</v>
      </c>
      <c r="P18" s="15">
        <f t="shared" si="1"/>
        <v>349</v>
      </c>
      <c r="R18" s="1" t="s">
        <v>14</v>
      </c>
      <c r="S18" s="17">
        <f t="shared" ref="S18:AF18" si="10">SUM(C42:C45)</f>
        <v>331</v>
      </c>
      <c r="T18" s="17">
        <f t="shared" si="10"/>
        <v>225</v>
      </c>
      <c r="U18" s="17">
        <f t="shared" si="10"/>
        <v>37</v>
      </c>
      <c r="V18" s="17">
        <f t="shared" si="10"/>
        <v>11</v>
      </c>
      <c r="W18" s="17">
        <f t="shared" si="10"/>
        <v>0</v>
      </c>
      <c r="X18" s="17">
        <f t="shared" si="10"/>
        <v>0</v>
      </c>
      <c r="Y18" s="17">
        <f t="shared" si="10"/>
        <v>5</v>
      </c>
      <c r="Z18" s="17">
        <f t="shared" si="10"/>
        <v>6</v>
      </c>
      <c r="AA18" s="17">
        <f t="shared" si="10"/>
        <v>1</v>
      </c>
      <c r="AB18" s="17">
        <f t="shared" si="10"/>
        <v>4</v>
      </c>
      <c r="AC18" s="17">
        <f t="shared" si="10"/>
        <v>590</v>
      </c>
      <c r="AD18" s="17">
        <f t="shared" si="10"/>
        <v>0</v>
      </c>
      <c r="AE18" s="31">
        <f t="shared" si="10"/>
        <v>620</v>
      </c>
      <c r="AF18" s="31">
        <f t="shared" si="10"/>
        <v>1210</v>
      </c>
    </row>
    <row r="19" spans="2:32" ht="23.1" customHeight="1" x14ac:dyDescent="0.25">
      <c r="B19" s="45" t="s">
        <v>46</v>
      </c>
      <c r="C19" s="50">
        <v>49</v>
      </c>
      <c r="D19" s="50">
        <v>26</v>
      </c>
      <c r="E19" s="50">
        <v>9</v>
      </c>
      <c r="F19" s="50">
        <v>3</v>
      </c>
      <c r="G19" s="50">
        <v>0</v>
      </c>
      <c r="H19" s="50">
        <v>0</v>
      </c>
      <c r="I19" s="50">
        <v>1</v>
      </c>
      <c r="J19" s="50">
        <v>0</v>
      </c>
      <c r="K19" s="50">
        <v>0</v>
      </c>
      <c r="L19" s="50">
        <v>0</v>
      </c>
      <c r="M19" s="50">
        <v>195</v>
      </c>
      <c r="N19" s="50">
        <v>0</v>
      </c>
      <c r="O19" s="15">
        <f t="shared" si="0"/>
        <v>88</v>
      </c>
      <c r="P19" s="15">
        <f t="shared" si="1"/>
        <v>283</v>
      </c>
      <c r="R19" s="1" t="s">
        <v>15</v>
      </c>
      <c r="S19" s="17">
        <f t="shared" ref="S19:AF19" si="11">SUM(C46:C49)</f>
        <v>277</v>
      </c>
      <c r="T19" s="17">
        <f t="shared" si="11"/>
        <v>210</v>
      </c>
      <c r="U19" s="17">
        <f t="shared" si="11"/>
        <v>39</v>
      </c>
      <c r="V19" s="17">
        <f t="shared" si="11"/>
        <v>14</v>
      </c>
      <c r="W19" s="17">
        <f t="shared" si="11"/>
        <v>0</v>
      </c>
      <c r="X19" s="17">
        <f t="shared" si="11"/>
        <v>0</v>
      </c>
      <c r="Y19" s="17">
        <f t="shared" si="11"/>
        <v>10</v>
      </c>
      <c r="Z19" s="17">
        <f t="shared" si="11"/>
        <v>5</v>
      </c>
      <c r="AA19" s="17">
        <f t="shared" si="11"/>
        <v>0</v>
      </c>
      <c r="AB19" s="17">
        <f t="shared" si="11"/>
        <v>1</v>
      </c>
      <c r="AC19" s="17">
        <f t="shared" si="11"/>
        <v>695</v>
      </c>
      <c r="AD19" s="17">
        <f t="shared" si="11"/>
        <v>0</v>
      </c>
      <c r="AE19" s="31">
        <f t="shared" si="11"/>
        <v>556</v>
      </c>
      <c r="AF19" s="31">
        <f t="shared" si="11"/>
        <v>1251</v>
      </c>
    </row>
    <row r="20" spans="2:32" ht="23.1" customHeight="1" x14ac:dyDescent="0.25">
      <c r="B20" s="45" t="s">
        <v>47</v>
      </c>
      <c r="C20" s="50">
        <v>58</v>
      </c>
      <c r="D20" s="50">
        <v>39</v>
      </c>
      <c r="E20" s="50">
        <v>12</v>
      </c>
      <c r="F20" s="50">
        <v>5</v>
      </c>
      <c r="G20" s="50">
        <v>0</v>
      </c>
      <c r="H20" s="50">
        <v>0</v>
      </c>
      <c r="I20" s="50">
        <v>4</v>
      </c>
      <c r="J20" s="50">
        <v>3</v>
      </c>
      <c r="K20" s="50">
        <v>0</v>
      </c>
      <c r="L20" s="50">
        <v>0</v>
      </c>
      <c r="M20" s="50">
        <v>130</v>
      </c>
      <c r="N20" s="50">
        <v>0</v>
      </c>
      <c r="O20" s="15">
        <f t="shared" si="0"/>
        <v>121</v>
      </c>
      <c r="P20" s="15">
        <f t="shared" si="1"/>
        <v>251</v>
      </c>
      <c r="R20" s="1" t="s">
        <v>16</v>
      </c>
      <c r="S20" s="17">
        <f t="shared" ref="S20:AF20" si="12">SUM(C50:C53)</f>
        <v>342</v>
      </c>
      <c r="T20" s="17">
        <f t="shared" si="12"/>
        <v>203</v>
      </c>
      <c r="U20" s="17">
        <f t="shared" si="12"/>
        <v>37</v>
      </c>
      <c r="V20" s="17">
        <f t="shared" si="12"/>
        <v>12</v>
      </c>
      <c r="W20" s="17">
        <f t="shared" si="12"/>
        <v>1</v>
      </c>
      <c r="X20" s="17">
        <f t="shared" si="12"/>
        <v>1</v>
      </c>
      <c r="Y20" s="17">
        <f t="shared" si="12"/>
        <v>8</v>
      </c>
      <c r="Z20" s="17">
        <f t="shared" si="12"/>
        <v>5</v>
      </c>
      <c r="AA20" s="17">
        <f t="shared" si="12"/>
        <v>2</v>
      </c>
      <c r="AB20" s="17">
        <f t="shared" si="12"/>
        <v>1</v>
      </c>
      <c r="AC20" s="17">
        <f t="shared" si="12"/>
        <v>750</v>
      </c>
      <c r="AD20" s="17">
        <f t="shared" si="12"/>
        <v>0</v>
      </c>
      <c r="AE20" s="31">
        <f t="shared" si="12"/>
        <v>612</v>
      </c>
      <c r="AF20" s="31">
        <f t="shared" si="12"/>
        <v>1362</v>
      </c>
    </row>
    <row r="21" spans="2:32" ht="23.1" customHeight="1" x14ac:dyDescent="0.25">
      <c r="B21" s="45" t="s">
        <v>48</v>
      </c>
      <c r="C21" s="50">
        <v>43</v>
      </c>
      <c r="D21" s="50">
        <v>29</v>
      </c>
      <c r="E21" s="50">
        <v>9</v>
      </c>
      <c r="F21" s="50">
        <v>9</v>
      </c>
      <c r="G21" s="50">
        <v>1</v>
      </c>
      <c r="H21" s="50">
        <v>0</v>
      </c>
      <c r="I21" s="50">
        <v>3</v>
      </c>
      <c r="J21" s="50">
        <v>2</v>
      </c>
      <c r="K21" s="50">
        <v>1</v>
      </c>
      <c r="L21" s="50">
        <v>0</v>
      </c>
      <c r="M21" s="50">
        <v>215</v>
      </c>
      <c r="N21" s="50">
        <v>0</v>
      </c>
      <c r="O21" s="15">
        <f t="shared" si="0"/>
        <v>97</v>
      </c>
      <c r="P21" s="15">
        <f t="shared" si="1"/>
        <v>312</v>
      </c>
      <c r="R21" s="36" t="s">
        <v>20</v>
      </c>
      <c r="S21" s="34">
        <f t="shared" ref="S21:AF21" si="13">SUM(C54:C57)</f>
        <v>330</v>
      </c>
      <c r="T21" s="17">
        <f t="shared" si="13"/>
        <v>161</v>
      </c>
      <c r="U21" s="17">
        <f t="shared" si="13"/>
        <v>28</v>
      </c>
      <c r="V21" s="17">
        <f t="shared" si="13"/>
        <v>11</v>
      </c>
      <c r="W21" s="17">
        <f t="shared" si="13"/>
        <v>1</v>
      </c>
      <c r="X21" s="17">
        <f t="shared" si="13"/>
        <v>0</v>
      </c>
      <c r="Y21" s="17">
        <f t="shared" si="13"/>
        <v>8</v>
      </c>
      <c r="Z21" s="17">
        <f t="shared" si="13"/>
        <v>6</v>
      </c>
      <c r="AA21" s="17">
        <f t="shared" si="13"/>
        <v>1</v>
      </c>
      <c r="AB21" s="17">
        <f t="shared" si="13"/>
        <v>2</v>
      </c>
      <c r="AC21" s="17">
        <f t="shared" si="13"/>
        <v>455</v>
      </c>
      <c r="AD21" s="17">
        <f t="shared" si="13"/>
        <v>0</v>
      </c>
      <c r="AE21" s="31">
        <f t="shared" si="13"/>
        <v>548</v>
      </c>
      <c r="AF21" s="31">
        <f t="shared" si="13"/>
        <v>1003</v>
      </c>
    </row>
    <row r="22" spans="2:32" ht="23.1" customHeight="1" x14ac:dyDescent="0.25">
      <c r="B22" s="45" t="s">
        <v>49</v>
      </c>
      <c r="C22" s="50">
        <v>63</v>
      </c>
      <c r="D22" s="50">
        <v>39</v>
      </c>
      <c r="E22" s="50">
        <v>11</v>
      </c>
      <c r="F22" s="50">
        <v>7</v>
      </c>
      <c r="G22" s="50">
        <v>1</v>
      </c>
      <c r="H22" s="50">
        <v>0</v>
      </c>
      <c r="I22" s="50">
        <v>6</v>
      </c>
      <c r="J22" s="50">
        <v>1</v>
      </c>
      <c r="K22" s="50">
        <v>0</v>
      </c>
      <c r="L22" s="50">
        <v>0</v>
      </c>
      <c r="M22" s="50">
        <v>70</v>
      </c>
      <c r="N22" s="50">
        <v>0</v>
      </c>
      <c r="O22" s="15">
        <f t="shared" si="0"/>
        <v>128</v>
      </c>
      <c r="P22" s="15">
        <f t="shared" si="1"/>
        <v>198</v>
      </c>
      <c r="R22" s="36" t="s">
        <v>146</v>
      </c>
      <c r="S22" s="34">
        <f>SUM(C58:C61)</f>
        <v>260</v>
      </c>
      <c r="T22" s="34">
        <f t="shared" ref="T22:AF22" si="14">SUM(D58:D61)</f>
        <v>137</v>
      </c>
      <c r="U22" s="34">
        <f t="shared" si="14"/>
        <v>25</v>
      </c>
      <c r="V22" s="34">
        <f t="shared" si="14"/>
        <v>4</v>
      </c>
      <c r="W22" s="34">
        <f t="shared" si="14"/>
        <v>0</v>
      </c>
      <c r="X22" s="34">
        <f t="shared" si="14"/>
        <v>0</v>
      </c>
      <c r="Y22" s="34">
        <f t="shared" si="14"/>
        <v>1</v>
      </c>
      <c r="Z22" s="34">
        <f t="shared" si="14"/>
        <v>2</v>
      </c>
      <c r="AA22" s="34">
        <f t="shared" si="14"/>
        <v>0</v>
      </c>
      <c r="AB22" s="34">
        <f t="shared" si="14"/>
        <v>0</v>
      </c>
      <c r="AC22" s="34">
        <f t="shared" si="14"/>
        <v>555</v>
      </c>
      <c r="AD22" s="34">
        <f t="shared" si="14"/>
        <v>0</v>
      </c>
      <c r="AE22" s="31">
        <f t="shared" si="14"/>
        <v>429</v>
      </c>
      <c r="AF22" s="31">
        <f t="shared" si="14"/>
        <v>984</v>
      </c>
    </row>
    <row r="23" spans="2:32" ht="23.1" customHeight="1" x14ac:dyDescent="0.25">
      <c r="B23" s="45" t="s">
        <v>50</v>
      </c>
      <c r="C23" s="50">
        <v>61</v>
      </c>
      <c r="D23" s="50">
        <v>33</v>
      </c>
      <c r="E23" s="50">
        <v>8</v>
      </c>
      <c r="F23" s="50">
        <v>3</v>
      </c>
      <c r="G23" s="50">
        <v>0</v>
      </c>
      <c r="H23" s="50">
        <v>0</v>
      </c>
      <c r="I23" s="50">
        <v>1</v>
      </c>
      <c r="J23" s="50">
        <v>1</v>
      </c>
      <c r="K23" s="50">
        <v>1</v>
      </c>
      <c r="L23" s="50">
        <v>1</v>
      </c>
      <c r="M23" s="50">
        <v>87</v>
      </c>
      <c r="N23" s="50">
        <v>0</v>
      </c>
      <c r="O23" s="15">
        <f t="shared" si="0"/>
        <v>109</v>
      </c>
      <c r="P23" s="15">
        <f t="shared" si="1"/>
        <v>196</v>
      </c>
      <c r="R23" s="36" t="s">
        <v>147</v>
      </c>
      <c r="S23" s="34">
        <f>SUM(C62:C65)</f>
        <v>219</v>
      </c>
      <c r="T23" s="34">
        <f t="shared" ref="T23:AF23" si="15">SUM(D62:D65)</f>
        <v>118</v>
      </c>
      <c r="U23" s="34">
        <f t="shared" si="15"/>
        <v>25</v>
      </c>
      <c r="V23" s="34">
        <f t="shared" si="15"/>
        <v>3</v>
      </c>
      <c r="W23" s="34">
        <f t="shared" si="15"/>
        <v>0</v>
      </c>
      <c r="X23" s="34">
        <f t="shared" si="15"/>
        <v>0</v>
      </c>
      <c r="Y23" s="34">
        <f t="shared" si="15"/>
        <v>4</v>
      </c>
      <c r="Z23" s="34">
        <f t="shared" si="15"/>
        <v>0</v>
      </c>
      <c r="AA23" s="34">
        <f t="shared" si="15"/>
        <v>3</v>
      </c>
      <c r="AB23" s="34">
        <f t="shared" si="15"/>
        <v>0</v>
      </c>
      <c r="AC23" s="34">
        <f t="shared" si="15"/>
        <v>350</v>
      </c>
      <c r="AD23" s="34">
        <f t="shared" si="15"/>
        <v>0</v>
      </c>
      <c r="AE23" s="31">
        <f t="shared" si="15"/>
        <v>372</v>
      </c>
      <c r="AF23" s="31">
        <f t="shared" si="15"/>
        <v>722</v>
      </c>
    </row>
    <row r="24" spans="2:32" ht="23.1" customHeight="1" x14ac:dyDescent="0.25">
      <c r="B24" s="45" t="s">
        <v>51</v>
      </c>
      <c r="C24" s="50">
        <v>64</v>
      </c>
      <c r="D24" s="50">
        <v>38</v>
      </c>
      <c r="E24" s="50">
        <v>8</v>
      </c>
      <c r="F24" s="50">
        <v>1</v>
      </c>
      <c r="G24" s="50">
        <v>1</v>
      </c>
      <c r="H24" s="50">
        <v>0</v>
      </c>
      <c r="I24" s="50">
        <v>0</v>
      </c>
      <c r="J24" s="50">
        <v>0</v>
      </c>
      <c r="K24" s="50">
        <v>0</v>
      </c>
      <c r="L24" s="50">
        <v>1</v>
      </c>
      <c r="M24" s="50">
        <v>114</v>
      </c>
      <c r="N24" s="50">
        <v>0</v>
      </c>
      <c r="O24" s="15">
        <f t="shared" si="0"/>
        <v>113</v>
      </c>
      <c r="P24" s="15">
        <f t="shared" si="1"/>
        <v>227</v>
      </c>
      <c r="R24" s="36" t="s">
        <v>148</v>
      </c>
      <c r="S24" s="34">
        <f>SUM(C66:C69)</f>
        <v>193</v>
      </c>
      <c r="T24" s="34">
        <f t="shared" ref="T24:AF24" si="16">SUM(D66:D69)</f>
        <v>120</v>
      </c>
      <c r="U24" s="34">
        <f t="shared" si="16"/>
        <v>18</v>
      </c>
      <c r="V24" s="34">
        <f t="shared" si="16"/>
        <v>8</v>
      </c>
      <c r="W24" s="34">
        <f t="shared" si="16"/>
        <v>0</v>
      </c>
      <c r="X24" s="34">
        <f t="shared" si="16"/>
        <v>1</v>
      </c>
      <c r="Y24" s="34">
        <f t="shared" si="16"/>
        <v>1</v>
      </c>
      <c r="Z24" s="34">
        <f t="shared" si="16"/>
        <v>1</v>
      </c>
      <c r="AA24" s="34">
        <f t="shared" si="16"/>
        <v>0</v>
      </c>
      <c r="AB24" s="34">
        <f t="shared" si="16"/>
        <v>0</v>
      </c>
      <c r="AC24" s="34">
        <f t="shared" si="16"/>
        <v>156</v>
      </c>
      <c r="AD24" s="34">
        <f t="shared" si="16"/>
        <v>0</v>
      </c>
      <c r="AE24" s="31">
        <f t="shared" si="16"/>
        <v>342</v>
      </c>
      <c r="AF24" s="31">
        <f t="shared" si="16"/>
        <v>498</v>
      </c>
    </row>
    <row r="25" spans="2:32" ht="23.1" customHeight="1" x14ac:dyDescent="0.25">
      <c r="B25" s="45" t="s">
        <v>52</v>
      </c>
      <c r="C25" s="50">
        <v>46</v>
      </c>
      <c r="D25" s="50">
        <v>42</v>
      </c>
      <c r="E25" s="50">
        <v>13</v>
      </c>
      <c r="F25" s="50">
        <v>3</v>
      </c>
      <c r="G25" s="50">
        <v>0</v>
      </c>
      <c r="H25" s="50">
        <v>0</v>
      </c>
      <c r="I25" s="50">
        <v>1</v>
      </c>
      <c r="J25" s="50">
        <v>4</v>
      </c>
      <c r="K25" s="50">
        <v>0</v>
      </c>
      <c r="L25" s="50">
        <v>1</v>
      </c>
      <c r="M25" s="50">
        <v>75</v>
      </c>
      <c r="N25" s="50">
        <v>0</v>
      </c>
      <c r="O25" s="15">
        <f t="shared" si="0"/>
        <v>110</v>
      </c>
      <c r="P25" s="15">
        <f t="shared" si="1"/>
        <v>185</v>
      </c>
      <c r="R25" s="36" t="s">
        <v>149</v>
      </c>
      <c r="S25" s="34">
        <f>SUM(C70:C73)</f>
        <v>154</v>
      </c>
      <c r="T25" s="34">
        <f t="shared" ref="T25:AF25" si="17">SUM(D70:D73)</f>
        <v>61</v>
      </c>
      <c r="U25" s="34">
        <f t="shared" si="17"/>
        <v>9</v>
      </c>
      <c r="V25" s="34">
        <f t="shared" si="17"/>
        <v>10</v>
      </c>
      <c r="W25" s="34">
        <f t="shared" si="17"/>
        <v>0</v>
      </c>
      <c r="X25" s="34">
        <f t="shared" si="17"/>
        <v>0</v>
      </c>
      <c r="Y25" s="34">
        <f t="shared" si="17"/>
        <v>2</v>
      </c>
      <c r="Z25" s="34">
        <f t="shared" si="17"/>
        <v>1</v>
      </c>
      <c r="AA25" s="34">
        <f t="shared" si="17"/>
        <v>0</v>
      </c>
      <c r="AB25" s="34">
        <f t="shared" si="17"/>
        <v>1</v>
      </c>
      <c r="AC25" s="34">
        <f t="shared" si="17"/>
        <v>143</v>
      </c>
      <c r="AD25" s="34">
        <f t="shared" si="17"/>
        <v>0</v>
      </c>
      <c r="AE25" s="31">
        <f t="shared" si="17"/>
        <v>238</v>
      </c>
      <c r="AF25" s="31">
        <f t="shared" si="17"/>
        <v>381</v>
      </c>
    </row>
    <row r="26" spans="2:32" ht="23.1" customHeight="1" x14ac:dyDescent="0.25">
      <c r="B26" s="45" t="s">
        <v>53</v>
      </c>
      <c r="C26" s="50">
        <v>64</v>
      </c>
      <c r="D26" s="50">
        <v>47</v>
      </c>
      <c r="E26" s="50">
        <v>10</v>
      </c>
      <c r="F26" s="50">
        <v>3</v>
      </c>
      <c r="G26" s="50">
        <v>1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85</v>
      </c>
      <c r="N26" s="50">
        <v>0</v>
      </c>
      <c r="O26" s="15">
        <f t="shared" si="0"/>
        <v>125</v>
      </c>
      <c r="P26" s="15">
        <f t="shared" si="1"/>
        <v>210</v>
      </c>
      <c r="R26" s="36" t="s">
        <v>150</v>
      </c>
      <c r="S26" s="34">
        <f>SUM(C74:C77)</f>
        <v>104</v>
      </c>
      <c r="T26" s="34">
        <f t="shared" ref="T26:AF26" si="18">SUM(D74:D77)</f>
        <v>48</v>
      </c>
      <c r="U26" s="34">
        <f t="shared" si="18"/>
        <v>14</v>
      </c>
      <c r="V26" s="34">
        <f t="shared" si="18"/>
        <v>4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168</v>
      </c>
      <c r="AD26" s="34">
        <f t="shared" si="18"/>
        <v>0</v>
      </c>
      <c r="AE26" s="31">
        <f t="shared" si="18"/>
        <v>170</v>
      </c>
      <c r="AF26" s="31">
        <f t="shared" si="18"/>
        <v>338</v>
      </c>
    </row>
    <row r="27" spans="2:32" ht="23.1" customHeight="1" x14ac:dyDescent="0.25">
      <c r="B27" s="45" t="s">
        <v>54</v>
      </c>
      <c r="C27" s="50">
        <v>56</v>
      </c>
      <c r="D27" s="50">
        <v>33</v>
      </c>
      <c r="E27" s="50">
        <v>3</v>
      </c>
      <c r="F27" s="50">
        <v>2</v>
      </c>
      <c r="G27" s="50">
        <v>0</v>
      </c>
      <c r="H27" s="50">
        <v>0</v>
      </c>
      <c r="I27" s="50">
        <v>3</v>
      </c>
      <c r="J27" s="50">
        <v>2</v>
      </c>
      <c r="K27" s="50">
        <v>0</v>
      </c>
      <c r="L27" s="50">
        <v>0</v>
      </c>
      <c r="M27" s="50">
        <v>87</v>
      </c>
      <c r="N27" s="50">
        <v>0</v>
      </c>
      <c r="O27" s="15">
        <f t="shared" si="0"/>
        <v>99</v>
      </c>
      <c r="P27" s="15">
        <f t="shared" si="1"/>
        <v>186</v>
      </c>
      <c r="R27" s="36" t="s">
        <v>151</v>
      </c>
      <c r="S27" s="34">
        <f>SUM(C78:C81)</f>
        <v>79</v>
      </c>
      <c r="T27" s="34">
        <f t="shared" ref="T27:AF27" si="19">SUM(D78:D81)</f>
        <v>37</v>
      </c>
      <c r="U27" s="34">
        <f t="shared" si="19"/>
        <v>2</v>
      </c>
      <c r="V27" s="34">
        <f t="shared" si="19"/>
        <v>5</v>
      </c>
      <c r="W27" s="34">
        <f t="shared" si="19"/>
        <v>0</v>
      </c>
      <c r="X27" s="34">
        <f t="shared" si="19"/>
        <v>0</v>
      </c>
      <c r="Y27" s="34">
        <f t="shared" si="19"/>
        <v>1</v>
      </c>
      <c r="Z27" s="34">
        <f t="shared" si="19"/>
        <v>3</v>
      </c>
      <c r="AA27" s="34">
        <f t="shared" si="19"/>
        <v>0</v>
      </c>
      <c r="AB27" s="34">
        <f t="shared" si="19"/>
        <v>0</v>
      </c>
      <c r="AC27" s="34">
        <f t="shared" si="19"/>
        <v>78</v>
      </c>
      <c r="AD27" s="34">
        <f t="shared" si="19"/>
        <v>0</v>
      </c>
      <c r="AE27" s="31">
        <f t="shared" si="19"/>
        <v>127</v>
      </c>
      <c r="AF27" s="31">
        <f t="shared" si="19"/>
        <v>205</v>
      </c>
    </row>
    <row r="28" spans="2:32" ht="23.1" customHeight="1" x14ac:dyDescent="0.25">
      <c r="B28" s="45" t="s">
        <v>55</v>
      </c>
      <c r="C28" s="50">
        <v>78</v>
      </c>
      <c r="D28" s="50">
        <v>58</v>
      </c>
      <c r="E28" s="50">
        <v>13</v>
      </c>
      <c r="F28" s="50">
        <v>3</v>
      </c>
      <c r="G28" s="50">
        <v>0</v>
      </c>
      <c r="H28" s="50">
        <v>0</v>
      </c>
      <c r="I28" s="50">
        <v>2</v>
      </c>
      <c r="J28" s="50">
        <v>1</v>
      </c>
      <c r="K28" s="50">
        <v>0</v>
      </c>
      <c r="L28" s="50">
        <v>0</v>
      </c>
      <c r="M28" s="50">
        <v>155</v>
      </c>
      <c r="N28" s="50">
        <v>0</v>
      </c>
      <c r="O28" s="15">
        <f t="shared" si="0"/>
        <v>155</v>
      </c>
      <c r="P28" s="15">
        <f t="shared" si="1"/>
        <v>310</v>
      </c>
      <c r="R28" s="36" t="s">
        <v>152</v>
      </c>
      <c r="S28" s="34">
        <f>SUM(C82:C85)</f>
        <v>42</v>
      </c>
      <c r="T28" s="34">
        <f t="shared" ref="T28:AF28" si="20">SUM(D82:D85)</f>
        <v>23</v>
      </c>
      <c r="U28" s="34">
        <f t="shared" si="20"/>
        <v>2</v>
      </c>
      <c r="V28" s="34">
        <f t="shared" si="20"/>
        <v>0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61</v>
      </c>
      <c r="AD28" s="34">
        <f t="shared" si="20"/>
        <v>0</v>
      </c>
      <c r="AE28" s="31">
        <f t="shared" si="20"/>
        <v>67</v>
      </c>
      <c r="AF28" s="31">
        <f t="shared" si="20"/>
        <v>128</v>
      </c>
    </row>
    <row r="29" spans="2:32" ht="23.1" customHeight="1" x14ac:dyDescent="0.25">
      <c r="B29" s="45" t="s">
        <v>56</v>
      </c>
      <c r="C29" s="50">
        <v>69</v>
      </c>
      <c r="D29" s="50">
        <v>33</v>
      </c>
      <c r="E29" s="50">
        <v>6</v>
      </c>
      <c r="F29" s="50">
        <v>2</v>
      </c>
      <c r="G29" s="50">
        <v>0</v>
      </c>
      <c r="H29" s="50">
        <v>0</v>
      </c>
      <c r="I29" s="50">
        <v>1</v>
      </c>
      <c r="J29" s="50">
        <v>2</v>
      </c>
      <c r="K29" s="50">
        <v>1</v>
      </c>
      <c r="L29" s="50">
        <v>0</v>
      </c>
      <c r="M29" s="50">
        <v>107</v>
      </c>
      <c r="N29" s="50">
        <v>0</v>
      </c>
      <c r="O29" s="15">
        <f t="shared" si="0"/>
        <v>114</v>
      </c>
      <c r="P29" s="15">
        <f t="shared" si="1"/>
        <v>221</v>
      </c>
      <c r="R29" s="36" t="s">
        <v>153</v>
      </c>
      <c r="S29" s="34">
        <f>SUM(C86:C89)</f>
        <v>43</v>
      </c>
      <c r="T29" s="34">
        <f t="shared" ref="T29:AF29" si="21">SUM(D86:D89)</f>
        <v>12</v>
      </c>
      <c r="U29" s="34">
        <f t="shared" si="21"/>
        <v>4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28</v>
      </c>
      <c r="AD29" s="34">
        <f t="shared" si="21"/>
        <v>0</v>
      </c>
      <c r="AE29" s="31">
        <f t="shared" si="21"/>
        <v>59</v>
      </c>
      <c r="AF29" s="31">
        <f t="shared" si="21"/>
        <v>87</v>
      </c>
    </row>
    <row r="30" spans="2:32" ht="23.1" customHeight="1" x14ac:dyDescent="0.25">
      <c r="B30" s="45" t="s">
        <v>57</v>
      </c>
      <c r="C30" s="50">
        <v>80</v>
      </c>
      <c r="D30" s="50">
        <v>30</v>
      </c>
      <c r="E30" s="50">
        <v>14</v>
      </c>
      <c r="F30" s="50">
        <v>5</v>
      </c>
      <c r="G30" s="50">
        <v>0</v>
      </c>
      <c r="H30" s="50">
        <v>1</v>
      </c>
      <c r="I30" s="50">
        <v>1</v>
      </c>
      <c r="J30" s="50">
        <v>1</v>
      </c>
      <c r="K30" s="50">
        <v>0</v>
      </c>
      <c r="L30" s="50">
        <v>0</v>
      </c>
      <c r="M30" s="50">
        <v>107</v>
      </c>
      <c r="N30" s="50">
        <v>0</v>
      </c>
      <c r="O30" s="15">
        <f t="shared" si="0"/>
        <v>132</v>
      </c>
      <c r="P30" s="15">
        <f t="shared" si="1"/>
        <v>239</v>
      </c>
      <c r="R30" s="36" t="s">
        <v>154</v>
      </c>
      <c r="S30" s="34">
        <f>SUM(C90:C93)</f>
        <v>24</v>
      </c>
      <c r="T30" s="34">
        <f t="shared" ref="T30:AF30" si="22">SUM(D90:D93)</f>
        <v>6</v>
      </c>
      <c r="U30" s="34">
        <f t="shared" si="22"/>
        <v>2</v>
      </c>
      <c r="V30" s="34">
        <f t="shared" si="22"/>
        <v>3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31</v>
      </c>
      <c r="AD30" s="34">
        <f t="shared" si="22"/>
        <v>0</v>
      </c>
      <c r="AE30" s="31">
        <f t="shared" si="22"/>
        <v>37</v>
      </c>
      <c r="AF30" s="31">
        <f t="shared" si="22"/>
        <v>68</v>
      </c>
    </row>
    <row r="31" spans="2:32" ht="23.1" customHeight="1" x14ac:dyDescent="0.25">
      <c r="B31" s="46" t="s">
        <v>58</v>
      </c>
      <c r="C31" s="50">
        <v>73</v>
      </c>
      <c r="D31" s="50">
        <v>47</v>
      </c>
      <c r="E31" s="50">
        <v>11</v>
      </c>
      <c r="F31" s="50">
        <v>6</v>
      </c>
      <c r="G31" s="50">
        <v>1</v>
      </c>
      <c r="H31" s="50">
        <v>1</v>
      </c>
      <c r="I31" s="50">
        <v>1</v>
      </c>
      <c r="J31" s="50">
        <v>0</v>
      </c>
      <c r="K31" s="50">
        <v>0</v>
      </c>
      <c r="L31" s="50">
        <v>2</v>
      </c>
      <c r="M31" s="50">
        <v>120</v>
      </c>
      <c r="N31" s="50">
        <v>0</v>
      </c>
      <c r="O31" s="15">
        <f t="shared" si="0"/>
        <v>142</v>
      </c>
      <c r="P31" s="15">
        <f t="shared" si="1"/>
        <v>262</v>
      </c>
      <c r="R31" s="36" t="s">
        <v>155</v>
      </c>
      <c r="S31" s="34">
        <f>SUM(C94:C97)</f>
        <v>18</v>
      </c>
      <c r="T31" s="34">
        <f t="shared" ref="T31:AF31" si="23">SUM(D94:D97)</f>
        <v>4</v>
      </c>
      <c r="U31" s="34">
        <f t="shared" si="23"/>
        <v>2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37</v>
      </c>
      <c r="AD31" s="34">
        <f t="shared" si="23"/>
        <v>0</v>
      </c>
      <c r="AE31" s="31">
        <f t="shared" si="23"/>
        <v>26</v>
      </c>
      <c r="AF31" s="31">
        <f t="shared" si="23"/>
        <v>63</v>
      </c>
    </row>
    <row r="32" spans="2:32" ht="23.1" customHeight="1" x14ac:dyDescent="0.25">
      <c r="B32" s="46" t="s">
        <v>59</v>
      </c>
      <c r="C32" s="50">
        <v>70</v>
      </c>
      <c r="D32" s="50">
        <v>54</v>
      </c>
      <c r="E32" s="50">
        <v>10</v>
      </c>
      <c r="F32" s="50">
        <v>1</v>
      </c>
      <c r="G32" s="50">
        <v>0</v>
      </c>
      <c r="H32" s="50">
        <v>0</v>
      </c>
      <c r="I32" s="50">
        <v>1</v>
      </c>
      <c r="J32" s="50">
        <v>0</v>
      </c>
      <c r="K32" s="50">
        <v>0</v>
      </c>
      <c r="L32" s="50">
        <v>0</v>
      </c>
      <c r="M32" s="50">
        <v>130</v>
      </c>
      <c r="N32" s="50">
        <v>0</v>
      </c>
      <c r="O32" s="15">
        <f t="shared" si="0"/>
        <v>136</v>
      </c>
      <c r="P32" s="15">
        <f t="shared" si="1"/>
        <v>266</v>
      </c>
      <c r="R32" s="33" t="s">
        <v>156</v>
      </c>
      <c r="S32" s="34">
        <f>SUM(C98:C101)</f>
        <v>24</v>
      </c>
      <c r="T32" s="34">
        <f t="shared" ref="T32:AF32" si="24">SUM(D98:D101)</f>
        <v>6</v>
      </c>
      <c r="U32" s="34">
        <f t="shared" si="24"/>
        <v>3</v>
      </c>
      <c r="V32" s="34">
        <f t="shared" si="24"/>
        <v>0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2</v>
      </c>
      <c r="AA32" s="34">
        <f t="shared" si="24"/>
        <v>0</v>
      </c>
      <c r="AB32" s="34">
        <f t="shared" si="24"/>
        <v>0</v>
      </c>
      <c r="AC32" s="34">
        <f t="shared" si="24"/>
        <v>55</v>
      </c>
      <c r="AD32" s="34">
        <f t="shared" si="24"/>
        <v>0</v>
      </c>
      <c r="AE32" s="31">
        <f t="shared" si="24"/>
        <v>35</v>
      </c>
      <c r="AF32" s="31">
        <f t="shared" si="24"/>
        <v>90</v>
      </c>
    </row>
    <row r="33" spans="2:32" ht="23.1" customHeight="1" x14ac:dyDescent="0.25">
      <c r="B33" s="45" t="s">
        <v>60</v>
      </c>
      <c r="C33" s="50">
        <v>76</v>
      </c>
      <c r="D33" s="50">
        <v>49</v>
      </c>
      <c r="E33" s="50">
        <v>6</v>
      </c>
      <c r="F33" s="50">
        <v>3</v>
      </c>
      <c r="G33" s="50">
        <v>3</v>
      </c>
      <c r="H33" s="50">
        <v>0</v>
      </c>
      <c r="I33" s="50">
        <v>1</v>
      </c>
      <c r="J33" s="50">
        <v>2</v>
      </c>
      <c r="K33" s="50">
        <v>0</v>
      </c>
      <c r="L33" s="50">
        <v>0</v>
      </c>
      <c r="M33" s="50">
        <v>63</v>
      </c>
      <c r="N33" s="50">
        <v>0</v>
      </c>
      <c r="O33" s="15">
        <f t="shared" si="0"/>
        <v>140</v>
      </c>
      <c r="P33" s="15">
        <f t="shared" si="1"/>
        <v>203</v>
      </c>
      <c r="R33" s="33" t="s">
        <v>157</v>
      </c>
      <c r="S33" s="34">
        <f>SUM(C102:C105)</f>
        <v>143</v>
      </c>
      <c r="T33" s="34">
        <f t="shared" ref="T33:AF33" si="25">SUM(D102:D105)</f>
        <v>74</v>
      </c>
      <c r="U33" s="34">
        <f t="shared" si="25"/>
        <v>15</v>
      </c>
      <c r="V33" s="34">
        <f t="shared" si="25"/>
        <v>5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1</v>
      </c>
      <c r="AA33" s="34">
        <f t="shared" si="25"/>
        <v>0</v>
      </c>
      <c r="AB33" s="34">
        <f t="shared" si="25"/>
        <v>0</v>
      </c>
      <c r="AC33" s="34">
        <f t="shared" si="25"/>
        <v>193</v>
      </c>
      <c r="AD33" s="34">
        <f t="shared" si="25"/>
        <v>0</v>
      </c>
      <c r="AE33" s="31">
        <f t="shared" si="25"/>
        <v>239</v>
      </c>
      <c r="AF33" s="31">
        <f t="shared" si="25"/>
        <v>432</v>
      </c>
    </row>
    <row r="34" spans="2:32" ht="23.1" customHeight="1" x14ac:dyDescent="0.25">
      <c r="B34" s="46" t="s">
        <v>61</v>
      </c>
      <c r="C34" s="50">
        <v>91</v>
      </c>
      <c r="D34" s="50">
        <v>56</v>
      </c>
      <c r="E34" s="50">
        <v>9</v>
      </c>
      <c r="F34" s="50">
        <v>3</v>
      </c>
      <c r="G34" s="50">
        <v>0</v>
      </c>
      <c r="H34" s="50">
        <v>0</v>
      </c>
      <c r="I34" s="50">
        <v>2</v>
      </c>
      <c r="J34" s="50">
        <v>2</v>
      </c>
      <c r="K34" s="50">
        <v>0</v>
      </c>
      <c r="L34" s="50">
        <v>0</v>
      </c>
      <c r="M34" s="50">
        <v>85</v>
      </c>
      <c r="N34" s="50">
        <v>0</v>
      </c>
      <c r="O34" s="15">
        <f t="shared" si="0"/>
        <v>163</v>
      </c>
      <c r="P34" s="15">
        <f t="shared" si="1"/>
        <v>248</v>
      </c>
      <c r="R34" s="38" t="s">
        <v>90</v>
      </c>
      <c r="S34" s="39">
        <f t="shared" ref="S34:AF34" si="26">MAX(S10:S12)</f>
        <v>239</v>
      </c>
      <c r="T34" s="39">
        <f t="shared" si="26"/>
        <v>128</v>
      </c>
      <c r="U34" s="39">
        <f t="shared" si="26"/>
        <v>39</v>
      </c>
      <c r="V34" s="39">
        <f t="shared" si="26"/>
        <v>17</v>
      </c>
      <c r="W34" s="39">
        <f t="shared" si="26"/>
        <v>1</v>
      </c>
      <c r="X34" s="39">
        <f t="shared" si="26"/>
        <v>0</v>
      </c>
      <c r="Y34" s="39">
        <f t="shared" si="26"/>
        <v>12</v>
      </c>
      <c r="Z34" s="39">
        <f t="shared" si="26"/>
        <v>8</v>
      </c>
      <c r="AA34" s="39">
        <f t="shared" si="26"/>
        <v>1</v>
      </c>
      <c r="AB34" s="39">
        <f t="shared" si="26"/>
        <v>2</v>
      </c>
      <c r="AC34" s="39">
        <f t="shared" si="26"/>
        <v>875</v>
      </c>
      <c r="AD34" s="39">
        <f t="shared" si="26"/>
        <v>0</v>
      </c>
      <c r="AE34" s="40">
        <f t="shared" si="26"/>
        <v>405</v>
      </c>
      <c r="AF34" s="40">
        <f t="shared" si="26"/>
        <v>1242</v>
      </c>
    </row>
    <row r="35" spans="2:32" ht="23.1" customHeight="1" x14ac:dyDescent="0.25">
      <c r="B35" s="46" t="s">
        <v>62</v>
      </c>
      <c r="C35" s="50">
        <v>96</v>
      </c>
      <c r="D35" s="50">
        <v>59</v>
      </c>
      <c r="E35" s="50">
        <v>11</v>
      </c>
      <c r="F35" s="50">
        <v>4</v>
      </c>
      <c r="G35" s="50">
        <v>0</v>
      </c>
      <c r="H35" s="50">
        <v>0</v>
      </c>
      <c r="I35" s="50">
        <v>4</v>
      </c>
      <c r="J35" s="50">
        <v>1</v>
      </c>
      <c r="K35" s="50">
        <v>1</v>
      </c>
      <c r="L35" s="50">
        <v>0</v>
      </c>
      <c r="M35" s="50">
        <v>120</v>
      </c>
      <c r="N35" s="50">
        <v>0</v>
      </c>
      <c r="O35" s="15">
        <f t="shared" si="0"/>
        <v>176</v>
      </c>
      <c r="P35" s="15">
        <f t="shared" si="1"/>
        <v>296</v>
      </c>
      <c r="R35" s="38" t="s">
        <v>91</v>
      </c>
      <c r="S35" s="39">
        <f t="shared" ref="S35:AF35" si="27">MAX(S13:S18)</f>
        <v>356</v>
      </c>
      <c r="T35" s="39">
        <f t="shared" si="27"/>
        <v>225</v>
      </c>
      <c r="U35" s="39">
        <f t="shared" si="27"/>
        <v>49</v>
      </c>
      <c r="V35" s="39">
        <f t="shared" si="27"/>
        <v>15</v>
      </c>
      <c r="W35" s="39">
        <f t="shared" si="27"/>
        <v>4</v>
      </c>
      <c r="X35" s="39">
        <f t="shared" si="27"/>
        <v>2</v>
      </c>
      <c r="Y35" s="39">
        <f t="shared" si="27"/>
        <v>14</v>
      </c>
      <c r="Z35" s="39">
        <f t="shared" si="27"/>
        <v>8</v>
      </c>
      <c r="AA35" s="39">
        <f t="shared" si="27"/>
        <v>1</v>
      </c>
      <c r="AB35" s="39">
        <f t="shared" si="27"/>
        <v>4</v>
      </c>
      <c r="AC35" s="39">
        <f t="shared" si="27"/>
        <v>590</v>
      </c>
      <c r="AD35" s="39">
        <f t="shared" si="27"/>
        <v>0</v>
      </c>
      <c r="AE35" s="40">
        <f t="shared" si="27"/>
        <v>648</v>
      </c>
      <c r="AF35" s="40">
        <f t="shared" si="27"/>
        <v>1210</v>
      </c>
    </row>
    <row r="36" spans="2:32" ht="23.1" customHeight="1" x14ac:dyDescent="0.25">
      <c r="B36" s="46" t="s">
        <v>63</v>
      </c>
      <c r="C36" s="50">
        <v>102</v>
      </c>
      <c r="D36" s="50">
        <v>48</v>
      </c>
      <c r="E36" s="50">
        <v>14</v>
      </c>
      <c r="F36" s="50">
        <v>2</v>
      </c>
      <c r="G36" s="50">
        <v>4</v>
      </c>
      <c r="H36" s="50">
        <v>1</v>
      </c>
      <c r="I36" s="50">
        <v>2</v>
      </c>
      <c r="J36" s="50">
        <v>1</v>
      </c>
      <c r="K36" s="50">
        <v>0</v>
      </c>
      <c r="L36" s="50">
        <v>0</v>
      </c>
      <c r="M36" s="50">
        <v>125</v>
      </c>
      <c r="N36" s="50">
        <v>0</v>
      </c>
      <c r="O36" s="15">
        <f t="shared" si="0"/>
        <v>174</v>
      </c>
      <c r="P36" s="15">
        <f t="shared" si="1"/>
        <v>299</v>
      </c>
      <c r="R36" s="38" t="s">
        <v>92</v>
      </c>
      <c r="S36" s="39">
        <f t="shared" ref="S36:AF36" si="28">MAX(S19:S21)</f>
        <v>342</v>
      </c>
      <c r="T36" s="39">
        <f t="shared" si="28"/>
        <v>210</v>
      </c>
      <c r="U36" s="39">
        <f t="shared" si="28"/>
        <v>39</v>
      </c>
      <c r="V36" s="39">
        <f t="shared" si="28"/>
        <v>14</v>
      </c>
      <c r="W36" s="39">
        <f t="shared" si="28"/>
        <v>1</v>
      </c>
      <c r="X36" s="39">
        <f t="shared" si="28"/>
        <v>1</v>
      </c>
      <c r="Y36" s="39">
        <f t="shared" si="28"/>
        <v>10</v>
      </c>
      <c r="Z36" s="39">
        <f t="shared" si="28"/>
        <v>6</v>
      </c>
      <c r="AA36" s="39">
        <f t="shared" si="28"/>
        <v>2</v>
      </c>
      <c r="AB36" s="39">
        <f t="shared" si="28"/>
        <v>2</v>
      </c>
      <c r="AC36" s="39">
        <f t="shared" si="28"/>
        <v>750</v>
      </c>
      <c r="AD36" s="39">
        <f t="shared" si="28"/>
        <v>0</v>
      </c>
      <c r="AE36" s="40">
        <f t="shared" si="28"/>
        <v>612</v>
      </c>
      <c r="AF36" s="40">
        <f t="shared" si="28"/>
        <v>1362</v>
      </c>
    </row>
    <row r="37" spans="2:32" ht="23.1" customHeight="1" x14ac:dyDescent="0.25">
      <c r="B37" s="45" t="s">
        <v>64</v>
      </c>
      <c r="C37" s="50">
        <v>67</v>
      </c>
      <c r="D37" s="50">
        <v>43</v>
      </c>
      <c r="E37" s="50">
        <v>15</v>
      </c>
      <c r="F37" s="50">
        <v>2</v>
      </c>
      <c r="G37" s="50">
        <v>0</v>
      </c>
      <c r="H37" s="50">
        <v>0</v>
      </c>
      <c r="I37" s="50">
        <v>6</v>
      </c>
      <c r="J37" s="50">
        <v>2</v>
      </c>
      <c r="K37" s="50">
        <v>0</v>
      </c>
      <c r="L37" s="50">
        <v>0</v>
      </c>
      <c r="M37" s="50">
        <v>210</v>
      </c>
      <c r="N37" s="50">
        <v>0</v>
      </c>
      <c r="O37" s="15">
        <f t="shared" si="0"/>
        <v>135</v>
      </c>
      <c r="P37" s="15">
        <f t="shared" si="1"/>
        <v>345</v>
      </c>
      <c r="R37" s="37" t="s">
        <v>85</v>
      </c>
      <c r="S37" s="35">
        <f t="shared" ref="S37:AF37" si="29">SUM(S10:S12)</f>
        <v>658</v>
      </c>
      <c r="T37" s="16">
        <f t="shared" si="29"/>
        <v>330</v>
      </c>
      <c r="U37" s="16">
        <f t="shared" si="29"/>
        <v>93</v>
      </c>
      <c r="V37" s="16">
        <f t="shared" si="29"/>
        <v>37</v>
      </c>
      <c r="W37" s="16">
        <f t="shared" si="29"/>
        <v>2</v>
      </c>
      <c r="X37" s="16">
        <f t="shared" si="29"/>
        <v>0</v>
      </c>
      <c r="Y37" s="16">
        <f t="shared" si="29"/>
        <v>22</v>
      </c>
      <c r="Z37" s="16">
        <f t="shared" si="29"/>
        <v>10</v>
      </c>
      <c r="AA37" s="16">
        <f t="shared" si="29"/>
        <v>3</v>
      </c>
      <c r="AB37" s="16">
        <f t="shared" si="29"/>
        <v>2</v>
      </c>
      <c r="AC37" s="16">
        <f t="shared" si="29"/>
        <v>2301</v>
      </c>
      <c r="AD37" s="16">
        <f t="shared" si="29"/>
        <v>0</v>
      </c>
      <c r="AE37" s="32">
        <f t="shared" si="29"/>
        <v>1157</v>
      </c>
      <c r="AF37" s="32">
        <f t="shared" si="29"/>
        <v>3458</v>
      </c>
    </row>
    <row r="38" spans="2:32" ht="23.1" customHeight="1" x14ac:dyDescent="0.25">
      <c r="B38" s="46" t="s">
        <v>65</v>
      </c>
      <c r="C38" s="50">
        <v>74</v>
      </c>
      <c r="D38" s="50">
        <v>47</v>
      </c>
      <c r="E38" s="50">
        <v>7</v>
      </c>
      <c r="F38" s="50">
        <v>3</v>
      </c>
      <c r="G38" s="50">
        <v>0</v>
      </c>
      <c r="H38" s="50">
        <v>0</v>
      </c>
      <c r="I38" s="50">
        <v>1</v>
      </c>
      <c r="J38" s="50">
        <v>4</v>
      </c>
      <c r="K38" s="50">
        <v>0</v>
      </c>
      <c r="L38" s="50">
        <v>0</v>
      </c>
      <c r="M38" s="50">
        <v>125</v>
      </c>
      <c r="N38" s="50">
        <v>0</v>
      </c>
      <c r="O38" s="15">
        <f t="shared" si="0"/>
        <v>136</v>
      </c>
      <c r="P38" s="15">
        <f t="shared" si="1"/>
        <v>261</v>
      </c>
      <c r="R38" s="28" t="s">
        <v>86</v>
      </c>
      <c r="S38" s="16">
        <f t="shared" ref="S38:AF38" si="30">SUM(S13:S18)</f>
        <v>1789</v>
      </c>
      <c r="T38" s="16">
        <f t="shared" si="30"/>
        <v>1125</v>
      </c>
      <c r="U38" s="16">
        <f t="shared" si="30"/>
        <v>234</v>
      </c>
      <c r="V38" s="16">
        <f t="shared" si="30"/>
        <v>71</v>
      </c>
      <c r="W38" s="16">
        <f t="shared" si="30"/>
        <v>11</v>
      </c>
      <c r="X38" s="16">
        <f t="shared" si="30"/>
        <v>3</v>
      </c>
      <c r="Y38" s="16">
        <f t="shared" si="30"/>
        <v>43</v>
      </c>
      <c r="Z38" s="16">
        <f t="shared" si="30"/>
        <v>34</v>
      </c>
      <c r="AA38" s="16">
        <f t="shared" si="30"/>
        <v>5</v>
      </c>
      <c r="AB38" s="16">
        <f t="shared" si="30"/>
        <v>9</v>
      </c>
      <c r="AC38" s="16">
        <f t="shared" si="30"/>
        <v>2905</v>
      </c>
      <c r="AD38" s="16">
        <f t="shared" si="30"/>
        <v>0</v>
      </c>
      <c r="AE38" s="32">
        <f t="shared" si="30"/>
        <v>3324</v>
      </c>
      <c r="AF38" s="32">
        <f t="shared" si="30"/>
        <v>6229</v>
      </c>
    </row>
    <row r="39" spans="2:32" ht="23.1" customHeight="1" x14ac:dyDescent="0.25">
      <c r="B39" s="46" t="s">
        <v>66</v>
      </c>
      <c r="C39" s="50">
        <v>72</v>
      </c>
      <c r="D39" s="50">
        <v>44</v>
      </c>
      <c r="E39" s="50">
        <v>10</v>
      </c>
      <c r="F39" s="50">
        <v>3</v>
      </c>
      <c r="G39" s="50">
        <v>0</v>
      </c>
      <c r="H39" s="50">
        <v>0</v>
      </c>
      <c r="I39" s="50">
        <v>3</v>
      </c>
      <c r="J39" s="50">
        <v>0</v>
      </c>
      <c r="K39" s="50">
        <v>0</v>
      </c>
      <c r="L39" s="50">
        <v>0</v>
      </c>
      <c r="M39" s="50">
        <v>105</v>
      </c>
      <c r="N39" s="50">
        <v>0</v>
      </c>
      <c r="O39" s="15">
        <f t="shared" si="0"/>
        <v>132</v>
      </c>
      <c r="P39" s="15">
        <f t="shared" si="1"/>
        <v>237</v>
      </c>
      <c r="R39" s="29" t="s">
        <v>87</v>
      </c>
      <c r="S39" s="16">
        <f t="shared" ref="S39:AF39" si="31">SUM(S19:S21)</f>
        <v>949</v>
      </c>
      <c r="T39" s="16">
        <f t="shared" si="31"/>
        <v>574</v>
      </c>
      <c r="U39" s="16">
        <f t="shared" si="31"/>
        <v>104</v>
      </c>
      <c r="V39" s="16">
        <f t="shared" si="31"/>
        <v>37</v>
      </c>
      <c r="W39" s="16">
        <f t="shared" si="31"/>
        <v>2</v>
      </c>
      <c r="X39" s="16">
        <f t="shared" si="31"/>
        <v>1</v>
      </c>
      <c r="Y39" s="16">
        <f t="shared" si="31"/>
        <v>26</v>
      </c>
      <c r="Z39" s="16">
        <f t="shared" si="31"/>
        <v>16</v>
      </c>
      <c r="AA39" s="16">
        <f t="shared" si="31"/>
        <v>3</v>
      </c>
      <c r="AB39" s="16">
        <f t="shared" si="31"/>
        <v>4</v>
      </c>
      <c r="AC39" s="16">
        <f t="shared" si="31"/>
        <v>1900</v>
      </c>
      <c r="AD39" s="16">
        <f t="shared" si="31"/>
        <v>0</v>
      </c>
      <c r="AE39" s="32">
        <f t="shared" si="31"/>
        <v>1716</v>
      </c>
      <c r="AF39" s="32">
        <f t="shared" si="31"/>
        <v>3616</v>
      </c>
    </row>
    <row r="40" spans="2:32" ht="23.1" customHeight="1" x14ac:dyDescent="0.25">
      <c r="B40" s="46" t="s">
        <v>67</v>
      </c>
      <c r="C40" s="50">
        <v>82</v>
      </c>
      <c r="D40" s="50">
        <v>47</v>
      </c>
      <c r="E40" s="50">
        <v>9</v>
      </c>
      <c r="F40" s="50">
        <v>3</v>
      </c>
      <c r="G40" s="50">
        <v>0</v>
      </c>
      <c r="H40" s="50">
        <v>0</v>
      </c>
      <c r="I40" s="50">
        <v>2</v>
      </c>
      <c r="J40" s="50">
        <v>1</v>
      </c>
      <c r="K40" s="50">
        <v>1</v>
      </c>
      <c r="L40" s="50">
        <v>0</v>
      </c>
      <c r="M40" s="50">
        <v>160</v>
      </c>
      <c r="N40" s="50">
        <v>0</v>
      </c>
      <c r="O40" s="15">
        <f t="shared" si="0"/>
        <v>145</v>
      </c>
      <c r="P40" s="15">
        <f t="shared" si="1"/>
        <v>305</v>
      </c>
      <c r="R40" s="5" t="s">
        <v>17</v>
      </c>
      <c r="S40" s="16">
        <f t="shared" ref="S40:AF40" si="32">SUM(S10:S21)</f>
        <v>3396</v>
      </c>
      <c r="T40" s="16">
        <f t="shared" si="32"/>
        <v>2029</v>
      </c>
      <c r="U40" s="16">
        <f t="shared" si="32"/>
        <v>431</v>
      </c>
      <c r="V40" s="16">
        <f t="shared" si="32"/>
        <v>145</v>
      </c>
      <c r="W40" s="16">
        <f t="shared" si="32"/>
        <v>15</v>
      </c>
      <c r="X40" s="16">
        <f t="shared" si="32"/>
        <v>4</v>
      </c>
      <c r="Y40" s="16">
        <f t="shared" si="32"/>
        <v>91</v>
      </c>
      <c r="Z40" s="16">
        <f t="shared" si="32"/>
        <v>60</v>
      </c>
      <c r="AA40" s="16">
        <f t="shared" si="32"/>
        <v>11</v>
      </c>
      <c r="AB40" s="16">
        <f t="shared" si="32"/>
        <v>15</v>
      </c>
      <c r="AC40" s="16">
        <f t="shared" si="32"/>
        <v>7106</v>
      </c>
      <c r="AD40" s="16">
        <f t="shared" si="32"/>
        <v>0</v>
      </c>
      <c r="AE40" s="32">
        <f t="shared" si="32"/>
        <v>6197</v>
      </c>
      <c r="AF40" s="32">
        <f t="shared" si="32"/>
        <v>13303</v>
      </c>
    </row>
    <row r="41" spans="2:32" ht="23.1" customHeight="1" x14ac:dyDescent="0.25">
      <c r="B41" s="45" t="s">
        <v>68</v>
      </c>
      <c r="C41" s="50">
        <v>74</v>
      </c>
      <c r="D41" s="50">
        <v>53</v>
      </c>
      <c r="E41" s="50">
        <v>9</v>
      </c>
      <c r="F41" s="50">
        <v>1</v>
      </c>
      <c r="G41" s="50">
        <v>0</v>
      </c>
      <c r="H41" s="50">
        <v>0</v>
      </c>
      <c r="I41" s="50">
        <v>0</v>
      </c>
      <c r="J41" s="50">
        <v>3</v>
      </c>
      <c r="K41" s="50">
        <v>0</v>
      </c>
      <c r="L41" s="50">
        <v>0</v>
      </c>
      <c r="M41" s="50">
        <v>185</v>
      </c>
      <c r="N41" s="50">
        <v>0</v>
      </c>
      <c r="O41" s="15">
        <f t="shared" si="0"/>
        <v>140</v>
      </c>
      <c r="P41" s="15">
        <f t="shared" si="1"/>
        <v>325</v>
      </c>
      <c r="R41" s="5" t="s">
        <v>159</v>
      </c>
      <c r="S41" s="16">
        <f>SUM(S10:S33)</f>
        <v>4699</v>
      </c>
      <c r="T41" s="16">
        <f t="shared" ref="T41:AF41" si="33">SUM(T10:T33)</f>
        <v>2675</v>
      </c>
      <c r="U41" s="16">
        <f t="shared" si="33"/>
        <v>552</v>
      </c>
      <c r="V41" s="16">
        <f t="shared" si="33"/>
        <v>187</v>
      </c>
      <c r="W41" s="16">
        <f t="shared" si="33"/>
        <v>15</v>
      </c>
      <c r="X41" s="16">
        <f t="shared" si="33"/>
        <v>5</v>
      </c>
      <c r="Y41" s="16">
        <f t="shared" si="33"/>
        <v>102</v>
      </c>
      <c r="Z41" s="16">
        <f t="shared" si="33"/>
        <v>73</v>
      </c>
      <c r="AA41" s="16">
        <f t="shared" si="33"/>
        <v>14</v>
      </c>
      <c r="AB41" s="16">
        <f t="shared" si="33"/>
        <v>16</v>
      </c>
      <c r="AC41" s="16">
        <f t="shared" si="33"/>
        <v>8961</v>
      </c>
      <c r="AD41" s="16">
        <f t="shared" si="33"/>
        <v>0</v>
      </c>
      <c r="AE41" s="32">
        <f t="shared" si="33"/>
        <v>8338</v>
      </c>
      <c r="AF41" s="32">
        <f t="shared" si="33"/>
        <v>17299</v>
      </c>
    </row>
    <row r="42" spans="2:32" ht="23.1" customHeight="1" x14ac:dyDescent="0.25">
      <c r="B42" s="46" t="s">
        <v>69</v>
      </c>
      <c r="C42" s="50">
        <v>83</v>
      </c>
      <c r="D42" s="50">
        <v>71</v>
      </c>
      <c r="E42" s="50">
        <v>7</v>
      </c>
      <c r="F42" s="50">
        <v>3</v>
      </c>
      <c r="G42" s="50">
        <v>0</v>
      </c>
      <c r="H42" s="50">
        <v>0</v>
      </c>
      <c r="I42" s="50">
        <v>1</v>
      </c>
      <c r="J42" s="50">
        <v>3</v>
      </c>
      <c r="K42" s="50">
        <v>1</v>
      </c>
      <c r="L42" s="50">
        <v>1</v>
      </c>
      <c r="M42" s="50">
        <v>180</v>
      </c>
      <c r="N42" s="50">
        <v>0</v>
      </c>
      <c r="O42" s="15">
        <f t="shared" si="0"/>
        <v>170</v>
      </c>
      <c r="P42" s="15">
        <f t="shared" si="1"/>
        <v>350</v>
      </c>
      <c r="R42" s="5" t="s">
        <v>160</v>
      </c>
      <c r="S42" s="48">
        <f>S41/S40</f>
        <v>1.3836866902237928</v>
      </c>
      <c r="T42" s="48">
        <f t="shared" ref="T42:AF42" si="34">T41/T40</f>
        <v>1.3183834401182848</v>
      </c>
      <c r="U42" s="48">
        <f t="shared" si="34"/>
        <v>1.2807424593967518</v>
      </c>
      <c r="V42" s="48">
        <f t="shared" si="34"/>
        <v>1.289655172413793</v>
      </c>
      <c r="W42" s="48">
        <f t="shared" si="34"/>
        <v>1</v>
      </c>
      <c r="X42" s="48">
        <f t="shared" si="34"/>
        <v>1.25</v>
      </c>
      <c r="Y42" s="48">
        <f t="shared" si="34"/>
        <v>1.1208791208791209</v>
      </c>
      <c r="Z42" s="48">
        <f t="shared" si="34"/>
        <v>1.2166666666666666</v>
      </c>
      <c r="AA42" s="48">
        <f t="shared" si="34"/>
        <v>1.2727272727272727</v>
      </c>
      <c r="AB42" s="48">
        <f t="shared" si="34"/>
        <v>1.0666666666666667</v>
      </c>
      <c r="AC42" s="48">
        <f t="shared" si="34"/>
        <v>1.2610470025330707</v>
      </c>
      <c r="AD42" s="48" t="e">
        <f t="shared" si="34"/>
        <v>#DIV/0!</v>
      </c>
      <c r="AE42" s="48">
        <f t="shared" si="34"/>
        <v>1.3454897531063417</v>
      </c>
      <c r="AF42" s="48">
        <f t="shared" si="34"/>
        <v>1.3003833721716906</v>
      </c>
    </row>
    <row r="43" spans="2:32" ht="23.1" customHeight="1" x14ac:dyDescent="0.25">
      <c r="B43" s="45" t="s">
        <v>70</v>
      </c>
      <c r="C43" s="50">
        <v>96</v>
      </c>
      <c r="D43" s="50">
        <v>62</v>
      </c>
      <c r="E43" s="50">
        <v>9</v>
      </c>
      <c r="F43" s="50">
        <v>2</v>
      </c>
      <c r="G43" s="50">
        <v>0</v>
      </c>
      <c r="H43" s="50">
        <v>0</v>
      </c>
      <c r="I43" s="50">
        <v>2</v>
      </c>
      <c r="J43" s="50">
        <v>0</v>
      </c>
      <c r="K43" s="50">
        <v>0</v>
      </c>
      <c r="L43" s="50">
        <v>2</v>
      </c>
      <c r="M43" s="50">
        <v>100</v>
      </c>
      <c r="N43" s="50">
        <v>0</v>
      </c>
      <c r="O43" s="15">
        <f t="shared" si="0"/>
        <v>173</v>
      </c>
      <c r="P43" s="15">
        <f t="shared" si="1"/>
        <v>273</v>
      </c>
    </row>
    <row r="44" spans="2:32" ht="23.1" customHeight="1" x14ac:dyDescent="0.25">
      <c r="B44" s="47" t="s">
        <v>71</v>
      </c>
      <c r="C44" s="50">
        <v>108</v>
      </c>
      <c r="D44" s="50">
        <v>54</v>
      </c>
      <c r="E44" s="50">
        <v>13</v>
      </c>
      <c r="F44" s="50">
        <v>5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1</v>
      </c>
      <c r="M44" s="50">
        <v>145</v>
      </c>
      <c r="N44" s="50">
        <v>0</v>
      </c>
      <c r="O44" s="15">
        <f t="shared" si="0"/>
        <v>182</v>
      </c>
      <c r="P44" s="15">
        <f t="shared" si="1"/>
        <v>327</v>
      </c>
    </row>
    <row r="45" spans="2:32" ht="23.1" customHeight="1" x14ac:dyDescent="0.25">
      <c r="B45" s="45" t="s">
        <v>72</v>
      </c>
      <c r="C45" s="50">
        <v>44</v>
      </c>
      <c r="D45" s="50">
        <v>38</v>
      </c>
      <c r="E45" s="50">
        <v>8</v>
      </c>
      <c r="F45" s="50">
        <v>1</v>
      </c>
      <c r="G45" s="50">
        <v>0</v>
      </c>
      <c r="H45" s="50">
        <v>0</v>
      </c>
      <c r="I45" s="50">
        <v>1</v>
      </c>
      <c r="J45" s="50">
        <v>3</v>
      </c>
      <c r="K45" s="50">
        <v>0</v>
      </c>
      <c r="L45" s="50">
        <v>0</v>
      </c>
      <c r="M45" s="50">
        <v>165</v>
      </c>
      <c r="N45" s="50">
        <v>0</v>
      </c>
      <c r="O45" s="15">
        <f t="shared" si="0"/>
        <v>95</v>
      </c>
      <c r="P45" s="15">
        <f t="shared" si="1"/>
        <v>260</v>
      </c>
    </row>
    <row r="46" spans="2:32" ht="23.1" customHeight="1" x14ac:dyDescent="0.25">
      <c r="B46" s="46" t="s">
        <v>73</v>
      </c>
      <c r="C46" s="50">
        <v>74</v>
      </c>
      <c r="D46" s="50">
        <v>54</v>
      </c>
      <c r="E46" s="50">
        <v>10</v>
      </c>
      <c r="F46" s="50">
        <v>3</v>
      </c>
      <c r="G46" s="50">
        <v>0</v>
      </c>
      <c r="H46" s="50">
        <v>0</v>
      </c>
      <c r="I46" s="50">
        <v>3</v>
      </c>
      <c r="J46" s="50">
        <v>1</v>
      </c>
      <c r="K46" s="50">
        <v>0</v>
      </c>
      <c r="L46" s="50">
        <v>0</v>
      </c>
      <c r="M46" s="50">
        <v>115</v>
      </c>
      <c r="N46" s="50">
        <v>0</v>
      </c>
      <c r="O46" s="15">
        <f t="shared" si="0"/>
        <v>145</v>
      </c>
      <c r="P46" s="15">
        <f t="shared" si="1"/>
        <v>260</v>
      </c>
      <c r="R46" s="8"/>
      <c r="T46"/>
    </row>
    <row r="47" spans="2:32" ht="23.1" customHeight="1" x14ac:dyDescent="0.25">
      <c r="B47" s="46" t="s">
        <v>74</v>
      </c>
      <c r="C47" s="50">
        <v>62</v>
      </c>
      <c r="D47" s="50">
        <v>48</v>
      </c>
      <c r="E47" s="50">
        <v>13</v>
      </c>
      <c r="F47" s="50">
        <v>7</v>
      </c>
      <c r="G47" s="50">
        <v>0</v>
      </c>
      <c r="H47" s="50">
        <v>0</v>
      </c>
      <c r="I47" s="50">
        <v>1</v>
      </c>
      <c r="J47" s="50">
        <v>2</v>
      </c>
      <c r="K47" s="50">
        <v>0</v>
      </c>
      <c r="L47" s="50">
        <v>1</v>
      </c>
      <c r="M47" s="50">
        <v>175</v>
      </c>
      <c r="N47" s="50">
        <v>0</v>
      </c>
      <c r="O47" s="15">
        <f t="shared" si="0"/>
        <v>134</v>
      </c>
      <c r="P47" s="15">
        <f t="shared" si="1"/>
        <v>309</v>
      </c>
      <c r="R47" s="8"/>
      <c r="T47"/>
    </row>
    <row r="48" spans="2:32" ht="23.1" customHeight="1" x14ac:dyDescent="0.25">
      <c r="B48" s="46" t="s">
        <v>75</v>
      </c>
      <c r="C48" s="50">
        <v>70</v>
      </c>
      <c r="D48" s="50">
        <v>56</v>
      </c>
      <c r="E48" s="50">
        <v>11</v>
      </c>
      <c r="F48" s="50">
        <v>0</v>
      </c>
      <c r="G48" s="50">
        <v>0</v>
      </c>
      <c r="H48" s="50">
        <v>0</v>
      </c>
      <c r="I48" s="50">
        <v>4</v>
      </c>
      <c r="J48" s="50">
        <v>1</v>
      </c>
      <c r="K48" s="50">
        <v>0</v>
      </c>
      <c r="L48" s="50">
        <v>0</v>
      </c>
      <c r="M48" s="50">
        <v>190</v>
      </c>
      <c r="N48" s="50">
        <v>0</v>
      </c>
      <c r="O48" s="15">
        <f t="shared" si="0"/>
        <v>142</v>
      </c>
      <c r="P48" s="15">
        <f t="shared" si="1"/>
        <v>332</v>
      </c>
      <c r="R48" s="8"/>
      <c r="T48"/>
    </row>
    <row r="49" spans="2:20" ht="23.1" customHeight="1" x14ac:dyDescent="0.25">
      <c r="B49" s="45" t="s">
        <v>76</v>
      </c>
      <c r="C49" s="50">
        <v>71</v>
      </c>
      <c r="D49" s="50">
        <v>52</v>
      </c>
      <c r="E49" s="50">
        <v>5</v>
      </c>
      <c r="F49" s="50">
        <v>4</v>
      </c>
      <c r="G49" s="50">
        <v>0</v>
      </c>
      <c r="H49" s="50">
        <v>0</v>
      </c>
      <c r="I49" s="50">
        <v>2</v>
      </c>
      <c r="J49" s="50">
        <v>1</v>
      </c>
      <c r="K49" s="50">
        <v>0</v>
      </c>
      <c r="L49" s="50">
        <v>0</v>
      </c>
      <c r="M49" s="50">
        <v>215</v>
      </c>
      <c r="N49" s="50">
        <v>0</v>
      </c>
      <c r="O49" s="15">
        <f t="shared" si="0"/>
        <v>135</v>
      </c>
      <c r="P49" s="15">
        <f t="shared" si="1"/>
        <v>350</v>
      </c>
      <c r="R49" s="8"/>
      <c r="T49"/>
    </row>
    <row r="50" spans="2:20" ht="23.1" customHeight="1" x14ac:dyDescent="0.25">
      <c r="B50" s="46" t="s">
        <v>77</v>
      </c>
      <c r="C50" s="50">
        <v>61</v>
      </c>
      <c r="D50" s="50">
        <v>40</v>
      </c>
      <c r="E50" s="50">
        <v>4</v>
      </c>
      <c r="F50" s="50">
        <v>0</v>
      </c>
      <c r="G50" s="50">
        <v>0</v>
      </c>
      <c r="H50" s="50">
        <v>0</v>
      </c>
      <c r="I50" s="50">
        <v>0</v>
      </c>
      <c r="J50" s="50">
        <v>1</v>
      </c>
      <c r="K50" s="50">
        <v>0</v>
      </c>
      <c r="L50" s="50">
        <v>0</v>
      </c>
      <c r="M50" s="50">
        <v>155</v>
      </c>
      <c r="N50" s="50">
        <v>0</v>
      </c>
      <c r="O50" s="15">
        <f t="shared" si="0"/>
        <v>106</v>
      </c>
      <c r="P50" s="15">
        <f t="shared" si="1"/>
        <v>261</v>
      </c>
      <c r="R50" s="8"/>
      <c r="T50"/>
    </row>
    <row r="51" spans="2:20" ht="23.1" customHeight="1" x14ac:dyDescent="0.25">
      <c r="B51" s="46" t="s">
        <v>78</v>
      </c>
      <c r="C51" s="50">
        <v>110</v>
      </c>
      <c r="D51" s="50">
        <v>56</v>
      </c>
      <c r="E51" s="50">
        <v>9</v>
      </c>
      <c r="F51" s="50">
        <v>5</v>
      </c>
      <c r="G51" s="50">
        <v>0</v>
      </c>
      <c r="H51" s="50">
        <v>1</v>
      </c>
      <c r="I51" s="50">
        <v>2</v>
      </c>
      <c r="J51" s="50">
        <v>4</v>
      </c>
      <c r="K51" s="50">
        <v>0</v>
      </c>
      <c r="L51" s="50">
        <v>0</v>
      </c>
      <c r="M51" s="50">
        <v>160</v>
      </c>
      <c r="N51" s="50">
        <v>0</v>
      </c>
      <c r="O51" s="15">
        <f t="shared" si="0"/>
        <v>187</v>
      </c>
      <c r="P51" s="15">
        <f t="shared" si="1"/>
        <v>347</v>
      </c>
      <c r="R51" s="8"/>
      <c r="T51"/>
    </row>
    <row r="52" spans="2:20" ht="23.1" customHeight="1" x14ac:dyDescent="0.25">
      <c r="B52" s="46" t="s">
        <v>79</v>
      </c>
      <c r="C52" s="50">
        <v>81</v>
      </c>
      <c r="D52" s="50">
        <v>51</v>
      </c>
      <c r="E52" s="50">
        <v>10</v>
      </c>
      <c r="F52" s="50">
        <v>2</v>
      </c>
      <c r="G52" s="50">
        <v>0</v>
      </c>
      <c r="H52" s="50">
        <v>0</v>
      </c>
      <c r="I52" s="50">
        <v>4</v>
      </c>
      <c r="J52" s="50">
        <v>0</v>
      </c>
      <c r="K52" s="50">
        <v>0</v>
      </c>
      <c r="L52" s="50">
        <v>0</v>
      </c>
      <c r="M52" s="50">
        <v>200</v>
      </c>
      <c r="N52" s="50">
        <v>0</v>
      </c>
      <c r="O52" s="15">
        <f t="shared" si="0"/>
        <v>148</v>
      </c>
      <c r="P52" s="15">
        <f t="shared" si="1"/>
        <v>348</v>
      </c>
      <c r="R52" s="8"/>
      <c r="T52"/>
    </row>
    <row r="53" spans="2:20" ht="23.1" customHeight="1" x14ac:dyDescent="0.25">
      <c r="B53" s="45" t="s">
        <v>80</v>
      </c>
      <c r="C53" s="50">
        <v>90</v>
      </c>
      <c r="D53" s="50">
        <v>56</v>
      </c>
      <c r="E53" s="50">
        <v>14</v>
      </c>
      <c r="F53" s="50">
        <v>5</v>
      </c>
      <c r="G53" s="50">
        <v>1</v>
      </c>
      <c r="H53" s="50">
        <v>0</v>
      </c>
      <c r="I53" s="50">
        <v>2</v>
      </c>
      <c r="J53" s="50">
        <v>0</v>
      </c>
      <c r="K53" s="50">
        <v>2</v>
      </c>
      <c r="L53" s="50">
        <v>1</v>
      </c>
      <c r="M53" s="50">
        <v>235</v>
      </c>
      <c r="N53" s="50">
        <v>0</v>
      </c>
      <c r="O53" s="15">
        <f t="shared" si="0"/>
        <v>171</v>
      </c>
      <c r="P53" s="15">
        <f t="shared" si="1"/>
        <v>406</v>
      </c>
      <c r="R53" s="8"/>
      <c r="T53"/>
    </row>
    <row r="54" spans="2:20" ht="23.1" customHeight="1" x14ac:dyDescent="0.25">
      <c r="B54" s="45" t="s">
        <v>81</v>
      </c>
      <c r="C54" s="50">
        <v>93</v>
      </c>
      <c r="D54" s="50">
        <v>36</v>
      </c>
      <c r="E54" s="50">
        <v>7</v>
      </c>
      <c r="F54" s="50">
        <v>6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240</v>
      </c>
      <c r="N54" s="50">
        <v>0</v>
      </c>
      <c r="O54" s="15">
        <f t="shared" si="0"/>
        <v>144</v>
      </c>
      <c r="P54" s="15">
        <f t="shared" si="1"/>
        <v>384</v>
      </c>
      <c r="R54" s="8"/>
      <c r="T54"/>
    </row>
    <row r="55" spans="2:20" ht="23.1" customHeight="1" x14ac:dyDescent="0.25">
      <c r="B55" s="45" t="s">
        <v>82</v>
      </c>
      <c r="C55" s="50">
        <v>84</v>
      </c>
      <c r="D55" s="50">
        <v>53</v>
      </c>
      <c r="E55" s="50">
        <v>9</v>
      </c>
      <c r="F55" s="50">
        <v>2</v>
      </c>
      <c r="G55" s="50">
        <v>1</v>
      </c>
      <c r="H55" s="50">
        <v>0</v>
      </c>
      <c r="I55" s="50">
        <v>2</v>
      </c>
      <c r="J55" s="50">
        <v>2</v>
      </c>
      <c r="K55" s="50">
        <v>0</v>
      </c>
      <c r="L55" s="50">
        <v>0</v>
      </c>
      <c r="M55" s="50">
        <v>85</v>
      </c>
      <c r="N55" s="50">
        <v>0</v>
      </c>
      <c r="O55" s="15">
        <f t="shared" si="0"/>
        <v>153</v>
      </c>
      <c r="P55" s="15">
        <f t="shared" si="1"/>
        <v>238</v>
      </c>
      <c r="R55" s="8"/>
      <c r="T55"/>
    </row>
    <row r="56" spans="2:20" ht="23.1" customHeight="1" x14ac:dyDescent="0.25">
      <c r="B56" s="45" t="s">
        <v>83</v>
      </c>
      <c r="C56" s="50">
        <v>75</v>
      </c>
      <c r="D56" s="50">
        <v>35</v>
      </c>
      <c r="E56" s="50">
        <v>4</v>
      </c>
      <c r="F56" s="50">
        <v>2</v>
      </c>
      <c r="G56" s="50">
        <v>0</v>
      </c>
      <c r="H56" s="50">
        <v>0</v>
      </c>
      <c r="I56" s="50">
        <v>4</v>
      </c>
      <c r="J56" s="50">
        <v>0</v>
      </c>
      <c r="K56" s="50">
        <v>1</v>
      </c>
      <c r="L56" s="50">
        <v>0</v>
      </c>
      <c r="M56" s="50">
        <v>75</v>
      </c>
      <c r="N56" s="50">
        <v>0</v>
      </c>
      <c r="O56" s="15">
        <f t="shared" si="0"/>
        <v>121</v>
      </c>
      <c r="P56" s="15">
        <f t="shared" si="1"/>
        <v>196</v>
      </c>
      <c r="R56" s="8"/>
      <c r="T56"/>
    </row>
    <row r="57" spans="2:20" ht="23.1" customHeight="1" x14ac:dyDescent="0.25">
      <c r="B57" s="45" t="s">
        <v>84</v>
      </c>
      <c r="C57" s="50">
        <v>78</v>
      </c>
      <c r="D57" s="50">
        <v>37</v>
      </c>
      <c r="E57" s="50">
        <v>8</v>
      </c>
      <c r="F57" s="50">
        <v>1</v>
      </c>
      <c r="G57" s="50">
        <v>0</v>
      </c>
      <c r="H57" s="50">
        <v>0</v>
      </c>
      <c r="I57" s="50">
        <v>0</v>
      </c>
      <c r="J57" s="50">
        <v>4</v>
      </c>
      <c r="K57" s="50">
        <v>0</v>
      </c>
      <c r="L57" s="50">
        <v>2</v>
      </c>
      <c r="M57" s="50">
        <v>55</v>
      </c>
      <c r="N57" s="50">
        <v>0</v>
      </c>
      <c r="O57" s="15">
        <f t="shared" si="0"/>
        <v>130</v>
      </c>
      <c r="P57" s="15">
        <f t="shared" si="1"/>
        <v>185</v>
      </c>
      <c r="R57" s="8"/>
      <c r="T57"/>
    </row>
    <row r="58" spans="2:20" ht="23.1" customHeight="1" x14ac:dyDescent="0.25">
      <c r="B58" s="45" t="s">
        <v>99</v>
      </c>
      <c r="C58" s="50">
        <v>62</v>
      </c>
      <c r="D58" s="50">
        <v>34</v>
      </c>
      <c r="E58" s="50">
        <v>6</v>
      </c>
      <c r="F58" s="50">
        <v>1</v>
      </c>
      <c r="G58" s="50">
        <v>0</v>
      </c>
      <c r="H58" s="50">
        <v>0</v>
      </c>
      <c r="I58" s="50">
        <v>0</v>
      </c>
      <c r="J58" s="50">
        <v>1</v>
      </c>
      <c r="K58" s="50">
        <v>0</v>
      </c>
      <c r="L58" s="50">
        <v>0</v>
      </c>
      <c r="M58" s="50">
        <v>105</v>
      </c>
      <c r="N58" s="50">
        <v>0</v>
      </c>
      <c r="O58" s="15">
        <f t="shared" ref="O58:O105" si="35">SUM(C58:L58,N58)</f>
        <v>104</v>
      </c>
      <c r="P58" s="15">
        <f t="shared" ref="P58:P105" si="36">SUM(C58:N58)</f>
        <v>209</v>
      </c>
      <c r="R58" s="8"/>
      <c r="T58"/>
    </row>
    <row r="59" spans="2:20" ht="23.1" customHeight="1" x14ac:dyDescent="0.25">
      <c r="B59" s="45" t="s">
        <v>100</v>
      </c>
      <c r="C59" s="50">
        <v>54</v>
      </c>
      <c r="D59" s="50">
        <v>25</v>
      </c>
      <c r="E59" s="50">
        <v>4</v>
      </c>
      <c r="F59" s="50">
        <v>1</v>
      </c>
      <c r="G59" s="50">
        <v>0</v>
      </c>
      <c r="H59" s="50">
        <v>0</v>
      </c>
      <c r="I59" s="50">
        <v>1</v>
      </c>
      <c r="J59" s="50">
        <v>0</v>
      </c>
      <c r="K59" s="50">
        <v>0</v>
      </c>
      <c r="L59" s="50">
        <v>0</v>
      </c>
      <c r="M59" s="50">
        <v>120</v>
      </c>
      <c r="N59" s="50">
        <v>0</v>
      </c>
      <c r="O59" s="15">
        <f t="shared" si="35"/>
        <v>85</v>
      </c>
      <c r="P59" s="15">
        <f t="shared" si="36"/>
        <v>205</v>
      </c>
      <c r="R59" s="8"/>
      <c r="T59"/>
    </row>
    <row r="60" spans="2:20" ht="23.1" customHeight="1" x14ac:dyDescent="0.25">
      <c r="B60" s="45" t="s">
        <v>101</v>
      </c>
      <c r="C60" s="50">
        <v>67</v>
      </c>
      <c r="D60" s="50">
        <v>40</v>
      </c>
      <c r="E60" s="50">
        <v>4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175</v>
      </c>
      <c r="N60" s="50">
        <v>0</v>
      </c>
      <c r="O60" s="15">
        <f t="shared" si="35"/>
        <v>112</v>
      </c>
      <c r="P60" s="15">
        <f t="shared" si="36"/>
        <v>287</v>
      </c>
      <c r="R60" s="8"/>
      <c r="T60"/>
    </row>
    <row r="61" spans="2:20" ht="23.1" customHeight="1" x14ac:dyDescent="0.25">
      <c r="B61" s="45" t="s">
        <v>102</v>
      </c>
      <c r="C61" s="50">
        <v>77</v>
      </c>
      <c r="D61" s="50">
        <v>38</v>
      </c>
      <c r="E61" s="50">
        <v>11</v>
      </c>
      <c r="F61" s="50">
        <v>2</v>
      </c>
      <c r="G61" s="50">
        <v>0</v>
      </c>
      <c r="H61" s="50">
        <v>0</v>
      </c>
      <c r="I61" s="50">
        <v>0</v>
      </c>
      <c r="J61" s="50">
        <v>0</v>
      </c>
      <c r="K61" s="50">
        <v>0</v>
      </c>
      <c r="L61" s="50">
        <v>0</v>
      </c>
      <c r="M61" s="50">
        <v>155</v>
      </c>
      <c r="N61" s="50">
        <v>0</v>
      </c>
      <c r="O61" s="15">
        <f t="shared" si="35"/>
        <v>128</v>
      </c>
      <c r="P61" s="15">
        <f t="shared" si="36"/>
        <v>283</v>
      </c>
      <c r="R61" s="8"/>
      <c r="T61"/>
    </row>
    <row r="62" spans="2:20" ht="23.1" customHeight="1" x14ac:dyDescent="0.25">
      <c r="B62" s="45" t="s">
        <v>107</v>
      </c>
      <c r="C62" s="50">
        <v>66</v>
      </c>
      <c r="D62" s="50">
        <v>25</v>
      </c>
      <c r="E62" s="50">
        <v>8</v>
      </c>
      <c r="F62" s="50">
        <v>1</v>
      </c>
      <c r="G62" s="50">
        <v>0</v>
      </c>
      <c r="H62" s="50">
        <v>0</v>
      </c>
      <c r="I62" s="50">
        <v>1</v>
      </c>
      <c r="J62" s="50">
        <v>0</v>
      </c>
      <c r="K62" s="50">
        <v>2</v>
      </c>
      <c r="L62" s="50">
        <v>0</v>
      </c>
      <c r="M62" s="50">
        <v>115</v>
      </c>
      <c r="N62" s="50">
        <v>0</v>
      </c>
      <c r="O62" s="15">
        <f t="shared" si="35"/>
        <v>103</v>
      </c>
      <c r="P62" s="15">
        <f t="shared" si="36"/>
        <v>218</v>
      </c>
      <c r="R62" s="8"/>
      <c r="T62"/>
    </row>
    <row r="63" spans="2:20" ht="23.1" customHeight="1" x14ac:dyDescent="0.25">
      <c r="B63" s="45" t="s">
        <v>108</v>
      </c>
      <c r="C63" s="50">
        <v>51</v>
      </c>
      <c r="D63" s="50">
        <v>31</v>
      </c>
      <c r="E63" s="50">
        <v>5</v>
      </c>
      <c r="F63" s="50">
        <v>0</v>
      </c>
      <c r="G63" s="50">
        <v>0</v>
      </c>
      <c r="H63" s="50">
        <v>0</v>
      </c>
      <c r="I63" s="50">
        <v>0</v>
      </c>
      <c r="J63" s="50">
        <v>0</v>
      </c>
      <c r="K63" s="50">
        <v>0</v>
      </c>
      <c r="L63" s="50">
        <v>0</v>
      </c>
      <c r="M63" s="50">
        <v>90</v>
      </c>
      <c r="N63" s="50">
        <v>0</v>
      </c>
      <c r="O63" s="15">
        <f t="shared" si="35"/>
        <v>87</v>
      </c>
      <c r="P63" s="15">
        <f t="shared" si="36"/>
        <v>177</v>
      </c>
      <c r="R63" s="8"/>
      <c r="T63"/>
    </row>
    <row r="64" spans="2:20" ht="23.1" customHeight="1" x14ac:dyDescent="0.25">
      <c r="B64" s="45" t="s">
        <v>109</v>
      </c>
      <c r="C64" s="50">
        <v>53</v>
      </c>
      <c r="D64" s="50">
        <v>33</v>
      </c>
      <c r="E64" s="50">
        <v>6</v>
      </c>
      <c r="F64" s="50">
        <v>1</v>
      </c>
      <c r="G64" s="50">
        <v>0</v>
      </c>
      <c r="H64" s="50">
        <v>0</v>
      </c>
      <c r="I64" s="50">
        <v>1</v>
      </c>
      <c r="J64" s="50">
        <v>0</v>
      </c>
      <c r="K64" s="50">
        <v>1</v>
      </c>
      <c r="L64" s="50">
        <v>0</v>
      </c>
      <c r="M64" s="50">
        <v>75</v>
      </c>
      <c r="N64" s="50">
        <v>0</v>
      </c>
      <c r="O64" s="15">
        <f t="shared" si="35"/>
        <v>95</v>
      </c>
      <c r="P64" s="15">
        <f t="shared" si="36"/>
        <v>170</v>
      </c>
      <c r="R64" s="8"/>
      <c r="T64"/>
    </row>
    <row r="65" spans="2:20" ht="23.1" customHeight="1" x14ac:dyDescent="0.25">
      <c r="B65" s="45" t="s">
        <v>158</v>
      </c>
      <c r="C65" s="50">
        <v>49</v>
      </c>
      <c r="D65" s="50">
        <v>29</v>
      </c>
      <c r="E65" s="50">
        <v>6</v>
      </c>
      <c r="F65" s="50">
        <v>1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70</v>
      </c>
      <c r="N65" s="50">
        <v>0</v>
      </c>
      <c r="O65" s="15">
        <f t="shared" si="35"/>
        <v>87</v>
      </c>
      <c r="P65" s="15">
        <f t="shared" si="36"/>
        <v>157</v>
      </c>
      <c r="R65" s="8"/>
      <c r="T65"/>
    </row>
    <row r="66" spans="2:20" ht="23.1" customHeight="1" x14ac:dyDescent="0.25">
      <c r="B66" s="45" t="s">
        <v>103</v>
      </c>
      <c r="C66" s="50">
        <v>58</v>
      </c>
      <c r="D66" s="50">
        <v>31</v>
      </c>
      <c r="E66" s="50">
        <v>4</v>
      </c>
      <c r="F66" s="50">
        <v>1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41</v>
      </c>
      <c r="N66" s="50">
        <v>0</v>
      </c>
      <c r="O66" s="15">
        <f t="shared" si="35"/>
        <v>95</v>
      </c>
      <c r="P66" s="15">
        <f t="shared" si="36"/>
        <v>136</v>
      </c>
      <c r="R66" s="8"/>
      <c r="T66"/>
    </row>
    <row r="67" spans="2:20" ht="23.1" customHeight="1" x14ac:dyDescent="0.25">
      <c r="B67" s="45" t="s">
        <v>104</v>
      </c>
      <c r="C67" s="50">
        <v>48</v>
      </c>
      <c r="D67" s="50">
        <v>41</v>
      </c>
      <c r="E67" s="50">
        <v>4</v>
      </c>
      <c r="F67" s="50">
        <v>0</v>
      </c>
      <c r="G67" s="50">
        <v>0</v>
      </c>
      <c r="H67" s="50">
        <v>0</v>
      </c>
      <c r="I67" s="50">
        <v>1</v>
      </c>
      <c r="J67" s="50">
        <v>0</v>
      </c>
      <c r="K67" s="50">
        <v>0</v>
      </c>
      <c r="L67" s="50">
        <v>0</v>
      </c>
      <c r="M67" s="50">
        <v>31</v>
      </c>
      <c r="N67" s="50">
        <v>0</v>
      </c>
      <c r="O67" s="15">
        <f t="shared" si="35"/>
        <v>94</v>
      </c>
      <c r="P67" s="15">
        <f t="shared" si="36"/>
        <v>125</v>
      </c>
      <c r="R67" s="8"/>
      <c r="T67"/>
    </row>
    <row r="68" spans="2:20" ht="23.1" customHeight="1" x14ac:dyDescent="0.25">
      <c r="B68" s="45" t="s">
        <v>105</v>
      </c>
      <c r="C68" s="50">
        <v>45</v>
      </c>
      <c r="D68" s="50">
        <v>20</v>
      </c>
      <c r="E68" s="50">
        <v>5</v>
      </c>
      <c r="F68" s="50">
        <v>3</v>
      </c>
      <c r="G68" s="50">
        <v>0</v>
      </c>
      <c r="H68" s="50">
        <v>1</v>
      </c>
      <c r="I68" s="50">
        <v>0</v>
      </c>
      <c r="J68" s="50">
        <v>0</v>
      </c>
      <c r="K68" s="50">
        <v>0</v>
      </c>
      <c r="L68" s="50">
        <v>0</v>
      </c>
      <c r="M68" s="50">
        <v>53</v>
      </c>
      <c r="N68" s="50">
        <v>0</v>
      </c>
      <c r="O68" s="15">
        <f t="shared" si="35"/>
        <v>74</v>
      </c>
      <c r="P68" s="15">
        <f t="shared" si="36"/>
        <v>127</v>
      </c>
      <c r="R68" s="8"/>
      <c r="T68"/>
    </row>
    <row r="69" spans="2:20" ht="23.1" customHeight="1" x14ac:dyDescent="0.25">
      <c r="B69" s="45" t="s">
        <v>106</v>
      </c>
      <c r="C69" s="50">
        <v>42</v>
      </c>
      <c r="D69" s="50">
        <v>28</v>
      </c>
      <c r="E69" s="50">
        <v>5</v>
      </c>
      <c r="F69" s="50">
        <v>4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31</v>
      </c>
      <c r="N69" s="50">
        <v>0</v>
      </c>
      <c r="O69" s="15">
        <f t="shared" si="35"/>
        <v>79</v>
      </c>
      <c r="P69" s="15">
        <f t="shared" si="36"/>
        <v>110</v>
      </c>
      <c r="R69" s="8"/>
      <c r="T69"/>
    </row>
    <row r="70" spans="2:20" ht="23.1" customHeight="1" x14ac:dyDescent="0.25">
      <c r="B70" s="45" t="s">
        <v>110</v>
      </c>
      <c r="C70" s="50">
        <v>44</v>
      </c>
      <c r="D70" s="50">
        <v>15</v>
      </c>
      <c r="E70" s="50">
        <v>4</v>
      </c>
      <c r="F70" s="50">
        <v>4</v>
      </c>
      <c r="G70" s="50">
        <v>0</v>
      </c>
      <c r="H70" s="50">
        <v>0</v>
      </c>
      <c r="I70" s="50">
        <v>1</v>
      </c>
      <c r="J70" s="50">
        <v>1</v>
      </c>
      <c r="K70" s="50">
        <v>0</v>
      </c>
      <c r="L70" s="50">
        <v>0</v>
      </c>
      <c r="M70" s="50">
        <v>28</v>
      </c>
      <c r="N70" s="50">
        <v>0</v>
      </c>
      <c r="O70" s="15">
        <f t="shared" si="35"/>
        <v>69</v>
      </c>
      <c r="P70" s="15">
        <f t="shared" si="36"/>
        <v>97</v>
      </c>
      <c r="R70" s="8"/>
      <c r="T70"/>
    </row>
    <row r="71" spans="2:20" ht="23.1" customHeight="1" x14ac:dyDescent="0.25">
      <c r="B71" s="45" t="s">
        <v>111</v>
      </c>
      <c r="C71" s="50">
        <v>31</v>
      </c>
      <c r="D71" s="50">
        <v>9</v>
      </c>
      <c r="E71" s="50">
        <v>3</v>
      </c>
      <c r="F71" s="50">
        <v>2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1</v>
      </c>
      <c r="M71" s="50">
        <v>26</v>
      </c>
      <c r="N71" s="50">
        <v>0</v>
      </c>
      <c r="O71" s="15">
        <f t="shared" si="35"/>
        <v>46</v>
      </c>
      <c r="P71" s="15">
        <f t="shared" si="36"/>
        <v>72</v>
      </c>
      <c r="R71" s="8"/>
      <c r="T71"/>
    </row>
    <row r="72" spans="2:20" ht="23.1" customHeight="1" x14ac:dyDescent="0.25">
      <c r="B72" s="45" t="s">
        <v>112</v>
      </c>
      <c r="C72" s="50">
        <v>39</v>
      </c>
      <c r="D72" s="50">
        <v>17</v>
      </c>
      <c r="E72" s="50">
        <v>2</v>
      </c>
      <c r="F72" s="50">
        <v>1</v>
      </c>
      <c r="G72" s="50">
        <v>0</v>
      </c>
      <c r="H72" s="50">
        <v>0</v>
      </c>
      <c r="I72" s="50">
        <v>1</v>
      </c>
      <c r="J72" s="50">
        <v>0</v>
      </c>
      <c r="K72" s="50">
        <v>0</v>
      </c>
      <c r="L72" s="50">
        <v>0</v>
      </c>
      <c r="M72" s="50">
        <v>50</v>
      </c>
      <c r="N72" s="50">
        <v>0</v>
      </c>
      <c r="O72" s="15">
        <f t="shared" si="35"/>
        <v>60</v>
      </c>
      <c r="P72" s="15">
        <f t="shared" si="36"/>
        <v>110</v>
      </c>
      <c r="R72" s="8"/>
      <c r="T72"/>
    </row>
    <row r="73" spans="2:20" ht="23.1" customHeight="1" x14ac:dyDescent="0.25">
      <c r="B73" s="45" t="s">
        <v>113</v>
      </c>
      <c r="C73" s="50">
        <v>40</v>
      </c>
      <c r="D73" s="50">
        <v>20</v>
      </c>
      <c r="E73" s="50">
        <v>0</v>
      </c>
      <c r="F73" s="50">
        <v>3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39</v>
      </c>
      <c r="N73" s="50">
        <v>0</v>
      </c>
      <c r="O73" s="15">
        <f t="shared" si="35"/>
        <v>63</v>
      </c>
      <c r="P73" s="15">
        <f t="shared" si="36"/>
        <v>102</v>
      </c>
      <c r="R73" s="8"/>
      <c r="T73"/>
    </row>
    <row r="74" spans="2:20" ht="23.1" customHeight="1" x14ac:dyDescent="0.25">
      <c r="B74" s="45" t="s">
        <v>114</v>
      </c>
      <c r="C74" s="50">
        <v>29</v>
      </c>
      <c r="D74" s="50">
        <v>12</v>
      </c>
      <c r="E74" s="50">
        <v>2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73</v>
      </c>
      <c r="N74" s="50">
        <v>0</v>
      </c>
      <c r="O74" s="15">
        <f t="shared" si="35"/>
        <v>43</v>
      </c>
      <c r="P74" s="15">
        <f t="shared" si="36"/>
        <v>116</v>
      </c>
      <c r="R74" s="8"/>
      <c r="T74"/>
    </row>
    <row r="75" spans="2:20" ht="23.1" customHeight="1" x14ac:dyDescent="0.25">
      <c r="B75" s="45" t="s">
        <v>115</v>
      </c>
      <c r="C75" s="50">
        <v>30</v>
      </c>
      <c r="D75" s="50">
        <v>17</v>
      </c>
      <c r="E75" s="50">
        <v>2</v>
      </c>
      <c r="F75" s="50">
        <v>1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34</v>
      </c>
      <c r="N75" s="50">
        <v>0</v>
      </c>
      <c r="O75" s="15">
        <f t="shared" si="35"/>
        <v>50</v>
      </c>
      <c r="P75" s="15">
        <f t="shared" si="36"/>
        <v>84</v>
      </c>
      <c r="R75" s="8"/>
      <c r="T75"/>
    </row>
    <row r="76" spans="2:20" ht="23.1" customHeight="1" x14ac:dyDescent="0.25">
      <c r="B76" s="45" t="s">
        <v>116</v>
      </c>
      <c r="C76" s="50">
        <v>27</v>
      </c>
      <c r="D76" s="50">
        <v>11</v>
      </c>
      <c r="E76" s="50">
        <v>2</v>
      </c>
      <c r="F76" s="50">
        <v>1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35</v>
      </c>
      <c r="N76" s="50">
        <v>0</v>
      </c>
      <c r="O76" s="15">
        <f t="shared" si="35"/>
        <v>41</v>
      </c>
      <c r="P76" s="15">
        <f t="shared" si="36"/>
        <v>76</v>
      </c>
      <c r="R76" s="8"/>
      <c r="T76"/>
    </row>
    <row r="77" spans="2:20" ht="23.1" customHeight="1" x14ac:dyDescent="0.25">
      <c r="B77" s="45" t="s">
        <v>117</v>
      </c>
      <c r="C77" s="50">
        <v>18</v>
      </c>
      <c r="D77" s="50">
        <v>8</v>
      </c>
      <c r="E77" s="50">
        <v>8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26</v>
      </c>
      <c r="N77" s="50">
        <v>0</v>
      </c>
      <c r="O77" s="15">
        <f t="shared" si="35"/>
        <v>36</v>
      </c>
      <c r="P77" s="15">
        <f t="shared" si="36"/>
        <v>62</v>
      </c>
      <c r="R77" s="8"/>
      <c r="T77"/>
    </row>
    <row r="78" spans="2:20" ht="23.1" customHeight="1" x14ac:dyDescent="0.25">
      <c r="B78" s="46" t="s">
        <v>118</v>
      </c>
      <c r="C78" s="50">
        <v>21</v>
      </c>
      <c r="D78" s="50">
        <v>13</v>
      </c>
      <c r="E78" s="50">
        <v>1</v>
      </c>
      <c r="F78" s="50">
        <v>1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28</v>
      </c>
      <c r="N78" s="50">
        <v>0</v>
      </c>
      <c r="O78" s="15">
        <f t="shared" si="35"/>
        <v>36</v>
      </c>
      <c r="P78" s="15">
        <f t="shared" si="36"/>
        <v>64</v>
      </c>
      <c r="R78" s="8"/>
      <c r="T78"/>
    </row>
    <row r="79" spans="2:20" ht="23.1" customHeight="1" x14ac:dyDescent="0.25">
      <c r="B79" s="45" t="s">
        <v>119</v>
      </c>
      <c r="C79" s="50">
        <v>20</v>
      </c>
      <c r="D79" s="50">
        <v>5</v>
      </c>
      <c r="E79" s="50">
        <v>0</v>
      </c>
      <c r="F79" s="50">
        <v>2</v>
      </c>
      <c r="G79" s="50">
        <v>0</v>
      </c>
      <c r="H79" s="50">
        <v>0</v>
      </c>
      <c r="I79" s="50">
        <v>0</v>
      </c>
      <c r="J79" s="50">
        <v>1</v>
      </c>
      <c r="K79" s="50">
        <v>0</v>
      </c>
      <c r="L79" s="50">
        <v>0</v>
      </c>
      <c r="M79" s="50">
        <v>11</v>
      </c>
      <c r="N79" s="50">
        <v>0</v>
      </c>
      <c r="O79" s="15">
        <f t="shared" si="35"/>
        <v>28</v>
      </c>
      <c r="P79" s="15">
        <f t="shared" si="36"/>
        <v>39</v>
      </c>
      <c r="R79" s="8"/>
      <c r="T79"/>
    </row>
    <row r="80" spans="2:20" ht="23.1" customHeight="1" x14ac:dyDescent="0.25">
      <c r="B80" s="47" t="s">
        <v>120</v>
      </c>
      <c r="C80" s="50">
        <v>19</v>
      </c>
      <c r="D80" s="50">
        <v>8</v>
      </c>
      <c r="E80" s="50">
        <v>1</v>
      </c>
      <c r="F80" s="50">
        <v>1</v>
      </c>
      <c r="G80" s="50">
        <v>0</v>
      </c>
      <c r="H80" s="50">
        <v>0</v>
      </c>
      <c r="I80" s="50">
        <v>1</v>
      </c>
      <c r="J80" s="50">
        <v>2</v>
      </c>
      <c r="K80" s="50">
        <v>0</v>
      </c>
      <c r="L80" s="50">
        <v>0</v>
      </c>
      <c r="M80" s="50">
        <v>24</v>
      </c>
      <c r="N80" s="50">
        <v>0</v>
      </c>
      <c r="O80" s="15">
        <f t="shared" si="35"/>
        <v>32</v>
      </c>
      <c r="P80" s="15">
        <f t="shared" si="36"/>
        <v>56</v>
      </c>
      <c r="R80" s="8"/>
      <c r="T80"/>
    </row>
    <row r="81" spans="2:20" ht="23.1" customHeight="1" x14ac:dyDescent="0.25">
      <c r="B81" s="45" t="s">
        <v>121</v>
      </c>
      <c r="C81" s="50">
        <v>19</v>
      </c>
      <c r="D81" s="50">
        <v>11</v>
      </c>
      <c r="E81" s="50">
        <v>0</v>
      </c>
      <c r="F81" s="50">
        <v>1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15</v>
      </c>
      <c r="N81" s="50">
        <v>0</v>
      </c>
      <c r="O81" s="15">
        <f t="shared" si="35"/>
        <v>31</v>
      </c>
      <c r="P81" s="15">
        <f t="shared" si="36"/>
        <v>46</v>
      </c>
      <c r="R81" s="8"/>
      <c r="T81"/>
    </row>
    <row r="82" spans="2:20" ht="23.1" customHeight="1" x14ac:dyDescent="0.25">
      <c r="B82" s="46" t="s">
        <v>122</v>
      </c>
      <c r="C82" s="50">
        <v>6</v>
      </c>
      <c r="D82" s="50">
        <v>3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16</v>
      </c>
      <c r="N82" s="50">
        <v>0</v>
      </c>
      <c r="O82" s="15">
        <f t="shared" si="35"/>
        <v>9</v>
      </c>
      <c r="P82" s="15">
        <f t="shared" si="36"/>
        <v>25</v>
      </c>
      <c r="R82" s="8"/>
      <c r="T82"/>
    </row>
    <row r="83" spans="2:20" ht="23.1" customHeight="1" x14ac:dyDescent="0.25">
      <c r="B83" s="45" t="s">
        <v>123</v>
      </c>
      <c r="C83" s="50">
        <v>9</v>
      </c>
      <c r="D83" s="50">
        <v>8</v>
      </c>
      <c r="E83" s="50">
        <v>1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10</v>
      </c>
      <c r="N83" s="50">
        <v>0</v>
      </c>
      <c r="O83" s="15">
        <f t="shared" si="35"/>
        <v>18</v>
      </c>
      <c r="P83" s="15">
        <f t="shared" si="36"/>
        <v>28</v>
      </c>
      <c r="R83" s="8"/>
      <c r="T83"/>
    </row>
    <row r="84" spans="2:20" ht="23.1" customHeight="1" x14ac:dyDescent="0.25">
      <c r="B84" s="47" t="s">
        <v>124</v>
      </c>
      <c r="C84" s="50">
        <v>11</v>
      </c>
      <c r="D84" s="50">
        <v>5</v>
      </c>
      <c r="E84" s="50">
        <v>1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16</v>
      </c>
      <c r="N84" s="50">
        <v>0</v>
      </c>
      <c r="O84" s="15">
        <f t="shared" si="35"/>
        <v>17</v>
      </c>
      <c r="P84" s="15">
        <f t="shared" si="36"/>
        <v>33</v>
      </c>
      <c r="R84" s="8"/>
      <c r="T84"/>
    </row>
    <row r="85" spans="2:20" ht="23.1" customHeight="1" x14ac:dyDescent="0.25">
      <c r="B85" s="45" t="s">
        <v>125</v>
      </c>
      <c r="C85" s="50">
        <v>16</v>
      </c>
      <c r="D85" s="50">
        <v>7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19</v>
      </c>
      <c r="N85" s="50">
        <v>0</v>
      </c>
      <c r="O85" s="15">
        <f t="shared" si="35"/>
        <v>23</v>
      </c>
      <c r="P85" s="15">
        <f t="shared" si="36"/>
        <v>42</v>
      </c>
      <c r="R85" s="8"/>
      <c r="T85"/>
    </row>
    <row r="86" spans="2:20" ht="23.1" customHeight="1" x14ac:dyDescent="0.25">
      <c r="B86" s="46" t="s">
        <v>126</v>
      </c>
      <c r="C86" s="50">
        <v>14</v>
      </c>
      <c r="D86" s="50">
        <v>6</v>
      </c>
      <c r="E86" s="50">
        <v>3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3</v>
      </c>
      <c r="N86" s="50">
        <v>0</v>
      </c>
      <c r="O86" s="15">
        <f t="shared" si="35"/>
        <v>23</v>
      </c>
      <c r="P86" s="15">
        <f t="shared" si="36"/>
        <v>26</v>
      </c>
      <c r="R86" s="8"/>
      <c r="T86"/>
    </row>
    <row r="87" spans="2:20" ht="23.1" customHeight="1" x14ac:dyDescent="0.25">
      <c r="B87" s="45" t="s">
        <v>127</v>
      </c>
      <c r="C87" s="50">
        <v>13</v>
      </c>
      <c r="D87" s="50">
        <v>3</v>
      </c>
      <c r="E87" s="50">
        <v>1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12</v>
      </c>
      <c r="N87" s="50">
        <v>0</v>
      </c>
      <c r="O87" s="15">
        <f t="shared" si="35"/>
        <v>17</v>
      </c>
      <c r="P87" s="15">
        <f t="shared" si="36"/>
        <v>29</v>
      </c>
      <c r="R87" s="8"/>
      <c r="T87"/>
    </row>
    <row r="88" spans="2:20" ht="23.1" customHeight="1" x14ac:dyDescent="0.25">
      <c r="B88" s="47" t="s">
        <v>128</v>
      </c>
      <c r="C88" s="50">
        <v>9</v>
      </c>
      <c r="D88" s="50">
        <v>2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5</v>
      </c>
      <c r="N88" s="50">
        <v>0</v>
      </c>
      <c r="O88" s="15">
        <f t="shared" si="35"/>
        <v>11</v>
      </c>
      <c r="P88" s="15">
        <f t="shared" si="36"/>
        <v>16</v>
      </c>
      <c r="R88" s="8"/>
      <c r="T88"/>
    </row>
    <row r="89" spans="2:20" ht="23.1" customHeight="1" x14ac:dyDescent="0.25">
      <c r="B89" s="45" t="s">
        <v>129</v>
      </c>
      <c r="C89" s="50">
        <v>7</v>
      </c>
      <c r="D89" s="50">
        <v>1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8</v>
      </c>
      <c r="N89" s="50">
        <v>0</v>
      </c>
      <c r="O89" s="15">
        <f t="shared" si="35"/>
        <v>8</v>
      </c>
      <c r="P89" s="15">
        <f t="shared" si="36"/>
        <v>16</v>
      </c>
      <c r="R89" s="8"/>
      <c r="T89"/>
    </row>
    <row r="90" spans="2:20" ht="23.1" customHeight="1" x14ac:dyDescent="0.25">
      <c r="B90" s="46" t="s">
        <v>130</v>
      </c>
      <c r="C90" s="50">
        <v>10</v>
      </c>
      <c r="D90" s="50">
        <v>3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10</v>
      </c>
      <c r="N90" s="50">
        <v>0</v>
      </c>
      <c r="O90" s="15">
        <f t="shared" si="35"/>
        <v>15</v>
      </c>
      <c r="P90" s="15">
        <f t="shared" si="36"/>
        <v>25</v>
      </c>
      <c r="R90" s="8"/>
      <c r="T90"/>
    </row>
    <row r="91" spans="2:20" ht="23.1" customHeight="1" x14ac:dyDescent="0.25">
      <c r="B91" s="45" t="s">
        <v>131</v>
      </c>
      <c r="C91" s="50">
        <v>3</v>
      </c>
      <c r="D91" s="50">
        <v>2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8</v>
      </c>
      <c r="N91" s="50">
        <v>0</v>
      </c>
      <c r="O91" s="15">
        <f t="shared" si="35"/>
        <v>5</v>
      </c>
      <c r="P91" s="15">
        <f t="shared" si="36"/>
        <v>13</v>
      </c>
      <c r="R91" s="8"/>
      <c r="T91"/>
    </row>
    <row r="92" spans="2:20" ht="23.1" customHeight="1" x14ac:dyDescent="0.25">
      <c r="B92" s="47" t="s">
        <v>132</v>
      </c>
      <c r="C92" s="50">
        <v>5</v>
      </c>
      <c r="D92" s="50">
        <v>0</v>
      </c>
      <c r="E92" s="50">
        <v>2</v>
      </c>
      <c r="F92" s="50">
        <v>1</v>
      </c>
      <c r="G92" s="50">
        <v>0</v>
      </c>
      <c r="H92" s="50">
        <v>0</v>
      </c>
      <c r="I92" s="50">
        <v>0</v>
      </c>
      <c r="J92" s="50">
        <v>1</v>
      </c>
      <c r="K92" s="50">
        <v>0</v>
      </c>
      <c r="L92" s="50">
        <v>0</v>
      </c>
      <c r="M92" s="50">
        <v>5</v>
      </c>
      <c r="N92" s="50">
        <v>0</v>
      </c>
      <c r="O92" s="15">
        <f t="shared" si="35"/>
        <v>9</v>
      </c>
      <c r="P92" s="15">
        <f t="shared" si="36"/>
        <v>14</v>
      </c>
      <c r="R92" s="8"/>
      <c r="T92"/>
    </row>
    <row r="93" spans="2:20" ht="23.1" customHeight="1" x14ac:dyDescent="0.25">
      <c r="B93" s="45" t="s">
        <v>133</v>
      </c>
      <c r="C93" s="50">
        <v>6</v>
      </c>
      <c r="D93" s="50">
        <v>1</v>
      </c>
      <c r="E93" s="50">
        <v>0</v>
      </c>
      <c r="F93" s="50">
        <v>1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8</v>
      </c>
      <c r="N93" s="50">
        <v>0</v>
      </c>
      <c r="O93" s="15">
        <f t="shared" si="35"/>
        <v>8</v>
      </c>
      <c r="P93" s="15">
        <f t="shared" si="36"/>
        <v>16</v>
      </c>
      <c r="R93" s="8"/>
      <c r="T93"/>
    </row>
    <row r="94" spans="2:20" ht="23.1" customHeight="1" x14ac:dyDescent="0.25">
      <c r="B94" s="46" t="s">
        <v>134</v>
      </c>
      <c r="C94" s="50">
        <v>7</v>
      </c>
      <c r="D94" s="50">
        <v>3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10</v>
      </c>
      <c r="N94" s="50">
        <v>0</v>
      </c>
      <c r="O94" s="15">
        <f t="shared" si="35"/>
        <v>10</v>
      </c>
      <c r="P94" s="15">
        <f t="shared" si="36"/>
        <v>20</v>
      </c>
      <c r="R94" s="8"/>
      <c r="T94"/>
    </row>
    <row r="95" spans="2:20" ht="23.1" customHeight="1" x14ac:dyDescent="0.25">
      <c r="B95" s="45" t="s">
        <v>135</v>
      </c>
      <c r="C95" s="50">
        <v>2</v>
      </c>
      <c r="D95" s="50">
        <v>0</v>
      </c>
      <c r="E95" s="50">
        <v>0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12</v>
      </c>
      <c r="N95" s="50">
        <v>0</v>
      </c>
      <c r="O95" s="15">
        <f t="shared" si="35"/>
        <v>2</v>
      </c>
      <c r="P95" s="15">
        <f t="shared" si="36"/>
        <v>14</v>
      </c>
      <c r="R95" s="8"/>
      <c r="T95"/>
    </row>
    <row r="96" spans="2:20" ht="23.1" customHeight="1" x14ac:dyDescent="0.25">
      <c r="B96" s="47" t="s">
        <v>136</v>
      </c>
      <c r="C96" s="50">
        <v>4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1</v>
      </c>
      <c r="K96" s="50">
        <v>0</v>
      </c>
      <c r="L96" s="50">
        <v>0</v>
      </c>
      <c r="M96" s="50">
        <v>9</v>
      </c>
      <c r="N96" s="50">
        <v>0</v>
      </c>
      <c r="O96" s="15">
        <f t="shared" si="35"/>
        <v>6</v>
      </c>
      <c r="P96" s="15">
        <f t="shared" si="36"/>
        <v>15</v>
      </c>
      <c r="R96" s="8"/>
      <c r="T96"/>
    </row>
    <row r="97" spans="2:20" ht="23.1" customHeight="1" x14ac:dyDescent="0.25">
      <c r="B97" s="45" t="s">
        <v>137</v>
      </c>
      <c r="C97" s="50">
        <v>5</v>
      </c>
      <c r="D97" s="50">
        <v>1</v>
      </c>
      <c r="E97" s="50">
        <v>2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6</v>
      </c>
      <c r="N97" s="50">
        <v>0</v>
      </c>
      <c r="O97" s="15">
        <f t="shared" si="35"/>
        <v>8</v>
      </c>
      <c r="P97" s="15">
        <f t="shared" si="36"/>
        <v>14</v>
      </c>
      <c r="R97" s="8"/>
      <c r="T97"/>
    </row>
    <row r="98" spans="2:20" ht="23.1" customHeight="1" x14ac:dyDescent="0.25">
      <c r="B98" s="46" t="s">
        <v>138</v>
      </c>
      <c r="C98" s="50">
        <v>7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5</v>
      </c>
      <c r="N98" s="50">
        <v>0</v>
      </c>
      <c r="O98" s="15">
        <f t="shared" si="35"/>
        <v>8</v>
      </c>
      <c r="P98" s="15">
        <f t="shared" si="36"/>
        <v>13</v>
      </c>
      <c r="R98" s="8"/>
      <c r="T98"/>
    </row>
    <row r="99" spans="2:20" ht="23.1" customHeight="1" x14ac:dyDescent="0.25">
      <c r="B99" s="45" t="s">
        <v>139</v>
      </c>
      <c r="C99" s="50">
        <v>6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1</v>
      </c>
      <c r="K99" s="50">
        <v>0</v>
      </c>
      <c r="L99" s="50">
        <v>0</v>
      </c>
      <c r="M99" s="50">
        <v>15</v>
      </c>
      <c r="N99" s="50">
        <v>0</v>
      </c>
      <c r="O99" s="15">
        <f t="shared" si="35"/>
        <v>7</v>
      </c>
      <c r="P99" s="15">
        <f t="shared" si="36"/>
        <v>22</v>
      </c>
      <c r="R99" s="8"/>
      <c r="T99"/>
    </row>
    <row r="100" spans="2:20" ht="23.1" customHeight="1" x14ac:dyDescent="0.25">
      <c r="B100" s="47" t="s">
        <v>140</v>
      </c>
      <c r="C100" s="50">
        <v>5</v>
      </c>
      <c r="D100" s="50">
        <v>2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1</v>
      </c>
      <c r="K100" s="50">
        <v>0</v>
      </c>
      <c r="L100" s="50">
        <v>0</v>
      </c>
      <c r="M100" s="50">
        <v>21</v>
      </c>
      <c r="N100" s="50">
        <v>0</v>
      </c>
      <c r="O100" s="15">
        <f t="shared" si="35"/>
        <v>9</v>
      </c>
      <c r="P100" s="15">
        <f t="shared" si="36"/>
        <v>30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3</v>
      </c>
      <c r="E101" s="50">
        <v>2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14</v>
      </c>
      <c r="N101" s="50">
        <v>0</v>
      </c>
      <c r="O101" s="15">
        <f t="shared" si="35"/>
        <v>11</v>
      </c>
      <c r="P101" s="15">
        <f t="shared" si="36"/>
        <v>25</v>
      </c>
      <c r="R101" s="8"/>
      <c r="T101"/>
    </row>
    <row r="102" spans="2:20" ht="23.1" customHeight="1" x14ac:dyDescent="0.25">
      <c r="B102" s="46" t="s">
        <v>142</v>
      </c>
      <c r="C102" s="50">
        <v>9</v>
      </c>
      <c r="D102" s="50">
        <v>7</v>
      </c>
      <c r="E102" s="50">
        <v>1</v>
      </c>
      <c r="F102" s="50">
        <v>1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27</v>
      </c>
      <c r="N102" s="50">
        <v>0</v>
      </c>
      <c r="O102" s="15">
        <f t="shared" si="35"/>
        <v>18</v>
      </c>
      <c r="P102" s="15">
        <f t="shared" si="36"/>
        <v>45</v>
      </c>
      <c r="R102" s="8"/>
      <c r="T102"/>
    </row>
    <row r="103" spans="2:20" ht="23.1" customHeight="1" x14ac:dyDescent="0.25">
      <c r="B103" s="45" t="s">
        <v>143</v>
      </c>
      <c r="C103" s="50">
        <v>29</v>
      </c>
      <c r="D103" s="50">
        <v>18</v>
      </c>
      <c r="E103" s="50">
        <v>4</v>
      </c>
      <c r="F103" s="50">
        <v>0</v>
      </c>
      <c r="G103" s="50">
        <v>0</v>
      </c>
      <c r="H103" s="50">
        <v>0</v>
      </c>
      <c r="I103" s="50">
        <v>0</v>
      </c>
      <c r="J103" s="50">
        <v>1</v>
      </c>
      <c r="K103" s="50">
        <v>0</v>
      </c>
      <c r="L103" s="50">
        <v>0</v>
      </c>
      <c r="M103" s="50">
        <v>36</v>
      </c>
      <c r="N103" s="50">
        <v>0</v>
      </c>
      <c r="O103" s="15">
        <f t="shared" si="35"/>
        <v>52</v>
      </c>
      <c r="P103" s="15">
        <f t="shared" si="36"/>
        <v>88</v>
      </c>
      <c r="R103" s="8"/>
      <c r="T103"/>
    </row>
    <row r="104" spans="2:20" ht="23.1" customHeight="1" x14ac:dyDescent="0.25">
      <c r="B104" s="47" t="s">
        <v>144</v>
      </c>
      <c r="C104" s="50">
        <v>43</v>
      </c>
      <c r="D104" s="50">
        <v>18</v>
      </c>
      <c r="E104" s="50">
        <v>6</v>
      </c>
      <c r="F104" s="50">
        <v>1</v>
      </c>
      <c r="G104" s="50">
        <v>0</v>
      </c>
      <c r="H104" s="50">
        <v>0</v>
      </c>
      <c r="I104" s="50">
        <v>1</v>
      </c>
      <c r="J104" s="50">
        <v>0</v>
      </c>
      <c r="K104" s="50">
        <v>0</v>
      </c>
      <c r="L104" s="50">
        <v>0</v>
      </c>
      <c r="M104" s="50">
        <v>70</v>
      </c>
      <c r="N104" s="50">
        <v>0</v>
      </c>
      <c r="O104" s="15">
        <f t="shared" si="35"/>
        <v>69</v>
      </c>
      <c r="P104" s="15">
        <f t="shared" si="36"/>
        <v>139</v>
      </c>
      <c r="R104" s="8"/>
      <c r="T104"/>
    </row>
    <row r="105" spans="2:20" ht="23.1" customHeight="1" x14ac:dyDescent="0.25">
      <c r="B105" s="45" t="s">
        <v>145</v>
      </c>
      <c r="C105" s="50">
        <v>62</v>
      </c>
      <c r="D105" s="50">
        <v>31</v>
      </c>
      <c r="E105" s="50">
        <v>4</v>
      </c>
      <c r="F105" s="50">
        <v>3</v>
      </c>
      <c r="G105" s="50">
        <v>0</v>
      </c>
      <c r="H105" s="50">
        <v>0</v>
      </c>
      <c r="I105" s="50">
        <v>0</v>
      </c>
      <c r="J105" s="50">
        <v>0</v>
      </c>
      <c r="K105" s="50">
        <v>0</v>
      </c>
      <c r="L105" s="50">
        <v>0</v>
      </c>
      <c r="M105" s="50">
        <v>60</v>
      </c>
      <c r="N105" s="50">
        <v>0</v>
      </c>
      <c r="O105" s="15">
        <f t="shared" si="35"/>
        <v>100</v>
      </c>
      <c r="P105" s="15">
        <f t="shared" si="36"/>
        <v>160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4699</v>
      </c>
      <c r="D106" s="16">
        <f t="shared" ref="D106:P106" si="37">SUM(D10:D105)</f>
        <v>2675</v>
      </c>
      <c r="E106" s="16">
        <f t="shared" si="37"/>
        <v>552</v>
      </c>
      <c r="F106" s="16">
        <f t="shared" si="37"/>
        <v>187</v>
      </c>
      <c r="G106" s="16">
        <f t="shared" si="37"/>
        <v>15</v>
      </c>
      <c r="H106" s="16">
        <f t="shared" si="37"/>
        <v>5</v>
      </c>
      <c r="I106" s="16">
        <f t="shared" si="37"/>
        <v>102</v>
      </c>
      <c r="J106" s="16">
        <f t="shared" si="37"/>
        <v>73</v>
      </c>
      <c r="K106" s="16">
        <f t="shared" si="37"/>
        <v>14</v>
      </c>
      <c r="L106" s="16">
        <f t="shared" si="37"/>
        <v>16</v>
      </c>
      <c r="M106" s="16">
        <f t="shared" si="37"/>
        <v>8961</v>
      </c>
      <c r="N106" s="16">
        <f t="shared" si="37"/>
        <v>0</v>
      </c>
      <c r="O106" s="16">
        <f t="shared" si="37"/>
        <v>8338</v>
      </c>
      <c r="P106" s="16">
        <f t="shared" si="37"/>
        <v>17299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0.27163419850858433</v>
      </c>
      <c r="D107" s="43">
        <f t="shared" si="38"/>
        <v>0.15463321579282038</v>
      </c>
      <c r="E107" s="43">
        <f t="shared" si="38"/>
        <v>3.1909358922481069E-2</v>
      </c>
      <c r="F107" s="43">
        <f t="shared" si="38"/>
        <v>1.0809873403086884E-2</v>
      </c>
      <c r="G107" s="43">
        <f t="shared" si="38"/>
        <v>8.671021446326377E-4</v>
      </c>
      <c r="H107" s="43">
        <f t="shared" si="38"/>
        <v>2.8903404821087922E-4</v>
      </c>
      <c r="I107" s="43">
        <f t="shared" si="38"/>
        <v>5.8962945835019367E-3</v>
      </c>
      <c r="J107" s="43">
        <f t="shared" si="38"/>
        <v>4.2198971038788372E-3</v>
      </c>
      <c r="K107" s="43">
        <f t="shared" si="38"/>
        <v>8.0929533499046183E-4</v>
      </c>
      <c r="L107" s="43">
        <f t="shared" si="38"/>
        <v>9.2490895427481358E-4</v>
      </c>
      <c r="M107" s="43">
        <f t="shared" si="38"/>
        <v>0.5180068212035378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0.56356440393379703</v>
      </c>
      <c r="D108" s="44">
        <f t="shared" ref="D108:N108" si="39">D106/$O$106</f>
        <v>0.32082034060925879</v>
      </c>
      <c r="E108" s="44">
        <f t="shared" si="39"/>
        <v>6.6202926361237702E-2</v>
      </c>
      <c r="F108" s="44">
        <f t="shared" si="39"/>
        <v>2.2427440633245383E-2</v>
      </c>
      <c r="G108" s="44">
        <f t="shared" si="39"/>
        <v>1.798992564164068E-3</v>
      </c>
      <c r="H108" s="44">
        <f t="shared" si="39"/>
        <v>5.9966418805468941E-4</v>
      </c>
      <c r="I108" s="44">
        <f t="shared" si="39"/>
        <v>1.2233149436315663E-2</v>
      </c>
      <c r="J108" s="44">
        <f t="shared" si="39"/>
        <v>8.7550971455984655E-3</v>
      </c>
      <c r="K108" s="44">
        <f t="shared" si="39"/>
        <v>1.6790597265531303E-3</v>
      </c>
      <c r="L108" s="44">
        <f t="shared" si="39"/>
        <v>1.918925401775006E-3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honeticPr fontId="14" type="noConversion"/>
  <pageMargins left="0" right="0" top="0" bottom="0" header="0.15748031496063" footer="0.118110236220472"/>
  <pageSetup paperSize="9" scale="40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6" zoomScale="60" workbookViewId="0">
      <selection activeCell="M105" sqref="M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'1.08 Jinja Road-Kira Road-24h'!D5</f>
        <v>1.08.19</v>
      </c>
      <c r="E5" s="3"/>
      <c r="F5" s="41" t="s">
        <v>1</v>
      </c>
      <c r="G5" s="54" t="str">
        <f>'1.08 Jinja Road-Kira Road-24h'!G5:H5</f>
        <v>Shell Petrol Station</v>
      </c>
      <c r="H5" s="55"/>
      <c r="I5" s="14"/>
      <c r="J5" s="2" t="s">
        <v>5</v>
      </c>
      <c r="K5" s="54" t="s">
        <v>179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Kira Road-Jinaj Road'!D6:E6</f>
        <v>Kira Road</v>
      </c>
      <c r="E6" s="55"/>
      <c r="F6" s="2" t="s">
        <v>2</v>
      </c>
      <c r="G6" s="54" t="str">
        <f>'30.07 Kira Road-Jinja Road'!G6:H6</f>
        <v>Jinja Road</v>
      </c>
      <c r="H6" s="55"/>
      <c r="J6" s="2" t="s">
        <v>21</v>
      </c>
      <c r="K6" s="54" t="str">
        <f>'1.08 Jinja Road-Kira Road-24h'!K6:L6</f>
        <v>Steven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65</v>
      </c>
      <c r="D10" s="50">
        <v>14</v>
      </c>
      <c r="E10" s="50">
        <v>12</v>
      </c>
      <c r="F10" s="50">
        <v>5</v>
      </c>
      <c r="G10" s="50">
        <v>0</v>
      </c>
      <c r="H10" s="50">
        <v>0</v>
      </c>
      <c r="I10" s="50">
        <v>4</v>
      </c>
      <c r="J10" s="50">
        <v>0</v>
      </c>
      <c r="K10" s="50">
        <v>1</v>
      </c>
      <c r="L10" s="50">
        <v>0</v>
      </c>
      <c r="M10" s="50">
        <v>151</v>
      </c>
      <c r="N10" s="50">
        <v>0</v>
      </c>
      <c r="O10" s="15">
        <f t="shared" ref="O10:O73" si="0">SUM(C10:L10,N10)</f>
        <v>101</v>
      </c>
      <c r="P10" s="15">
        <f t="shared" ref="P10:P73" si="1">SUM(C10:N10)</f>
        <v>252</v>
      </c>
      <c r="R10" s="1" t="s">
        <v>6</v>
      </c>
      <c r="S10" s="17">
        <f t="shared" ref="S10:AF10" si="2">SUM(C10:C13)</f>
        <v>417</v>
      </c>
      <c r="T10" s="17">
        <f t="shared" si="2"/>
        <v>100</v>
      </c>
      <c r="U10" s="17">
        <f t="shared" si="2"/>
        <v>47</v>
      </c>
      <c r="V10" s="17">
        <f t="shared" si="2"/>
        <v>21</v>
      </c>
      <c r="W10" s="17">
        <f t="shared" si="2"/>
        <v>0</v>
      </c>
      <c r="X10" s="17">
        <f t="shared" si="2"/>
        <v>0</v>
      </c>
      <c r="Y10" s="17">
        <f t="shared" si="2"/>
        <v>13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806</v>
      </c>
      <c r="AD10" s="17">
        <f t="shared" si="2"/>
        <v>0</v>
      </c>
      <c r="AE10" s="31">
        <f t="shared" si="2"/>
        <v>602</v>
      </c>
      <c r="AF10" s="31">
        <f t="shared" si="2"/>
        <v>1408</v>
      </c>
    </row>
    <row r="11" spans="2:32" s="6" customFormat="1" ht="23.1" customHeight="1" x14ac:dyDescent="0.25">
      <c r="B11" s="45" t="s">
        <v>38</v>
      </c>
      <c r="C11" s="50">
        <v>92</v>
      </c>
      <c r="D11" s="50">
        <v>29</v>
      </c>
      <c r="E11" s="50">
        <v>11</v>
      </c>
      <c r="F11" s="50">
        <v>0</v>
      </c>
      <c r="G11" s="50">
        <v>0</v>
      </c>
      <c r="H11" s="50">
        <v>0</v>
      </c>
      <c r="I11" s="50">
        <v>3</v>
      </c>
      <c r="J11" s="50">
        <v>0</v>
      </c>
      <c r="K11" s="50">
        <v>0</v>
      </c>
      <c r="L11" s="50">
        <v>0</v>
      </c>
      <c r="M11" s="50">
        <v>200</v>
      </c>
      <c r="N11" s="50">
        <v>0</v>
      </c>
      <c r="O11" s="15">
        <f t="shared" si="0"/>
        <v>135</v>
      </c>
      <c r="P11" s="15">
        <f t="shared" si="1"/>
        <v>335</v>
      </c>
      <c r="R11" s="1" t="s">
        <v>7</v>
      </c>
      <c r="S11" s="17">
        <f t="shared" ref="S11:AF11" si="3">SUM(C14:C17)</f>
        <v>472</v>
      </c>
      <c r="T11" s="17">
        <f t="shared" si="3"/>
        <v>92</v>
      </c>
      <c r="U11" s="17">
        <f t="shared" si="3"/>
        <v>36</v>
      </c>
      <c r="V11" s="17">
        <f t="shared" si="3"/>
        <v>37</v>
      </c>
      <c r="W11" s="17">
        <f t="shared" si="3"/>
        <v>3</v>
      </c>
      <c r="X11" s="17">
        <f t="shared" si="3"/>
        <v>0</v>
      </c>
      <c r="Y11" s="17">
        <f t="shared" si="3"/>
        <v>21</v>
      </c>
      <c r="Z11" s="17">
        <f t="shared" si="3"/>
        <v>4</v>
      </c>
      <c r="AA11" s="17">
        <f t="shared" si="3"/>
        <v>1</v>
      </c>
      <c r="AB11" s="17">
        <f t="shared" si="3"/>
        <v>2</v>
      </c>
      <c r="AC11" s="17">
        <f t="shared" si="3"/>
        <v>987</v>
      </c>
      <c r="AD11" s="17">
        <f t="shared" si="3"/>
        <v>0</v>
      </c>
      <c r="AE11" s="31">
        <f t="shared" si="3"/>
        <v>668</v>
      </c>
      <c r="AF11" s="31">
        <f t="shared" si="3"/>
        <v>1655</v>
      </c>
    </row>
    <row r="12" spans="2:32" ht="23.1" customHeight="1" x14ac:dyDescent="0.25">
      <c r="B12" s="45" t="s">
        <v>39</v>
      </c>
      <c r="C12" s="50">
        <v>127</v>
      </c>
      <c r="D12" s="50">
        <v>22</v>
      </c>
      <c r="E12" s="50">
        <v>4</v>
      </c>
      <c r="F12" s="50">
        <v>0</v>
      </c>
      <c r="G12" s="50">
        <v>0</v>
      </c>
      <c r="H12" s="50">
        <v>0</v>
      </c>
      <c r="I12" s="50">
        <v>2</v>
      </c>
      <c r="J12" s="50">
        <v>1</v>
      </c>
      <c r="K12" s="50">
        <v>0</v>
      </c>
      <c r="L12" s="50">
        <v>0</v>
      </c>
      <c r="M12" s="50">
        <v>193</v>
      </c>
      <c r="N12" s="50">
        <v>0</v>
      </c>
      <c r="O12" s="15">
        <f t="shared" si="0"/>
        <v>156</v>
      </c>
      <c r="P12" s="15">
        <f t="shared" si="1"/>
        <v>349</v>
      </c>
      <c r="R12" s="1" t="s">
        <v>8</v>
      </c>
      <c r="S12" s="17">
        <f t="shared" ref="S12:AF12" si="4">SUM(C18:C21)</f>
        <v>440</v>
      </c>
      <c r="T12" s="17">
        <f t="shared" si="4"/>
        <v>118</v>
      </c>
      <c r="U12" s="17">
        <f t="shared" si="4"/>
        <v>51</v>
      </c>
      <c r="V12" s="17">
        <f t="shared" si="4"/>
        <v>42</v>
      </c>
      <c r="W12" s="17">
        <f t="shared" si="4"/>
        <v>1</v>
      </c>
      <c r="X12" s="17">
        <f t="shared" si="4"/>
        <v>1</v>
      </c>
      <c r="Y12" s="17">
        <f t="shared" si="4"/>
        <v>36</v>
      </c>
      <c r="Z12" s="17">
        <f t="shared" si="4"/>
        <v>13</v>
      </c>
      <c r="AA12" s="17">
        <f t="shared" si="4"/>
        <v>2</v>
      </c>
      <c r="AB12" s="17">
        <f t="shared" si="4"/>
        <v>2</v>
      </c>
      <c r="AC12" s="17">
        <f t="shared" si="4"/>
        <v>922</v>
      </c>
      <c r="AD12" s="17">
        <f t="shared" si="4"/>
        <v>0</v>
      </c>
      <c r="AE12" s="31">
        <f t="shared" si="4"/>
        <v>706</v>
      </c>
      <c r="AF12" s="31">
        <f t="shared" si="4"/>
        <v>1628</v>
      </c>
    </row>
    <row r="13" spans="2:32" ht="23.1" customHeight="1" x14ac:dyDescent="0.25">
      <c r="B13" s="45" t="s">
        <v>40</v>
      </c>
      <c r="C13" s="50">
        <v>133</v>
      </c>
      <c r="D13" s="50">
        <v>35</v>
      </c>
      <c r="E13" s="50">
        <v>20</v>
      </c>
      <c r="F13" s="50">
        <v>16</v>
      </c>
      <c r="G13" s="50">
        <v>0</v>
      </c>
      <c r="H13" s="50">
        <v>0</v>
      </c>
      <c r="I13" s="50">
        <v>4</v>
      </c>
      <c r="J13" s="50">
        <v>2</v>
      </c>
      <c r="K13" s="50">
        <v>0</v>
      </c>
      <c r="L13" s="50">
        <v>0</v>
      </c>
      <c r="M13" s="50">
        <v>262</v>
      </c>
      <c r="N13" s="50">
        <v>0</v>
      </c>
      <c r="O13" s="15">
        <f t="shared" si="0"/>
        <v>210</v>
      </c>
      <c r="P13" s="15">
        <f t="shared" si="1"/>
        <v>472</v>
      </c>
      <c r="R13" s="1" t="s">
        <v>9</v>
      </c>
      <c r="S13" s="17">
        <f t="shared" ref="S13:AF13" si="5">SUM(C22:C25)</f>
        <v>338</v>
      </c>
      <c r="T13" s="17">
        <f t="shared" si="5"/>
        <v>94</v>
      </c>
      <c r="U13" s="17">
        <f t="shared" si="5"/>
        <v>45</v>
      </c>
      <c r="V13" s="17">
        <f t="shared" si="5"/>
        <v>59</v>
      </c>
      <c r="W13" s="17">
        <f t="shared" si="5"/>
        <v>1</v>
      </c>
      <c r="X13" s="17">
        <f t="shared" si="5"/>
        <v>0</v>
      </c>
      <c r="Y13" s="17">
        <f t="shared" si="5"/>
        <v>26</v>
      </c>
      <c r="Z13" s="17">
        <f t="shared" si="5"/>
        <v>7</v>
      </c>
      <c r="AA13" s="17">
        <f t="shared" si="5"/>
        <v>3</v>
      </c>
      <c r="AB13" s="17">
        <f t="shared" si="5"/>
        <v>0</v>
      </c>
      <c r="AC13" s="17">
        <f t="shared" si="5"/>
        <v>828</v>
      </c>
      <c r="AD13" s="17">
        <f t="shared" si="5"/>
        <v>0</v>
      </c>
      <c r="AE13" s="31">
        <f t="shared" si="5"/>
        <v>573</v>
      </c>
      <c r="AF13" s="31">
        <f t="shared" si="5"/>
        <v>1401</v>
      </c>
    </row>
    <row r="14" spans="2:32" ht="23.1" customHeight="1" x14ac:dyDescent="0.25">
      <c r="B14" s="45" t="s">
        <v>41</v>
      </c>
      <c r="C14" s="50">
        <v>94</v>
      </c>
      <c r="D14" s="50">
        <v>18</v>
      </c>
      <c r="E14" s="50">
        <v>10</v>
      </c>
      <c r="F14" s="50">
        <v>8</v>
      </c>
      <c r="G14" s="50">
        <v>0</v>
      </c>
      <c r="H14" s="50">
        <v>0</v>
      </c>
      <c r="I14" s="50">
        <v>3</v>
      </c>
      <c r="J14" s="50">
        <v>2</v>
      </c>
      <c r="K14" s="50">
        <v>0</v>
      </c>
      <c r="L14" s="50">
        <v>0</v>
      </c>
      <c r="M14" s="50">
        <v>266</v>
      </c>
      <c r="N14" s="50">
        <v>0</v>
      </c>
      <c r="O14" s="15">
        <f t="shared" si="0"/>
        <v>135</v>
      </c>
      <c r="P14" s="15">
        <f t="shared" si="1"/>
        <v>401</v>
      </c>
      <c r="R14" s="1" t="s">
        <v>10</v>
      </c>
      <c r="S14" s="17">
        <f t="shared" ref="S14:AF14" si="6">SUM(C26:C29)</f>
        <v>427</v>
      </c>
      <c r="T14" s="17">
        <f t="shared" si="6"/>
        <v>99</v>
      </c>
      <c r="U14" s="17">
        <f t="shared" si="6"/>
        <v>49</v>
      </c>
      <c r="V14" s="17">
        <f t="shared" si="6"/>
        <v>46</v>
      </c>
      <c r="W14" s="17">
        <f t="shared" si="6"/>
        <v>1</v>
      </c>
      <c r="X14" s="17">
        <f t="shared" si="6"/>
        <v>0</v>
      </c>
      <c r="Y14" s="17">
        <f t="shared" si="6"/>
        <v>37</v>
      </c>
      <c r="Z14" s="17">
        <f t="shared" si="6"/>
        <v>7</v>
      </c>
      <c r="AA14" s="17">
        <f t="shared" si="6"/>
        <v>0</v>
      </c>
      <c r="AB14" s="17">
        <f t="shared" si="6"/>
        <v>0</v>
      </c>
      <c r="AC14" s="17">
        <f t="shared" si="6"/>
        <v>772</v>
      </c>
      <c r="AD14" s="17">
        <f t="shared" si="6"/>
        <v>0</v>
      </c>
      <c r="AE14" s="31">
        <f t="shared" si="6"/>
        <v>666</v>
      </c>
      <c r="AF14" s="31">
        <f t="shared" si="6"/>
        <v>1438</v>
      </c>
    </row>
    <row r="15" spans="2:32" ht="23.1" customHeight="1" x14ac:dyDescent="0.25">
      <c r="B15" s="45" t="s">
        <v>42</v>
      </c>
      <c r="C15" s="50">
        <v>143</v>
      </c>
      <c r="D15" s="50">
        <v>30</v>
      </c>
      <c r="E15" s="50">
        <v>15</v>
      </c>
      <c r="F15" s="50">
        <v>16</v>
      </c>
      <c r="G15" s="50">
        <v>1</v>
      </c>
      <c r="H15" s="50">
        <v>0</v>
      </c>
      <c r="I15" s="50">
        <v>6</v>
      </c>
      <c r="J15" s="50">
        <v>1</v>
      </c>
      <c r="K15" s="50">
        <v>1</v>
      </c>
      <c r="L15" s="50">
        <v>0</v>
      </c>
      <c r="M15" s="50">
        <v>264</v>
      </c>
      <c r="N15" s="50">
        <v>0</v>
      </c>
      <c r="O15" s="15">
        <f t="shared" si="0"/>
        <v>213</v>
      </c>
      <c r="P15" s="15">
        <f t="shared" si="1"/>
        <v>477</v>
      </c>
      <c r="R15" s="1" t="s">
        <v>11</v>
      </c>
      <c r="S15" s="17">
        <f t="shared" ref="S15:AF15" si="7">SUM(C30:C33)</f>
        <v>408</v>
      </c>
      <c r="T15" s="17">
        <f t="shared" si="7"/>
        <v>86</v>
      </c>
      <c r="U15" s="17">
        <f t="shared" si="7"/>
        <v>47</v>
      </c>
      <c r="V15" s="17">
        <f t="shared" si="7"/>
        <v>50</v>
      </c>
      <c r="W15" s="17">
        <f t="shared" si="7"/>
        <v>0</v>
      </c>
      <c r="X15" s="17">
        <f t="shared" si="7"/>
        <v>1</v>
      </c>
      <c r="Y15" s="17">
        <f t="shared" si="7"/>
        <v>35</v>
      </c>
      <c r="Z15" s="17">
        <f t="shared" si="7"/>
        <v>5</v>
      </c>
      <c r="AA15" s="17">
        <f t="shared" si="7"/>
        <v>2</v>
      </c>
      <c r="AB15" s="17">
        <f t="shared" si="7"/>
        <v>3</v>
      </c>
      <c r="AC15" s="17">
        <f t="shared" si="7"/>
        <v>849</v>
      </c>
      <c r="AD15" s="17">
        <f t="shared" si="7"/>
        <v>0</v>
      </c>
      <c r="AE15" s="31">
        <f t="shared" si="7"/>
        <v>637</v>
      </c>
      <c r="AF15" s="31">
        <f t="shared" si="7"/>
        <v>1486</v>
      </c>
    </row>
    <row r="16" spans="2:32" ht="23.1" customHeight="1" x14ac:dyDescent="0.25">
      <c r="B16" s="45" t="s">
        <v>43</v>
      </c>
      <c r="C16" s="50">
        <v>122</v>
      </c>
      <c r="D16" s="50">
        <v>27</v>
      </c>
      <c r="E16" s="50">
        <v>5</v>
      </c>
      <c r="F16" s="50">
        <v>8</v>
      </c>
      <c r="G16" s="50">
        <v>1</v>
      </c>
      <c r="H16" s="50">
        <v>0</v>
      </c>
      <c r="I16" s="50">
        <v>6</v>
      </c>
      <c r="J16" s="50">
        <v>0</v>
      </c>
      <c r="K16" s="50">
        <v>0</v>
      </c>
      <c r="L16" s="50">
        <v>1</v>
      </c>
      <c r="M16" s="50">
        <v>220</v>
      </c>
      <c r="N16" s="50">
        <v>0</v>
      </c>
      <c r="O16" s="15">
        <f t="shared" si="0"/>
        <v>170</v>
      </c>
      <c r="P16" s="15">
        <f t="shared" si="1"/>
        <v>390</v>
      </c>
      <c r="R16" s="1" t="s">
        <v>12</v>
      </c>
      <c r="S16" s="17">
        <f t="shared" ref="S16:AF16" si="8">SUM(C34:C37)</f>
        <v>420</v>
      </c>
      <c r="T16" s="17">
        <f t="shared" si="8"/>
        <v>99</v>
      </c>
      <c r="U16" s="17">
        <f t="shared" si="8"/>
        <v>59</v>
      </c>
      <c r="V16" s="17">
        <f t="shared" si="8"/>
        <v>63</v>
      </c>
      <c r="W16" s="17">
        <f t="shared" si="8"/>
        <v>3</v>
      </c>
      <c r="X16" s="17">
        <f t="shared" si="8"/>
        <v>0</v>
      </c>
      <c r="Y16" s="17">
        <f t="shared" si="8"/>
        <v>28</v>
      </c>
      <c r="Z16" s="17">
        <f t="shared" si="8"/>
        <v>7</v>
      </c>
      <c r="AA16" s="17">
        <f t="shared" si="8"/>
        <v>2</v>
      </c>
      <c r="AB16" s="17">
        <f t="shared" si="8"/>
        <v>0</v>
      </c>
      <c r="AC16" s="17">
        <f t="shared" si="8"/>
        <v>818</v>
      </c>
      <c r="AD16" s="17">
        <f t="shared" si="8"/>
        <v>0</v>
      </c>
      <c r="AE16" s="31">
        <f t="shared" si="8"/>
        <v>681</v>
      </c>
      <c r="AF16" s="31">
        <f t="shared" si="8"/>
        <v>1499</v>
      </c>
    </row>
    <row r="17" spans="2:32" ht="23.1" customHeight="1" x14ac:dyDescent="0.25">
      <c r="B17" s="45" t="s">
        <v>44</v>
      </c>
      <c r="C17" s="50">
        <v>113</v>
      </c>
      <c r="D17" s="50">
        <v>17</v>
      </c>
      <c r="E17" s="50">
        <v>6</v>
      </c>
      <c r="F17" s="50">
        <v>5</v>
      </c>
      <c r="G17" s="50">
        <v>1</v>
      </c>
      <c r="H17" s="50">
        <v>0</v>
      </c>
      <c r="I17" s="50">
        <v>6</v>
      </c>
      <c r="J17" s="50">
        <v>1</v>
      </c>
      <c r="K17" s="50">
        <v>0</v>
      </c>
      <c r="L17" s="50">
        <v>1</v>
      </c>
      <c r="M17" s="50">
        <v>237</v>
      </c>
      <c r="N17" s="50">
        <v>0</v>
      </c>
      <c r="O17" s="15">
        <f t="shared" si="0"/>
        <v>150</v>
      </c>
      <c r="P17" s="15">
        <f t="shared" si="1"/>
        <v>387</v>
      </c>
      <c r="R17" s="1" t="s">
        <v>13</v>
      </c>
      <c r="S17" s="17">
        <f t="shared" ref="S17:AF17" si="9">SUM(C38:C41)</f>
        <v>468</v>
      </c>
      <c r="T17" s="17">
        <f t="shared" si="9"/>
        <v>112</v>
      </c>
      <c r="U17" s="17">
        <f t="shared" si="9"/>
        <v>38</v>
      </c>
      <c r="V17" s="17">
        <f t="shared" si="9"/>
        <v>67</v>
      </c>
      <c r="W17" s="17">
        <f t="shared" si="9"/>
        <v>0</v>
      </c>
      <c r="X17" s="17">
        <f t="shared" si="9"/>
        <v>0</v>
      </c>
      <c r="Y17" s="17">
        <f t="shared" si="9"/>
        <v>19</v>
      </c>
      <c r="Z17" s="17">
        <f t="shared" si="9"/>
        <v>5</v>
      </c>
      <c r="AA17" s="17">
        <f t="shared" si="9"/>
        <v>3</v>
      </c>
      <c r="AB17" s="17">
        <f t="shared" si="9"/>
        <v>1</v>
      </c>
      <c r="AC17" s="17">
        <f t="shared" si="9"/>
        <v>793</v>
      </c>
      <c r="AD17" s="17">
        <f t="shared" si="9"/>
        <v>0</v>
      </c>
      <c r="AE17" s="31">
        <f t="shared" si="9"/>
        <v>713</v>
      </c>
      <c r="AF17" s="31">
        <f t="shared" si="9"/>
        <v>1506</v>
      </c>
    </row>
    <row r="18" spans="2:32" ht="23.1" customHeight="1" x14ac:dyDescent="0.25">
      <c r="B18" s="45" t="s">
        <v>45</v>
      </c>
      <c r="C18" s="50">
        <v>118</v>
      </c>
      <c r="D18" s="50">
        <v>28</v>
      </c>
      <c r="E18" s="50">
        <v>15</v>
      </c>
      <c r="F18" s="50">
        <v>9</v>
      </c>
      <c r="G18" s="50">
        <v>0</v>
      </c>
      <c r="H18" s="50">
        <v>0</v>
      </c>
      <c r="I18" s="50">
        <v>9</v>
      </c>
      <c r="J18" s="50">
        <v>4</v>
      </c>
      <c r="K18" s="50">
        <v>1</v>
      </c>
      <c r="L18" s="50">
        <v>0</v>
      </c>
      <c r="M18" s="50">
        <v>234</v>
      </c>
      <c r="N18" s="50">
        <v>0</v>
      </c>
      <c r="O18" s="15">
        <f t="shared" si="0"/>
        <v>184</v>
      </c>
      <c r="P18" s="15">
        <f t="shared" si="1"/>
        <v>418</v>
      </c>
      <c r="R18" s="1" t="s">
        <v>14</v>
      </c>
      <c r="S18" s="17">
        <f t="shared" ref="S18:AF18" si="10">SUM(C42:C45)</f>
        <v>432</v>
      </c>
      <c r="T18" s="17">
        <f t="shared" si="10"/>
        <v>95</v>
      </c>
      <c r="U18" s="17">
        <f t="shared" si="10"/>
        <v>43</v>
      </c>
      <c r="V18" s="17">
        <f t="shared" si="10"/>
        <v>35</v>
      </c>
      <c r="W18" s="17">
        <f t="shared" si="10"/>
        <v>2</v>
      </c>
      <c r="X18" s="17">
        <f t="shared" si="10"/>
        <v>0</v>
      </c>
      <c r="Y18" s="17">
        <f t="shared" si="10"/>
        <v>45</v>
      </c>
      <c r="Z18" s="17">
        <f t="shared" si="10"/>
        <v>2</v>
      </c>
      <c r="AA18" s="17">
        <f t="shared" si="10"/>
        <v>2</v>
      </c>
      <c r="AB18" s="17">
        <f t="shared" si="10"/>
        <v>1</v>
      </c>
      <c r="AC18" s="17">
        <f t="shared" si="10"/>
        <v>703</v>
      </c>
      <c r="AD18" s="17">
        <f t="shared" si="10"/>
        <v>0</v>
      </c>
      <c r="AE18" s="31">
        <f t="shared" si="10"/>
        <v>657</v>
      </c>
      <c r="AF18" s="31">
        <f t="shared" si="10"/>
        <v>1360</v>
      </c>
    </row>
    <row r="19" spans="2:32" ht="23.1" customHeight="1" x14ac:dyDescent="0.25">
      <c r="B19" s="45" t="s">
        <v>46</v>
      </c>
      <c r="C19" s="50">
        <v>97</v>
      </c>
      <c r="D19" s="50">
        <v>37</v>
      </c>
      <c r="E19" s="50">
        <v>20</v>
      </c>
      <c r="F19" s="50">
        <v>8</v>
      </c>
      <c r="G19" s="50">
        <v>0</v>
      </c>
      <c r="H19" s="50">
        <v>1</v>
      </c>
      <c r="I19" s="50">
        <v>7</v>
      </c>
      <c r="J19" s="50">
        <v>3</v>
      </c>
      <c r="K19" s="50">
        <v>0</v>
      </c>
      <c r="L19" s="50">
        <v>0</v>
      </c>
      <c r="M19" s="50">
        <v>242</v>
      </c>
      <c r="N19" s="50">
        <v>0</v>
      </c>
      <c r="O19" s="15">
        <f t="shared" si="0"/>
        <v>173</v>
      </c>
      <c r="P19" s="15">
        <f t="shared" si="1"/>
        <v>415</v>
      </c>
      <c r="R19" s="1" t="s">
        <v>15</v>
      </c>
      <c r="S19" s="17">
        <f t="shared" ref="S19:AF19" si="11">SUM(C46:C49)</f>
        <v>405</v>
      </c>
      <c r="T19" s="17">
        <f t="shared" si="11"/>
        <v>128</v>
      </c>
      <c r="U19" s="17">
        <f t="shared" si="11"/>
        <v>39</v>
      </c>
      <c r="V19" s="17">
        <f t="shared" si="11"/>
        <v>38</v>
      </c>
      <c r="W19" s="17">
        <f t="shared" si="11"/>
        <v>1</v>
      </c>
      <c r="X19" s="17">
        <f t="shared" si="11"/>
        <v>0</v>
      </c>
      <c r="Y19" s="17">
        <f t="shared" si="11"/>
        <v>34</v>
      </c>
      <c r="Z19" s="17">
        <f t="shared" si="11"/>
        <v>6</v>
      </c>
      <c r="AA19" s="17">
        <f t="shared" si="11"/>
        <v>0</v>
      </c>
      <c r="AB19" s="17">
        <f t="shared" si="11"/>
        <v>1</v>
      </c>
      <c r="AC19" s="17">
        <f t="shared" si="11"/>
        <v>767</v>
      </c>
      <c r="AD19" s="17">
        <f t="shared" si="11"/>
        <v>0</v>
      </c>
      <c r="AE19" s="31">
        <f t="shared" si="11"/>
        <v>652</v>
      </c>
      <c r="AF19" s="31">
        <f t="shared" si="11"/>
        <v>1419</v>
      </c>
    </row>
    <row r="20" spans="2:32" ht="23.1" customHeight="1" x14ac:dyDescent="0.25">
      <c r="B20" s="45" t="s">
        <v>47</v>
      </c>
      <c r="C20" s="50">
        <v>112</v>
      </c>
      <c r="D20" s="50">
        <v>33</v>
      </c>
      <c r="E20" s="50">
        <v>10</v>
      </c>
      <c r="F20" s="50">
        <v>15</v>
      </c>
      <c r="G20" s="50">
        <v>1</v>
      </c>
      <c r="H20" s="50">
        <v>0</v>
      </c>
      <c r="I20" s="50">
        <v>16</v>
      </c>
      <c r="J20" s="50">
        <v>4</v>
      </c>
      <c r="K20" s="50">
        <v>1</v>
      </c>
      <c r="L20" s="50">
        <v>1</v>
      </c>
      <c r="M20" s="50">
        <v>227</v>
      </c>
      <c r="N20" s="50">
        <v>0</v>
      </c>
      <c r="O20" s="15">
        <f t="shared" si="0"/>
        <v>193</v>
      </c>
      <c r="P20" s="15">
        <f t="shared" si="1"/>
        <v>420</v>
      </c>
      <c r="R20" s="1" t="s">
        <v>16</v>
      </c>
      <c r="S20" s="17">
        <f t="shared" ref="S20:AF20" si="12">SUM(C50:C53)</f>
        <v>444</v>
      </c>
      <c r="T20" s="17">
        <f t="shared" si="12"/>
        <v>87</v>
      </c>
      <c r="U20" s="17">
        <f t="shared" si="12"/>
        <v>61</v>
      </c>
      <c r="V20" s="17">
        <f t="shared" si="12"/>
        <v>36</v>
      </c>
      <c r="W20" s="17">
        <f t="shared" si="12"/>
        <v>3</v>
      </c>
      <c r="X20" s="17">
        <f t="shared" si="12"/>
        <v>1</v>
      </c>
      <c r="Y20" s="17">
        <f t="shared" si="12"/>
        <v>24</v>
      </c>
      <c r="Z20" s="17">
        <f t="shared" si="12"/>
        <v>8</v>
      </c>
      <c r="AA20" s="17">
        <f t="shared" si="12"/>
        <v>2</v>
      </c>
      <c r="AB20" s="17">
        <f t="shared" si="12"/>
        <v>1</v>
      </c>
      <c r="AC20" s="17">
        <f t="shared" si="12"/>
        <v>762</v>
      </c>
      <c r="AD20" s="17">
        <f t="shared" si="12"/>
        <v>0</v>
      </c>
      <c r="AE20" s="31">
        <f t="shared" si="12"/>
        <v>667</v>
      </c>
      <c r="AF20" s="31">
        <f t="shared" si="12"/>
        <v>1429</v>
      </c>
    </row>
    <row r="21" spans="2:32" ht="23.1" customHeight="1" x14ac:dyDescent="0.25">
      <c r="B21" s="45" t="s">
        <v>48</v>
      </c>
      <c r="C21" s="50">
        <v>113</v>
      </c>
      <c r="D21" s="50">
        <v>20</v>
      </c>
      <c r="E21" s="50">
        <v>6</v>
      </c>
      <c r="F21" s="50">
        <v>10</v>
      </c>
      <c r="G21" s="50">
        <v>0</v>
      </c>
      <c r="H21" s="50">
        <v>0</v>
      </c>
      <c r="I21" s="50">
        <v>4</v>
      </c>
      <c r="J21" s="50">
        <v>2</v>
      </c>
      <c r="K21" s="50">
        <v>0</v>
      </c>
      <c r="L21" s="50">
        <v>1</v>
      </c>
      <c r="M21" s="50">
        <v>219</v>
      </c>
      <c r="N21" s="50">
        <v>0</v>
      </c>
      <c r="O21" s="15">
        <f t="shared" si="0"/>
        <v>156</v>
      </c>
      <c r="P21" s="15">
        <f t="shared" si="1"/>
        <v>375</v>
      </c>
      <c r="R21" s="36" t="s">
        <v>20</v>
      </c>
      <c r="S21" s="34">
        <f t="shared" ref="S21:AF21" si="13">SUM(C54:C57)</f>
        <v>552</v>
      </c>
      <c r="T21" s="17">
        <f t="shared" si="13"/>
        <v>82</v>
      </c>
      <c r="U21" s="17">
        <f t="shared" si="13"/>
        <v>35</v>
      </c>
      <c r="V21" s="17">
        <f t="shared" si="13"/>
        <v>36</v>
      </c>
      <c r="W21" s="17">
        <f t="shared" si="13"/>
        <v>0</v>
      </c>
      <c r="X21" s="17">
        <f t="shared" si="13"/>
        <v>0</v>
      </c>
      <c r="Y21" s="17">
        <f t="shared" si="13"/>
        <v>16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716</v>
      </c>
      <c r="AD21" s="17">
        <f t="shared" si="13"/>
        <v>0</v>
      </c>
      <c r="AE21" s="31">
        <f t="shared" si="13"/>
        <v>722</v>
      </c>
      <c r="AF21" s="31">
        <f t="shared" si="13"/>
        <v>1438</v>
      </c>
    </row>
    <row r="22" spans="2:32" ht="23.1" customHeight="1" x14ac:dyDescent="0.25">
      <c r="B22" s="45" t="s">
        <v>49</v>
      </c>
      <c r="C22" s="50">
        <v>107</v>
      </c>
      <c r="D22" s="50">
        <v>24</v>
      </c>
      <c r="E22" s="50">
        <v>12</v>
      </c>
      <c r="F22" s="50">
        <v>14</v>
      </c>
      <c r="G22" s="50">
        <v>0</v>
      </c>
      <c r="H22" s="50">
        <v>0</v>
      </c>
      <c r="I22" s="50">
        <v>8</v>
      </c>
      <c r="J22" s="50">
        <v>2</v>
      </c>
      <c r="K22" s="50">
        <v>0</v>
      </c>
      <c r="L22" s="50">
        <v>0</v>
      </c>
      <c r="M22" s="50">
        <v>224</v>
      </c>
      <c r="N22" s="50">
        <v>0</v>
      </c>
      <c r="O22" s="15">
        <f t="shared" si="0"/>
        <v>167</v>
      </c>
      <c r="P22" s="15">
        <f t="shared" si="1"/>
        <v>391</v>
      </c>
      <c r="R22" s="36" t="s">
        <v>146</v>
      </c>
      <c r="S22" s="34">
        <f>SUM(C58:C61)</f>
        <v>424</v>
      </c>
      <c r="T22" s="34">
        <f t="shared" ref="T22:AF22" si="14">SUM(D58:D61)</f>
        <v>61</v>
      </c>
      <c r="U22" s="34">
        <f t="shared" si="14"/>
        <v>26</v>
      </c>
      <c r="V22" s="34">
        <f t="shared" si="14"/>
        <v>28</v>
      </c>
      <c r="W22" s="34">
        <f t="shared" si="14"/>
        <v>1</v>
      </c>
      <c r="X22" s="34">
        <f t="shared" si="14"/>
        <v>0</v>
      </c>
      <c r="Y22" s="34">
        <f t="shared" si="14"/>
        <v>11</v>
      </c>
      <c r="Z22" s="34">
        <f t="shared" si="14"/>
        <v>2</v>
      </c>
      <c r="AA22" s="34">
        <f t="shared" si="14"/>
        <v>3</v>
      </c>
      <c r="AB22" s="34">
        <f t="shared" si="14"/>
        <v>0</v>
      </c>
      <c r="AC22" s="34">
        <f t="shared" si="14"/>
        <v>633</v>
      </c>
      <c r="AD22" s="34">
        <f t="shared" si="14"/>
        <v>0</v>
      </c>
      <c r="AE22" s="31">
        <f t="shared" si="14"/>
        <v>556</v>
      </c>
      <c r="AF22" s="31">
        <f t="shared" si="14"/>
        <v>1189</v>
      </c>
    </row>
    <row r="23" spans="2:32" ht="23.1" customHeight="1" x14ac:dyDescent="0.25">
      <c r="B23" s="45" t="s">
        <v>50</v>
      </c>
      <c r="C23" s="50">
        <v>110</v>
      </c>
      <c r="D23" s="50">
        <v>26</v>
      </c>
      <c r="E23" s="50">
        <v>7</v>
      </c>
      <c r="F23" s="50">
        <v>21</v>
      </c>
      <c r="G23" s="50">
        <v>0</v>
      </c>
      <c r="H23" s="50">
        <v>0</v>
      </c>
      <c r="I23" s="50">
        <v>5</v>
      </c>
      <c r="J23" s="50">
        <v>2</v>
      </c>
      <c r="K23" s="50">
        <v>2</v>
      </c>
      <c r="L23" s="50">
        <v>0</v>
      </c>
      <c r="M23" s="50">
        <v>192</v>
      </c>
      <c r="N23" s="50">
        <v>0</v>
      </c>
      <c r="O23" s="15">
        <f t="shared" si="0"/>
        <v>173</v>
      </c>
      <c r="P23" s="15">
        <f t="shared" si="1"/>
        <v>365</v>
      </c>
      <c r="R23" s="36" t="s">
        <v>147</v>
      </c>
      <c r="S23" s="34">
        <f>SUM(C62:C65)</f>
        <v>533</v>
      </c>
      <c r="T23" s="34">
        <f t="shared" ref="T23:AF23" si="15">SUM(D62:D65)</f>
        <v>28</v>
      </c>
      <c r="U23" s="34">
        <f t="shared" si="15"/>
        <v>21</v>
      </c>
      <c r="V23" s="34">
        <f t="shared" si="15"/>
        <v>11</v>
      </c>
      <c r="W23" s="34">
        <f t="shared" si="15"/>
        <v>0</v>
      </c>
      <c r="X23" s="34">
        <f t="shared" si="15"/>
        <v>0</v>
      </c>
      <c r="Y23" s="34">
        <f t="shared" si="15"/>
        <v>7</v>
      </c>
      <c r="Z23" s="34">
        <f t="shared" si="15"/>
        <v>4</v>
      </c>
      <c r="AA23" s="34">
        <f t="shared" si="15"/>
        <v>4</v>
      </c>
      <c r="AB23" s="34">
        <f t="shared" si="15"/>
        <v>0</v>
      </c>
      <c r="AC23" s="34">
        <f t="shared" si="15"/>
        <v>541</v>
      </c>
      <c r="AD23" s="34">
        <f t="shared" si="15"/>
        <v>0</v>
      </c>
      <c r="AE23" s="31">
        <f t="shared" si="15"/>
        <v>608</v>
      </c>
      <c r="AF23" s="31">
        <f t="shared" si="15"/>
        <v>1149</v>
      </c>
    </row>
    <row r="24" spans="2:32" ht="23.1" customHeight="1" x14ac:dyDescent="0.25">
      <c r="B24" s="45" t="s">
        <v>51</v>
      </c>
      <c r="C24" s="50">
        <v>99</v>
      </c>
      <c r="D24" s="50">
        <v>23</v>
      </c>
      <c r="E24" s="50">
        <v>16</v>
      </c>
      <c r="F24" s="50">
        <v>12</v>
      </c>
      <c r="G24" s="50">
        <v>1</v>
      </c>
      <c r="H24" s="50">
        <v>0</v>
      </c>
      <c r="I24" s="50">
        <v>7</v>
      </c>
      <c r="J24" s="50">
        <v>2</v>
      </c>
      <c r="K24" s="50">
        <v>0</v>
      </c>
      <c r="L24" s="50">
        <v>0</v>
      </c>
      <c r="M24" s="50">
        <v>199</v>
      </c>
      <c r="N24" s="50">
        <v>0</v>
      </c>
      <c r="O24" s="15">
        <f t="shared" si="0"/>
        <v>160</v>
      </c>
      <c r="P24" s="15">
        <f t="shared" si="1"/>
        <v>359</v>
      </c>
      <c r="R24" s="36" t="s">
        <v>148</v>
      </c>
      <c r="S24" s="34">
        <f>SUM(C66:C69)</f>
        <v>337</v>
      </c>
      <c r="T24" s="34">
        <f t="shared" ref="T24:AF24" si="16">SUM(D66:D69)</f>
        <v>36</v>
      </c>
      <c r="U24" s="34">
        <f t="shared" si="16"/>
        <v>14</v>
      </c>
      <c r="V24" s="34">
        <f t="shared" si="16"/>
        <v>8</v>
      </c>
      <c r="W24" s="34">
        <f t="shared" si="16"/>
        <v>3</v>
      </c>
      <c r="X24" s="34">
        <f t="shared" si="16"/>
        <v>0</v>
      </c>
      <c r="Y24" s="34">
        <f t="shared" si="16"/>
        <v>5</v>
      </c>
      <c r="Z24" s="34">
        <f t="shared" si="16"/>
        <v>2</v>
      </c>
      <c r="AA24" s="34">
        <f t="shared" si="16"/>
        <v>2</v>
      </c>
      <c r="AB24" s="34">
        <f t="shared" si="16"/>
        <v>0</v>
      </c>
      <c r="AC24" s="34">
        <f t="shared" si="16"/>
        <v>306</v>
      </c>
      <c r="AD24" s="34">
        <f t="shared" si="16"/>
        <v>0</v>
      </c>
      <c r="AE24" s="31">
        <f t="shared" si="16"/>
        <v>407</v>
      </c>
      <c r="AF24" s="31">
        <f t="shared" si="16"/>
        <v>713</v>
      </c>
    </row>
    <row r="25" spans="2:32" ht="23.1" customHeight="1" x14ac:dyDescent="0.25">
      <c r="B25" s="45" t="s">
        <v>52</v>
      </c>
      <c r="C25" s="50">
        <v>22</v>
      </c>
      <c r="D25" s="50">
        <v>21</v>
      </c>
      <c r="E25" s="50">
        <v>10</v>
      </c>
      <c r="F25" s="50">
        <v>12</v>
      </c>
      <c r="G25" s="50">
        <v>0</v>
      </c>
      <c r="H25" s="50">
        <v>0</v>
      </c>
      <c r="I25" s="50">
        <v>6</v>
      </c>
      <c r="J25" s="50">
        <v>1</v>
      </c>
      <c r="K25" s="50">
        <v>1</v>
      </c>
      <c r="L25" s="50">
        <v>0</v>
      </c>
      <c r="M25" s="50">
        <v>213</v>
      </c>
      <c r="N25" s="50">
        <v>0</v>
      </c>
      <c r="O25" s="15">
        <f t="shared" si="0"/>
        <v>73</v>
      </c>
      <c r="P25" s="15">
        <f t="shared" si="1"/>
        <v>286</v>
      </c>
      <c r="R25" s="36" t="s">
        <v>149</v>
      </c>
      <c r="S25" s="34">
        <f>SUM(C70:C73)</f>
        <v>299</v>
      </c>
      <c r="T25" s="34">
        <f t="shared" ref="T25:AF25" si="17">SUM(D70:D73)</f>
        <v>19</v>
      </c>
      <c r="U25" s="34">
        <f t="shared" si="17"/>
        <v>13</v>
      </c>
      <c r="V25" s="34">
        <f t="shared" si="17"/>
        <v>5</v>
      </c>
      <c r="W25" s="34">
        <f t="shared" si="17"/>
        <v>0</v>
      </c>
      <c r="X25" s="34">
        <f t="shared" si="17"/>
        <v>0</v>
      </c>
      <c r="Y25" s="34">
        <f t="shared" si="17"/>
        <v>3</v>
      </c>
      <c r="Z25" s="34">
        <f t="shared" si="17"/>
        <v>1</v>
      </c>
      <c r="AA25" s="34">
        <f t="shared" si="17"/>
        <v>0</v>
      </c>
      <c r="AB25" s="34">
        <f t="shared" si="17"/>
        <v>0</v>
      </c>
      <c r="AC25" s="34">
        <f t="shared" si="17"/>
        <v>196</v>
      </c>
      <c r="AD25" s="34">
        <f t="shared" si="17"/>
        <v>0</v>
      </c>
      <c r="AE25" s="31">
        <f t="shared" si="17"/>
        <v>340</v>
      </c>
      <c r="AF25" s="31">
        <f t="shared" si="17"/>
        <v>536</v>
      </c>
    </row>
    <row r="26" spans="2:32" ht="23.1" customHeight="1" x14ac:dyDescent="0.25">
      <c r="B26" s="45" t="s">
        <v>53</v>
      </c>
      <c r="C26" s="50">
        <v>111</v>
      </c>
      <c r="D26" s="50">
        <v>23</v>
      </c>
      <c r="E26" s="50">
        <v>12</v>
      </c>
      <c r="F26" s="50">
        <v>13</v>
      </c>
      <c r="G26" s="50">
        <v>0</v>
      </c>
      <c r="H26" s="50">
        <v>0</v>
      </c>
      <c r="I26" s="50">
        <v>8</v>
      </c>
      <c r="J26" s="50">
        <v>2</v>
      </c>
      <c r="K26" s="50">
        <v>0</v>
      </c>
      <c r="L26" s="50">
        <v>0</v>
      </c>
      <c r="M26" s="50">
        <v>192</v>
      </c>
      <c r="N26" s="50">
        <v>0</v>
      </c>
      <c r="O26" s="15">
        <f t="shared" si="0"/>
        <v>169</v>
      </c>
      <c r="P26" s="15">
        <f t="shared" si="1"/>
        <v>361</v>
      </c>
      <c r="R26" s="36" t="s">
        <v>150</v>
      </c>
      <c r="S26" s="34">
        <f>SUM(C74:C77)</f>
        <v>224</v>
      </c>
      <c r="T26" s="34">
        <f t="shared" ref="T26:AF26" si="18">SUM(D74:D77)</f>
        <v>23</v>
      </c>
      <c r="U26" s="34">
        <f t="shared" si="18"/>
        <v>13</v>
      </c>
      <c r="V26" s="34">
        <f t="shared" si="18"/>
        <v>4</v>
      </c>
      <c r="W26" s="34">
        <f t="shared" si="18"/>
        <v>0</v>
      </c>
      <c r="X26" s="34">
        <f t="shared" si="18"/>
        <v>0</v>
      </c>
      <c r="Y26" s="34">
        <f t="shared" si="18"/>
        <v>4</v>
      </c>
      <c r="Z26" s="34">
        <f t="shared" si="18"/>
        <v>3</v>
      </c>
      <c r="AA26" s="34">
        <f t="shared" si="18"/>
        <v>0</v>
      </c>
      <c r="AB26" s="34">
        <f t="shared" si="18"/>
        <v>0</v>
      </c>
      <c r="AC26" s="34">
        <f t="shared" si="18"/>
        <v>208</v>
      </c>
      <c r="AD26" s="34">
        <f t="shared" si="18"/>
        <v>0</v>
      </c>
      <c r="AE26" s="31">
        <f t="shared" si="18"/>
        <v>271</v>
      </c>
      <c r="AF26" s="31">
        <f t="shared" si="18"/>
        <v>479</v>
      </c>
    </row>
    <row r="27" spans="2:32" ht="23.1" customHeight="1" x14ac:dyDescent="0.25">
      <c r="B27" s="45" t="s">
        <v>54</v>
      </c>
      <c r="C27" s="50">
        <v>97</v>
      </c>
      <c r="D27" s="50">
        <v>31</v>
      </c>
      <c r="E27" s="50">
        <v>11</v>
      </c>
      <c r="F27" s="50">
        <v>8</v>
      </c>
      <c r="G27" s="50">
        <v>1</v>
      </c>
      <c r="H27" s="50">
        <v>0</v>
      </c>
      <c r="I27" s="50">
        <v>8</v>
      </c>
      <c r="J27" s="50">
        <v>3</v>
      </c>
      <c r="K27" s="50">
        <v>0</v>
      </c>
      <c r="L27" s="50">
        <v>0</v>
      </c>
      <c r="M27" s="50">
        <v>169</v>
      </c>
      <c r="N27" s="50">
        <v>0</v>
      </c>
      <c r="O27" s="15">
        <f t="shared" si="0"/>
        <v>159</v>
      </c>
      <c r="P27" s="15">
        <f t="shared" si="1"/>
        <v>328</v>
      </c>
      <c r="R27" s="36" t="s">
        <v>151</v>
      </c>
      <c r="S27" s="34">
        <f>SUM(C78:C81)</f>
        <v>114</v>
      </c>
      <c r="T27" s="34">
        <f t="shared" ref="T27:AF27" si="19">SUM(D78:D81)</f>
        <v>28</v>
      </c>
      <c r="U27" s="34">
        <f t="shared" si="19"/>
        <v>8</v>
      </c>
      <c r="V27" s="34">
        <f t="shared" si="19"/>
        <v>4</v>
      </c>
      <c r="W27" s="34">
        <f t="shared" si="19"/>
        <v>0</v>
      </c>
      <c r="X27" s="34">
        <f t="shared" si="19"/>
        <v>1</v>
      </c>
      <c r="Y27" s="34">
        <f t="shared" si="19"/>
        <v>3</v>
      </c>
      <c r="Z27" s="34">
        <f t="shared" si="19"/>
        <v>2</v>
      </c>
      <c r="AA27" s="34">
        <f t="shared" si="19"/>
        <v>0</v>
      </c>
      <c r="AB27" s="34">
        <f t="shared" si="19"/>
        <v>0</v>
      </c>
      <c r="AC27" s="34">
        <f t="shared" si="19"/>
        <v>128</v>
      </c>
      <c r="AD27" s="34">
        <f t="shared" si="19"/>
        <v>0</v>
      </c>
      <c r="AE27" s="31">
        <f t="shared" si="19"/>
        <v>160</v>
      </c>
      <c r="AF27" s="31">
        <f t="shared" si="19"/>
        <v>288</v>
      </c>
    </row>
    <row r="28" spans="2:32" ht="23.1" customHeight="1" x14ac:dyDescent="0.25">
      <c r="B28" s="45" t="s">
        <v>55</v>
      </c>
      <c r="C28" s="50">
        <v>118</v>
      </c>
      <c r="D28" s="50">
        <v>28</v>
      </c>
      <c r="E28" s="50">
        <v>10</v>
      </c>
      <c r="F28" s="50">
        <v>9</v>
      </c>
      <c r="G28" s="50">
        <v>0</v>
      </c>
      <c r="H28" s="50">
        <v>0</v>
      </c>
      <c r="I28" s="50">
        <v>11</v>
      </c>
      <c r="J28" s="50">
        <v>1</v>
      </c>
      <c r="K28" s="50">
        <v>0</v>
      </c>
      <c r="L28" s="50">
        <v>0</v>
      </c>
      <c r="M28" s="50">
        <v>201</v>
      </c>
      <c r="N28" s="50">
        <v>0</v>
      </c>
      <c r="O28" s="15">
        <f t="shared" si="0"/>
        <v>177</v>
      </c>
      <c r="P28" s="15">
        <f t="shared" si="1"/>
        <v>378</v>
      </c>
      <c r="R28" s="36" t="s">
        <v>152</v>
      </c>
      <c r="S28" s="34">
        <f>SUM(C82:C85)</f>
        <v>90</v>
      </c>
      <c r="T28" s="34">
        <f t="shared" ref="T28:AF28" si="20">SUM(D82:D85)</f>
        <v>11</v>
      </c>
      <c r="U28" s="34">
        <f t="shared" si="20"/>
        <v>3</v>
      </c>
      <c r="V28" s="34">
        <f t="shared" si="20"/>
        <v>2</v>
      </c>
      <c r="W28" s="34">
        <f t="shared" si="20"/>
        <v>0</v>
      </c>
      <c r="X28" s="34">
        <f t="shared" si="20"/>
        <v>0</v>
      </c>
      <c r="Y28" s="34">
        <f t="shared" si="20"/>
        <v>0</v>
      </c>
      <c r="Z28" s="34">
        <f t="shared" si="20"/>
        <v>1</v>
      </c>
      <c r="AA28" s="34">
        <f t="shared" si="20"/>
        <v>0</v>
      </c>
      <c r="AB28" s="34">
        <f t="shared" si="20"/>
        <v>0</v>
      </c>
      <c r="AC28" s="34">
        <f t="shared" si="20"/>
        <v>54</v>
      </c>
      <c r="AD28" s="34">
        <f t="shared" si="20"/>
        <v>0</v>
      </c>
      <c r="AE28" s="31">
        <f t="shared" si="20"/>
        <v>107</v>
      </c>
      <c r="AF28" s="31">
        <f t="shared" si="20"/>
        <v>161</v>
      </c>
    </row>
    <row r="29" spans="2:32" ht="23.1" customHeight="1" x14ac:dyDescent="0.25">
      <c r="B29" s="45" t="s">
        <v>56</v>
      </c>
      <c r="C29" s="50">
        <v>101</v>
      </c>
      <c r="D29" s="50">
        <v>17</v>
      </c>
      <c r="E29" s="50">
        <v>16</v>
      </c>
      <c r="F29" s="50">
        <v>16</v>
      </c>
      <c r="G29" s="50">
        <v>0</v>
      </c>
      <c r="H29" s="50">
        <v>0</v>
      </c>
      <c r="I29" s="50">
        <v>10</v>
      </c>
      <c r="J29" s="50">
        <v>1</v>
      </c>
      <c r="K29" s="50">
        <v>0</v>
      </c>
      <c r="L29" s="50">
        <v>0</v>
      </c>
      <c r="M29" s="50">
        <v>210</v>
      </c>
      <c r="N29" s="50">
        <v>0</v>
      </c>
      <c r="O29" s="15">
        <f t="shared" si="0"/>
        <v>161</v>
      </c>
      <c r="P29" s="15">
        <f t="shared" si="1"/>
        <v>371</v>
      </c>
      <c r="R29" s="36" t="s">
        <v>153</v>
      </c>
      <c r="S29" s="34">
        <f>SUM(C86:C89)</f>
        <v>46</v>
      </c>
      <c r="T29" s="34">
        <f t="shared" ref="T29:AF29" si="21">SUM(D86:D89)</f>
        <v>10</v>
      </c>
      <c r="U29" s="34">
        <f t="shared" si="21"/>
        <v>1</v>
      </c>
      <c r="V29" s="34">
        <f t="shared" si="21"/>
        <v>4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49</v>
      </c>
      <c r="AD29" s="34">
        <f t="shared" si="21"/>
        <v>0</v>
      </c>
      <c r="AE29" s="31">
        <f t="shared" si="21"/>
        <v>61</v>
      </c>
      <c r="AF29" s="31">
        <f t="shared" si="21"/>
        <v>110</v>
      </c>
    </row>
    <row r="30" spans="2:32" ht="23.1" customHeight="1" x14ac:dyDescent="0.25">
      <c r="B30" s="45" t="s">
        <v>57</v>
      </c>
      <c r="C30" s="50">
        <v>88</v>
      </c>
      <c r="D30" s="50">
        <v>26</v>
      </c>
      <c r="E30" s="50">
        <v>18</v>
      </c>
      <c r="F30" s="50">
        <v>8</v>
      </c>
      <c r="G30" s="50">
        <v>0</v>
      </c>
      <c r="H30" s="50">
        <v>0</v>
      </c>
      <c r="I30" s="50">
        <v>11</v>
      </c>
      <c r="J30" s="50">
        <v>4</v>
      </c>
      <c r="K30" s="50">
        <v>0</v>
      </c>
      <c r="L30" s="50">
        <v>0</v>
      </c>
      <c r="M30" s="50">
        <v>184</v>
      </c>
      <c r="N30" s="50">
        <v>0</v>
      </c>
      <c r="O30" s="15">
        <f t="shared" si="0"/>
        <v>155</v>
      </c>
      <c r="P30" s="15">
        <f t="shared" si="1"/>
        <v>339</v>
      </c>
      <c r="R30" s="36" t="s">
        <v>154</v>
      </c>
      <c r="S30" s="34">
        <f>SUM(C90:C93)</f>
        <v>50</v>
      </c>
      <c r="T30" s="34">
        <f t="shared" ref="T30:AF30" si="22">SUM(D90:D93)</f>
        <v>6</v>
      </c>
      <c r="U30" s="34">
        <f t="shared" si="22"/>
        <v>0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1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34</v>
      </c>
      <c r="AD30" s="34">
        <f t="shared" si="22"/>
        <v>0</v>
      </c>
      <c r="AE30" s="31">
        <f t="shared" si="22"/>
        <v>62</v>
      </c>
      <c r="AF30" s="31">
        <f t="shared" si="22"/>
        <v>96</v>
      </c>
    </row>
    <row r="31" spans="2:32" ht="23.1" customHeight="1" x14ac:dyDescent="0.25">
      <c r="B31" s="46" t="s">
        <v>58</v>
      </c>
      <c r="C31" s="50">
        <v>96</v>
      </c>
      <c r="D31" s="50">
        <v>24</v>
      </c>
      <c r="E31" s="50">
        <v>8</v>
      </c>
      <c r="F31" s="50">
        <v>14</v>
      </c>
      <c r="G31" s="50">
        <v>0</v>
      </c>
      <c r="H31" s="50">
        <v>0</v>
      </c>
      <c r="I31" s="50">
        <v>6</v>
      </c>
      <c r="J31" s="50">
        <v>0</v>
      </c>
      <c r="K31" s="50">
        <v>1</v>
      </c>
      <c r="L31" s="50">
        <v>3</v>
      </c>
      <c r="M31" s="50">
        <v>223</v>
      </c>
      <c r="N31" s="50">
        <v>0</v>
      </c>
      <c r="O31" s="15">
        <f t="shared" si="0"/>
        <v>152</v>
      </c>
      <c r="P31" s="15">
        <f t="shared" si="1"/>
        <v>375</v>
      </c>
      <c r="R31" s="36" t="s">
        <v>155</v>
      </c>
      <c r="S31" s="34">
        <f>SUM(C94:C97)</f>
        <v>37</v>
      </c>
      <c r="T31" s="34">
        <f t="shared" ref="T31:AF31" si="23">SUM(D94:D97)</f>
        <v>8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1</v>
      </c>
      <c r="AA31" s="34">
        <f t="shared" si="23"/>
        <v>0</v>
      </c>
      <c r="AB31" s="34">
        <f t="shared" si="23"/>
        <v>0</v>
      </c>
      <c r="AC31" s="34">
        <f t="shared" si="23"/>
        <v>50</v>
      </c>
      <c r="AD31" s="34">
        <f t="shared" si="23"/>
        <v>0</v>
      </c>
      <c r="AE31" s="31">
        <f t="shared" si="23"/>
        <v>49</v>
      </c>
      <c r="AF31" s="31">
        <f t="shared" si="23"/>
        <v>99</v>
      </c>
    </row>
    <row r="32" spans="2:32" ht="23.1" customHeight="1" x14ac:dyDescent="0.25">
      <c r="B32" s="46" t="s">
        <v>59</v>
      </c>
      <c r="C32" s="50">
        <v>101</v>
      </c>
      <c r="D32" s="50">
        <v>17</v>
      </c>
      <c r="E32" s="50">
        <v>9</v>
      </c>
      <c r="F32" s="50">
        <v>12</v>
      </c>
      <c r="G32" s="50">
        <v>0</v>
      </c>
      <c r="H32" s="50">
        <v>1</v>
      </c>
      <c r="I32" s="50">
        <v>13</v>
      </c>
      <c r="J32" s="50">
        <v>0</v>
      </c>
      <c r="K32" s="50">
        <v>0</v>
      </c>
      <c r="L32" s="50">
        <v>0</v>
      </c>
      <c r="M32" s="50">
        <v>195</v>
      </c>
      <c r="N32" s="50">
        <v>0</v>
      </c>
      <c r="O32" s="15">
        <f t="shared" si="0"/>
        <v>153</v>
      </c>
      <c r="P32" s="15">
        <f t="shared" si="1"/>
        <v>348</v>
      </c>
      <c r="R32" s="33" t="s">
        <v>156</v>
      </c>
      <c r="S32" s="34">
        <f>SUM(C98:C101)</f>
        <v>43</v>
      </c>
      <c r="T32" s="34">
        <f t="shared" ref="T32:AF32" si="24">SUM(D98:D101)</f>
        <v>17</v>
      </c>
      <c r="U32" s="34">
        <f t="shared" si="24"/>
        <v>3</v>
      </c>
      <c r="V32" s="34">
        <f t="shared" si="24"/>
        <v>3</v>
      </c>
      <c r="W32" s="34">
        <f t="shared" si="24"/>
        <v>1</v>
      </c>
      <c r="X32" s="34">
        <f t="shared" si="24"/>
        <v>0</v>
      </c>
      <c r="Y32" s="34">
        <f t="shared" si="24"/>
        <v>2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78</v>
      </c>
      <c r="AD32" s="34">
        <f t="shared" si="24"/>
        <v>0</v>
      </c>
      <c r="AE32" s="31">
        <f t="shared" si="24"/>
        <v>69</v>
      </c>
      <c r="AF32" s="31">
        <f t="shared" si="24"/>
        <v>147</v>
      </c>
    </row>
    <row r="33" spans="2:32" ht="23.1" customHeight="1" x14ac:dyDescent="0.25">
      <c r="B33" s="45" t="s">
        <v>60</v>
      </c>
      <c r="C33" s="50">
        <v>123</v>
      </c>
      <c r="D33" s="50">
        <v>19</v>
      </c>
      <c r="E33" s="50">
        <v>12</v>
      </c>
      <c r="F33" s="50">
        <v>16</v>
      </c>
      <c r="G33" s="50">
        <v>0</v>
      </c>
      <c r="H33" s="50">
        <v>0</v>
      </c>
      <c r="I33" s="50">
        <v>5</v>
      </c>
      <c r="J33" s="50">
        <v>1</v>
      </c>
      <c r="K33" s="50">
        <v>1</v>
      </c>
      <c r="L33" s="50">
        <v>0</v>
      </c>
      <c r="M33" s="50">
        <v>247</v>
      </c>
      <c r="N33" s="50">
        <v>0</v>
      </c>
      <c r="O33" s="15">
        <f t="shared" si="0"/>
        <v>177</v>
      </c>
      <c r="P33" s="15">
        <f t="shared" si="1"/>
        <v>424</v>
      </c>
      <c r="R33" s="33" t="s">
        <v>157</v>
      </c>
      <c r="S33" s="34">
        <f>SUM(C102:C105)</f>
        <v>311</v>
      </c>
      <c r="T33" s="34">
        <f t="shared" ref="T33:AF33" si="25">SUM(D102:D105)</f>
        <v>34</v>
      </c>
      <c r="U33" s="34">
        <f t="shared" si="25"/>
        <v>22</v>
      </c>
      <c r="V33" s="34">
        <f t="shared" si="25"/>
        <v>3</v>
      </c>
      <c r="W33" s="34">
        <f t="shared" si="25"/>
        <v>1</v>
      </c>
      <c r="X33" s="34">
        <f t="shared" si="25"/>
        <v>1</v>
      </c>
      <c r="Y33" s="34">
        <f t="shared" si="25"/>
        <v>9</v>
      </c>
      <c r="Z33" s="34">
        <f t="shared" si="25"/>
        <v>1</v>
      </c>
      <c r="AA33" s="34">
        <f t="shared" si="25"/>
        <v>0</v>
      </c>
      <c r="AB33" s="34">
        <f t="shared" si="25"/>
        <v>1</v>
      </c>
      <c r="AC33" s="34">
        <f t="shared" si="25"/>
        <v>247</v>
      </c>
      <c r="AD33" s="34">
        <f t="shared" si="25"/>
        <v>0</v>
      </c>
      <c r="AE33" s="31">
        <f t="shared" si="25"/>
        <v>383</v>
      </c>
      <c r="AF33" s="31">
        <f t="shared" si="25"/>
        <v>630</v>
      </c>
    </row>
    <row r="34" spans="2:32" ht="23.1" customHeight="1" x14ac:dyDescent="0.25">
      <c r="B34" s="46" t="s">
        <v>61</v>
      </c>
      <c r="C34" s="50">
        <v>95</v>
      </c>
      <c r="D34" s="50">
        <v>30</v>
      </c>
      <c r="E34" s="50">
        <v>19</v>
      </c>
      <c r="F34" s="50">
        <v>18</v>
      </c>
      <c r="G34" s="50">
        <v>0</v>
      </c>
      <c r="H34" s="50">
        <v>0</v>
      </c>
      <c r="I34" s="50">
        <v>6</v>
      </c>
      <c r="J34" s="50">
        <v>2</v>
      </c>
      <c r="K34" s="50">
        <v>0</v>
      </c>
      <c r="L34" s="50">
        <v>0</v>
      </c>
      <c r="M34" s="50">
        <v>198</v>
      </c>
      <c r="N34" s="50">
        <v>0</v>
      </c>
      <c r="O34" s="15">
        <f t="shared" si="0"/>
        <v>170</v>
      </c>
      <c r="P34" s="15">
        <f t="shared" si="1"/>
        <v>368</v>
      </c>
      <c r="R34" s="38" t="s">
        <v>90</v>
      </c>
      <c r="S34" s="39">
        <f t="shared" ref="S34:AF34" si="26">MAX(S10:S12)</f>
        <v>472</v>
      </c>
      <c r="T34" s="39">
        <f t="shared" si="26"/>
        <v>118</v>
      </c>
      <c r="U34" s="39">
        <f t="shared" si="26"/>
        <v>51</v>
      </c>
      <c r="V34" s="39">
        <f t="shared" si="26"/>
        <v>42</v>
      </c>
      <c r="W34" s="39">
        <f t="shared" si="26"/>
        <v>3</v>
      </c>
      <c r="X34" s="39">
        <f t="shared" si="26"/>
        <v>1</v>
      </c>
      <c r="Y34" s="39">
        <f t="shared" si="26"/>
        <v>36</v>
      </c>
      <c r="Z34" s="39">
        <f t="shared" si="26"/>
        <v>13</v>
      </c>
      <c r="AA34" s="39">
        <f t="shared" si="26"/>
        <v>2</v>
      </c>
      <c r="AB34" s="39">
        <f t="shared" si="26"/>
        <v>2</v>
      </c>
      <c r="AC34" s="39">
        <f t="shared" si="26"/>
        <v>987</v>
      </c>
      <c r="AD34" s="39">
        <f t="shared" si="26"/>
        <v>0</v>
      </c>
      <c r="AE34" s="40">
        <f t="shared" si="26"/>
        <v>706</v>
      </c>
      <c r="AF34" s="40">
        <f t="shared" si="26"/>
        <v>1655</v>
      </c>
    </row>
    <row r="35" spans="2:32" ht="23.1" customHeight="1" x14ac:dyDescent="0.25">
      <c r="B35" s="46" t="s">
        <v>62</v>
      </c>
      <c r="C35" s="50">
        <v>101</v>
      </c>
      <c r="D35" s="50">
        <v>18</v>
      </c>
      <c r="E35" s="50">
        <v>10</v>
      </c>
      <c r="F35" s="50">
        <v>19</v>
      </c>
      <c r="G35" s="50">
        <v>0</v>
      </c>
      <c r="H35" s="50">
        <v>0</v>
      </c>
      <c r="I35" s="50">
        <v>8</v>
      </c>
      <c r="J35" s="50">
        <v>2</v>
      </c>
      <c r="K35" s="50">
        <v>1</v>
      </c>
      <c r="L35" s="50">
        <v>0</v>
      </c>
      <c r="M35" s="50">
        <v>214</v>
      </c>
      <c r="N35" s="50">
        <v>0</v>
      </c>
      <c r="O35" s="15">
        <f t="shared" si="0"/>
        <v>159</v>
      </c>
      <c r="P35" s="15">
        <f t="shared" si="1"/>
        <v>373</v>
      </c>
      <c r="R35" s="38" t="s">
        <v>91</v>
      </c>
      <c r="S35" s="39">
        <f t="shared" ref="S35:AF35" si="27">MAX(S13:S18)</f>
        <v>468</v>
      </c>
      <c r="T35" s="39">
        <f t="shared" si="27"/>
        <v>112</v>
      </c>
      <c r="U35" s="39">
        <f t="shared" si="27"/>
        <v>59</v>
      </c>
      <c r="V35" s="39">
        <f t="shared" si="27"/>
        <v>67</v>
      </c>
      <c r="W35" s="39">
        <f t="shared" si="27"/>
        <v>3</v>
      </c>
      <c r="X35" s="39">
        <f t="shared" si="27"/>
        <v>1</v>
      </c>
      <c r="Y35" s="39">
        <f t="shared" si="27"/>
        <v>45</v>
      </c>
      <c r="Z35" s="39">
        <f t="shared" si="27"/>
        <v>7</v>
      </c>
      <c r="AA35" s="39">
        <f t="shared" si="27"/>
        <v>3</v>
      </c>
      <c r="AB35" s="39">
        <f t="shared" si="27"/>
        <v>3</v>
      </c>
      <c r="AC35" s="39">
        <f t="shared" si="27"/>
        <v>849</v>
      </c>
      <c r="AD35" s="39">
        <f t="shared" si="27"/>
        <v>0</v>
      </c>
      <c r="AE35" s="40">
        <f t="shared" si="27"/>
        <v>713</v>
      </c>
      <c r="AF35" s="40">
        <f t="shared" si="27"/>
        <v>1506</v>
      </c>
    </row>
    <row r="36" spans="2:32" ht="23.1" customHeight="1" x14ac:dyDescent="0.25">
      <c r="B36" s="46" t="s">
        <v>63</v>
      </c>
      <c r="C36" s="50">
        <v>108</v>
      </c>
      <c r="D36" s="50">
        <v>22</v>
      </c>
      <c r="E36" s="50">
        <v>19</v>
      </c>
      <c r="F36" s="50">
        <v>13</v>
      </c>
      <c r="G36" s="50">
        <v>1</v>
      </c>
      <c r="H36" s="50">
        <v>0</v>
      </c>
      <c r="I36" s="50">
        <v>5</v>
      </c>
      <c r="J36" s="50">
        <v>2</v>
      </c>
      <c r="K36" s="50">
        <v>0</v>
      </c>
      <c r="L36" s="50">
        <v>0</v>
      </c>
      <c r="M36" s="50">
        <v>206</v>
      </c>
      <c r="N36" s="50">
        <v>0</v>
      </c>
      <c r="O36" s="15">
        <f t="shared" si="0"/>
        <v>170</v>
      </c>
      <c r="P36" s="15">
        <f t="shared" si="1"/>
        <v>376</v>
      </c>
      <c r="R36" s="38" t="s">
        <v>92</v>
      </c>
      <c r="S36" s="39">
        <f t="shared" ref="S36:AF36" si="28">MAX(S19:S21)</f>
        <v>552</v>
      </c>
      <c r="T36" s="39">
        <f t="shared" si="28"/>
        <v>128</v>
      </c>
      <c r="U36" s="39">
        <f t="shared" si="28"/>
        <v>61</v>
      </c>
      <c r="V36" s="39">
        <f t="shared" si="28"/>
        <v>38</v>
      </c>
      <c r="W36" s="39">
        <f t="shared" si="28"/>
        <v>3</v>
      </c>
      <c r="X36" s="39">
        <f t="shared" si="28"/>
        <v>1</v>
      </c>
      <c r="Y36" s="39">
        <f t="shared" si="28"/>
        <v>34</v>
      </c>
      <c r="Z36" s="39">
        <f t="shared" si="28"/>
        <v>8</v>
      </c>
      <c r="AA36" s="39">
        <f t="shared" si="28"/>
        <v>2</v>
      </c>
      <c r="AB36" s="39">
        <f t="shared" si="28"/>
        <v>1</v>
      </c>
      <c r="AC36" s="39">
        <f t="shared" si="28"/>
        <v>767</v>
      </c>
      <c r="AD36" s="39">
        <f t="shared" si="28"/>
        <v>0</v>
      </c>
      <c r="AE36" s="40">
        <f t="shared" si="28"/>
        <v>722</v>
      </c>
      <c r="AF36" s="40">
        <f t="shared" si="28"/>
        <v>1438</v>
      </c>
    </row>
    <row r="37" spans="2:32" ht="23.1" customHeight="1" x14ac:dyDescent="0.25">
      <c r="B37" s="45" t="s">
        <v>64</v>
      </c>
      <c r="C37" s="50">
        <v>116</v>
      </c>
      <c r="D37" s="50">
        <v>29</v>
      </c>
      <c r="E37" s="50">
        <v>11</v>
      </c>
      <c r="F37" s="50">
        <v>13</v>
      </c>
      <c r="G37" s="50">
        <v>2</v>
      </c>
      <c r="H37" s="50">
        <v>0</v>
      </c>
      <c r="I37" s="50">
        <v>9</v>
      </c>
      <c r="J37" s="50">
        <v>1</v>
      </c>
      <c r="K37" s="50">
        <v>1</v>
      </c>
      <c r="L37" s="50">
        <v>0</v>
      </c>
      <c r="M37" s="50">
        <v>200</v>
      </c>
      <c r="N37" s="50">
        <v>0</v>
      </c>
      <c r="O37" s="15">
        <f t="shared" si="0"/>
        <v>182</v>
      </c>
      <c r="P37" s="15">
        <f t="shared" si="1"/>
        <v>382</v>
      </c>
      <c r="R37" s="37" t="s">
        <v>85</v>
      </c>
      <c r="S37" s="35">
        <f t="shared" ref="S37:AF37" si="29">SUM(S10:S12)</f>
        <v>1329</v>
      </c>
      <c r="T37" s="16">
        <f t="shared" si="29"/>
        <v>310</v>
      </c>
      <c r="U37" s="16">
        <f t="shared" si="29"/>
        <v>134</v>
      </c>
      <c r="V37" s="16">
        <f t="shared" si="29"/>
        <v>100</v>
      </c>
      <c r="W37" s="16">
        <f t="shared" si="29"/>
        <v>4</v>
      </c>
      <c r="X37" s="16">
        <f t="shared" si="29"/>
        <v>1</v>
      </c>
      <c r="Y37" s="16">
        <f t="shared" si="29"/>
        <v>70</v>
      </c>
      <c r="Z37" s="16">
        <f t="shared" si="29"/>
        <v>20</v>
      </c>
      <c r="AA37" s="16">
        <f t="shared" si="29"/>
        <v>4</v>
      </c>
      <c r="AB37" s="16">
        <f t="shared" si="29"/>
        <v>4</v>
      </c>
      <c r="AC37" s="16">
        <f t="shared" si="29"/>
        <v>2715</v>
      </c>
      <c r="AD37" s="16">
        <f t="shared" si="29"/>
        <v>0</v>
      </c>
      <c r="AE37" s="32">
        <f t="shared" si="29"/>
        <v>1976</v>
      </c>
      <c r="AF37" s="32">
        <f t="shared" si="29"/>
        <v>4691</v>
      </c>
    </row>
    <row r="38" spans="2:32" ht="23.1" customHeight="1" x14ac:dyDescent="0.25">
      <c r="B38" s="46" t="s">
        <v>65</v>
      </c>
      <c r="C38" s="50">
        <v>97</v>
      </c>
      <c r="D38" s="50">
        <v>31</v>
      </c>
      <c r="E38" s="50">
        <v>9</v>
      </c>
      <c r="F38" s="50">
        <v>13</v>
      </c>
      <c r="G38" s="50">
        <v>0</v>
      </c>
      <c r="H38" s="50">
        <v>0</v>
      </c>
      <c r="I38" s="50">
        <v>7</v>
      </c>
      <c r="J38" s="50">
        <v>0</v>
      </c>
      <c r="K38" s="50">
        <v>1</v>
      </c>
      <c r="L38" s="50">
        <v>0</v>
      </c>
      <c r="M38" s="50">
        <v>221</v>
      </c>
      <c r="N38" s="50">
        <v>0</v>
      </c>
      <c r="O38" s="15">
        <f t="shared" si="0"/>
        <v>158</v>
      </c>
      <c r="P38" s="15">
        <f t="shared" si="1"/>
        <v>379</v>
      </c>
      <c r="R38" s="28" t="s">
        <v>86</v>
      </c>
      <c r="S38" s="16">
        <f t="shared" ref="S38:AF38" si="30">SUM(S13:S18)</f>
        <v>2493</v>
      </c>
      <c r="T38" s="16">
        <f t="shared" si="30"/>
        <v>585</v>
      </c>
      <c r="U38" s="16">
        <f t="shared" si="30"/>
        <v>281</v>
      </c>
      <c r="V38" s="16">
        <f t="shared" si="30"/>
        <v>320</v>
      </c>
      <c r="W38" s="16">
        <f t="shared" si="30"/>
        <v>7</v>
      </c>
      <c r="X38" s="16">
        <f t="shared" si="30"/>
        <v>1</v>
      </c>
      <c r="Y38" s="16">
        <f t="shared" si="30"/>
        <v>190</v>
      </c>
      <c r="Z38" s="16">
        <f t="shared" si="30"/>
        <v>33</v>
      </c>
      <c r="AA38" s="16">
        <f t="shared" si="30"/>
        <v>12</v>
      </c>
      <c r="AB38" s="16">
        <f t="shared" si="30"/>
        <v>5</v>
      </c>
      <c r="AC38" s="16">
        <f t="shared" si="30"/>
        <v>4763</v>
      </c>
      <c r="AD38" s="16">
        <f t="shared" si="30"/>
        <v>0</v>
      </c>
      <c r="AE38" s="32">
        <f t="shared" si="30"/>
        <v>3927</v>
      </c>
      <c r="AF38" s="32">
        <f t="shared" si="30"/>
        <v>8690</v>
      </c>
    </row>
    <row r="39" spans="2:32" ht="23.1" customHeight="1" x14ac:dyDescent="0.25">
      <c r="B39" s="46" t="s">
        <v>66</v>
      </c>
      <c r="C39" s="50">
        <v>148</v>
      </c>
      <c r="D39" s="50">
        <v>26</v>
      </c>
      <c r="E39" s="50">
        <v>12</v>
      </c>
      <c r="F39" s="50">
        <v>21</v>
      </c>
      <c r="G39" s="50">
        <v>0</v>
      </c>
      <c r="H39" s="50">
        <v>0</v>
      </c>
      <c r="I39" s="50">
        <v>2</v>
      </c>
      <c r="J39" s="50">
        <v>1</v>
      </c>
      <c r="K39" s="50">
        <v>1</v>
      </c>
      <c r="L39" s="50">
        <v>0</v>
      </c>
      <c r="M39" s="50">
        <v>191</v>
      </c>
      <c r="N39" s="50">
        <v>0</v>
      </c>
      <c r="O39" s="15">
        <f t="shared" si="0"/>
        <v>211</v>
      </c>
      <c r="P39" s="15">
        <f t="shared" si="1"/>
        <v>402</v>
      </c>
      <c r="R39" s="29" t="s">
        <v>87</v>
      </c>
      <c r="S39" s="16">
        <f t="shared" ref="S39:AF39" si="31">SUM(S19:S21)</f>
        <v>1401</v>
      </c>
      <c r="T39" s="16">
        <f t="shared" si="31"/>
        <v>297</v>
      </c>
      <c r="U39" s="16">
        <f t="shared" si="31"/>
        <v>135</v>
      </c>
      <c r="V39" s="16">
        <f t="shared" si="31"/>
        <v>110</v>
      </c>
      <c r="W39" s="16">
        <f t="shared" si="31"/>
        <v>4</v>
      </c>
      <c r="X39" s="16">
        <f t="shared" si="31"/>
        <v>1</v>
      </c>
      <c r="Y39" s="16">
        <f t="shared" si="31"/>
        <v>74</v>
      </c>
      <c r="Z39" s="16">
        <f t="shared" si="31"/>
        <v>14</v>
      </c>
      <c r="AA39" s="16">
        <f t="shared" si="31"/>
        <v>3</v>
      </c>
      <c r="AB39" s="16">
        <f t="shared" si="31"/>
        <v>2</v>
      </c>
      <c r="AC39" s="16">
        <f t="shared" si="31"/>
        <v>2245</v>
      </c>
      <c r="AD39" s="16">
        <f t="shared" si="31"/>
        <v>0</v>
      </c>
      <c r="AE39" s="32">
        <f t="shared" si="31"/>
        <v>2041</v>
      </c>
      <c r="AF39" s="32">
        <f t="shared" si="31"/>
        <v>4286</v>
      </c>
    </row>
    <row r="40" spans="2:32" ht="23.1" customHeight="1" x14ac:dyDescent="0.25">
      <c r="B40" s="46" t="s">
        <v>67</v>
      </c>
      <c r="C40" s="50">
        <v>94</v>
      </c>
      <c r="D40" s="50">
        <v>29</v>
      </c>
      <c r="E40" s="50">
        <v>10</v>
      </c>
      <c r="F40" s="50">
        <v>5</v>
      </c>
      <c r="G40" s="50">
        <v>0</v>
      </c>
      <c r="H40" s="50">
        <v>0</v>
      </c>
      <c r="I40" s="50">
        <v>7</v>
      </c>
      <c r="J40" s="50">
        <v>3</v>
      </c>
      <c r="K40" s="50">
        <v>1</v>
      </c>
      <c r="L40" s="50">
        <v>1</v>
      </c>
      <c r="M40" s="50">
        <v>169</v>
      </c>
      <c r="N40" s="50">
        <v>0</v>
      </c>
      <c r="O40" s="15">
        <f t="shared" si="0"/>
        <v>150</v>
      </c>
      <c r="P40" s="15">
        <f t="shared" si="1"/>
        <v>319</v>
      </c>
      <c r="R40" s="5" t="s">
        <v>17</v>
      </c>
      <c r="S40" s="16">
        <f t="shared" ref="S40:AF40" si="32">SUM(S10:S21)</f>
        <v>5223</v>
      </c>
      <c r="T40" s="16">
        <f t="shared" si="32"/>
        <v>1192</v>
      </c>
      <c r="U40" s="16">
        <f t="shared" si="32"/>
        <v>550</v>
      </c>
      <c r="V40" s="16">
        <f t="shared" si="32"/>
        <v>530</v>
      </c>
      <c r="W40" s="16">
        <f t="shared" si="32"/>
        <v>15</v>
      </c>
      <c r="X40" s="16">
        <f t="shared" si="32"/>
        <v>3</v>
      </c>
      <c r="Y40" s="16">
        <f t="shared" si="32"/>
        <v>334</v>
      </c>
      <c r="Z40" s="16">
        <f t="shared" si="32"/>
        <v>67</v>
      </c>
      <c r="AA40" s="16">
        <f t="shared" si="32"/>
        <v>19</v>
      </c>
      <c r="AB40" s="16">
        <f t="shared" si="32"/>
        <v>11</v>
      </c>
      <c r="AC40" s="16">
        <f t="shared" si="32"/>
        <v>9723</v>
      </c>
      <c r="AD40" s="16">
        <f t="shared" si="32"/>
        <v>0</v>
      </c>
      <c r="AE40" s="32">
        <f t="shared" si="32"/>
        <v>7944</v>
      </c>
      <c r="AF40" s="32">
        <f t="shared" si="32"/>
        <v>17667</v>
      </c>
    </row>
    <row r="41" spans="2:32" ht="23.1" customHeight="1" x14ac:dyDescent="0.25">
      <c r="B41" s="45" t="s">
        <v>68</v>
      </c>
      <c r="C41" s="50">
        <v>129</v>
      </c>
      <c r="D41" s="50">
        <v>26</v>
      </c>
      <c r="E41" s="50">
        <v>7</v>
      </c>
      <c r="F41" s="50">
        <v>28</v>
      </c>
      <c r="G41" s="50">
        <v>0</v>
      </c>
      <c r="H41" s="50">
        <v>0</v>
      </c>
      <c r="I41" s="50">
        <v>3</v>
      </c>
      <c r="J41" s="50">
        <v>1</v>
      </c>
      <c r="K41" s="50">
        <v>0</v>
      </c>
      <c r="L41" s="50">
        <v>0</v>
      </c>
      <c r="M41" s="50">
        <v>212</v>
      </c>
      <c r="N41" s="50">
        <v>0</v>
      </c>
      <c r="O41" s="15">
        <f t="shared" si="0"/>
        <v>194</v>
      </c>
      <c r="P41" s="15">
        <f t="shared" si="1"/>
        <v>406</v>
      </c>
      <c r="R41" s="5" t="s">
        <v>159</v>
      </c>
      <c r="S41" s="16">
        <f>SUM(S10:S33)</f>
        <v>7731</v>
      </c>
      <c r="T41" s="16">
        <f t="shared" ref="T41:AF41" si="33">SUM(T10:T33)</f>
        <v>1473</v>
      </c>
      <c r="U41" s="16">
        <f t="shared" si="33"/>
        <v>675</v>
      </c>
      <c r="V41" s="16">
        <f t="shared" si="33"/>
        <v>606</v>
      </c>
      <c r="W41" s="16">
        <f t="shared" si="33"/>
        <v>21</v>
      </c>
      <c r="X41" s="16">
        <f t="shared" si="33"/>
        <v>5</v>
      </c>
      <c r="Y41" s="16">
        <f t="shared" si="33"/>
        <v>381</v>
      </c>
      <c r="Z41" s="16">
        <f t="shared" si="33"/>
        <v>85</v>
      </c>
      <c r="AA41" s="16">
        <f t="shared" si="33"/>
        <v>28</v>
      </c>
      <c r="AB41" s="16">
        <f t="shared" si="33"/>
        <v>12</v>
      </c>
      <c r="AC41" s="16">
        <f t="shared" si="33"/>
        <v>12247</v>
      </c>
      <c r="AD41" s="16">
        <f t="shared" si="33"/>
        <v>0</v>
      </c>
      <c r="AE41" s="32">
        <f t="shared" si="33"/>
        <v>11017</v>
      </c>
      <c r="AF41" s="32">
        <f t="shared" si="33"/>
        <v>23264</v>
      </c>
    </row>
    <row r="42" spans="2:32" ht="23.1" customHeight="1" x14ac:dyDescent="0.25">
      <c r="B42" s="46" t="s">
        <v>69</v>
      </c>
      <c r="C42" s="50">
        <v>110</v>
      </c>
      <c r="D42" s="50">
        <v>20</v>
      </c>
      <c r="E42" s="50">
        <v>13</v>
      </c>
      <c r="F42" s="50">
        <v>10</v>
      </c>
      <c r="G42" s="50">
        <v>0</v>
      </c>
      <c r="H42" s="50">
        <v>0</v>
      </c>
      <c r="I42" s="50">
        <v>9</v>
      </c>
      <c r="J42" s="50">
        <v>1</v>
      </c>
      <c r="K42" s="50">
        <v>0</v>
      </c>
      <c r="L42" s="50">
        <v>0</v>
      </c>
      <c r="M42" s="50">
        <v>226</v>
      </c>
      <c r="N42" s="50">
        <v>0</v>
      </c>
      <c r="O42" s="15">
        <f t="shared" si="0"/>
        <v>163</v>
      </c>
      <c r="P42" s="15">
        <f t="shared" si="1"/>
        <v>389</v>
      </c>
      <c r="R42" s="5" t="s">
        <v>160</v>
      </c>
      <c r="S42" s="48">
        <f>S41/S40</f>
        <v>1.4801838024124068</v>
      </c>
      <c r="T42" s="48">
        <f t="shared" ref="T42:AF42" si="34">T41/T40</f>
        <v>1.2357382550335569</v>
      </c>
      <c r="U42" s="48">
        <f t="shared" si="34"/>
        <v>1.2272727272727273</v>
      </c>
      <c r="V42" s="48">
        <f t="shared" si="34"/>
        <v>1.1433962264150943</v>
      </c>
      <c r="W42" s="48">
        <f t="shared" si="34"/>
        <v>1.4</v>
      </c>
      <c r="X42" s="48">
        <f t="shared" si="34"/>
        <v>1.6666666666666667</v>
      </c>
      <c r="Y42" s="48">
        <f t="shared" si="34"/>
        <v>1.1407185628742516</v>
      </c>
      <c r="Z42" s="48">
        <f t="shared" si="34"/>
        <v>1.2686567164179106</v>
      </c>
      <c r="AA42" s="48">
        <f t="shared" si="34"/>
        <v>1.4736842105263157</v>
      </c>
      <c r="AB42" s="48">
        <f t="shared" si="34"/>
        <v>1.0909090909090908</v>
      </c>
      <c r="AC42" s="48">
        <f t="shared" si="34"/>
        <v>1.259590661318523</v>
      </c>
      <c r="AD42" s="48" t="e">
        <f t="shared" si="34"/>
        <v>#DIV/0!</v>
      </c>
      <c r="AE42" s="48">
        <f t="shared" si="34"/>
        <v>1.3868328298086605</v>
      </c>
      <c r="AF42" s="48">
        <f t="shared" si="34"/>
        <v>1.3168053432954094</v>
      </c>
    </row>
    <row r="43" spans="2:32" ht="23.1" customHeight="1" x14ac:dyDescent="0.25">
      <c r="B43" s="45" t="s">
        <v>70</v>
      </c>
      <c r="C43" s="50">
        <v>105</v>
      </c>
      <c r="D43" s="50">
        <v>22</v>
      </c>
      <c r="E43" s="50">
        <v>7</v>
      </c>
      <c r="F43" s="50">
        <v>8</v>
      </c>
      <c r="G43" s="50">
        <v>1</v>
      </c>
      <c r="H43" s="50">
        <v>0</v>
      </c>
      <c r="I43" s="50">
        <v>11</v>
      </c>
      <c r="J43" s="50">
        <v>1</v>
      </c>
      <c r="K43" s="50">
        <v>1</v>
      </c>
      <c r="L43" s="50">
        <v>0</v>
      </c>
      <c r="M43" s="50">
        <v>194</v>
      </c>
      <c r="N43" s="50">
        <v>0</v>
      </c>
      <c r="O43" s="15">
        <f t="shared" si="0"/>
        <v>156</v>
      </c>
      <c r="P43" s="15">
        <f t="shared" si="1"/>
        <v>350</v>
      </c>
    </row>
    <row r="44" spans="2:32" ht="23.1" customHeight="1" x14ac:dyDescent="0.25">
      <c r="B44" s="47" t="s">
        <v>71</v>
      </c>
      <c r="C44" s="50">
        <v>104</v>
      </c>
      <c r="D44" s="50">
        <v>25</v>
      </c>
      <c r="E44" s="50">
        <v>12</v>
      </c>
      <c r="F44" s="50">
        <v>9</v>
      </c>
      <c r="G44" s="50">
        <v>1</v>
      </c>
      <c r="H44" s="50">
        <v>0</v>
      </c>
      <c r="I44" s="50">
        <v>14</v>
      </c>
      <c r="J44" s="50">
        <v>0</v>
      </c>
      <c r="K44" s="50">
        <v>0</v>
      </c>
      <c r="L44" s="50">
        <v>1</v>
      </c>
      <c r="M44" s="50">
        <v>174</v>
      </c>
      <c r="N44" s="50">
        <v>0</v>
      </c>
      <c r="O44" s="15">
        <f t="shared" si="0"/>
        <v>166</v>
      </c>
      <c r="P44" s="15">
        <f t="shared" si="1"/>
        <v>340</v>
      </c>
    </row>
    <row r="45" spans="2:32" ht="23.1" customHeight="1" x14ac:dyDescent="0.25">
      <c r="B45" s="45" t="s">
        <v>72</v>
      </c>
      <c r="C45" s="50">
        <v>113</v>
      </c>
      <c r="D45" s="50">
        <v>28</v>
      </c>
      <c r="E45" s="50">
        <v>11</v>
      </c>
      <c r="F45" s="50">
        <v>8</v>
      </c>
      <c r="G45" s="50">
        <v>0</v>
      </c>
      <c r="H45" s="50">
        <v>0</v>
      </c>
      <c r="I45" s="50">
        <v>11</v>
      </c>
      <c r="J45" s="50">
        <v>0</v>
      </c>
      <c r="K45" s="50">
        <v>1</v>
      </c>
      <c r="L45" s="50">
        <v>0</v>
      </c>
      <c r="M45" s="50">
        <v>109</v>
      </c>
      <c r="N45" s="50">
        <v>0</v>
      </c>
      <c r="O45" s="15">
        <f t="shared" si="0"/>
        <v>172</v>
      </c>
      <c r="P45" s="15">
        <f t="shared" si="1"/>
        <v>281</v>
      </c>
    </row>
    <row r="46" spans="2:32" ht="23.1" customHeight="1" x14ac:dyDescent="0.25">
      <c r="B46" s="46" t="s">
        <v>73</v>
      </c>
      <c r="C46" s="50">
        <v>81</v>
      </c>
      <c r="D46" s="50">
        <v>27</v>
      </c>
      <c r="E46" s="50">
        <v>11</v>
      </c>
      <c r="F46" s="50">
        <v>8</v>
      </c>
      <c r="G46" s="50">
        <v>0</v>
      </c>
      <c r="H46" s="50">
        <v>0</v>
      </c>
      <c r="I46" s="50">
        <v>8</v>
      </c>
      <c r="J46" s="50">
        <v>1</v>
      </c>
      <c r="K46" s="50">
        <v>0</v>
      </c>
      <c r="L46" s="50">
        <v>0</v>
      </c>
      <c r="M46" s="50">
        <v>190</v>
      </c>
      <c r="N46" s="50">
        <v>0</v>
      </c>
      <c r="O46" s="15">
        <f t="shared" si="0"/>
        <v>136</v>
      </c>
      <c r="P46" s="15">
        <f t="shared" si="1"/>
        <v>326</v>
      </c>
      <c r="R46" s="8"/>
      <c r="T46"/>
    </row>
    <row r="47" spans="2:32" ht="23.1" customHeight="1" x14ac:dyDescent="0.25">
      <c r="B47" s="46" t="s">
        <v>74</v>
      </c>
      <c r="C47" s="50">
        <v>104</v>
      </c>
      <c r="D47" s="50">
        <v>39</v>
      </c>
      <c r="E47" s="50">
        <v>9</v>
      </c>
      <c r="F47" s="50">
        <v>7</v>
      </c>
      <c r="G47" s="50">
        <v>0</v>
      </c>
      <c r="H47" s="50">
        <v>0</v>
      </c>
      <c r="I47" s="50">
        <v>6</v>
      </c>
      <c r="J47" s="50">
        <v>0</v>
      </c>
      <c r="K47" s="50">
        <v>0</v>
      </c>
      <c r="L47" s="50">
        <v>0</v>
      </c>
      <c r="M47" s="50">
        <v>183</v>
      </c>
      <c r="N47" s="50">
        <v>0</v>
      </c>
      <c r="O47" s="15">
        <f t="shared" si="0"/>
        <v>165</v>
      </c>
      <c r="P47" s="15">
        <f t="shared" si="1"/>
        <v>348</v>
      </c>
      <c r="R47" s="8"/>
      <c r="T47"/>
    </row>
    <row r="48" spans="2:32" ht="23.1" customHeight="1" x14ac:dyDescent="0.25">
      <c r="B48" s="46" t="s">
        <v>75</v>
      </c>
      <c r="C48" s="50">
        <v>110</v>
      </c>
      <c r="D48" s="50">
        <v>31</v>
      </c>
      <c r="E48" s="50">
        <v>12</v>
      </c>
      <c r="F48" s="50">
        <v>11</v>
      </c>
      <c r="G48" s="50">
        <v>0</v>
      </c>
      <c r="H48" s="50">
        <v>0</v>
      </c>
      <c r="I48" s="50">
        <v>9</v>
      </c>
      <c r="J48" s="50">
        <v>4</v>
      </c>
      <c r="K48" s="50">
        <v>0</v>
      </c>
      <c r="L48" s="50">
        <v>0</v>
      </c>
      <c r="M48" s="50">
        <v>231</v>
      </c>
      <c r="N48" s="50">
        <v>0</v>
      </c>
      <c r="O48" s="15">
        <f t="shared" si="0"/>
        <v>177</v>
      </c>
      <c r="P48" s="15">
        <f t="shared" si="1"/>
        <v>408</v>
      </c>
      <c r="R48" s="8"/>
      <c r="T48"/>
    </row>
    <row r="49" spans="2:20" ht="23.1" customHeight="1" x14ac:dyDescent="0.25">
      <c r="B49" s="45" t="s">
        <v>76</v>
      </c>
      <c r="C49" s="50">
        <v>110</v>
      </c>
      <c r="D49" s="50">
        <v>31</v>
      </c>
      <c r="E49" s="50">
        <v>7</v>
      </c>
      <c r="F49" s="50">
        <v>12</v>
      </c>
      <c r="G49" s="50">
        <v>1</v>
      </c>
      <c r="H49" s="50">
        <v>0</v>
      </c>
      <c r="I49" s="50">
        <v>11</v>
      </c>
      <c r="J49" s="50">
        <v>1</v>
      </c>
      <c r="K49" s="50">
        <v>0</v>
      </c>
      <c r="L49" s="50">
        <v>1</v>
      </c>
      <c r="M49" s="50">
        <v>163</v>
      </c>
      <c r="N49" s="50">
        <v>0</v>
      </c>
      <c r="O49" s="15">
        <f t="shared" si="0"/>
        <v>174</v>
      </c>
      <c r="P49" s="15">
        <f t="shared" si="1"/>
        <v>337</v>
      </c>
      <c r="R49" s="8"/>
      <c r="T49"/>
    </row>
    <row r="50" spans="2:20" ht="23.1" customHeight="1" x14ac:dyDescent="0.25">
      <c r="B50" s="46" t="s">
        <v>77</v>
      </c>
      <c r="C50" s="50">
        <v>149</v>
      </c>
      <c r="D50" s="50">
        <v>23</v>
      </c>
      <c r="E50" s="50">
        <v>14</v>
      </c>
      <c r="F50" s="50">
        <v>7</v>
      </c>
      <c r="G50" s="50">
        <v>2</v>
      </c>
      <c r="H50" s="50">
        <v>1</v>
      </c>
      <c r="I50" s="50">
        <v>11</v>
      </c>
      <c r="J50" s="50">
        <v>1</v>
      </c>
      <c r="K50" s="50">
        <v>1</v>
      </c>
      <c r="L50" s="50">
        <v>1</v>
      </c>
      <c r="M50" s="50">
        <v>199</v>
      </c>
      <c r="N50" s="50">
        <v>0</v>
      </c>
      <c r="O50" s="15">
        <f t="shared" si="0"/>
        <v>210</v>
      </c>
      <c r="P50" s="15">
        <f t="shared" si="1"/>
        <v>409</v>
      </c>
      <c r="R50" s="8"/>
      <c r="T50"/>
    </row>
    <row r="51" spans="2:20" ht="23.1" customHeight="1" x14ac:dyDescent="0.25">
      <c r="B51" s="46" t="s">
        <v>78</v>
      </c>
      <c r="C51" s="50">
        <v>11</v>
      </c>
      <c r="D51" s="50">
        <v>30</v>
      </c>
      <c r="E51" s="50">
        <v>9</v>
      </c>
      <c r="F51" s="50">
        <v>7</v>
      </c>
      <c r="G51" s="50">
        <v>0</v>
      </c>
      <c r="H51" s="50">
        <v>0</v>
      </c>
      <c r="I51" s="50">
        <v>5</v>
      </c>
      <c r="J51" s="50">
        <v>2</v>
      </c>
      <c r="K51" s="50">
        <v>0</v>
      </c>
      <c r="L51" s="50">
        <v>0</v>
      </c>
      <c r="M51" s="50">
        <v>187</v>
      </c>
      <c r="N51" s="50">
        <v>0</v>
      </c>
      <c r="O51" s="15">
        <f t="shared" si="0"/>
        <v>64</v>
      </c>
      <c r="P51" s="15">
        <f t="shared" si="1"/>
        <v>251</v>
      </c>
      <c r="R51" s="8"/>
      <c r="T51"/>
    </row>
    <row r="52" spans="2:20" ht="23.1" customHeight="1" x14ac:dyDescent="0.25">
      <c r="B52" s="46" t="s">
        <v>79</v>
      </c>
      <c r="C52" s="50">
        <v>139</v>
      </c>
      <c r="D52" s="50">
        <v>19</v>
      </c>
      <c r="E52" s="50">
        <v>20</v>
      </c>
      <c r="F52" s="50">
        <v>12</v>
      </c>
      <c r="G52" s="50">
        <v>1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194</v>
      </c>
      <c r="N52" s="50">
        <v>0</v>
      </c>
      <c r="O52" s="15">
        <f t="shared" si="0"/>
        <v>195</v>
      </c>
      <c r="P52" s="15">
        <f t="shared" si="1"/>
        <v>389</v>
      </c>
      <c r="R52" s="8"/>
      <c r="T52"/>
    </row>
    <row r="53" spans="2:20" ht="23.1" customHeight="1" x14ac:dyDescent="0.25">
      <c r="B53" s="45" t="s">
        <v>80</v>
      </c>
      <c r="C53" s="50">
        <v>145</v>
      </c>
      <c r="D53" s="50">
        <v>15</v>
      </c>
      <c r="E53" s="50">
        <v>18</v>
      </c>
      <c r="F53" s="50">
        <v>10</v>
      </c>
      <c r="G53" s="50">
        <v>0</v>
      </c>
      <c r="H53" s="50">
        <v>0</v>
      </c>
      <c r="I53" s="50">
        <v>5</v>
      </c>
      <c r="J53" s="50">
        <v>4</v>
      </c>
      <c r="K53" s="50">
        <v>1</v>
      </c>
      <c r="L53" s="50">
        <v>0</v>
      </c>
      <c r="M53" s="50">
        <v>182</v>
      </c>
      <c r="N53" s="50">
        <v>0</v>
      </c>
      <c r="O53" s="15">
        <f t="shared" si="0"/>
        <v>198</v>
      </c>
      <c r="P53" s="15">
        <f t="shared" si="1"/>
        <v>380</v>
      </c>
      <c r="R53" s="8"/>
      <c r="T53"/>
    </row>
    <row r="54" spans="2:20" ht="23.1" customHeight="1" x14ac:dyDescent="0.25">
      <c r="B54" s="45" t="s">
        <v>81</v>
      </c>
      <c r="C54" s="50">
        <v>138</v>
      </c>
      <c r="D54" s="50">
        <v>16</v>
      </c>
      <c r="E54" s="50">
        <v>3</v>
      </c>
      <c r="F54" s="50">
        <v>8</v>
      </c>
      <c r="G54" s="50">
        <v>0</v>
      </c>
      <c r="H54" s="50">
        <v>0</v>
      </c>
      <c r="I54" s="50">
        <v>3</v>
      </c>
      <c r="J54" s="50">
        <v>0</v>
      </c>
      <c r="K54" s="50">
        <v>1</v>
      </c>
      <c r="L54" s="50">
        <v>0</v>
      </c>
      <c r="M54" s="50">
        <v>108</v>
      </c>
      <c r="N54" s="50">
        <v>0</v>
      </c>
      <c r="O54" s="15">
        <f t="shared" si="0"/>
        <v>169</v>
      </c>
      <c r="P54" s="15">
        <f t="shared" si="1"/>
        <v>277</v>
      </c>
      <c r="R54" s="8"/>
      <c r="T54"/>
    </row>
    <row r="55" spans="2:20" ht="23.1" customHeight="1" x14ac:dyDescent="0.25">
      <c r="B55" s="45" t="s">
        <v>82</v>
      </c>
      <c r="C55" s="50">
        <v>167</v>
      </c>
      <c r="D55" s="50">
        <v>27</v>
      </c>
      <c r="E55" s="50">
        <v>7</v>
      </c>
      <c r="F55" s="50">
        <v>14</v>
      </c>
      <c r="G55" s="50">
        <v>0</v>
      </c>
      <c r="H55" s="50">
        <v>0</v>
      </c>
      <c r="I55" s="50">
        <v>5</v>
      </c>
      <c r="J55" s="50">
        <v>0</v>
      </c>
      <c r="K55" s="50">
        <v>0</v>
      </c>
      <c r="L55" s="50">
        <v>0</v>
      </c>
      <c r="M55" s="50">
        <v>184</v>
      </c>
      <c r="N55" s="50">
        <v>0</v>
      </c>
      <c r="O55" s="15">
        <f t="shared" si="0"/>
        <v>220</v>
      </c>
      <c r="P55" s="15">
        <f t="shared" si="1"/>
        <v>404</v>
      </c>
      <c r="R55" s="8"/>
      <c r="T55"/>
    </row>
    <row r="56" spans="2:20" ht="23.1" customHeight="1" x14ac:dyDescent="0.25">
      <c r="B56" s="45" t="s">
        <v>83</v>
      </c>
      <c r="C56" s="50">
        <v>120</v>
      </c>
      <c r="D56" s="50">
        <v>24</v>
      </c>
      <c r="E56" s="50">
        <v>14</v>
      </c>
      <c r="F56" s="50">
        <v>6</v>
      </c>
      <c r="G56" s="50">
        <v>0</v>
      </c>
      <c r="H56" s="50">
        <v>0</v>
      </c>
      <c r="I56" s="50">
        <v>3</v>
      </c>
      <c r="J56" s="50">
        <v>0</v>
      </c>
      <c r="K56" s="50">
        <v>0</v>
      </c>
      <c r="L56" s="50">
        <v>0</v>
      </c>
      <c r="M56" s="50">
        <v>204</v>
      </c>
      <c r="N56" s="50">
        <v>0</v>
      </c>
      <c r="O56" s="15">
        <f t="shared" si="0"/>
        <v>167</v>
      </c>
      <c r="P56" s="15">
        <f t="shared" si="1"/>
        <v>371</v>
      </c>
      <c r="R56" s="8"/>
      <c r="T56"/>
    </row>
    <row r="57" spans="2:20" ht="23.1" customHeight="1" x14ac:dyDescent="0.25">
      <c r="B57" s="45" t="s">
        <v>84</v>
      </c>
      <c r="C57" s="50">
        <v>127</v>
      </c>
      <c r="D57" s="50">
        <v>15</v>
      </c>
      <c r="E57" s="50">
        <v>11</v>
      </c>
      <c r="F57" s="50">
        <v>8</v>
      </c>
      <c r="G57" s="50">
        <v>0</v>
      </c>
      <c r="H57" s="50">
        <v>0</v>
      </c>
      <c r="I57" s="50">
        <v>5</v>
      </c>
      <c r="J57" s="50">
        <v>0</v>
      </c>
      <c r="K57" s="50">
        <v>0</v>
      </c>
      <c r="L57" s="50">
        <v>0</v>
      </c>
      <c r="M57" s="50">
        <v>220</v>
      </c>
      <c r="N57" s="50">
        <v>0</v>
      </c>
      <c r="O57" s="15">
        <f t="shared" si="0"/>
        <v>166</v>
      </c>
      <c r="P57" s="15">
        <f t="shared" si="1"/>
        <v>386</v>
      </c>
      <c r="R57" s="8"/>
      <c r="T57"/>
    </row>
    <row r="58" spans="2:20" ht="23.1" customHeight="1" x14ac:dyDescent="0.25">
      <c r="B58" s="45" t="s">
        <v>99</v>
      </c>
      <c r="C58" s="50">
        <v>144</v>
      </c>
      <c r="D58" s="50">
        <v>18</v>
      </c>
      <c r="E58" s="50">
        <v>11</v>
      </c>
      <c r="F58" s="50">
        <v>8</v>
      </c>
      <c r="G58" s="50">
        <v>0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195</v>
      </c>
      <c r="N58" s="50">
        <v>0</v>
      </c>
      <c r="O58" s="15">
        <f t="shared" si="0"/>
        <v>184</v>
      </c>
      <c r="P58" s="15">
        <f t="shared" si="1"/>
        <v>379</v>
      </c>
      <c r="R58" s="8"/>
      <c r="T58"/>
    </row>
    <row r="59" spans="2:20" ht="23.1" customHeight="1" x14ac:dyDescent="0.25">
      <c r="B59" s="45" t="s">
        <v>100</v>
      </c>
      <c r="C59" s="50">
        <v>82</v>
      </c>
      <c r="D59" s="50">
        <v>7</v>
      </c>
      <c r="E59" s="50">
        <v>2</v>
      </c>
      <c r="F59" s="50">
        <v>8</v>
      </c>
      <c r="G59" s="50">
        <v>0</v>
      </c>
      <c r="H59" s="50">
        <v>0</v>
      </c>
      <c r="I59" s="50">
        <v>3</v>
      </c>
      <c r="J59" s="50">
        <v>0</v>
      </c>
      <c r="K59" s="50">
        <v>0</v>
      </c>
      <c r="L59" s="50">
        <v>0</v>
      </c>
      <c r="M59" s="50">
        <v>140</v>
      </c>
      <c r="N59" s="50">
        <v>0</v>
      </c>
      <c r="O59" s="15">
        <f t="shared" si="0"/>
        <v>102</v>
      </c>
      <c r="P59" s="15">
        <f t="shared" si="1"/>
        <v>242</v>
      </c>
      <c r="R59" s="8"/>
      <c r="T59"/>
    </row>
    <row r="60" spans="2:20" ht="23.1" customHeight="1" x14ac:dyDescent="0.25">
      <c r="B60" s="45" t="s">
        <v>101</v>
      </c>
      <c r="C60" s="50">
        <v>99</v>
      </c>
      <c r="D60" s="50">
        <v>24</v>
      </c>
      <c r="E60" s="50">
        <v>6</v>
      </c>
      <c r="F60" s="50">
        <v>4</v>
      </c>
      <c r="G60" s="50">
        <v>1</v>
      </c>
      <c r="H60" s="50">
        <v>0</v>
      </c>
      <c r="I60" s="50">
        <v>2</v>
      </c>
      <c r="J60" s="50">
        <v>2</v>
      </c>
      <c r="K60" s="50">
        <v>1</v>
      </c>
      <c r="L60" s="50">
        <v>0</v>
      </c>
      <c r="M60" s="50">
        <v>173</v>
      </c>
      <c r="N60" s="50">
        <v>0</v>
      </c>
      <c r="O60" s="15">
        <f t="shared" si="0"/>
        <v>139</v>
      </c>
      <c r="P60" s="15">
        <f t="shared" si="1"/>
        <v>312</v>
      </c>
      <c r="R60" s="8"/>
      <c r="T60"/>
    </row>
    <row r="61" spans="2:20" ht="23.1" customHeight="1" x14ac:dyDescent="0.25">
      <c r="B61" s="45" t="s">
        <v>102</v>
      </c>
      <c r="C61" s="50">
        <v>99</v>
      </c>
      <c r="D61" s="50">
        <v>12</v>
      </c>
      <c r="E61" s="50">
        <v>7</v>
      </c>
      <c r="F61" s="50">
        <v>8</v>
      </c>
      <c r="G61" s="50">
        <v>0</v>
      </c>
      <c r="H61" s="50">
        <v>0</v>
      </c>
      <c r="I61" s="50">
        <v>3</v>
      </c>
      <c r="J61" s="50">
        <v>0</v>
      </c>
      <c r="K61" s="50">
        <v>2</v>
      </c>
      <c r="L61" s="50">
        <v>0</v>
      </c>
      <c r="M61" s="50">
        <v>125</v>
      </c>
      <c r="N61" s="50">
        <v>0</v>
      </c>
      <c r="O61" s="15">
        <f t="shared" si="0"/>
        <v>131</v>
      </c>
      <c r="P61" s="15">
        <f t="shared" si="1"/>
        <v>256</v>
      </c>
      <c r="R61" s="8"/>
      <c r="T61"/>
    </row>
    <row r="62" spans="2:20" ht="23.1" customHeight="1" x14ac:dyDescent="0.25">
      <c r="B62" s="45" t="s">
        <v>107</v>
      </c>
      <c r="C62" s="50">
        <v>108</v>
      </c>
      <c r="D62" s="50">
        <v>16</v>
      </c>
      <c r="E62" s="50">
        <v>5</v>
      </c>
      <c r="F62" s="50">
        <v>4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0</v>
      </c>
      <c r="M62" s="50">
        <v>115</v>
      </c>
      <c r="N62" s="50">
        <v>0</v>
      </c>
      <c r="O62" s="15">
        <f t="shared" si="0"/>
        <v>133</v>
      </c>
      <c r="P62" s="15">
        <f t="shared" si="1"/>
        <v>248</v>
      </c>
      <c r="R62" s="8"/>
      <c r="T62"/>
    </row>
    <row r="63" spans="2:20" ht="23.1" customHeight="1" x14ac:dyDescent="0.25">
      <c r="B63" s="45" t="s">
        <v>108</v>
      </c>
      <c r="C63" s="50">
        <v>121</v>
      </c>
      <c r="D63" s="50">
        <v>1</v>
      </c>
      <c r="E63" s="50">
        <v>5</v>
      </c>
      <c r="F63" s="50">
        <v>3</v>
      </c>
      <c r="G63" s="50">
        <v>0</v>
      </c>
      <c r="H63" s="50">
        <v>0</v>
      </c>
      <c r="I63" s="50">
        <v>3</v>
      </c>
      <c r="J63" s="50">
        <v>0</v>
      </c>
      <c r="K63" s="50">
        <v>0</v>
      </c>
      <c r="L63" s="50">
        <v>0</v>
      </c>
      <c r="M63" s="50">
        <v>139</v>
      </c>
      <c r="N63" s="50">
        <v>0</v>
      </c>
      <c r="O63" s="15">
        <f t="shared" si="0"/>
        <v>133</v>
      </c>
      <c r="P63" s="15">
        <f t="shared" si="1"/>
        <v>272</v>
      </c>
      <c r="R63" s="8"/>
      <c r="T63"/>
    </row>
    <row r="64" spans="2:20" ht="23.1" customHeight="1" x14ac:dyDescent="0.25">
      <c r="B64" s="45" t="s">
        <v>109</v>
      </c>
      <c r="C64" s="50">
        <v>165</v>
      </c>
      <c r="D64" s="50">
        <v>7</v>
      </c>
      <c r="E64" s="50">
        <v>4</v>
      </c>
      <c r="F64" s="50">
        <v>3</v>
      </c>
      <c r="G64" s="50">
        <v>0</v>
      </c>
      <c r="H64" s="50">
        <v>0</v>
      </c>
      <c r="I64" s="50">
        <v>2</v>
      </c>
      <c r="J64" s="50">
        <v>2</v>
      </c>
      <c r="K64" s="50">
        <v>2</v>
      </c>
      <c r="L64" s="50">
        <v>0</v>
      </c>
      <c r="M64" s="50">
        <v>149</v>
      </c>
      <c r="N64" s="50">
        <v>0</v>
      </c>
      <c r="O64" s="15">
        <f t="shared" si="0"/>
        <v>185</v>
      </c>
      <c r="P64" s="15">
        <f t="shared" si="1"/>
        <v>334</v>
      </c>
      <c r="R64" s="8"/>
      <c r="T64"/>
    </row>
    <row r="65" spans="2:20" ht="23.1" customHeight="1" x14ac:dyDescent="0.25">
      <c r="B65" s="45" t="s">
        <v>158</v>
      </c>
      <c r="C65" s="50">
        <v>139</v>
      </c>
      <c r="D65" s="50">
        <v>4</v>
      </c>
      <c r="E65" s="50">
        <v>7</v>
      </c>
      <c r="F65" s="50">
        <v>1</v>
      </c>
      <c r="G65" s="50">
        <v>0</v>
      </c>
      <c r="H65" s="50">
        <v>0</v>
      </c>
      <c r="I65" s="50">
        <v>2</v>
      </c>
      <c r="J65" s="50">
        <v>2</v>
      </c>
      <c r="K65" s="50">
        <v>2</v>
      </c>
      <c r="L65" s="50">
        <v>0</v>
      </c>
      <c r="M65" s="50">
        <v>138</v>
      </c>
      <c r="N65" s="50">
        <v>0</v>
      </c>
      <c r="O65" s="15">
        <f t="shared" si="0"/>
        <v>157</v>
      </c>
      <c r="P65" s="15">
        <f t="shared" si="1"/>
        <v>295</v>
      </c>
      <c r="R65" s="8"/>
      <c r="T65"/>
    </row>
    <row r="66" spans="2:20" ht="23.1" customHeight="1" x14ac:dyDescent="0.25">
      <c r="B66" s="45" t="s">
        <v>103</v>
      </c>
      <c r="C66" s="50">
        <v>79</v>
      </c>
      <c r="D66" s="50">
        <v>14</v>
      </c>
      <c r="E66" s="50">
        <v>2</v>
      </c>
      <c r="F66" s="50">
        <v>4</v>
      </c>
      <c r="G66" s="50">
        <v>1</v>
      </c>
      <c r="H66" s="50">
        <v>0</v>
      </c>
      <c r="I66" s="50">
        <v>2</v>
      </c>
      <c r="J66" s="50">
        <v>0</v>
      </c>
      <c r="K66" s="50">
        <v>0</v>
      </c>
      <c r="L66" s="50">
        <v>0</v>
      </c>
      <c r="M66" s="50">
        <v>66</v>
      </c>
      <c r="N66" s="50">
        <v>0</v>
      </c>
      <c r="O66" s="15">
        <f t="shared" si="0"/>
        <v>102</v>
      </c>
      <c r="P66" s="15">
        <f t="shared" si="1"/>
        <v>168</v>
      </c>
      <c r="R66" s="8"/>
      <c r="T66"/>
    </row>
    <row r="67" spans="2:20" ht="23.1" customHeight="1" x14ac:dyDescent="0.25">
      <c r="B67" s="45" t="s">
        <v>104</v>
      </c>
      <c r="C67" s="50">
        <v>105</v>
      </c>
      <c r="D67" s="50">
        <v>13</v>
      </c>
      <c r="E67" s="50">
        <v>3</v>
      </c>
      <c r="F67" s="50">
        <v>2</v>
      </c>
      <c r="G67" s="50">
        <v>0</v>
      </c>
      <c r="H67" s="50">
        <v>0</v>
      </c>
      <c r="I67" s="50">
        <v>0</v>
      </c>
      <c r="J67" s="50">
        <v>0</v>
      </c>
      <c r="K67" s="50">
        <v>1</v>
      </c>
      <c r="L67" s="50">
        <v>0</v>
      </c>
      <c r="M67" s="50">
        <v>97</v>
      </c>
      <c r="N67" s="50">
        <v>0</v>
      </c>
      <c r="O67" s="15">
        <f t="shared" si="0"/>
        <v>124</v>
      </c>
      <c r="P67" s="15">
        <f t="shared" si="1"/>
        <v>221</v>
      </c>
      <c r="R67" s="8"/>
      <c r="T67"/>
    </row>
    <row r="68" spans="2:20" ht="23.1" customHeight="1" x14ac:dyDescent="0.25">
      <c r="B68" s="45" t="s">
        <v>105</v>
      </c>
      <c r="C68" s="50">
        <v>83</v>
      </c>
      <c r="D68" s="50">
        <v>8</v>
      </c>
      <c r="E68" s="50">
        <v>7</v>
      </c>
      <c r="F68" s="50">
        <v>2</v>
      </c>
      <c r="G68" s="50">
        <v>2</v>
      </c>
      <c r="H68" s="50">
        <v>0</v>
      </c>
      <c r="I68" s="50">
        <v>3</v>
      </c>
      <c r="J68" s="50">
        <v>1</v>
      </c>
      <c r="K68" s="50">
        <v>0</v>
      </c>
      <c r="L68" s="50">
        <v>0</v>
      </c>
      <c r="M68" s="50">
        <v>92</v>
      </c>
      <c r="N68" s="50">
        <v>0</v>
      </c>
      <c r="O68" s="15">
        <f t="shared" si="0"/>
        <v>106</v>
      </c>
      <c r="P68" s="15">
        <f t="shared" si="1"/>
        <v>198</v>
      </c>
      <c r="R68" s="8"/>
      <c r="T68"/>
    </row>
    <row r="69" spans="2:20" ht="23.1" customHeight="1" x14ac:dyDescent="0.25">
      <c r="B69" s="45" t="s">
        <v>106</v>
      </c>
      <c r="C69" s="50">
        <v>70</v>
      </c>
      <c r="D69" s="50">
        <v>1</v>
      </c>
      <c r="E69" s="50">
        <v>2</v>
      </c>
      <c r="F69" s="50">
        <v>0</v>
      </c>
      <c r="G69" s="50">
        <v>0</v>
      </c>
      <c r="H69" s="50">
        <v>0</v>
      </c>
      <c r="I69" s="50">
        <v>0</v>
      </c>
      <c r="J69" s="50">
        <v>1</v>
      </c>
      <c r="K69" s="50">
        <v>1</v>
      </c>
      <c r="L69" s="50">
        <v>0</v>
      </c>
      <c r="M69" s="50">
        <v>51</v>
      </c>
      <c r="N69" s="50">
        <v>0</v>
      </c>
      <c r="O69" s="15">
        <f t="shared" si="0"/>
        <v>75</v>
      </c>
      <c r="P69" s="15">
        <f t="shared" si="1"/>
        <v>126</v>
      </c>
      <c r="R69" s="8"/>
      <c r="T69"/>
    </row>
    <row r="70" spans="2:20" ht="23.1" customHeight="1" x14ac:dyDescent="0.25">
      <c r="B70" s="45" t="s">
        <v>110</v>
      </c>
      <c r="C70" s="50">
        <v>77</v>
      </c>
      <c r="D70" s="50">
        <v>4</v>
      </c>
      <c r="E70" s="50">
        <v>4</v>
      </c>
      <c r="F70" s="50">
        <v>1</v>
      </c>
      <c r="G70" s="50">
        <v>0</v>
      </c>
      <c r="H70" s="50">
        <v>0</v>
      </c>
      <c r="I70" s="50">
        <v>1</v>
      </c>
      <c r="J70" s="50">
        <v>0</v>
      </c>
      <c r="K70" s="50">
        <v>0</v>
      </c>
      <c r="L70" s="50">
        <v>0</v>
      </c>
      <c r="M70" s="50">
        <v>50</v>
      </c>
      <c r="N70" s="50">
        <v>0</v>
      </c>
      <c r="O70" s="15">
        <f t="shared" si="0"/>
        <v>87</v>
      </c>
      <c r="P70" s="15">
        <f t="shared" si="1"/>
        <v>137</v>
      </c>
      <c r="R70" s="8"/>
      <c r="T70"/>
    </row>
    <row r="71" spans="2:20" ht="23.1" customHeight="1" x14ac:dyDescent="0.25">
      <c r="B71" s="45" t="s">
        <v>111</v>
      </c>
      <c r="C71" s="50">
        <v>82</v>
      </c>
      <c r="D71" s="50">
        <v>7</v>
      </c>
      <c r="E71" s="50">
        <v>4</v>
      </c>
      <c r="F71" s="50">
        <v>0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32</v>
      </c>
      <c r="N71" s="50">
        <v>0</v>
      </c>
      <c r="O71" s="15">
        <f t="shared" si="0"/>
        <v>94</v>
      </c>
      <c r="P71" s="15">
        <f t="shared" si="1"/>
        <v>126</v>
      </c>
      <c r="R71" s="8"/>
      <c r="T71"/>
    </row>
    <row r="72" spans="2:20" ht="23.1" customHeight="1" x14ac:dyDescent="0.25">
      <c r="B72" s="45" t="s">
        <v>112</v>
      </c>
      <c r="C72" s="50">
        <v>86</v>
      </c>
      <c r="D72" s="50">
        <v>5</v>
      </c>
      <c r="E72" s="50">
        <v>4</v>
      </c>
      <c r="F72" s="50">
        <v>3</v>
      </c>
      <c r="G72" s="50">
        <v>0</v>
      </c>
      <c r="H72" s="50">
        <v>0</v>
      </c>
      <c r="I72" s="50">
        <v>1</v>
      </c>
      <c r="J72" s="50">
        <v>1</v>
      </c>
      <c r="K72" s="50">
        <v>0</v>
      </c>
      <c r="L72" s="50">
        <v>0</v>
      </c>
      <c r="M72" s="50">
        <v>73</v>
      </c>
      <c r="N72" s="50">
        <v>0</v>
      </c>
      <c r="O72" s="15">
        <f t="shared" si="0"/>
        <v>100</v>
      </c>
      <c r="P72" s="15">
        <f t="shared" si="1"/>
        <v>173</v>
      </c>
      <c r="R72" s="8"/>
      <c r="T72"/>
    </row>
    <row r="73" spans="2:20" ht="23.1" customHeight="1" x14ac:dyDescent="0.25">
      <c r="B73" s="45" t="s">
        <v>113</v>
      </c>
      <c r="C73" s="50">
        <v>54</v>
      </c>
      <c r="D73" s="50">
        <v>3</v>
      </c>
      <c r="E73" s="50">
        <v>1</v>
      </c>
      <c r="F73" s="50">
        <v>1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41</v>
      </c>
      <c r="N73" s="50">
        <v>0</v>
      </c>
      <c r="O73" s="15">
        <f t="shared" si="0"/>
        <v>59</v>
      </c>
      <c r="P73" s="15">
        <f t="shared" si="1"/>
        <v>100</v>
      </c>
      <c r="R73" s="8"/>
      <c r="T73"/>
    </row>
    <row r="74" spans="2:20" ht="23.1" customHeight="1" x14ac:dyDescent="0.25">
      <c r="B74" s="45" t="s">
        <v>114</v>
      </c>
      <c r="C74" s="50">
        <v>72</v>
      </c>
      <c r="D74" s="50">
        <v>8</v>
      </c>
      <c r="E74" s="50">
        <v>3</v>
      </c>
      <c r="F74" s="50">
        <v>1</v>
      </c>
      <c r="G74" s="50">
        <v>0</v>
      </c>
      <c r="H74" s="50">
        <v>0</v>
      </c>
      <c r="I74" s="50">
        <v>1</v>
      </c>
      <c r="J74" s="50">
        <v>1</v>
      </c>
      <c r="K74" s="50">
        <v>0</v>
      </c>
      <c r="L74" s="50">
        <v>0</v>
      </c>
      <c r="M74" s="50">
        <v>59</v>
      </c>
      <c r="N74" s="50">
        <v>0</v>
      </c>
      <c r="O74" s="15">
        <f t="shared" ref="O74:O105" si="35">SUM(C74:L74,N74)</f>
        <v>86</v>
      </c>
      <c r="P74" s="15">
        <f t="shared" ref="P74:P105" si="36">SUM(C74:N74)</f>
        <v>145</v>
      </c>
      <c r="R74" s="8"/>
      <c r="T74"/>
    </row>
    <row r="75" spans="2:20" ht="23.1" customHeight="1" x14ac:dyDescent="0.25">
      <c r="B75" s="45" t="s">
        <v>115</v>
      </c>
      <c r="C75" s="50">
        <v>47</v>
      </c>
      <c r="D75" s="50">
        <v>6</v>
      </c>
      <c r="E75" s="50">
        <v>6</v>
      </c>
      <c r="F75" s="50">
        <v>1</v>
      </c>
      <c r="G75" s="50">
        <v>0</v>
      </c>
      <c r="H75" s="50">
        <v>0</v>
      </c>
      <c r="I75" s="50">
        <v>2</v>
      </c>
      <c r="J75" s="50">
        <v>1</v>
      </c>
      <c r="K75" s="50">
        <v>0</v>
      </c>
      <c r="L75" s="50">
        <v>0</v>
      </c>
      <c r="M75" s="50">
        <v>58</v>
      </c>
      <c r="N75" s="50">
        <v>0</v>
      </c>
      <c r="O75" s="15">
        <f t="shared" si="35"/>
        <v>63</v>
      </c>
      <c r="P75" s="15">
        <f t="shared" si="36"/>
        <v>121</v>
      </c>
      <c r="R75" s="8"/>
      <c r="T75"/>
    </row>
    <row r="76" spans="2:20" ht="23.1" customHeight="1" x14ac:dyDescent="0.25">
      <c r="B76" s="45" t="s">
        <v>116</v>
      </c>
      <c r="C76" s="50">
        <v>57</v>
      </c>
      <c r="D76" s="50">
        <v>3</v>
      </c>
      <c r="E76" s="50">
        <v>2</v>
      </c>
      <c r="F76" s="50">
        <v>0</v>
      </c>
      <c r="G76" s="50">
        <v>0</v>
      </c>
      <c r="H76" s="50">
        <v>0</v>
      </c>
      <c r="I76" s="50">
        <v>1</v>
      </c>
      <c r="J76" s="50">
        <v>1</v>
      </c>
      <c r="K76" s="50">
        <v>0</v>
      </c>
      <c r="L76" s="50">
        <v>0</v>
      </c>
      <c r="M76" s="50">
        <v>54</v>
      </c>
      <c r="N76" s="50">
        <v>0</v>
      </c>
      <c r="O76" s="15">
        <f t="shared" si="35"/>
        <v>64</v>
      </c>
      <c r="P76" s="15">
        <f t="shared" si="36"/>
        <v>118</v>
      </c>
      <c r="R76" s="8"/>
      <c r="T76"/>
    </row>
    <row r="77" spans="2:20" ht="23.1" customHeight="1" x14ac:dyDescent="0.25">
      <c r="B77" s="45" t="s">
        <v>117</v>
      </c>
      <c r="C77" s="50">
        <v>48</v>
      </c>
      <c r="D77" s="50">
        <v>6</v>
      </c>
      <c r="E77" s="50">
        <v>2</v>
      </c>
      <c r="F77" s="50">
        <v>2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37</v>
      </c>
      <c r="N77" s="50">
        <v>0</v>
      </c>
      <c r="O77" s="15">
        <f t="shared" si="35"/>
        <v>58</v>
      </c>
      <c r="P77" s="15">
        <f t="shared" si="36"/>
        <v>95</v>
      </c>
      <c r="R77" s="8"/>
      <c r="T77"/>
    </row>
    <row r="78" spans="2:20" ht="23.1" customHeight="1" x14ac:dyDescent="0.25">
      <c r="B78" s="46" t="s">
        <v>118</v>
      </c>
      <c r="C78" s="50">
        <v>36</v>
      </c>
      <c r="D78" s="50">
        <v>10</v>
      </c>
      <c r="E78" s="50">
        <v>5</v>
      </c>
      <c r="F78" s="50">
        <v>0</v>
      </c>
      <c r="G78" s="50">
        <v>0</v>
      </c>
      <c r="H78" s="50">
        <v>1</v>
      </c>
      <c r="I78" s="50">
        <v>0</v>
      </c>
      <c r="J78" s="50">
        <v>0</v>
      </c>
      <c r="K78" s="50">
        <v>0</v>
      </c>
      <c r="L78" s="50">
        <v>0</v>
      </c>
      <c r="M78" s="50">
        <v>29</v>
      </c>
      <c r="N78" s="50">
        <v>0</v>
      </c>
      <c r="O78" s="15">
        <f t="shared" si="35"/>
        <v>52</v>
      </c>
      <c r="P78" s="15">
        <f t="shared" si="36"/>
        <v>81</v>
      </c>
      <c r="R78" s="8"/>
      <c r="T78"/>
    </row>
    <row r="79" spans="2:20" ht="23.1" customHeight="1" x14ac:dyDescent="0.25">
      <c r="B79" s="45" t="s">
        <v>119</v>
      </c>
      <c r="C79" s="50">
        <v>27</v>
      </c>
      <c r="D79" s="50">
        <v>8</v>
      </c>
      <c r="E79" s="50">
        <v>1</v>
      </c>
      <c r="F79" s="50">
        <v>2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29</v>
      </c>
      <c r="N79" s="50">
        <v>0</v>
      </c>
      <c r="O79" s="15">
        <f t="shared" si="35"/>
        <v>38</v>
      </c>
      <c r="P79" s="15">
        <f t="shared" si="36"/>
        <v>67</v>
      </c>
      <c r="R79" s="8"/>
      <c r="T79"/>
    </row>
    <row r="80" spans="2:20" ht="23.1" customHeight="1" x14ac:dyDescent="0.25">
      <c r="B80" s="47" t="s">
        <v>120</v>
      </c>
      <c r="C80" s="50">
        <v>26</v>
      </c>
      <c r="D80" s="50">
        <v>7</v>
      </c>
      <c r="E80" s="50">
        <v>2</v>
      </c>
      <c r="F80" s="50">
        <v>2</v>
      </c>
      <c r="G80" s="50">
        <v>0</v>
      </c>
      <c r="H80" s="50">
        <v>0</v>
      </c>
      <c r="I80" s="50">
        <v>1</v>
      </c>
      <c r="J80" s="50">
        <v>0</v>
      </c>
      <c r="K80" s="50">
        <v>0</v>
      </c>
      <c r="L80" s="50">
        <v>0</v>
      </c>
      <c r="M80" s="50">
        <v>28</v>
      </c>
      <c r="N80" s="50">
        <v>0</v>
      </c>
      <c r="O80" s="15">
        <f t="shared" si="35"/>
        <v>38</v>
      </c>
      <c r="P80" s="15">
        <f t="shared" si="36"/>
        <v>66</v>
      </c>
      <c r="R80" s="8"/>
      <c r="T80"/>
    </row>
    <row r="81" spans="2:20" ht="23.1" customHeight="1" x14ac:dyDescent="0.25">
      <c r="B81" s="45" t="s">
        <v>121</v>
      </c>
      <c r="C81" s="50">
        <v>25</v>
      </c>
      <c r="D81" s="50">
        <v>3</v>
      </c>
      <c r="E81" s="50">
        <v>0</v>
      </c>
      <c r="F81" s="50">
        <v>0</v>
      </c>
      <c r="G81" s="50">
        <v>0</v>
      </c>
      <c r="H81" s="50">
        <v>0</v>
      </c>
      <c r="I81" s="50">
        <v>2</v>
      </c>
      <c r="J81" s="50">
        <v>2</v>
      </c>
      <c r="K81" s="50">
        <v>0</v>
      </c>
      <c r="L81" s="50">
        <v>0</v>
      </c>
      <c r="M81" s="50">
        <v>42</v>
      </c>
      <c r="N81" s="50">
        <v>0</v>
      </c>
      <c r="O81" s="15">
        <f t="shared" si="35"/>
        <v>32</v>
      </c>
      <c r="P81" s="15">
        <f t="shared" si="36"/>
        <v>74</v>
      </c>
      <c r="R81" s="8"/>
      <c r="T81"/>
    </row>
    <row r="82" spans="2:20" ht="23.1" customHeight="1" x14ac:dyDescent="0.25">
      <c r="B82" s="46" t="s">
        <v>122</v>
      </c>
      <c r="C82" s="50">
        <v>23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16</v>
      </c>
      <c r="N82" s="50">
        <v>0</v>
      </c>
      <c r="O82" s="15">
        <f t="shared" si="35"/>
        <v>23</v>
      </c>
      <c r="P82" s="15">
        <f t="shared" si="36"/>
        <v>39</v>
      </c>
      <c r="R82" s="8"/>
      <c r="T82"/>
    </row>
    <row r="83" spans="2:20" ht="23.1" customHeight="1" x14ac:dyDescent="0.25">
      <c r="B83" s="45" t="s">
        <v>123</v>
      </c>
      <c r="C83" s="50">
        <v>21</v>
      </c>
      <c r="D83" s="50">
        <v>7</v>
      </c>
      <c r="E83" s="50">
        <v>1</v>
      </c>
      <c r="F83" s="50">
        <v>2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16</v>
      </c>
      <c r="N83" s="50">
        <v>0</v>
      </c>
      <c r="O83" s="15">
        <f t="shared" si="35"/>
        <v>32</v>
      </c>
      <c r="P83" s="15">
        <f t="shared" si="36"/>
        <v>48</v>
      </c>
      <c r="R83" s="8"/>
      <c r="T83"/>
    </row>
    <row r="84" spans="2:20" ht="23.1" customHeight="1" x14ac:dyDescent="0.25">
      <c r="B84" s="47" t="s">
        <v>124</v>
      </c>
      <c r="C84" s="50">
        <v>19</v>
      </c>
      <c r="D84" s="50">
        <v>2</v>
      </c>
      <c r="E84" s="50">
        <v>2</v>
      </c>
      <c r="F84" s="50">
        <v>0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13</v>
      </c>
      <c r="N84" s="50">
        <v>0</v>
      </c>
      <c r="O84" s="15">
        <f t="shared" si="35"/>
        <v>23</v>
      </c>
      <c r="P84" s="15">
        <f t="shared" si="36"/>
        <v>36</v>
      </c>
      <c r="R84" s="8"/>
      <c r="T84"/>
    </row>
    <row r="85" spans="2:20" ht="23.1" customHeight="1" x14ac:dyDescent="0.25">
      <c r="B85" s="45" t="s">
        <v>125</v>
      </c>
      <c r="C85" s="50">
        <v>27</v>
      </c>
      <c r="D85" s="50">
        <v>2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9</v>
      </c>
      <c r="N85" s="50">
        <v>0</v>
      </c>
      <c r="O85" s="15">
        <f t="shared" si="35"/>
        <v>29</v>
      </c>
      <c r="P85" s="15">
        <f t="shared" si="36"/>
        <v>38</v>
      </c>
      <c r="R85" s="8"/>
      <c r="T85"/>
    </row>
    <row r="86" spans="2:20" ht="23.1" customHeight="1" x14ac:dyDescent="0.25">
      <c r="B86" s="46" t="s">
        <v>126</v>
      </c>
      <c r="C86" s="50">
        <v>14</v>
      </c>
      <c r="D86" s="50">
        <v>3</v>
      </c>
      <c r="E86" s="50">
        <v>1</v>
      </c>
      <c r="F86" s="50">
        <v>2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13</v>
      </c>
      <c r="N86" s="50">
        <v>0</v>
      </c>
      <c r="O86" s="15">
        <f t="shared" si="35"/>
        <v>20</v>
      </c>
      <c r="P86" s="15">
        <f t="shared" si="36"/>
        <v>33</v>
      </c>
      <c r="R86" s="8"/>
      <c r="T86"/>
    </row>
    <row r="87" spans="2:20" ht="23.1" customHeight="1" x14ac:dyDescent="0.25">
      <c r="B87" s="45" t="s">
        <v>127</v>
      </c>
      <c r="C87" s="50">
        <v>19</v>
      </c>
      <c r="D87" s="50">
        <v>1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13</v>
      </c>
      <c r="N87" s="50">
        <v>0</v>
      </c>
      <c r="O87" s="15">
        <f t="shared" si="35"/>
        <v>20</v>
      </c>
      <c r="P87" s="15">
        <f t="shared" si="36"/>
        <v>33</v>
      </c>
      <c r="R87" s="8"/>
      <c r="T87"/>
    </row>
    <row r="88" spans="2:20" ht="23.1" customHeight="1" x14ac:dyDescent="0.25">
      <c r="B88" s="47" t="s">
        <v>128</v>
      </c>
      <c r="C88" s="50">
        <v>5</v>
      </c>
      <c r="D88" s="50">
        <v>3</v>
      </c>
      <c r="E88" s="50">
        <v>0</v>
      </c>
      <c r="F88" s="50">
        <v>2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10</v>
      </c>
      <c r="N88" s="50">
        <v>0</v>
      </c>
      <c r="O88" s="15">
        <f t="shared" si="35"/>
        <v>10</v>
      </c>
      <c r="P88" s="15">
        <f t="shared" si="36"/>
        <v>20</v>
      </c>
      <c r="R88" s="8"/>
      <c r="T88"/>
    </row>
    <row r="89" spans="2:20" ht="23.1" customHeight="1" x14ac:dyDescent="0.25">
      <c r="B89" s="45" t="s">
        <v>129</v>
      </c>
      <c r="C89" s="50">
        <v>8</v>
      </c>
      <c r="D89" s="50">
        <v>3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13</v>
      </c>
      <c r="N89" s="50">
        <v>0</v>
      </c>
      <c r="O89" s="15">
        <f t="shared" si="35"/>
        <v>11</v>
      </c>
      <c r="P89" s="15">
        <f t="shared" si="36"/>
        <v>24</v>
      </c>
      <c r="R89" s="8"/>
      <c r="T89"/>
    </row>
    <row r="90" spans="2:20" ht="23.1" customHeight="1" x14ac:dyDescent="0.25">
      <c r="B90" s="46" t="s">
        <v>130</v>
      </c>
      <c r="C90" s="50">
        <v>18</v>
      </c>
      <c r="D90" s="50">
        <v>2</v>
      </c>
      <c r="E90" s="50">
        <v>0</v>
      </c>
      <c r="F90" s="50">
        <v>0</v>
      </c>
      <c r="G90" s="50">
        <v>0</v>
      </c>
      <c r="H90" s="50">
        <v>0</v>
      </c>
      <c r="I90" s="50">
        <v>1</v>
      </c>
      <c r="J90" s="50">
        <v>0</v>
      </c>
      <c r="K90" s="50">
        <v>0</v>
      </c>
      <c r="L90" s="50">
        <v>0</v>
      </c>
      <c r="M90" s="50">
        <v>7</v>
      </c>
      <c r="N90" s="50">
        <v>0</v>
      </c>
      <c r="O90" s="15">
        <f t="shared" si="35"/>
        <v>21</v>
      </c>
      <c r="P90" s="15">
        <f t="shared" si="36"/>
        <v>28</v>
      </c>
      <c r="R90" s="8"/>
      <c r="T90"/>
    </row>
    <row r="91" spans="2:20" ht="23.1" customHeight="1" x14ac:dyDescent="0.25">
      <c r="B91" s="45" t="s">
        <v>131</v>
      </c>
      <c r="C91" s="50">
        <v>4</v>
      </c>
      <c r="D91" s="50">
        <v>2</v>
      </c>
      <c r="E91" s="50">
        <v>0</v>
      </c>
      <c r="F91" s="50">
        <v>2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6</v>
      </c>
      <c r="N91" s="50">
        <v>0</v>
      </c>
      <c r="O91" s="15">
        <f t="shared" si="35"/>
        <v>8</v>
      </c>
      <c r="P91" s="15">
        <f t="shared" si="36"/>
        <v>14</v>
      </c>
      <c r="R91" s="8"/>
      <c r="T91"/>
    </row>
    <row r="92" spans="2:20" ht="23.1" customHeight="1" x14ac:dyDescent="0.25">
      <c r="B92" s="47" t="s">
        <v>132</v>
      </c>
      <c r="C92" s="50">
        <v>11</v>
      </c>
      <c r="D92" s="50">
        <v>2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8</v>
      </c>
      <c r="N92" s="50">
        <v>0</v>
      </c>
      <c r="O92" s="15">
        <f t="shared" si="35"/>
        <v>13</v>
      </c>
      <c r="P92" s="15">
        <f t="shared" si="36"/>
        <v>21</v>
      </c>
      <c r="R92" s="8"/>
      <c r="T92"/>
    </row>
    <row r="93" spans="2:20" ht="23.1" customHeight="1" x14ac:dyDescent="0.25">
      <c r="B93" s="45" t="s">
        <v>133</v>
      </c>
      <c r="C93" s="50">
        <v>17</v>
      </c>
      <c r="D93" s="50">
        <v>0</v>
      </c>
      <c r="E93" s="50">
        <v>0</v>
      </c>
      <c r="F93" s="50">
        <v>2</v>
      </c>
      <c r="G93" s="50">
        <v>0</v>
      </c>
      <c r="H93" s="50">
        <v>0</v>
      </c>
      <c r="I93" s="50">
        <v>0</v>
      </c>
      <c r="J93" s="50">
        <v>1</v>
      </c>
      <c r="K93" s="50">
        <v>0</v>
      </c>
      <c r="L93" s="50">
        <v>0</v>
      </c>
      <c r="M93" s="50">
        <v>13</v>
      </c>
      <c r="N93" s="50">
        <v>0</v>
      </c>
      <c r="O93" s="15">
        <f t="shared" si="35"/>
        <v>20</v>
      </c>
      <c r="P93" s="15">
        <f t="shared" si="36"/>
        <v>33</v>
      </c>
      <c r="R93" s="8"/>
      <c r="T93"/>
    </row>
    <row r="94" spans="2:20" ht="23.1" customHeight="1" x14ac:dyDescent="0.25">
      <c r="B94" s="46" t="s">
        <v>134</v>
      </c>
      <c r="C94" s="50">
        <v>13</v>
      </c>
      <c r="D94" s="50">
        <v>1</v>
      </c>
      <c r="E94" s="50">
        <v>1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18</v>
      </c>
      <c r="N94" s="50">
        <v>0</v>
      </c>
      <c r="O94" s="15">
        <f t="shared" si="35"/>
        <v>15</v>
      </c>
      <c r="P94" s="15">
        <f t="shared" si="36"/>
        <v>33</v>
      </c>
      <c r="R94" s="8"/>
      <c r="T94"/>
    </row>
    <row r="95" spans="2:20" ht="23.1" customHeight="1" x14ac:dyDescent="0.25">
      <c r="B95" s="45" t="s">
        <v>135</v>
      </c>
      <c r="C95" s="50">
        <v>10</v>
      </c>
      <c r="D95" s="50">
        <v>3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14</v>
      </c>
      <c r="N95" s="50">
        <v>0</v>
      </c>
      <c r="O95" s="15">
        <f t="shared" si="35"/>
        <v>14</v>
      </c>
      <c r="P95" s="15">
        <f t="shared" si="36"/>
        <v>28</v>
      </c>
      <c r="R95" s="8"/>
      <c r="T95"/>
    </row>
    <row r="96" spans="2:20" ht="23.1" customHeight="1" x14ac:dyDescent="0.25">
      <c r="B96" s="47" t="s">
        <v>136</v>
      </c>
      <c r="C96" s="50">
        <v>6</v>
      </c>
      <c r="D96" s="50">
        <v>3</v>
      </c>
      <c r="E96" s="50">
        <v>0</v>
      </c>
      <c r="F96" s="50">
        <v>0</v>
      </c>
      <c r="G96" s="50">
        <v>0</v>
      </c>
      <c r="H96" s="50">
        <v>0</v>
      </c>
      <c r="I96" s="50">
        <v>1</v>
      </c>
      <c r="J96" s="50">
        <v>1</v>
      </c>
      <c r="K96" s="50">
        <v>0</v>
      </c>
      <c r="L96" s="50">
        <v>0</v>
      </c>
      <c r="M96" s="50">
        <v>8</v>
      </c>
      <c r="N96" s="50">
        <v>0</v>
      </c>
      <c r="O96" s="15">
        <f t="shared" si="35"/>
        <v>11</v>
      </c>
      <c r="P96" s="15">
        <f t="shared" si="36"/>
        <v>19</v>
      </c>
      <c r="R96" s="8"/>
      <c r="T96"/>
    </row>
    <row r="97" spans="2:20" ht="23.1" customHeight="1" x14ac:dyDescent="0.25">
      <c r="B97" s="45" t="s">
        <v>137</v>
      </c>
      <c r="C97" s="50">
        <v>8</v>
      </c>
      <c r="D97" s="50">
        <v>1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0</v>
      </c>
      <c r="L97" s="50">
        <v>0</v>
      </c>
      <c r="M97" s="50">
        <v>10</v>
      </c>
      <c r="N97" s="50">
        <v>0</v>
      </c>
      <c r="O97" s="15">
        <f t="shared" si="35"/>
        <v>9</v>
      </c>
      <c r="P97" s="15">
        <f t="shared" si="36"/>
        <v>19</v>
      </c>
      <c r="R97" s="8"/>
      <c r="T97"/>
    </row>
    <row r="98" spans="2:20" ht="23.1" customHeight="1" x14ac:dyDescent="0.25">
      <c r="B98" s="46" t="s">
        <v>138</v>
      </c>
      <c r="C98" s="50">
        <v>4</v>
      </c>
      <c r="D98" s="50">
        <v>1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14</v>
      </c>
      <c r="N98" s="50">
        <v>0</v>
      </c>
      <c r="O98" s="15">
        <f t="shared" si="35"/>
        <v>5</v>
      </c>
      <c r="P98" s="15">
        <f t="shared" si="36"/>
        <v>19</v>
      </c>
      <c r="R98" s="8"/>
      <c r="T98"/>
    </row>
    <row r="99" spans="2:20" ht="23.1" customHeight="1" x14ac:dyDescent="0.25">
      <c r="B99" s="45" t="s">
        <v>139</v>
      </c>
      <c r="C99" s="50">
        <v>8</v>
      </c>
      <c r="D99" s="50">
        <v>6</v>
      </c>
      <c r="E99" s="50">
        <v>1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30</v>
      </c>
      <c r="N99" s="50">
        <v>0</v>
      </c>
      <c r="O99" s="15">
        <f t="shared" si="35"/>
        <v>15</v>
      </c>
      <c r="P99" s="15">
        <f t="shared" si="36"/>
        <v>45</v>
      </c>
      <c r="R99" s="8"/>
      <c r="T99"/>
    </row>
    <row r="100" spans="2:20" ht="23.1" customHeight="1" x14ac:dyDescent="0.25">
      <c r="B100" s="47" t="s">
        <v>140</v>
      </c>
      <c r="C100" s="50">
        <v>14</v>
      </c>
      <c r="D100" s="50">
        <v>4</v>
      </c>
      <c r="E100" s="50">
        <v>1</v>
      </c>
      <c r="F100" s="50">
        <v>2</v>
      </c>
      <c r="G100" s="50">
        <v>0</v>
      </c>
      <c r="H100" s="50">
        <v>0</v>
      </c>
      <c r="I100" s="50">
        <v>1</v>
      </c>
      <c r="J100" s="50">
        <v>0</v>
      </c>
      <c r="K100" s="50">
        <v>0</v>
      </c>
      <c r="L100" s="50">
        <v>0</v>
      </c>
      <c r="M100" s="50">
        <v>17</v>
      </c>
      <c r="N100" s="50">
        <v>0</v>
      </c>
      <c r="O100" s="15">
        <f t="shared" si="35"/>
        <v>22</v>
      </c>
      <c r="P100" s="15">
        <f t="shared" si="36"/>
        <v>39</v>
      </c>
      <c r="R100" s="8"/>
      <c r="T100"/>
    </row>
    <row r="101" spans="2:20" ht="23.1" customHeight="1" x14ac:dyDescent="0.25">
      <c r="B101" s="45" t="s">
        <v>141</v>
      </c>
      <c r="C101" s="50">
        <v>17</v>
      </c>
      <c r="D101" s="50">
        <v>6</v>
      </c>
      <c r="E101" s="50">
        <v>1</v>
      </c>
      <c r="F101" s="50">
        <v>1</v>
      </c>
      <c r="G101" s="50">
        <v>1</v>
      </c>
      <c r="H101" s="50">
        <v>0</v>
      </c>
      <c r="I101" s="50">
        <v>1</v>
      </c>
      <c r="J101" s="50">
        <v>0</v>
      </c>
      <c r="K101" s="50">
        <v>0</v>
      </c>
      <c r="L101" s="50">
        <v>0</v>
      </c>
      <c r="M101" s="50">
        <v>17</v>
      </c>
      <c r="N101" s="50">
        <v>0</v>
      </c>
      <c r="O101" s="15">
        <f t="shared" si="35"/>
        <v>27</v>
      </c>
      <c r="P101" s="15">
        <f t="shared" si="36"/>
        <v>44</v>
      </c>
      <c r="R101" s="8"/>
      <c r="T101"/>
    </row>
    <row r="102" spans="2:20" ht="23.1" customHeight="1" x14ac:dyDescent="0.25">
      <c r="B102" s="46" t="s">
        <v>142</v>
      </c>
      <c r="C102" s="50">
        <v>29</v>
      </c>
      <c r="D102" s="50">
        <v>6</v>
      </c>
      <c r="E102" s="50">
        <v>2</v>
      </c>
      <c r="F102" s="50">
        <v>1</v>
      </c>
      <c r="G102" s="50">
        <v>0</v>
      </c>
      <c r="H102" s="50">
        <v>0</v>
      </c>
      <c r="I102" s="50">
        <v>2</v>
      </c>
      <c r="J102" s="50">
        <v>1</v>
      </c>
      <c r="K102" s="50">
        <v>0</v>
      </c>
      <c r="L102" s="50">
        <v>0</v>
      </c>
      <c r="M102" s="50">
        <v>30</v>
      </c>
      <c r="N102" s="50">
        <v>0</v>
      </c>
      <c r="O102" s="15">
        <f t="shared" si="35"/>
        <v>41</v>
      </c>
      <c r="P102" s="15">
        <f t="shared" si="36"/>
        <v>71</v>
      </c>
      <c r="R102" s="8"/>
      <c r="T102"/>
    </row>
    <row r="103" spans="2:20" ht="23.1" customHeight="1" x14ac:dyDescent="0.25">
      <c r="B103" s="45" t="s">
        <v>143</v>
      </c>
      <c r="C103" s="50">
        <v>41</v>
      </c>
      <c r="D103" s="50">
        <v>10</v>
      </c>
      <c r="E103" s="50">
        <v>5</v>
      </c>
      <c r="F103" s="50">
        <v>0</v>
      </c>
      <c r="G103" s="50">
        <v>0</v>
      </c>
      <c r="H103" s="50">
        <v>1</v>
      </c>
      <c r="I103" s="50">
        <v>1</v>
      </c>
      <c r="J103" s="50">
        <v>0</v>
      </c>
      <c r="K103" s="50">
        <v>0</v>
      </c>
      <c r="L103" s="50">
        <v>1</v>
      </c>
      <c r="M103" s="50">
        <v>47</v>
      </c>
      <c r="N103" s="50">
        <v>0</v>
      </c>
      <c r="O103" s="15">
        <f t="shared" si="35"/>
        <v>59</v>
      </c>
      <c r="P103" s="15">
        <f t="shared" si="36"/>
        <v>106</v>
      </c>
      <c r="R103" s="8"/>
      <c r="T103"/>
    </row>
    <row r="104" spans="2:20" ht="23.1" customHeight="1" x14ac:dyDescent="0.25">
      <c r="B104" s="47" t="s">
        <v>144</v>
      </c>
      <c r="C104" s="50">
        <v>96</v>
      </c>
      <c r="D104" s="50">
        <v>10</v>
      </c>
      <c r="E104" s="50">
        <v>6</v>
      </c>
      <c r="F104" s="50">
        <v>2</v>
      </c>
      <c r="G104" s="50">
        <v>0</v>
      </c>
      <c r="H104" s="50">
        <v>0</v>
      </c>
      <c r="I104" s="50">
        <v>4</v>
      </c>
      <c r="J104" s="50">
        <v>0</v>
      </c>
      <c r="K104" s="50">
        <v>0</v>
      </c>
      <c r="L104" s="50">
        <v>0</v>
      </c>
      <c r="M104" s="50">
        <v>85</v>
      </c>
      <c r="N104" s="50">
        <v>0</v>
      </c>
      <c r="O104" s="15">
        <f t="shared" si="35"/>
        <v>118</v>
      </c>
      <c r="P104" s="15">
        <f t="shared" si="36"/>
        <v>203</v>
      </c>
      <c r="R104" s="8"/>
      <c r="T104"/>
    </row>
    <row r="105" spans="2:20" ht="23.1" customHeight="1" x14ac:dyDescent="0.25">
      <c r="B105" s="45" t="s">
        <v>145</v>
      </c>
      <c r="C105" s="50">
        <v>145</v>
      </c>
      <c r="D105" s="50">
        <v>8</v>
      </c>
      <c r="E105" s="50">
        <v>9</v>
      </c>
      <c r="F105" s="50">
        <v>0</v>
      </c>
      <c r="G105" s="50">
        <v>1</v>
      </c>
      <c r="H105" s="50">
        <v>0</v>
      </c>
      <c r="I105" s="50">
        <v>2</v>
      </c>
      <c r="J105" s="50">
        <v>0</v>
      </c>
      <c r="K105" s="50">
        <v>0</v>
      </c>
      <c r="L105" s="50">
        <v>0</v>
      </c>
      <c r="M105" s="50">
        <v>85</v>
      </c>
      <c r="N105" s="50">
        <v>0</v>
      </c>
      <c r="O105" s="15">
        <f t="shared" si="35"/>
        <v>165</v>
      </c>
      <c r="P105" s="15">
        <f t="shared" si="36"/>
        <v>250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7731</v>
      </c>
      <c r="D106" s="16">
        <f t="shared" ref="D106:P106" si="37">SUM(D10:D105)</f>
        <v>1473</v>
      </c>
      <c r="E106" s="16">
        <f t="shared" si="37"/>
        <v>675</v>
      </c>
      <c r="F106" s="16">
        <f t="shared" si="37"/>
        <v>606</v>
      </c>
      <c r="G106" s="16">
        <f t="shared" si="37"/>
        <v>21</v>
      </c>
      <c r="H106" s="16">
        <f t="shared" si="37"/>
        <v>5</v>
      </c>
      <c r="I106" s="16">
        <f t="shared" si="37"/>
        <v>381</v>
      </c>
      <c r="J106" s="16">
        <f t="shared" si="37"/>
        <v>85</v>
      </c>
      <c r="K106" s="16">
        <f t="shared" si="37"/>
        <v>28</v>
      </c>
      <c r="L106" s="16">
        <f t="shared" si="37"/>
        <v>12</v>
      </c>
      <c r="M106" s="16">
        <f t="shared" si="37"/>
        <v>12247</v>
      </c>
      <c r="N106" s="16">
        <f t="shared" si="37"/>
        <v>0</v>
      </c>
      <c r="O106" s="16">
        <f t="shared" si="37"/>
        <v>11017</v>
      </c>
      <c r="P106" s="16">
        <f t="shared" si="37"/>
        <v>23264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0.33231602475928473</v>
      </c>
      <c r="D107" s="43">
        <f t="shared" si="38"/>
        <v>6.3316712517193952E-2</v>
      </c>
      <c r="E107" s="43">
        <f t="shared" si="38"/>
        <v>2.9014786795048143E-2</v>
      </c>
      <c r="F107" s="43">
        <f t="shared" si="38"/>
        <v>2.6048830811554333E-2</v>
      </c>
      <c r="G107" s="43">
        <f t="shared" si="38"/>
        <v>9.0268225584594223E-4</v>
      </c>
      <c r="H107" s="43">
        <f t="shared" si="38"/>
        <v>2.1492434662998623E-4</v>
      </c>
      <c r="I107" s="43">
        <f t="shared" si="38"/>
        <v>1.6377235213204951E-2</v>
      </c>
      <c r="J107" s="43">
        <f t="shared" si="38"/>
        <v>3.6537138927097662E-3</v>
      </c>
      <c r="K107" s="43">
        <f t="shared" si="38"/>
        <v>1.203576341127923E-3</v>
      </c>
      <c r="L107" s="43">
        <f t="shared" si="38"/>
        <v>5.1581843191196694E-4</v>
      </c>
      <c r="M107" s="43">
        <f t="shared" si="38"/>
        <v>0.52643569463548834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0.70173368430607241</v>
      </c>
      <c r="D108" s="44">
        <f t="shared" ref="D108:N108" si="39">D106/$O$106</f>
        <v>0.13370245983480075</v>
      </c>
      <c r="E108" s="44">
        <f t="shared" si="39"/>
        <v>6.1268947989470815E-2</v>
      </c>
      <c r="F108" s="44">
        <f t="shared" si="39"/>
        <v>5.5005899972769355E-2</v>
      </c>
      <c r="G108" s="44">
        <f t="shared" si="39"/>
        <v>1.9061450485613144E-3</v>
      </c>
      <c r="H108" s="44">
        <f t="shared" si="39"/>
        <v>4.5384405918126532E-4</v>
      </c>
      <c r="I108" s="44">
        <f t="shared" si="39"/>
        <v>3.4582917309612417E-2</v>
      </c>
      <c r="J108" s="44">
        <f t="shared" si="39"/>
        <v>7.7153490060815101E-3</v>
      </c>
      <c r="K108" s="44">
        <f t="shared" si="39"/>
        <v>2.5415267314150857E-3</v>
      </c>
      <c r="L108" s="44">
        <f t="shared" si="39"/>
        <v>1.0892257420350368E-3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7" sqref="M57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180</v>
      </c>
      <c r="E5" s="3"/>
      <c r="F5" s="41" t="s">
        <v>1</v>
      </c>
      <c r="G5" s="54" t="s">
        <v>177</v>
      </c>
      <c r="H5" s="55"/>
      <c r="I5" s="14"/>
      <c r="J5" s="2" t="s">
        <v>5</v>
      </c>
      <c r="K5" s="54" t="s">
        <v>181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JinjaRoad-Kira Road'!D6:E6</f>
        <v>Jinja Road</v>
      </c>
      <c r="E6" s="55"/>
      <c r="F6" s="2" t="s">
        <v>2</v>
      </c>
      <c r="G6" s="54" t="str">
        <f>'29.07 JinjaRoad-Kira Road'!G6:H6</f>
        <v>Kira Road</v>
      </c>
      <c r="H6" s="55"/>
      <c r="J6" s="2" t="s">
        <v>21</v>
      </c>
      <c r="K6" s="54" t="s">
        <v>173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60</v>
      </c>
      <c r="D10" s="50">
        <v>45</v>
      </c>
      <c r="E10" s="50">
        <v>0</v>
      </c>
      <c r="F10" s="50">
        <v>3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75</v>
      </c>
      <c r="N10" s="50">
        <v>0</v>
      </c>
      <c r="O10" s="15">
        <f t="shared" ref="O10:O57" si="0">SUM(C10:L10,N10)</f>
        <v>108</v>
      </c>
      <c r="P10" s="15">
        <f t="shared" ref="P10:P57" si="1">SUM(C10:N10)</f>
        <v>183</v>
      </c>
      <c r="R10" s="1" t="s">
        <v>6</v>
      </c>
      <c r="S10" s="17">
        <f t="shared" ref="S10:AF10" si="2">SUM(C10:C13)</f>
        <v>200</v>
      </c>
      <c r="T10" s="17">
        <f t="shared" si="2"/>
        <v>170</v>
      </c>
      <c r="U10" s="17">
        <f t="shared" si="2"/>
        <v>23</v>
      </c>
      <c r="V10" s="17">
        <f t="shared" si="2"/>
        <v>6</v>
      </c>
      <c r="W10" s="17">
        <f t="shared" si="2"/>
        <v>1</v>
      </c>
      <c r="X10" s="17">
        <f t="shared" si="2"/>
        <v>0</v>
      </c>
      <c r="Y10" s="17">
        <f t="shared" si="2"/>
        <v>2</v>
      </c>
      <c r="Z10" s="17">
        <f t="shared" si="2"/>
        <v>4</v>
      </c>
      <c r="AA10" s="17">
        <f t="shared" si="2"/>
        <v>0</v>
      </c>
      <c r="AB10" s="17">
        <f t="shared" si="2"/>
        <v>0</v>
      </c>
      <c r="AC10" s="17">
        <f t="shared" si="2"/>
        <v>295</v>
      </c>
      <c r="AD10" s="17">
        <f t="shared" si="2"/>
        <v>0</v>
      </c>
      <c r="AE10" s="31">
        <f t="shared" si="2"/>
        <v>406</v>
      </c>
      <c r="AF10" s="31">
        <f t="shared" si="2"/>
        <v>701</v>
      </c>
    </row>
    <row r="11" spans="2:32" s="6" customFormat="1" ht="23.1" customHeight="1" x14ac:dyDescent="0.25">
      <c r="B11" s="23" t="s">
        <v>38</v>
      </c>
      <c r="C11" s="50">
        <v>55</v>
      </c>
      <c r="D11" s="50">
        <v>65</v>
      </c>
      <c r="E11" s="50">
        <v>10</v>
      </c>
      <c r="F11" s="50">
        <v>1</v>
      </c>
      <c r="G11" s="50">
        <v>1</v>
      </c>
      <c r="H11" s="50">
        <v>0</v>
      </c>
      <c r="I11" s="50">
        <v>1</v>
      </c>
      <c r="J11" s="50">
        <v>2</v>
      </c>
      <c r="K11" s="50">
        <v>0</v>
      </c>
      <c r="L11" s="50">
        <v>0</v>
      </c>
      <c r="M11" s="50">
        <v>60</v>
      </c>
      <c r="N11" s="50">
        <v>0</v>
      </c>
      <c r="O11" s="15">
        <f t="shared" si="0"/>
        <v>135</v>
      </c>
      <c r="P11" s="15">
        <f t="shared" si="1"/>
        <v>195</v>
      </c>
      <c r="R11" s="1" t="s">
        <v>7</v>
      </c>
      <c r="S11" s="17">
        <f t="shared" ref="S11:AF11" si="3">SUM(C14:C17)</f>
        <v>246</v>
      </c>
      <c r="T11" s="17">
        <f t="shared" si="3"/>
        <v>200</v>
      </c>
      <c r="U11" s="17">
        <f t="shared" si="3"/>
        <v>34</v>
      </c>
      <c r="V11" s="17">
        <f t="shared" si="3"/>
        <v>13</v>
      </c>
      <c r="W11" s="17">
        <f t="shared" si="3"/>
        <v>0</v>
      </c>
      <c r="X11" s="17">
        <f t="shared" si="3"/>
        <v>1</v>
      </c>
      <c r="Y11" s="17">
        <f t="shared" si="3"/>
        <v>7</v>
      </c>
      <c r="Z11" s="17">
        <f t="shared" si="3"/>
        <v>3</v>
      </c>
      <c r="AA11" s="17">
        <f t="shared" si="3"/>
        <v>1</v>
      </c>
      <c r="AB11" s="17">
        <f t="shared" si="3"/>
        <v>0</v>
      </c>
      <c r="AC11" s="17">
        <f t="shared" si="3"/>
        <v>407</v>
      </c>
      <c r="AD11" s="17">
        <f t="shared" si="3"/>
        <v>0</v>
      </c>
      <c r="AE11" s="31">
        <f t="shared" si="3"/>
        <v>505</v>
      </c>
      <c r="AF11" s="31">
        <f t="shared" si="3"/>
        <v>912</v>
      </c>
    </row>
    <row r="12" spans="2:32" ht="23.1" customHeight="1" x14ac:dyDescent="0.25">
      <c r="B12" s="23" t="s">
        <v>39</v>
      </c>
      <c r="C12" s="50">
        <v>50</v>
      </c>
      <c r="D12" s="50">
        <v>30</v>
      </c>
      <c r="E12" s="50">
        <v>3</v>
      </c>
      <c r="F12" s="50">
        <v>1</v>
      </c>
      <c r="G12" s="50">
        <v>0</v>
      </c>
      <c r="H12" s="50">
        <v>0</v>
      </c>
      <c r="I12" s="50">
        <v>1</v>
      </c>
      <c r="J12" s="50">
        <v>0</v>
      </c>
      <c r="K12" s="50">
        <v>0</v>
      </c>
      <c r="L12" s="50">
        <v>0</v>
      </c>
      <c r="M12" s="50">
        <v>80</v>
      </c>
      <c r="N12" s="50">
        <v>0</v>
      </c>
      <c r="O12" s="15">
        <f t="shared" si="0"/>
        <v>85</v>
      </c>
      <c r="P12" s="15">
        <f t="shared" si="1"/>
        <v>165</v>
      </c>
      <c r="R12" s="1" t="s">
        <v>8</v>
      </c>
      <c r="S12" s="17">
        <f t="shared" ref="S12:AF12" si="4">SUM(C18:C21)</f>
        <v>235</v>
      </c>
      <c r="T12" s="17">
        <f t="shared" si="4"/>
        <v>331</v>
      </c>
      <c r="U12" s="17">
        <f t="shared" si="4"/>
        <v>27</v>
      </c>
      <c r="V12" s="17">
        <f t="shared" si="4"/>
        <v>12</v>
      </c>
      <c r="W12" s="17">
        <f t="shared" si="4"/>
        <v>1</v>
      </c>
      <c r="X12" s="17">
        <f t="shared" si="4"/>
        <v>5</v>
      </c>
      <c r="Y12" s="17">
        <f t="shared" si="4"/>
        <v>15</v>
      </c>
      <c r="Z12" s="17">
        <f t="shared" si="4"/>
        <v>3</v>
      </c>
      <c r="AA12" s="17">
        <f t="shared" si="4"/>
        <v>0</v>
      </c>
      <c r="AB12" s="17">
        <f t="shared" si="4"/>
        <v>0</v>
      </c>
      <c r="AC12" s="17">
        <f t="shared" si="4"/>
        <v>346</v>
      </c>
      <c r="AD12" s="17">
        <f t="shared" si="4"/>
        <v>0</v>
      </c>
      <c r="AE12" s="31">
        <f t="shared" si="4"/>
        <v>629</v>
      </c>
      <c r="AF12" s="31">
        <f t="shared" si="4"/>
        <v>975</v>
      </c>
    </row>
    <row r="13" spans="2:32" ht="23.1" customHeight="1" x14ac:dyDescent="0.25">
      <c r="B13" s="23" t="s">
        <v>40</v>
      </c>
      <c r="C13" s="50">
        <v>35</v>
      </c>
      <c r="D13" s="50">
        <v>30</v>
      </c>
      <c r="E13" s="50">
        <v>10</v>
      </c>
      <c r="F13" s="50">
        <v>1</v>
      </c>
      <c r="G13" s="50">
        <v>0</v>
      </c>
      <c r="H13" s="50">
        <v>0</v>
      </c>
      <c r="I13" s="50">
        <v>0</v>
      </c>
      <c r="J13" s="50">
        <v>2</v>
      </c>
      <c r="K13" s="50">
        <v>0</v>
      </c>
      <c r="L13" s="50">
        <v>0</v>
      </c>
      <c r="M13" s="50">
        <v>80</v>
      </c>
      <c r="N13" s="50">
        <v>0</v>
      </c>
      <c r="O13" s="15">
        <f t="shared" si="0"/>
        <v>78</v>
      </c>
      <c r="P13" s="15">
        <f t="shared" si="1"/>
        <v>158</v>
      </c>
      <c r="R13" s="1" t="s">
        <v>9</v>
      </c>
      <c r="S13" s="17">
        <f t="shared" ref="S13:AF13" si="5">SUM(C22:C25)</f>
        <v>196</v>
      </c>
      <c r="T13" s="17">
        <f t="shared" si="5"/>
        <v>275</v>
      </c>
      <c r="U13" s="17">
        <f t="shared" si="5"/>
        <v>46</v>
      </c>
      <c r="V13" s="17">
        <f t="shared" si="5"/>
        <v>15</v>
      </c>
      <c r="W13" s="17">
        <f t="shared" si="5"/>
        <v>2</v>
      </c>
      <c r="X13" s="17">
        <f t="shared" si="5"/>
        <v>0</v>
      </c>
      <c r="Y13" s="17">
        <f t="shared" si="5"/>
        <v>10</v>
      </c>
      <c r="Z13" s="17">
        <f t="shared" si="5"/>
        <v>9</v>
      </c>
      <c r="AA13" s="17">
        <f t="shared" si="5"/>
        <v>2</v>
      </c>
      <c r="AB13" s="17">
        <f t="shared" si="5"/>
        <v>2</v>
      </c>
      <c r="AC13" s="17">
        <f t="shared" si="5"/>
        <v>326</v>
      </c>
      <c r="AD13" s="17">
        <f t="shared" si="5"/>
        <v>0</v>
      </c>
      <c r="AE13" s="31">
        <f t="shared" si="5"/>
        <v>557</v>
      </c>
      <c r="AF13" s="31">
        <f t="shared" si="5"/>
        <v>883</v>
      </c>
    </row>
    <row r="14" spans="2:32" ht="23.1" customHeight="1" x14ac:dyDescent="0.25">
      <c r="B14" s="23" t="s">
        <v>41</v>
      </c>
      <c r="C14" s="50">
        <v>70</v>
      </c>
      <c r="D14" s="50">
        <v>55</v>
      </c>
      <c r="E14" s="50">
        <v>15</v>
      </c>
      <c r="F14" s="50">
        <v>7</v>
      </c>
      <c r="G14" s="50">
        <v>0</v>
      </c>
      <c r="H14" s="50">
        <v>0</v>
      </c>
      <c r="I14" s="50">
        <v>2</v>
      </c>
      <c r="J14" s="50">
        <v>2</v>
      </c>
      <c r="K14" s="50">
        <v>1</v>
      </c>
      <c r="L14" s="50">
        <v>0</v>
      </c>
      <c r="M14" s="50">
        <v>120</v>
      </c>
      <c r="N14" s="50">
        <v>0</v>
      </c>
      <c r="O14" s="15">
        <f t="shared" si="0"/>
        <v>152</v>
      </c>
      <c r="P14" s="15">
        <f t="shared" si="1"/>
        <v>272</v>
      </c>
      <c r="R14" s="1" t="s">
        <v>10</v>
      </c>
      <c r="S14" s="17">
        <f t="shared" ref="S14:AF14" si="6">SUM(C26:C29)</f>
        <v>220</v>
      </c>
      <c r="T14" s="17">
        <f t="shared" si="6"/>
        <v>196</v>
      </c>
      <c r="U14" s="17">
        <f t="shared" si="6"/>
        <v>34</v>
      </c>
      <c r="V14" s="17">
        <f t="shared" si="6"/>
        <v>6</v>
      </c>
      <c r="W14" s="17">
        <f t="shared" si="6"/>
        <v>1</v>
      </c>
      <c r="X14" s="17">
        <f t="shared" si="6"/>
        <v>1</v>
      </c>
      <c r="Y14" s="17">
        <f t="shared" si="6"/>
        <v>13</v>
      </c>
      <c r="Z14" s="17">
        <f t="shared" si="6"/>
        <v>3</v>
      </c>
      <c r="AA14" s="17">
        <f t="shared" si="6"/>
        <v>0</v>
      </c>
      <c r="AB14" s="17">
        <f t="shared" si="6"/>
        <v>0</v>
      </c>
      <c r="AC14" s="17">
        <f t="shared" si="6"/>
        <v>321</v>
      </c>
      <c r="AD14" s="17">
        <f t="shared" si="6"/>
        <v>0</v>
      </c>
      <c r="AE14" s="31">
        <f t="shared" si="6"/>
        <v>474</v>
      </c>
      <c r="AF14" s="31">
        <f t="shared" si="6"/>
        <v>795</v>
      </c>
    </row>
    <row r="15" spans="2:32" ht="23.1" customHeight="1" x14ac:dyDescent="0.25">
      <c r="B15" s="23" t="s">
        <v>42</v>
      </c>
      <c r="C15" s="50">
        <v>55</v>
      </c>
      <c r="D15" s="50">
        <v>60</v>
      </c>
      <c r="E15" s="50">
        <v>7</v>
      </c>
      <c r="F15" s="50">
        <v>0</v>
      </c>
      <c r="G15" s="50">
        <v>0</v>
      </c>
      <c r="H15" s="50">
        <v>1</v>
      </c>
      <c r="I15" s="50">
        <v>1</v>
      </c>
      <c r="J15" s="50">
        <v>0</v>
      </c>
      <c r="K15" s="50">
        <v>0</v>
      </c>
      <c r="L15" s="50">
        <v>0</v>
      </c>
      <c r="M15" s="50">
        <v>85</v>
      </c>
      <c r="N15" s="50">
        <v>0</v>
      </c>
      <c r="O15" s="15">
        <f t="shared" si="0"/>
        <v>124</v>
      </c>
      <c r="P15" s="15">
        <f t="shared" si="1"/>
        <v>209</v>
      </c>
      <c r="R15" s="1" t="s">
        <v>11</v>
      </c>
      <c r="S15" s="17">
        <f t="shared" ref="S15:AF15" si="7">SUM(C30:C33)</f>
        <v>230</v>
      </c>
      <c r="T15" s="17">
        <f t="shared" si="7"/>
        <v>275</v>
      </c>
      <c r="U15" s="17">
        <f t="shared" si="7"/>
        <v>55</v>
      </c>
      <c r="V15" s="17">
        <f t="shared" si="7"/>
        <v>15</v>
      </c>
      <c r="W15" s="17">
        <f t="shared" si="7"/>
        <v>2</v>
      </c>
      <c r="X15" s="17">
        <f t="shared" si="7"/>
        <v>1</v>
      </c>
      <c r="Y15" s="17">
        <f t="shared" si="7"/>
        <v>16</v>
      </c>
      <c r="Z15" s="17">
        <f t="shared" si="7"/>
        <v>11</v>
      </c>
      <c r="AA15" s="17">
        <f t="shared" si="7"/>
        <v>10</v>
      </c>
      <c r="AB15" s="17">
        <f t="shared" si="7"/>
        <v>1</v>
      </c>
      <c r="AC15" s="17">
        <f t="shared" si="7"/>
        <v>355</v>
      </c>
      <c r="AD15" s="17">
        <f t="shared" si="7"/>
        <v>0</v>
      </c>
      <c r="AE15" s="31">
        <f t="shared" si="7"/>
        <v>616</v>
      </c>
      <c r="AF15" s="31">
        <f t="shared" si="7"/>
        <v>971</v>
      </c>
    </row>
    <row r="16" spans="2:32" ht="23.1" customHeight="1" x14ac:dyDescent="0.25">
      <c r="B16" s="23" t="s">
        <v>43</v>
      </c>
      <c r="C16" s="50">
        <v>66</v>
      </c>
      <c r="D16" s="50">
        <v>55</v>
      </c>
      <c r="E16" s="50">
        <v>7</v>
      </c>
      <c r="F16" s="50">
        <v>3</v>
      </c>
      <c r="G16" s="50">
        <v>0</v>
      </c>
      <c r="H16" s="50">
        <v>0</v>
      </c>
      <c r="I16" s="50">
        <v>2</v>
      </c>
      <c r="J16" s="50">
        <v>1</v>
      </c>
      <c r="K16" s="50">
        <v>0</v>
      </c>
      <c r="L16" s="50">
        <v>0</v>
      </c>
      <c r="M16" s="50">
        <v>115</v>
      </c>
      <c r="N16" s="50">
        <v>0</v>
      </c>
      <c r="O16" s="15">
        <f t="shared" si="0"/>
        <v>134</v>
      </c>
      <c r="P16" s="15">
        <f t="shared" si="1"/>
        <v>249</v>
      </c>
      <c r="R16" s="1" t="s">
        <v>12</v>
      </c>
      <c r="S16" s="17">
        <f t="shared" ref="S16:AF16" si="8">SUM(C34:C37)</f>
        <v>191</v>
      </c>
      <c r="T16" s="17">
        <f t="shared" si="8"/>
        <v>190</v>
      </c>
      <c r="U16" s="17">
        <f t="shared" si="8"/>
        <v>39</v>
      </c>
      <c r="V16" s="17">
        <f t="shared" si="8"/>
        <v>8</v>
      </c>
      <c r="W16" s="17">
        <f t="shared" si="8"/>
        <v>3</v>
      </c>
      <c r="X16" s="17">
        <f t="shared" si="8"/>
        <v>1</v>
      </c>
      <c r="Y16" s="17">
        <f t="shared" si="8"/>
        <v>14</v>
      </c>
      <c r="Z16" s="17">
        <f t="shared" si="8"/>
        <v>4</v>
      </c>
      <c r="AA16" s="17">
        <f t="shared" si="8"/>
        <v>2</v>
      </c>
      <c r="AB16" s="17">
        <f t="shared" si="8"/>
        <v>0</v>
      </c>
      <c r="AC16" s="17">
        <f t="shared" si="8"/>
        <v>335</v>
      </c>
      <c r="AD16" s="17">
        <f t="shared" si="8"/>
        <v>0</v>
      </c>
      <c r="AE16" s="31">
        <f t="shared" si="8"/>
        <v>452</v>
      </c>
      <c r="AF16" s="31">
        <f t="shared" si="8"/>
        <v>787</v>
      </c>
    </row>
    <row r="17" spans="2:32" ht="23.1" customHeight="1" x14ac:dyDescent="0.25">
      <c r="B17" s="23" t="s">
        <v>44</v>
      </c>
      <c r="C17" s="50">
        <v>55</v>
      </c>
      <c r="D17" s="50">
        <v>30</v>
      </c>
      <c r="E17" s="50">
        <v>5</v>
      </c>
      <c r="F17" s="50">
        <v>3</v>
      </c>
      <c r="G17" s="50">
        <v>0</v>
      </c>
      <c r="H17" s="50">
        <v>0</v>
      </c>
      <c r="I17" s="50">
        <v>2</v>
      </c>
      <c r="J17" s="50">
        <v>0</v>
      </c>
      <c r="K17" s="50">
        <v>0</v>
      </c>
      <c r="L17" s="50">
        <v>0</v>
      </c>
      <c r="M17" s="50">
        <v>87</v>
      </c>
      <c r="N17" s="50">
        <v>0</v>
      </c>
      <c r="O17" s="15">
        <f t="shared" si="0"/>
        <v>95</v>
      </c>
      <c r="P17" s="15">
        <f t="shared" si="1"/>
        <v>182</v>
      </c>
      <c r="R17" s="1" t="s">
        <v>13</v>
      </c>
      <c r="S17" s="17">
        <f t="shared" ref="S17:AF17" si="9">SUM(C38:C41)</f>
        <v>277</v>
      </c>
      <c r="T17" s="17">
        <f t="shared" si="9"/>
        <v>200</v>
      </c>
      <c r="U17" s="17">
        <f t="shared" si="9"/>
        <v>18</v>
      </c>
      <c r="V17" s="17">
        <f t="shared" si="9"/>
        <v>8</v>
      </c>
      <c r="W17" s="17">
        <f t="shared" si="9"/>
        <v>0</v>
      </c>
      <c r="X17" s="17">
        <f t="shared" si="9"/>
        <v>2</v>
      </c>
      <c r="Y17" s="17">
        <f t="shared" si="9"/>
        <v>5</v>
      </c>
      <c r="Z17" s="17">
        <f t="shared" si="9"/>
        <v>6</v>
      </c>
      <c r="AA17" s="17">
        <f t="shared" si="9"/>
        <v>0</v>
      </c>
      <c r="AB17" s="17">
        <f t="shared" si="9"/>
        <v>0</v>
      </c>
      <c r="AC17" s="17">
        <f t="shared" si="9"/>
        <v>370</v>
      </c>
      <c r="AD17" s="17">
        <f t="shared" si="9"/>
        <v>0</v>
      </c>
      <c r="AE17" s="31">
        <f t="shared" si="9"/>
        <v>516</v>
      </c>
      <c r="AF17" s="31">
        <f t="shared" si="9"/>
        <v>886</v>
      </c>
    </row>
    <row r="18" spans="2:32" ht="23.1" customHeight="1" x14ac:dyDescent="0.25">
      <c r="B18" s="23" t="s">
        <v>45</v>
      </c>
      <c r="C18" s="50">
        <v>55</v>
      </c>
      <c r="D18" s="50">
        <v>50</v>
      </c>
      <c r="E18" s="50">
        <v>8</v>
      </c>
      <c r="F18" s="50">
        <v>3</v>
      </c>
      <c r="G18" s="50">
        <v>0</v>
      </c>
      <c r="H18" s="50">
        <v>0</v>
      </c>
      <c r="I18" s="50">
        <v>3</v>
      </c>
      <c r="J18" s="50">
        <v>1</v>
      </c>
      <c r="K18" s="50">
        <v>0</v>
      </c>
      <c r="L18" s="50">
        <v>0</v>
      </c>
      <c r="M18" s="50">
        <v>65</v>
      </c>
      <c r="N18" s="50">
        <v>0</v>
      </c>
      <c r="O18" s="15">
        <f t="shared" si="0"/>
        <v>120</v>
      </c>
      <c r="P18" s="15">
        <f t="shared" si="1"/>
        <v>185</v>
      </c>
      <c r="R18" s="1" t="s">
        <v>14</v>
      </c>
      <c r="S18" s="17">
        <f t="shared" ref="S18:AF18" si="10">SUM(C42:C45)</f>
        <v>218</v>
      </c>
      <c r="T18" s="17">
        <f t="shared" si="10"/>
        <v>215</v>
      </c>
      <c r="U18" s="17">
        <f t="shared" si="10"/>
        <v>28</v>
      </c>
      <c r="V18" s="17">
        <f t="shared" si="10"/>
        <v>8</v>
      </c>
      <c r="W18" s="17">
        <f t="shared" si="10"/>
        <v>2</v>
      </c>
      <c r="X18" s="17">
        <f t="shared" si="10"/>
        <v>1</v>
      </c>
      <c r="Y18" s="17">
        <f t="shared" si="10"/>
        <v>7</v>
      </c>
      <c r="Z18" s="17">
        <f t="shared" si="10"/>
        <v>8</v>
      </c>
      <c r="AA18" s="17">
        <f t="shared" si="10"/>
        <v>0</v>
      </c>
      <c r="AB18" s="17">
        <f t="shared" si="10"/>
        <v>0</v>
      </c>
      <c r="AC18" s="17">
        <f t="shared" si="10"/>
        <v>395</v>
      </c>
      <c r="AD18" s="17">
        <f t="shared" si="10"/>
        <v>0</v>
      </c>
      <c r="AE18" s="31">
        <f t="shared" si="10"/>
        <v>487</v>
      </c>
      <c r="AF18" s="31">
        <f t="shared" si="10"/>
        <v>882</v>
      </c>
    </row>
    <row r="19" spans="2:32" ht="23.1" customHeight="1" x14ac:dyDescent="0.25">
      <c r="B19" s="23" t="s">
        <v>46</v>
      </c>
      <c r="C19" s="50">
        <v>50</v>
      </c>
      <c r="D19" s="50">
        <v>60</v>
      </c>
      <c r="E19" s="50">
        <v>4</v>
      </c>
      <c r="F19" s="50">
        <v>1</v>
      </c>
      <c r="G19" s="50">
        <v>0</v>
      </c>
      <c r="H19" s="50">
        <v>0</v>
      </c>
      <c r="I19" s="50">
        <v>3</v>
      </c>
      <c r="J19" s="50">
        <v>2</v>
      </c>
      <c r="K19" s="50">
        <v>0</v>
      </c>
      <c r="L19" s="50">
        <v>0</v>
      </c>
      <c r="M19" s="50">
        <v>100</v>
      </c>
      <c r="N19" s="50">
        <v>0</v>
      </c>
      <c r="O19" s="15">
        <f t="shared" si="0"/>
        <v>120</v>
      </c>
      <c r="P19" s="15">
        <f t="shared" si="1"/>
        <v>220</v>
      </c>
      <c r="R19" s="1" t="s">
        <v>15</v>
      </c>
      <c r="S19" s="17">
        <f t="shared" ref="S19:AF19" si="11">SUM(C46:C49)</f>
        <v>364</v>
      </c>
      <c r="T19" s="17">
        <f t="shared" si="11"/>
        <v>281</v>
      </c>
      <c r="U19" s="17">
        <f t="shared" si="11"/>
        <v>42</v>
      </c>
      <c r="V19" s="17">
        <f t="shared" si="11"/>
        <v>17</v>
      </c>
      <c r="W19" s="17">
        <f t="shared" si="11"/>
        <v>1</v>
      </c>
      <c r="X19" s="17">
        <f t="shared" si="11"/>
        <v>0</v>
      </c>
      <c r="Y19" s="17">
        <f t="shared" si="11"/>
        <v>10</v>
      </c>
      <c r="Z19" s="17">
        <f t="shared" si="11"/>
        <v>12</v>
      </c>
      <c r="AA19" s="17">
        <f t="shared" si="11"/>
        <v>1</v>
      </c>
      <c r="AB19" s="17">
        <f t="shared" si="11"/>
        <v>0</v>
      </c>
      <c r="AC19" s="17">
        <f t="shared" si="11"/>
        <v>615</v>
      </c>
      <c r="AD19" s="17">
        <f t="shared" si="11"/>
        <v>0</v>
      </c>
      <c r="AE19" s="31">
        <f t="shared" si="11"/>
        <v>728</v>
      </c>
      <c r="AF19" s="31">
        <f t="shared" si="11"/>
        <v>1343</v>
      </c>
    </row>
    <row r="20" spans="2:32" ht="23.1" customHeight="1" x14ac:dyDescent="0.25">
      <c r="B20" s="23" t="s">
        <v>47</v>
      </c>
      <c r="C20" s="50">
        <v>85</v>
      </c>
      <c r="D20" s="50">
        <v>130</v>
      </c>
      <c r="E20" s="50">
        <v>8</v>
      </c>
      <c r="F20" s="50">
        <v>7</v>
      </c>
      <c r="G20" s="50">
        <v>1</v>
      </c>
      <c r="H20" s="50">
        <v>0</v>
      </c>
      <c r="I20" s="50">
        <v>8</v>
      </c>
      <c r="J20" s="50">
        <v>0</v>
      </c>
      <c r="K20" s="50">
        <v>0</v>
      </c>
      <c r="L20" s="50">
        <v>0</v>
      </c>
      <c r="M20" s="50">
        <v>106</v>
      </c>
      <c r="N20" s="50">
        <v>0</v>
      </c>
      <c r="O20" s="15">
        <f t="shared" si="0"/>
        <v>239</v>
      </c>
      <c r="P20" s="15">
        <f t="shared" si="1"/>
        <v>345</v>
      </c>
      <c r="R20" s="1" t="s">
        <v>16</v>
      </c>
      <c r="S20" s="17">
        <f t="shared" ref="S20:AF20" si="12">SUM(C50:C53)</f>
        <v>415</v>
      </c>
      <c r="T20" s="17">
        <f t="shared" si="12"/>
        <v>406</v>
      </c>
      <c r="U20" s="17">
        <f t="shared" si="12"/>
        <v>42</v>
      </c>
      <c r="V20" s="17">
        <f t="shared" si="12"/>
        <v>8</v>
      </c>
      <c r="W20" s="17">
        <f t="shared" si="12"/>
        <v>2</v>
      </c>
      <c r="X20" s="17">
        <f t="shared" si="12"/>
        <v>0</v>
      </c>
      <c r="Y20" s="17">
        <f t="shared" si="12"/>
        <v>8</v>
      </c>
      <c r="Z20" s="17">
        <f t="shared" si="12"/>
        <v>7</v>
      </c>
      <c r="AA20" s="17">
        <f t="shared" si="12"/>
        <v>0</v>
      </c>
      <c r="AB20" s="17">
        <f t="shared" si="12"/>
        <v>1</v>
      </c>
      <c r="AC20" s="17">
        <f t="shared" si="12"/>
        <v>495</v>
      </c>
      <c r="AD20" s="17">
        <f t="shared" si="12"/>
        <v>0</v>
      </c>
      <c r="AE20" s="31">
        <f t="shared" si="12"/>
        <v>889</v>
      </c>
      <c r="AF20" s="31">
        <f t="shared" si="12"/>
        <v>1384</v>
      </c>
    </row>
    <row r="21" spans="2:32" ht="23.1" customHeight="1" x14ac:dyDescent="0.25">
      <c r="B21" s="23" t="s">
        <v>48</v>
      </c>
      <c r="C21" s="50">
        <v>45</v>
      </c>
      <c r="D21" s="50">
        <v>91</v>
      </c>
      <c r="E21" s="50">
        <v>7</v>
      </c>
      <c r="F21" s="50">
        <v>1</v>
      </c>
      <c r="G21" s="50">
        <v>0</v>
      </c>
      <c r="H21" s="50">
        <v>5</v>
      </c>
      <c r="I21" s="50">
        <v>1</v>
      </c>
      <c r="J21" s="50">
        <v>0</v>
      </c>
      <c r="K21" s="50">
        <v>0</v>
      </c>
      <c r="L21" s="50">
        <v>0</v>
      </c>
      <c r="M21" s="50">
        <v>75</v>
      </c>
      <c r="N21" s="50">
        <v>0</v>
      </c>
      <c r="O21" s="15">
        <f t="shared" si="0"/>
        <v>150</v>
      </c>
      <c r="P21" s="15">
        <f t="shared" si="1"/>
        <v>225</v>
      </c>
      <c r="R21" s="36" t="s">
        <v>20</v>
      </c>
      <c r="S21" s="34">
        <f t="shared" ref="S21:AF21" si="13">SUM(C54:C57)</f>
        <v>370</v>
      </c>
      <c r="T21" s="17">
        <f t="shared" si="13"/>
        <v>447</v>
      </c>
      <c r="U21" s="17">
        <f t="shared" si="13"/>
        <v>32</v>
      </c>
      <c r="V21" s="17">
        <f t="shared" si="13"/>
        <v>18</v>
      </c>
      <c r="W21" s="17">
        <f t="shared" si="13"/>
        <v>1</v>
      </c>
      <c r="X21" s="17">
        <f t="shared" si="13"/>
        <v>1</v>
      </c>
      <c r="Y21" s="17">
        <f t="shared" si="13"/>
        <v>18</v>
      </c>
      <c r="Z21" s="17">
        <f t="shared" si="13"/>
        <v>1</v>
      </c>
      <c r="AA21" s="17">
        <f t="shared" si="13"/>
        <v>0</v>
      </c>
      <c r="AB21" s="17">
        <f t="shared" si="13"/>
        <v>1</v>
      </c>
      <c r="AC21" s="17">
        <f t="shared" si="13"/>
        <v>465</v>
      </c>
      <c r="AD21" s="17">
        <f t="shared" si="13"/>
        <v>0</v>
      </c>
      <c r="AE21" s="31">
        <f t="shared" si="13"/>
        <v>889</v>
      </c>
      <c r="AF21" s="31">
        <f t="shared" si="13"/>
        <v>1354</v>
      </c>
    </row>
    <row r="22" spans="2:32" ht="23.1" customHeight="1" x14ac:dyDescent="0.25">
      <c r="B22" s="23" t="s">
        <v>49</v>
      </c>
      <c r="C22" s="50">
        <v>30</v>
      </c>
      <c r="D22" s="50">
        <v>75</v>
      </c>
      <c r="E22" s="50">
        <v>17</v>
      </c>
      <c r="F22" s="50">
        <v>3</v>
      </c>
      <c r="G22" s="50">
        <v>0</v>
      </c>
      <c r="H22" s="50">
        <v>0</v>
      </c>
      <c r="I22" s="50">
        <v>1</v>
      </c>
      <c r="J22" s="50">
        <v>3</v>
      </c>
      <c r="K22" s="50">
        <v>0</v>
      </c>
      <c r="L22" s="50">
        <v>0</v>
      </c>
      <c r="M22" s="50">
        <v>65</v>
      </c>
      <c r="N22" s="50">
        <v>0</v>
      </c>
      <c r="O22" s="15">
        <f t="shared" si="0"/>
        <v>129</v>
      </c>
      <c r="P22" s="15">
        <f t="shared" si="1"/>
        <v>194</v>
      </c>
      <c r="R22" s="38" t="s">
        <v>90</v>
      </c>
      <c r="S22" s="39">
        <f>MAX(S10:S12)</f>
        <v>246</v>
      </c>
      <c r="T22" s="39">
        <f t="shared" ref="T22:AF22" si="14">MAX(T10:T12)</f>
        <v>331</v>
      </c>
      <c r="U22" s="39">
        <f t="shared" si="14"/>
        <v>34</v>
      </c>
      <c r="V22" s="39">
        <f t="shared" si="14"/>
        <v>13</v>
      </c>
      <c r="W22" s="39">
        <f t="shared" si="14"/>
        <v>1</v>
      </c>
      <c r="X22" s="39">
        <f t="shared" si="14"/>
        <v>5</v>
      </c>
      <c r="Y22" s="39">
        <f t="shared" si="14"/>
        <v>15</v>
      </c>
      <c r="Z22" s="39">
        <f t="shared" si="14"/>
        <v>4</v>
      </c>
      <c r="AA22" s="39">
        <f t="shared" si="14"/>
        <v>1</v>
      </c>
      <c r="AB22" s="39">
        <f t="shared" si="14"/>
        <v>0</v>
      </c>
      <c r="AC22" s="39">
        <f t="shared" si="14"/>
        <v>407</v>
      </c>
      <c r="AD22" s="39">
        <f t="shared" si="14"/>
        <v>0</v>
      </c>
      <c r="AE22" s="40">
        <f t="shared" si="14"/>
        <v>629</v>
      </c>
      <c r="AF22" s="40">
        <f t="shared" si="14"/>
        <v>975</v>
      </c>
    </row>
    <row r="23" spans="2:32" ht="23.1" customHeight="1" x14ac:dyDescent="0.25">
      <c r="B23" s="23" t="s">
        <v>50</v>
      </c>
      <c r="C23" s="50">
        <v>41</v>
      </c>
      <c r="D23" s="50">
        <v>45</v>
      </c>
      <c r="E23" s="50">
        <v>5</v>
      </c>
      <c r="F23" s="50">
        <v>0</v>
      </c>
      <c r="G23" s="50">
        <v>0</v>
      </c>
      <c r="H23" s="50">
        <v>0</v>
      </c>
      <c r="I23" s="50">
        <v>1</v>
      </c>
      <c r="J23" s="50">
        <v>1</v>
      </c>
      <c r="K23" s="50">
        <v>0</v>
      </c>
      <c r="L23" s="50">
        <v>0</v>
      </c>
      <c r="M23" s="50">
        <v>65</v>
      </c>
      <c r="N23" s="50">
        <v>0</v>
      </c>
      <c r="O23" s="15">
        <f t="shared" si="0"/>
        <v>93</v>
      </c>
      <c r="P23" s="15">
        <f t="shared" si="1"/>
        <v>158</v>
      </c>
      <c r="R23" s="38" t="s">
        <v>91</v>
      </c>
      <c r="S23" s="39">
        <f>MAX(S13:S18)</f>
        <v>277</v>
      </c>
      <c r="T23" s="39">
        <f t="shared" ref="T23:AF23" si="15">MAX(T13:T18)</f>
        <v>275</v>
      </c>
      <c r="U23" s="39">
        <f t="shared" si="15"/>
        <v>55</v>
      </c>
      <c r="V23" s="39">
        <f t="shared" si="15"/>
        <v>15</v>
      </c>
      <c r="W23" s="39">
        <f t="shared" si="15"/>
        <v>3</v>
      </c>
      <c r="X23" s="39">
        <f t="shared" si="15"/>
        <v>2</v>
      </c>
      <c r="Y23" s="39">
        <f t="shared" si="15"/>
        <v>16</v>
      </c>
      <c r="Z23" s="39">
        <f t="shared" si="15"/>
        <v>11</v>
      </c>
      <c r="AA23" s="39">
        <f t="shared" si="15"/>
        <v>10</v>
      </c>
      <c r="AB23" s="39">
        <f t="shared" si="15"/>
        <v>2</v>
      </c>
      <c r="AC23" s="39">
        <f t="shared" si="15"/>
        <v>395</v>
      </c>
      <c r="AD23" s="39">
        <f t="shared" si="15"/>
        <v>0</v>
      </c>
      <c r="AE23" s="40">
        <f t="shared" si="15"/>
        <v>616</v>
      </c>
      <c r="AF23" s="40">
        <f t="shared" si="15"/>
        <v>971</v>
      </c>
    </row>
    <row r="24" spans="2:32" ht="23.1" customHeight="1" x14ac:dyDescent="0.25">
      <c r="B24" s="23" t="s">
        <v>51</v>
      </c>
      <c r="C24" s="50">
        <v>60</v>
      </c>
      <c r="D24" s="50">
        <v>80</v>
      </c>
      <c r="E24" s="50">
        <v>17</v>
      </c>
      <c r="F24" s="50">
        <v>5</v>
      </c>
      <c r="G24" s="50">
        <v>0</v>
      </c>
      <c r="H24" s="50">
        <v>0</v>
      </c>
      <c r="I24" s="50">
        <v>2</v>
      </c>
      <c r="J24" s="50">
        <v>5</v>
      </c>
      <c r="K24" s="50">
        <v>0</v>
      </c>
      <c r="L24" s="50">
        <v>2</v>
      </c>
      <c r="M24" s="50">
        <v>105</v>
      </c>
      <c r="N24" s="50">
        <v>0</v>
      </c>
      <c r="O24" s="15">
        <f t="shared" si="0"/>
        <v>171</v>
      </c>
      <c r="P24" s="15">
        <f t="shared" si="1"/>
        <v>276</v>
      </c>
      <c r="R24" s="38" t="s">
        <v>92</v>
      </c>
      <c r="S24" s="39">
        <f>MAX(S19:S21)</f>
        <v>415</v>
      </c>
      <c r="T24" s="39">
        <f t="shared" ref="T24:AF24" si="16">MAX(T19:T21)</f>
        <v>447</v>
      </c>
      <c r="U24" s="39">
        <f t="shared" si="16"/>
        <v>42</v>
      </c>
      <c r="V24" s="39">
        <f t="shared" si="16"/>
        <v>18</v>
      </c>
      <c r="W24" s="39">
        <f t="shared" si="16"/>
        <v>2</v>
      </c>
      <c r="X24" s="39">
        <f t="shared" si="16"/>
        <v>1</v>
      </c>
      <c r="Y24" s="39">
        <f t="shared" si="16"/>
        <v>18</v>
      </c>
      <c r="Z24" s="39">
        <f t="shared" si="16"/>
        <v>12</v>
      </c>
      <c r="AA24" s="39">
        <f t="shared" si="16"/>
        <v>1</v>
      </c>
      <c r="AB24" s="39">
        <f t="shared" si="16"/>
        <v>1</v>
      </c>
      <c r="AC24" s="39">
        <f t="shared" si="16"/>
        <v>615</v>
      </c>
      <c r="AD24" s="39">
        <f t="shared" si="16"/>
        <v>0</v>
      </c>
      <c r="AE24" s="40">
        <f t="shared" si="16"/>
        <v>889</v>
      </c>
      <c r="AF24" s="40">
        <f t="shared" si="16"/>
        <v>1384</v>
      </c>
    </row>
    <row r="25" spans="2:32" ht="23.1" customHeight="1" x14ac:dyDescent="0.25">
      <c r="B25" s="23" t="s">
        <v>52</v>
      </c>
      <c r="C25" s="50">
        <v>65</v>
      </c>
      <c r="D25" s="50">
        <v>75</v>
      </c>
      <c r="E25" s="50">
        <v>7</v>
      </c>
      <c r="F25" s="50">
        <v>7</v>
      </c>
      <c r="G25" s="50">
        <v>2</v>
      </c>
      <c r="H25" s="50">
        <v>0</v>
      </c>
      <c r="I25" s="50">
        <v>6</v>
      </c>
      <c r="J25" s="50">
        <v>0</v>
      </c>
      <c r="K25" s="50">
        <v>2</v>
      </c>
      <c r="L25" s="50">
        <v>0</v>
      </c>
      <c r="M25" s="50">
        <v>91</v>
      </c>
      <c r="N25" s="50">
        <v>0</v>
      </c>
      <c r="O25" s="15">
        <f t="shared" si="0"/>
        <v>164</v>
      </c>
      <c r="P25" s="15">
        <f t="shared" si="1"/>
        <v>255</v>
      </c>
      <c r="R25" s="37" t="s">
        <v>85</v>
      </c>
      <c r="S25" s="35">
        <f t="shared" ref="S25:AF25" si="17">SUM(S10:S12)</f>
        <v>681</v>
      </c>
      <c r="T25" s="16">
        <f t="shared" si="17"/>
        <v>701</v>
      </c>
      <c r="U25" s="16">
        <f t="shared" si="17"/>
        <v>84</v>
      </c>
      <c r="V25" s="16">
        <f t="shared" si="17"/>
        <v>31</v>
      </c>
      <c r="W25" s="16">
        <f t="shared" si="17"/>
        <v>2</v>
      </c>
      <c r="X25" s="16">
        <f t="shared" si="17"/>
        <v>6</v>
      </c>
      <c r="Y25" s="16">
        <f t="shared" si="17"/>
        <v>24</v>
      </c>
      <c r="Z25" s="16">
        <f t="shared" si="17"/>
        <v>10</v>
      </c>
      <c r="AA25" s="16">
        <f t="shared" si="17"/>
        <v>1</v>
      </c>
      <c r="AB25" s="16">
        <f t="shared" si="17"/>
        <v>0</v>
      </c>
      <c r="AC25" s="16">
        <f t="shared" si="17"/>
        <v>1048</v>
      </c>
      <c r="AD25" s="16">
        <f t="shared" si="17"/>
        <v>0</v>
      </c>
      <c r="AE25" s="32">
        <f t="shared" si="17"/>
        <v>1540</v>
      </c>
      <c r="AF25" s="32">
        <f t="shared" si="17"/>
        <v>2588</v>
      </c>
    </row>
    <row r="26" spans="2:32" ht="23.1" customHeight="1" x14ac:dyDescent="0.25">
      <c r="B26" s="23" t="s">
        <v>53</v>
      </c>
      <c r="C26" s="50">
        <v>60</v>
      </c>
      <c r="D26" s="50">
        <v>45</v>
      </c>
      <c r="E26" s="50">
        <v>14</v>
      </c>
      <c r="F26" s="50">
        <v>2</v>
      </c>
      <c r="G26" s="50">
        <v>0</v>
      </c>
      <c r="H26" s="50">
        <v>0</v>
      </c>
      <c r="I26" s="50">
        <v>4</v>
      </c>
      <c r="J26" s="50">
        <v>0</v>
      </c>
      <c r="K26" s="50">
        <v>0</v>
      </c>
      <c r="L26" s="50">
        <v>0</v>
      </c>
      <c r="M26" s="50">
        <v>85</v>
      </c>
      <c r="N26" s="50">
        <v>0</v>
      </c>
      <c r="O26" s="15">
        <f t="shared" si="0"/>
        <v>125</v>
      </c>
      <c r="P26" s="15">
        <f t="shared" si="1"/>
        <v>210</v>
      </c>
      <c r="R26" s="28" t="s">
        <v>86</v>
      </c>
      <c r="S26" s="16">
        <f t="shared" ref="S26:AF26" si="18">SUM(S13:S18)</f>
        <v>1332</v>
      </c>
      <c r="T26" s="16">
        <f t="shared" si="18"/>
        <v>1351</v>
      </c>
      <c r="U26" s="16">
        <f t="shared" si="18"/>
        <v>220</v>
      </c>
      <c r="V26" s="16">
        <f t="shared" si="18"/>
        <v>60</v>
      </c>
      <c r="W26" s="16">
        <f t="shared" si="18"/>
        <v>10</v>
      </c>
      <c r="X26" s="16">
        <f t="shared" si="18"/>
        <v>6</v>
      </c>
      <c r="Y26" s="16">
        <f t="shared" si="18"/>
        <v>65</v>
      </c>
      <c r="Z26" s="16">
        <f t="shared" si="18"/>
        <v>41</v>
      </c>
      <c r="AA26" s="16">
        <f t="shared" si="18"/>
        <v>14</v>
      </c>
      <c r="AB26" s="16">
        <f t="shared" si="18"/>
        <v>3</v>
      </c>
      <c r="AC26" s="16">
        <f t="shared" si="18"/>
        <v>2102</v>
      </c>
      <c r="AD26" s="16">
        <f t="shared" si="18"/>
        <v>0</v>
      </c>
      <c r="AE26" s="32">
        <f t="shared" si="18"/>
        <v>3102</v>
      </c>
      <c r="AF26" s="32">
        <f t="shared" si="18"/>
        <v>5204</v>
      </c>
    </row>
    <row r="27" spans="2:32" ht="23.1" customHeight="1" x14ac:dyDescent="0.25">
      <c r="B27" s="23" t="s">
        <v>54</v>
      </c>
      <c r="C27" s="50">
        <v>65</v>
      </c>
      <c r="D27" s="50">
        <v>45</v>
      </c>
      <c r="E27" s="50">
        <v>3</v>
      </c>
      <c r="F27" s="50">
        <v>1</v>
      </c>
      <c r="G27" s="50">
        <v>0</v>
      </c>
      <c r="H27" s="50">
        <v>0</v>
      </c>
      <c r="I27" s="50">
        <v>7</v>
      </c>
      <c r="J27" s="50">
        <v>0</v>
      </c>
      <c r="K27" s="50">
        <v>0</v>
      </c>
      <c r="L27" s="50">
        <v>0</v>
      </c>
      <c r="M27" s="50">
        <v>86</v>
      </c>
      <c r="N27" s="50">
        <v>0</v>
      </c>
      <c r="O27" s="15">
        <f t="shared" si="0"/>
        <v>121</v>
      </c>
      <c r="P27" s="15">
        <f t="shared" si="1"/>
        <v>207</v>
      </c>
      <c r="R27" s="29" t="s">
        <v>87</v>
      </c>
      <c r="S27" s="16">
        <f t="shared" ref="S27:AF27" si="19">SUM(S19:S21)</f>
        <v>1149</v>
      </c>
      <c r="T27" s="16">
        <f t="shared" si="19"/>
        <v>1134</v>
      </c>
      <c r="U27" s="16">
        <f t="shared" si="19"/>
        <v>116</v>
      </c>
      <c r="V27" s="16">
        <f t="shared" si="19"/>
        <v>43</v>
      </c>
      <c r="W27" s="16">
        <f t="shared" si="19"/>
        <v>4</v>
      </c>
      <c r="X27" s="16">
        <f t="shared" si="19"/>
        <v>1</v>
      </c>
      <c r="Y27" s="16">
        <f t="shared" si="19"/>
        <v>36</v>
      </c>
      <c r="Z27" s="16">
        <f t="shared" si="19"/>
        <v>20</v>
      </c>
      <c r="AA27" s="16">
        <f t="shared" si="19"/>
        <v>1</v>
      </c>
      <c r="AB27" s="16">
        <f t="shared" si="19"/>
        <v>2</v>
      </c>
      <c r="AC27" s="16">
        <f t="shared" si="19"/>
        <v>1575</v>
      </c>
      <c r="AD27" s="16">
        <f t="shared" si="19"/>
        <v>0</v>
      </c>
      <c r="AE27" s="32">
        <f t="shared" si="19"/>
        <v>2506</v>
      </c>
      <c r="AF27" s="32">
        <f t="shared" si="19"/>
        <v>4081</v>
      </c>
    </row>
    <row r="28" spans="2:32" ht="23.1" customHeight="1" x14ac:dyDescent="0.25">
      <c r="B28" s="23" t="s">
        <v>55</v>
      </c>
      <c r="C28" s="50">
        <v>40</v>
      </c>
      <c r="D28" s="50">
        <v>46</v>
      </c>
      <c r="E28" s="50">
        <v>10</v>
      </c>
      <c r="F28" s="50">
        <v>0</v>
      </c>
      <c r="G28" s="50">
        <v>1</v>
      </c>
      <c r="H28" s="50">
        <v>0</v>
      </c>
      <c r="I28" s="50">
        <v>0</v>
      </c>
      <c r="J28" s="50">
        <v>1</v>
      </c>
      <c r="K28" s="50">
        <v>0</v>
      </c>
      <c r="L28" s="50">
        <v>0</v>
      </c>
      <c r="M28" s="50">
        <v>80</v>
      </c>
      <c r="N28" s="50">
        <v>0</v>
      </c>
      <c r="O28" s="15">
        <f t="shared" si="0"/>
        <v>98</v>
      </c>
      <c r="P28" s="15">
        <f t="shared" si="1"/>
        <v>178</v>
      </c>
      <c r="R28" s="5" t="s">
        <v>17</v>
      </c>
      <c r="S28" s="16">
        <f t="shared" ref="S28:AF28" si="20">SUM(S10:S21)</f>
        <v>3162</v>
      </c>
      <c r="T28" s="16">
        <f t="shared" si="20"/>
        <v>3186</v>
      </c>
      <c r="U28" s="16">
        <f t="shared" si="20"/>
        <v>420</v>
      </c>
      <c r="V28" s="16">
        <f t="shared" si="20"/>
        <v>134</v>
      </c>
      <c r="W28" s="16">
        <f t="shared" si="20"/>
        <v>16</v>
      </c>
      <c r="X28" s="16">
        <f t="shared" si="20"/>
        <v>13</v>
      </c>
      <c r="Y28" s="16">
        <f t="shared" si="20"/>
        <v>125</v>
      </c>
      <c r="Z28" s="16">
        <f t="shared" si="20"/>
        <v>71</v>
      </c>
      <c r="AA28" s="16">
        <f t="shared" si="20"/>
        <v>16</v>
      </c>
      <c r="AB28" s="16">
        <f t="shared" si="20"/>
        <v>5</v>
      </c>
      <c r="AC28" s="16">
        <f t="shared" si="20"/>
        <v>4725</v>
      </c>
      <c r="AD28" s="16">
        <f t="shared" si="20"/>
        <v>0</v>
      </c>
      <c r="AE28" s="32">
        <f t="shared" si="20"/>
        <v>7148</v>
      </c>
      <c r="AF28" s="32">
        <f t="shared" si="20"/>
        <v>11873</v>
      </c>
    </row>
    <row r="29" spans="2:32" ht="23.1" customHeight="1" x14ac:dyDescent="0.25">
      <c r="B29" s="23" t="s">
        <v>56</v>
      </c>
      <c r="C29" s="50">
        <v>55</v>
      </c>
      <c r="D29" s="50">
        <v>60</v>
      </c>
      <c r="E29" s="50">
        <v>7</v>
      </c>
      <c r="F29" s="50">
        <v>3</v>
      </c>
      <c r="G29" s="50">
        <v>0</v>
      </c>
      <c r="H29" s="50">
        <v>1</v>
      </c>
      <c r="I29" s="50">
        <v>2</v>
      </c>
      <c r="J29" s="50">
        <v>2</v>
      </c>
      <c r="K29" s="50">
        <v>0</v>
      </c>
      <c r="L29" s="50">
        <v>0</v>
      </c>
      <c r="M29" s="50">
        <v>70</v>
      </c>
      <c r="N29" s="50">
        <v>0</v>
      </c>
      <c r="O29" s="15">
        <f t="shared" si="0"/>
        <v>130</v>
      </c>
      <c r="P29" s="15">
        <f t="shared" si="1"/>
        <v>200</v>
      </c>
      <c r="R29"/>
      <c r="S29" s="20"/>
      <c r="T29" s="19"/>
    </row>
    <row r="30" spans="2:32" ht="23.1" customHeight="1" x14ac:dyDescent="0.25">
      <c r="B30" s="23" t="s">
        <v>57</v>
      </c>
      <c r="C30" s="50">
        <v>70</v>
      </c>
      <c r="D30" s="50">
        <v>65</v>
      </c>
      <c r="E30" s="50">
        <v>17</v>
      </c>
      <c r="F30" s="50">
        <v>3</v>
      </c>
      <c r="G30" s="50">
        <v>1</v>
      </c>
      <c r="H30" s="50">
        <v>1</v>
      </c>
      <c r="I30" s="50">
        <v>1</v>
      </c>
      <c r="J30" s="50">
        <v>2</v>
      </c>
      <c r="K30" s="50">
        <v>0</v>
      </c>
      <c r="L30" s="50">
        <v>1</v>
      </c>
      <c r="M30" s="50">
        <v>110</v>
      </c>
      <c r="N30" s="50">
        <v>0</v>
      </c>
      <c r="O30" s="15">
        <f t="shared" si="0"/>
        <v>161</v>
      </c>
      <c r="P30" s="15">
        <f t="shared" si="1"/>
        <v>271</v>
      </c>
    </row>
    <row r="31" spans="2:32" ht="23.1" customHeight="1" x14ac:dyDescent="0.25">
      <c r="B31" s="24" t="s">
        <v>58</v>
      </c>
      <c r="C31" s="50">
        <v>55</v>
      </c>
      <c r="D31" s="50">
        <v>55</v>
      </c>
      <c r="E31" s="50">
        <v>9</v>
      </c>
      <c r="F31" s="50">
        <v>2</v>
      </c>
      <c r="G31" s="50">
        <v>0</v>
      </c>
      <c r="H31" s="50">
        <v>0</v>
      </c>
      <c r="I31" s="50">
        <v>5</v>
      </c>
      <c r="J31" s="50">
        <v>4</v>
      </c>
      <c r="K31" s="50">
        <v>2</v>
      </c>
      <c r="L31" s="50">
        <v>0</v>
      </c>
      <c r="M31" s="50">
        <v>115</v>
      </c>
      <c r="N31" s="50">
        <v>0</v>
      </c>
      <c r="O31" s="15">
        <f t="shared" si="0"/>
        <v>132</v>
      </c>
      <c r="P31" s="15">
        <f t="shared" si="1"/>
        <v>247</v>
      </c>
    </row>
    <row r="32" spans="2:32" ht="23.1" customHeight="1" x14ac:dyDescent="0.25">
      <c r="B32" s="24" t="s">
        <v>59</v>
      </c>
      <c r="C32" s="50">
        <v>60</v>
      </c>
      <c r="D32" s="50">
        <v>85</v>
      </c>
      <c r="E32" s="50">
        <v>16</v>
      </c>
      <c r="F32" s="50">
        <v>7</v>
      </c>
      <c r="G32" s="50">
        <v>0</v>
      </c>
      <c r="H32" s="50">
        <v>0</v>
      </c>
      <c r="I32" s="50">
        <v>9</v>
      </c>
      <c r="J32" s="50">
        <v>2</v>
      </c>
      <c r="K32" s="50">
        <v>3</v>
      </c>
      <c r="L32" s="50">
        <v>0</v>
      </c>
      <c r="M32" s="50">
        <v>80</v>
      </c>
      <c r="N32" s="50">
        <v>0</v>
      </c>
      <c r="O32" s="15">
        <f t="shared" si="0"/>
        <v>182</v>
      </c>
      <c r="P32" s="15">
        <f t="shared" si="1"/>
        <v>262</v>
      </c>
    </row>
    <row r="33" spans="2:20" ht="23.1" customHeight="1" x14ac:dyDescent="0.25">
      <c r="B33" s="23" t="s">
        <v>60</v>
      </c>
      <c r="C33" s="50">
        <v>45</v>
      </c>
      <c r="D33" s="50">
        <v>70</v>
      </c>
      <c r="E33" s="50">
        <v>13</v>
      </c>
      <c r="F33" s="50">
        <v>3</v>
      </c>
      <c r="G33" s="50">
        <v>1</v>
      </c>
      <c r="H33" s="50">
        <v>0</v>
      </c>
      <c r="I33" s="50">
        <v>1</v>
      </c>
      <c r="J33" s="50">
        <v>3</v>
      </c>
      <c r="K33" s="50">
        <v>5</v>
      </c>
      <c r="L33" s="50">
        <v>0</v>
      </c>
      <c r="M33" s="50">
        <v>50</v>
      </c>
      <c r="N33" s="50">
        <v>0</v>
      </c>
      <c r="O33" s="15">
        <f t="shared" si="0"/>
        <v>141</v>
      </c>
      <c r="P33" s="15">
        <f t="shared" si="1"/>
        <v>191</v>
      </c>
    </row>
    <row r="34" spans="2:20" ht="23.1" customHeight="1" x14ac:dyDescent="0.25">
      <c r="B34" s="24" t="s">
        <v>61</v>
      </c>
      <c r="C34" s="50">
        <v>46</v>
      </c>
      <c r="D34" s="50">
        <v>55</v>
      </c>
      <c r="E34" s="50">
        <v>8</v>
      </c>
      <c r="F34" s="50">
        <v>4</v>
      </c>
      <c r="G34" s="50">
        <v>3</v>
      </c>
      <c r="H34" s="50">
        <v>1</v>
      </c>
      <c r="I34" s="50">
        <v>1</v>
      </c>
      <c r="J34" s="50">
        <v>1</v>
      </c>
      <c r="K34" s="50">
        <v>0</v>
      </c>
      <c r="L34" s="50">
        <v>0</v>
      </c>
      <c r="M34" s="50">
        <v>60</v>
      </c>
      <c r="N34" s="50">
        <v>0</v>
      </c>
      <c r="O34" s="15">
        <f t="shared" si="0"/>
        <v>119</v>
      </c>
      <c r="P34" s="15">
        <f t="shared" si="1"/>
        <v>179</v>
      </c>
    </row>
    <row r="35" spans="2:20" ht="23.1" customHeight="1" x14ac:dyDescent="0.25">
      <c r="B35" s="24" t="s">
        <v>62</v>
      </c>
      <c r="C35" s="50">
        <v>50</v>
      </c>
      <c r="D35" s="50">
        <v>55</v>
      </c>
      <c r="E35" s="50">
        <v>9</v>
      </c>
      <c r="F35" s="50">
        <v>1</v>
      </c>
      <c r="G35" s="50">
        <v>0</v>
      </c>
      <c r="H35" s="50">
        <v>0</v>
      </c>
      <c r="I35" s="50">
        <v>5</v>
      </c>
      <c r="J35" s="50">
        <v>2</v>
      </c>
      <c r="K35" s="50">
        <v>0</v>
      </c>
      <c r="L35" s="50">
        <v>0</v>
      </c>
      <c r="M35" s="50">
        <v>80</v>
      </c>
      <c r="N35" s="50">
        <v>0</v>
      </c>
      <c r="O35" s="15">
        <f t="shared" si="0"/>
        <v>122</v>
      </c>
      <c r="P35" s="15">
        <f t="shared" si="1"/>
        <v>202</v>
      </c>
    </row>
    <row r="36" spans="2:20" ht="23.1" customHeight="1" x14ac:dyDescent="0.25">
      <c r="B36" s="24" t="s">
        <v>63</v>
      </c>
      <c r="C36" s="50">
        <v>50</v>
      </c>
      <c r="D36" s="50">
        <v>45</v>
      </c>
      <c r="E36" s="50">
        <v>15</v>
      </c>
      <c r="F36" s="50">
        <v>0</v>
      </c>
      <c r="G36" s="50">
        <v>0</v>
      </c>
      <c r="H36" s="50">
        <v>0</v>
      </c>
      <c r="I36" s="50">
        <v>3</v>
      </c>
      <c r="J36" s="50">
        <v>0</v>
      </c>
      <c r="K36" s="50">
        <v>2</v>
      </c>
      <c r="L36" s="50">
        <v>0</v>
      </c>
      <c r="M36" s="50">
        <v>90</v>
      </c>
      <c r="N36" s="50">
        <v>0</v>
      </c>
      <c r="O36" s="15">
        <f t="shared" si="0"/>
        <v>115</v>
      </c>
      <c r="P36" s="15">
        <f t="shared" si="1"/>
        <v>205</v>
      </c>
    </row>
    <row r="37" spans="2:20" ht="23.1" customHeight="1" x14ac:dyDescent="0.25">
      <c r="B37" s="23" t="s">
        <v>64</v>
      </c>
      <c r="C37" s="50">
        <v>45</v>
      </c>
      <c r="D37" s="50">
        <v>35</v>
      </c>
      <c r="E37" s="50">
        <v>7</v>
      </c>
      <c r="F37" s="50">
        <v>3</v>
      </c>
      <c r="G37" s="50">
        <v>0</v>
      </c>
      <c r="H37" s="50">
        <v>0</v>
      </c>
      <c r="I37" s="50">
        <v>5</v>
      </c>
      <c r="J37" s="50">
        <v>1</v>
      </c>
      <c r="K37" s="50">
        <v>0</v>
      </c>
      <c r="L37" s="50">
        <v>0</v>
      </c>
      <c r="M37" s="50">
        <v>105</v>
      </c>
      <c r="N37" s="50">
        <v>0</v>
      </c>
      <c r="O37" s="15">
        <f t="shared" si="0"/>
        <v>96</v>
      </c>
      <c r="P37" s="15">
        <f t="shared" si="1"/>
        <v>201</v>
      </c>
    </row>
    <row r="38" spans="2:20" ht="23.1" customHeight="1" x14ac:dyDescent="0.25">
      <c r="B38" s="24" t="s">
        <v>65</v>
      </c>
      <c r="C38" s="50">
        <v>45</v>
      </c>
      <c r="D38" s="50">
        <v>35</v>
      </c>
      <c r="E38" s="50">
        <v>3</v>
      </c>
      <c r="F38" s="50">
        <v>1</v>
      </c>
      <c r="G38" s="50">
        <v>0</v>
      </c>
      <c r="H38" s="50">
        <v>1</v>
      </c>
      <c r="I38" s="50">
        <v>1</v>
      </c>
      <c r="J38" s="50">
        <v>1</v>
      </c>
      <c r="K38" s="50">
        <v>0</v>
      </c>
      <c r="L38" s="50">
        <v>0</v>
      </c>
      <c r="M38" s="50">
        <v>55</v>
      </c>
      <c r="N38" s="50">
        <v>0</v>
      </c>
      <c r="O38" s="15">
        <f t="shared" si="0"/>
        <v>87</v>
      </c>
      <c r="P38" s="15">
        <f t="shared" si="1"/>
        <v>142</v>
      </c>
    </row>
    <row r="39" spans="2:20" ht="23.1" customHeight="1" x14ac:dyDescent="0.25">
      <c r="B39" s="24" t="s">
        <v>66</v>
      </c>
      <c r="C39" s="50">
        <v>80</v>
      </c>
      <c r="D39" s="50">
        <v>35</v>
      </c>
      <c r="E39" s="50">
        <v>3</v>
      </c>
      <c r="F39" s="50">
        <v>2</v>
      </c>
      <c r="G39" s="50">
        <v>0</v>
      </c>
      <c r="H39" s="50">
        <v>1</v>
      </c>
      <c r="I39" s="50">
        <v>0</v>
      </c>
      <c r="J39" s="50">
        <v>0</v>
      </c>
      <c r="K39" s="50">
        <v>0</v>
      </c>
      <c r="L39" s="50">
        <v>0</v>
      </c>
      <c r="M39" s="50">
        <v>65</v>
      </c>
      <c r="N39" s="50">
        <v>0</v>
      </c>
      <c r="O39" s="15">
        <f t="shared" si="0"/>
        <v>121</v>
      </c>
      <c r="P39" s="15">
        <f t="shared" si="1"/>
        <v>186</v>
      </c>
    </row>
    <row r="40" spans="2:20" ht="23.1" customHeight="1" x14ac:dyDescent="0.25">
      <c r="B40" s="24" t="s">
        <v>67</v>
      </c>
      <c r="C40" s="50">
        <v>72</v>
      </c>
      <c r="D40" s="50">
        <v>55</v>
      </c>
      <c r="E40" s="50">
        <v>9</v>
      </c>
      <c r="F40" s="50">
        <v>4</v>
      </c>
      <c r="G40" s="50">
        <v>0</v>
      </c>
      <c r="H40" s="50">
        <v>0</v>
      </c>
      <c r="I40" s="50">
        <v>3</v>
      </c>
      <c r="J40" s="50">
        <v>1</v>
      </c>
      <c r="K40" s="50">
        <v>0</v>
      </c>
      <c r="L40" s="50">
        <v>0</v>
      </c>
      <c r="M40" s="50">
        <v>150</v>
      </c>
      <c r="N40" s="50">
        <v>0</v>
      </c>
      <c r="O40" s="15">
        <f t="shared" si="0"/>
        <v>144</v>
      </c>
      <c r="P40" s="15">
        <f t="shared" si="1"/>
        <v>294</v>
      </c>
    </row>
    <row r="41" spans="2:20" ht="23.1" customHeight="1" x14ac:dyDescent="0.25">
      <c r="B41" s="23" t="s">
        <v>68</v>
      </c>
      <c r="C41" s="50">
        <v>80</v>
      </c>
      <c r="D41" s="50">
        <v>75</v>
      </c>
      <c r="E41" s="50">
        <v>3</v>
      </c>
      <c r="F41" s="50">
        <v>1</v>
      </c>
      <c r="G41" s="50">
        <v>0</v>
      </c>
      <c r="H41" s="50">
        <v>0</v>
      </c>
      <c r="I41" s="50">
        <v>1</v>
      </c>
      <c r="J41" s="50">
        <v>4</v>
      </c>
      <c r="K41" s="50">
        <v>0</v>
      </c>
      <c r="L41" s="50">
        <v>0</v>
      </c>
      <c r="M41" s="50">
        <v>100</v>
      </c>
      <c r="N41" s="50">
        <v>0</v>
      </c>
      <c r="O41" s="15">
        <f t="shared" si="0"/>
        <v>164</v>
      </c>
      <c r="P41" s="15">
        <f t="shared" si="1"/>
        <v>264</v>
      </c>
    </row>
    <row r="42" spans="2:20" ht="23.1" customHeight="1" x14ac:dyDescent="0.25">
      <c r="B42" s="24" t="s">
        <v>69</v>
      </c>
      <c r="C42" s="50">
        <v>45</v>
      </c>
      <c r="D42" s="50">
        <v>30</v>
      </c>
      <c r="E42" s="50">
        <v>1</v>
      </c>
      <c r="F42" s="50">
        <v>1</v>
      </c>
      <c r="G42" s="50">
        <v>1</v>
      </c>
      <c r="H42" s="50">
        <v>0</v>
      </c>
      <c r="I42" s="50">
        <v>3</v>
      </c>
      <c r="J42" s="50">
        <v>2</v>
      </c>
      <c r="K42" s="50">
        <v>0</v>
      </c>
      <c r="L42" s="50">
        <v>0</v>
      </c>
      <c r="M42" s="50">
        <v>55</v>
      </c>
      <c r="N42" s="50">
        <v>0</v>
      </c>
      <c r="O42" s="15">
        <f t="shared" si="0"/>
        <v>83</v>
      </c>
      <c r="P42" s="15">
        <f t="shared" si="1"/>
        <v>138</v>
      </c>
    </row>
    <row r="43" spans="2:20" ht="23.1" customHeight="1" x14ac:dyDescent="0.25">
      <c r="B43" s="23" t="s">
        <v>70</v>
      </c>
      <c r="C43" s="50">
        <v>50</v>
      </c>
      <c r="D43" s="50">
        <v>50</v>
      </c>
      <c r="E43" s="50">
        <v>1</v>
      </c>
      <c r="F43" s="50">
        <v>1</v>
      </c>
      <c r="G43" s="50">
        <v>0</v>
      </c>
      <c r="H43" s="50">
        <v>0</v>
      </c>
      <c r="I43" s="50">
        <v>0</v>
      </c>
      <c r="J43" s="50">
        <v>0</v>
      </c>
      <c r="K43" s="50">
        <v>0</v>
      </c>
      <c r="L43" s="50">
        <v>0</v>
      </c>
      <c r="M43" s="50">
        <v>80</v>
      </c>
      <c r="N43" s="50">
        <v>0</v>
      </c>
      <c r="O43" s="15">
        <f t="shared" si="0"/>
        <v>102</v>
      </c>
      <c r="P43" s="15">
        <f t="shared" si="1"/>
        <v>182</v>
      </c>
    </row>
    <row r="44" spans="2:20" ht="23.1" customHeight="1" x14ac:dyDescent="0.25">
      <c r="B44" s="25" t="s">
        <v>71</v>
      </c>
      <c r="C44" s="50">
        <v>55</v>
      </c>
      <c r="D44" s="50">
        <v>60</v>
      </c>
      <c r="E44" s="50">
        <v>13</v>
      </c>
      <c r="F44" s="50">
        <v>3</v>
      </c>
      <c r="G44" s="50">
        <v>1</v>
      </c>
      <c r="H44" s="50">
        <v>0</v>
      </c>
      <c r="I44" s="50">
        <v>2</v>
      </c>
      <c r="J44" s="50">
        <v>2</v>
      </c>
      <c r="K44" s="50">
        <v>0</v>
      </c>
      <c r="L44" s="50">
        <v>0</v>
      </c>
      <c r="M44" s="50">
        <v>125</v>
      </c>
      <c r="N44" s="50">
        <v>0</v>
      </c>
      <c r="O44" s="15">
        <f t="shared" si="0"/>
        <v>136</v>
      </c>
      <c r="P44" s="15">
        <f t="shared" si="1"/>
        <v>261</v>
      </c>
    </row>
    <row r="45" spans="2:20" ht="23.1" customHeight="1" x14ac:dyDescent="0.25">
      <c r="B45" s="23" t="s">
        <v>72</v>
      </c>
      <c r="C45" s="50">
        <v>68</v>
      </c>
      <c r="D45" s="50">
        <v>75</v>
      </c>
      <c r="E45" s="50">
        <v>13</v>
      </c>
      <c r="F45" s="50">
        <v>3</v>
      </c>
      <c r="G45" s="50">
        <v>0</v>
      </c>
      <c r="H45" s="50">
        <v>1</v>
      </c>
      <c r="I45" s="50">
        <v>2</v>
      </c>
      <c r="J45" s="50">
        <v>4</v>
      </c>
      <c r="K45" s="50">
        <v>0</v>
      </c>
      <c r="L45" s="50">
        <v>0</v>
      </c>
      <c r="M45" s="50">
        <v>135</v>
      </c>
      <c r="N45" s="50">
        <v>0</v>
      </c>
      <c r="O45" s="15">
        <f t="shared" si="0"/>
        <v>166</v>
      </c>
      <c r="P45" s="15">
        <f t="shared" si="1"/>
        <v>301</v>
      </c>
    </row>
    <row r="46" spans="2:20" ht="23.1" customHeight="1" x14ac:dyDescent="0.25">
      <c r="B46" s="24" t="s">
        <v>73</v>
      </c>
      <c r="C46" s="50">
        <v>103</v>
      </c>
      <c r="D46" s="50">
        <v>55</v>
      </c>
      <c r="E46" s="50">
        <v>9</v>
      </c>
      <c r="F46" s="50">
        <v>5</v>
      </c>
      <c r="G46" s="50">
        <v>0</v>
      </c>
      <c r="H46" s="50">
        <v>0</v>
      </c>
      <c r="I46" s="50">
        <v>2</v>
      </c>
      <c r="J46" s="50">
        <v>6</v>
      </c>
      <c r="K46" s="50">
        <v>0</v>
      </c>
      <c r="L46" s="50">
        <v>0</v>
      </c>
      <c r="M46" s="50">
        <v>148</v>
      </c>
      <c r="N46" s="50">
        <v>0</v>
      </c>
      <c r="O46" s="15">
        <f t="shared" si="0"/>
        <v>180</v>
      </c>
      <c r="P46" s="15">
        <f t="shared" si="1"/>
        <v>328</v>
      </c>
      <c r="R46" s="8"/>
      <c r="T46"/>
    </row>
    <row r="47" spans="2:20" ht="23.1" customHeight="1" x14ac:dyDescent="0.25">
      <c r="B47" s="24" t="s">
        <v>74</v>
      </c>
      <c r="C47" s="50">
        <v>76</v>
      </c>
      <c r="D47" s="50">
        <v>45</v>
      </c>
      <c r="E47" s="50">
        <v>13</v>
      </c>
      <c r="F47" s="50">
        <v>3</v>
      </c>
      <c r="G47" s="50">
        <v>1</v>
      </c>
      <c r="H47" s="50">
        <v>0</v>
      </c>
      <c r="I47" s="50">
        <v>1</v>
      </c>
      <c r="J47" s="50">
        <v>0</v>
      </c>
      <c r="K47" s="50">
        <v>1</v>
      </c>
      <c r="L47" s="50">
        <v>0</v>
      </c>
      <c r="M47" s="50">
        <v>157</v>
      </c>
      <c r="N47" s="50">
        <v>0</v>
      </c>
      <c r="O47" s="15">
        <f t="shared" si="0"/>
        <v>140</v>
      </c>
      <c r="P47" s="15">
        <f t="shared" si="1"/>
        <v>297</v>
      </c>
      <c r="R47" s="8"/>
      <c r="T47"/>
    </row>
    <row r="48" spans="2:20" ht="23.1" customHeight="1" x14ac:dyDescent="0.25">
      <c r="B48" s="24" t="s">
        <v>75</v>
      </c>
      <c r="C48" s="50">
        <v>80</v>
      </c>
      <c r="D48" s="50">
        <v>81</v>
      </c>
      <c r="E48" s="50">
        <v>7</v>
      </c>
      <c r="F48" s="50">
        <v>6</v>
      </c>
      <c r="G48" s="50">
        <v>0</v>
      </c>
      <c r="H48" s="50">
        <v>0</v>
      </c>
      <c r="I48" s="50">
        <v>3</v>
      </c>
      <c r="J48" s="50">
        <v>2</v>
      </c>
      <c r="K48" s="50">
        <v>0</v>
      </c>
      <c r="L48" s="50">
        <v>0</v>
      </c>
      <c r="M48" s="50">
        <v>125</v>
      </c>
      <c r="N48" s="50">
        <v>0</v>
      </c>
      <c r="O48" s="15">
        <f t="shared" si="0"/>
        <v>179</v>
      </c>
      <c r="P48" s="15">
        <f t="shared" si="1"/>
        <v>304</v>
      </c>
      <c r="R48" s="8"/>
      <c r="T48"/>
    </row>
    <row r="49" spans="2:20" ht="23.1" customHeight="1" x14ac:dyDescent="0.25">
      <c r="B49" s="23" t="s">
        <v>76</v>
      </c>
      <c r="C49" s="50">
        <v>105</v>
      </c>
      <c r="D49" s="50">
        <v>100</v>
      </c>
      <c r="E49" s="50">
        <v>13</v>
      </c>
      <c r="F49" s="50">
        <v>3</v>
      </c>
      <c r="G49" s="50">
        <v>0</v>
      </c>
      <c r="H49" s="50">
        <v>0</v>
      </c>
      <c r="I49" s="50">
        <v>4</v>
      </c>
      <c r="J49" s="50">
        <v>4</v>
      </c>
      <c r="K49" s="50">
        <v>0</v>
      </c>
      <c r="L49" s="50">
        <v>0</v>
      </c>
      <c r="M49" s="50">
        <v>185</v>
      </c>
      <c r="N49" s="50">
        <v>0</v>
      </c>
      <c r="O49" s="15">
        <f t="shared" si="0"/>
        <v>229</v>
      </c>
      <c r="P49" s="15">
        <f t="shared" si="1"/>
        <v>414</v>
      </c>
      <c r="R49" s="8"/>
      <c r="T49"/>
    </row>
    <row r="50" spans="2:20" ht="23.1" customHeight="1" x14ac:dyDescent="0.25">
      <c r="B50" s="24" t="s">
        <v>77</v>
      </c>
      <c r="C50" s="50">
        <v>120</v>
      </c>
      <c r="D50" s="50">
        <v>91</v>
      </c>
      <c r="E50" s="50">
        <v>19</v>
      </c>
      <c r="F50" s="50">
        <v>3</v>
      </c>
      <c r="G50" s="50">
        <v>0</v>
      </c>
      <c r="H50" s="50">
        <v>0</v>
      </c>
      <c r="I50" s="50">
        <v>2</v>
      </c>
      <c r="J50" s="50">
        <v>0</v>
      </c>
      <c r="K50" s="50">
        <v>0</v>
      </c>
      <c r="L50" s="50">
        <v>0</v>
      </c>
      <c r="M50" s="50">
        <v>195</v>
      </c>
      <c r="N50" s="50">
        <v>0</v>
      </c>
      <c r="O50" s="15">
        <f t="shared" si="0"/>
        <v>235</v>
      </c>
      <c r="P50" s="15">
        <f t="shared" si="1"/>
        <v>430</v>
      </c>
      <c r="R50" s="8"/>
      <c r="T50"/>
    </row>
    <row r="51" spans="2:20" ht="23.1" customHeight="1" x14ac:dyDescent="0.25">
      <c r="B51" s="24" t="s">
        <v>78</v>
      </c>
      <c r="C51" s="50">
        <v>75</v>
      </c>
      <c r="D51" s="50">
        <v>75</v>
      </c>
      <c r="E51" s="50">
        <v>7</v>
      </c>
      <c r="F51" s="50">
        <v>1</v>
      </c>
      <c r="G51" s="50">
        <v>1</v>
      </c>
      <c r="H51" s="50">
        <v>0</v>
      </c>
      <c r="I51" s="50">
        <v>3</v>
      </c>
      <c r="J51" s="50">
        <v>2</v>
      </c>
      <c r="K51" s="50">
        <v>0</v>
      </c>
      <c r="L51" s="50">
        <v>0</v>
      </c>
      <c r="M51" s="50">
        <v>105</v>
      </c>
      <c r="N51" s="50">
        <v>0</v>
      </c>
      <c r="O51" s="15">
        <f t="shared" si="0"/>
        <v>164</v>
      </c>
      <c r="P51" s="15">
        <f t="shared" si="1"/>
        <v>269</v>
      </c>
      <c r="R51" s="8"/>
      <c r="T51"/>
    </row>
    <row r="52" spans="2:20" ht="23.1" customHeight="1" x14ac:dyDescent="0.25">
      <c r="B52" s="24" t="s">
        <v>79</v>
      </c>
      <c r="C52" s="50">
        <v>75</v>
      </c>
      <c r="D52" s="50">
        <v>55</v>
      </c>
      <c r="E52" s="50">
        <v>4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1</v>
      </c>
      <c r="M52" s="50">
        <v>125</v>
      </c>
      <c r="N52" s="50">
        <v>0</v>
      </c>
      <c r="O52" s="15">
        <f t="shared" si="0"/>
        <v>139</v>
      </c>
      <c r="P52" s="15">
        <f t="shared" si="1"/>
        <v>264</v>
      </c>
      <c r="R52" s="8"/>
      <c r="T52"/>
    </row>
    <row r="53" spans="2:20" ht="23.1" customHeight="1" x14ac:dyDescent="0.25">
      <c r="B53" s="23" t="s">
        <v>80</v>
      </c>
      <c r="C53" s="50">
        <v>145</v>
      </c>
      <c r="D53" s="50">
        <v>185</v>
      </c>
      <c r="E53" s="50">
        <v>12</v>
      </c>
      <c r="F53" s="50">
        <v>2</v>
      </c>
      <c r="G53" s="50">
        <v>1</v>
      </c>
      <c r="H53" s="50">
        <v>0</v>
      </c>
      <c r="I53" s="50">
        <v>1</v>
      </c>
      <c r="J53" s="50">
        <v>5</v>
      </c>
      <c r="K53" s="50">
        <v>0</v>
      </c>
      <c r="L53" s="50">
        <v>0</v>
      </c>
      <c r="M53" s="50">
        <v>70</v>
      </c>
      <c r="N53" s="50">
        <v>0</v>
      </c>
      <c r="O53" s="15">
        <f t="shared" si="0"/>
        <v>351</v>
      </c>
      <c r="P53" s="15">
        <f t="shared" si="1"/>
        <v>421</v>
      </c>
      <c r="R53" s="8"/>
      <c r="T53"/>
    </row>
    <row r="54" spans="2:20" ht="23.1" customHeight="1" x14ac:dyDescent="0.25">
      <c r="B54" s="23" t="s">
        <v>81</v>
      </c>
      <c r="C54" s="50">
        <v>160</v>
      </c>
      <c r="D54" s="50">
        <v>230</v>
      </c>
      <c r="E54" s="50">
        <v>13</v>
      </c>
      <c r="F54" s="50">
        <v>2</v>
      </c>
      <c r="G54" s="50">
        <v>0</v>
      </c>
      <c r="H54" s="50">
        <v>0</v>
      </c>
      <c r="I54" s="50">
        <v>7</v>
      </c>
      <c r="J54" s="50">
        <v>0</v>
      </c>
      <c r="K54" s="50">
        <v>0</v>
      </c>
      <c r="L54" s="50">
        <v>0</v>
      </c>
      <c r="M54" s="50">
        <v>165</v>
      </c>
      <c r="N54" s="50">
        <v>0</v>
      </c>
      <c r="O54" s="15">
        <f t="shared" si="0"/>
        <v>412</v>
      </c>
      <c r="P54" s="15">
        <f t="shared" si="1"/>
        <v>577</v>
      </c>
      <c r="R54" s="8"/>
      <c r="T54"/>
    </row>
    <row r="55" spans="2:20" ht="23.1" customHeight="1" x14ac:dyDescent="0.25">
      <c r="B55" s="23" t="s">
        <v>82</v>
      </c>
      <c r="C55" s="50">
        <v>65</v>
      </c>
      <c r="D55" s="50">
        <v>100</v>
      </c>
      <c r="E55" s="50">
        <v>7</v>
      </c>
      <c r="F55" s="50">
        <v>6</v>
      </c>
      <c r="G55" s="50">
        <v>0</v>
      </c>
      <c r="H55" s="50">
        <v>1</v>
      </c>
      <c r="I55" s="50">
        <v>2</v>
      </c>
      <c r="J55" s="50">
        <v>0</v>
      </c>
      <c r="K55" s="50">
        <v>0</v>
      </c>
      <c r="L55" s="50">
        <v>0</v>
      </c>
      <c r="M55" s="50">
        <v>110</v>
      </c>
      <c r="N55" s="50">
        <v>0</v>
      </c>
      <c r="O55" s="15">
        <f t="shared" si="0"/>
        <v>181</v>
      </c>
      <c r="P55" s="15">
        <f t="shared" si="1"/>
        <v>291</v>
      </c>
      <c r="R55" s="8"/>
      <c r="T55"/>
    </row>
    <row r="56" spans="2:20" ht="23.1" customHeight="1" x14ac:dyDescent="0.25">
      <c r="B56" s="23" t="s">
        <v>83</v>
      </c>
      <c r="C56" s="50">
        <v>45</v>
      </c>
      <c r="D56" s="50">
        <v>45</v>
      </c>
      <c r="E56" s="50">
        <v>5</v>
      </c>
      <c r="F56" s="50">
        <v>2</v>
      </c>
      <c r="G56" s="50">
        <v>1</v>
      </c>
      <c r="H56" s="50">
        <v>0</v>
      </c>
      <c r="I56" s="50">
        <v>1</v>
      </c>
      <c r="J56" s="50">
        <v>0</v>
      </c>
      <c r="K56" s="50">
        <v>0</v>
      </c>
      <c r="L56" s="50">
        <v>1</v>
      </c>
      <c r="M56" s="50">
        <v>35</v>
      </c>
      <c r="N56" s="50">
        <v>0</v>
      </c>
      <c r="O56" s="15">
        <f t="shared" si="0"/>
        <v>100</v>
      </c>
      <c r="P56" s="15">
        <f t="shared" si="1"/>
        <v>135</v>
      </c>
      <c r="R56" s="8"/>
      <c r="T56"/>
    </row>
    <row r="57" spans="2:20" ht="23.1" customHeight="1" x14ac:dyDescent="0.25">
      <c r="B57" s="23" t="s">
        <v>84</v>
      </c>
      <c r="C57" s="50">
        <v>100</v>
      </c>
      <c r="D57" s="50">
        <v>72</v>
      </c>
      <c r="E57" s="50">
        <v>7</v>
      </c>
      <c r="F57" s="50">
        <v>8</v>
      </c>
      <c r="G57" s="50">
        <v>0</v>
      </c>
      <c r="H57" s="50">
        <v>0</v>
      </c>
      <c r="I57" s="50">
        <v>8</v>
      </c>
      <c r="J57" s="50">
        <v>1</v>
      </c>
      <c r="K57" s="50">
        <v>0</v>
      </c>
      <c r="L57" s="50">
        <v>0</v>
      </c>
      <c r="M57" s="50">
        <v>155</v>
      </c>
      <c r="N57" s="50">
        <v>0</v>
      </c>
      <c r="O57" s="15">
        <f t="shared" si="0"/>
        <v>196</v>
      </c>
      <c r="P57" s="15">
        <f t="shared" si="1"/>
        <v>351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3162</v>
      </c>
      <c r="D58" s="16">
        <f t="shared" si="21"/>
        <v>3186</v>
      </c>
      <c r="E58" s="16">
        <f t="shared" si="21"/>
        <v>420</v>
      </c>
      <c r="F58" s="16">
        <f t="shared" si="21"/>
        <v>134</v>
      </c>
      <c r="G58" s="16">
        <f t="shared" si="21"/>
        <v>16</v>
      </c>
      <c r="H58" s="16">
        <f t="shared" si="21"/>
        <v>13</v>
      </c>
      <c r="I58" s="16">
        <f t="shared" si="21"/>
        <v>125</v>
      </c>
      <c r="J58" s="16">
        <f t="shared" si="21"/>
        <v>71</v>
      </c>
      <c r="K58" s="16">
        <f t="shared" si="21"/>
        <v>16</v>
      </c>
      <c r="L58" s="16">
        <f t="shared" si="21"/>
        <v>5</v>
      </c>
      <c r="M58" s="16">
        <f t="shared" si="21"/>
        <v>4725</v>
      </c>
      <c r="N58" s="16">
        <f t="shared" si="21"/>
        <v>0</v>
      </c>
      <c r="O58" s="16">
        <f t="shared" si="21"/>
        <v>7148</v>
      </c>
      <c r="P58" s="16">
        <f t="shared" si="21"/>
        <v>11873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0.26631853785900783</v>
      </c>
      <c r="D59" s="43">
        <f t="shared" si="22"/>
        <v>0.26833993093573655</v>
      </c>
      <c r="E59" s="43">
        <f t="shared" si="22"/>
        <v>3.5374378842752463E-2</v>
      </c>
      <c r="F59" s="43">
        <f t="shared" si="22"/>
        <v>1.1286111345068644E-2</v>
      </c>
      <c r="G59" s="43">
        <f t="shared" si="22"/>
        <v>1.347595384485808E-3</v>
      </c>
      <c r="H59" s="43">
        <f t="shared" si="22"/>
        <v>1.0949212498947191E-3</v>
      </c>
      <c r="I59" s="43">
        <f t="shared" si="22"/>
        <v>1.0528088941295376E-2</v>
      </c>
      <c r="J59" s="43">
        <f t="shared" si="22"/>
        <v>5.9799545186557737E-3</v>
      </c>
      <c r="K59" s="43">
        <f t="shared" si="22"/>
        <v>1.347595384485808E-3</v>
      </c>
      <c r="L59" s="43">
        <f t="shared" si="22"/>
        <v>4.2112355765181505E-4</v>
      </c>
      <c r="M59" s="43">
        <f t="shared" si="22"/>
        <v>0.39796176198096522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0.44236149972020145</v>
      </c>
      <c r="D60" s="44">
        <f t="shared" ref="D60:N60" si="23">D58/$O$58</f>
        <v>0.44571908226077223</v>
      </c>
      <c r="E60" s="44">
        <f t="shared" si="23"/>
        <v>5.875769445998881E-2</v>
      </c>
      <c r="F60" s="44">
        <f t="shared" si="23"/>
        <v>1.8746502518186905E-2</v>
      </c>
      <c r="G60" s="44">
        <f t="shared" si="23"/>
        <v>2.2383883603805262E-3</v>
      </c>
      <c r="H60" s="44">
        <f t="shared" si="23"/>
        <v>1.8186905428091774E-3</v>
      </c>
      <c r="I60" s="44">
        <f t="shared" si="23"/>
        <v>1.7487409065472859E-2</v>
      </c>
      <c r="J60" s="44">
        <f t="shared" si="23"/>
        <v>9.9328483491885836E-3</v>
      </c>
      <c r="K60" s="44">
        <f t="shared" si="23"/>
        <v>2.2383883603805262E-3</v>
      </c>
      <c r="L60" s="44">
        <f t="shared" si="23"/>
        <v>6.9949636261891436E-4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M50" sqref="M5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Kira Road-Jinaj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'2.08 Jinja road-Kira road'!D5</f>
        <v>2.08.19</v>
      </c>
      <c r="E5" s="3"/>
      <c r="F5" s="41" t="s">
        <v>1</v>
      </c>
      <c r="G5" s="54" t="s">
        <v>177</v>
      </c>
      <c r="H5" s="55"/>
      <c r="I5" s="14"/>
      <c r="J5" s="2" t="s">
        <v>5</v>
      </c>
      <c r="K5" s="54" t="s">
        <v>182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Kira Road-Jinaj Road'!D6:E6</f>
        <v>Kira Road</v>
      </c>
      <c r="E6" s="55"/>
      <c r="F6" s="2" t="s">
        <v>2</v>
      </c>
      <c r="G6" s="54" t="str">
        <f>'29.07 Kira Road-Jinaj Road'!G6:H6</f>
        <v>Jinja Road</v>
      </c>
      <c r="H6" s="55"/>
      <c r="J6" s="2" t="s">
        <v>21</v>
      </c>
      <c r="K6" s="54" t="str">
        <f>'2.08 Jinja road-Kira road'!K6:L6</f>
        <v>Steven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60</v>
      </c>
      <c r="D10" s="50">
        <v>6</v>
      </c>
      <c r="E10" s="50">
        <v>13</v>
      </c>
      <c r="F10" s="50">
        <v>7</v>
      </c>
      <c r="G10" s="50">
        <v>1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83</v>
      </c>
      <c r="N10" s="50">
        <v>0</v>
      </c>
      <c r="O10" s="15">
        <f t="shared" ref="O10:O57" si="0">SUM(C10:L10,N10)</f>
        <v>88</v>
      </c>
      <c r="P10" s="15">
        <f t="shared" ref="P10:P57" si="1">SUM(C10:N10)</f>
        <v>171</v>
      </c>
      <c r="R10" s="1" t="s">
        <v>6</v>
      </c>
      <c r="S10" s="17">
        <f t="shared" ref="S10:AF10" si="2">SUM(C10:C13)</f>
        <v>425</v>
      </c>
      <c r="T10" s="17">
        <f t="shared" si="2"/>
        <v>72</v>
      </c>
      <c r="U10" s="17">
        <f t="shared" si="2"/>
        <v>36</v>
      </c>
      <c r="V10" s="17">
        <f t="shared" si="2"/>
        <v>39</v>
      </c>
      <c r="W10" s="17">
        <f t="shared" si="2"/>
        <v>1</v>
      </c>
      <c r="X10" s="17">
        <f t="shared" si="2"/>
        <v>0</v>
      </c>
      <c r="Y10" s="17">
        <f t="shared" si="2"/>
        <v>14</v>
      </c>
      <c r="Z10" s="17">
        <f t="shared" si="2"/>
        <v>0</v>
      </c>
      <c r="AA10" s="17">
        <f t="shared" si="2"/>
        <v>1</v>
      </c>
      <c r="AB10" s="17">
        <f t="shared" si="2"/>
        <v>0</v>
      </c>
      <c r="AC10" s="17">
        <f t="shared" si="2"/>
        <v>629</v>
      </c>
      <c r="AD10" s="17">
        <f t="shared" si="2"/>
        <v>0</v>
      </c>
      <c r="AE10" s="31">
        <f t="shared" si="2"/>
        <v>588</v>
      </c>
      <c r="AF10" s="31">
        <f t="shared" si="2"/>
        <v>1217</v>
      </c>
    </row>
    <row r="11" spans="2:32" s="6" customFormat="1" ht="23.1" customHeight="1" x14ac:dyDescent="0.25">
      <c r="B11" s="23" t="s">
        <v>38</v>
      </c>
      <c r="C11" s="50">
        <v>115</v>
      </c>
      <c r="D11" s="50">
        <v>20</v>
      </c>
      <c r="E11" s="50">
        <v>9</v>
      </c>
      <c r="F11" s="50">
        <v>10</v>
      </c>
      <c r="G11" s="50">
        <v>0</v>
      </c>
      <c r="H11" s="50">
        <v>0</v>
      </c>
      <c r="I11" s="50">
        <v>4</v>
      </c>
      <c r="J11" s="50">
        <v>0</v>
      </c>
      <c r="K11" s="50">
        <v>1</v>
      </c>
      <c r="L11" s="50">
        <v>0</v>
      </c>
      <c r="M11" s="50">
        <v>132</v>
      </c>
      <c r="N11" s="50">
        <v>0</v>
      </c>
      <c r="O11" s="15">
        <f t="shared" si="0"/>
        <v>159</v>
      </c>
      <c r="P11" s="15">
        <f t="shared" si="1"/>
        <v>291</v>
      </c>
      <c r="R11" s="1" t="s">
        <v>7</v>
      </c>
      <c r="S11" s="17">
        <f t="shared" ref="S11:AF11" si="3">SUM(C14:C17)</f>
        <v>504</v>
      </c>
      <c r="T11" s="17">
        <f t="shared" si="3"/>
        <v>72</v>
      </c>
      <c r="U11" s="17">
        <f t="shared" si="3"/>
        <v>48</v>
      </c>
      <c r="V11" s="17">
        <f t="shared" si="3"/>
        <v>34</v>
      </c>
      <c r="W11" s="17">
        <f t="shared" si="3"/>
        <v>0</v>
      </c>
      <c r="X11" s="17">
        <f t="shared" si="3"/>
        <v>0</v>
      </c>
      <c r="Y11" s="17">
        <f t="shared" si="3"/>
        <v>24</v>
      </c>
      <c r="Z11" s="17">
        <f t="shared" si="3"/>
        <v>6</v>
      </c>
      <c r="AA11" s="17">
        <f t="shared" si="3"/>
        <v>3</v>
      </c>
      <c r="AB11" s="17">
        <f t="shared" si="3"/>
        <v>0</v>
      </c>
      <c r="AC11" s="17">
        <f t="shared" si="3"/>
        <v>1011</v>
      </c>
      <c r="AD11" s="17">
        <f t="shared" si="3"/>
        <v>0</v>
      </c>
      <c r="AE11" s="31">
        <f t="shared" si="3"/>
        <v>691</v>
      </c>
      <c r="AF11" s="31">
        <f t="shared" si="3"/>
        <v>1702</v>
      </c>
    </row>
    <row r="12" spans="2:32" ht="23.1" customHeight="1" x14ac:dyDescent="0.25">
      <c r="B12" s="23" t="s">
        <v>39</v>
      </c>
      <c r="C12" s="50">
        <v>119</v>
      </c>
      <c r="D12" s="50">
        <v>27</v>
      </c>
      <c r="E12" s="50">
        <v>9</v>
      </c>
      <c r="F12" s="50">
        <v>13</v>
      </c>
      <c r="G12" s="50">
        <v>0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187</v>
      </c>
      <c r="N12" s="50">
        <v>0</v>
      </c>
      <c r="O12" s="15">
        <f t="shared" si="0"/>
        <v>171</v>
      </c>
      <c r="P12" s="15">
        <f t="shared" si="1"/>
        <v>358</v>
      </c>
      <c r="R12" s="1" t="s">
        <v>8</v>
      </c>
      <c r="S12" s="17">
        <f t="shared" ref="S12:AF12" si="4">SUM(C18:C21)</f>
        <v>465</v>
      </c>
      <c r="T12" s="17">
        <f t="shared" si="4"/>
        <v>103</v>
      </c>
      <c r="U12" s="17">
        <f t="shared" si="4"/>
        <v>53</v>
      </c>
      <c r="V12" s="17">
        <f t="shared" si="4"/>
        <v>38</v>
      </c>
      <c r="W12" s="17">
        <f t="shared" si="4"/>
        <v>2</v>
      </c>
      <c r="X12" s="17">
        <f t="shared" si="4"/>
        <v>1</v>
      </c>
      <c r="Y12" s="17">
        <f t="shared" si="4"/>
        <v>32</v>
      </c>
      <c r="Z12" s="17">
        <f t="shared" si="4"/>
        <v>10</v>
      </c>
      <c r="AA12" s="17">
        <f t="shared" si="4"/>
        <v>5</v>
      </c>
      <c r="AB12" s="17">
        <f t="shared" si="4"/>
        <v>0</v>
      </c>
      <c r="AC12" s="17">
        <f t="shared" si="4"/>
        <v>797</v>
      </c>
      <c r="AD12" s="17">
        <f t="shared" si="4"/>
        <v>0</v>
      </c>
      <c r="AE12" s="31">
        <f t="shared" si="4"/>
        <v>709</v>
      </c>
      <c r="AF12" s="31">
        <f t="shared" si="4"/>
        <v>1506</v>
      </c>
    </row>
    <row r="13" spans="2:32" ht="23.1" customHeight="1" x14ac:dyDescent="0.25">
      <c r="B13" s="23" t="s">
        <v>40</v>
      </c>
      <c r="C13" s="50">
        <v>131</v>
      </c>
      <c r="D13" s="50">
        <v>19</v>
      </c>
      <c r="E13" s="50">
        <v>5</v>
      </c>
      <c r="F13" s="50">
        <v>9</v>
      </c>
      <c r="G13" s="50">
        <v>0</v>
      </c>
      <c r="H13" s="50">
        <v>0</v>
      </c>
      <c r="I13" s="50">
        <v>6</v>
      </c>
      <c r="J13" s="50">
        <v>0</v>
      </c>
      <c r="K13" s="50">
        <v>0</v>
      </c>
      <c r="L13" s="50">
        <v>0</v>
      </c>
      <c r="M13" s="50">
        <v>227</v>
      </c>
      <c r="N13" s="50">
        <v>0</v>
      </c>
      <c r="O13" s="15">
        <f t="shared" si="0"/>
        <v>170</v>
      </c>
      <c r="P13" s="15">
        <f t="shared" si="1"/>
        <v>397</v>
      </c>
      <c r="R13" s="1" t="s">
        <v>9</v>
      </c>
      <c r="S13" s="17">
        <f t="shared" ref="S13:AF13" si="5">SUM(C22:C25)</f>
        <v>476</v>
      </c>
      <c r="T13" s="17">
        <f t="shared" si="5"/>
        <v>95</v>
      </c>
      <c r="U13" s="17">
        <f t="shared" si="5"/>
        <v>56</v>
      </c>
      <c r="V13" s="17">
        <f t="shared" si="5"/>
        <v>47</v>
      </c>
      <c r="W13" s="17">
        <f t="shared" si="5"/>
        <v>2</v>
      </c>
      <c r="X13" s="17">
        <f t="shared" si="5"/>
        <v>2</v>
      </c>
      <c r="Y13" s="17">
        <f t="shared" si="5"/>
        <v>34</v>
      </c>
      <c r="Z13" s="17">
        <f t="shared" si="5"/>
        <v>19</v>
      </c>
      <c r="AA13" s="17">
        <f t="shared" si="5"/>
        <v>1</v>
      </c>
      <c r="AB13" s="17">
        <f t="shared" si="5"/>
        <v>2</v>
      </c>
      <c r="AC13" s="17">
        <f t="shared" si="5"/>
        <v>803</v>
      </c>
      <c r="AD13" s="17">
        <f t="shared" si="5"/>
        <v>0</v>
      </c>
      <c r="AE13" s="31">
        <f t="shared" si="5"/>
        <v>734</v>
      </c>
      <c r="AF13" s="31">
        <f t="shared" si="5"/>
        <v>1537</v>
      </c>
    </row>
    <row r="14" spans="2:32" ht="23.1" customHeight="1" x14ac:dyDescent="0.25">
      <c r="B14" s="23" t="s">
        <v>41</v>
      </c>
      <c r="C14" s="50">
        <v>140</v>
      </c>
      <c r="D14" s="50">
        <v>22</v>
      </c>
      <c r="E14" s="50">
        <v>12</v>
      </c>
      <c r="F14" s="50">
        <v>11</v>
      </c>
      <c r="G14" s="50">
        <v>0</v>
      </c>
      <c r="H14" s="50">
        <v>0</v>
      </c>
      <c r="I14" s="50">
        <v>4</v>
      </c>
      <c r="J14" s="50">
        <v>0</v>
      </c>
      <c r="K14" s="50">
        <v>0</v>
      </c>
      <c r="L14" s="50">
        <v>0</v>
      </c>
      <c r="M14" s="50">
        <v>265</v>
      </c>
      <c r="N14" s="50">
        <v>0</v>
      </c>
      <c r="O14" s="15">
        <f t="shared" si="0"/>
        <v>189</v>
      </c>
      <c r="P14" s="15">
        <f t="shared" si="1"/>
        <v>454</v>
      </c>
      <c r="R14" s="1" t="s">
        <v>10</v>
      </c>
      <c r="S14" s="17">
        <f t="shared" ref="S14:AF14" si="6">SUM(C26:C29)</f>
        <v>466</v>
      </c>
      <c r="T14" s="17">
        <f t="shared" si="6"/>
        <v>96</v>
      </c>
      <c r="U14" s="17">
        <f t="shared" si="6"/>
        <v>54</v>
      </c>
      <c r="V14" s="17">
        <f t="shared" si="6"/>
        <v>24</v>
      </c>
      <c r="W14" s="17">
        <f t="shared" si="6"/>
        <v>1</v>
      </c>
      <c r="X14" s="17">
        <f t="shared" si="6"/>
        <v>0</v>
      </c>
      <c r="Y14" s="17">
        <f t="shared" si="6"/>
        <v>25</v>
      </c>
      <c r="Z14" s="17">
        <f t="shared" si="6"/>
        <v>8</v>
      </c>
      <c r="AA14" s="17">
        <f t="shared" si="6"/>
        <v>2</v>
      </c>
      <c r="AB14" s="17">
        <f t="shared" si="6"/>
        <v>1</v>
      </c>
      <c r="AC14" s="17">
        <f t="shared" si="6"/>
        <v>896</v>
      </c>
      <c r="AD14" s="17">
        <f t="shared" si="6"/>
        <v>0</v>
      </c>
      <c r="AE14" s="31">
        <f t="shared" si="6"/>
        <v>677</v>
      </c>
      <c r="AF14" s="31">
        <f t="shared" si="6"/>
        <v>1573</v>
      </c>
    </row>
    <row r="15" spans="2:32" ht="23.1" customHeight="1" x14ac:dyDescent="0.25">
      <c r="B15" s="23" t="s">
        <v>42</v>
      </c>
      <c r="C15" s="50">
        <v>97</v>
      </c>
      <c r="D15" s="50">
        <v>24</v>
      </c>
      <c r="E15" s="50">
        <v>9</v>
      </c>
      <c r="F15" s="50">
        <v>6</v>
      </c>
      <c r="G15" s="50">
        <v>0</v>
      </c>
      <c r="H15" s="50">
        <v>0</v>
      </c>
      <c r="I15" s="50">
        <v>4</v>
      </c>
      <c r="J15" s="50">
        <v>1</v>
      </c>
      <c r="K15" s="50">
        <v>0</v>
      </c>
      <c r="L15" s="50">
        <v>0</v>
      </c>
      <c r="M15" s="50">
        <v>240</v>
      </c>
      <c r="N15" s="50">
        <v>0</v>
      </c>
      <c r="O15" s="15">
        <f t="shared" si="0"/>
        <v>141</v>
      </c>
      <c r="P15" s="15">
        <f t="shared" si="1"/>
        <v>381</v>
      </c>
      <c r="R15" s="1" t="s">
        <v>11</v>
      </c>
      <c r="S15" s="17">
        <f t="shared" ref="S15:AF15" si="7">SUM(C30:C33)</f>
        <v>521</v>
      </c>
      <c r="T15" s="17">
        <f t="shared" si="7"/>
        <v>80</v>
      </c>
      <c r="U15" s="17">
        <f t="shared" si="7"/>
        <v>58</v>
      </c>
      <c r="V15" s="17">
        <f t="shared" si="7"/>
        <v>30</v>
      </c>
      <c r="W15" s="17">
        <f t="shared" si="7"/>
        <v>0</v>
      </c>
      <c r="X15" s="17">
        <f t="shared" si="7"/>
        <v>0</v>
      </c>
      <c r="Y15" s="17">
        <f t="shared" si="7"/>
        <v>25</v>
      </c>
      <c r="Z15" s="17">
        <f t="shared" si="7"/>
        <v>16</v>
      </c>
      <c r="AA15" s="17">
        <f t="shared" si="7"/>
        <v>3</v>
      </c>
      <c r="AB15" s="17">
        <f t="shared" si="7"/>
        <v>0</v>
      </c>
      <c r="AC15" s="17">
        <f t="shared" si="7"/>
        <v>814</v>
      </c>
      <c r="AD15" s="17">
        <f t="shared" si="7"/>
        <v>0</v>
      </c>
      <c r="AE15" s="31">
        <f t="shared" si="7"/>
        <v>733</v>
      </c>
      <c r="AF15" s="31">
        <f t="shared" si="7"/>
        <v>1547</v>
      </c>
    </row>
    <row r="16" spans="2:32" ht="23.1" customHeight="1" x14ac:dyDescent="0.25">
      <c r="B16" s="23" t="s">
        <v>43</v>
      </c>
      <c r="C16" s="50">
        <v>133</v>
      </c>
      <c r="D16" s="50">
        <v>14</v>
      </c>
      <c r="E16" s="50">
        <v>17</v>
      </c>
      <c r="F16" s="50">
        <v>7</v>
      </c>
      <c r="G16" s="50">
        <v>0</v>
      </c>
      <c r="H16" s="50">
        <v>0</v>
      </c>
      <c r="I16" s="50">
        <v>7</v>
      </c>
      <c r="J16" s="50">
        <v>1</v>
      </c>
      <c r="K16" s="50">
        <v>2</v>
      </c>
      <c r="L16" s="50">
        <v>0</v>
      </c>
      <c r="M16" s="50">
        <v>274</v>
      </c>
      <c r="N16" s="50">
        <v>0</v>
      </c>
      <c r="O16" s="15">
        <f t="shared" si="0"/>
        <v>181</v>
      </c>
      <c r="P16" s="15">
        <f t="shared" si="1"/>
        <v>455</v>
      </c>
      <c r="R16" s="1" t="s">
        <v>12</v>
      </c>
      <c r="S16" s="17">
        <f t="shared" ref="S16:AF16" si="8">SUM(C34:C37)</f>
        <v>468</v>
      </c>
      <c r="T16" s="17">
        <f t="shared" si="8"/>
        <v>80</v>
      </c>
      <c r="U16" s="17">
        <f t="shared" si="8"/>
        <v>54</v>
      </c>
      <c r="V16" s="17">
        <f t="shared" si="8"/>
        <v>39</v>
      </c>
      <c r="W16" s="17">
        <f t="shared" si="8"/>
        <v>1</v>
      </c>
      <c r="X16" s="17">
        <f t="shared" si="8"/>
        <v>0</v>
      </c>
      <c r="Y16" s="17">
        <f t="shared" si="8"/>
        <v>25</v>
      </c>
      <c r="Z16" s="17">
        <f t="shared" si="8"/>
        <v>5</v>
      </c>
      <c r="AA16" s="17">
        <f t="shared" si="8"/>
        <v>1</v>
      </c>
      <c r="AB16" s="17">
        <f t="shared" si="8"/>
        <v>1</v>
      </c>
      <c r="AC16" s="17">
        <f t="shared" si="8"/>
        <v>672</v>
      </c>
      <c r="AD16" s="17">
        <f t="shared" si="8"/>
        <v>0</v>
      </c>
      <c r="AE16" s="31">
        <f t="shared" si="8"/>
        <v>674</v>
      </c>
      <c r="AF16" s="31">
        <f t="shared" si="8"/>
        <v>1346</v>
      </c>
    </row>
    <row r="17" spans="2:32" ht="23.1" customHeight="1" x14ac:dyDescent="0.25">
      <c r="B17" s="23" t="s">
        <v>44</v>
      </c>
      <c r="C17" s="50">
        <v>134</v>
      </c>
      <c r="D17" s="50">
        <v>12</v>
      </c>
      <c r="E17" s="50">
        <v>10</v>
      </c>
      <c r="F17" s="50">
        <v>10</v>
      </c>
      <c r="G17" s="50">
        <v>0</v>
      </c>
      <c r="H17" s="50">
        <v>0</v>
      </c>
      <c r="I17" s="50">
        <v>9</v>
      </c>
      <c r="J17" s="50">
        <v>4</v>
      </c>
      <c r="K17" s="50">
        <v>1</v>
      </c>
      <c r="L17" s="50">
        <v>0</v>
      </c>
      <c r="M17" s="50">
        <v>232</v>
      </c>
      <c r="N17" s="50">
        <v>0</v>
      </c>
      <c r="O17" s="15">
        <f t="shared" si="0"/>
        <v>180</v>
      </c>
      <c r="P17" s="15">
        <f t="shared" si="1"/>
        <v>412</v>
      </c>
      <c r="R17" s="1" t="s">
        <v>13</v>
      </c>
      <c r="S17" s="17">
        <f t="shared" ref="S17:AF17" si="9">SUM(C38:C41)</f>
        <v>538</v>
      </c>
      <c r="T17" s="17">
        <f t="shared" si="9"/>
        <v>117</v>
      </c>
      <c r="U17" s="17">
        <f t="shared" si="9"/>
        <v>67</v>
      </c>
      <c r="V17" s="17">
        <f t="shared" si="9"/>
        <v>45</v>
      </c>
      <c r="W17" s="17">
        <f t="shared" si="9"/>
        <v>0</v>
      </c>
      <c r="X17" s="17">
        <f t="shared" si="9"/>
        <v>0</v>
      </c>
      <c r="Y17" s="17">
        <f t="shared" si="9"/>
        <v>20</v>
      </c>
      <c r="Z17" s="17">
        <f t="shared" si="9"/>
        <v>5</v>
      </c>
      <c r="AA17" s="17">
        <f t="shared" si="9"/>
        <v>2</v>
      </c>
      <c r="AB17" s="17">
        <f t="shared" si="9"/>
        <v>0</v>
      </c>
      <c r="AC17" s="17">
        <f t="shared" si="9"/>
        <v>692</v>
      </c>
      <c r="AD17" s="17">
        <f t="shared" si="9"/>
        <v>0</v>
      </c>
      <c r="AE17" s="31">
        <f t="shared" si="9"/>
        <v>794</v>
      </c>
      <c r="AF17" s="31">
        <f t="shared" si="9"/>
        <v>1486</v>
      </c>
    </row>
    <row r="18" spans="2:32" ht="23.1" customHeight="1" x14ac:dyDescent="0.25">
      <c r="B18" s="23" t="s">
        <v>45</v>
      </c>
      <c r="C18" s="50">
        <v>116</v>
      </c>
      <c r="D18" s="50">
        <v>28</v>
      </c>
      <c r="E18" s="50">
        <v>17</v>
      </c>
      <c r="F18" s="50">
        <v>4</v>
      </c>
      <c r="G18" s="50">
        <v>0</v>
      </c>
      <c r="H18" s="50">
        <v>0</v>
      </c>
      <c r="I18" s="50">
        <v>6</v>
      </c>
      <c r="J18" s="50">
        <v>0</v>
      </c>
      <c r="K18" s="50">
        <v>1</v>
      </c>
      <c r="L18" s="50">
        <v>0</v>
      </c>
      <c r="M18" s="50">
        <v>215</v>
      </c>
      <c r="N18" s="50">
        <v>0</v>
      </c>
      <c r="O18" s="15">
        <f t="shared" si="0"/>
        <v>172</v>
      </c>
      <c r="P18" s="15">
        <f t="shared" si="1"/>
        <v>387</v>
      </c>
      <c r="R18" s="1" t="s">
        <v>14</v>
      </c>
      <c r="S18" s="17">
        <f t="shared" ref="S18:AF18" si="10">SUM(C42:C45)</f>
        <v>533</v>
      </c>
      <c r="T18" s="17">
        <f t="shared" si="10"/>
        <v>105</v>
      </c>
      <c r="U18" s="17">
        <f t="shared" si="10"/>
        <v>78</v>
      </c>
      <c r="V18" s="17">
        <f t="shared" si="10"/>
        <v>60</v>
      </c>
      <c r="W18" s="17">
        <f t="shared" si="10"/>
        <v>0</v>
      </c>
      <c r="X18" s="17">
        <f t="shared" si="10"/>
        <v>0</v>
      </c>
      <c r="Y18" s="17">
        <f t="shared" si="10"/>
        <v>33</v>
      </c>
      <c r="Z18" s="17">
        <f t="shared" si="10"/>
        <v>11</v>
      </c>
      <c r="AA18" s="17">
        <f t="shared" si="10"/>
        <v>0</v>
      </c>
      <c r="AB18" s="17">
        <f t="shared" si="10"/>
        <v>3</v>
      </c>
      <c r="AC18" s="17">
        <f t="shared" si="10"/>
        <v>822</v>
      </c>
      <c r="AD18" s="17">
        <f t="shared" si="10"/>
        <v>0</v>
      </c>
      <c r="AE18" s="31">
        <f t="shared" si="10"/>
        <v>823</v>
      </c>
      <c r="AF18" s="31">
        <f t="shared" si="10"/>
        <v>1645</v>
      </c>
    </row>
    <row r="19" spans="2:32" ht="23.1" customHeight="1" x14ac:dyDescent="0.25">
      <c r="B19" s="23" t="s">
        <v>46</v>
      </c>
      <c r="C19" s="50">
        <v>127</v>
      </c>
      <c r="D19" s="50">
        <v>27</v>
      </c>
      <c r="E19" s="50">
        <v>10</v>
      </c>
      <c r="F19" s="50">
        <v>20</v>
      </c>
      <c r="G19" s="50">
        <v>0</v>
      </c>
      <c r="H19" s="50">
        <v>0</v>
      </c>
      <c r="I19" s="50">
        <v>11</v>
      </c>
      <c r="J19" s="50">
        <v>9</v>
      </c>
      <c r="K19" s="50">
        <v>0</v>
      </c>
      <c r="L19" s="50">
        <v>0</v>
      </c>
      <c r="M19" s="50">
        <v>218</v>
      </c>
      <c r="N19" s="50">
        <v>0</v>
      </c>
      <c r="O19" s="15">
        <f t="shared" si="0"/>
        <v>204</v>
      </c>
      <c r="P19" s="15">
        <f t="shared" si="1"/>
        <v>422</v>
      </c>
      <c r="R19" s="1" t="s">
        <v>15</v>
      </c>
      <c r="S19" s="17">
        <f t="shared" ref="S19:AF19" si="11">SUM(C46:C49)</f>
        <v>455</v>
      </c>
      <c r="T19" s="17">
        <f t="shared" si="11"/>
        <v>93</v>
      </c>
      <c r="U19" s="17">
        <f t="shared" si="11"/>
        <v>49</v>
      </c>
      <c r="V19" s="17">
        <f t="shared" si="11"/>
        <v>44</v>
      </c>
      <c r="W19" s="17">
        <f t="shared" si="11"/>
        <v>0</v>
      </c>
      <c r="X19" s="17">
        <f t="shared" si="11"/>
        <v>0</v>
      </c>
      <c r="Y19" s="17">
        <f t="shared" si="11"/>
        <v>31</v>
      </c>
      <c r="Z19" s="17">
        <f t="shared" si="11"/>
        <v>9</v>
      </c>
      <c r="AA19" s="17">
        <f t="shared" si="11"/>
        <v>3</v>
      </c>
      <c r="AB19" s="17">
        <f t="shared" si="11"/>
        <v>0</v>
      </c>
      <c r="AC19" s="17">
        <f t="shared" si="11"/>
        <v>697</v>
      </c>
      <c r="AD19" s="17">
        <f t="shared" si="11"/>
        <v>0</v>
      </c>
      <c r="AE19" s="31">
        <f t="shared" si="11"/>
        <v>684</v>
      </c>
      <c r="AF19" s="31">
        <f t="shared" si="11"/>
        <v>1381</v>
      </c>
    </row>
    <row r="20" spans="2:32" ht="23.1" customHeight="1" x14ac:dyDescent="0.25">
      <c r="B20" s="23" t="s">
        <v>47</v>
      </c>
      <c r="C20" s="50">
        <v>125</v>
      </c>
      <c r="D20" s="50">
        <v>35</v>
      </c>
      <c r="E20" s="50">
        <v>15</v>
      </c>
      <c r="F20" s="50">
        <v>10</v>
      </c>
      <c r="G20" s="50">
        <v>2</v>
      </c>
      <c r="H20" s="50">
        <v>1</v>
      </c>
      <c r="I20" s="50">
        <v>9</v>
      </c>
      <c r="J20" s="50">
        <v>0</v>
      </c>
      <c r="K20" s="50">
        <v>2</v>
      </c>
      <c r="L20" s="50">
        <v>0</v>
      </c>
      <c r="M20" s="50">
        <v>190</v>
      </c>
      <c r="N20" s="50">
        <v>0</v>
      </c>
      <c r="O20" s="15">
        <f t="shared" si="0"/>
        <v>199</v>
      </c>
      <c r="P20" s="15">
        <f t="shared" si="1"/>
        <v>389</v>
      </c>
      <c r="R20" s="1" t="s">
        <v>16</v>
      </c>
      <c r="S20" s="17">
        <f t="shared" ref="S20:AF20" si="12">SUM(C50:C53)</f>
        <v>536</v>
      </c>
      <c r="T20" s="17">
        <f t="shared" si="12"/>
        <v>96</v>
      </c>
      <c r="U20" s="17">
        <f t="shared" si="12"/>
        <v>38</v>
      </c>
      <c r="V20" s="17">
        <f t="shared" si="12"/>
        <v>45</v>
      </c>
      <c r="W20" s="17">
        <f t="shared" si="12"/>
        <v>0</v>
      </c>
      <c r="X20" s="17">
        <f t="shared" si="12"/>
        <v>0</v>
      </c>
      <c r="Y20" s="17">
        <f t="shared" si="12"/>
        <v>22</v>
      </c>
      <c r="Z20" s="17">
        <f t="shared" si="12"/>
        <v>3</v>
      </c>
      <c r="AA20" s="17">
        <f t="shared" si="12"/>
        <v>3</v>
      </c>
      <c r="AB20" s="17">
        <f t="shared" si="12"/>
        <v>1</v>
      </c>
      <c r="AC20" s="17">
        <f t="shared" si="12"/>
        <v>813</v>
      </c>
      <c r="AD20" s="17">
        <f t="shared" si="12"/>
        <v>0</v>
      </c>
      <c r="AE20" s="31">
        <f t="shared" si="12"/>
        <v>744</v>
      </c>
      <c r="AF20" s="31">
        <f t="shared" si="12"/>
        <v>1557</v>
      </c>
    </row>
    <row r="21" spans="2:32" ht="23.1" customHeight="1" x14ac:dyDescent="0.25">
      <c r="B21" s="23" t="s">
        <v>48</v>
      </c>
      <c r="C21" s="50">
        <v>97</v>
      </c>
      <c r="D21" s="50">
        <v>13</v>
      </c>
      <c r="E21" s="50">
        <v>11</v>
      </c>
      <c r="F21" s="50">
        <v>4</v>
      </c>
      <c r="G21" s="50">
        <v>0</v>
      </c>
      <c r="H21" s="50">
        <v>0</v>
      </c>
      <c r="I21" s="50">
        <v>6</v>
      </c>
      <c r="J21" s="50">
        <v>1</v>
      </c>
      <c r="K21" s="50">
        <v>2</v>
      </c>
      <c r="L21" s="50">
        <v>0</v>
      </c>
      <c r="M21" s="50">
        <v>174</v>
      </c>
      <c r="N21" s="50">
        <v>0</v>
      </c>
      <c r="O21" s="15">
        <f t="shared" si="0"/>
        <v>134</v>
      </c>
      <c r="P21" s="15">
        <f t="shared" si="1"/>
        <v>308</v>
      </c>
      <c r="R21" s="36" t="s">
        <v>20</v>
      </c>
      <c r="S21" s="34">
        <f t="shared" ref="S21:AF21" si="13">SUM(C54:C57)</f>
        <v>546</v>
      </c>
      <c r="T21" s="17">
        <f t="shared" si="13"/>
        <v>86</v>
      </c>
      <c r="U21" s="17">
        <f t="shared" si="13"/>
        <v>43</v>
      </c>
      <c r="V21" s="17">
        <f t="shared" si="13"/>
        <v>53</v>
      </c>
      <c r="W21" s="17">
        <f t="shared" si="13"/>
        <v>0</v>
      </c>
      <c r="X21" s="17">
        <f t="shared" si="13"/>
        <v>1</v>
      </c>
      <c r="Y21" s="17">
        <f t="shared" si="13"/>
        <v>20</v>
      </c>
      <c r="Z21" s="17">
        <f t="shared" si="13"/>
        <v>6</v>
      </c>
      <c r="AA21" s="17">
        <f t="shared" si="13"/>
        <v>2</v>
      </c>
      <c r="AB21" s="17">
        <f t="shared" si="13"/>
        <v>1</v>
      </c>
      <c r="AC21" s="17">
        <f t="shared" si="13"/>
        <v>810</v>
      </c>
      <c r="AD21" s="17">
        <f t="shared" si="13"/>
        <v>0</v>
      </c>
      <c r="AE21" s="31">
        <f t="shared" si="13"/>
        <v>758</v>
      </c>
      <c r="AF21" s="31">
        <f t="shared" si="13"/>
        <v>1568</v>
      </c>
    </row>
    <row r="22" spans="2:32" ht="23.1" customHeight="1" x14ac:dyDescent="0.25">
      <c r="B22" s="23" t="s">
        <v>49</v>
      </c>
      <c r="C22" s="50">
        <v>120</v>
      </c>
      <c r="D22" s="50">
        <v>24</v>
      </c>
      <c r="E22" s="50">
        <v>17</v>
      </c>
      <c r="F22" s="50">
        <v>10</v>
      </c>
      <c r="G22" s="50">
        <v>1</v>
      </c>
      <c r="H22" s="50">
        <v>1</v>
      </c>
      <c r="I22" s="50">
        <v>10</v>
      </c>
      <c r="J22" s="50">
        <v>6</v>
      </c>
      <c r="K22" s="50">
        <v>0</v>
      </c>
      <c r="L22" s="50">
        <v>1</v>
      </c>
      <c r="M22" s="50">
        <v>197</v>
      </c>
      <c r="N22" s="50">
        <v>0</v>
      </c>
      <c r="O22" s="15">
        <f t="shared" si="0"/>
        <v>190</v>
      </c>
      <c r="P22" s="15">
        <f t="shared" si="1"/>
        <v>387</v>
      </c>
      <c r="R22" s="38" t="s">
        <v>90</v>
      </c>
      <c r="S22" s="39">
        <f>MAX(S10:S12)</f>
        <v>504</v>
      </c>
      <c r="T22" s="39">
        <f t="shared" ref="T22:AF22" si="14">MAX(T10:T12)</f>
        <v>103</v>
      </c>
      <c r="U22" s="39">
        <f t="shared" si="14"/>
        <v>53</v>
      </c>
      <c r="V22" s="39">
        <f t="shared" si="14"/>
        <v>39</v>
      </c>
      <c r="W22" s="39">
        <f t="shared" si="14"/>
        <v>2</v>
      </c>
      <c r="X22" s="39">
        <f t="shared" si="14"/>
        <v>1</v>
      </c>
      <c r="Y22" s="39">
        <f t="shared" si="14"/>
        <v>32</v>
      </c>
      <c r="Z22" s="39">
        <f t="shared" si="14"/>
        <v>10</v>
      </c>
      <c r="AA22" s="39">
        <f t="shared" si="14"/>
        <v>5</v>
      </c>
      <c r="AB22" s="39">
        <f t="shared" si="14"/>
        <v>0</v>
      </c>
      <c r="AC22" s="39">
        <f t="shared" si="14"/>
        <v>1011</v>
      </c>
      <c r="AD22" s="39">
        <f t="shared" si="14"/>
        <v>0</v>
      </c>
      <c r="AE22" s="40">
        <f t="shared" si="14"/>
        <v>709</v>
      </c>
      <c r="AF22" s="40">
        <f t="shared" si="14"/>
        <v>1702</v>
      </c>
    </row>
    <row r="23" spans="2:32" ht="23.1" customHeight="1" x14ac:dyDescent="0.25">
      <c r="B23" s="23" t="s">
        <v>50</v>
      </c>
      <c r="C23" s="50">
        <v>120</v>
      </c>
      <c r="D23" s="50">
        <v>33</v>
      </c>
      <c r="E23" s="50">
        <v>10</v>
      </c>
      <c r="F23" s="50">
        <v>9</v>
      </c>
      <c r="G23" s="50">
        <v>1</v>
      </c>
      <c r="H23" s="50">
        <v>0</v>
      </c>
      <c r="I23" s="50">
        <v>6</v>
      </c>
      <c r="J23" s="50">
        <v>5</v>
      </c>
      <c r="K23" s="50">
        <v>0</v>
      </c>
      <c r="L23" s="50">
        <v>0</v>
      </c>
      <c r="M23" s="50">
        <v>197</v>
      </c>
      <c r="N23" s="50">
        <v>0</v>
      </c>
      <c r="O23" s="15">
        <f t="shared" si="0"/>
        <v>184</v>
      </c>
      <c r="P23" s="15">
        <f t="shared" si="1"/>
        <v>381</v>
      </c>
      <c r="R23" s="38" t="s">
        <v>91</v>
      </c>
      <c r="S23" s="39">
        <f>MAX(S13:S18)</f>
        <v>538</v>
      </c>
      <c r="T23" s="39">
        <f t="shared" ref="T23:AF23" si="15">MAX(T13:T18)</f>
        <v>117</v>
      </c>
      <c r="U23" s="39">
        <f t="shared" si="15"/>
        <v>78</v>
      </c>
      <c r="V23" s="39">
        <f t="shared" si="15"/>
        <v>60</v>
      </c>
      <c r="W23" s="39">
        <f t="shared" si="15"/>
        <v>2</v>
      </c>
      <c r="X23" s="39">
        <f t="shared" si="15"/>
        <v>2</v>
      </c>
      <c r="Y23" s="39">
        <f t="shared" si="15"/>
        <v>34</v>
      </c>
      <c r="Z23" s="39">
        <f t="shared" si="15"/>
        <v>19</v>
      </c>
      <c r="AA23" s="39">
        <f t="shared" si="15"/>
        <v>3</v>
      </c>
      <c r="AB23" s="39">
        <f t="shared" si="15"/>
        <v>3</v>
      </c>
      <c r="AC23" s="39">
        <f t="shared" si="15"/>
        <v>896</v>
      </c>
      <c r="AD23" s="39">
        <f t="shared" si="15"/>
        <v>0</v>
      </c>
      <c r="AE23" s="40">
        <f t="shared" si="15"/>
        <v>823</v>
      </c>
      <c r="AF23" s="40">
        <f t="shared" si="15"/>
        <v>1645</v>
      </c>
    </row>
    <row r="24" spans="2:32" ht="23.1" customHeight="1" x14ac:dyDescent="0.25">
      <c r="B24" s="23" t="s">
        <v>51</v>
      </c>
      <c r="C24" s="50">
        <v>120</v>
      </c>
      <c r="D24" s="50">
        <v>19</v>
      </c>
      <c r="E24" s="50">
        <v>14</v>
      </c>
      <c r="F24" s="50">
        <v>12</v>
      </c>
      <c r="G24" s="50">
        <v>0</v>
      </c>
      <c r="H24" s="50">
        <v>0</v>
      </c>
      <c r="I24" s="50">
        <v>11</v>
      </c>
      <c r="J24" s="50">
        <v>5</v>
      </c>
      <c r="K24" s="50">
        <v>1</v>
      </c>
      <c r="L24" s="50">
        <v>1</v>
      </c>
      <c r="M24" s="50">
        <v>170</v>
      </c>
      <c r="N24" s="50">
        <v>0</v>
      </c>
      <c r="O24" s="15">
        <f t="shared" si="0"/>
        <v>183</v>
      </c>
      <c r="P24" s="15">
        <f t="shared" si="1"/>
        <v>353</v>
      </c>
      <c r="R24" s="38" t="s">
        <v>92</v>
      </c>
      <c r="S24" s="39">
        <f>MAX(S19:S21)</f>
        <v>546</v>
      </c>
      <c r="T24" s="39">
        <f t="shared" ref="T24:AF24" si="16">MAX(T19:T21)</f>
        <v>96</v>
      </c>
      <c r="U24" s="39">
        <f t="shared" si="16"/>
        <v>49</v>
      </c>
      <c r="V24" s="39">
        <f t="shared" si="16"/>
        <v>53</v>
      </c>
      <c r="W24" s="39">
        <f t="shared" si="16"/>
        <v>0</v>
      </c>
      <c r="X24" s="39">
        <f t="shared" si="16"/>
        <v>1</v>
      </c>
      <c r="Y24" s="39">
        <f t="shared" si="16"/>
        <v>31</v>
      </c>
      <c r="Z24" s="39">
        <f t="shared" si="16"/>
        <v>9</v>
      </c>
      <c r="AA24" s="39">
        <f t="shared" si="16"/>
        <v>3</v>
      </c>
      <c r="AB24" s="39">
        <f t="shared" si="16"/>
        <v>1</v>
      </c>
      <c r="AC24" s="39">
        <f t="shared" si="16"/>
        <v>813</v>
      </c>
      <c r="AD24" s="39">
        <f t="shared" si="16"/>
        <v>0</v>
      </c>
      <c r="AE24" s="40">
        <f t="shared" si="16"/>
        <v>758</v>
      </c>
      <c r="AF24" s="40">
        <f t="shared" si="16"/>
        <v>1568</v>
      </c>
    </row>
    <row r="25" spans="2:32" ht="23.1" customHeight="1" x14ac:dyDescent="0.25">
      <c r="B25" s="23" t="s">
        <v>52</v>
      </c>
      <c r="C25" s="50">
        <v>116</v>
      </c>
      <c r="D25" s="50">
        <v>19</v>
      </c>
      <c r="E25" s="50">
        <v>15</v>
      </c>
      <c r="F25" s="50">
        <v>16</v>
      </c>
      <c r="G25" s="50">
        <v>0</v>
      </c>
      <c r="H25" s="50">
        <v>1</v>
      </c>
      <c r="I25" s="50">
        <v>7</v>
      </c>
      <c r="J25" s="50">
        <v>3</v>
      </c>
      <c r="K25" s="50">
        <v>0</v>
      </c>
      <c r="L25" s="50">
        <v>0</v>
      </c>
      <c r="M25" s="50">
        <v>239</v>
      </c>
      <c r="N25" s="50">
        <v>0</v>
      </c>
      <c r="O25" s="15">
        <f t="shared" si="0"/>
        <v>177</v>
      </c>
      <c r="P25" s="15">
        <f t="shared" si="1"/>
        <v>416</v>
      </c>
      <c r="R25" s="37" t="s">
        <v>85</v>
      </c>
      <c r="S25" s="35">
        <f t="shared" ref="S25:AF25" si="17">SUM(S10:S12)</f>
        <v>1394</v>
      </c>
      <c r="T25" s="16">
        <f t="shared" si="17"/>
        <v>247</v>
      </c>
      <c r="U25" s="16">
        <f t="shared" si="17"/>
        <v>137</v>
      </c>
      <c r="V25" s="16">
        <f t="shared" si="17"/>
        <v>111</v>
      </c>
      <c r="W25" s="16">
        <f t="shared" si="17"/>
        <v>3</v>
      </c>
      <c r="X25" s="16">
        <f t="shared" si="17"/>
        <v>1</v>
      </c>
      <c r="Y25" s="16">
        <f t="shared" si="17"/>
        <v>70</v>
      </c>
      <c r="Z25" s="16">
        <f t="shared" si="17"/>
        <v>16</v>
      </c>
      <c r="AA25" s="16">
        <f t="shared" si="17"/>
        <v>9</v>
      </c>
      <c r="AB25" s="16">
        <f t="shared" si="17"/>
        <v>0</v>
      </c>
      <c r="AC25" s="16">
        <f t="shared" si="17"/>
        <v>2437</v>
      </c>
      <c r="AD25" s="16">
        <f t="shared" si="17"/>
        <v>0</v>
      </c>
      <c r="AE25" s="32">
        <f t="shared" si="17"/>
        <v>1988</v>
      </c>
      <c r="AF25" s="32">
        <f t="shared" si="17"/>
        <v>4425</v>
      </c>
    </row>
    <row r="26" spans="2:32" ht="23.1" customHeight="1" x14ac:dyDescent="0.25">
      <c r="B26" s="23" t="s">
        <v>53</v>
      </c>
      <c r="C26" s="50">
        <v>121</v>
      </c>
      <c r="D26" s="50">
        <v>23</v>
      </c>
      <c r="E26" s="50">
        <v>9</v>
      </c>
      <c r="F26" s="50">
        <v>3</v>
      </c>
      <c r="G26" s="50">
        <v>1</v>
      </c>
      <c r="H26" s="50">
        <v>0</v>
      </c>
      <c r="I26" s="50">
        <v>6</v>
      </c>
      <c r="J26" s="50">
        <v>2</v>
      </c>
      <c r="K26" s="50">
        <v>0</v>
      </c>
      <c r="L26" s="50">
        <v>1</v>
      </c>
      <c r="M26" s="50">
        <v>197</v>
      </c>
      <c r="N26" s="50">
        <v>0</v>
      </c>
      <c r="O26" s="15">
        <f t="shared" si="0"/>
        <v>166</v>
      </c>
      <c r="P26" s="15">
        <f t="shared" si="1"/>
        <v>363</v>
      </c>
      <c r="R26" s="28" t="s">
        <v>86</v>
      </c>
      <c r="S26" s="16">
        <f t="shared" ref="S26:AF26" si="18">SUM(S13:S18)</f>
        <v>3002</v>
      </c>
      <c r="T26" s="16">
        <f t="shared" si="18"/>
        <v>573</v>
      </c>
      <c r="U26" s="16">
        <f t="shared" si="18"/>
        <v>367</v>
      </c>
      <c r="V26" s="16">
        <f t="shared" si="18"/>
        <v>245</v>
      </c>
      <c r="W26" s="16">
        <f t="shared" si="18"/>
        <v>4</v>
      </c>
      <c r="X26" s="16">
        <f t="shared" si="18"/>
        <v>2</v>
      </c>
      <c r="Y26" s="16">
        <f t="shared" si="18"/>
        <v>162</v>
      </c>
      <c r="Z26" s="16">
        <f t="shared" si="18"/>
        <v>64</v>
      </c>
      <c r="AA26" s="16">
        <f t="shared" si="18"/>
        <v>9</v>
      </c>
      <c r="AB26" s="16">
        <f t="shared" si="18"/>
        <v>7</v>
      </c>
      <c r="AC26" s="16">
        <f t="shared" si="18"/>
        <v>4699</v>
      </c>
      <c r="AD26" s="16">
        <f t="shared" si="18"/>
        <v>0</v>
      </c>
      <c r="AE26" s="32">
        <f t="shared" si="18"/>
        <v>4435</v>
      </c>
      <c r="AF26" s="32">
        <f t="shared" si="18"/>
        <v>9134</v>
      </c>
    </row>
    <row r="27" spans="2:32" ht="23.1" customHeight="1" x14ac:dyDescent="0.25">
      <c r="B27" s="23" t="s">
        <v>54</v>
      </c>
      <c r="C27" s="50">
        <v>134</v>
      </c>
      <c r="D27" s="50">
        <v>19</v>
      </c>
      <c r="E27" s="50">
        <v>17</v>
      </c>
      <c r="F27" s="50">
        <v>11</v>
      </c>
      <c r="G27" s="50">
        <v>0</v>
      </c>
      <c r="H27" s="50">
        <v>0</v>
      </c>
      <c r="I27" s="50">
        <v>9</v>
      </c>
      <c r="J27" s="50">
        <v>2</v>
      </c>
      <c r="K27" s="50">
        <v>0</v>
      </c>
      <c r="L27" s="50">
        <v>0</v>
      </c>
      <c r="M27" s="50">
        <v>189</v>
      </c>
      <c r="N27" s="50">
        <v>0</v>
      </c>
      <c r="O27" s="15">
        <f t="shared" si="0"/>
        <v>192</v>
      </c>
      <c r="P27" s="15">
        <f t="shared" si="1"/>
        <v>381</v>
      </c>
      <c r="R27" s="29" t="s">
        <v>87</v>
      </c>
      <c r="S27" s="16">
        <f t="shared" ref="S27:AF27" si="19">SUM(S19:S21)</f>
        <v>1537</v>
      </c>
      <c r="T27" s="16">
        <f t="shared" si="19"/>
        <v>275</v>
      </c>
      <c r="U27" s="16">
        <f t="shared" si="19"/>
        <v>130</v>
      </c>
      <c r="V27" s="16">
        <f t="shared" si="19"/>
        <v>142</v>
      </c>
      <c r="W27" s="16">
        <f t="shared" si="19"/>
        <v>0</v>
      </c>
      <c r="X27" s="16">
        <f t="shared" si="19"/>
        <v>1</v>
      </c>
      <c r="Y27" s="16">
        <f t="shared" si="19"/>
        <v>73</v>
      </c>
      <c r="Z27" s="16">
        <f t="shared" si="19"/>
        <v>18</v>
      </c>
      <c r="AA27" s="16">
        <f t="shared" si="19"/>
        <v>8</v>
      </c>
      <c r="AB27" s="16">
        <f t="shared" si="19"/>
        <v>2</v>
      </c>
      <c r="AC27" s="16">
        <f t="shared" si="19"/>
        <v>2320</v>
      </c>
      <c r="AD27" s="16">
        <f t="shared" si="19"/>
        <v>0</v>
      </c>
      <c r="AE27" s="32">
        <f t="shared" si="19"/>
        <v>2186</v>
      </c>
      <c r="AF27" s="32">
        <f t="shared" si="19"/>
        <v>4506</v>
      </c>
    </row>
    <row r="28" spans="2:32" ht="23.1" customHeight="1" x14ac:dyDescent="0.25">
      <c r="B28" s="23" t="s">
        <v>55</v>
      </c>
      <c r="C28" s="50">
        <v>97</v>
      </c>
      <c r="D28" s="50">
        <v>23</v>
      </c>
      <c r="E28" s="50">
        <v>17</v>
      </c>
      <c r="F28" s="50">
        <v>3</v>
      </c>
      <c r="G28" s="50">
        <v>0</v>
      </c>
      <c r="H28" s="50">
        <v>0</v>
      </c>
      <c r="I28" s="50">
        <v>3</v>
      </c>
      <c r="J28" s="50">
        <v>4</v>
      </c>
      <c r="K28" s="50">
        <v>2</v>
      </c>
      <c r="L28" s="50">
        <v>0</v>
      </c>
      <c r="M28" s="50">
        <v>280</v>
      </c>
      <c r="N28" s="50">
        <v>0</v>
      </c>
      <c r="O28" s="15">
        <f t="shared" si="0"/>
        <v>149</v>
      </c>
      <c r="P28" s="15">
        <f t="shared" si="1"/>
        <v>429</v>
      </c>
      <c r="R28" s="5" t="s">
        <v>17</v>
      </c>
      <c r="S28" s="16">
        <f t="shared" ref="S28:AF28" si="20">SUM(S10:S21)</f>
        <v>5933</v>
      </c>
      <c r="T28" s="16">
        <f t="shared" si="20"/>
        <v>1095</v>
      </c>
      <c r="U28" s="16">
        <f t="shared" si="20"/>
        <v>634</v>
      </c>
      <c r="V28" s="16">
        <f t="shared" si="20"/>
        <v>498</v>
      </c>
      <c r="W28" s="16">
        <f t="shared" si="20"/>
        <v>7</v>
      </c>
      <c r="X28" s="16">
        <f t="shared" si="20"/>
        <v>4</v>
      </c>
      <c r="Y28" s="16">
        <f t="shared" si="20"/>
        <v>305</v>
      </c>
      <c r="Z28" s="16">
        <f t="shared" si="20"/>
        <v>98</v>
      </c>
      <c r="AA28" s="16">
        <f t="shared" si="20"/>
        <v>26</v>
      </c>
      <c r="AB28" s="16">
        <f t="shared" si="20"/>
        <v>9</v>
      </c>
      <c r="AC28" s="16">
        <f t="shared" si="20"/>
        <v>9456</v>
      </c>
      <c r="AD28" s="16">
        <f t="shared" si="20"/>
        <v>0</v>
      </c>
      <c r="AE28" s="32">
        <f t="shared" si="20"/>
        <v>8609</v>
      </c>
      <c r="AF28" s="32">
        <f t="shared" si="20"/>
        <v>18065</v>
      </c>
    </row>
    <row r="29" spans="2:32" ht="23.1" customHeight="1" x14ac:dyDescent="0.25">
      <c r="B29" s="23" t="s">
        <v>56</v>
      </c>
      <c r="C29" s="50">
        <v>114</v>
      </c>
      <c r="D29" s="50">
        <v>31</v>
      </c>
      <c r="E29" s="50">
        <v>11</v>
      </c>
      <c r="F29" s="50">
        <v>7</v>
      </c>
      <c r="G29" s="50">
        <v>0</v>
      </c>
      <c r="H29" s="50">
        <v>0</v>
      </c>
      <c r="I29" s="50">
        <v>7</v>
      </c>
      <c r="J29" s="50">
        <v>0</v>
      </c>
      <c r="K29" s="50">
        <v>0</v>
      </c>
      <c r="L29" s="50">
        <v>0</v>
      </c>
      <c r="M29" s="50">
        <v>230</v>
      </c>
      <c r="N29" s="50">
        <v>0</v>
      </c>
      <c r="O29" s="15">
        <f t="shared" si="0"/>
        <v>170</v>
      </c>
      <c r="P29" s="15">
        <f t="shared" si="1"/>
        <v>400</v>
      </c>
      <c r="R29"/>
      <c r="S29" s="20"/>
      <c r="T29" s="19"/>
    </row>
    <row r="30" spans="2:32" ht="23.1" customHeight="1" x14ac:dyDescent="0.25">
      <c r="B30" s="23" t="s">
        <v>57</v>
      </c>
      <c r="C30" s="50">
        <v>135</v>
      </c>
      <c r="D30" s="50">
        <v>23</v>
      </c>
      <c r="E30" s="50">
        <v>13</v>
      </c>
      <c r="F30" s="50">
        <v>5</v>
      </c>
      <c r="G30" s="50">
        <v>0</v>
      </c>
      <c r="H30" s="50">
        <v>0</v>
      </c>
      <c r="I30" s="50">
        <v>5</v>
      </c>
      <c r="J30" s="50">
        <v>6</v>
      </c>
      <c r="K30" s="50">
        <v>1</v>
      </c>
      <c r="L30" s="50">
        <v>0</v>
      </c>
      <c r="M30" s="50">
        <v>235</v>
      </c>
      <c r="N30" s="50">
        <v>0</v>
      </c>
      <c r="O30" s="15">
        <f t="shared" si="0"/>
        <v>188</v>
      </c>
      <c r="P30" s="15">
        <f t="shared" si="1"/>
        <v>423</v>
      </c>
    </row>
    <row r="31" spans="2:32" ht="23.1" customHeight="1" x14ac:dyDescent="0.25">
      <c r="B31" s="24" t="s">
        <v>58</v>
      </c>
      <c r="C31" s="50">
        <v>120</v>
      </c>
      <c r="D31" s="50">
        <v>18</v>
      </c>
      <c r="E31" s="50">
        <v>19</v>
      </c>
      <c r="F31" s="50">
        <v>10</v>
      </c>
      <c r="G31" s="50">
        <v>0</v>
      </c>
      <c r="H31" s="50">
        <v>0</v>
      </c>
      <c r="I31" s="50">
        <v>8</v>
      </c>
      <c r="J31" s="50">
        <v>4</v>
      </c>
      <c r="K31" s="50">
        <v>1</v>
      </c>
      <c r="L31" s="50">
        <v>0</v>
      </c>
      <c r="M31" s="50">
        <v>170</v>
      </c>
      <c r="N31" s="50">
        <v>0</v>
      </c>
      <c r="O31" s="15">
        <f t="shared" si="0"/>
        <v>180</v>
      </c>
      <c r="P31" s="15">
        <f t="shared" si="1"/>
        <v>350</v>
      </c>
    </row>
    <row r="32" spans="2:32" ht="23.1" customHeight="1" x14ac:dyDescent="0.25">
      <c r="B32" s="24" t="s">
        <v>59</v>
      </c>
      <c r="C32" s="50">
        <v>145</v>
      </c>
      <c r="D32" s="50">
        <v>28</v>
      </c>
      <c r="E32" s="50">
        <v>19</v>
      </c>
      <c r="F32" s="50">
        <v>11</v>
      </c>
      <c r="G32" s="50">
        <v>0</v>
      </c>
      <c r="H32" s="50">
        <v>0</v>
      </c>
      <c r="I32" s="50">
        <v>7</v>
      </c>
      <c r="J32" s="50">
        <v>3</v>
      </c>
      <c r="K32" s="50">
        <v>1</v>
      </c>
      <c r="L32" s="50">
        <v>0</v>
      </c>
      <c r="M32" s="50">
        <v>205</v>
      </c>
      <c r="N32" s="50">
        <v>0</v>
      </c>
      <c r="O32" s="15">
        <f t="shared" si="0"/>
        <v>214</v>
      </c>
      <c r="P32" s="15">
        <f t="shared" si="1"/>
        <v>419</v>
      </c>
    </row>
    <row r="33" spans="2:20" ht="23.1" customHeight="1" x14ac:dyDescent="0.25">
      <c r="B33" s="23" t="s">
        <v>60</v>
      </c>
      <c r="C33" s="50">
        <v>121</v>
      </c>
      <c r="D33" s="50">
        <v>11</v>
      </c>
      <c r="E33" s="50">
        <v>7</v>
      </c>
      <c r="F33" s="50">
        <v>4</v>
      </c>
      <c r="G33" s="50">
        <v>0</v>
      </c>
      <c r="H33" s="50">
        <v>0</v>
      </c>
      <c r="I33" s="50">
        <v>5</v>
      </c>
      <c r="J33" s="50">
        <v>3</v>
      </c>
      <c r="K33" s="50">
        <v>0</v>
      </c>
      <c r="L33" s="50">
        <v>0</v>
      </c>
      <c r="M33" s="50">
        <v>204</v>
      </c>
      <c r="N33" s="50">
        <v>0</v>
      </c>
      <c r="O33" s="15">
        <f t="shared" si="0"/>
        <v>151</v>
      </c>
      <c r="P33" s="15">
        <f t="shared" si="1"/>
        <v>355</v>
      </c>
    </row>
    <row r="34" spans="2:20" ht="23.1" customHeight="1" x14ac:dyDescent="0.25">
      <c r="B34" s="24" t="s">
        <v>61</v>
      </c>
      <c r="C34" s="50">
        <v>116</v>
      </c>
      <c r="D34" s="50">
        <v>19</v>
      </c>
      <c r="E34" s="50">
        <v>14</v>
      </c>
      <c r="F34" s="50">
        <v>12</v>
      </c>
      <c r="G34" s="50">
        <v>1</v>
      </c>
      <c r="H34" s="50">
        <v>0</v>
      </c>
      <c r="I34" s="50">
        <v>6</v>
      </c>
      <c r="J34" s="50">
        <v>4</v>
      </c>
      <c r="K34" s="50">
        <v>1</v>
      </c>
      <c r="L34" s="50">
        <v>0</v>
      </c>
      <c r="M34" s="50">
        <v>163</v>
      </c>
      <c r="N34" s="50">
        <v>0</v>
      </c>
      <c r="O34" s="15">
        <f t="shared" si="0"/>
        <v>173</v>
      </c>
      <c r="P34" s="15">
        <f t="shared" si="1"/>
        <v>336</v>
      </c>
    </row>
    <row r="35" spans="2:20" ht="23.1" customHeight="1" x14ac:dyDescent="0.25">
      <c r="B35" s="24" t="s">
        <v>62</v>
      </c>
      <c r="C35" s="50">
        <v>91</v>
      </c>
      <c r="D35" s="50">
        <v>16</v>
      </c>
      <c r="E35" s="50">
        <v>14</v>
      </c>
      <c r="F35" s="50">
        <v>9</v>
      </c>
      <c r="G35" s="50">
        <v>0</v>
      </c>
      <c r="H35" s="50">
        <v>0</v>
      </c>
      <c r="I35" s="50">
        <v>10</v>
      </c>
      <c r="J35" s="50">
        <v>0</v>
      </c>
      <c r="K35" s="50">
        <v>0</v>
      </c>
      <c r="L35" s="50">
        <v>0</v>
      </c>
      <c r="M35" s="50">
        <v>179</v>
      </c>
      <c r="N35" s="50">
        <v>0</v>
      </c>
      <c r="O35" s="15">
        <f t="shared" si="0"/>
        <v>140</v>
      </c>
      <c r="P35" s="15">
        <f t="shared" si="1"/>
        <v>319</v>
      </c>
    </row>
    <row r="36" spans="2:20" ht="23.1" customHeight="1" x14ac:dyDescent="0.25">
      <c r="B36" s="24" t="s">
        <v>63</v>
      </c>
      <c r="C36" s="50">
        <v>112</v>
      </c>
      <c r="D36" s="50">
        <v>23</v>
      </c>
      <c r="E36" s="50">
        <v>12</v>
      </c>
      <c r="F36" s="50">
        <v>13</v>
      </c>
      <c r="G36" s="50">
        <v>0</v>
      </c>
      <c r="H36" s="50">
        <v>0</v>
      </c>
      <c r="I36" s="50">
        <v>4</v>
      </c>
      <c r="J36" s="50">
        <v>1</v>
      </c>
      <c r="K36" s="50">
        <v>0</v>
      </c>
      <c r="L36" s="50">
        <v>1</v>
      </c>
      <c r="M36" s="50">
        <v>188</v>
      </c>
      <c r="N36" s="50">
        <v>0</v>
      </c>
      <c r="O36" s="15">
        <f t="shared" si="0"/>
        <v>166</v>
      </c>
      <c r="P36" s="15">
        <f t="shared" si="1"/>
        <v>354</v>
      </c>
    </row>
    <row r="37" spans="2:20" ht="23.1" customHeight="1" x14ac:dyDescent="0.25">
      <c r="B37" s="23" t="s">
        <v>64</v>
      </c>
      <c r="C37" s="50">
        <v>149</v>
      </c>
      <c r="D37" s="50">
        <v>22</v>
      </c>
      <c r="E37" s="50">
        <v>14</v>
      </c>
      <c r="F37" s="50">
        <v>5</v>
      </c>
      <c r="G37" s="50">
        <v>0</v>
      </c>
      <c r="H37" s="50">
        <v>0</v>
      </c>
      <c r="I37" s="50">
        <v>5</v>
      </c>
      <c r="J37" s="50">
        <v>0</v>
      </c>
      <c r="K37" s="50">
        <v>0</v>
      </c>
      <c r="L37" s="50">
        <v>0</v>
      </c>
      <c r="M37" s="50">
        <v>142</v>
      </c>
      <c r="N37" s="50">
        <v>0</v>
      </c>
      <c r="O37" s="15">
        <f t="shared" si="0"/>
        <v>195</v>
      </c>
      <c r="P37" s="15">
        <f t="shared" si="1"/>
        <v>337</v>
      </c>
    </row>
    <row r="38" spans="2:20" ht="23.1" customHeight="1" x14ac:dyDescent="0.25">
      <c r="B38" s="24" t="s">
        <v>65</v>
      </c>
      <c r="C38" s="50">
        <v>110</v>
      </c>
      <c r="D38" s="50">
        <v>31</v>
      </c>
      <c r="E38" s="50">
        <v>16</v>
      </c>
      <c r="F38" s="50">
        <v>17</v>
      </c>
      <c r="G38" s="50">
        <v>0</v>
      </c>
      <c r="H38" s="50">
        <v>0</v>
      </c>
      <c r="I38" s="50">
        <v>5</v>
      </c>
      <c r="J38" s="50">
        <v>0</v>
      </c>
      <c r="K38" s="50">
        <v>2</v>
      </c>
      <c r="L38" s="50">
        <v>0</v>
      </c>
      <c r="M38" s="50">
        <v>155</v>
      </c>
      <c r="N38" s="50">
        <v>0</v>
      </c>
      <c r="O38" s="15">
        <f t="shared" si="0"/>
        <v>181</v>
      </c>
      <c r="P38" s="15">
        <f t="shared" si="1"/>
        <v>336</v>
      </c>
    </row>
    <row r="39" spans="2:20" ht="23.1" customHeight="1" x14ac:dyDescent="0.25">
      <c r="B39" s="24" t="s">
        <v>66</v>
      </c>
      <c r="C39" s="50">
        <v>138</v>
      </c>
      <c r="D39" s="50">
        <v>27</v>
      </c>
      <c r="E39" s="50">
        <v>12</v>
      </c>
      <c r="F39" s="50">
        <v>6</v>
      </c>
      <c r="G39" s="50">
        <v>0</v>
      </c>
      <c r="H39" s="50">
        <v>0</v>
      </c>
      <c r="I39" s="50">
        <v>1</v>
      </c>
      <c r="J39" s="50">
        <v>1</v>
      </c>
      <c r="K39" s="50">
        <v>0</v>
      </c>
      <c r="L39" s="50">
        <v>0</v>
      </c>
      <c r="M39" s="50">
        <v>170</v>
      </c>
      <c r="N39" s="50">
        <v>0</v>
      </c>
      <c r="O39" s="15">
        <f t="shared" si="0"/>
        <v>185</v>
      </c>
      <c r="P39" s="15">
        <f t="shared" si="1"/>
        <v>355</v>
      </c>
    </row>
    <row r="40" spans="2:20" ht="23.1" customHeight="1" x14ac:dyDescent="0.25">
      <c r="B40" s="24" t="s">
        <v>67</v>
      </c>
      <c r="C40" s="50">
        <v>132</v>
      </c>
      <c r="D40" s="50">
        <v>36</v>
      </c>
      <c r="E40" s="50">
        <v>22</v>
      </c>
      <c r="F40" s="50">
        <v>9</v>
      </c>
      <c r="G40" s="50">
        <v>0</v>
      </c>
      <c r="H40" s="50">
        <v>0</v>
      </c>
      <c r="I40" s="50">
        <v>9</v>
      </c>
      <c r="J40" s="50">
        <v>3</v>
      </c>
      <c r="K40" s="50">
        <v>0</v>
      </c>
      <c r="L40" s="50">
        <v>0</v>
      </c>
      <c r="M40" s="50">
        <v>161</v>
      </c>
      <c r="N40" s="50">
        <v>0</v>
      </c>
      <c r="O40" s="15">
        <f t="shared" si="0"/>
        <v>211</v>
      </c>
      <c r="P40" s="15">
        <f t="shared" si="1"/>
        <v>372</v>
      </c>
    </row>
    <row r="41" spans="2:20" ht="23.1" customHeight="1" x14ac:dyDescent="0.25">
      <c r="B41" s="23" t="s">
        <v>68</v>
      </c>
      <c r="C41" s="50">
        <v>158</v>
      </c>
      <c r="D41" s="50">
        <v>23</v>
      </c>
      <c r="E41" s="50">
        <v>17</v>
      </c>
      <c r="F41" s="50">
        <v>13</v>
      </c>
      <c r="G41" s="50">
        <v>0</v>
      </c>
      <c r="H41" s="50">
        <v>0</v>
      </c>
      <c r="I41" s="50">
        <v>5</v>
      </c>
      <c r="J41" s="50">
        <v>1</v>
      </c>
      <c r="K41" s="50">
        <v>0</v>
      </c>
      <c r="L41" s="50">
        <v>0</v>
      </c>
      <c r="M41" s="50">
        <v>206</v>
      </c>
      <c r="N41" s="50">
        <v>0</v>
      </c>
      <c r="O41" s="15">
        <f t="shared" si="0"/>
        <v>217</v>
      </c>
      <c r="P41" s="15">
        <f t="shared" si="1"/>
        <v>423</v>
      </c>
    </row>
    <row r="42" spans="2:20" ht="23.1" customHeight="1" x14ac:dyDescent="0.25">
      <c r="B42" s="24" t="s">
        <v>69</v>
      </c>
      <c r="C42" s="50">
        <v>130</v>
      </c>
      <c r="D42" s="50">
        <v>24</v>
      </c>
      <c r="E42" s="50">
        <v>21</v>
      </c>
      <c r="F42" s="50">
        <v>16</v>
      </c>
      <c r="G42" s="50">
        <v>0</v>
      </c>
      <c r="H42" s="50">
        <v>0</v>
      </c>
      <c r="I42" s="50">
        <v>8</v>
      </c>
      <c r="J42" s="50">
        <v>2</v>
      </c>
      <c r="K42" s="50">
        <v>0</v>
      </c>
      <c r="L42" s="50">
        <v>2</v>
      </c>
      <c r="M42" s="50">
        <v>169</v>
      </c>
      <c r="N42" s="50">
        <v>0</v>
      </c>
      <c r="O42" s="15">
        <f t="shared" si="0"/>
        <v>203</v>
      </c>
      <c r="P42" s="15">
        <f t="shared" si="1"/>
        <v>372</v>
      </c>
    </row>
    <row r="43" spans="2:20" ht="23.1" customHeight="1" x14ac:dyDescent="0.25">
      <c r="B43" s="23" t="s">
        <v>70</v>
      </c>
      <c r="C43" s="50">
        <v>129</v>
      </c>
      <c r="D43" s="50">
        <v>27</v>
      </c>
      <c r="E43" s="50">
        <v>15</v>
      </c>
      <c r="F43" s="50">
        <v>14</v>
      </c>
      <c r="G43" s="50">
        <v>0</v>
      </c>
      <c r="H43" s="50">
        <v>0</v>
      </c>
      <c r="I43" s="50">
        <v>8</v>
      </c>
      <c r="J43" s="50">
        <v>5</v>
      </c>
      <c r="K43" s="50">
        <v>0</v>
      </c>
      <c r="L43" s="50">
        <v>1</v>
      </c>
      <c r="M43" s="50">
        <v>236</v>
      </c>
      <c r="N43" s="50">
        <v>0</v>
      </c>
      <c r="O43" s="15">
        <f t="shared" si="0"/>
        <v>199</v>
      </c>
      <c r="P43" s="15">
        <f t="shared" si="1"/>
        <v>435</v>
      </c>
    </row>
    <row r="44" spans="2:20" ht="23.1" customHeight="1" x14ac:dyDescent="0.25">
      <c r="B44" s="25" t="s">
        <v>71</v>
      </c>
      <c r="C44" s="50">
        <v>169</v>
      </c>
      <c r="D44" s="50">
        <v>37</v>
      </c>
      <c r="E44" s="50">
        <v>28</v>
      </c>
      <c r="F44" s="50">
        <v>22</v>
      </c>
      <c r="G44" s="50">
        <v>0</v>
      </c>
      <c r="H44" s="50">
        <v>0</v>
      </c>
      <c r="I44" s="50">
        <v>13</v>
      </c>
      <c r="J44" s="50">
        <v>2</v>
      </c>
      <c r="K44" s="50">
        <v>0</v>
      </c>
      <c r="L44" s="50">
        <v>0</v>
      </c>
      <c r="M44" s="50">
        <v>217</v>
      </c>
      <c r="N44" s="50">
        <v>0</v>
      </c>
      <c r="O44" s="15">
        <f t="shared" si="0"/>
        <v>271</v>
      </c>
      <c r="P44" s="15">
        <f t="shared" si="1"/>
        <v>488</v>
      </c>
    </row>
    <row r="45" spans="2:20" ht="23.1" customHeight="1" x14ac:dyDescent="0.25">
      <c r="B45" s="23" t="s">
        <v>72</v>
      </c>
      <c r="C45" s="50">
        <v>105</v>
      </c>
      <c r="D45" s="50">
        <v>17</v>
      </c>
      <c r="E45" s="50">
        <v>14</v>
      </c>
      <c r="F45" s="50">
        <v>8</v>
      </c>
      <c r="G45" s="50">
        <v>0</v>
      </c>
      <c r="H45" s="50">
        <v>0</v>
      </c>
      <c r="I45" s="50">
        <v>4</v>
      </c>
      <c r="J45" s="50">
        <v>2</v>
      </c>
      <c r="K45" s="50">
        <v>0</v>
      </c>
      <c r="L45" s="50">
        <v>0</v>
      </c>
      <c r="M45" s="50">
        <v>200</v>
      </c>
      <c r="N45" s="50">
        <v>0</v>
      </c>
      <c r="O45" s="15">
        <f t="shared" si="0"/>
        <v>150</v>
      </c>
      <c r="P45" s="15">
        <f t="shared" si="1"/>
        <v>350</v>
      </c>
    </row>
    <row r="46" spans="2:20" ht="23.1" customHeight="1" x14ac:dyDescent="0.25">
      <c r="B46" s="24" t="s">
        <v>73</v>
      </c>
      <c r="C46" s="50">
        <v>95</v>
      </c>
      <c r="D46" s="50">
        <v>28</v>
      </c>
      <c r="E46" s="50">
        <v>20</v>
      </c>
      <c r="F46" s="50">
        <v>14</v>
      </c>
      <c r="G46" s="50">
        <v>0</v>
      </c>
      <c r="H46" s="50">
        <v>0</v>
      </c>
      <c r="I46" s="50">
        <v>7</v>
      </c>
      <c r="J46" s="50">
        <v>1</v>
      </c>
      <c r="K46" s="50">
        <v>0</v>
      </c>
      <c r="L46" s="50">
        <v>0</v>
      </c>
      <c r="M46" s="50">
        <v>175</v>
      </c>
      <c r="N46" s="50">
        <v>0</v>
      </c>
      <c r="O46" s="15">
        <f t="shared" si="0"/>
        <v>165</v>
      </c>
      <c r="P46" s="15">
        <f t="shared" si="1"/>
        <v>340</v>
      </c>
      <c r="R46" s="8"/>
      <c r="T46"/>
    </row>
    <row r="47" spans="2:20" ht="23.1" customHeight="1" x14ac:dyDescent="0.25">
      <c r="B47" s="24" t="s">
        <v>74</v>
      </c>
      <c r="C47" s="50">
        <v>106</v>
      </c>
      <c r="D47" s="50">
        <v>17</v>
      </c>
      <c r="E47" s="50">
        <v>9</v>
      </c>
      <c r="F47" s="50">
        <v>7</v>
      </c>
      <c r="G47" s="50">
        <v>0</v>
      </c>
      <c r="H47" s="50">
        <v>0</v>
      </c>
      <c r="I47" s="50">
        <v>13</v>
      </c>
      <c r="J47" s="50">
        <v>2</v>
      </c>
      <c r="K47" s="50">
        <v>0</v>
      </c>
      <c r="L47" s="50">
        <v>0</v>
      </c>
      <c r="M47" s="50">
        <v>178</v>
      </c>
      <c r="N47" s="50">
        <v>0</v>
      </c>
      <c r="O47" s="15">
        <f t="shared" si="0"/>
        <v>154</v>
      </c>
      <c r="P47" s="15">
        <f t="shared" si="1"/>
        <v>332</v>
      </c>
      <c r="R47" s="8"/>
      <c r="T47"/>
    </row>
    <row r="48" spans="2:20" ht="23.1" customHeight="1" x14ac:dyDescent="0.25">
      <c r="B48" s="24" t="s">
        <v>75</v>
      </c>
      <c r="C48" s="50">
        <v>125</v>
      </c>
      <c r="D48" s="50">
        <v>17</v>
      </c>
      <c r="E48" s="50">
        <v>11</v>
      </c>
      <c r="F48" s="50">
        <v>7</v>
      </c>
      <c r="G48" s="50">
        <v>0</v>
      </c>
      <c r="H48" s="50">
        <v>0</v>
      </c>
      <c r="I48" s="50">
        <v>4</v>
      </c>
      <c r="J48" s="50">
        <v>3</v>
      </c>
      <c r="K48" s="50">
        <v>1</v>
      </c>
      <c r="L48" s="50">
        <v>0</v>
      </c>
      <c r="M48" s="50">
        <v>171</v>
      </c>
      <c r="N48" s="50">
        <v>0</v>
      </c>
      <c r="O48" s="15">
        <f t="shared" si="0"/>
        <v>168</v>
      </c>
      <c r="P48" s="15">
        <f t="shared" si="1"/>
        <v>339</v>
      </c>
      <c r="R48" s="8"/>
      <c r="T48"/>
    </row>
    <row r="49" spans="2:20" ht="23.1" customHeight="1" x14ac:dyDescent="0.25">
      <c r="B49" s="23" t="s">
        <v>76</v>
      </c>
      <c r="C49" s="50">
        <v>129</v>
      </c>
      <c r="D49" s="50">
        <v>31</v>
      </c>
      <c r="E49" s="50">
        <v>9</v>
      </c>
      <c r="F49" s="50">
        <v>16</v>
      </c>
      <c r="G49" s="50">
        <v>0</v>
      </c>
      <c r="H49" s="50">
        <v>0</v>
      </c>
      <c r="I49" s="50">
        <v>7</v>
      </c>
      <c r="J49" s="50">
        <v>3</v>
      </c>
      <c r="K49" s="50">
        <v>2</v>
      </c>
      <c r="L49" s="50">
        <v>0</v>
      </c>
      <c r="M49" s="50">
        <v>173</v>
      </c>
      <c r="N49" s="50">
        <v>0</v>
      </c>
      <c r="O49" s="15">
        <f t="shared" si="0"/>
        <v>197</v>
      </c>
      <c r="P49" s="15">
        <f t="shared" si="1"/>
        <v>370</v>
      </c>
      <c r="R49" s="8"/>
      <c r="T49"/>
    </row>
    <row r="50" spans="2:20" ht="23.1" customHeight="1" x14ac:dyDescent="0.25">
      <c r="B50" s="24" t="s">
        <v>77</v>
      </c>
      <c r="C50" s="50">
        <v>100</v>
      </c>
      <c r="D50" s="50">
        <v>29</v>
      </c>
      <c r="E50" s="50">
        <v>9</v>
      </c>
      <c r="F50" s="50">
        <v>6</v>
      </c>
      <c r="G50" s="50">
        <v>0</v>
      </c>
      <c r="H50" s="50">
        <v>0</v>
      </c>
      <c r="I50" s="50">
        <v>10</v>
      </c>
      <c r="J50" s="50">
        <v>2</v>
      </c>
      <c r="K50" s="50">
        <v>1</v>
      </c>
      <c r="L50" s="50">
        <v>0</v>
      </c>
      <c r="M50" s="50">
        <v>195</v>
      </c>
      <c r="N50" s="50">
        <v>0</v>
      </c>
      <c r="O50" s="15">
        <f t="shared" si="0"/>
        <v>157</v>
      </c>
      <c r="P50" s="15">
        <f t="shared" si="1"/>
        <v>352</v>
      </c>
      <c r="R50" s="8"/>
      <c r="T50"/>
    </row>
    <row r="51" spans="2:20" ht="23.1" customHeight="1" x14ac:dyDescent="0.25">
      <c r="B51" s="24" t="s">
        <v>78</v>
      </c>
      <c r="C51" s="50">
        <v>134</v>
      </c>
      <c r="D51" s="50">
        <v>21</v>
      </c>
      <c r="E51" s="50">
        <v>13</v>
      </c>
      <c r="F51" s="50">
        <v>13</v>
      </c>
      <c r="G51" s="50">
        <v>0</v>
      </c>
      <c r="H51" s="50">
        <v>0</v>
      </c>
      <c r="I51" s="50">
        <v>5</v>
      </c>
      <c r="J51" s="50">
        <v>0</v>
      </c>
      <c r="K51" s="50">
        <v>1</v>
      </c>
      <c r="L51" s="50">
        <v>1</v>
      </c>
      <c r="M51" s="50">
        <v>208</v>
      </c>
      <c r="N51" s="50">
        <v>0</v>
      </c>
      <c r="O51" s="15">
        <f t="shared" si="0"/>
        <v>188</v>
      </c>
      <c r="P51" s="15">
        <f t="shared" si="1"/>
        <v>396</v>
      </c>
      <c r="R51" s="8"/>
      <c r="T51"/>
    </row>
    <row r="52" spans="2:20" ht="23.1" customHeight="1" x14ac:dyDescent="0.25">
      <c r="B52" s="24" t="s">
        <v>79</v>
      </c>
      <c r="C52" s="50">
        <v>127</v>
      </c>
      <c r="D52" s="50">
        <v>31</v>
      </c>
      <c r="E52" s="50">
        <v>8</v>
      </c>
      <c r="F52" s="50">
        <v>17</v>
      </c>
      <c r="G52" s="50">
        <v>0</v>
      </c>
      <c r="H52" s="50">
        <v>0</v>
      </c>
      <c r="I52" s="50">
        <v>3</v>
      </c>
      <c r="J52" s="50">
        <v>1</v>
      </c>
      <c r="K52" s="50">
        <v>0</v>
      </c>
      <c r="L52" s="50">
        <v>0</v>
      </c>
      <c r="M52" s="50">
        <v>167</v>
      </c>
      <c r="N52" s="50">
        <v>0</v>
      </c>
      <c r="O52" s="15">
        <f t="shared" si="0"/>
        <v>187</v>
      </c>
      <c r="P52" s="15">
        <f t="shared" si="1"/>
        <v>354</v>
      </c>
      <c r="R52" s="8"/>
      <c r="T52"/>
    </row>
    <row r="53" spans="2:20" ht="23.1" customHeight="1" x14ac:dyDescent="0.25">
      <c r="B53" s="23" t="s">
        <v>80</v>
      </c>
      <c r="C53" s="50">
        <v>175</v>
      </c>
      <c r="D53" s="50">
        <v>15</v>
      </c>
      <c r="E53" s="50">
        <v>8</v>
      </c>
      <c r="F53" s="50">
        <v>9</v>
      </c>
      <c r="G53" s="50">
        <v>0</v>
      </c>
      <c r="H53" s="50">
        <v>0</v>
      </c>
      <c r="I53" s="50">
        <v>4</v>
      </c>
      <c r="J53" s="50">
        <v>0</v>
      </c>
      <c r="K53" s="50">
        <v>1</v>
      </c>
      <c r="L53" s="50">
        <v>0</v>
      </c>
      <c r="M53" s="50">
        <v>243</v>
      </c>
      <c r="N53" s="50">
        <v>0</v>
      </c>
      <c r="O53" s="15">
        <f t="shared" si="0"/>
        <v>212</v>
      </c>
      <c r="P53" s="15">
        <f t="shared" si="1"/>
        <v>455</v>
      </c>
      <c r="R53" s="8"/>
      <c r="T53"/>
    </row>
    <row r="54" spans="2:20" ht="23.1" customHeight="1" x14ac:dyDescent="0.25">
      <c r="B54" s="23" t="s">
        <v>81</v>
      </c>
      <c r="C54" s="50">
        <v>143</v>
      </c>
      <c r="D54" s="50">
        <v>22</v>
      </c>
      <c r="E54" s="50">
        <v>11</v>
      </c>
      <c r="F54" s="50">
        <v>13</v>
      </c>
      <c r="G54" s="50">
        <v>0</v>
      </c>
      <c r="H54" s="50">
        <v>1</v>
      </c>
      <c r="I54" s="50">
        <v>5</v>
      </c>
      <c r="J54" s="50">
        <v>3</v>
      </c>
      <c r="K54" s="50">
        <v>0</v>
      </c>
      <c r="L54" s="50">
        <v>0</v>
      </c>
      <c r="M54" s="50">
        <v>163</v>
      </c>
      <c r="N54" s="50">
        <v>0</v>
      </c>
      <c r="O54" s="15">
        <f t="shared" si="0"/>
        <v>198</v>
      </c>
      <c r="P54" s="15">
        <f t="shared" si="1"/>
        <v>361</v>
      </c>
      <c r="R54" s="8"/>
      <c r="T54"/>
    </row>
    <row r="55" spans="2:20" ht="23.1" customHeight="1" x14ac:dyDescent="0.25">
      <c r="B55" s="23" t="s">
        <v>82</v>
      </c>
      <c r="C55" s="50">
        <v>133</v>
      </c>
      <c r="D55" s="50">
        <v>23</v>
      </c>
      <c r="E55" s="50">
        <v>14</v>
      </c>
      <c r="F55" s="50">
        <v>13</v>
      </c>
      <c r="G55" s="50">
        <v>0</v>
      </c>
      <c r="H55" s="50">
        <v>0</v>
      </c>
      <c r="I55" s="50">
        <v>5</v>
      </c>
      <c r="J55" s="50">
        <v>1</v>
      </c>
      <c r="K55" s="50">
        <v>2</v>
      </c>
      <c r="L55" s="50">
        <v>1</v>
      </c>
      <c r="M55" s="50">
        <v>187</v>
      </c>
      <c r="N55" s="50">
        <v>0</v>
      </c>
      <c r="O55" s="15">
        <f t="shared" si="0"/>
        <v>192</v>
      </c>
      <c r="P55" s="15">
        <f t="shared" si="1"/>
        <v>379</v>
      </c>
      <c r="R55" s="8"/>
      <c r="T55"/>
    </row>
    <row r="56" spans="2:20" ht="23.1" customHeight="1" x14ac:dyDescent="0.25">
      <c r="B56" s="23" t="s">
        <v>83</v>
      </c>
      <c r="C56" s="50">
        <v>137</v>
      </c>
      <c r="D56" s="50">
        <v>21</v>
      </c>
      <c r="E56" s="50">
        <v>9</v>
      </c>
      <c r="F56" s="50">
        <v>13</v>
      </c>
      <c r="G56" s="50">
        <v>0</v>
      </c>
      <c r="H56" s="50">
        <v>0</v>
      </c>
      <c r="I56" s="50">
        <v>3</v>
      </c>
      <c r="J56" s="50">
        <v>1</v>
      </c>
      <c r="K56" s="50">
        <v>0</v>
      </c>
      <c r="L56" s="50">
        <v>0</v>
      </c>
      <c r="M56" s="50">
        <v>227</v>
      </c>
      <c r="N56" s="50">
        <v>0</v>
      </c>
      <c r="O56" s="15">
        <f t="shared" si="0"/>
        <v>184</v>
      </c>
      <c r="P56" s="15">
        <f t="shared" si="1"/>
        <v>411</v>
      </c>
      <c r="R56" s="8"/>
      <c r="T56"/>
    </row>
    <row r="57" spans="2:20" ht="23.1" customHeight="1" x14ac:dyDescent="0.25">
      <c r="B57" s="23" t="s">
        <v>84</v>
      </c>
      <c r="C57" s="50">
        <v>133</v>
      </c>
      <c r="D57" s="50">
        <v>20</v>
      </c>
      <c r="E57" s="50">
        <v>9</v>
      </c>
      <c r="F57" s="50">
        <v>14</v>
      </c>
      <c r="G57" s="50">
        <v>0</v>
      </c>
      <c r="H57" s="50">
        <v>0</v>
      </c>
      <c r="I57" s="50">
        <v>7</v>
      </c>
      <c r="J57" s="50">
        <v>1</v>
      </c>
      <c r="K57" s="50">
        <v>0</v>
      </c>
      <c r="L57" s="50">
        <v>0</v>
      </c>
      <c r="M57" s="50">
        <v>233</v>
      </c>
      <c r="N57" s="50">
        <v>0</v>
      </c>
      <c r="O57" s="15">
        <f t="shared" si="0"/>
        <v>184</v>
      </c>
      <c r="P57" s="15">
        <f t="shared" si="1"/>
        <v>417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5933</v>
      </c>
      <c r="D58" s="16">
        <f t="shared" si="21"/>
        <v>1095</v>
      </c>
      <c r="E58" s="16">
        <f t="shared" si="21"/>
        <v>634</v>
      </c>
      <c r="F58" s="16">
        <f t="shared" si="21"/>
        <v>498</v>
      </c>
      <c r="G58" s="16">
        <f t="shared" si="21"/>
        <v>7</v>
      </c>
      <c r="H58" s="16">
        <f t="shared" si="21"/>
        <v>4</v>
      </c>
      <c r="I58" s="16">
        <f t="shared" si="21"/>
        <v>305</v>
      </c>
      <c r="J58" s="16">
        <f t="shared" si="21"/>
        <v>98</v>
      </c>
      <c r="K58" s="16">
        <f t="shared" si="21"/>
        <v>26</v>
      </c>
      <c r="L58" s="16">
        <f t="shared" si="21"/>
        <v>9</v>
      </c>
      <c r="M58" s="16">
        <f t="shared" si="21"/>
        <v>9456</v>
      </c>
      <c r="N58" s="16">
        <f t="shared" si="21"/>
        <v>0</v>
      </c>
      <c r="O58" s="16">
        <f t="shared" si="21"/>
        <v>8609</v>
      </c>
      <c r="P58" s="16">
        <f t="shared" si="21"/>
        <v>18065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0.32842513146969277</v>
      </c>
      <c r="D59" s="43">
        <f t="shared" si="22"/>
        <v>6.0614447827290342E-2</v>
      </c>
      <c r="E59" s="43">
        <f t="shared" si="22"/>
        <v>3.5095488513700528E-2</v>
      </c>
      <c r="F59" s="43">
        <f t="shared" si="22"/>
        <v>2.7567118737890948E-2</v>
      </c>
      <c r="G59" s="43">
        <f t="shared" si="22"/>
        <v>3.874896208137282E-4</v>
      </c>
      <c r="H59" s="43">
        <f t="shared" si="22"/>
        <v>2.2142264046498756E-4</v>
      </c>
      <c r="I59" s="43">
        <f t="shared" si="22"/>
        <v>1.68834763354553E-2</v>
      </c>
      <c r="J59" s="43">
        <f t="shared" si="22"/>
        <v>5.424854691392195E-3</v>
      </c>
      <c r="K59" s="43">
        <f t="shared" si="22"/>
        <v>1.439247163022419E-3</v>
      </c>
      <c r="L59" s="43">
        <f t="shared" si="22"/>
        <v>4.9820094104622193E-4</v>
      </c>
      <c r="M59" s="43">
        <f t="shared" si="22"/>
        <v>0.5234431220592306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0.68916250435590665</v>
      </c>
      <c r="D60" s="44">
        <f t="shared" ref="D60:N60" si="23">D58/$O$58</f>
        <v>0.12719247299337902</v>
      </c>
      <c r="E60" s="44">
        <f t="shared" si="23"/>
        <v>7.3643861075618544E-2</v>
      </c>
      <c r="F60" s="44">
        <f t="shared" si="23"/>
        <v>5.7846439772331282E-2</v>
      </c>
      <c r="G60" s="44">
        <f t="shared" si="23"/>
        <v>8.1310256708096173E-4</v>
      </c>
      <c r="H60" s="44">
        <f t="shared" si="23"/>
        <v>4.6463003833197816E-4</v>
      </c>
      <c r="I60" s="44">
        <f t="shared" si="23"/>
        <v>3.5428040422813334E-2</v>
      </c>
      <c r="J60" s="44">
        <f t="shared" si="23"/>
        <v>1.1383435939133464E-2</v>
      </c>
      <c r="K60" s="44">
        <f t="shared" si="23"/>
        <v>3.020095249157858E-3</v>
      </c>
      <c r="L60" s="44">
        <f t="shared" si="23"/>
        <v>1.0454175862469508E-3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0" zoomScale="60" workbookViewId="0">
      <selection activeCell="M10" sqref="M10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183</v>
      </c>
      <c r="E5" s="3"/>
      <c r="F5" s="41" t="s">
        <v>1</v>
      </c>
      <c r="G5" s="54" t="str">
        <f>'1.08 Kira Road-Jinja Road-24h'!G5:H5</f>
        <v>Shell Petrol Station</v>
      </c>
      <c r="H5" s="55"/>
      <c r="I5" s="14"/>
      <c r="J5" s="2" t="s">
        <v>5</v>
      </c>
      <c r="K5" s="54" t="s">
        <v>184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JinjaRoad-Kira Road'!D6:E6</f>
        <v>Jinja Road</v>
      </c>
      <c r="E6" s="55"/>
      <c r="F6" s="2" t="s">
        <v>2</v>
      </c>
      <c r="G6" s="54" t="str">
        <f>'29.07 JinjaRoad-Kira Road'!G6:H6</f>
        <v>Kira Road</v>
      </c>
      <c r="H6" s="55"/>
      <c r="J6" s="2" t="s">
        <v>21</v>
      </c>
      <c r="K6" s="54" t="str">
        <f>'1.08 Kira Road-Jinja Road-24h'!K6:L6</f>
        <v>Steven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19</v>
      </c>
      <c r="D10" s="50">
        <v>9</v>
      </c>
      <c r="E10" s="50">
        <v>1</v>
      </c>
      <c r="F10" s="50">
        <v>3</v>
      </c>
      <c r="G10" s="50">
        <v>0</v>
      </c>
      <c r="H10" s="50">
        <v>0</v>
      </c>
      <c r="I10" s="50">
        <v>0</v>
      </c>
      <c r="J10" s="50">
        <v>3</v>
      </c>
      <c r="K10" s="50">
        <v>0</v>
      </c>
      <c r="L10" s="50">
        <v>0</v>
      </c>
      <c r="M10" s="50">
        <v>60</v>
      </c>
      <c r="N10" s="50">
        <v>0</v>
      </c>
      <c r="O10" s="15">
        <f t="shared" ref="O10:O73" si="0">SUM(C10:L10,N10)</f>
        <v>35</v>
      </c>
      <c r="P10" s="15">
        <f t="shared" ref="P10:P73" si="1">SUM(C10:N10)</f>
        <v>95</v>
      </c>
      <c r="R10" s="1" t="s">
        <v>6</v>
      </c>
      <c r="S10" s="17">
        <f t="shared" ref="S10:AF10" si="2">SUM(C10:C13)</f>
        <v>83</v>
      </c>
      <c r="T10" s="17">
        <f t="shared" si="2"/>
        <v>31</v>
      </c>
      <c r="U10" s="17">
        <f t="shared" si="2"/>
        <v>7</v>
      </c>
      <c r="V10" s="17">
        <f t="shared" si="2"/>
        <v>7</v>
      </c>
      <c r="W10" s="17">
        <f t="shared" si="2"/>
        <v>1</v>
      </c>
      <c r="X10" s="17">
        <f t="shared" si="2"/>
        <v>0</v>
      </c>
      <c r="Y10" s="17">
        <f t="shared" si="2"/>
        <v>4</v>
      </c>
      <c r="Z10" s="17">
        <f t="shared" si="2"/>
        <v>3</v>
      </c>
      <c r="AA10" s="17">
        <f t="shared" si="2"/>
        <v>1</v>
      </c>
      <c r="AB10" s="17">
        <f t="shared" si="2"/>
        <v>0</v>
      </c>
      <c r="AC10" s="17">
        <f t="shared" si="2"/>
        <v>184</v>
      </c>
      <c r="AD10" s="17">
        <f t="shared" si="2"/>
        <v>0</v>
      </c>
      <c r="AE10" s="31">
        <f t="shared" si="2"/>
        <v>137</v>
      </c>
      <c r="AF10" s="31">
        <f t="shared" si="2"/>
        <v>321</v>
      </c>
    </row>
    <row r="11" spans="2:32" s="6" customFormat="1" ht="23.1" customHeight="1" x14ac:dyDescent="0.25">
      <c r="B11" s="45" t="s">
        <v>38</v>
      </c>
      <c r="C11" s="50">
        <v>20</v>
      </c>
      <c r="D11" s="50">
        <v>4</v>
      </c>
      <c r="E11" s="50">
        <v>1</v>
      </c>
      <c r="F11" s="50">
        <v>1</v>
      </c>
      <c r="G11" s="50">
        <v>0</v>
      </c>
      <c r="H11" s="50">
        <v>0</v>
      </c>
      <c r="I11" s="50">
        <v>2</v>
      </c>
      <c r="J11" s="50">
        <v>0</v>
      </c>
      <c r="K11" s="50">
        <v>1</v>
      </c>
      <c r="L11" s="50">
        <v>0</v>
      </c>
      <c r="M11" s="50">
        <v>37</v>
      </c>
      <c r="N11" s="50">
        <v>0</v>
      </c>
      <c r="O11" s="15">
        <f t="shared" si="0"/>
        <v>29</v>
      </c>
      <c r="P11" s="15">
        <f t="shared" si="1"/>
        <v>66</v>
      </c>
      <c r="R11" s="1" t="s">
        <v>7</v>
      </c>
      <c r="S11" s="17">
        <f t="shared" ref="S11:AF11" si="3">SUM(C14:C17)</f>
        <v>107</v>
      </c>
      <c r="T11" s="17">
        <f t="shared" si="3"/>
        <v>52</v>
      </c>
      <c r="U11" s="17">
        <f t="shared" si="3"/>
        <v>17</v>
      </c>
      <c r="V11" s="17">
        <f t="shared" si="3"/>
        <v>10</v>
      </c>
      <c r="W11" s="17">
        <f t="shared" si="3"/>
        <v>0</v>
      </c>
      <c r="X11" s="17">
        <f t="shared" si="3"/>
        <v>0</v>
      </c>
      <c r="Y11" s="17">
        <f t="shared" si="3"/>
        <v>6</v>
      </c>
      <c r="Z11" s="17">
        <f t="shared" si="3"/>
        <v>4</v>
      </c>
      <c r="AA11" s="17">
        <f t="shared" si="3"/>
        <v>1</v>
      </c>
      <c r="AB11" s="17">
        <f t="shared" si="3"/>
        <v>1</v>
      </c>
      <c r="AC11" s="17">
        <f t="shared" si="3"/>
        <v>597</v>
      </c>
      <c r="AD11" s="17">
        <f t="shared" si="3"/>
        <v>0</v>
      </c>
      <c r="AE11" s="31">
        <f t="shared" si="3"/>
        <v>198</v>
      </c>
      <c r="AF11" s="31">
        <f t="shared" si="3"/>
        <v>795</v>
      </c>
    </row>
    <row r="12" spans="2:32" ht="23.1" customHeight="1" x14ac:dyDescent="0.25">
      <c r="B12" s="45" t="s">
        <v>39</v>
      </c>
      <c r="C12" s="50">
        <v>18</v>
      </c>
      <c r="D12" s="50">
        <v>9</v>
      </c>
      <c r="E12" s="50">
        <v>3</v>
      </c>
      <c r="F12" s="50">
        <v>1</v>
      </c>
      <c r="G12" s="50">
        <v>0</v>
      </c>
      <c r="H12" s="50">
        <v>0</v>
      </c>
      <c r="I12" s="50">
        <v>2</v>
      </c>
      <c r="J12" s="50">
        <v>0</v>
      </c>
      <c r="K12" s="50">
        <v>0</v>
      </c>
      <c r="L12" s="50">
        <v>0</v>
      </c>
      <c r="M12" s="50">
        <v>35</v>
      </c>
      <c r="N12" s="50">
        <v>0</v>
      </c>
      <c r="O12" s="15">
        <f t="shared" si="0"/>
        <v>33</v>
      </c>
      <c r="P12" s="15">
        <f t="shared" si="1"/>
        <v>68</v>
      </c>
      <c r="R12" s="1" t="s">
        <v>8</v>
      </c>
      <c r="S12" s="17">
        <f t="shared" ref="S12:AF12" si="4">SUM(C18:C21)</f>
        <v>204</v>
      </c>
      <c r="T12" s="17">
        <f t="shared" si="4"/>
        <v>91</v>
      </c>
      <c r="U12" s="17">
        <f t="shared" si="4"/>
        <v>16</v>
      </c>
      <c r="V12" s="17">
        <f t="shared" si="4"/>
        <v>9</v>
      </c>
      <c r="W12" s="17">
        <f t="shared" si="4"/>
        <v>1</v>
      </c>
      <c r="X12" s="17">
        <f t="shared" si="4"/>
        <v>0</v>
      </c>
      <c r="Y12" s="17">
        <f t="shared" si="4"/>
        <v>17</v>
      </c>
      <c r="Z12" s="17">
        <f t="shared" si="4"/>
        <v>6</v>
      </c>
      <c r="AA12" s="17">
        <f t="shared" si="4"/>
        <v>1</v>
      </c>
      <c r="AB12" s="17">
        <f t="shared" si="4"/>
        <v>0</v>
      </c>
      <c r="AC12" s="17">
        <f t="shared" si="4"/>
        <v>510</v>
      </c>
      <c r="AD12" s="17">
        <f t="shared" si="4"/>
        <v>0</v>
      </c>
      <c r="AE12" s="31">
        <f t="shared" si="4"/>
        <v>345</v>
      </c>
      <c r="AF12" s="31">
        <f t="shared" si="4"/>
        <v>855</v>
      </c>
    </row>
    <row r="13" spans="2:32" ht="23.1" customHeight="1" x14ac:dyDescent="0.25">
      <c r="B13" s="45" t="s">
        <v>40</v>
      </c>
      <c r="C13" s="50">
        <v>26</v>
      </c>
      <c r="D13" s="50">
        <v>9</v>
      </c>
      <c r="E13" s="50">
        <v>2</v>
      </c>
      <c r="F13" s="50">
        <v>2</v>
      </c>
      <c r="G13" s="50">
        <v>1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52</v>
      </c>
      <c r="N13" s="50">
        <v>0</v>
      </c>
      <c r="O13" s="15">
        <f t="shared" si="0"/>
        <v>40</v>
      </c>
      <c r="P13" s="15">
        <f t="shared" si="1"/>
        <v>92</v>
      </c>
      <c r="R13" s="1" t="s">
        <v>9</v>
      </c>
      <c r="S13" s="17">
        <f t="shared" ref="S13:AF13" si="5">SUM(C22:C25)</f>
        <v>272</v>
      </c>
      <c r="T13" s="17">
        <f t="shared" si="5"/>
        <v>121</v>
      </c>
      <c r="U13" s="17">
        <f t="shared" si="5"/>
        <v>46</v>
      </c>
      <c r="V13" s="17">
        <f t="shared" si="5"/>
        <v>10</v>
      </c>
      <c r="W13" s="17">
        <f t="shared" si="5"/>
        <v>0</v>
      </c>
      <c r="X13" s="17">
        <f t="shared" si="5"/>
        <v>0</v>
      </c>
      <c r="Y13" s="17">
        <f t="shared" si="5"/>
        <v>10</v>
      </c>
      <c r="Z13" s="17">
        <f t="shared" si="5"/>
        <v>9</v>
      </c>
      <c r="AA13" s="17">
        <f t="shared" si="5"/>
        <v>0</v>
      </c>
      <c r="AB13" s="17">
        <f t="shared" si="5"/>
        <v>0</v>
      </c>
      <c r="AC13" s="17">
        <f t="shared" si="5"/>
        <v>445</v>
      </c>
      <c r="AD13" s="17">
        <f t="shared" si="5"/>
        <v>0</v>
      </c>
      <c r="AE13" s="31">
        <f t="shared" si="5"/>
        <v>468</v>
      </c>
      <c r="AF13" s="31">
        <f t="shared" si="5"/>
        <v>913</v>
      </c>
    </row>
    <row r="14" spans="2:32" ht="23.1" customHeight="1" x14ac:dyDescent="0.25">
      <c r="B14" s="45" t="s">
        <v>41</v>
      </c>
      <c r="C14" s="50">
        <v>19</v>
      </c>
      <c r="D14" s="50">
        <v>9</v>
      </c>
      <c r="E14" s="50">
        <v>2</v>
      </c>
      <c r="F14" s="50">
        <v>4</v>
      </c>
      <c r="G14" s="50">
        <v>0</v>
      </c>
      <c r="H14" s="50">
        <v>0</v>
      </c>
      <c r="I14" s="50">
        <v>1</v>
      </c>
      <c r="J14" s="50">
        <v>1</v>
      </c>
      <c r="K14" s="50">
        <v>0</v>
      </c>
      <c r="L14" s="50">
        <v>0</v>
      </c>
      <c r="M14" s="50">
        <v>95</v>
      </c>
      <c r="N14" s="50">
        <v>0</v>
      </c>
      <c r="O14" s="15">
        <f t="shared" si="0"/>
        <v>36</v>
      </c>
      <c r="P14" s="15">
        <f t="shared" si="1"/>
        <v>131</v>
      </c>
      <c r="R14" s="1" t="s">
        <v>10</v>
      </c>
      <c r="S14" s="17">
        <f t="shared" ref="S14:AF14" si="6">SUM(C26:C29)</f>
        <v>291</v>
      </c>
      <c r="T14" s="17">
        <f t="shared" si="6"/>
        <v>125</v>
      </c>
      <c r="U14" s="17">
        <f t="shared" si="6"/>
        <v>30</v>
      </c>
      <c r="V14" s="17">
        <f t="shared" si="6"/>
        <v>23</v>
      </c>
      <c r="W14" s="17">
        <f t="shared" si="6"/>
        <v>2</v>
      </c>
      <c r="X14" s="17">
        <f t="shared" si="6"/>
        <v>0</v>
      </c>
      <c r="Y14" s="17">
        <f t="shared" si="6"/>
        <v>4</v>
      </c>
      <c r="Z14" s="17">
        <f t="shared" si="6"/>
        <v>4</v>
      </c>
      <c r="AA14" s="17">
        <f t="shared" si="6"/>
        <v>1</v>
      </c>
      <c r="AB14" s="17">
        <f t="shared" si="6"/>
        <v>2</v>
      </c>
      <c r="AC14" s="17">
        <f t="shared" si="6"/>
        <v>420</v>
      </c>
      <c r="AD14" s="17">
        <f t="shared" si="6"/>
        <v>0</v>
      </c>
      <c r="AE14" s="31">
        <f t="shared" si="6"/>
        <v>482</v>
      </c>
      <c r="AF14" s="31">
        <f t="shared" si="6"/>
        <v>902</v>
      </c>
    </row>
    <row r="15" spans="2:32" ht="23.1" customHeight="1" x14ac:dyDescent="0.25">
      <c r="B15" s="45" t="s">
        <v>42</v>
      </c>
      <c r="C15" s="50">
        <v>31</v>
      </c>
      <c r="D15" s="50">
        <v>8</v>
      </c>
      <c r="E15" s="50">
        <v>6</v>
      </c>
      <c r="F15" s="50">
        <v>2</v>
      </c>
      <c r="G15" s="50">
        <v>0</v>
      </c>
      <c r="H15" s="50">
        <v>0</v>
      </c>
      <c r="I15" s="50">
        <v>2</v>
      </c>
      <c r="J15" s="50">
        <v>1</v>
      </c>
      <c r="K15" s="50">
        <v>0</v>
      </c>
      <c r="L15" s="50">
        <v>1</v>
      </c>
      <c r="M15" s="50">
        <v>105</v>
      </c>
      <c r="N15" s="50">
        <v>0</v>
      </c>
      <c r="O15" s="15">
        <f t="shared" si="0"/>
        <v>51</v>
      </c>
      <c r="P15" s="15">
        <f t="shared" si="1"/>
        <v>156</v>
      </c>
      <c r="R15" s="1" t="s">
        <v>11</v>
      </c>
      <c r="S15" s="17">
        <f t="shared" ref="S15:AF15" si="7">SUM(C30:C33)</f>
        <v>286</v>
      </c>
      <c r="T15" s="17">
        <f t="shared" si="7"/>
        <v>166</v>
      </c>
      <c r="U15" s="17">
        <f t="shared" si="7"/>
        <v>33</v>
      </c>
      <c r="V15" s="17">
        <f t="shared" si="7"/>
        <v>13</v>
      </c>
      <c r="W15" s="17">
        <f t="shared" si="7"/>
        <v>0</v>
      </c>
      <c r="X15" s="17">
        <f t="shared" si="7"/>
        <v>2</v>
      </c>
      <c r="Y15" s="17">
        <f t="shared" si="7"/>
        <v>12</v>
      </c>
      <c r="Z15" s="17">
        <f t="shared" si="7"/>
        <v>5</v>
      </c>
      <c r="AA15" s="17">
        <f t="shared" si="7"/>
        <v>0</v>
      </c>
      <c r="AB15" s="17">
        <f t="shared" si="7"/>
        <v>0</v>
      </c>
      <c r="AC15" s="17">
        <f t="shared" si="7"/>
        <v>500</v>
      </c>
      <c r="AD15" s="17">
        <f t="shared" si="7"/>
        <v>0</v>
      </c>
      <c r="AE15" s="31">
        <f t="shared" si="7"/>
        <v>517</v>
      </c>
      <c r="AF15" s="31">
        <f t="shared" si="7"/>
        <v>1017</v>
      </c>
    </row>
    <row r="16" spans="2:32" ht="23.1" customHeight="1" x14ac:dyDescent="0.25">
      <c r="B16" s="45" t="s">
        <v>43</v>
      </c>
      <c r="C16" s="50">
        <v>24</v>
      </c>
      <c r="D16" s="50">
        <v>22</v>
      </c>
      <c r="E16" s="50">
        <v>3</v>
      </c>
      <c r="F16" s="50">
        <v>1</v>
      </c>
      <c r="G16" s="50">
        <v>0</v>
      </c>
      <c r="H16" s="50">
        <v>0</v>
      </c>
      <c r="I16" s="50">
        <v>1</v>
      </c>
      <c r="J16" s="50">
        <v>2</v>
      </c>
      <c r="K16" s="50">
        <v>0</v>
      </c>
      <c r="L16" s="50">
        <v>0</v>
      </c>
      <c r="M16" s="50">
        <v>160</v>
      </c>
      <c r="N16" s="50">
        <v>0</v>
      </c>
      <c r="O16" s="15">
        <f t="shared" si="0"/>
        <v>53</v>
      </c>
      <c r="P16" s="15">
        <f t="shared" si="1"/>
        <v>213</v>
      </c>
      <c r="R16" s="1" t="s">
        <v>12</v>
      </c>
      <c r="S16" s="17">
        <f t="shared" ref="S16:AF16" si="8">SUM(C34:C37)</f>
        <v>384</v>
      </c>
      <c r="T16" s="17">
        <f t="shared" si="8"/>
        <v>152</v>
      </c>
      <c r="U16" s="17">
        <f t="shared" si="8"/>
        <v>38</v>
      </c>
      <c r="V16" s="17">
        <f t="shared" si="8"/>
        <v>36</v>
      </c>
      <c r="W16" s="17">
        <f t="shared" si="8"/>
        <v>3</v>
      </c>
      <c r="X16" s="17">
        <f t="shared" si="8"/>
        <v>0</v>
      </c>
      <c r="Y16" s="17">
        <f t="shared" si="8"/>
        <v>13</v>
      </c>
      <c r="Z16" s="17">
        <f t="shared" si="8"/>
        <v>6</v>
      </c>
      <c r="AA16" s="17">
        <f t="shared" si="8"/>
        <v>1</v>
      </c>
      <c r="AB16" s="17">
        <f t="shared" si="8"/>
        <v>0</v>
      </c>
      <c r="AC16" s="17">
        <f t="shared" si="8"/>
        <v>632</v>
      </c>
      <c r="AD16" s="17">
        <f t="shared" si="8"/>
        <v>0</v>
      </c>
      <c r="AE16" s="31">
        <f t="shared" si="8"/>
        <v>633</v>
      </c>
      <c r="AF16" s="31">
        <f t="shared" si="8"/>
        <v>1265</v>
      </c>
    </row>
    <row r="17" spans="2:32" ht="23.1" customHeight="1" x14ac:dyDescent="0.25">
      <c r="B17" s="45" t="s">
        <v>44</v>
      </c>
      <c r="C17" s="50">
        <v>33</v>
      </c>
      <c r="D17" s="50">
        <v>13</v>
      </c>
      <c r="E17" s="50">
        <v>6</v>
      </c>
      <c r="F17" s="50">
        <v>3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237</v>
      </c>
      <c r="N17" s="50">
        <v>0</v>
      </c>
      <c r="O17" s="15">
        <f t="shared" si="0"/>
        <v>58</v>
      </c>
      <c r="P17" s="15">
        <f t="shared" si="1"/>
        <v>295</v>
      </c>
      <c r="R17" s="1" t="s">
        <v>13</v>
      </c>
      <c r="S17" s="17">
        <f t="shared" ref="S17:AF17" si="9">SUM(C38:C41)</f>
        <v>444</v>
      </c>
      <c r="T17" s="17">
        <f t="shared" si="9"/>
        <v>143</v>
      </c>
      <c r="U17" s="17">
        <f t="shared" si="9"/>
        <v>29</v>
      </c>
      <c r="V17" s="17">
        <f t="shared" si="9"/>
        <v>16</v>
      </c>
      <c r="W17" s="17">
        <f t="shared" si="9"/>
        <v>1</v>
      </c>
      <c r="X17" s="17">
        <f t="shared" si="9"/>
        <v>0</v>
      </c>
      <c r="Y17" s="17">
        <f t="shared" si="9"/>
        <v>14</v>
      </c>
      <c r="Z17" s="17">
        <f t="shared" si="9"/>
        <v>6</v>
      </c>
      <c r="AA17" s="17">
        <f t="shared" si="9"/>
        <v>0</v>
      </c>
      <c r="AB17" s="17">
        <f t="shared" si="9"/>
        <v>1</v>
      </c>
      <c r="AC17" s="17">
        <f t="shared" si="9"/>
        <v>598</v>
      </c>
      <c r="AD17" s="17">
        <f t="shared" si="9"/>
        <v>0</v>
      </c>
      <c r="AE17" s="31">
        <f t="shared" si="9"/>
        <v>654</v>
      </c>
      <c r="AF17" s="31">
        <f t="shared" si="9"/>
        <v>1252</v>
      </c>
    </row>
    <row r="18" spans="2:32" ht="23.1" customHeight="1" x14ac:dyDescent="0.25">
      <c r="B18" s="45" t="s">
        <v>45</v>
      </c>
      <c r="C18" s="50">
        <v>43</v>
      </c>
      <c r="D18" s="50">
        <v>16</v>
      </c>
      <c r="E18" s="50">
        <v>3</v>
      </c>
      <c r="F18" s="50">
        <v>2</v>
      </c>
      <c r="G18" s="50">
        <v>1</v>
      </c>
      <c r="H18" s="50">
        <v>0</v>
      </c>
      <c r="I18" s="50">
        <v>3</v>
      </c>
      <c r="J18" s="50">
        <v>1</v>
      </c>
      <c r="K18" s="50">
        <v>0</v>
      </c>
      <c r="L18" s="50">
        <v>0</v>
      </c>
      <c r="M18" s="50">
        <v>157</v>
      </c>
      <c r="N18" s="50">
        <v>0</v>
      </c>
      <c r="O18" s="15">
        <f t="shared" si="0"/>
        <v>69</v>
      </c>
      <c r="P18" s="15">
        <f t="shared" si="1"/>
        <v>226</v>
      </c>
      <c r="R18" s="1" t="s">
        <v>14</v>
      </c>
      <c r="S18" s="17">
        <f t="shared" ref="S18:AF18" si="10">SUM(C42:C45)</f>
        <v>450</v>
      </c>
      <c r="T18" s="17">
        <f t="shared" si="10"/>
        <v>151</v>
      </c>
      <c r="U18" s="17">
        <f t="shared" si="10"/>
        <v>33</v>
      </c>
      <c r="V18" s="17">
        <f t="shared" si="10"/>
        <v>22</v>
      </c>
      <c r="W18" s="17">
        <f t="shared" si="10"/>
        <v>0</v>
      </c>
      <c r="X18" s="17">
        <f t="shared" si="10"/>
        <v>0</v>
      </c>
      <c r="Y18" s="17">
        <f t="shared" si="10"/>
        <v>8</v>
      </c>
      <c r="Z18" s="17">
        <f t="shared" si="10"/>
        <v>3</v>
      </c>
      <c r="AA18" s="17">
        <f t="shared" si="10"/>
        <v>3</v>
      </c>
      <c r="AB18" s="17">
        <f t="shared" si="10"/>
        <v>0</v>
      </c>
      <c r="AC18" s="17">
        <f t="shared" si="10"/>
        <v>645</v>
      </c>
      <c r="AD18" s="17">
        <f t="shared" si="10"/>
        <v>0</v>
      </c>
      <c r="AE18" s="31">
        <f t="shared" si="10"/>
        <v>670</v>
      </c>
      <c r="AF18" s="31">
        <f t="shared" si="10"/>
        <v>1315</v>
      </c>
    </row>
    <row r="19" spans="2:32" ht="23.1" customHeight="1" x14ac:dyDescent="0.25">
      <c r="B19" s="45" t="s">
        <v>46</v>
      </c>
      <c r="C19" s="50">
        <v>41</v>
      </c>
      <c r="D19" s="50">
        <v>17</v>
      </c>
      <c r="E19" s="50">
        <v>3</v>
      </c>
      <c r="F19" s="50">
        <v>4</v>
      </c>
      <c r="G19" s="50">
        <v>0</v>
      </c>
      <c r="H19" s="50">
        <v>0</v>
      </c>
      <c r="I19" s="50">
        <v>8</v>
      </c>
      <c r="J19" s="50">
        <v>3</v>
      </c>
      <c r="K19" s="50">
        <v>0</v>
      </c>
      <c r="L19" s="50">
        <v>0</v>
      </c>
      <c r="M19" s="50">
        <v>126</v>
      </c>
      <c r="N19" s="50">
        <v>0</v>
      </c>
      <c r="O19" s="15">
        <f t="shared" si="0"/>
        <v>76</v>
      </c>
      <c r="P19" s="15">
        <f t="shared" si="1"/>
        <v>202</v>
      </c>
      <c r="R19" s="1" t="s">
        <v>15</v>
      </c>
      <c r="S19" s="17">
        <f t="shared" ref="S19:AF19" si="11">SUM(C46:C49)</f>
        <v>359</v>
      </c>
      <c r="T19" s="17">
        <f t="shared" si="11"/>
        <v>105</v>
      </c>
      <c r="U19" s="17">
        <f t="shared" si="11"/>
        <v>35</v>
      </c>
      <c r="V19" s="17">
        <f t="shared" si="11"/>
        <v>13</v>
      </c>
      <c r="W19" s="17">
        <f t="shared" si="11"/>
        <v>2</v>
      </c>
      <c r="X19" s="17">
        <f t="shared" si="11"/>
        <v>0</v>
      </c>
      <c r="Y19" s="17">
        <f t="shared" si="11"/>
        <v>7</v>
      </c>
      <c r="Z19" s="17">
        <f t="shared" si="11"/>
        <v>4</v>
      </c>
      <c r="AA19" s="17">
        <f t="shared" si="11"/>
        <v>2</v>
      </c>
      <c r="AB19" s="17">
        <f t="shared" si="11"/>
        <v>1</v>
      </c>
      <c r="AC19" s="17">
        <f t="shared" si="11"/>
        <v>517</v>
      </c>
      <c r="AD19" s="17">
        <f t="shared" si="11"/>
        <v>0</v>
      </c>
      <c r="AE19" s="31">
        <f t="shared" si="11"/>
        <v>528</v>
      </c>
      <c r="AF19" s="31">
        <f t="shared" si="11"/>
        <v>1045</v>
      </c>
    </row>
    <row r="20" spans="2:32" ht="23.1" customHeight="1" x14ac:dyDescent="0.25">
      <c r="B20" s="45" t="s">
        <v>47</v>
      </c>
      <c r="C20" s="50">
        <v>49</v>
      </c>
      <c r="D20" s="50">
        <v>35</v>
      </c>
      <c r="E20" s="50">
        <v>7</v>
      </c>
      <c r="F20" s="50">
        <v>2</v>
      </c>
      <c r="G20" s="50">
        <v>0</v>
      </c>
      <c r="H20" s="50">
        <v>0</v>
      </c>
      <c r="I20" s="50">
        <v>3</v>
      </c>
      <c r="J20" s="50">
        <v>0</v>
      </c>
      <c r="K20" s="50">
        <v>1</v>
      </c>
      <c r="L20" s="50">
        <v>0</v>
      </c>
      <c r="M20" s="50">
        <v>127</v>
      </c>
      <c r="N20" s="50">
        <v>0</v>
      </c>
      <c r="O20" s="15">
        <f t="shared" si="0"/>
        <v>97</v>
      </c>
      <c r="P20" s="15">
        <f t="shared" si="1"/>
        <v>224</v>
      </c>
      <c r="R20" s="1" t="s">
        <v>16</v>
      </c>
      <c r="S20" s="17">
        <f t="shared" ref="S20:AF20" si="12">SUM(C50:C53)</f>
        <v>376</v>
      </c>
      <c r="T20" s="17">
        <f t="shared" si="12"/>
        <v>115</v>
      </c>
      <c r="U20" s="17">
        <f t="shared" si="12"/>
        <v>23</v>
      </c>
      <c r="V20" s="17">
        <f t="shared" si="12"/>
        <v>13</v>
      </c>
      <c r="W20" s="17">
        <f t="shared" si="12"/>
        <v>1</v>
      </c>
      <c r="X20" s="17">
        <f t="shared" si="12"/>
        <v>0</v>
      </c>
      <c r="Y20" s="17">
        <f t="shared" si="12"/>
        <v>5</v>
      </c>
      <c r="Z20" s="17">
        <f t="shared" si="12"/>
        <v>1</v>
      </c>
      <c r="AA20" s="17">
        <f t="shared" si="12"/>
        <v>1</v>
      </c>
      <c r="AB20" s="17">
        <f t="shared" si="12"/>
        <v>1</v>
      </c>
      <c r="AC20" s="17">
        <f t="shared" si="12"/>
        <v>600</v>
      </c>
      <c r="AD20" s="17">
        <f t="shared" si="12"/>
        <v>0</v>
      </c>
      <c r="AE20" s="31">
        <f t="shared" si="12"/>
        <v>536</v>
      </c>
      <c r="AF20" s="31">
        <f t="shared" si="12"/>
        <v>1136</v>
      </c>
    </row>
    <row r="21" spans="2:32" ht="23.1" customHeight="1" x14ac:dyDescent="0.25">
      <c r="B21" s="45" t="s">
        <v>48</v>
      </c>
      <c r="C21" s="50">
        <v>71</v>
      </c>
      <c r="D21" s="50">
        <v>23</v>
      </c>
      <c r="E21" s="50">
        <v>3</v>
      </c>
      <c r="F21" s="50">
        <v>1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100</v>
      </c>
      <c r="N21" s="50">
        <v>0</v>
      </c>
      <c r="O21" s="15">
        <f t="shared" si="0"/>
        <v>103</v>
      </c>
      <c r="P21" s="15">
        <f t="shared" si="1"/>
        <v>203</v>
      </c>
      <c r="R21" s="36" t="s">
        <v>20</v>
      </c>
      <c r="S21" s="34">
        <f t="shared" ref="S21:AF21" si="13">SUM(C54:C57)</f>
        <v>429</v>
      </c>
      <c r="T21" s="17">
        <f t="shared" si="13"/>
        <v>121</v>
      </c>
      <c r="U21" s="17">
        <f t="shared" si="13"/>
        <v>21</v>
      </c>
      <c r="V21" s="17">
        <f t="shared" si="13"/>
        <v>12</v>
      </c>
      <c r="W21" s="17">
        <f t="shared" si="13"/>
        <v>0</v>
      </c>
      <c r="X21" s="17">
        <f t="shared" si="13"/>
        <v>0</v>
      </c>
      <c r="Y21" s="17">
        <f t="shared" si="13"/>
        <v>8</v>
      </c>
      <c r="Z21" s="17">
        <f t="shared" si="13"/>
        <v>8</v>
      </c>
      <c r="AA21" s="17">
        <f t="shared" si="13"/>
        <v>1</v>
      </c>
      <c r="AB21" s="17">
        <f t="shared" si="13"/>
        <v>1</v>
      </c>
      <c r="AC21" s="17">
        <f t="shared" si="13"/>
        <v>740</v>
      </c>
      <c r="AD21" s="17">
        <f t="shared" si="13"/>
        <v>0</v>
      </c>
      <c r="AE21" s="31">
        <f t="shared" si="13"/>
        <v>601</v>
      </c>
      <c r="AF21" s="31">
        <f t="shared" si="13"/>
        <v>1341</v>
      </c>
    </row>
    <row r="22" spans="2:32" ht="23.1" customHeight="1" x14ac:dyDescent="0.25">
      <c r="B22" s="45" t="s">
        <v>49</v>
      </c>
      <c r="C22" s="50">
        <v>57</v>
      </c>
      <c r="D22" s="50">
        <v>25</v>
      </c>
      <c r="E22" s="50">
        <v>27</v>
      </c>
      <c r="F22" s="50">
        <v>2</v>
      </c>
      <c r="G22" s="50">
        <v>0</v>
      </c>
      <c r="H22" s="50">
        <v>0</v>
      </c>
      <c r="I22" s="50">
        <v>2</v>
      </c>
      <c r="J22" s="50">
        <v>1</v>
      </c>
      <c r="K22" s="50">
        <v>0</v>
      </c>
      <c r="L22" s="50">
        <v>0</v>
      </c>
      <c r="M22" s="50">
        <v>100</v>
      </c>
      <c r="N22" s="50">
        <v>0</v>
      </c>
      <c r="O22" s="15">
        <f t="shared" si="0"/>
        <v>114</v>
      </c>
      <c r="P22" s="15">
        <f t="shared" si="1"/>
        <v>214</v>
      </c>
      <c r="R22" s="36" t="s">
        <v>146</v>
      </c>
      <c r="S22" s="34">
        <f>SUM(C58:C61)</f>
        <v>279</v>
      </c>
      <c r="T22" s="34">
        <f t="shared" ref="T22:AF22" si="14">SUM(D58:D61)</f>
        <v>91</v>
      </c>
      <c r="U22" s="34">
        <f t="shared" si="14"/>
        <v>23</v>
      </c>
      <c r="V22" s="34">
        <f t="shared" si="14"/>
        <v>3</v>
      </c>
      <c r="W22" s="34">
        <f t="shared" si="14"/>
        <v>0</v>
      </c>
      <c r="X22" s="34">
        <f t="shared" si="14"/>
        <v>0</v>
      </c>
      <c r="Y22" s="34">
        <f t="shared" si="14"/>
        <v>4</v>
      </c>
      <c r="Z22" s="34">
        <f t="shared" si="14"/>
        <v>2</v>
      </c>
      <c r="AA22" s="34">
        <f t="shared" si="14"/>
        <v>2</v>
      </c>
      <c r="AB22" s="34">
        <f t="shared" si="14"/>
        <v>0</v>
      </c>
      <c r="AC22" s="34">
        <f t="shared" si="14"/>
        <v>525</v>
      </c>
      <c r="AD22" s="34">
        <f t="shared" si="14"/>
        <v>0</v>
      </c>
      <c r="AE22" s="31">
        <f t="shared" si="14"/>
        <v>404</v>
      </c>
      <c r="AF22" s="31">
        <f t="shared" si="14"/>
        <v>929</v>
      </c>
    </row>
    <row r="23" spans="2:32" ht="23.1" customHeight="1" x14ac:dyDescent="0.25">
      <c r="B23" s="45" t="s">
        <v>50</v>
      </c>
      <c r="C23" s="50">
        <v>69</v>
      </c>
      <c r="D23" s="50">
        <v>37</v>
      </c>
      <c r="E23" s="50">
        <v>4</v>
      </c>
      <c r="F23" s="50">
        <v>2</v>
      </c>
      <c r="G23" s="50">
        <v>0</v>
      </c>
      <c r="H23" s="50">
        <v>0</v>
      </c>
      <c r="I23" s="50">
        <v>1</v>
      </c>
      <c r="J23" s="50">
        <v>0</v>
      </c>
      <c r="K23" s="50">
        <v>0</v>
      </c>
      <c r="L23" s="50">
        <v>0</v>
      </c>
      <c r="M23" s="50">
        <v>110</v>
      </c>
      <c r="N23" s="50">
        <v>0</v>
      </c>
      <c r="O23" s="15">
        <f t="shared" si="0"/>
        <v>113</v>
      </c>
      <c r="P23" s="15">
        <f t="shared" si="1"/>
        <v>223</v>
      </c>
      <c r="R23" s="36" t="s">
        <v>147</v>
      </c>
      <c r="S23" s="34">
        <f>SUM(C62:C65)</f>
        <v>270</v>
      </c>
      <c r="T23" s="34">
        <f t="shared" ref="T23:AF23" si="15">SUM(D62:D65)</f>
        <v>25</v>
      </c>
      <c r="U23" s="34">
        <f t="shared" si="15"/>
        <v>19</v>
      </c>
      <c r="V23" s="34">
        <f t="shared" si="15"/>
        <v>0</v>
      </c>
      <c r="W23" s="34">
        <f t="shared" si="15"/>
        <v>0</v>
      </c>
      <c r="X23" s="34">
        <f t="shared" si="15"/>
        <v>0</v>
      </c>
      <c r="Y23" s="34">
        <f t="shared" si="15"/>
        <v>8</v>
      </c>
      <c r="Z23" s="34">
        <f t="shared" si="15"/>
        <v>1</v>
      </c>
      <c r="AA23" s="34">
        <f t="shared" si="15"/>
        <v>1</v>
      </c>
      <c r="AB23" s="34">
        <f t="shared" si="15"/>
        <v>0</v>
      </c>
      <c r="AC23" s="34">
        <f t="shared" si="15"/>
        <v>470</v>
      </c>
      <c r="AD23" s="34">
        <f t="shared" si="15"/>
        <v>0</v>
      </c>
      <c r="AE23" s="31">
        <f t="shared" si="15"/>
        <v>324</v>
      </c>
      <c r="AF23" s="31">
        <f t="shared" si="15"/>
        <v>794</v>
      </c>
    </row>
    <row r="24" spans="2:32" ht="23.1" customHeight="1" x14ac:dyDescent="0.25">
      <c r="B24" s="45" t="s">
        <v>51</v>
      </c>
      <c r="C24" s="50">
        <v>74</v>
      </c>
      <c r="D24" s="50">
        <v>29</v>
      </c>
      <c r="E24" s="50">
        <v>7</v>
      </c>
      <c r="F24" s="50">
        <v>3</v>
      </c>
      <c r="G24" s="50">
        <v>0</v>
      </c>
      <c r="H24" s="50">
        <v>0</v>
      </c>
      <c r="I24" s="50">
        <v>2</v>
      </c>
      <c r="J24" s="50">
        <v>4</v>
      </c>
      <c r="K24" s="50">
        <v>0</v>
      </c>
      <c r="L24" s="50">
        <v>0</v>
      </c>
      <c r="M24" s="50">
        <v>130</v>
      </c>
      <c r="N24" s="50">
        <v>0</v>
      </c>
      <c r="O24" s="15">
        <f t="shared" si="0"/>
        <v>119</v>
      </c>
      <c r="P24" s="15">
        <f t="shared" si="1"/>
        <v>249</v>
      </c>
      <c r="R24" s="36" t="s">
        <v>148</v>
      </c>
      <c r="S24" s="34">
        <f>SUM(C66:C69)</f>
        <v>208</v>
      </c>
      <c r="T24" s="34">
        <f t="shared" ref="T24:AF24" si="16">SUM(D66:D69)</f>
        <v>22</v>
      </c>
      <c r="U24" s="34">
        <f t="shared" si="16"/>
        <v>10</v>
      </c>
      <c r="V24" s="34">
        <f t="shared" si="16"/>
        <v>1</v>
      </c>
      <c r="W24" s="34">
        <f t="shared" si="16"/>
        <v>0</v>
      </c>
      <c r="X24" s="34">
        <f t="shared" si="16"/>
        <v>0</v>
      </c>
      <c r="Y24" s="34">
        <f t="shared" si="16"/>
        <v>0</v>
      </c>
      <c r="Z24" s="34">
        <f t="shared" si="16"/>
        <v>2</v>
      </c>
      <c r="AA24" s="34">
        <f t="shared" si="16"/>
        <v>0</v>
      </c>
      <c r="AB24" s="34">
        <f t="shared" si="16"/>
        <v>0</v>
      </c>
      <c r="AC24" s="34">
        <f t="shared" si="16"/>
        <v>253</v>
      </c>
      <c r="AD24" s="34">
        <f t="shared" si="16"/>
        <v>0</v>
      </c>
      <c r="AE24" s="31">
        <f t="shared" si="16"/>
        <v>243</v>
      </c>
      <c r="AF24" s="31">
        <f t="shared" si="16"/>
        <v>496</v>
      </c>
    </row>
    <row r="25" spans="2:32" ht="23.1" customHeight="1" x14ac:dyDescent="0.25">
      <c r="B25" s="45" t="s">
        <v>52</v>
      </c>
      <c r="C25" s="50">
        <v>72</v>
      </c>
      <c r="D25" s="50">
        <v>30</v>
      </c>
      <c r="E25" s="50">
        <v>8</v>
      </c>
      <c r="F25" s="50">
        <v>3</v>
      </c>
      <c r="G25" s="50">
        <v>0</v>
      </c>
      <c r="H25" s="50">
        <v>0</v>
      </c>
      <c r="I25" s="50">
        <v>5</v>
      </c>
      <c r="J25" s="50">
        <v>4</v>
      </c>
      <c r="K25" s="50">
        <v>0</v>
      </c>
      <c r="L25" s="50">
        <v>0</v>
      </c>
      <c r="M25" s="50">
        <v>105</v>
      </c>
      <c r="N25" s="50">
        <v>0</v>
      </c>
      <c r="O25" s="15">
        <f t="shared" si="0"/>
        <v>122</v>
      </c>
      <c r="P25" s="15">
        <f t="shared" si="1"/>
        <v>227</v>
      </c>
      <c r="R25" s="36" t="s">
        <v>149</v>
      </c>
      <c r="S25" s="34">
        <f>SUM(C70:C73)</f>
        <v>180</v>
      </c>
      <c r="T25" s="34">
        <f t="shared" ref="T25:AF25" si="17">SUM(D70:D73)</f>
        <v>22</v>
      </c>
      <c r="U25" s="34">
        <f t="shared" si="17"/>
        <v>14</v>
      </c>
      <c r="V25" s="34">
        <f t="shared" si="17"/>
        <v>0</v>
      </c>
      <c r="W25" s="34">
        <f t="shared" si="17"/>
        <v>0</v>
      </c>
      <c r="X25" s="34">
        <f t="shared" si="17"/>
        <v>0</v>
      </c>
      <c r="Y25" s="34">
        <f t="shared" si="17"/>
        <v>0</v>
      </c>
      <c r="Z25" s="34">
        <f t="shared" si="17"/>
        <v>0</v>
      </c>
      <c r="AA25" s="34">
        <f t="shared" si="17"/>
        <v>0</v>
      </c>
      <c r="AB25" s="34">
        <f t="shared" si="17"/>
        <v>0</v>
      </c>
      <c r="AC25" s="34">
        <f t="shared" si="17"/>
        <v>242</v>
      </c>
      <c r="AD25" s="34">
        <f t="shared" si="17"/>
        <v>0</v>
      </c>
      <c r="AE25" s="31">
        <f t="shared" si="17"/>
        <v>216</v>
      </c>
      <c r="AF25" s="31">
        <f t="shared" si="17"/>
        <v>458</v>
      </c>
    </row>
    <row r="26" spans="2:32" ht="23.1" customHeight="1" x14ac:dyDescent="0.25">
      <c r="B26" s="45" t="s">
        <v>53</v>
      </c>
      <c r="C26" s="50">
        <v>76</v>
      </c>
      <c r="D26" s="50">
        <v>30</v>
      </c>
      <c r="E26" s="50">
        <v>8</v>
      </c>
      <c r="F26" s="50">
        <v>8</v>
      </c>
      <c r="G26" s="50">
        <v>0</v>
      </c>
      <c r="H26" s="50">
        <v>0</v>
      </c>
      <c r="I26" s="50">
        <v>2</v>
      </c>
      <c r="J26" s="50">
        <v>1</v>
      </c>
      <c r="K26" s="50">
        <v>0</v>
      </c>
      <c r="L26" s="50">
        <v>1</v>
      </c>
      <c r="M26" s="50">
        <v>70</v>
      </c>
      <c r="N26" s="50">
        <v>0</v>
      </c>
      <c r="O26" s="15">
        <f t="shared" si="0"/>
        <v>126</v>
      </c>
      <c r="P26" s="15">
        <f t="shared" si="1"/>
        <v>196</v>
      </c>
      <c r="R26" s="36" t="s">
        <v>150</v>
      </c>
      <c r="S26" s="34">
        <f>SUM(C74:C77)</f>
        <v>175</v>
      </c>
      <c r="T26" s="34">
        <f t="shared" ref="T26:AF26" si="18">SUM(D74:D77)</f>
        <v>5</v>
      </c>
      <c r="U26" s="34">
        <f t="shared" si="18"/>
        <v>9</v>
      </c>
      <c r="V26" s="34">
        <f t="shared" si="18"/>
        <v>0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203</v>
      </c>
      <c r="AD26" s="34">
        <f t="shared" si="18"/>
        <v>0</v>
      </c>
      <c r="AE26" s="31">
        <f t="shared" si="18"/>
        <v>189</v>
      </c>
      <c r="AF26" s="31">
        <f t="shared" si="18"/>
        <v>392</v>
      </c>
    </row>
    <row r="27" spans="2:32" ht="23.1" customHeight="1" x14ac:dyDescent="0.25">
      <c r="B27" s="45" t="s">
        <v>54</v>
      </c>
      <c r="C27" s="50">
        <v>65</v>
      </c>
      <c r="D27" s="50">
        <v>25</v>
      </c>
      <c r="E27" s="50">
        <v>3</v>
      </c>
      <c r="F27" s="50">
        <v>5</v>
      </c>
      <c r="G27" s="50">
        <v>1</v>
      </c>
      <c r="H27" s="50">
        <v>0</v>
      </c>
      <c r="I27" s="50">
        <v>0</v>
      </c>
      <c r="J27" s="50">
        <v>3</v>
      </c>
      <c r="K27" s="50">
        <v>0</v>
      </c>
      <c r="L27" s="50">
        <v>0</v>
      </c>
      <c r="M27" s="50">
        <v>85</v>
      </c>
      <c r="N27" s="50">
        <v>0</v>
      </c>
      <c r="O27" s="15">
        <f t="shared" si="0"/>
        <v>102</v>
      </c>
      <c r="P27" s="15">
        <f t="shared" si="1"/>
        <v>187</v>
      </c>
      <c r="R27" s="36" t="s">
        <v>151</v>
      </c>
      <c r="S27" s="34">
        <f>SUM(C78:C81)</f>
        <v>137</v>
      </c>
      <c r="T27" s="34">
        <f t="shared" ref="T27:AF27" si="19">SUM(D78:D81)</f>
        <v>8</v>
      </c>
      <c r="U27" s="34">
        <f t="shared" si="19"/>
        <v>1</v>
      </c>
      <c r="V27" s="34">
        <f t="shared" si="19"/>
        <v>0</v>
      </c>
      <c r="W27" s="34">
        <f t="shared" si="19"/>
        <v>0</v>
      </c>
      <c r="X27" s="34">
        <f t="shared" si="19"/>
        <v>0</v>
      </c>
      <c r="Y27" s="34">
        <f t="shared" si="19"/>
        <v>0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167</v>
      </c>
      <c r="AD27" s="34">
        <f t="shared" si="19"/>
        <v>0</v>
      </c>
      <c r="AE27" s="31">
        <f t="shared" si="19"/>
        <v>146</v>
      </c>
      <c r="AF27" s="31">
        <f t="shared" si="19"/>
        <v>313</v>
      </c>
    </row>
    <row r="28" spans="2:32" ht="23.1" customHeight="1" x14ac:dyDescent="0.25">
      <c r="B28" s="45" t="s">
        <v>55</v>
      </c>
      <c r="C28" s="50">
        <v>67</v>
      </c>
      <c r="D28" s="50">
        <v>33</v>
      </c>
      <c r="E28" s="50">
        <v>10</v>
      </c>
      <c r="F28" s="50">
        <v>6</v>
      </c>
      <c r="G28" s="50">
        <v>1</v>
      </c>
      <c r="H28" s="50">
        <v>0</v>
      </c>
      <c r="I28" s="50">
        <v>1</v>
      </c>
      <c r="J28" s="50">
        <v>0</v>
      </c>
      <c r="K28" s="50">
        <v>1</v>
      </c>
      <c r="L28" s="50">
        <v>1</v>
      </c>
      <c r="M28" s="50">
        <v>125</v>
      </c>
      <c r="N28" s="50">
        <v>0</v>
      </c>
      <c r="O28" s="15">
        <f t="shared" si="0"/>
        <v>120</v>
      </c>
      <c r="P28" s="15">
        <f t="shared" si="1"/>
        <v>245</v>
      </c>
      <c r="R28" s="36" t="s">
        <v>152</v>
      </c>
      <c r="S28" s="34">
        <f>SUM(C82:C85)</f>
        <v>83</v>
      </c>
      <c r="T28" s="34">
        <f t="shared" ref="T28:AF28" si="20">SUM(D82:D85)</f>
        <v>1</v>
      </c>
      <c r="U28" s="34">
        <f t="shared" si="20"/>
        <v>1</v>
      </c>
      <c r="V28" s="34">
        <f t="shared" si="20"/>
        <v>1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104</v>
      </c>
      <c r="AD28" s="34">
        <f t="shared" si="20"/>
        <v>0</v>
      </c>
      <c r="AE28" s="31">
        <f t="shared" si="20"/>
        <v>87</v>
      </c>
      <c r="AF28" s="31">
        <f t="shared" si="20"/>
        <v>191</v>
      </c>
    </row>
    <row r="29" spans="2:32" ht="23.1" customHeight="1" x14ac:dyDescent="0.25">
      <c r="B29" s="45" t="s">
        <v>56</v>
      </c>
      <c r="C29" s="50">
        <v>83</v>
      </c>
      <c r="D29" s="50">
        <v>37</v>
      </c>
      <c r="E29" s="50">
        <v>9</v>
      </c>
      <c r="F29" s="50">
        <v>4</v>
      </c>
      <c r="G29" s="50">
        <v>0</v>
      </c>
      <c r="H29" s="50">
        <v>0</v>
      </c>
      <c r="I29" s="50">
        <v>1</v>
      </c>
      <c r="J29" s="50">
        <v>0</v>
      </c>
      <c r="K29" s="50">
        <v>0</v>
      </c>
      <c r="L29" s="50">
        <v>0</v>
      </c>
      <c r="M29" s="50">
        <v>140</v>
      </c>
      <c r="N29" s="50">
        <v>0</v>
      </c>
      <c r="O29" s="15">
        <f t="shared" si="0"/>
        <v>134</v>
      </c>
      <c r="P29" s="15">
        <f t="shared" si="1"/>
        <v>274</v>
      </c>
      <c r="R29" s="36" t="s">
        <v>153</v>
      </c>
      <c r="S29" s="34">
        <f>SUM(C86:C89)</f>
        <v>65</v>
      </c>
      <c r="T29" s="34">
        <f t="shared" ref="T29:AF29" si="21">SUM(D86:D89)</f>
        <v>3</v>
      </c>
      <c r="U29" s="34">
        <f t="shared" si="21"/>
        <v>0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51</v>
      </c>
      <c r="AD29" s="34">
        <f t="shared" si="21"/>
        <v>0</v>
      </c>
      <c r="AE29" s="31">
        <f t="shared" si="21"/>
        <v>68</v>
      </c>
      <c r="AF29" s="31">
        <f t="shared" si="21"/>
        <v>119</v>
      </c>
    </row>
    <row r="30" spans="2:32" ht="23.1" customHeight="1" x14ac:dyDescent="0.25">
      <c r="B30" s="45" t="s">
        <v>57</v>
      </c>
      <c r="C30" s="50">
        <v>66</v>
      </c>
      <c r="D30" s="50">
        <v>45</v>
      </c>
      <c r="E30" s="50">
        <v>8</v>
      </c>
      <c r="F30" s="50">
        <v>3</v>
      </c>
      <c r="G30" s="50">
        <v>0</v>
      </c>
      <c r="H30" s="50">
        <v>0</v>
      </c>
      <c r="I30" s="50">
        <v>1</v>
      </c>
      <c r="J30" s="50">
        <v>0</v>
      </c>
      <c r="K30" s="50">
        <v>0</v>
      </c>
      <c r="L30" s="50">
        <v>0</v>
      </c>
      <c r="M30" s="50">
        <v>90</v>
      </c>
      <c r="N30" s="50">
        <v>0</v>
      </c>
      <c r="O30" s="15">
        <f t="shared" si="0"/>
        <v>123</v>
      </c>
      <c r="P30" s="15">
        <f t="shared" si="1"/>
        <v>213</v>
      </c>
      <c r="R30" s="36" t="s">
        <v>154</v>
      </c>
      <c r="S30" s="34">
        <f>SUM(C90:C93)</f>
        <v>48</v>
      </c>
      <c r="T30" s="34">
        <f t="shared" ref="T30:AF30" si="22">SUM(D90:D93)</f>
        <v>1</v>
      </c>
      <c r="U30" s="34">
        <f t="shared" si="22"/>
        <v>1</v>
      </c>
      <c r="V30" s="34">
        <f t="shared" si="22"/>
        <v>0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0</v>
      </c>
      <c r="AA30" s="34">
        <f t="shared" si="22"/>
        <v>0</v>
      </c>
      <c r="AB30" s="34">
        <f t="shared" si="22"/>
        <v>0</v>
      </c>
      <c r="AC30" s="34">
        <f t="shared" si="22"/>
        <v>26</v>
      </c>
      <c r="AD30" s="34">
        <f t="shared" si="22"/>
        <v>0</v>
      </c>
      <c r="AE30" s="31">
        <f t="shared" si="22"/>
        <v>50</v>
      </c>
      <c r="AF30" s="31">
        <f t="shared" si="22"/>
        <v>76</v>
      </c>
    </row>
    <row r="31" spans="2:32" ht="23.1" customHeight="1" x14ac:dyDescent="0.25">
      <c r="B31" s="46" t="s">
        <v>58</v>
      </c>
      <c r="C31" s="50">
        <v>81</v>
      </c>
      <c r="D31" s="50">
        <v>41</v>
      </c>
      <c r="E31" s="50">
        <v>7</v>
      </c>
      <c r="F31" s="50">
        <v>2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155</v>
      </c>
      <c r="N31" s="50">
        <v>0</v>
      </c>
      <c r="O31" s="15">
        <f t="shared" si="0"/>
        <v>133</v>
      </c>
      <c r="P31" s="15">
        <f t="shared" si="1"/>
        <v>288</v>
      </c>
      <c r="R31" s="36" t="s">
        <v>155</v>
      </c>
      <c r="S31" s="34">
        <f>SUM(C94:C97)</f>
        <v>48</v>
      </c>
      <c r="T31" s="34">
        <f t="shared" ref="T31:AF31" si="23">SUM(D94:D97)</f>
        <v>2</v>
      </c>
      <c r="U31" s="34">
        <f t="shared" si="23"/>
        <v>0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</v>
      </c>
      <c r="AA31" s="34">
        <f t="shared" si="23"/>
        <v>1</v>
      </c>
      <c r="AB31" s="34">
        <f t="shared" si="23"/>
        <v>0</v>
      </c>
      <c r="AC31" s="34">
        <f t="shared" si="23"/>
        <v>41</v>
      </c>
      <c r="AD31" s="34">
        <f t="shared" si="23"/>
        <v>0</v>
      </c>
      <c r="AE31" s="31">
        <f t="shared" si="23"/>
        <v>52</v>
      </c>
      <c r="AF31" s="31">
        <f t="shared" si="23"/>
        <v>93</v>
      </c>
    </row>
    <row r="32" spans="2:32" ht="23.1" customHeight="1" x14ac:dyDescent="0.25">
      <c r="B32" s="46" t="s">
        <v>59</v>
      </c>
      <c r="C32" s="50">
        <v>72</v>
      </c>
      <c r="D32" s="50">
        <v>38</v>
      </c>
      <c r="E32" s="50">
        <v>9</v>
      </c>
      <c r="F32" s="50">
        <v>2</v>
      </c>
      <c r="G32" s="50">
        <v>0</v>
      </c>
      <c r="H32" s="50">
        <v>0</v>
      </c>
      <c r="I32" s="50">
        <v>5</v>
      </c>
      <c r="J32" s="50">
        <v>3</v>
      </c>
      <c r="K32" s="50">
        <v>0</v>
      </c>
      <c r="L32" s="50">
        <v>0</v>
      </c>
      <c r="M32" s="50">
        <v>115</v>
      </c>
      <c r="N32" s="50">
        <v>0</v>
      </c>
      <c r="O32" s="15">
        <f t="shared" si="0"/>
        <v>129</v>
      </c>
      <c r="P32" s="15">
        <f t="shared" si="1"/>
        <v>244</v>
      </c>
      <c r="R32" s="33" t="s">
        <v>156</v>
      </c>
      <c r="S32" s="34">
        <f>SUM(C98:C101)</f>
        <v>25</v>
      </c>
      <c r="T32" s="34">
        <f t="shared" ref="T32:AF32" si="24">SUM(D98:D101)</f>
        <v>3</v>
      </c>
      <c r="U32" s="34">
        <f t="shared" si="24"/>
        <v>1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83</v>
      </c>
      <c r="AD32" s="34">
        <f t="shared" si="24"/>
        <v>0</v>
      </c>
      <c r="AE32" s="31">
        <f t="shared" si="24"/>
        <v>30</v>
      </c>
      <c r="AF32" s="31">
        <f t="shared" si="24"/>
        <v>113</v>
      </c>
    </row>
    <row r="33" spans="2:32" ht="23.1" customHeight="1" x14ac:dyDescent="0.25">
      <c r="B33" s="45" t="s">
        <v>60</v>
      </c>
      <c r="C33" s="50">
        <v>67</v>
      </c>
      <c r="D33" s="50">
        <v>42</v>
      </c>
      <c r="E33" s="50">
        <v>9</v>
      </c>
      <c r="F33" s="50">
        <v>6</v>
      </c>
      <c r="G33" s="50">
        <v>0</v>
      </c>
      <c r="H33" s="50">
        <v>2</v>
      </c>
      <c r="I33" s="50">
        <v>4</v>
      </c>
      <c r="J33" s="50">
        <v>2</v>
      </c>
      <c r="K33" s="50">
        <v>0</v>
      </c>
      <c r="L33" s="50">
        <v>0</v>
      </c>
      <c r="M33" s="50">
        <v>140</v>
      </c>
      <c r="N33" s="50">
        <v>0</v>
      </c>
      <c r="O33" s="15">
        <f t="shared" si="0"/>
        <v>132</v>
      </c>
      <c r="P33" s="15">
        <f t="shared" si="1"/>
        <v>272</v>
      </c>
      <c r="R33" s="33" t="s">
        <v>157</v>
      </c>
      <c r="S33" s="34">
        <f>SUM(C102:C105)</f>
        <v>20</v>
      </c>
      <c r="T33" s="34">
        <f t="shared" ref="T33:AF33" si="25">SUM(D102:D105)</f>
        <v>1</v>
      </c>
      <c r="U33" s="34">
        <f t="shared" si="25"/>
        <v>1</v>
      </c>
      <c r="V33" s="34">
        <f t="shared" si="25"/>
        <v>0</v>
      </c>
      <c r="W33" s="34">
        <f t="shared" si="25"/>
        <v>0</v>
      </c>
      <c r="X33" s="34">
        <f t="shared" si="25"/>
        <v>0</v>
      </c>
      <c r="Y33" s="34">
        <f t="shared" si="25"/>
        <v>2</v>
      </c>
      <c r="Z33" s="34">
        <f t="shared" si="25"/>
        <v>3</v>
      </c>
      <c r="AA33" s="34">
        <f t="shared" si="25"/>
        <v>0</v>
      </c>
      <c r="AB33" s="34">
        <f t="shared" si="25"/>
        <v>0</v>
      </c>
      <c r="AC33" s="34">
        <f t="shared" si="25"/>
        <v>77</v>
      </c>
      <c r="AD33" s="34">
        <f t="shared" si="25"/>
        <v>0</v>
      </c>
      <c r="AE33" s="31">
        <f t="shared" si="25"/>
        <v>27</v>
      </c>
      <c r="AF33" s="31">
        <f t="shared" si="25"/>
        <v>104</v>
      </c>
    </row>
    <row r="34" spans="2:32" ht="23.1" customHeight="1" x14ac:dyDescent="0.25">
      <c r="B34" s="46" t="s">
        <v>61</v>
      </c>
      <c r="C34" s="50">
        <v>94</v>
      </c>
      <c r="D34" s="50">
        <v>30</v>
      </c>
      <c r="E34" s="50">
        <v>10</v>
      </c>
      <c r="F34" s="50">
        <v>26</v>
      </c>
      <c r="G34" s="50">
        <v>0</v>
      </c>
      <c r="H34" s="50">
        <v>0</v>
      </c>
      <c r="I34" s="50">
        <v>1</v>
      </c>
      <c r="J34" s="50">
        <v>1</v>
      </c>
      <c r="K34" s="50">
        <v>0</v>
      </c>
      <c r="L34" s="50">
        <v>0</v>
      </c>
      <c r="M34" s="50">
        <v>100</v>
      </c>
      <c r="N34" s="50">
        <v>0</v>
      </c>
      <c r="O34" s="15">
        <f t="shared" si="0"/>
        <v>162</v>
      </c>
      <c r="P34" s="15">
        <f t="shared" si="1"/>
        <v>262</v>
      </c>
      <c r="R34" s="38" t="s">
        <v>90</v>
      </c>
      <c r="S34" s="39">
        <f t="shared" ref="S34:AF34" si="26">MAX(S10:S12)</f>
        <v>204</v>
      </c>
      <c r="T34" s="39">
        <f t="shared" si="26"/>
        <v>91</v>
      </c>
      <c r="U34" s="39">
        <f t="shared" si="26"/>
        <v>17</v>
      </c>
      <c r="V34" s="39">
        <f t="shared" si="26"/>
        <v>10</v>
      </c>
      <c r="W34" s="39">
        <f t="shared" si="26"/>
        <v>1</v>
      </c>
      <c r="X34" s="39">
        <f t="shared" si="26"/>
        <v>0</v>
      </c>
      <c r="Y34" s="39">
        <f t="shared" si="26"/>
        <v>17</v>
      </c>
      <c r="Z34" s="39">
        <f t="shared" si="26"/>
        <v>6</v>
      </c>
      <c r="AA34" s="39">
        <f t="shared" si="26"/>
        <v>1</v>
      </c>
      <c r="AB34" s="39">
        <f t="shared" si="26"/>
        <v>1</v>
      </c>
      <c r="AC34" s="39">
        <f t="shared" si="26"/>
        <v>597</v>
      </c>
      <c r="AD34" s="39">
        <f t="shared" si="26"/>
        <v>0</v>
      </c>
      <c r="AE34" s="40">
        <f t="shared" si="26"/>
        <v>345</v>
      </c>
      <c r="AF34" s="40">
        <f t="shared" si="26"/>
        <v>855</v>
      </c>
    </row>
    <row r="35" spans="2:32" ht="23.1" customHeight="1" x14ac:dyDescent="0.25">
      <c r="B35" s="46" t="s">
        <v>62</v>
      </c>
      <c r="C35" s="50">
        <v>98</v>
      </c>
      <c r="D35" s="50">
        <v>27</v>
      </c>
      <c r="E35" s="50">
        <v>12</v>
      </c>
      <c r="F35" s="50">
        <v>3</v>
      </c>
      <c r="G35" s="50">
        <v>1</v>
      </c>
      <c r="H35" s="50">
        <v>0</v>
      </c>
      <c r="I35" s="50">
        <v>5</v>
      </c>
      <c r="J35" s="50">
        <v>2</v>
      </c>
      <c r="K35" s="50">
        <v>1</v>
      </c>
      <c r="L35" s="50">
        <v>0</v>
      </c>
      <c r="M35" s="50">
        <v>157</v>
      </c>
      <c r="N35" s="50">
        <v>0</v>
      </c>
      <c r="O35" s="15">
        <f t="shared" si="0"/>
        <v>149</v>
      </c>
      <c r="P35" s="15">
        <f t="shared" si="1"/>
        <v>306</v>
      </c>
      <c r="R35" s="38" t="s">
        <v>91</v>
      </c>
      <c r="S35" s="39">
        <f t="shared" ref="S35:AF35" si="27">MAX(S13:S18)</f>
        <v>450</v>
      </c>
      <c r="T35" s="39">
        <f t="shared" si="27"/>
        <v>166</v>
      </c>
      <c r="U35" s="39">
        <f t="shared" si="27"/>
        <v>46</v>
      </c>
      <c r="V35" s="39">
        <f t="shared" si="27"/>
        <v>36</v>
      </c>
      <c r="W35" s="39">
        <f t="shared" si="27"/>
        <v>3</v>
      </c>
      <c r="X35" s="39">
        <f t="shared" si="27"/>
        <v>2</v>
      </c>
      <c r="Y35" s="39">
        <f t="shared" si="27"/>
        <v>14</v>
      </c>
      <c r="Z35" s="39">
        <f t="shared" si="27"/>
        <v>9</v>
      </c>
      <c r="AA35" s="39">
        <f t="shared" si="27"/>
        <v>3</v>
      </c>
      <c r="AB35" s="39">
        <f t="shared" si="27"/>
        <v>2</v>
      </c>
      <c r="AC35" s="39">
        <f t="shared" si="27"/>
        <v>645</v>
      </c>
      <c r="AD35" s="39">
        <f t="shared" si="27"/>
        <v>0</v>
      </c>
      <c r="AE35" s="40">
        <f t="shared" si="27"/>
        <v>670</v>
      </c>
      <c r="AF35" s="40">
        <f t="shared" si="27"/>
        <v>1315</v>
      </c>
    </row>
    <row r="36" spans="2:32" ht="23.1" customHeight="1" x14ac:dyDescent="0.25">
      <c r="B36" s="46" t="s">
        <v>63</v>
      </c>
      <c r="C36" s="50">
        <v>99</v>
      </c>
      <c r="D36" s="50">
        <v>50</v>
      </c>
      <c r="E36" s="50">
        <v>10</v>
      </c>
      <c r="F36" s="50">
        <v>3</v>
      </c>
      <c r="G36" s="50">
        <v>1</v>
      </c>
      <c r="H36" s="50">
        <v>0</v>
      </c>
      <c r="I36" s="50">
        <v>2</v>
      </c>
      <c r="J36" s="50">
        <v>1</v>
      </c>
      <c r="K36" s="50">
        <v>0</v>
      </c>
      <c r="L36" s="50">
        <v>0</v>
      </c>
      <c r="M36" s="50">
        <v>140</v>
      </c>
      <c r="N36" s="50">
        <v>0</v>
      </c>
      <c r="O36" s="15">
        <f t="shared" si="0"/>
        <v>166</v>
      </c>
      <c r="P36" s="15">
        <f t="shared" si="1"/>
        <v>306</v>
      </c>
      <c r="R36" s="38" t="s">
        <v>92</v>
      </c>
      <c r="S36" s="39">
        <f t="shared" ref="S36:AF36" si="28">MAX(S19:S21)</f>
        <v>429</v>
      </c>
      <c r="T36" s="39">
        <f t="shared" si="28"/>
        <v>121</v>
      </c>
      <c r="U36" s="39">
        <f t="shared" si="28"/>
        <v>35</v>
      </c>
      <c r="V36" s="39">
        <f t="shared" si="28"/>
        <v>13</v>
      </c>
      <c r="W36" s="39">
        <f t="shared" si="28"/>
        <v>2</v>
      </c>
      <c r="X36" s="39">
        <f t="shared" si="28"/>
        <v>0</v>
      </c>
      <c r="Y36" s="39">
        <f t="shared" si="28"/>
        <v>8</v>
      </c>
      <c r="Z36" s="39">
        <f t="shared" si="28"/>
        <v>8</v>
      </c>
      <c r="AA36" s="39">
        <f t="shared" si="28"/>
        <v>2</v>
      </c>
      <c r="AB36" s="39">
        <f t="shared" si="28"/>
        <v>1</v>
      </c>
      <c r="AC36" s="39">
        <f t="shared" si="28"/>
        <v>740</v>
      </c>
      <c r="AD36" s="39">
        <f t="shared" si="28"/>
        <v>0</v>
      </c>
      <c r="AE36" s="40">
        <f t="shared" si="28"/>
        <v>601</v>
      </c>
      <c r="AF36" s="40">
        <f t="shared" si="28"/>
        <v>1341</v>
      </c>
    </row>
    <row r="37" spans="2:32" ht="23.1" customHeight="1" x14ac:dyDescent="0.25">
      <c r="B37" s="45" t="s">
        <v>64</v>
      </c>
      <c r="C37" s="50">
        <v>93</v>
      </c>
      <c r="D37" s="50">
        <v>45</v>
      </c>
      <c r="E37" s="50">
        <v>6</v>
      </c>
      <c r="F37" s="50">
        <v>4</v>
      </c>
      <c r="G37" s="50">
        <v>1</v>
      </c>
      <c r="H37" s="50">
        <v>0</v>
      </c>
      <c r="I37" s="50">
        <v>5</v>
      </c>
      <c r="J37" s="50">
        <v>2</v>
      </c>
      <c r="K37" s="50">
        <v>0</v>
      </c>
      <c r="L37" s="50">
        <v>0</v>
      </c>
      <c r="M37" s="50">
        <v>235</v>
      </c>
      <c r="N37" s="50">
        <v>0</v>
      </c>
      <c r="O37" s="15">
        <f t="shared" si="0"/>
        <v>156</v>
      </c>
      <c r="P37" s="15">
        <f t="shared" si="1"/>
        <v>391</v>
      </c>
      <c r="R37" s="37" t="s">
        <v>85</v>
      </c>
      <c r="S37" s="35">
        <f t="shared" ref="S37:AF37" si="29">SUM(S10:S12)</f>
        <v>394</v>
      </c>
      <c r="T37" s="16">
        <f t="shared" si="29"/>
        <v>174</v>
      </c>
      <c r="U37" s="16">
        <f t="shared" si="29"/>
        <v>40</v>
      </c>
      <c r="V37" s="16">
        <f t="shared" si="29"/>
        <v>26</v>
      </c>
      <c r="W37" s="16">
        <f t="shared" si="29"/>
        <v>2</v>
      </c>
      <c r="X37" s="16">
        <f t="shared" si="29"/>
        <v>0</v>
      </c>
      <c r="Y37" s="16">
        <f t="shared" si="29"/>
        <v>27</v>
      </c>
      <c r="Z37" s="16">
        <f t="shared" si="29"/>
        <v>13</v>
      </c>
      <c r="AA37" s="16">
        <f t="shared" si="29"/>
        <v>3</v>
      </c>
      <c r="AB37" s="16">
        <f t="shared" si="29"/>
        <v>1</v>
      </c>
      <c r="AC37" s="16">
        <f t="shared" si="29"/>
        <v>1291</v>
      </c>
      <c r="AD37" s="16">
        <f t="shared" si="29"/>
        <v>0</v>
      </c>
      <c r="AE37" s="32">
        <f t="shared" si="29"/>
        <v>680</v>
      </c>
      <c r="AF37" s="32">
        <f t="shared" si="29"/>
        <v>1971</v>
      </c>
    </row>
    <row r="38" spans="2:32" ht="23.1" customHeight="1" x14ac:dyDescent="0.25">
      <c r="B38" s="46" t="s">
        <v>65</v>
      </c>
      <c r="C38" s="50">
        <v>126</v>
      </c>
      <c r="D38" s="50">
        <v>30</v>
      </c>
      <c r="E38" s="50">
        <v>6</v>
      </c>
      <c r="F38" s="50">
        <v>4</v>
      </c>
      <c r="G38" s="50">
        <v>0</v>
      </c>
      <c r="H38" s="50">
        <v>0</v>
      </c>
      <c r="I38" s="50">
        <v>3</v>
      </c>
      <c r="J38" s="50">
        <v>2</v>
      </c>
      <c r="K38" s="50">
        <v>0</v>
      </c>
      <c r="L38" s="50">
        <v>0</v>
      </c>
      <c r="M38" s="50">
        <v>155</v>
      </c>
      <c r="N38" s="50">
        <v>0</v>
      </c>
      <c r="O38" s="15">
        <f t="shared" si="0"/>
        <v>171</v>
      </c>
      <c r="P38" s="15">
        <f t="shared" si="1"/>
        <v>326</v>
      </c>
      <c r="R38" s="28" t="s">
        <v>86</v>
      </c>
      <c r="S38" s="16">
        <f t="shared" ref="S38:AF38" si="30">SUM(S13:S18)</f>
        <v>2127</v>
      </c>
      <c r="T38" s="16">
        <f t="shared" si="30"/>
        <v>858</v>
      </c>
      <c r="U38" s="16">
        <f t="shared" si="30"/>
        <v>209</v>
      </c>
      <c r="V38" s="16">
        <f t="shared" si="30"/>
        <v>120</v>
      </c>
      <c r="W38" s="16">
        <f t="shared" si="30"/>
        <v>6</v>
      </c>
      <c r="X38" s="16">
        <f t="shared" si="30"/>
        <v>2</v>
      </c>
      <c r="Y38" s="16">
        <f t="shared" si="30"/>
        <v>61</v>
      </c>
      <c r="Z38" s="16">
        <f t="shared" si="30"/>
        <v>33</v>
      </c>
      <c r="AA38" s="16">
        <f t="shared" si="30"/>
        <v>5</v>
      </c>
      <c r="AB38" s="16">
        <f t="shared" si="30"/>
        <v>3</v>
      </c>
      <c r="AC38" s="16">
        <f t="shared" si="30"/>
        <v>3240</v>
      </c>
      <c r="AD38" s="16">
        <f t="shared" si="30"/>
        <v>0</v>
      </c>
      <c r="AE38" s="32">
        <f t="shared" si="30"/>
        <v>3424</v>
      </c>
      <c r="AF38" s="32">
        <f t="shared" si="30"/>
        <v>6664</v>
      </c>
    </row>
    <row r="39" spans="2:32" ht="23.1" customHeight="1" x14ac:dyDescent="0.25">
      <c r="B39" s="46" t="s">
        <v>66</v>
      </c>
      <c r="C39" s="50">
        <v>102</v>
      </c>
      <c r="D39" s="50">
        <v>45</v>
      </c>
      <c r="E39" s="50">
        <v>5</v>
      </c>
      <c r="F39" s="50">
        <v>3</v>
      </c>
      <c r="G39" s="50">
        <v>0</v>
      </c>
      <c r="H39" s="50">
        <v>0</v>
      </c>
      <c r="I39" s="50">
        <v>6</v>
      </c>
      <c r="J39" s="50">
        <v>1</v>
      </c>
      <c r="K39" s="50">
        <v>0</v>
      </c>
      <c r="L39" s="50">
        <v>0</v>
      </c>
      <c r="M39" s="50">
        <v>146</v>
      </c>
      <c r="N39" s="50">
        <v>0</v>
      </c>
      <c r="O39" s="15">
        <f t="shared" si="0"/>
        <v>162</v>
      </c>
      <c r="P39" s="15">
        <f t="shared" si="1"/>
        <v>308</v>
      </c>
      <c r="R39" s="29" t="s">
        <v>87</v>
      </c>
      <c r="S39" s="16">
        <f t="shared" ref="S39:AF39" si="31">SUM(S19:S21)</f>
        <v>1164</v>
      </c>
      <c r="T39" s="16">
        <f t="shared" si="31"/>
        <v>341</v>
      </c>
      <c r="U39" s="16">
        <f t="shared" si="31"/>
        <v>79</v>
      </c>
      <c r="V39" s="16">
        <f t="shared" si="31"/>
        <v>38</v>
      </c>
      <c r="W39" s="16">
        <f t="shared" si="31"/>
        <v>3</v>
      </c>
      <c r="X39" s="16">
        <f t="shared" si="31"/>
        <v>0</v>
      </c>
      <c r="Y39" s="16">
        <f t="shared" si="31"/>
        <v>20</v>
      </c>
      <c r="Z39" s="16">
        <f t="shared" si="31"/>
        <v>13</v>
      </c>
      <c r="AA39" s="16">
        <f t="shared" si="31"/>
        <v>4</v>
      </c>
      <c r="AB39" s="16">
        <f t="shared" si="31"/>
        <v>3</v>
      </c>
      <c r="AC39" s="16">
        <f t="shared" si="31"/>
        <v>1857</v>
      </c>
      <c r="AD39" s="16">
        <f t="shared" si="31"/>
        <v>0</v>
      </c>
      <c r="AE39" s="32">
        <f t="shared" si="31"/>
        <v>1665</v>
      </c>
      <c r="AF39" s="32">
        <f t="shared" si="31"/>
        <v>3522</v>
      </c>
    </row>
    <row r="40" spans="2:32" ht="23.1" customHeight="1" x14ac:dyDescent="0.25">
      <c r="B40" s="46" t="s">
        <v>67</v>
      </c>
      <c r="C40" s="50">
        <v>108</v>
      </c>
      <c r="D40" s="50">
        <v>36</v>
      </c>
      <c r="E40" s="50">
        <v>11</v>
      </c>
      <c r="F40" s="50">
        <v>4</v>
      </c>
      <c r="G40" s="50">
        <v>0</v>
      </c>
      <c r="H40" s="50">
        <v>0</v>
      </c>
      <c r="I40" s="50">
        <v>2</v>
      </c>
      <c r="J40" s="50">
        <v>1</v>
      </c>
      <c r="K40" s="50">
        <v>0</v>
      </c>
      <c r="L40" s="50">
        <v>1</v>
      </c>
      <c r="M40" s="50">
        <v>155</v>
      </c>
      <c r="N40" s="50">
        <v>0</v>
      </c>
      <c r="O40" s="15">
        <f t="shared" si="0"/>
        <v>163</v>
      </c>
      <c r="P40" s="15">
        <f t="shared" si="1"/>
        <v>318</v>
      </c>
      <c r="R40" s="5" t="s">
        <v>17</v>
      </c>
      <c r="S40" s="16">
        <f t="shared" ref="S40:AF40" si="32">SUM(S10:S21)</f>
        <v>3685</v>
      </c>
      <c r="T40" s="16">
        <f t="shared" si="32"/>
        <v>1373</v>
      </c>
      <c r="U40" s="16">
        <f t="shared" si="32"/>
        <v>328</v>
      </c>
      <c r="V40" s="16">
        <f t="shared" si="32"/>
        <v>184</v>
      </c>
      <c r="W40" s="16">
        <f t="shared" si="32"/>
        <v>11</v>
      </c>
      <c r="X40" s="16">
        <f t="shared" si="32"/>
        <v>2</v>
      </c>
      <c r="Y40" s="16">
        <f t="shared" si="32"/>
        <v>108</v>
      </c>
      <c r="Z40" s="16">
        <f t="shared" si="32"/>
        <v>59</v>
      </c>
      <c r="AA40" s="16">
        <f t="shared" si="32"/>
        <v>12</v>
      </c>
      <c r="AB40" s="16">
        <f t="shared" si="32"/>
        <v>7</v>
      </c>
      <c r="AC40" s="16">
        <f t="shared" si="32"/>
        <v>6388</v>
      </c>
      <c r="AD40" s="16">
        <f t="shared" si="32"/>
        <v>0</v>
      </c>
      <c r="AE40" s="32">
        <f t="shared" si="32"/>
        <v>5769</v>
      </c>
      <c r="AF40" s="32">
        <f t="shared" si="32"/>
        <v>12157</v>
      </c>
    </row>
    <row r="41" spans="2:32" ht="23.1" customHeight="1" x14ac:dyDescent="0.25">
      <c r="B41" s="45" t="s">
        <v>68</v>
      </c>
      <c r="C41" s="50">
        <v>108</v>
      </c>
      <c r="D41" s="50">
        <v>32</v>
      </c>
      <c r="E41" s="50">
        <v>7</v>
      </c>
      <c r="F41" s="50">
        <v>5</v>
      </c>
      <c r="G41" s="50">
        <v>1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142</v>
      </c>
      <c r="N41" s="50">
        <v>0</v>
      </c>
      <c r="O41" s="15">
        <f t="shared" si="0"/>
        <v>158</v>
      </c>
      <c r="P41" s="15">
        <f t="shared" si="1"/>
        <v>300</v>
      </c>
      <c r="R41" s="5" t="s">
        <v>159</v>
      </c>
      <c r="S41" s="16">
        <f>SUM(S10:S33)</f>
        <v>5223</v>
      </c>
      <c r="T41" s="16">
        <f t="shared" ref="T41:AF41" si="33">SUM(T10:T33)</f>
        <v>1557</v>
      </c>
      <c r="U41" s="16">
        <f t="shared" si="33"/>
        <v>408</v>
      </c>
      <c r="V41" s="16">
        <f t="shared" si="33"/>
        <v>190</v>
      </c>
      <c r="W41" s="16">
        <f t="shared" si="33"/>
        <v>11</v>
      </c>
      <c r="X41" s="16">
        <f t="shared" si="33"/>
        <v>2</v>
      </c>
      <c r="Y41" s="16">
        <f t="shared" si="33"/>
        <v>124</v>
      </c>
      <c r="Z41" s="16">
        <f t="shared" si="33"/>
        <v>67</v>
      </c>
      <c r="AA41" s="16">
        <f t="shared" si="33"/>
        <v>16</v>
      </c>
      <c r="AB41" s="16">
        <f t="shared" si="33"/>
        <v>7</v>
      </c>
      <c r="AC41" s="16">
        <f t="shared" si="33"/>
        <v>8630</v>
      </c>
      <c r="AD41" s="16">
        <f t="shared" si="33"/>
        <v>0</v>
      </c>
      <c r="AE41" s="32">
        <f t="shared" si="33"/>
        <v>7605</v>
      </c>
      <c r="AF41" s="32">
        <f t="shared" si="33"/>
        <v>16235</v>
      </c>
    </row>
    <row r="42" spans="2:32" ht="23.1" customHeight="1" x14ac:dyDescent="0.25">
      <c r="B42" s="46" t="s">
        <v>69</v>
      </c>
      <c r="C42" s="50">
        <v>125</v>
      </c>
      <c r="D42" s="50">
        <v>25</v>
      </c>
      <c r="E42" s="50">
        <v>8</v>
      </c>
      <c r="F42" s="50">
        <v>9</v>
      </c>
      <c r="G42" s="50">
        <v>0</v>
      </c>
      <c r="H42" s="50">
        <v>0</v>
      </c>
      <c r="I42" s="50">
        <v>3</v>
      </c>
      <c r="J42" s="50">
        <v>0</v>
      </c>
      <c r="K42" s="50">
        <v>1</v>
      </c>
      <c r="L42" s="50">
        <v>0</v>
      </c>
      <c r="M42" s="50">
        <v>160</v>
      </c>
      <c r="N42" s="50">
        <v>0</v>
      </c>
      <c r="O42" s="15">
        <f t="shared" si="0"/>
        <v>171</v>
      </c>
      <c r="P42" s="15">
        <f t="shared" si="1"/>
        <v>331</v>
      </c>
      <c r="R42" s="5" t="s">
        <v>160</v>
      </c>
      <c r="S42" s="48">
        <f>S41/S40</f>
        <v>1.4173677069199457</v>
      </c>
      <c r="T42" s="48">
        <f t="shared" ref="T42:AF42" si="34">T41/T40</f>
        <v>1.1340131099781501</v>
      </c>
      <c r="U42" s="48">
        <f t="shared" si="34"/>
        <v>1.2439024390243902</v>
      </c>
      <c r="V42" s="48">
        <f t="shared" si="34"/>
        <v>1.0326086956521738</v>
      </c>
      <c r="W42" s="48">
        <f t="shared" si="34"/>
        <v>1</v>
      </c>
      <c r="X42" s="48">
        <f t="shared" si="34"/>
        <v>1</v>
      </c>
      <c r="Y42" s="48">
        <f t="shared" si="34"/>
        <v>1.1481481481481481</v>
      </c>
      <c r="Z42" s="48">
        <f t="shared" si="34"/>
        <v>1.1355932203389831</v>
      </c>
      <c r="AA42" s="48">
        <f t="shared" si="34"/>
        <v>1.3333333333333333</v>
      </c>
      <c r="AB42" s="48">
        <f t="shared" si="34"/>
        <v>1</v>
      </c>
      <c r="AC42" s="48">
        <f t="shared" si="34"/>
        <v>1.3509705698184096</v>
      </c>
      <c r="AD42" s="48" t="e">
        <f t="shared" si="34"/>
        <v>#DIV/0!</v>
      </c>
      <c r="AE42" s="48">
        <f t="shared" si="34"/>
        <v>1.3182527301092044</v>
      </c>
      <c r="AF42" s="48">
        <f t="shared" si="34"/>
        <v>1.3354445998190343</v>
      </c>
    </row>
    <row r="43" spans="2:32" ht="23.1" customHeight="1" x14ac:dyDescent="0.25">
      <c r="B43" s="45" t="s">
        <v>70</v>
      </c>
      <c r="C43" s="50">
        <v>105</v>
      </c>
      <c r="D43" s="50">
        <v>42</v>
      </c>
      <c r="E43" s="50">
        <v>7</v>
      </c>
      <c r="F43" s="50">
        <v>6</v>
      </c>
      <c r="G43" s="50">
        <v>0</v>
      </c>
      <c r="H43" s="50">
        <v>0</v>
      </c>
      <c r="I43" s="50">
        <v>1</v>
      </c>
      <c r="J43" s="50">
        <v>1</v>
      </c>
      <c r="K43" s="50">
        <v>0</v>
      </c>
      <c r="L43" s="50">
        <v>0</v>
      </c>
      <c r="M43" s="50">
        <v>140</v>
      </c>
      <c r="N43" s="50">
        <v>0</v>
      </c>
      <c r="O43" s="15">
        <f t="shared" si="0"/>
        <v>162</v>
      </c>
      <c r="P43" s="15">
        <f t="shared" si="1"/>
        <v>302</v>
      </c>
    </row>
    <row r="44" spans="2:32" ht="23.1" customHeight="1" x14ac:dyDescent="0.25">
      <c r="B44" s="47" t="s">
        <v>71</v>
      </c>
      <c r="C44" s="50">
        <v>115</v>
      </c>
      <c r="D44" s="50">
        <v>42</v>
      </c>
      <c r="E44" s="50">
        <v>3</v>
      </c>
      <c r="F44" s="50">
        <v>3</v>
      </c>
      <c r="G44" s="50">
        <v>0</v>
      </c>
      <c r="H44" s="50">
        <v>0</v>
      </c>
      <c r="I44" s="50">
        <v>2</v>
      </c>
      <c r="J44" s="50">
        <v>1</v>
      </c>
      <c r="K44" s="50">
        <v>0</v>
      </c>
      <c r="L44" s="50">
        <v>0</v>
      </c>
      <c r="M44" s="50">
        <v>220</v>
      </c>
      <c r="N44" s="50">
        <v>0</v>
      </c>
      <c r="O44" s="15">
        <f t="shared" si="0"/>
        <v>166</v>
      </c>
      <c r="P44" s="15">
        <f t="shared" si="1"/>
        <v>386</v>
      </c>
    </row>
    <row r="45" spans="2:32" ht="23.1" customHeight="1" x14ac:dyDescent="0.25">
      <c r="B45" s="45" t="s">
        <v>72</v>
      </c>
      <c r="C45" s="50">
        <v>105</v>
      </c>
      <c r="D45" s="50">
        <v>42</v>
      </c>
      <c r="E45" s="50">
        <v>15</v>
      </c>
      <c r="F45" s="50">
        <v>4</v>
      </c>
      <c r="G45" s="50">
        <v>0</v>
      </c>
      <c r="H45" s="50">
        <v>0</v>
      </c>
      <c r="I45" s="50">
        <v>2</v>
      </c>
      <c r="J45" s="50">
        <v>1</v>
      </c>
      <c r="K45" s="50">
        <v>2</v>
      </c>
      <c r="L45" s="50">
        <v>0</v>
      </c>
      <c r="M45" s="50">
        <v>125</v>
      </c>
      <c r="N45" s="50">
        <v>0</v>
      </c>
      <c r="O45" s="15">
        <f t="shared" si="0"/>
        <v>171</v>
      </c>
      <c r="P45" s="15">
        <f t="shared" si="1"/>
        <v>296</v>
      </c>
    </row>
    <row r="46" spans="2:32" ht="23.1" customHeight="1" x14ac:dyDescent="0.25">
      <c r="B46" s="46" t="s">
        <v>73</v>
      </c>
      <c r="C46" s="50">
        <v>101</v>
      </c>
      <c r="D46" s="50">
        <v>22</v>
      </c>
      <c r="E46" s="50">
        <v>11</v>
      </c>
      <c r="F46" s="50">
        <v>2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132</v>
      </c>
      <c r="N46" s="50">
        <v>0</v>
      </c>
      <c r="O46" s="15">
        <f t="shared" si="0"/>
        <v>139</v>
      </c>
      <c r="P46" s="15">
        <f t="shared" si="1"/>
        <v>271</v>
      </c>
      <c r="R46" s="8"/>
      <c r="T46"/>
    </row>
    <row r="47" spans="2:32" ht="23.1" customHeight="1" x14ac:dyDescent="0.25">
      <c r="B47" s="46" t="s">
        <v>74</v>
      </c>
      <c r="C47" s="50">
        <v>103</v>
      </c>
      <c r="D47" s="50">
        <v>30</v>
      </c>
      <c r="E47" s="50">
        <v>9</v>
      </c>
      <c r="F47" s="50">
        <v>2</v>
      </c>
      <c r="G47" s="50">
        <v>2</v>
      </c>
      <c r="H47" s="50">
        <v>0</v>
      </c>
      <c r="I47" s="50">
        <v>0</v>
      </c>
      <c r="J47" s="50">
        <v>2</v>
      </c>
      <c r="K47" s="50">
        <v>1</v>
      </c>
      <c r="L47" s="50">
        <v>0</v>
      </c>
      <c r="M47" s="50">
        <v>120</v>
      </c>
      <c r="N47" s="50">
        <v>0</v>
      </c>
      <c r="O47" s="15">
        <f t="shared" si="0"/>
        <v>149</v>
      </c>
      <c r="P47" s="15">
        <f t="shared" si="1"/>
        <v>269</v>
      </c>
      <c r="R47" s="8"/>
      <c r="T47"/>
    </row>
    <row r="48" spans="2:32" ht="23.1" customHeight="1" x14ac:dyDescent="0.25">
      <c r="B48" s="46" t="s">
        <v>75</v>
      </c>
      <c r="C48" s="50">
        <v>73</v>
      </c>
      <c r="D48" s="50">
        <v>20</v>
      </c>
      <c r="E48" s="50">
        <v>7</v>
      </c>
      <c r="F48" s="50">
        <v>4</v>
      </c>
      <c r="G48" s="50">
        <v>0</v>
      </c>
      <c r="H48" s="50">
        <v>0</v>
      </c>
      <c r="I48" s="50">
        <v>3</v>
      </c>
      <c r="J48" s="50">
        <v>0</v>
      </c>
      <c r="K48" s="50">
        <v>0</v>
      </c>
      <c r="L48" s="50">
        <v>0</v>
      </c>
      <c r="M48" s="50">
        <v>130</v>
      </c>
      <c r="N48" s="50">
        <v>0</v>
      </c>
      <c r="O48" s="15">
        <f t="shared" si="0"/>
        <v>107</v>
      </c>
      <c r="P48" s="15">
        <f t="shared" si="1"/>
        <v>237</v>
      </c>
      <c r="R48" s="8"/>
      <c r="T48"/>
    </row>
    <row r="49" spans="2:20" ht="23.1" customHeight="1" x14ac:dyDescent="0.25">
      <c r="B49" s="45" t="s">
        <v>76</v>
      </c>
      <c r="C49" s="50">
        <v>82</v>
      </c>
      <c r="D49" s="50">
        <v>33</v>
      </c>
      <c r="E49" s="50">
        <v>8</v>
      </c>
      <c r="F49" s="50">
        <v>5</v>
      </c>
      <c r="G49" s="50">
        <v>0</v>
      </c>
      <c r="H49" s="50">
        <v>0</v>
      </c>
      <c r="I49" s="50">
        <v>2</v>
      </c>
      <c r="J49" s="50">
        <v>1</v>
      </c>
      <c r="K49" s="50">
        <v>1</v>
      </c>
      <c r="L49" s="50">
        <v>1</v>
      </c>
      <c r="M49" s="50">
        <v>135</v>
      </c>
      <c r="N49" s="50">
        <v>0</v>
      </c>
      <c r="O49" s="15">
        <f t="shared" si="0"/>
        <v>133</v>
      </c>
      <c r="P49" s="15">
        <f t="shared" si="1"/>
        <v>268</v>
      </c>
      <c r="R49" s="8"/>
      <c r="T49"/>
    </row>
    <row r="50" spans="2:20" ht="23.1" customHeight="1" x14ac:dyDescent="0.25">
      <c r="B50" s="46" t="s">
        <v>77</v>
      </c>
      <c r="C50" s="50">
        <v>99</v>
      </c>
      <c r="D50" s="50">
        <v>29</v>
      </c>
      <c r="E50" s="50">
        <v>7</v>
      </c>
      <c r="F50" s="50">
        <v>0</v>
      </c>
      <c r="G50" s="50">
        <v>1</v>
      </c>
      <c r="H50" s="50">
        <v>0</v>
      </c>
      <c r="I50" s="50">
        <v>2</v>
      </c>
      <c r="J50" s="50">
        <v>0</v>
      </c>
      <c r="K50" s="50">
        <v>1</v>
      </c>
      <c r="L50" s="50">
        <v>1</v>
      </c>
      <c r="M50" s="50">
        <v>170</v>
      </c>
      <c r="N50" s="50">
        <v>0</v>
      </c>
      <c r="O50" s="15">
        <f t="shared" si="0"/>
        <v>140</v>
      </c>
      <c r="P50" s="15">
        <f t="shared" si="1"/>
        <v>310</v>
      </c>
      <c r="R50" s="8"/>
      <c r="T50"/>
    </row>
    <row r="51" spans="2:20" ht="23.1" customHeight="1" x14ac:dyDescent="0.25">
      <c r="B51" s="46" t="s">
        <v>78</v>
      </c>
      <c r="C51" s="50">
        <v>81</v>
      </c>
      <c r="D51" s="50">
        <v>26</v>
      </c>
      <c r="E51" s="50">
        <v>7</v>
      </c>
      <c r="F51" s="50">
        <v>6</v>
      </c>
      <c r="G51" s="50">
        <v>0</v>
      </c>
      <c r="H51" s="50">
        <v>0</v>
      </c>
      <c r="I51" s="50">
        <v>1</v>
      </c>
      <c r="J51" s="50">
        <v>1</v>
      </c>
      <c r="K51" s="50">
        <v>0</v>
      </c>
      <c r="L51" s="50">
        <v>0</v>
      </c>
      <c r="M51" s="50">
        <v>180</v>
      </c>
      <c r="N51" s="50">
        <v>0</v>
      </c>
      <c r="O51" s="15">
        <f t="shared" si="0"/>
        <v>122</v>
      </c>
      <c r="P51" s="15">
        <f t="shared" si="1"/>
        <v>302</v>
      </c>
      <c r="R51" s="8"/>
      <c r="T51"/>
    </row>
    <row r="52" spans="2:20" ht="23.1" customHeight="1" x14ac:dyDescent="0.25">
      <c r="B52" s="46" t="s">
        <v>79</v>
      </c>
      <c r="C52" s="50">
        <v>87</v>
      </c>
      <c r="D52" s="50">
        <v>29</v>
      </c>
      <c r="E52" s="50">
        <v>5</v>
      </c>
      <c r="F52" s="50">
        <v>2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120</v>
      </c>
      <c r="N52" s="50">
        <v>0</v>
      </c>
      <c r="O52" s="15">
        <f t="shared" si="0"/>
        <v>125</v>
      </c>
      <c r="P52" s="15">
        <f t="shared" si="1"/>
        <v>245</v>
      </c>
      <c r="R52" s="8"/>
      <c r="T52"/>
    </row>
    <row r="53" spans="2:20" ht="23.1" customHeight="1" x14ac:dyDescent="0.25">
      <c r="B53" s="45" t="s">
        <v>80</v>
      </c>
      <c r="C53" s="50">
        <v>109</v>
      </c>
      <c r="D53" s="50">
        <v>31</v>
      </c>
      <c r="E53" s="50">
        <v>4</v>
      </c>
      <c r="F53" s="50">
        <v>5</v>
      </c>
      <c r="G53" s="50">
        <v>0</v>
      </c>
      <c r="H53" s="50">
        <v>0</v>
      </c>
      <c r="I53" s="50">
        <v>0</v>
      </c>
      <c r="J53" s="50">
        <v>0</v>
      </c>
      <c r="K53" s="50">
        <v>0</v>
      </c>
      <c r="L53" s="50">
        <v>0</v>
      </c>
      <c r="M53" s="50">
        <v>130</v>
      </c>
      <c r="N53" s="50">
        <v>0</v>
      </c>
      <c r="O53" s="15">
        <f t="shared" si="0"/>
        <v>149</v>
      </c>
      <c r="P53" s="15">
        <f t="shared" si="1"/>
        <v>279</v>
      </c>
      <c r="R53" s="8"/>
      <c r="T53"/>
    </row>
    <row r="54" spans="2:20" ht="23.1" customHeight="1" x14ac:dyDescent="0.25">
      <c r="B54" s="45" t="s">
        <v>81</v>
      </c>
      <c r="C54" s="50">
        <v>105</v>
      </c>
      <c r="D54" s="50">
        <v>36</v>
      </c>
      <c r="E54" s="50">
        <v>6</v>
      </c>
      <c r="F54" s="50">
        <v>3</v>
      </c>
      <c r="G54" s="50">
        <v>0</v>
      </c>
      <c r="H54" s="50">
        <v>0</v>
      </c>
      <c r="I54" s="50">
        <v>6</v>
      </c>
      <c r="J54" s="50">
        <v>1</v>
      </c>
      <c r="K54" s="50">
        <v>0</v>
      </c>
      <c r="L54" s="50">
        <v>0</v>
      </c>
      <c r="M54" s="50">
        <v>160</v>
      </c>
      <c r="N54" s="50">
        <v>0</v>
      </c>
      <c r="O54" s="15">
        <f t="shared" si="0"/>
        <v>157</v>
      </c>
      <c r="P54" s="15">
        <f t="shared" si="1"/>
        <v>317</v>
      </c>
      <c r="R54" s="8"/>
      <c r="T54"/>
    </row>
    <row r="55" spans="2:20" ht="23.1" customHeight="1" x14ac:dyDescent="0.25">
      <c r="B55" s="45" t="s">
        <v>82</v>
      </c>
      <c r="C55" s="50">
        <v>104</v>
      </c>
      <c r="D55" s="50">
        <v>29</v>
      </c>
      <c r="E55" s="50">
        <v>3</v>
      </c>
      <c r="F55" s="50">
        <v>2</v>
      </c>
      <c r="G55" s="50">
        <v>0</v>
      </c>
      <c r="H55" s="50">
        <v>0</v>
      </c>
      <c r="I55" s="50">
        <v>2</v>
      </c>
      <c r="J55" s="50">
        <v>1</v>
      </c>
      <c r="K55" s="50">
        <v>0</v>
      </c>
      <c r="L55" s="50">
        <v>0</v>
      </c>
      <c r="M55" s="50">
        <v>180</v>
      </c>
      <c r="N55" s="50">
        <v>0</v>
      </c>
      <c r="O55" s="15">
        <f t="shared" si="0"/>
        <v>141</v>
      </c>
      <c r="P55" s="15">
        <f t="shared" si="1"/>
        <v>321</v>
      </c>
      <c r="R55" s="8"/>
      <c r="T55"/>
    </row>
    <row r="56" spans="2:20" ht="23.1" customHeight="1" x14ac:dyDescent="0.25">
      <c r="B56" s="45" t="s">
        <v>83</v>
      </c>
      <c r="C56" s="50">
        <v>107</v>
      </c>
      <c r="D56" s="50">
        <v>25</v>
      </c>
      <c r="E56" s="50">
        <v>5</v>
      </c>
      <c r="F56" s="50">
        <v>3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220</v>
      </c>
      <c r="N56" s="50">
        <v>0</v>
      </c>
      <c r="O56" s="15">
        <f t="shared" si="0"/>
        <v>141</v>
      </c>
      <c r="P56" s="15">
        <f t="shared" si="1"/>
        <v>361</v>
      </c>
      <c r="R56" s="8"/>
      <c r="T56"/>
    </row>
    <row r="57" spans="2:20" ht="23.1" customHeight="1" x14ac:dyDescent="0.25">
      <c r="B57" s="45" t="s">
        <v>84</v>
      </c>
      <c r="C57" s="50">
        <v>113</v>
      </c>
      <c r="D57" s="50">
        <v>31</v>
      </c>
      <c r="E57" s="50">
        <v>7</v>
      </c>
      <c r="F57" s="50">
        <v>4</v>
      </c>
      <c r="G57" s="50">
        <v>0</v>
      </c>
      <c r="H57" s="50">
        <v>0</v>
      </c>
      <c r="I57" s="50">
        <v>0</v>
      </c>
      <c r="J57" s="50">
        <v>5</v>
      </c>
      <c r="K57" s="50">
        <v>1</v>
      </c>
      <c r="L57" s="50">
        <v>1</v>
      </c>
      <c r="M57" s="50">
        <v>180</v>
      </c>
      <c r="N57" s="50">
        <v>0</v>
      </c>
      <c r="O57" s="15">
        <f t="shared" si="0"/>
        <v>162</v>
      </c>
      <c r="P57" s="15">
        <f t="shared" si="1"/>
        <v>342</v>
      </c>
      <c r="R57" s="8"/>
      <c r="T57"/>
    </row>
    <row r="58" spans="2:20" ht="23.1" customHeight="1" x14ac:dyDescent="0.25">
      <c r="B58" s="45" t="s">
        <v>99</v>
      </c>
      <c r="C58" s="50">
        <v>97</v>
      </c>
      <c r="D58" s="50">
        <v>39</v>
      </c>
      <c r="E58" s="50">
        <v>6</v>
      </c>
      <c r="F58" s="50">
        <v>2</v>
      </c>
      <c r="G58" s="50">
        <v>0</v>
      </c>
      <c r="H58" s="50">
        <v>0</v>
      </c>
      <c r="I58" s="50">
        <v>2</v>
      </c>
      <c r="J58" s="50">
        <v>1</v>
      </c>
      <c r="K58" s="50">
        <v>1</v>
      </c>
      <c r="L58" s="50">
        <v>0</v>
      </c>
      <c r="M58" s="50">
        <v>134</v>
      </c>
      <c r="N58" s="50">
        <v>0</v>
      </c>
      <c r="O58" s="15">
        <f t="shared" si="0"/>
        <v>148</v>
      </c>
      <c r="P58" s="15">
        <f t="shared" si="1"/>
        <v>282</v>
      </c>
      <c r="R58" s="8"/>
      <c r="T58"/>
    </row>
    <row r="59" spans="2:20" ht="23.1" customHeight="1" x14ac:dyDescent="0.25">
      <c r="B59" s="45" t="s">
        <v>100</v>
      </c>
      <c r="C59" s="50">
        <v>52</v>
      </c>
      <c r="D59" s="50">
        <v>22</v>
      </c>
      <c r="E59" s="50">
        <v>3</v>
      </c>
      <c r="F59" s="50">
        <v>1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82</v>
      </c>
      <c r="N59" s="50">
        <v>0</v>
      </c>
      <c r="O59" s="15">
        <f t="shared" si="0"/>
        <v>78</v>
      </c>
      <c r="P59" s="15">
        <f t="shared" si="1"/>
        <v>160</v>
      </c>
      <c r="R59" s="8"/>
      <c r="T59"/>
    </row>
    <row r="60" spans="2:20" ht="23.1" customHeight="1" x14ac:dyDescent="0.25">
      <c r="B60" s="45" t="s">
        <v>101</v>
      </c>
      <c r="C60" s="50">
        <v>64</v>
      </c>
      <c r="D60" s="50">
        <v>13</v>
      </c>
      <c r="E60" s="50">
        <v>6</v>
      </c>
      <c r="F60" s="50">
        <v>0</v>
      </c>
      <c r="G60" s="50">
        <v>0</v>
      </c>
      <c r="H60" s="50">
        <v>0</v>
      </c>
      <c r="I60" s="50">
        <v>0</v>
      </c>
      <c r="J60" s="50">
        <v>1</v>
      </c>
      <c r="K60" s="50">
        <v>0</v>
      </c>
      <c r="L60" s="50">
        <v>0</v>
      </c>
      <c r="M60" s="50">
        <v>51</v>
      </c>
      <c r="N60" s="50">
        <v>0</v>
      </c>
      <c r="O60" s="15">
        <f t="shared" si="0"/>
        <v>84</v>
      </c>
      <c r="P60" s="15">
        <f t="shared" si="1"/>
        <v>135</v>
      </c>
      <c r="R60" s="8"/>
      <c r="T60"/>
    </row>
    <row r="61" spans="2:20" ht="23.1" customHeight="1" x14ac:dyDescent="0.25">
      <c r="B61" s="45" t="s">
        <v>102</v>
      </c>
      <c r="C61" s="50">
        <v>66</v>
      </c>
      <c r="D61" s="50">
        <v>17</v>
      </c>
      <c r="E61" s="50">
        <v>8</v>
      </c>
      <c r="F61" s="50">
        <v>0</v>
      </c>
      <c r="G61" s="50">
        <v>0</v>
      </c>
      <c r="H61" s="50">
        <v>0</v>
      </c>
      <c r="I61" s="50">
        <v>2</v>
      </c>
      <c r="J61" s="50">
        <v>0</v>
      </c>
      <c r="K61" s="50">
        <v>1</v>
      </c>
      <c r="L61" s="50">
        <v>0</v>
      </c>
      <c r="M61" s="50">
        <v>258</v>
      </c>
      <c r="N61" s="50">
        <v>0</v>
      </c>
      <c r="O61" s="15">
        <f t="shared" si="0"/>
        <v>94</v>
      </c>
      <c r="P61" s="15">
        <f t="shared" si="1"/>
        <v>352</v>
      </c>
      <c r="R61" s="8"/>
      <c r="T61"/>
    </row>
    <row r="62" spans="2:20" ht="23.1" customHeight="1" x14ac:dyDescent="0.25">
      <c r="B62" s="45" t="s">
        <v>107</v>
      </c>
      <c r="C62" s="50">
        <v>70</v>
      </c>
      <c r="D62" s="50">
        <v>4</v>
      </c>
      <c r="E62" s="50">
        <v>7</v>
      </c>
      <c r="F62" s="50">
        <v>0</v>
      </c>
      <c r="G62" s="50">
        <v>0</v>
      </c>
      <c r="H62" s="50">
        <v>0</v>
      </c>
      <c r="I62" s="50">
        <v>4</v>
      </c>
      <c r="J62" s="50">
        <v>1</v>
      </c>
      <c r="K62" s="50">
        <v>1</v>
      </c>
      <c r="L62" s="50">
        <v>0</v>
      </c>
      <c r="M62" s="50">
        <v>127</v>
      </c>
      <c r="N62" s="50">
        <v>0</v>
      </c>
      <c r="O62" s="15">
        <f t="shared" si="0"/>
        <v>87</v>
      </c>
      <c r="P62" s="15">
        <f t="shared" si="1"/>
        <v>214</v>
      </c>
      <c r="R62" s="8"/>
      <c r="T62"/>
    </row>
    <row r="63" spans="2:20" ht="23.1" customHeight="1" x14ac:dyDescent="0.25">
      <c r="B63" s="45" t="s">
        <v>108</v>
      </c>
      <c r="C63" s="50">
        <v>78</v>
      </c>
      <c r="D63" s="50">
        <v>15</v>
      </c>
      <c r="E63" s="50">
        <v>5</v>
      </c>
      <c r="F63" s="50">
        <v>0</v>
      </c>
      <c r="G63" s="50">
        <v>0</v>
      </c>
      <c r="H63" s="50">
        <v>0</v>
      </c>
      <c r="I63" s="50">
        <v>2</v>
      </c>
      <c r="J63" s="50">
        <v>0</v>
      </c>
      <c r="K63" s="50">
        <v>0</v>
      </c>
      <c r="L63" s="50">
        <v>0</v>
      </c>
      <c r="M63" s="50">
        <v>125</v>
      </c>
      <c r="N63" s="50">
        <v>0</v>
      </c>
      <c r="O63" s="15">
        <f t="shared" si="0"/>
        <v>100</v>
      </c>
      <c r="P63" s="15">
        <f t="shared" si="1"/>
        <v>225</v>
      </c>
      <c r="R63" s="8"/>
      <c r="T63"/>
    </row>
    <row r="64" spans="2:20" ht="23.1" customHeight="1" x14ac:dyDescent="0.25">
      <c r="B64" s="45" t="s">
        <v>109</v>
      </c>
      <c r="C64" s="50">
        <v>64</v>
      </c>
      <c r="D64" s="50">
        <v>3</v>
      </c>
      <c r="E64" s="50">
        <v>5</v>
      </c>
      <c r="F64" s="50">
        <v>0</v>
      </c>
      <c r="G64" s="50">
        <v>0</v>
      </c>
      <c r="H64" s="50">
        <v>0</v>
      </c>
      <c r="I64" s="50">
        <v>0</v>
      </c>
      <c r="J64" s="50">
        <v>0</v>
      </c>
      <c r="K64" s="50">
        <v>0</v>
      </c>
      <c r="L64" s="50">
        <v>0</v>
      </c>
      <c r="M64" s="50">
        <v>105</v>
      </c>
      <c r="N64" s="50">
        <v>0</v>
      </c>
      <c r="O64" s="15">
        <f t="shared" si="0"/>
        <v>72</v>
      </c>
      <c r="P64" s="15">
        <f t="shared" si="1"/>
        <v>177</v>
      </c>
      <c r="R64" s="8"/>
      <c r="T64"/>
    </row>
    <row r="65" spans="2:20" ht="23.1" customHeight="1" x14ac:dyDescent="0.25">
      <c r="B65" s="45" t="s">
        <v>158</v>
      </c>
      <c r="C65" s="50">
        <v>58</v>
      </c>
      <c r="D65" s="50">
        <v>3</v>
      </c>
      <c r="E65" s="50">
        <v>2</v>
      </c>
      <c r="F65" s="50">
        <v>0</v>
      </c>
      <c r="G65" s="50">
        <v>0</v>
      </c>
      <c r="H65" s="50">
        <v>0</v>
      </c>
      <c r="I65" s="50">
        <v>2</v>
      </c>
      <c r="J65" s="50">
        <v>0</v>
      </c>
      <c r="K65" s="50">
        <v>0</v>
      </c>
      <c r="L65" s="50">
        <v>0</v>
      </c>
      <c r="M65" s="50">
        <v>113</v>
      </c>
      <c r="N65" s="50">
        <v>0</v>
      </c>
      <c r="O65" s="15">
        <f t="shared" si="0"/>
        <v>65</v>
      </c>
      <c r="P65" s="15">
        <f t="shared" si="1"/>
        <v>178</v>
      </c>
      <c r="R65" s="8"/>
      <c r="T65"/>
    </row>
    <row r="66" spans="2:20" ht="23.1" customHeight="1" x14ac:dyDescent="0.25">
      <c r="B66" s="45" t="s">
        <v>103</v>
      </c>
      <c r="C66" s="50">
        <v>59</v>
      </c>
      <c r="D66" s="50">
        <v>6</v>
      </c>
      <c r="E66" s="50">
        <v>5</v>
      </c>
      <c r="F66" s="50">
        <v>0</v>
      </c>
      <c r="G66" s="50">
        <v>0</v>
      </c>
      <c r="H66" s="50">
        <v>0</v>
      </c>
      <c r="I66" s="50">
        <v>0</v>
      </c>
      <c r="J66" s="50">
        <v>1</v>
      </c>
      <c r="K66" s="50">
        <v>0</v>
      </c>
      <c r="L66" s="50">
        <v>0</v>
      </c>
      <c r="M66" s="50">
        <v>56</v>
      </c>
      <c r="N66" s="50">
        <v>0</v>
      </c>
      <c r="O66" s="15">
        <f t="shared" si="0"/>
        <v>71</v>
      </c>
      <c r="P66" s="15">
        <f t="shared" si="1"/>
        <v>127</v>
      </c>
      <c r="R66" s="8"/>
      <c r="T66"/>
    </row>
    <row r="67" spans="2:20" ht="23.1" customHeight="1" x14ac:dyDescent="0.25">
      <c r="B67" s="45" t="s">
        <v>104</v>
      </c>
      <c r="C67" s="50">
        <v>60</v>
      </c>
      <c r="D67" s="50">
        <v>8</v>
      </c>
      <c r="E67" s="50">
        <v>3</v>
      </c>
      <c r="F67" s="50">
        <v>0</v>
      </c>
      <c r="G67" s="50">
        <v>0</v>
      </c>
      <c r="H67" s="50">
        <v>0</v>
      </c>
      <c r="I67" s="50">
        <v>0</v>
      </c>
      <c r="J67" s="50">
        <v>1</v>
      </c>
      <c r="K67" s="50">
        <v>0</v>
      </c>
      <c r="L67" s="50">
        <v>0</v>
      </c>
      <c r="M67" s="50">
        <v>52</v>
      </c>
      <c r="N67" s="50">
        <v>0</v>
      </c>
      <c r="O67" s="15">
        <f t="shared" si="0"/>
        <v>72</v>
      </c>
      <c r="P67" s="15">
        <f t="shared" si="1"/>
        <v>124</v>
      </c>
      <c r="R67" s="8"/>
      <c r="T67"/>
    </row>
    <row r="68" spans="2:20" ht="23.1" customHeight="1" x14ac:dyDescent="0.25">
      <c r="B68" s="45" t="s">
        <v>105</v>
      </c>
      <c r="C68" s="50">
        <v>41</v>
      </c>
      <c r="D68" s="50">
        <v>3</v>
      </c>
      <c r="E68" s="50">
        <v>0</v>
      </c>
      <c r="F68" s="50">
        <v>1</v>
      </c>
      <c r="G68" s="50">
        <v>0</v>
      </c>
      <c r="H68" s="50">
        <v>0</v>
      </c>
      <c r="I68" s="50">
        <v>0</v>
      </c>
      <c r="J68" s="50">
        <v>0</v>
      </c>
      <c r="K68" s="50">
        <v>0</v>
      </c>
      <c r="L68" s="50">
        <v>0</v>
      </c>
      <c r="M68" s="50">
        <v>76</v>
      </c>
      <c r="N68" s="50">
        <v>0</v>
      </c>
      <c r="O68" s="15">
        <f t="shared" si="0"/>
        <v>45</v>
      </c>
      <c r="P68" s="15">
        <f t="shared" si="1"/>
        <v>121</v>
      </c>
      <c r="R68" s="8"/>
      <c r="T68"/>
    </row>
    <row r="69" spans="2:20" ht="23.1" customHeight="1" x14ac:dyDescent="0.25">
      <c r="B69" s="45" t="s">
        <v>106</v>
      </c>
      <c r="C69" s="50">
        <v>48</v>
      </c>
      <c r="D69" s="50">
        <v>5</v>
      </c>
      <c r="E69" s="50">
        <v>2</v>
      </c>
      <c r="F69" s="50">
        <v>0</v>
      </c>
      <c r="G69" s="50">
        <v>0</v>
      </c>
      <c r="H69" s="50">
        <v>0</v>
      </c>
      <c r="I69" s="50">
        <v>0</v>
      </c>
      <c r="J69" s="50">
        <v>0</v>
      </c>
      <c r="K69" s="50">
        <v>0</v>
      </c>
      <c r="L69" s="50">
        <v>0</v>
      </c>
      <c r="M69" s="50">
        <v>69</v>
      </c>
      <c r="N69" s="50">
        <v>0</v>
      </c>
      <c r="O69" s="15">
        <f t="shared" si="0"/>
        <v>55</v>
      </c>
      <c r="P69" s="15">
        <f t="shared" si="1"/>
        <v>124</v>
      </c>
      <c r="R69" s="8"/>
      <c r="T69"/>
    </row>
    <row r="70" spans="2:20" ht="23.1" customHeight="1" x14ac:dyDescent="0.25">
      <c r="B70" s="45" t="s">
        <v>110</v>
      </c>
      <c r="C70" s="50">
        <v>38</v>
      </c>
      <c r="D70" s="50">
        <v>5</v>
      </c>
      <c r="E70" s="50">
        <v>5</v>
      </c>
      <c r="F70" s="50">
        <v>0</v>
      </c>
      <c r="G70" s="50">
        <v>0</v>
      </c>
      <c r="H70" s="50">
        <v>0</v>
      </c>
      <c r="I70" s="50">
        <v>0</v>
      </c>
      <c r="J70" s="50">
        <v>0</v>
      </c>
      <c r="K70" s="50">
        <v>0</v>
      </c>
      <c r="L70" s="50">
        <v>0</v>
      </c>
      <c r="M70" s="50">
        <v>55</v>
      </c>
      <c r="N70" s="50">
        <v>0</v>
      </c>
      <c r="O70" s="15">
        <f t="shared" si="0"/>
        <v>48</v>
      </c>
      <c r="P70" s="15">
        <f t="shared" si="1"/>
        <v>103</v>
      </c>
      <c r="R70" s="8"/>
      <c r="T70"/>
    </row>
    <row r="71" spans="2:20" ht="23.1" customHeight="1" x14ac:dyDescent="0.25">
      <c r="B71" s="45" t="s">
        <v>111</v>
      </c>
      <c r="C71" s="50">
        <v>50</v>
      </c>
      <c r="D71" s="50">
        <v>6</v>
      </c>
      <c r="E71" s="50">
        <v>2</v>
      </c>
      <c r="F71" s="50">
        <v>0</v>
      </c>
      <c r="G71" s="50">
        <v>0</v>
      </c>
      <c r="H71" s="50">
        <v>0</v>
      </c>
      <c r="I71" s="50">
        <v>0</v>
      </c>
      <c r="J71" s="50">
        <v>0</v>
      </c>
      <c r="K71" s="50">
        <v>0</v>
      </c>
      <c r="L71" s="50">
        <v>0</v>
      </c>
      <c r="M71" s="50">
        <v>53</v>
      </c>
      <c r="N71" s="50">
        <v>0</v>
      </c>
      <c r="O71" s="15">
        <f t="shared" si="0"/>
        <v>58</v>
      </c>
      <c r="P71" s="15">
        <f t="shared" si="1"/>
        <v>111</v>
      </c>
      <c r="R71" s="8"/>
      <c r="T71"/>
    </row>
    <row r="72" spans="2:20" ht="23.1" customHeight="1" x14ac:dyDescent="0.25">
      <c r="B72" s="45" t="s">
        <v>112</v>
      </c>
      <c r="C72" s="50">
        <v>57</v>
      </c>
      <c r="D72" s="50">
        <v>7</v>
      </c>
      <c r="E72" s="50">
        <v>5</v>
      </c>
      <c r="F72" s="50">
        <v>0</v>
      </c>
      <c r="G72" s="50">
        <v>0</v>
      </c>
      <c r="H72" s="50">
        <v>0</v>
      </c>
      <c r="I72" s="50">
        <v>0</v>
      </c>
      <c r="J72" s="50">
        <v>0</v>
      </c>
      <c r="K72" s="50">
        <v>0</v>
      </c>
      <c r="L72" s="50">
        <v>0</v>
      </c>
      <c r="M72" s="50">
        <v>64</v>
      </c>
      <c r="N72" s="50">
        <v>0</v>
      </c>
      <c r="O72" s="15">
        <f t="shared" si="0"/>
        <v>69</v>
      </c>
      <c r="P72" s="15">
        <f t="shared" si="1"/>
        <v>133</v>
      </c>
      <c r="R72" s="8"/>
      <c r="T72"/>
    </row>
    <row r="73" spans="2:20" ht="23.1" customHeight="1" x14ac:dyDescent="0.25">
      <c r="B73" s="45" t="s">
        <v>113</v>
      </c>
      <c r="C73" s="50">
        <v>35</v>
      </c>
      <c r="D73" s="50">
        <v>4</v>
      </c>
      <c r="E73" s="50">
        <v>2</v>
      </c>
      <c r="F73" s="50">
        <v>0</v>
      </c>
      <c r="G73" s="50">
        <v>0</v>
      </c>
      <c r="H73" s="50">
        <v>0</v>
      </c>
      <c r="I73" s="50">
        <v>0</v>
      </c>
      <c r="J73" s="50">
        <v>0</v>
      </c>
      <c r="K73" s="50">
        <v>0</v>
      </c>
      <c r="L73" s="50">
        <v>0</v>
      </c>
      <c r="M73" s="50">
        <v>70</v>
      </c>
      <c r="N73" s="50">
        <v>0</v>
      </c>
      <c r="O73" s="15">
        <f t="shared" si="0"/>
        <v>41</v>
      </c>
      <c r="P73" s="15">
        <f t="shared" si="1"/>
        <v>111</v>
      </c>
      <c r="R73" s="8"/>
      <c r="T73"/>
    </row>
    <row r="74" spans="2:20" ht="23.1" customHeight="1" x14ac:dyDescent="0.25">
      <c r="B74" s="45" t="s">
        <v>114</v>
      </c>
      <c r="C74" s="50">
        <v>59</v>
      </c>
      <c r="D74" s="50">
        <v>2</v>
      </c>
      <c r="E74" s="50">
        <v>5</v>
      </c>
      <c r="F74" s="50">
        <v>0</v>
      </c>
      <c r="G74" s="50">
        <v>0</v>
      </c>
      <c r="H74" s="50">
        <v>0</v>
      </c>
      <c r="I74" s="50">
        <v>0</v>
      </c>
      <c r="J74" s="50">
        <v>0</v>
      </c>
      <c r="K74" s="50">
        <v>0</v>
      </c>
      <c r="L74" s="50">
        <v>0</v>
      </c>
      <c r="M74" s="50">
        <v>58</v>
      </c>
      <c r="N74" s="50">
        <v>0</v>
      </c>
      <c r="O74" s="15">
        <f t="shared" ref="O74:O105" si="35">SUM(C74:L74,N74)</f>
        <v>66</v>
      </c>
      <c r="P74" s="15">
        <f t="shared" ref="P74:P105" si="36">SUM(C74:N74)</f>
        <v>124</v>
      </c>
      <c r="R74" s="8"/>
      <c r="T74"/>
    </row>
    <row r="75" spans="2:20" ht="23.1" customHeight="1" x14ac:dyDescent="0.25">
      <c r="B75" s="45" t="s">
        <v>115</v>
      </c>
      <c r="C75" s="50">
        <v>32</v>
      </c>
      <c r="D75" s="50">
        <v>0</v>
      </c>
      <c r="E75" s="50">
        <v>1</v>
      </c>
      <c r="F75" s="50">
        <v>0</v>
      </c>
      <c r="G75" s="50">
        <v>0</v>
      </c>
      <c r="H75" s="50">
        <v>0</v>
      </c>
      <c r="I75" s="50">
        <v>0</v>
      </c>
      <c r="J75" s="50">
        <v>0</v>
      </c>
      <c r="K75" s="50">
        <v>0</v>
      </c>
      <c r="L75" s="50">
        <v>0</v>
      </c>
      <c r="M75" s="50">
        <v>23</v>
      </c>
      <c r="N75" s="50">
        <v>0</v>
      </c>
      <c r="O75" s="15">
        <f t="shared" si="35"/>
        <v>33</v>
      </c>
      <c r="P75" s="15">
        <f t="shared" si="36"/>
        <v>56</v>
      </c>
      <c r="R75" s="8"/>
      <c r="T75"/>
    </row>
    <row r="76" spans="2:20" ht="23.1" customHeight="1" x14ac:dyDescent="0.25">
      <c r="B76" s="45" t="s">
        <v>116</v>
      </c>
      <c r="C76" s="50">
        <v>54</v>
      </c>
      <c r="D76" s="50">
        <v>3</v>
      </c>
      <c r="E76" s="50">
        <v>1</v>
      </c>
      <c r="F76" s="50">
        <v>0</v>
      </c>
      <c r="G76" s="50">
        <v>0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67</v>
      </c>
      <c r="N76" s="50">
        <v>0</v>
      </c>
      <c r="O76" s="15">
        <f t="shared" si="35"/>
        <v>58</v>
      </c>
      <c r="P76" s="15">
        <f t="shared" si="36"/>
        <v>125</v>
      </c>
      <c r="R76" s="8"/>
      <c r="T76"/>
    </row>
    <row r="77" spans="2:20" ht="23.1" customHeight="1" x14ac:dyDescent="0.25">
      <c r="B77" s="45" t="s">
        <v>117</v>
      </c>
      <c r="C77" s="50">
        <v>30</v>
      </c>
      <c r="D77" s="50">
        <v>0</v>
      </c>
      <c r="E77" s="50">
        <v>2</v>
      </c>
      <c r="F77" s="50">
        <v>0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55</v>
      </c>
      <c r="N77" s="50">
        <v>0</v>
      </c>
      <c r="O77" s="15">
        <f t="shared" si="35"/>
        <v>32</v>
      </c>
      <c r="P77" s="15">
        <f t="shared" si="36"/>
        <v>87</v>
      </c>
      <c r="R77" s="8"/>
      <c r="T77"/>
    </row>
    <row r="78" spans="2:20" ht="23.1" customHeight="1" x14ac:dyDescent="0.25">
      <c r="B78" s="46" t="s">
        <v>118</v>
      </c>
      <c r="C78" s="50">
        <v>23</v>
      </c>
      <c r="D78" s="50">
        <v>0</v>
      </c>
      <c r="E78" s="50">
        <v>0</v>
      </c>
      <c r="F78" s="50">
        <v>0</v>
      </c>
      <c r="G78" s="50">
        <v>0</v>
      </c>
      <c r="H78" s="50">
        <v>0</v>
      </c>
      <c r="I78" s="50">
        <v>0</v>
      </c>
      <c r="J78" s="50">
        <v>0</v>
      </c>
      <c r="K78" s="50">
        <v>0</v>
      </c>
      <c r="L78" s="50">
        <v>0</v>
      </c>
      <c r="M78" s="50">
        <v>37</v>
      </c>
      <c r="N78" s="50">
        <v>0</v>
      </c>
      <c r="O78" s="15">
        <f t="shared" si="35"/>
        <v>23</v>
      </c>
      <c r="P78" s="15">
        <f t="shared" si="36"/>
        <v>60</v>
      </c>
      <c r="R78" s="8"/>
      <c r="T78"/>
    </row>
    <row r="79" spans="2:20" ht="23.1" customHeight="1" x14ac:dyDescent="0.25">
      <c r="B79" s="45" t="s">
        <v>119</v>
      </c>
      <c r="C79" s="50">
        <v>49</v>
      </c>
      <c r="D79" s="50">
        <v>5</v>
      </c>
      <c r="E79" s="50">
        <v>0</v>
      </c>
      <c r="F79" s="50">
        <v>0</v>
      </c>
      <c r="G79" s="50">
        <v>0</v>
      </c>
      <c r="H79" s="50">
        <v>0</v>
      </c>
      <c r="I79" s="50">
        <v>0</v>
      </c>
      <c r="J79" s="50">
        <v>0</v>
      </c>
      <c r="K79" s="50">
        <v>0</v>
      </c>
      <c r="L79" s="50">
        <v>0</v>
      </c>
      <c r="M79" s="50">
        <v>39</v>
      </c>
      <c r="N79" s="50">
        <v>0</v>
      </c>
      <c r="O79" s="15">
        <f t="shared" si="35"/>
        <v>54</v>
      </c>
      <c r="P79" s="15">
        <f t="shared" si="36"/>
        <v>93</v>
      </c>
      <c r="R79" s="8"/>
      <c r="T79"/>
    </row>
    <row r="80" spans="2:20" ht="23.1" customHeight="1" x14ac:dyDescent="0.25">
      <c r="B80" s="47" t="s">
        <v>120</v>
      </c>
      <c r="C80" s="50">
        <v>37</v>
      </c>
      <c r="D80" s="50">
        <v>2</v>
      </c>
      <c r="E80" s="50">
        <v>1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55</v>
      </c>
      <c r="N80" s="50">
        <v>0</v>
      </c>
      <c r="O80" s="15">
        <f t="shared" si="35"/>
        <v>40</v>
      </c>
      <c r="P80" s="15">
        <f t="shared" si="36"/>
        <v>95</v>
      </c>
      <c r="R80" s="8"/>
      <c r="T80"/>
    </row>
    <row r="81" spans="2:20" ht="23.1" customHeight="1" x14ac:dyDescent="0.25">
      <c r="B81" s="45" t="s">
        <v>121</v>
      </c>
      <c r="C81" s="50">
        <v>28</v>
      </c>
      <c r="D81" s="50">
        <v>1</v>
      </c>
      <c r="E81" s="50">
        <v>0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36</v>
      </c>
      <c r="N81" s="50">
        <v>0</v>
      </c>
      <c r="O81" s="15">
        <f t="shared" si="35"/>
        <v>29</v>
      </c>
      <c r="P81" s="15">
        <f t="shared" si="36"/>
        <v>65</v>
      </c>
      <c r="R81" s="8"/>
      <c r="T81"/>
    </row>
    <row r="82" spans="2:20" ht="23.1" customHeight="1" x14ac:dyDescent="0.25">
      <c r="B82" s="46" t="s">
        <v>122</v>
      </c>
      <c r="C82" s="50">
        <v>16</v>
      </c>
      <c r="D82" s="50">
        <v>0</v>
      </c>
      <c r="E82" s="50">
        <v>0</v>
      </c>
      <c r="F82" s="50">
        <v>0</v>
      </c>
      <c r="G82" s="50">
        <v>0</v>
      </c>
      <c r="H82" s="50">
        <v>0</v>
      </c>
      <c r="I82" s="50">
        <v>1</v>
      </c>
      <c r="J82" s="50">
        <v>0</v>
      </c>
      <c r="K82" s="50">
        <v>0</v>
      </c>
      <c r="L82" s="50">
        <v>0</v>
      </c>
      <c r="M82" s="50">
        <v>20</v>
      </c>
      <c r="N82" s="50">
        <v>0</v>
      </c>
      <c r="O82" s="15">
        <f t="shared" si="35"/>
        <v>17</v>
      </c>
      <c r="P82" s="15">
        <f t="shared" si="36"/>
        <v>37</v>
      </c>
      <c r="R82" s="8"/>
      <c r="T82"/>
    </row>
    <row r="83" spans="2:20" ht="23.1" customHeight="1" x14ac:dyDescent="0.25">
      <c r="B83" s="45" t="s">
        <v>123</v>
      </c>
      <c r="C83" s="50">
        <v>18</v>
      </c>
      <c r="D83" s="50">
        <v>0</v>
      </c>
      <c r="E83" s="50">
        <v>0</v>
      </c>
      <c r="F83" s="50">
        <v>0</v>
      </c>
      <c r="G83" s="50">
        <v>0</v>
      </c>
      <c r="H83" s="50">
        <v>0</v>
      </c>
      <c r="I83" s="50">
        <v>0</v>
      </c>
      <c r="J83" s="50">
        <v>0</v>
      </c>
      <c r="K83" s="50">
        <v>0</v>
      </c>
      <c r="L83" s="50">
        <v>0</v>
      </c>
      <c r="M83" s="50">
        <v>40</v>
      </c>
      <c r="N83" s="50">
        <v>0</v>
      </c>
      <c r="O83" s="15">
        <f t="shared" si="35"/>
        <v>18</v>
      </c>
      <c r="P83" s="15">
        <f t="shared" si="36"/>
        <v>58</v>
      </c>
      <c r="R83" s="8"/>
      <c r="T83"/>
    </row>
    <row r="84" spans="2:20" ht="23.1" customHeight="1" x14ac:dyDescent="0.25">
      <c r="B84" s="47" t="s">
        <v>124</v>
      </c>
      <c r="C84" s="50">
        <v>34</v>
      </c>
      <c r="D84" s="50">
        <v>1</v>
      </c>
      <c r="E84" s="50">
        <v>1</v>
      </c>
      <c r="F84" s="50">
        <v>1</v>
      </c>
      <c r="G84" s="50">
        <v>0</v>
      </c>
      <c r="H84" s="50">
        <v>0</v>
      </c>
      <c r="I84" s="50">
        <v>0</v>
      </c>
      <c r="J84" s="50">
        <v>0</v>
      </c>
      <c r="K84" s="50">
        <v>0</v>
      </c>
      <c r="L84" s="50">
        <v>0</v>
      </c>
      <c r="M84" s="50">
        <v>21</v>
      </c>
      <c r="N84" s="50">
        <v>0</v>
      </c>
      <c r="O84" s="15">
        <f t="shared" si="35"/>
        <v>37</v>
      </c>
      <c r="P84" s="15">
        <f t="shared" si="36"/>
        <v>58</v>
      </c>
      <c r="R84" s="8"/>
      <c r="T84"/>
    </row>
    <row r="85" spans="2:20" ht="23.1" customHeight="1" x14ac:dyDescent="0.25">
      <c r="B85" s="45" t="s">
        <v>125</v>
      </c>
      <c r="C85" s="50">
        <v>15</v>
      </c>
      <c r="D85" s="50">
        <v>0</v>
      </c>
      <c r="E85" s="50">
        <v>0</v>
      </c>
      <c r="F85" s="50">
        <v>0</v>
      </c>
      <c r="G85" s="50">
        <v>0</v>
      </c>
      <c r="H85" s="50">
        <v>0</v>
      </c>
      <c r="I85" s="50">
        <v>0</v>
      </c>
      <c r="J85" s="50">
        <v>0</v>
      </c>
      <c r="K85" s="50">
        <v>0</v>
      </c>
      <c r="L85" s="50">
        <v>0</v>
      </c>
      <c r="M85" s="50">
        <v>23</v>
      </c>
      <c r="N85" s="50">
        <v>0</v>
      </c>
      <c r="O85" s="15">
        <f t="shared" si="35"/>
        <v>15</v>
      </c>
      <c r="P85" s="15">
        <f t="shared" si="36"/>
        <v>38</v>
      </c>
      <c r="R85" s="8"/>
      <c r="T85"/>
    </row>
    <row r="86" spans="2:20" ht="23.1" customHeight="1" x14ac:dyDescent="0.25">
      <c r="B86" s="46" t="s">
        <v>126</v>
      </c>
      <c r="C86" s="50">
        <v>21</v>
      </c>
      <c r="D86" s="50">
        <v>0</v>
      </c>
      <c r="E86" s="50">
        <v>0</v>
      </c>
      <c r="F86" s="50">
        <v>0</v>
      </c>
      <c r="G86" s="50">
        <v>0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14</v>
      </c>
      <c r="N86" s="50">
        <v>0</v>
      </c>
      <c r="O86" s="15">
        <f t="shared" si="35"/>
        <v>21</v>
      </c>
      <c r="P86" s="15">
        <f t="shared" si="36"/>
        <v>35</v>
      </c>
      <c r="R86" s="8"/>
      <c r="T86"/>
    </row>
    <row r="87" spans="2:20" ht="23.1" customHeight="1" x14ac:dyDescent="0.25">
      <c r="B87" s="45" t="s">
        <v>127</v>
      </c>
      <c r="C87" s="50">
        <v>26</v>
      </c>
      <c r="D87" s="50">
        <v>2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22</v>
      </c>
      <c r="N87" s="50">
        <v>0</v>
      </c>
      <c r="O87" s="15">
        <f t="shared" si="35"/>
        <v>28</v>
      </c>
      <c r="P87" s="15">
        <f t="shared" si="36"/>
        <v>50</v>
      </c>
      <c r="R87" s="8"/>
      <c r="T87"/>
    </row>
    <row r="88" spans="2:20" ht="23.1" customHeight="1" x14ac:dyDescent="0.25">
      <c r="B88" s="47" t="s">
        <v>128</v>
      </c>
      <c r="C88" s="50">
        <v>8</v>
      </c>
      <c r="D88" s="50">
        <v>1</v>
      </c>
      <c r="E88" s="50">
        <v>0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10</v>
      </c>
      <c r="N88" s="50">
        <v>0</v>
      </c>
      <c r="O88" s="15">
        <f t="shared" si="35"/>
        <v>9</v>
      </c>
      <c r="P88" s="15">
        <f t="shared" si="36"/>
        <v>19</v>
      </c>
      <c r="R88" s="8"/>
      <c r="T88"/>
    </row>
    <row r="89" spans="2:20" ht="23.1" customHeight="1" x14ac:dyDescent="0.25">
      <c r="B89" s="45" t="s">
        <v>129</v>
      </c>
      <c r="C89" s="50">
        <v>10</v>
      </c>
      <c r="D89" s="50">
        <v>0</v>
      </c>
      <c r="E89" s="50">
        <v>0</v>
      </c>
      <c r="F89" s="50">
        <v>0</v>
      </c>
      <c r="G89" s="50">
        <v>0</v>
      </c>
      <c r="H89" s="50">
        <v>0</v>
      </c>
      <c r="I89" s="50">
        <v>0</v>
      </c>
      <c r="J89" s="50">
        <v>0</v>
      </c>
      <c r="K89" s="50">
        <v>0</v>
      </c>
      <c r="L89" s="50">
        <v>0</v>
      </c>
      <c r="M89" s="50">
        <v>5</v>
      </c>
      <c r="N89" s="50">
        <v>0</v>
      </c>
      <c r="O89" s="15">
        <f t="shared" si="35"/>
        <v>10</v>
      </c>
      <c r="P89" s="15">
        <f t="shared" si="36"/>
        <v>15</v>
      </c>
      <c r="R89" s="8"/>
      <c r="T89"/>
    </row>
    <row r="90" spans="2:20" ht="23.1" customHeight="1" x14ac:dyDescent="0.25">
      <c r="B90" s="46" t="s">
        <v>130</v>
      </c>
      <c r="C90" s="50">
        <v>12</v>
      </c>
      <c r="D90" s="50">
        <v>0</v>
      </c>
      <c r="E90" s="50">
        <v>1</v>
      </c>
      <c r="F90" s="50">
        <v>0</v>
      </c>
      <c r="G90" s="50">
        <v>0</v>
      </c>
      <c r="H90" s="50">
        <v>0</v>
      </c>
      <c r="I90" s="50">
        <v>0</v>
      </c>
      <c r="J90" s="50">
        <v>0</v>
      </c>
      <c r="K90" s="50">
        <v>0</v>
      </c>
      <c r="L90" s="50">
        <v>0</v>
      </c>
      <c r="M90" s="50">
        <v>5</v>
      </c>
      <c r="N90" s="50">
        <v>0</v>
      </c>
      <c r="O90" s="15">
        <f t="shared" si="35"/>
        <v>13</v>
      </c>
      <c r="P90" s="15">
        <f t="shared" si="36"/>
        <v>18</v>
      </c>
      <c r="R90" s="8"/>
      <c r="T90"/>
    </row>
    <row r="91" spans="2:20" ht="23.1" customHeight="1" x14ac:dyDescent="0.25">
      <c r="B91" s="45" t="s">
        <v>131</v>
      </c>
      <c r="C91" s="50">
        <v>15</v>
      </c>
      <c r="D91" s="50">
        <v>0</v>
      </c>
      <c r="E91" s="50">
        <v>0</v>
      </c>
      <c r="F91" s="50">
        <v>0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10</v>
      </c>
      <c r="N91" s="50">
        <v>0</v>
      </c>
      <c r="O91" s="15">
        <f t="shared" si="35"/>
        <v>15</v>
      </c>
      <c r="P91" s="15">
        <f t="shared" si="36"/>
        <v>25</v>
      </c>
      <c r="R91" s="8"/>
      <c r="T91"/>
    </row>
    <row r="92" spans="2:20" ht="23.1" customHeight="1" x14ac:dyDescent="0.25">
      <c r="B92" s="47" t="s">
        <v>132</v>
      </c>
      <c r="C92" s="50">
        <v>7</v>
      </c>
      <c r="D92" s="50">
        <v>1</v>
      </c>
      <c r="E92" s="50">
        <v>0</v>
      </c>
      <c r="F92" s="50">
        <v>0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4</v>
      </c>
      <c r="N92" s="50">
        <v>0</v>
      </c>
      <c r="O92" s="15">
        <f t="shared" si="35"/>
        <v>8</v>
      </c>
      <c r="P92" s="15">
        <f t="shared" si="36"/>
        <v>12</v>
      </c>
      <c r="R92" s="8"/>
      <c r="T92"/>
    </row>
    <row r="93" spans="2:20" ht="23.1" customHeight="1" x14ac:dyDescent="0.25">
      <c r="B93" s="45" t="s">
        <v>133</v>
      </c>
      <c r="C93" s="50">
        <v>14</v>
      </c>
      <c r="D93" s="50">
        <v>0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7</v>
      </c>
      <c r="N93" s="50">
        <v>0</v>
      </c>
      <c r="O93" s="15">
        <f t="shared" si="35"/>
        <v>14</v>
      </c>
      <c r="P93" s="15">
        <f t="shared" si="36"/>
        <v>21</v>
      </c>
      <c r="R93" s="8"/>
      <c r="T93"/>
    </row>
    <row r="94" spans="2:20" ht="23.1" customHeight="1" x14ac:dyDescent="0.25">
      <c r="B94" s="46" t="s">
        <v>134</v>
      </c>
      <c r="C94" s="50">
        <v>18</v>
      </c>
      <c r="D94" s="50">
        <v>1</v>
      </c>
      <c r="E94" s="50">
        <v>0</v>
      </c>
      <c r="F94" s="50">
        <v>0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10</v>
      </c>
      <c r="N94" s="50">
        <v>0</v>
      </c>
      <c r="O94" s="15">
        <f t="shared" si="35"/>
        <v>19</v>
      </c>
      <c r="P94" s="15">
        <f t="shared" si="36"/>
        <v>29</v>
      </c>
      <c r="R94" s="8"/>
      <c r="T94"/>
    </row>
    <row r="95" spans="2:20" ht="23.1" customHeight="1" x14ac:dyDescent="0.25">
      <c r="B95" s="45" t="s">
        <v>135</v>
      </c>
      <c r="C95" s="50">
        <v>14</v>
      </c>
      <c r="D95" s="50">
        <v>1</v>
      </c>
      <c r="E95" s="50">
        <v>0</v>
      </c>
      <c r="F95" s="50">
        <v>0</v>
      </c>
      <c r="G95" s="50">
        <v>0</v>
      </c>
      <c r="H95" s="50">
        <v>0</v>
      </c>
      <c r="I95" s="50">
        <v>1</v>
      </c>
      <c r="J95" s="50">
        <v>0</v>
      </c>
      <c r="K95" s="50">
        <v>0</v>
      </c>
      <c r="L95" s="50">
        <v>0</v>
      </c>
      <c r="M95" s="50">
        <v>10</v>
      </c>
      <c r="N95" s="50">
        <v>0</v>
      </c>
      <c r="O95" s="15">
        <f t="shared" si="35"/>
        <v>16</v>
      </c>
      <c r="P95" s="15">
        <f t="shared" si="36"/>
        <v>26</v>
      </c>
      <c r="R95" s="8"/>
      <c r="T95"/>
    </row>
    <row r="96" spans="2:20" ht="23.1" customHeight="1" x14ac:dyDescent="0.25">
      <c r="B96" s="47" t="s">
        <v>136</v>
      </c>
      <c r="C96" s="50">
        <v>11</v>
      </c>
      <c r="D96" s="50">
        <v>0</v>
      </c>
      <c r="E96" s="50">
        <v>0</v>
      </c>
      <c r="F96" s="50">
        <v>0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13</v>
      </c>
      <c r="N96" s="50">
        <v>0</v>
      </c>
      <c r="O96" s="15">
        <f t="shared" si="35"/>
        <v>11</v>
      </c>
      <c r="P96" s="15">
        <f t="shared" si="36"/>
        <v>24</v>
      </c>
      <c r="R96" s="8"/>
      <c r="T96"/>
    </row>
    <row r="97" spans="2:20" ht="23.1" customHeight="1" x14ac:dyDescent="0.25">
      <c r="B97" s="45" t="s">
        <v>137</v>
      </c>
      <c r="C97" s="50">
        <v>5</v>
      </c>
      <c r="D97" s="50">
        <v>0</v>
      </c>
      <c r="E97" s="50">
        <v>0</v>
      </c>
      <c r="F97" s="50">
        <v>0</v>
      </c>
      <c r="G97" s="50">
        <v>0</v>
      </c>
      <c r="H97" s="50">
        <v>0</v>
      </c>
      <c r="I97" s="50">
        <v>0</v>
      </c>
      <c r="J97" s="50">
        <v>0</v>
      </c>
      <c r="K97" s="50">
        <v>1</v>
      </c>
      <c r="L97" s="50">
        <v>0</v>
      </c>
      <c r="M97" s="50">
        <v>8</v>
      </c>
      <c r="N97" s="50">
        <v>0</v>
      </c>
      <c r="O97" s="15">
        <f t="shared" si="35"/>
        <v>6</v>
      </c>
      <c r="P97" s="15">
        <f t="shared" si="36"/>
        <v>14</v>
      </c>
      <c r="R97" s="8"/>
      <c r="T97"/>
    </row>
    <row r="98" spans="2:20" ht="23.1" customHeight="1" x14ac:dyDescent="0.25">
      <c r="B98" s="46" t="s">
        <v>138</v>
      </c>
      <c r="C98" s="50">
        <v>6</v>
      </c>
      <c r="D98" s="50">
        <v>0</v>
      </c>
      <c r="E98" s="50">
        <v>0</v>
      </c>
      <c r="F98" s="50">
        <v>1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30</v>
      </c>
      <c r="N98" s="50">
        <v>0</v>
      </c>
      <c r="O98" s="15">
        <f t="shared" si="35"/>
        <v>7</v>
      </c>
      <c r="P98" s="15">
        <f t="shared" si="36"/>
        <v>37</v>
      </c>
      <c r="R98" s="8"/>
      <c r="T98"/>
    </row>
    <row r="99" spans="2:20" ht="23.1" customHeight="1" x14ac:dyDescent="0.25">
      <c r="B99" s="45" t="s">
        <v>139</v>
      </c>
      <c r="C99" s="50">
        <v>5</v>
      </c>
      <c r="D99" s="50">
        <v>0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27</v>
      </c>
      <c r="N99" s="50">
        <v>0</v>
      </c>
      <c r="O99" s="15">
        <f t="shared" si="35"/>
        <v>5</v>
      </c>
      <c r="P99" s="15">
        <f t="shared" si="36"/>
        <v>32</v>
      </c>
      <c r="R99" s="8"/>
      <c r="T99"/>
    </row>
    <row r="100" spans="2:20" ht="23.1" customHeight="1" x14ac:dyDescent="0.25">
      <c r="B100" s="47" t="s">
        <v>140</v>
      </c>
      <c r="C100" s="50">
        <v>8</v>
      </c>
      <c r="D100" s="50">
        <v>3</v>
      </c>
      <c r="E100" s="50">
        <v>1</v>
      </c>
      <c r="F100" s="50">
        <v>0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10</v>
      </c>
      <c r="N100" s="50">
        <v>0</v>
      </c>
      <c r="O100" s="15">
        <f t="shared" si="35"/>
        <v>12</v>
      </c>
      <c r="P100" s="15">
        <f t="shared" si="36"/>
        <v>22</v>
      </c>
      <c r="R100" s="8"/>
      <c r="T100"/>
    </row>
    <row r="101" spans="2:20" ht="23.1" customHeight="1" x14ac:dyDescent="0.25">
      <c r="B101" s="45" t="s">
        <v>141</v>
      </c>
      <c r="C101" s="50">
        <v>6</v>
      </c>
      <c r="D101" s="50">
        <v>0</v>
      </c>
      <c r="E101" s="50">
        <v>0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16</v>
      </c>
      <c r="N101" s="50">
        <v>0</v>
      </c>
      <c r="O101" s="15">
        <f t="shared" si="35"/>
        <v>6</v>
      </c>
      <c r="P101" s="15">
        <f t="shared" si="36"/>
        <v>22</v>
      </c>
      <c r="R101" s="8"/>
      <c r="T101"/>
    </row>
    <row r="102" spans="2:20" ht="23.1" customHeight="1" x14ac:dyDescent="0.25">
      <c r="B102" s="46" t="s">
        <v>142</v>
      </c>
      <c r="C102" s="50">
        <v>4</v>
      </c>
      <c r="D102" s="50">
        <v>0</v>
      </c>
      <c r="E102" s="50">
        <v>0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20</v>
      </c>
      <c r="N102" s="50">
        <v>0</v>
      </c>
      <c r="O102" s="15">
        <f t="shared" si="35"/>
        <v>4</v>
      </c>
      <c r="P102" s="15">
        <f t="shared" si="36"/>
        <v>24</v>
      </c>
      <c r="R102" s="8"/>
      <c r="T102"/>
    </row>
    <row r="103" spans="2:20" ht="23.1" customHeight="1" x14ac:dyDescent="0.25">
      <c r="B103" s="45" t="s">
        <v>143</v>
      </c>
      <c r="C103" s="50">
        <v>8</v>
      </c>
      <c r="D103" s="50">
        <v>1</v>
      </c>
      <c r="E103" s="50">
        <v>1</v>
      </c>
      <c r="F103" s="50">
        <v>0</v>
      </c>
      <c r="G103" s="50">
        <v>0</v>
      </c>
      <c r="H103" s="50">
        <v>0</v>
      </c>
      <c r="I103" s="50">
        <v>1</v>
      </c>
      <c r="J103" s="50">
        <v>1</v>
      </c>
      <c r="K103" s="50">
        <v>0</v>
      </c>
      <c r="L103" s="50">
        <v>0</v>
      </c>
      <c r="M103" s="50">
        <v>21</v>
      </c>
      <c r="N103" s="50">
        <v>0</v>
      </c>
      <c r="O103" s="15">
        <f t="shared" si="35"/>
        <v>12</v>
      </c>
      <c r="P103" s="15">
        <f t="shared" si="36"/>
        <v>33</v>
      </c>
      <c r="R103" s="8"/>
      <c r="T103"/>
    </row>
    <row r="104" spans="2:20" ht="23.1" customHeight="1" x14ac:dyDescent="0.25">
      <c r="B104" s="47" t="s">
        <v>144</v>
      </c>
      <c r="C104" s="50">
        <v>5</v>
      </c>
      <c r="D104" s="50">
        <v>0</v>
      </c>
      <c r="E104" s="50">
        <v>0</v>
      </c>
      <c r="F104" s="50">
        <v>0</v>
      </c>
      <c r="G104" s="50">
        <v>0</v>
      </c>
      <c r="H104" s="50">
        <v>0</v>
      </c>
      <c r="I104" s="50">
        <v>0</v>
      </c>
      <c r="J104" s="50">
        <v>1</v>
      </c>
      <c r="K104" s="50">
        <v>0</v>
      </c>
      <c r="L104" s="50">
        <v>0</v>
      </c>
      <c r="M104" s="50">
        <v>24</v>
      </c>
      <c r="N104" s="50">
        <v>0</v>
      </c>
      <c r="O104" s="15">
        <f t="shared" si="35"/>
        <v>6</v>
      </c>
      <c r="P104" s="15">
        <f t="shared" si="36"/>
        <v>30</v>
      </c>
      <c r="R104" s="8"/>
      <c r="T104"/>
    </row>
    <row r="105" spans="2:20" ht="23.1" customHeight="1" x14ac:dyDescent="0.25">
      <c r="B105" s="45" t="s">
        <v>145</v>
      </c>
      <c r="C105" s="50">
        <v>3</v>
      </c>
      <c r="D105" s="50">
        <v>0</v>
      </c>
      <c r="E105" s="50">
        <v>0</v>
      </c>
      <c r="F105" s="50">
        <v>0</v>
      </c>
      <c r="G105" s="50">
        <v>0</v>
      </c>
      <c r="H105" s="50">
        <v>0</v>
      </c>
      <c r="I105" s="50">
        <v>1</v>
      </c>
      <c r="J105" s="50">
        <v>1</v>
      </c>
      <c r="K105" s="50">
        <v>0</v>
      </c>
      <c r="L105" s="50">
        <v>0</v>
      </c>
      <c r="M105" s="50">
        <v>12</v>
      </c>
      <c r="N105" s="50">
        <v>0</v>
      </c>
      <c r="O105" s="15">
        <f t="shared" si="35"/>
        <v>5</v>
      </c>
      <c r="P105" s="15">
        <f t="shared" si="36"/>
        <v>17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5223</v>
      </c>
      <c r="D106" s="16">
        <f t="shared" ref="D106:P106" si="37">SUM(D10:D105)</f>
        <v>1557</v>
      </c>
      <c r="E106" s="16">
        <f t="shared" si="37"/>
        <v>408</v>
      </c>
      <c r="F106" s="16">
        <f t="shared" si="37"/>
        <v>190</v>
      </c>
      <c r="G106" s="16">
        <f t="shared" si="37"/>
        <v>11</v>
      </c>
      <c r="H106" s="16">
        <f t="shared" si="37"/>
        <v>2</v>
      </c>
      <c r="I106" s="16">
        <f t="shared" si="37"/>
        <v>124</v>
      </c>
      <c r="J106" s="16">
        <f t="shared" si="37"/>
        <v>67</v>
      </c>
      <c r="K106" s="16">
        <f t="shared" si="37"/>
        <v>16</v>
      </c>
      <c r="L106" s="16">
        <f t="shared" si="37"/>
        <v>7</v>
      </c>
      <c r="M106" s="16">
        <f t="shared" si="37"/>
        <v>8630</v>
      </c>
      <c r="N106" s="16">
        <f t="shared" si="37"/>
        <v>0</v>
      </c>
      <c r="O106" s="16">
        <f t="shared" si="37"/>
        <v>7605</v>
      </c>
      <c r="P106" s="16">
        <f t="shared" si="37"/>
        <v>16235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0.32171234986141051</v>
      </c>
      <c r="D107" s="43">
        <f t="shared" si="38"/>
        <v>9.5903911302740993E-2</v>
      </c>
      <c r="E107" s="43">
        <f t="shared" si="38"/>
        <v>2.5130890052356022E-2</v>
      </c>
      <c r="F107" s="43">
        <f t="shared" si="38"/>
        <v>1.1703110563597166E-2</v>
      </c>
      <c r="G107" s="43">
        <f t="shared" si="38"/>
        <v>6.7754850631352012E-4</v>
      </c>
      <c r="H107" s="43">
        <f t="shared" si="38"/>
        <v>1.2319063751154913E-4</v>
      </c>
      <c r="I107" s="43">
        <f t="shared" si="38"/>
        <v>7.6378195257160459E-3</v>
      </c>
      <c r="J107" s="43">
        <f t="shared" si="38"/>
        <v>4.126886356636896E-3</v>
      </c>
      <c r="K107" s="43">
        <f t="shared" si="38"/>
        <v>9.8552510009239304E-4</v>
      </c>
      <c r="L107" s="43">
        <f t="shared" si="38"/>
        <v>4.3116723129042191E-4</v>
      </c>
      <c r="M107" s="43">
        <f t="shared" si="38"/>
        <v>0.53156760086233446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0.68678500986193292</v>
      </c>
      <c r="D108" s="44">
        <f t="shared" ref="D108:N108" si="39">D106/$O$106</f>
        <v>0.20473372781065088</v>
      </c>
      <c r="E108" s="44">
        <f t="shared" si="39"/>
        <v>5.3648915187376724E-2</v>
      </c>
      <c r="F108" s="44">
        <f t="shared" si="39"/>
        <v>2.4983563445101907E-2</v>
      </c>
      <c r="G108" s="44">
        <f t="shared" si="39"/>
        <v>1.4464168310322155E-3</v>
      </c>
      <c r="H108" s="44">
        <f t="shared" si="39"/>
        <v>2.6298487836949375E-4</v>
      </c>
      <c r="I108" s="44">
        <f t="shared" si="39"/>
        <v>1.6305062458908611E-2</v>
      </c>
      <c r="J108" s="44">
        <f t="shared" si="39"/>
        <v>8.8099934253780404E-3</v>
      </c>
      <c r="K108" s="44">
        <f t="shared" si="39"/>
        <v>2.10387902695595E-3</v>
      </c>
      <c r="L108" s="44">
        <f t="shared" si="39"/>
        <v>9.2044707429322816E-4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249977111117893"/>
  </sheetPr>
  <dimension ref="B1:AF174"/>
  <sheetViews>
    <sheetView view="pageBreakPreview" topLeftCell="A43" zoomScale="60" workbookViewId="0">
      <selection activeCell="M12" sqref="M12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710937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'3.08 Jinja Road-KiraRoad-24h'!D5</f>
        <v>3.08.19</v>
      </c>
      <c r="E5" s="3"/>
      <c r="F5" s="41" t="s">
        <v>1</v>
      </c>
      <c r="G5" s="54" t="str">
        <f>'3.08 Jinja Road-KiraRoad-24h'!G5:H5</f>
        <v>Shell Petrol Station</v>
      </c>
      <c r="H5" s="55"/>
      <c r="I5" s="14"/>
      <c r="J5" s="2" t="s">
        <v>5</v>
      </c>
      <c r="K5" s="54" t="s">
        <v>182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Kira Road-Jinaj Road'!D6:E6</f>
        <v>Kira Road</v>
      </c>
      <c r="E6" s="55"/>
      <c r="F6" s="2" t="s">
        <v>2</v>
      </c>
      <c r="G6" s="54" t="str">
        <f>'29.07 Kira Road-Jinaj Road'!G6:H6</f>
        <v>Jinja Road</v>
      </c>
      <c r="H6" s="55"/>
      <c r="J6" s="2" t="s">
        <v>21</v>
      </c>
      <c r="K6" s="54" t="str">
        <f>'3.08 Jinja Road-KiraRoad-24h'!K6:L6</f>
        <v>Steven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45" t="s">
        <v>37</v>
      </c>
      <c r="C10" s="50">
        <v>35</v>
      </c>
      <c r="D10" s="50">
        <v>13</v>
      </c>
      <c r="E10" s="50">
        <v>1</v>
      </c>
      <c r="F10" s="50">
        <v>3</v>
      </c>
      <c r="G10" s="50">
        <v>0</v>
      </c>
      <c r="H10" s="50">
        <v>0</v>
      </c>
      <c r="I10" s="50">
        <v>3</v>
      </c>
      <c r="J10" s="50">
        <v>0</v>
      </c>
      <c r="K10" s="50">
        <v>0</v>
      </c>
      <c r="L10" s="50">
        <v>0</v>
      </c>
      <c r="M10" s="50">
        <v>80</v>
      </c>
      <c r="N10" s="50">
        <v>0</v>
      </c>
      <c r="O10" s="15">
        <f t="shared" ref="O10:O73" si="0">SUM(C10:L10,N10)</f>
        <v>55</v>
      </c>
      <c r="P10" s="15">
        <f t="shared" ref="P10:P73" si="1">SUM(C10:N10)</f>
        <v>135</v>
      </c>
      <c r="R10" s="1" t="s">
        <v>6</v>
      </c>
      <c r="S10" s="17">
        <f t="shared" ref="S10:AF10" si="2">SUM(C10:C13)</f>
        <v>100</v>
      </c>
      <c r="T10" s="17">
        <f t="shared" si="2"/>
        <v>31</v>
      </c>
      <c r="U10" s="17">
        <f t="shared" si="2"/>
        <v>10</v>
      </c>
      <c r="V10" s="17">
        <f t="shared" si="2"/>
        <v>4</v>
      </c>
      <c r="W10" s="17">
        <f t="shared" si="2"/>
        <v>1</v>
      </c>
      <c r="X10" s="17">
        <f t="shared" si="2"/>
        <v>0</v>
      </c>
      <c r="Y10" s="17">
        <f t="shared" si="2"/>
        <v>9</v>
      </c>
      <c r="Z10" s="17">
        <f t="shared" si="2"/>
        <v>0</v>
      </c>
      <c r="AA10" s="17">
        <f t="shared" si="2"/>
        <v>0</v>
      </c>
      <c r="AB10" s="17">
        <f t="shared" si="2"/>
        <v>0</v>
      </c>
      <c r="AC10" s="17">
        <f t="shared" si="2"/>
        <v>289</v>
      </c>
      <c r="AD10" s="17">
        <f t="shared" si="2"/>
        <v>0</v>
      </c>
      <c r="AE10" s="31">
        <f t="shared" si="2"/>
        <v>155</v>
      </c>
      <c r="AF10" s="31">
        <f t="shared" si="2"/>
        <v>444</v>
      </c>
    </row>
    <row r="11" spans="2:32" s="6" customFormat="1" ht="23.1" customHeight="1" x14ac:dyDescent="0.25">
      <c r="B11" s="45" t="s">
        <v>38</v>
      </c>
      <c r="C11" s="50">
        <v>25</v>
      </c>
      <c r="D11" s="50">
        <v>7</v>
      </c>
      <c r="E11" s="50">
        <v>6</v>
      </c>
      <c r="F11" s="50">
        <v>0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36</v>
      </c>
      <c r="N11" s="50">
        <v>0</v>
      </c>
      <c r="O11" s="15">
        <f t="shared" si="0"/>
        <v>39</v>
      </c>
      <c r="P11" s="15">
        <f t="shared" si="1"/>
        <v>75</v>
      </c>
      <c r="R11" s="1" t="s">
        <v>7</v>
      </c>
      <c r="S11" s="17">
        <f t="shared" ref="S11:AF11" si="3">SUM(C14:C17)</f>
        <v>236</v>
      </c>
      <c r="T11" s="17">
        <f t="shared" si="3"/>
        <v>112</v>
      </c>
      <c r="U11" s="17">
        <f t="shared" si="3"/>
        <v>27</v>
      </c>
      <c r="V11" s="17">
        <f t="shared" si="3"/>
        <v>11</v>
      </c>
      <c r="W11" s="17">
        <f t="shared" si="3"/>
        <v>1</v>
      </c>
      <c r="X11" s="17">
        <f t="shared" si="3"/>
        <v>0</v>
      </c>
      <c r="Y11" s="17">
        <f t="shared" si="3"/>
        <v>17</v>
      </c>
      <c r="Z11" s="17">
        <f t="shared" si="3"/>
        <v>10</v>
      </c>
      <c r="AA11" s="17">
        <f t="shared" si="3"/>
        <v>0</v>
      </c>
      <c r="AB11" s="17">
        <f t="shared" si="3"/>
        <v>0</v>
      </c>
      <c r="AC11" s="17">
        <f t="shared" si="3"/>
        <v>664</v>
      </c>
      <c r="AD11" s="17">
        <f t="shared" si="3"/>
        <v>0</v>
      </c>
      <c r="AE11" s="31">
        <f t="shared" si="3"/>
        <v>414</v>
      </c>
      <c r="AF11" s="31">
        <f t="shared" si="3"/>
        <v>1078</v>
      </c>
    </row>
    <row r="12" spans="2:32" ht="23.1" customHeight="1" x14ac:dyDescent="0.25">
      <c r="B12" s="45" t="s">
        <v>39</v>
      </c>
      <c r="C12" s="50">
        <v>25</v>
      </c>
      <c r="D12" s="50">
        <v>10</v>
      </c>
      <c r="E12" s="50">
        <v>2</v>
      </c>
      <c r="F12" s="50">
        <v>1</v>
      </c>
      <c r="G12" s="50">
        <v>1</v>
      </c>
      <c r="H12" s="50">
        <v>0</v>
      </c>
      <c r="I12" s="50">
        <v>3</v>
      </c>
      <c r="J12" s="50">
        <v>0</v>
      </c>
      <c r="K12" s="50">
        <v>0</v>
      </c>
      <c r="L12" s="50">
        <v>0</v>
      </c>
      <c r="M12" s="50">
        <v>35</v>
      </c>
      <c r="N12" s="50">
        <v>0</v>
      </c>
      <c r="O12" s="15">
        <f t="shared" si="0"/>
        <v>42</v>
      </c>
      <c r="P12" s="15">
        <f t="shared" si="1"/>
        <v>77</v>
      </c>
      <c r="R12" s="1" t="s">
        <v>8</v>
      </c>
      <c r="S12" s="17">
        <f t="shared" ref="S12:AF12" si="4">SUM(C18:C21)</f>
        <v>368</v>
      </c>
      <c r="T12" s="17">
        <f t="shared" si="4"/>
        <v>237</v>
      </c>
      <c r="U12" s="17">
        <f t="shared" si="4"/>
        <v>29</v>
      </c>
      <c r="V12" s="17">
        <f t="shared" si="4"/>
        <v>11</v>
      </c>
      <c r="W12" s="17">
        <f t="shared" si="4"/>
        <v>1</v>
      </c>
      <c r="X12" s="17">
        <f t="shared" si="4"/>
        <v>0</v>
      </c>
      <c r="Y12" s="17">
        <f t="shared" si="4"/>
        <v>16</v>
      </c>
      <c r="Z12" s="17">
        <f t="shared" si="4"/>
        <v>9</v>
      </c>
      <c r="AA12" s="17">
        <f t="shared" si="4"/>
        <v>2</v>
      </c>
      <c r="AB12" s="17">
        <f t="shared" si="4"/>
        <v>1</v>
      </c>
      <c r="AC12" s="17">
        <f t="shared" si="4"/>
        <v>681</v>
      </c>
      <c r="AD12" s="17">
        <f t="shared" si="4"/>
        <v>0</v>
      </c>
      <c r="AE12" s="31">
        <f t="shared" si="4"/>
        <v>674</v>
      </c>
      <c r="AF12" s="31">
        <f t="shared" si="4"/>
        <v>1355</v>
      </c>
    </row>
    <row r="13" spans="2:32" ht="23.1" customHeight="1" x14ac:dyDescent="0.25">
      <c r="B13" s="45" t="s">
        <v>40</v>
      </c>
      <c r="C13" s="50">
        <v>15</v>
      </c>
      <c r="D13" s="50">
        <v>1</v>
      </c>
      <c r="E13" s="50">
        <v>1</v>
      </c>
      <c r="F13" s="50">
        <v>0</v>
      </c>
      <c r="G13" s="50">
        <v>0</v>
      </c>
      <c r="H13" s="50">
        <v>0</v>
      </c>
      <c r="I13" s="50">
        <v>2</v>
      </c>
      <c r="J13" s="50">
        <v>0</v>
      </c>
      <c r="K13" s="50">
        <v>0</v>
      </c>
      <c r="L13" s="50">
        <v>0</v>
      </c>
      <c r="M13" s="50">
        <v>138</v>
      </c>
      <c r="N13" s="50">
        <v>0</v>
      </c>
      <c r="O13" s="15">
        <f t="shared" si="0"/>
        <v>19</v>
      </c>
      <c r="P13" s="15">
        <f t="shared" si="1"/>
        <v>157</v>
      </c>
      <c r="R13" s="1" t="s">
        <v>9</v>
      </c>
      <c r="S13" s="17">
        <f t="shared" ref="S13:AF13" si="5">SUM(C22:C25)</f>
        <v>426</v>
      </c>
      <c r="T13" s="17">
        <f t="shared" si="5"/>
        <v>396</v>
      </c>
      <c r="U13" s="17">
        <f t="shared" si="5"/>
        <v>118</v>
      </c>
      <c r="V13" s="17">
        <f t="shared" si="5"/>
        <v>8</v>
      </c>
      <c r="W13" s="17">
        <f t="shared" si="5"/>
        <v>2</v>
      </c>
      <c r="X13" s="17">
        <f t="shared" si="5"/>
        <v>0</v>
      </c>
      <c r="Y13" s="17">
        <f t="shared" si="5"/>
        <v>23</v>
      </c>
      <c r="Z13" s="17">
        <f t="shared" si="5"/>
        <v>6</v>
      </c>
      <c r="AA13" s="17">
        <f t="shared" si="5"/>
        <v>3</v>
      </c>
      <c r="AB13" s="17">
        <f t="shared" si="5"/>
        <v>0</v>
      </c>
      <c r="AC13" s="17">
        <f t="shared" si="5"/>
        <v>666</v>
      </c>
      <c r="AD13" s="17">
        <f t="shared" si="5"/>
        <v>0</v>
      </c>
      <c r="AE13" s="31">
        <f t="shared" si="5"/>
        <v>982</v>
      </c>
      <c r="AF13" s="31">
        <f t="shared" si="5"/>
        <v>1648</v>
      </c>
    </row>
    <row r="14" spans="2:32" ht="23.1" customHeight="1" x14ac:dyDescent="0.25">
      <c r="B14" s="45" t="s">
        <v>41</v>
      </c>
      <c r="C14" s="50">
        <v>51</v>
      </c>
      <c r="D14" s="50">
        <v>20</v>
      </c>
      <c r="E14" s="50">
        <v>7</v>
      </c>
      <c r="F14" s="50">
        <v>4</v>
      </c>
      <c r="G14" s="50">
        <v>1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119</v>
      </c>
      <c r="N14" s="50">
        <v>0</v>
      </c>
      <c r="O14" s="15">
        <f t="shared" si="0"/>
        <v>84</v>
      </c>
      <c r="P14" s="15">
        <f t="shared" si="1"/>
        <v>203</v>
      </c>
      <c r="R14" s="1" t="s">
        <v>10</v>
      </c>
      <c r="S14" s="17">
        <f t="shared" ref="S14:AF14" si="6">SUM(C26:C29)</f>
        <v>344</v>
      </c>
      <c r="T14" s="17">
        <f t="shared" si="6"/>
        <v>458</v>
      </c>
      <c r="U14" s="17">
        <f t="shared" si="6"/>
        <v>37</v>
      </c>
      <c r="V14" s="17">
        <f t="shared" si="6"/>
        <v>7</v>
      </c>
      <c r="W14" s="17">
        <f t="shared" si="6"/>
        <v>1</v>
      </c>
      <c r="X14" s="17">
        <f t="shared" si="6"/>
        <v>0</v>
      </c>
      <c r="Y14" s="17">
        <f t="shared" si="6"/>
        <v>27</v>
      </c>
      <c r="Z14" s="17">
        <f t="shared" si="6"/>
        <v>9</v>
      </c>
      <c r="AA14" s="17">
        <f t="shared" si="6"/>
        <v>0</v>
      </c>
      <c r="AB14" s="17">
        <f t="shared" si="6"/>
        <v>1</v>
      </c>
      <c r="AC14" s="17">
        <f t="shared" si="6"/>
        <v>804</v>
      </c>
      <c r="AD14" s="17">
        <f t="shared" si="6"/>
        <v>0</v>
      </c>
      <c r="AE14" s="31">
        <f t="shared" si="6"/>
        <v>884</v>
      </c>
      <c r="AF14" s="31">
        <f t="shared" si="6"/>
        <v>1688</v>
      </c>
    </row>
    <row r="15" spans="2:32" ht="23.1" customHeight="1" x14ac:dyDescent="0.25">
      <c r="B15" s="45" t="s">
        <v>42</v>
      </c>
      <c r="C15" s="50">
        <v>53</v>
      </c>
      <c r="D15" s="50">
        <v>35</v>
      </c>
      <c r="E15" s="50">
        <v>7</v>
      </c>
      <c r="F15" s="50">
        <v>4</v>
      </c>
      <c r="G15" s="50">
        <v>0</v>
      </c>
      <c r="H15" s="50">
        <v>0</v>
      </c>
      <c r="I15" s="50">
        <v>8</v>
      </c>
      <c r="J15" s="50">
        <v>3</v>
      </c>
      <c r="K15" s="50">
        <v>0</v>
      </c>
      <c r="L15" s="50">
        <v>0</v>
      </c>
      <c r="M15" s="50">
        <v>187</v>
      </c>
      <c r="N15" s="50">
        <v>0</v>
      </c>
      <c r="O15" s="15">
        <f t="shared" si="0"/>
        <v>110</v>
      </c>
      <c r="P15" s="15">
        <f t="shared" si="1"/>
        <v>297</v>
      </c>
      <c r="R15" s="1" t="s">
        <v>11</v>
      </c>
      <c r="S15" s="17">
        <f t="shared" ref="S15:AF15" si="7">SUM(C30:C33)</f>
        <v>417</v>
      </c>
      <c r="T15" s="17">
        <f t="shared" si="7"/>
        <v>427</v>
      </c>
      <c r="U15" s="17">
        <f t="shared" si="7"/>
        <v>26</v>
      </c>
      <c r="V15" s="17">
        <f t="shared" si="7"/>
        <v>0</v>
      </c>
      <c r="W15" s="17">
        <f t="shared" si="7"/>
        <v>0</v>
      </c>
      <c r="X15" s="17">
        <f t="shared" si="7"/>
        <v>0</v>
      </c>
      <c r="Y15" s="17">
        <f t="shared" si="7"/>
        <v>35</v>
      </c>
      <c r="Z15" s="17">
        <f t="shared" si="7"/>
        <v>7</v>
      </c>
      <c r="AA15" s="17">
        <f t="shared" si="7"/>
        <v>1</v>
      </c>
      <c r="AB15" s="17">
        <f t="shared" si="7"/>
        <v>1</v>
      </c>
      <c r="AC15" s="17">
        <f t="shared" si="7"/>
        <v>666</v>
      </c>
      <c r="AD15" s="17">
        <f t="shared" si="7"/>
        <v>0</v>
      </c>
      <c r="AE15" s="31">
        <f t="shared" si="7"/>
        <v>914</v>
      </c>
      <c r="AF15" s="31">
        <f t="shared" si="7"/>
        <v>1580</v>
      </c>
    </row>
    <row r="16" spans="2:32" ht="23.1" customHeight="1" x14ac:dyDescent="0.25">
      <c r="B16" s="45" t="s">
        <v>43</v>
      </c>
      <c r="C16" s="50">
        <v>63</v>
      </c>
      <c r="D16" s="50">
        <v>30</v>
      </c>
      <c r="E16" s="50">
        <v>6</v>
      </c>
      <c r="F16" s="50">
        <v>2</v>
      </c>
      <c r="G16" s="50">
        <v>0</v>
      </c>
      <c r="H16" s="50">
        <v>0</v>
      </c>
      <c r="I16" s="50">
        <v>5</v>
      </c>
      <c r="J16" s="50">
        <v>4</v>
      </c>
      <c r="K16" s="50">
        <v>0</v>
      </c>
      <c r="L16" s="50">
        <v>0</v>
      </c>
      <c r="M16" s="50">
        <v>177</v>
      </c>
      <c r="N16" s="50">
        <v>0</v>
      </c>
      <c r="O16" s="15">
        <f t="shared" si="0"/>
        <v>110</v>
      </c>
      <c r="P16" s="15">
        <f t="shared" si="1"/>
        <v>287</v>
      </c>
      <c r="R16" s="1" t="s">
        <v>12</v>
      </c>
      <c r="S16" s="17">
        <f t="shared" ref="S16:AF16" si="8">SUM(C34:C37)</f>
        <v>362</v>
      </c>
      <c r="T16" s="17">
        <f t="shared" si="8"/>
        <v>432</v>
      </c>
      <c r="U16" s="17">
        <f t="shared" si="8"/>
        <v>30</v>
      </c>
      <c r="V16" s="17">
        <f t="shared" si="8"/>
        <v>12</v>
      </c>
      <c r="W16" s="17">
        <f t="shared" si="8"/>
        <v>1</v>
      </c>
      <c r="X16" s="17">
        <f t="shared" si="8"/>
        <v>1</v>
      </c>
      <c r="Y16" s="17">
        <f t="shared" si="8"/>
        <v>21</v>
      </c>
      <c r="Z16" s="17">
        <f t="shared" si="8"/>
        <v>12</v>
      </c>
      <c r="AA16" s="17">
        <f t="shared" si="8"/>
        <v>3</v>
      </c>
      <c r="AB16" s="17">
        <f t="shared" si="8"/>
        <v>0</v>
      </c>
      <c r="AC16" s="17">
        <f t="shared" si="8"/>
        <v>705</v>
      </c>
      <c r="AD16" s="17">
        <f t="shared" si="8"/>
        <v>0</v>
      </c>
      <c r="AE16" s="31">
        <f t="shared" si="8"/>
        <v>874</v>
      </c>
      <c r="AF16" s="31">
        <f t="shared" si="8"/>
        <v>1579</v>
      </c>
    </row>
    <row r="17" spans="2:32" ht="23.1" customHeight="1" x14ac:dyDescent="0.25">
      <c r="B17" s="45" t="s">
        <v>44</v>
      </c>
      <c r="C17" s="50">
        <v>69</v>
      </c>
      <c r="D17" s="50">
        <v>27</v>
      </c>
      <c r="E17" s="50">
        <v>7</v>
      </c>
      <c r="F17" s="50">
        <v>1</v>
      </c>
      <c r="G17" s="50">
        <v>0</v>
      </c>
      <c r="H17" s="50">
        <v>0</v>
      </c>
      <c r="I17" s="50">
        <v>4</v>
      </c>
      <c r="J17" s="50">
        <v>2</v>
      </c>
      <c r="K17" s="50">
        <v>0</v>
      </c>
      <c r="L17" s="50">
        <v>0</v>
      </c>
      <c r="M17" s="50">
        <v>181</v>
      </c>
      <c r="N17" s="50">
        <v>0</v>
      </c>
      <c r="O17" s="15">
        <f t="shared" si="0"/>
        <v>110</v>
      </c>
      <c r="P17" s="15">
        <f t="shared" si="1"/>
        <v>291</v>
      </c>
      <c r="R17" s="1" t="s">
        <v>13</v>
      </c>
      <c r="S17" s="17">
        <f t="shared" ref="S17:AF17" si="9">SUM(C38:C41)</f>
        <v>446</v>
      </c>
      <c r="T17" s="17">
        <f t="shared" si="9"/>
        <v>318</v>
      </c>
      <c r="U17" s="17">
        <f t="shared" si="9"/>
        <v>34</v>
      </c>
      <c r="V17" s="17">
        <f t="shared" si="9"/>
        <v>19</v>
      </c>
      <c r="W17" s="17">
        <f t="shared" si="9"/>
        <v>2</v>
      </c>
      <c r="X17" s="17">
        <f t="shared" si="9"/>
        <v>0</v>
      </c>
      <c r="Y17" s="17">
        <f t="shared" si="9"/>
        <v>16</v>
      </c>
      <c r="Z17" s="17">
        <f t="shared" si="9"/>
        <v>8</v>
      </c>
      <c r="AA17" s="17">
        <f t="shared" si="9"/>
        <v>3</v>
      </c>
      <c r="AB17" s="17">
        <f t="shared" si="9"/>
        <v>0</v>
      </c>
      <c r="AC17" s="17">
        <f t="shared" si="9"/>
        <v>744</v>
      </c>
      <c r="AD17" s="17">
        <f t="shared" si="9"/>
        <v>0</v>
      </c>
      <c r="AE17" s="31">
        <f t="shared" si="9"/>
        <v>846</v>
      </c>
      <c r="AF17" s="31">
        <f t="shared" si="9"/>
        <v>1590</v>
      </c>
    </row>
    <row r="18" spans="2:32" ht="23.1" customHeight="1" x14ac:dyDescent="0.25">
      <c r="B18" s="45" t="s">
        <v>45</v>
      </c>
      <c r="C18" s="50">
        <v>90</v>
      </c>
      <c r="D18" s="50">
        <v>37</v>
      </c>
      <c r="E18" s="50">
        <v>4</v>
      </c>
      <c r="F18" s="50">
        <v>1</v>
      </c>
      <c r="G18" s="50">
        <v>0</v>
      </c>
      <c r="H18" s="50">
        <v>0</v>
      </c>
      <c r="I18" s="50">
        <v>3</v>
      </c>
      <c r="J18" s="50">
        <v>2</v>
      </c>
      <c r="K18" s="50">
        <v>0</v>
      </c>
      <c r="L18" s="50">
        <v>0</v>
      </c>
      <c r="M18" s="50">
        <v>221</v>
      </c>
      <c r="N18" s="50">
        <v>0</v>
      </c>
      <c r="O18" s="15">
        <f t="shared" si="0"/>
        <v>137</v>
      </c>
      <c r="P18" s="15">
        <f t="shared" si="1"/>
        <v>358</v>
      </c>
      <c r="R18" s="1" t="s">
        <v>14</v>
      </c>
      <c r="S18" s="17">
        <f t="shared" ref="S18:AF18" si="10">SUM(C42:C45)</f>
        <v>392</v>
      </c>
      <c r="T18" s="17">
        <f t="shared" si="10"/>
        <v>249</v>
      </c>
      <c r="U18" s="17">
        <f t="shared" si="10"/>
        <v>23</v>
      </c>
      <c r="V18" s="17">
        <f t="shared" si="10"/>
        <v>16</v>
      </c>
      <c r="W18" s="17">
        <f t="shared" si="10"/>
        <v>0</v>
      </c>
      <c r="X18" s="17">
        <f t="shared" si="10"/>
        <v>0</v>
      </c>
      <c r="Y18" s="17">
        <f t="shared" si="10"/>
        <v>29</v>
      </c>
      <c r="Z18" s="17">
        <f t="shared" si="10"/>
        <v>4</v>
      </c>
      <c r="AA18" s="17">
        <f t="shared" si="10"/>
        <v>0</v>
      </c>
      <c r="AB18" s="17">
        <f t="shared" si="10"/>
        <v>0</v>
      </c>
      <c r="AC18" s="17">
        <f t="shared" si="10"/>
        <v>857</v>
      </c>
      <c r="AD18" s="17">
        <f t="shared" si="10"/>
        <v>0</v>
      </c>
      <c r="AE18" s="31">
        <f t="shared" si="10"/>
        <v>713</v>
      </c>
      <c r="AF18" s="31">
        <f t="shared" si="10"/>
        <v>1570</v>
      </c>
    </row>
    <row r="19" spans="2:32" ht="23.1" customHeight="1" x14ac:dyDescent="0.25">
      <c r="B19" s="45" t="s">
        <v>46</v>
      </c>
      <c r="C19" s="50">
        <v>82</v>
      </c>
      <c r="D19" s="50">
        <v>40</v>
      </c>
      <c r="E19" s="50">
        <v>4</v>
      </c>
      <c r="F19" s="50">
        <v>4</v>
      </c>
      <c r="G19" s="50">
        <v>0</v>
      </c>
      <c r="H19" s="50">
        <v>0</v>
      </c>
      <c r="I19" s="50">
        <v>5</v>
      </c>
      <c r="J19" s="50">
        <v>2</v>
      </c>
      <c r="K19" s="50">
        <v>0</v>
      </c>
      <c r="L19" s="50">
        <v>0</v>
      </c>
      <c r="M19" s="50">
        <v>125</v>
      </c>
      <c r="N19" s="50">
        <v>0</v>
      </c>
      <c r="O19" s="15">
        <f t="shared" si="0"/>
        <v>137</v>
      </c>
      <c r="P19" s="15">
        <f t="shared" si="1"/>
        <v>262</v>
      </c>
      <c r="R19" s="1" t="s">
        <v>15</v>
      </c>
      <c r="S19" s="17">
        <f t="shared" ref="S19:AF19" si="11">SUM(C46:C49)</f>
        <v>454</v>
      </c>
      <c r="T19" s="17">
        <f t="shared" si="11"/>
        <v>280</v>
      </c>
      <c r="U19" s="17">
        <f t="shared" si="11"/>
        <v>31</v>
      </c>
      <c r="V19" s="17">
        <f t="shared" si="11"/>
        <v>12</v>
      </c>
      <c r="W19" s="17">
        <f t="shared" si="11"/>
        <v>2</v>
      </c>
      <c r="X19" s="17">
        <f t="shared" si="11"/>
        <v>0</v>
      </c>
      <c r="Y19" s="17">
        <f t="shared" si="11"/>
        <v>26</v>
      </c>
      <c r="Z19" s="17">
        <f t="shared" si="11"/>
        <v>4</v>
      </c>
      <c r="AA19" s="17">
        <f t="shared" si="11"/>
        <v>4</v>
      </c>
      <c r="AB19" s="17">
        <f t="shared" si="11"/>
        <v>0</v>
      </c>
      <c r="AC19" s="17">
        <f t="shared" si="11"/>
        <v>679</v>
      </c>
      <c r="AD19" s="17">
        <f t="shared" si="11"/>
        <v>0</v>
      </c>
      <c r="AE19" s="31">
        <f t="shared" si="11"/>
        <v>813</v>
      </c>
      <c r="AF19" s="31">
        <f t="shared" si="11"/>
        <v>1492</v>
      </c>
    </row>
    <row r="20" spans="2:32" ht="23.1" customHeight="1" x14ac:dyDescent="0.25">
      <c r="B20" s="45" t="s">
        <v>47</v>
      </c>
      <c r="C20" s="50">
        <v>96</v>
      </c>
      <c r="D20" s="50">
        <v>85</v>
      </c>
      <c r="E20" s="50">
        <v>12</v>
      </c>
      <c r="F20" s="50">
        <v>2</v>
      </c>
      <c r="G20" s="50">
        <v>0</v>
      </c>
      <c r="H20" s="50">
        <v>0</v>
      </c>
      <c r="I20" s="50">
        <v>4</v>
      </c>
      <c r="J20" s="50">
        <v>1</v>
      </c>
      <c r="K20" s="50">
        <v>2</v>
      </c>
      <c r="L20" s="50">
        <v>1</v>
      </c>
      <c r="M20" s="50">
        <v>159</v>
      </c>
      <c r="N20" s="50">
        <v>0</v>
      </c>
      <c r="O20" s="15">
        <f t="shared" si="0"/>
        <v>203</v>
      </c>
      <c r="P20" s="15">
        <f t="shared" si="1"/>
        <v>362</v>
      </c>
      <c r="R20" s="1" t="s">
        <v>16</v>
      </c>
      <c r="S20" s="17">
        <f t="shared" ref="S20:AF20" si="12">SUM(C50:C53)</f>
        <v>9342</v>
      </c>
      <c r="T20" s="17">
        <f t="shared" si="12"/>
        <v>261</v>
      </c>
      <c r="U20" s="17">
        <f t="shared" si="12"/>
        <v>38</v>
      </c>
      <c r="V20" s="17">
        <f t="shared" si="12"/>
        <v>11</v>
      </c>
      <c r="W20" s="17">
        <f t="shared" si="12"/>
        <v>0</v>
      </c>
      <c r="X20" s="17">
        <f t="shared" si="12"/>
        <v>0</v>
      </c>
      <c r="Y20" s="17">
        <f t="shared" si="12"/>
        <v>19</v>
      </c>
      <c r="Z20" s="17">
        <f t="shared" si="12"/>
        <v>8</v>
      </c>
      <c r="AA20" s="17">
        <f t="shared" si="12"/>
        <v>1</v>
      </c>
      <c r="AB20" s="17">
        <f t="shared" si="12"/>
        <v>0</v>
      </c>
      <c r="AC20" s="17">
        <f t="shared" si="12"/>
        <v>665</v>
      </c>
      <c r="AD20" s="17">
        <f t="shared" si="12"/>
        <v>0</v>
      </c>
      <c r="AE20" s="31">
        <f t="shared" si="12"/>
        <v>9680</v>
      </c>
      <c r="AF20" s="31">
        <f t="shared" si="12"/>
        <v>10345</v>
      </c>
    </row>
    <row r="21" spans="2:32" ht="23.1" customHeight="1" x14ac:dyDescent="0.25">
      <c r="B21" s="45" t="s">
        <v>48</v>
      </c>
      <c r="C21" s="50">
        <v>100</v>
      </c>
      <c r="D21" s="50">
        <v>75</v>
      </c>
      <c r="E21" s="50">
        <v>9</v>
      </c>
      <c r="F21" s="50">
        <v>4</v>
      </c>
      <c r="G21" s="50">
        <v>1</v>
      </c>
      <c r="H21" s="50">
        <v>0</v>
      </c>
      <c r="I21" s="50">
        <v>4</v>
      </c>
      <c r="J21" s="50">
        <v>4</v>
      </c>
      <c r="K21" s="50">
        <v>0</v>
      </c>
      <c r="L21" s="50">
        <v>0</v>
      </c>
      <c r="M21" s="50">
        <v>176</v>
      </c>
      <c r="N21" s="50">
        <v>0</v>
      </c>
      <c r="O21" s="15">
        <f t="shared" si="0"/>
        <v>197</v>
      </c>
      <c r="P21" s="15">
        <f t="shared" si="1"/>
        <v>373</v>
      </c>
      <c r="R21" s="36" t="s">
        <v>20</v>
      </c>
      <c r="S21" s="34">
        <f t="shared" ref="S21:AF21" si="13">SUM(C54:C57)</f>
        <v>338</v>
      </c>
      <c r="T21" s="17">
        <f t="shared" si="13"/>
        <v>199</v>
      </c>
      <c r="U21" s="17">
        <f t="shared" si="13"/>
        <v>38</v>
      </c>
      <c r="V21" s="17">
        <f t="shared" si="13"/>
        <v>16</v>
      </c>
      <c r="W21" s="17">
        <f t="shared" si="13"/>
        <v>0</v>
      </c>
      <c r="X21" s="17">
        <f t="shared" si="13"/>
        <v>0</v>
      </c>
      <c r="Y21" s="17">
        <f t="shared" si="13"/>
        <v>2</v>
      </c>
      <c r="Z21" s="17">
        <f t="shared" si="13"/>
        <v>3</v>
      </c>
      <c r="AA21" s="17">
        <f t="shared" si="13"/>
        <v>2</v>
      </c>
      <c r="AB21" s="17">
        <f t="shared" si="13"/>
        <v>0</v>
      </c>
      <c r="AC21" s="17">
        <f t="shared" si="13"/>
        <v>642</v>
      </c>
      <c r="AD21" s="17">
        <f t="shared" si="13"/>
        <v>0</v>
      </c>
      <c r="AE21" s="31">
        <f t="shared" si="13"/>
        <v>598</v>
      </c>
      <c r="AF21" s="31">
        <f t="shared" si="13"/>
        <v>1240</v>
      </c>
    </row>
    <row r="22" spans="2:32" ht="23.1" customHeight="1" x14ac:dyDescent="0.25">
      <c r="B22" s="45" t="s">
        <v>49</v>
      </c>
      <c r="C22" s="50">
        <v>125</v>
      </c>
      <c r="D22" s="50">
        <v>90</v>
      </c>
      <c r="E22" s="50">
        <v>99</v>
      </c>
      <c r="F22" s="50">
        <v>0</v>
      </c>
      <c r="G22" s="50">
        <v>0</v>
      </c>
      <c r="H22" s="50">
        <v>0</v>
      </c>
      <c r="I22" s="50">
        <v>5</v>
      </c>
      <c r="J22" s="50">
        <v>2</v>
      </c>
      <c r="K22" s="50">
        <v>1</v>
      </c>
      <c r="L22" s="50">
        <v>0</v>
      </c>
      <c r="M22" s="50">
        <v>128</v>
      </c>
      <c r="N22" s="50">
        <v>0</v>
      </c>
      <c r="O22" s="15">
        <f t="shared" si="0"/>
        <v>322</v>
      </c>
      <c r="P22" s="15">
        <f t="shared" si="1"/>
        <v>450</v>
      </c>
      <c r="R22" s="36" t="s">
        <v>146</v>
      </c>
      <c r="S22" s="34">
        <f>SUM(C58:C61)</f>
        <v>412</v>
      </c>
      <c r="T22" s="34">
        <f t="shared" ref="T22:AF22" si="14">SUM(D58:D61)</f>
        <v>237</v>
      </c>
      <c r="U22" s="34">
        <f t="shared" si="14"/>
        <v>42</v>
      </c>
      <c r="V22" s="34">
        <f t="shared" si="14"/>
        <v>15</v>
      </c>
      <c r="W22" s="34">
        <f t="shared" si="14"/>
        <v>0</v>
      </c>
      <c r="X22" s="34">
        <f t="shared" si="14"/>
        <v>0</v>
      </c>
      <c r="Y22" s="34">
        <f t="shared" si="14"/>
        <v>5</v>
      </c>
      <c r="Z22" s="34">
        <f t="shared" si="14"/>
        <v>5</v>
      </c>
      <c r="AA22" s="34">
        <f t="shared" si="14"/>
        <v>2</v>
      </c>
      <c r="AB22" s="34">
        <f t="shared" si="14"/>
        <v>2</v>
      </c>
      <c r="AC22" s="34">
        <f t="shared" si="14"/>
        <v>707</v>
      </c>
      <c r="AD22" s="34">
        <f t="shared" si="14"/>
        <v>0</v>
      </c>
      <c r="AE22" s="31">
        <f t="shared" si="14"/>
        <v>720</v>
      </c>
      <c r="AF22" s="31">
        <f t="shared" si="14"/>
        <v>1427</v>
      </c>
    </row>
    <row r="23" spans="2:32" ht="23.1" customHeight="1" x14ac:dyDescent="0.25">
      <c r="B23" s="45" t="s">
        <v>50</v>
      </c>
      <c r="C23" s="50">
        <v>85</v>
      </c>
      <c r="D23" s="50">
        <v>125</v>
      </c>
      <c r="E23" s="50">
        <v>6</v>
      </c>
      <c r="F23" s="50">
        <v>2</v>
      </c>
      <c r="G23" s="50">
        <v>2</v>
      </c>
      <c r="H23" s="50">
        <v>0</v>
      </c>
      <c r="I23" s="50">
        <v>4</v>
      </c>
      <c r="J23" s="50">
        <v>2</v>
      </c>
      <c r="K23" s="50">
        <v>1</v>
      </c>
      <c r="L23" s="50">
        <v>0</v>
      </c>
      <c r="M23" s="50">
        <v>166</v>
      </c>
      <c r="N23" s="50">
        <v>0</v>
      </c>
      <c r="O23" s="15">
        <f t="shared" si="0"/>
        <v>227</v>
      </c>
      <c r="P23" s="15">
        <f t="shared" si="1"/>
        <v>393</v>
      </c>
      <c r="R23" s="36" t="s">
        <v>147</v>
      </c>
      <c r="S23" s="34">
        <f>SUM(C62:C65)</f>
        <v>415</v>
      </c>
      <c r="T23" s="34">
        <f t="shared" ref="T23:AF23" si="15">SUM(D62:D65)</f>
        <v>248</v>
      </c>
      <c r="U23" s="34">
        <f t="shared" si="15"/>
        <v>69</v>
      </c>
      <c r="V23" s="34">
        <f t="shared" si="15"/>
        <v>24</v>
      </c>
      <c r="W23" s="34">
        <f t="shared" si="15"/>
        <v>1</v>
      </c>
      <c r="X23" s="34">
        <f t="shared" si="15"/>
        <v>0</v>
      </c>
      <c r="Y23" s="34">
        <f t="shared" si="15"/>
        <v>6</v>
      </c>
      <c r="Z23" s="34">
        <f t="shared" si="15"/>
        <v>0</v>
      </c>
      <c r="AA23" s="34">
        <f t="shared" si="15"/>
        <v>1</v>
      </c>
      <c r="AB23" s="34">
        <f t="shared" si="15"/>
        <v>1</v>
      </c>
      <c r="AC23" s="34">
        <f t="shared" si="15"/>
        <v>550</v>
      </c>
      <c r="AD23" s="34">
        <f t="shared" si="15"/>
        <v>0</v>
      </c>
      <c r="AE23" s="31">
        <f t="shared" si="15"/>
        <v>765</v>
      </c>
      <c r="AF23" s="31">
        <f t="shared" si="15"/>
        <v>1315</v>
      </c>
    </row>
    <row r="24" spans="2:32" ht="23.1" customHeight="1" x14ac:dyDescent="0.25">
      <c r="B24" s="45" t="s">
        <v>51</v>
      </c>
      <c r="C24" s="50">
        <v>100</v>
      </c>
      <c r="D24" s="50">
        <v>95</v>
      </c>
      <c r="E24" s="50">
        <v>6</v>
      </c>
      <c r="F24" s="50">
        <v>6</v>
      </c>
      <c r="G24" s="50">
        <v>0</v>
      </c>
      <c r="H24" s="50">
        <v>0</v>
      </c>
      <c r="I24" s="50">
        <v>10</v>
      </c>
      <c r="J24" s="50">
        <v>0</v>
      </c>
      <c r="K24" s="50">
        <v>1</v>
      </c>
      <c r="L24" s="50">
        <v>0</v>
      </c>
      <c r="M24" s="50">
        <v>165</v>
      </c>
      <c r="N24" s="50">
        <v>0</v>
      </c>
      <c r="O24" s="15">
        <f t="shared" si="0"/>
        <v>218</v>
      </c>
      <c r="P24" s="15">
        <f t="shared" si="1"/>
        <v>383</v>
      </c>
      <c r="R24" s="36" t="s">
        <v>148</v>
      </c>
      <c r="S24" s="34">
        <f>SUM(C66:C69)</f>
        <v>369</v>
      </c>
      <c r="T24" s="34">
        <f t="shared" ref="T24:AF24" si="16">SUM(D66:D69)</f>
        <v>223</v>
      </c>
      <c r="U24" s="34">
        <f t="shared" si="16"/>
        <v>56</v>
      </c>
      <c r="V24" s="34">
        <f t="shared" si="16"/>
        <v>19</v>
      </c>
      <c r="W24" s="34">
        <f t="shared" si="16"/>
        <v>1</v>
      </c>
      <c r="X24" s="34">
        <f t="shared" si="16"/>
        <v>0</v>
      </c>
      <c r="Y24" s="34">
        <f t="shared" si="16"/>
        <v>8</v>
      </c>
      <c r="Z24" s="34">
        <f t="shared" si="16"/>
        <v>2</v>
      </c>
      <c r="AA24" s="34">
        <f t="shared" si="16"/>
        <v>2</v>
      </c>
      <c r="AB24" s="34">
        <f t="shared" si="16"/>
        <v>1</v>
      </c>
      <c r="AC24" s="34">
        <f t="shared" si="16"/>
        <v>352</v>
      </c>
      <c r="AD24" s="34">
        <f t="shared" si="16"/>
        <v>0</v>
      </c>
      <c r="AE24" s="31">
        <f t="shared" si="16"/>
        <v>681</v>
      </c>
      <c r="AF24" s="31">
        <f t="shared" si="16"/>
        <v>1033</v>
      </c>
    </row>
    <row r="25" spans="2:32" ht="23.1" customHeight="1" x14ac:dyDescent="0.25">
      <c r="B25" s="45" t="s">
        <v>52</v>
      </c>
      <c r="C25" s="50">
        <v>116</v>
      </c>
      <c r="D25" s="50">
        <v>86</v>
      </c>
      <c r="E25" s="50">
        <v>7</v>
      </c>
      <c r="F25" s="50">
        <v>0</v>
      </c>
      <c r="G25" s="50">
        <v>0</v>
      </c>
      <c r="H25" s="50">
        <v>0</v>
      </c>
      <c r="I25" s="50">
        <v>4</v>
      </c>
      <c r="J25" s="50">
        <v>2</v>
      </c>
      <c r="K25" s="50">
        <v>0</v>
      </c>
      <c r="L25" s="50">
        <v>0</v>
      </c>
      <c r="M25" s="50">
        <v>207</v>
      </c>
      <c r="N25" s="50">
        <v>0</v>
      </c>
      <c r="O25" s="15">
        <f t="shared" si="0"/>
        <v>215</v>
      </c>
      <c r="P25" s="15">
        <f t="shared" si="1"/>
        <v>422</v>
      </c>
      <c r="R25" s="36" t="s">
        <v>149</v>
      </c>
      <c r="S25" s="34">
        <f>SUM(C70:C73)</f>
        <v>413</v>
      </c>
      <c r="T25" s="34">
        <f t="shared" ref="T25:AF25" si="17">SUM(D70:D73)</f>
        <v>194</v>
      </c>
      <c r="U25" s="34">
        <f t="shared" si="17"/>
        <v>37</v>
      </c>
      <c r="V25" s="34">
        <f t="shared" si="17"/>
        <v>16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2</v>
      </c>
      <c r="AA25" s="34">
        <f t="shared" si="17"/>
        <v>2</v>
      </c>
      <c r="AB25" s="34">
        <f t="shared" si="17"/>
        <v>0</v>
      </c>
      <c r="AC25" s="34">
        <f t="shared" si="17"/>
        <v>266</v>
      </c>
      <c r="AD25" s="34">
        <f t="shared" si="17"/>
        <v>0</v>
      </c>
      <c r="AE25" s="31">
        <f t="shared" si="17"/>
        <v>669</v>
      </c>
      <c r="AF25" s="31">
        <f t="shared" si="17"/>
        <v>935</v>
      </c>
    </row>
    <row r="26" spans="2:32" ht="23.1" customHeight="1" x14ac:dyDescent="0.25">
      <c r="B26" s="45" t="s">
        <v>53</v>
      </c>
      <c r="C26" s="50">
        <v>135</v>
      </c>
      <c r="D26" s="50">
        <v>171</v>
      </c>
      <c r="E26" s="50">
        <v>8</v>
      </c>
      <c r="F26" s="50">
        <v>4</v>
      </c>
      <c r="G26" s="50">
        <v>0</v>
      </c>
      <c r="H26" s="50">
        <v>0</v>
      </c>
      <c r="I26" s="50">
        <v>9</v>
      </c>
      <c r="J26" s="50">
        <v>4</v>
      </c>
      <c r="K26" s="50">
        <v>0</v>
      </c>
      <c r="L26" s="50">
        <v>1</v>
      </c>
      <c r="M26" s="50">
        <v>190</v>
      </c>
      <c r="N26" s="50">
        <v>0</v>
      </c>
      <c r="O26" s="15">
        <f t="shared" si="0"/>
        <v>332</v>
      </c>
      <c r="P26" s="15">
        <f t="shared" si="1"/>
        <v>522</v>
      </c>
      <c r="R26" s="36" t="s">
        <v>150</v>
      </c>
      <c r="S26" s="34">
        <f>SUM(C74:C77)</f>
        <v>334</v>
      </c>
      <c r="T26" s="34">
        <f t="shared" ref="T26:AF26" si="18">SUM(D74:D77)</f>
        <v>196</v>
      </c>
      <c r="U26" s="34">
        <f t="shared" si="18"/>
        <v>33</v>
      </c>
      <c r="V26" s="34">
        <f t="shared" si="18"/>
        <v>5</v>
      </c>
      <c r="W26" s="34">
        <f t="shared" si="18"/>
        <v>3</v>
      </c>
      <c r="X26" s="34">
        <f t="shared" si="18"/>
        <v>0</v>
      </c>
      <c r="Y26" s="34">
        <f t="shared" si="18"/>
        <v>1</v>
      </c>
      <c r="Z26" s="34">
        <f t="shared" si="18"/>
        <v>2</v>
      </c>
      <c r="AA26" s="34">
        <f t="shared" si="18"/>
        <v>1</v>
      </c>
      <c r="AB26" s="34">
        <f t="shared" si="18"/>
        <v>0</v>
      </c>
      <c r="AC26" s="34">
        <f t="shared" si="18"/>
        <v>180</v>
      </c>
      <c r="AD26" s="34">
        <f t="shared" si="18"/>
        <v>0</v>
      </c>
      <c r="AE26" s="31">
        <f t="shared" si="18"/>
        <v>575</v>
      </c>
      <c r="AF26" s="31">
        <f t="shared" si="18"/>
        <v>755</v>
      </c>
    </row>
    <row r="27" spans="2:32" ht="23.1" customHeight="1" x14ac:dyDescent="0.25">
      <c r="B27" s="45" t="s">
        <v>54</v>
      </c>
      <c r="C27" s="50">
        <v>92</v>
      </c>
      <c r="D27" s="50">
        <v>107</v>
      </c>
      <c r="E27" s="50">
        <v>12</v>
      </c>
      <c r="F27" s="50">
        <v>1</v>
      </c>
      <c r="G27" s="50">
        <v>0</v>
      </c>
      <c r="H27" s="50">
        <v>0</v>
      </c>
      <c r="I27" s="50">
        <v>8</v>
      </c>
      <c r="J27" s="50">
        <v>0</v>
      </c>
      <c r="K27" s="50">
        <v>0</v>
      </c>
      <c r="L27" s="50">
        <v>0</v>
      </c>
      <c r="M27" s="50">
        <v>197</v>
      </c>
      <c r="N27" s="50">
        <v>0</v>
      </c>
      <c r="O27" s="15">
        <f t="shared" si="0"/>
        <v>220</v>
      </c>
      <c r="P27" s="15">
        <f t="shared" si="1"/>
        <v>417</v>
      </c>
      <c r="R27" s="36" t="s">
        <v>151</v>
      </c>
      <c r="S27" s="34">
        <f>SUM(C78:C81)</f>
        <v>262</v>
      </c>
      <c r="T27" s="34">
        <f t="shared" ref="T27:AF27" si="19">SUM(D78:D81)</f>
        <v>100</v>
      </c>
      <c r="U27" s="34">
        <f t="shared" si="19"/>
        <v>17</v>
      </c>
      <c r="V27" s="34">
        <f t="shared" si="19"/>
        <v>3</v>
      </c>
      <c r="W27" s="34">
        <f t="shared" si="19"/>
        <v>0</v>
      </c>
      <c r="X27" s="34">
        <f t="shared" si="19"/>
        <v>0</v>
      </c>
      <c r="Y27" s="34">
        <f t="shared" si="19"/>
        <v>2</v>
      </c>
      <c r="Z27" s="34">
        <f t="shared" si="19"/>
        <v>0</v>
      </c>
      <c r="AA27" s="34">
        <f t="shared" si="19"/>
        <v>0</v>
      </c>
      <c r="AB27" s="34">
        <f t="shared" si="19"/>
        <v>0</v>
      </c>
      <c r="AC27" s="34">
        <f t="shared" si="19"/>
        <v>111</v>
      </c>
      <c r="AD27" s="34">
        <f t="shared" si="19"/>
        <v>0</v>
      </c>
      <c r="AE27" s="31">
        <f t="shared" si="19"/>
        <v>384</v>
      </c>
      <c r="AF27" s="31">
        <f t="shared" si="19"/>
        <v>495</v>
      </c>
    </row>
    <row r="28" spans="2:32" ht="23.1" customHeight="1" x14ac:dyDescent="0.25">
      <c r="B28" s="45" t="s">
        <v>55</v>
      </c>
      <c r="C28" s="50">
        <v>65</v>
      </c>
      <c r="D28" s="50">
        <v>75</v>
      </c>
      <c r="E28" s="50">
        <v>8</v>
      </c>
      <c r="F28" s="50">
        <v>2</v>
      </c>
      <c r="G28" s="50">
        <v>1</v>
      </c>
      <c r="H28" s="50">
        <v>0</v>
      </c>
      <c r="I28" s="50">
        <v>4</v>
      </c>
      <c r="J28" s="50">
        <v>3</v>
      </c>
      <c r="K28" s="50">
        <v>0</v>
      </c>
      <c r="L28" s="50">
        <v>0</v>
      </c>
      <c r="M28" s="50">
        <v>202</v>
      </c>
      <c r="N28" s="50">
        <v>0</v>
      </c>
      <c r="O28" s="15">
        <f t="shared" si="0"/>
        <v>158</v>
      </c>
      <c r="P28" s="15">
        <f t="shared" si="1"/>
        <v>360</v>
      </c>
      <c r="R28" s="36" t="s">
        <v>152</v>
      </c>
      <c r="S28" s="34">
        <f>SUM(C82:C85)</f>
        <v>244</v>
      </c>
      <c r="T28" s="34">
        <f t="shared" ref="T28:AF28" si="20">SUM(D82:D85)</f>
        <v>117</v>
      </c>
      <c r="U28" s="34">
        <f t="shared" si="20"/>
        <v>6</v>
      </c>
      <c r="V28" s="34">
        <f t="shared" si="20"/>
        <v>4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3</v>
      </c>
      <c r="AA28" s="34">
        <f t="shared" si="20"/>
        <v>0</v>
      </c>
      <c r="AB28" s="34">
        <f t="shared" si="20"/>
        <v>1</v>
      </c>
      <c r="AC28" s="34">
        <f t="shared" si="20"/>
        <v>88</v>
      </c>
      <c r="AD28" s="34">
        <f t="shared" si="20"/>
        <v>0</v>
      </c>
      <c r="AE28" s="31">
        <f t="shared" si="20"/>
        <v>376</v>
      </c>
      <c r="AF28" s="31">
        <f t="shared" si="20"/>
        <v>464</v>
      </c>
    </row>
    <row r="29" spans="2:32" ht="23.1" customHeight="1" x14ac:dyDescent="0.25">
      <c r="B29" s="45" t="s">
        <v>56</v>
      </c>
      <c r="C29" s="50">
        <v>52</v>
      </c>
      <c r="D29" s="50">
        <v>105</v>
      </c>
      <c r="E29" s="50">
        <v>9</v>
      </c>
      <c r="F29" s="50">
        <v>0</v>
      </c>
      <c r="G29" s="50">
        <v>0</v>
      </c>
      <c r="H29" s="50">
        <v>0</v>
      </c>
      <c r="I29" s="50">
        <v>6</v>
      </c>
      <c r="J29" s="50">
        <v>2</v>
      </c>
      <c r="K29" s="50">
        <v>0</v>
      </c>
      <c r="L29" s="50">
        <v>0</v>
      </c>
      <c r="M29" s="50">
        <v>215</v>
      </c>
      <c r="N29" s="50">
        <v>0</v>
      </c>
      <c r="O29" s="15">
        <f t="shared" si="0"/>
        <v>174</v>
      </c>
      <c r="P29" s="15">
        <f t="shared" si="1"/>
        <v>389</v>
      </c>
      <c r="R29" s="36" t="s">
        <v>153</v>
      </c>
      <c r="S29" s="34">
        <f>SUM(C86:C89)</f>
        <v>179</v>
      </c>
      <c r="T29" s="34">
        <f t="shared" ref="T29:AF29" si="21">SUM(D86:D89)</f>
        <v>77</v>
      </c>
      <c r="U29" s="34">
        <f t="shared" si="21"/>
        <v>6</v>
      </c>
      <c r="V29" s="34">
        <f t="shared" si="21"/>
        <v>4</v>
      </c>
      <c r="W29" s="34">
        <f t="shared" si="21"/>
        <v>1</v>
      </c>
      <c r="X29" s="34">
        <f t="shared" si="21"/>
        <v>0</v>
      </c>
      <c r="Y29" s="34">
        <f t="shared" si="21"/>
        <v>1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95</v>
      </c>
      <c r="AD29" s="34">
        <f t="shared" si="21"/>
        <v>0</v>
      </c>
      <c r="AE29" s="31">
        <f t="shared" si="21"/>
        <v>268</v>
      </c>
      <c r="AF29" s="31">
        <f t="shared" si="21"/>
        <v>363</v>
      </c>
    </row>
    <row r="30" spans="2:32" ht="23.1" customHeight="1" x14ac:dyDescent="0.25">
      <c r="B30" s="45" t="s">
        <v>57</v>
      </c>
      <c r="C30" s="50">
        <v>105</v>
      </c>
      <c r="D30" s="50">
        <v>81</v>
      </c>
      <c r="E30" s="50">
        <v>1</v>
      </c>
      <c r="F30" s="50">
        <v>0</v>
      </c>
      <c r="G30" s="50">
        <v>0</v>
      </c>
      <c r="H30" s="50">
        <v>0</v>
      </c>
      <c r="I30" s="50">
        <v>3</v>
      </c>
      <c r="J30" s="50">
        <v>0</v>
      </c>
      <c r="K30" s="50">
        <v>1</v>
      </c>
      <c r="L30" s="50">
        <v>0</v>
      </c>
      <c r="M30" s="50">
        <v>155</v>
      </c>
      <c r="N30" s="50">
        <v>0</v>
      </c>
      <c r="O30" s="15">
        <f t="shared" si="0"/>
        <v>191</v>
      </c>
      <c r="P30" s="15">
        <f t="shared" si="1"/>
        <v>346</v>
      </c>
      <c r="R30" s="36" t="s">
        <v>154</v>
      </c>
      <c r="S30" s="34">
        <f>SUM(C90:C93)</f>
        <v>128</v>
      </c>
      <c r="T30" s="34">
        <f t="shared" ref="T30:AF30" si="22">SUM(D90:D93)</f>
        <v>60</v>
      </c>
      <c r="U30" s="34">
        <f t="shared" si="22"/>
        <v>4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54</v>
      </c>
      <c r="AD30" s="34">
        <f t="shared" si="22"/>
        <v>0</v>
      </c>
      <c r="AE30" s="31">
        <f t="shared" si="22"/>
        <v>197</v>
      </c>
      <c r="AF30" s="31">
        <f t="shared" si="22"/>
        <v>251</v>
      </c>
    </row>
    <row r="31" spans="2:32" ht="23.1" customHeight="1" x14ac:dyDescent="0.25">
      <c r="B31" s="46" t="s">
        <v>58</v>
      </c>
      <c r="C31" s="50">
        <v>103</v>
      </c>
      <c r="D31" s="50">
        <v>110</v>
      </c>
      <c r="E31" s="50">
        <v>1</v>
      </c>
      <c r="F31" s="50">
        <v>0</v>
      </c>
      <c r="G31" s="50">
        <v>0</v>
      </c>
      <c r="H31" s="50">
        <v>0</v>
      </c>
      <c r="I31" s="50">
        <v>5</v>
      </c>
      <c r="J31" s="50">
        <v>4</v>
      </c>
      <c r="K31" s="50">
        <v>0</v>
      </c>
      <c r="L31" s="50">
        <v>0</v>
      </c>
      <c r="M31" s="50">
        <v>183</v>
      </c>
      <c r="N31" s="50">
        <v>0</v>
      </c>
      <c r="O31" s="15">
        <f t="shared" si="0"/>
        <v>223</v>
      </c>
      <c r="P31" s="15">
        <f t="shared" si="1"/>
        <v>406</v>
      </c>
      <c r="R31" s="36" t="s">
        <v>155</v>
      </c>
      <c r="S31" s="34">
        <f>SUM(C94:C97)</f>
        <v>88</v>
      </c>
      <c r="T31" s="34">
        <f t="shared" ref="T31:AF31" si="23">SUM(D94:D97)</f>
        <v>58</v>
      </c>
      <c r="U31" s="34">
        <f t="shared" si="23"/>
        <v>9</v>
      </c>
      <c r="V31" s="34">
        <f t="shared" si="23"/>
        <v>2</v>
      </c>
      <c r="W31" s="34">
        <f t="shared" si="23"/>
        <v>0</v>
      </c>
      <c r="X31" s="34">
        <f t="shared" si="23"/>
        <v>0</v>
      </c>
      <c r="Y31" s="34">
        <f t="shared" si="23"/>
        <v>0</v>
      </c>
      <c r="Z31" s="34">
        <f t="shared" si="23"/>
        <v>2</v>
      </c>
      <c r="AA31" s="34">
        <f t="shared" si="23"/>
        <v>0</v>
      </c>
      <c r="AB31" s="34">
        <f t="shared" si="23"/>
        <v>0</v>
      </c>
      <c r="AC31" s="34">
        <f t="shared" si="23"/>
        <v>58</v>
      </c>
      <c r="AD31" s="34">
        <f t="shared" si="23"/>
        <v>0</v>
      </c>
      <c r="AE31" s="31">
        <f t="shared" si="23"/>
        <v>159</v>
      </c>
      <c r="AF31" s="31">
        <f t="shared" si="23"/>
        <v>217</v>
      </c>
    </row>
    <row r="32" spans="2:32" ht="23.1" customHeight="1" x14ac:dyDescent="0.25">
      <c r="B32" s="46" t="s">
        <v>59</v>
      </c>
      <c r="C32" s="50">
        <v>124</v>
      </c>
      <c r="D32" s="50">
        <v>130</v>
      </c>
      <c r="E32" s="50">
        <v>21</v>
      </c>
      <c r="F32" s="50">
        <v>0</v>
      </c>
      <c r="G32" s="50">
        <v>0</v>
      </c>
      <c r="H32" s="50">
        <v>0</v>
      </c>
      <c r="I32" s="50">
        <v>12</v>
      </c>
      <c r="J32" s="50">
        <v>1</v>
      </c>
      <c r="K32" s="50">
        <v>0</v>
      </c>
      <c r="L32" s="50">
        <v>0</v>
      </c>
      <c r="M32" s="50">
        <v>173</v>
      </c>
      <c r="N32" s="50">
        <v>0</v>
      </c>
      <c r="O32" s="15">
        <f t="shared" si="0"/>
        <v>288</v>
      </c>
      <c r="P32" s="15">
        <f t="shared" si="1"/>
        <v>461</v>
      </c>
      <c r="R32" s="33" t="s">
        <v>156</v>
      </c>
      <c r="S32" s="34">
        <f>SUM(C98:C101)</f>
        <v>77</v>
      </c>
      <c r="T32" s="34">
        <f t="shared" ref="T32:AF32" si="24">SUM(D98:D101)</f>
        <v>44</v>
      </c>
      <c r="U32" s="34">
        <f t="shared" si="24"/>
        <v>3</v>
      </c>
      <c r="V32" s="34">
        <f t="shared" si="24"/>
        <v>1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50</v>
      </c>
      <c r="AD32" s="34">
        <f t="shared" si="24"/>
        <v>0</v>
      </c>
      <c r="AE32" s="31">
        <f t="shared" si="24"/>
        <v>125</v>
      </c>
      <c r="AF32" s="31">
        <f t="shared" si="24"/>
        <v>175</v>
      </c>
    </row>
    <row r="33" spans="2:32" ht="23.1" customHeight="1" x14ac:dyDescent="0.25">
      <c r="B33" s="45" t="s">
        <v>60</v>
      </c>
      <c r="C33" s="50">
        <v>85</v>
      </c>
      <c r="D33" s="50">
        <v>106</v>
      </c>
      <c r="E33" s="50">
        <v>3</v>
      </c>
      <c r="F33" s="50">
        <v>0</v>
      </c>
      <c r="G33" s="50">
        <v>0</v>
      </c>
      <c r="H33" s="50">
        <v>0</v>
      </c>
      <c r="I33" s="50">
        <v>15</v>
      </c>
      <c r="J33" s="50">
        <v>2</v>
      </c>
      <c r="K33" s="50">
        <v>0</v>
      </c>
      <c r="L33" s="50">
        <v>1</v>
      </c>
      <c r="M33" s="50">
        <v>155</v>
      </c>
      <c r="N33" s="50">
        <v>0</v>
      </c>
      <c r="O33" s="15">
        <f t="shared" si="0"/>
        <v>212</v>
      </c>
      <c r="P33" s="15">
        <f t="shared" si="1"/>
        <v>367</v>
      </c>
      <c r="R33" s="33" t="s">
        <v>157</v>
      </c>
      <c r="S33" s="34">
        <f>SUM(C102:C105)</f>
        <v>39</v>
      </c>
      <c r="T33" s="34">
        <f t="shared" ref="T33:AF33" si="25">SUM(D102:D105)</f>
        <v>19</v>
      </c>
      <c r="U33" s="34">
        <f t="shared" si="25"/>
        <v>6</v>
      </c>
      <c r="V33" s="34">
        <f t="shared" si="25"/>
        <v>3</v>
      </c>
      <c r="W33" s="34">
        <f t="shared" si="25"/>
        <v>0</v>
      </c>
      <c r="X33" s="34">
        <f t="shared" si="25"/>
        <v>0</v>
      </c>
      <c r="Y33" s="34">
        <f t="shared" si="25"/>
        <v>1</v>
      </c>
      <c r="Z33" s="34">
        <f t="shared" si="25"/>
        <v>2</v>
      </c>
      <c r="AA33" s="34">
        <f t="shared" si="25"/>
        <v>1</v>
      </c>
      <c r="AB33" s="34">
        <f t="shared" si="25"/>
        <v>0</v>
      </c>
      <c r="AC33" s="34">
        <f t="shared" si="25"/>
        <v>106</v>
      </c>
      <c r="AD33" s="34">
        <f t="shared" si="25"/>
        <v>0</v>
      </c>
      <c r="AE33" s="31">
        <f t="shared" si="25"/>
        <v>71</v>
      </c>
      <c r="AF33" s="31">
        <f t="shared" si="25"/>
        <v>177</v>
      </c>
    </row>
    <row r="34" spans="2:32" ht="23.1" customHeight="1" x14ac:dyDescent="0.25">
      <c r="B34" s="46" t="s">
        <v>61</v>
      </c>
      <c r="C34" s="50">
        <v>105</v>
      </c>
      <c r="D34" s="50">
        <v>130</v>
      </c>
      <c r="E34" s="50">
        <v>4</v>
      </c>
      <c r="F34" s="50">
        <v>2</v>
      </c>
      <c r="G34" s="50">
        <v>0</v>
      </c>
      <c r="H34" s="50">
        <v>0</v>
      </c>
      <c r="I34" s="50">
        <v>4</v>
      </c>
      <c r="J34" s="50">
        <v>4</v>
      </c>
      <c r="K34" s="50">
        <v>2</v>
      </c>
      <c r="L34" s="50">
        <v>0</v>
      </c>
      <c r="M34" s="50">
        <v>188</v>
      </c>
      <c r="N34" s="50">
        <v>0</v>
      </c>
      <c r="O34" s="15">
        <f t="shared" si="0"/>
        <v>251</v>
      </c>
      <c r="P34" s="15">
        <f t="shared" si="1"/>
        <v>439</v>
      </c>
      <c r="R34" s="38" t="s">
        <v>90</v>
      </c>
      <c r="S34" s="39">
        <f t="shared" ref="S34:AF34" si="26">MAX(S10:S12)</f>
        <v>368</v>
      </c>
      <c r="T34" s="39">
        <f t="shared" si="26"/>
        <v>237</v>
      </c>
      <c r="U34" s="39">
        <f t="shared" si="26"/>
        <v>29</v>
      </c>
      <c r="V34" s="39">
        <f t="shared" si="26"/>
        <v>11</v>
      </c>
      <c r="W34" s="39">
        <f t="shared" si="26"/>
        <v>1</v>
      </c>
      <c r="X34" s="39">
        <f t="shared" si="26"/>
        <v>0</v>
      </c>
      <c r="Y34" s="39">
        <f t="shared" si="26"/>
        <v>17</v>
      </c>
      <c r="Z34" s="39">
        <f t="shared" si="26"/>
        <v>10</v>
      </c>
      <c r="AA34" s="39">
        <f t="shared" si="26"/>
        <v>2</v>
      </c>
      <c r="AB34" s="39">
        <f t="shared" si="26"/>
        <v>1</v>
      </c>
      <c r="AC34" s="39">
        <f t="shared" si="26"/>
        <v>681</v>
      </c>
      <c r="AD34" s="39">
        <f t="shared" si="26"/>
        <v>0</v>
      </c>
      <c r="AE34" s="40">
        <f t="shared" si="26"/>
        <v>674</v>
      </c>
      <c r="AF34" s="40">
        <f t="shared" si="26"/>
        <v>1355</v>
      </c>
    </row>
    <row r="35" spans="2:32" ht="23.1" customHeight="1" x14ac:dyDescent="0.25">
      <c r="B35" s="46" t="s">
        <v>62</v>
      </c>
      <c r="C35" s="50">
        <v>50</v>
      </c>
      <c r="D35" s="50">
        <v>75</v>
      </c>
      <c r="E35" s="50">
        <v>14</v>
      </c>
      <c r="F35" s="50">
        <v>5</v>
      </c>
      <c r="G35" s="50">
        <v>0</v>
      </c>
      <c r="H35" s="50">
        <v>0</v>
      </c>
      <c r="I35" s="50">
        <v>8</v>
      </c>
      <c r="J35" s="50">
        <v>2</v>
      </c>
      <c r="K35" s="50">
        <v>0</v>
      </c>
      <c r="L35" s="50">
        <v>0</v>
      </c>
      <c r="M35" s="50">
        <v>179</v>
      </c>
      <c r="N35" s="50">
        <v>0</v>
      </c>
      <c r="O35" s="15">
        <f t="shared" si="0"/>
        <v>154</v>
      </c>
      <c r="P35" s="15">
        <f t="shared" si="1"/>
        <v>333</v>
      </c>
      <c r="R35" s="38" t="s">
        <v>91</v>
      </c>
      <c r="S35" s="39">
        <f t="shared" ref="S35:AF35" si="27">MAX(S13:S18)</f>
        <v>446</v>
      </c>
      <c r="T35" s="39">
        <f t="shared" si="27"/>
        <v>458</v>
      </c>
      <c r="U35" s="39">
        <f t="shared" si="27"/>
        <v>118</v>
      </c>
      <c r="V35" s="39">
        <f t="shared" si="27"/>
        <v>19</v>
      </c>
      <c r="W35" s="39">
        <f t="shared" si="27"/>
        <v>2</v>
      </c>
      <c r="X35" s="39">
        <f t="shared" si="27"/>
        <v>1</v>
      </c>
      <c r="Y35" s="39">
        <f t="shared" si="27"/>
        <v>35</v>
      </c>
      <c r="Z35" s="39">
        <f t="shared" si="27"/>
        <v>12</v>
      </c>
      <c r="AA35" s="39">
        <f t="shared" si="27"/>
        <v>3</v>
      </c>
      <c r="AB35" s="39">
        <f t="shared" si="27"/>
        <v>1</v>
      </c>
      <c r="AC35" s="39">
        <f t="shared" si="27"/>
        <v>857</v>
      </c>
      <c r="AD35" s="39">
        <f t="shared" si="27"/>
        <v>0</v>
      </c>
      <c r="AE35" s="40">
        <f t="shared" si="27"/>
        <v>982</v>
      </c>
      <c r="AF35" s="40">
        <f t="shared" si="27"/>
        <v>1688</v>
      </c>
    </row>
    <row r="36" spans="2:32" ht="23.1" customHeight="1" x14ac:dyDescent="0.25">
      <c r="B36" s="46" t="s">
        <v>63</v>
      </c>
      <c r="C36" s="50">
        <v>66</v>
      </c>
      <c r="D36" s="50">
        <v>125</v>
      </c>
      <c r="E36" s="50">
        <v>8</v>
      </c>
      <c r="F36" s="50">
        <v>2</v>
      </c>
      <c r="G36" s="50">
        <v>0</v>
      </c>
      <c r="H36" s="50">
        <v>0</v>
      </c>
      <c r="I36" s="50">
        <v>5</v>
      </c>
      <c r="J36" s="50">
        <v>1</v>
      </c>
      <c r="K36" s="50">
        <v>0</v>
      </c>
      <c r="L36" s="50">
        <v>0</v>
      </c>
      <c r="M36" s="50">
        <v>195</v>
      </c>
      <c r="N36" s="50">
        <v>0</v>
      </c>
      <c r="O36" s="15">
        <f t="shared" si="0"/>
        <v>207</v>
      </c>
      <c r="P36" s="15">
        <f t="shared" si="1"/>
        <v>402</v>
      </c>
      <c r="R36" s="38" t="s">
        <v>92</v>
      </c>
      <c r="S36" s="39">
        <f t="shared" ref="S36:AF36" si="28">MAX(S19:S21)</f>
        <v>9342</v>
      </c>
      <c r="T36" s="39">
        <f t="shared" si="28"/>
        <v>280</v>
      </c>
      <c r="U36" s="39">
        <f t="shared" si="28"/>
        <v>38</v>
      </c>
      <c r="V36" s="39">
        <f t="shared" si="28"/>
        <v>16</v>
      </c>
      <c r="W36" s="39">
        <f t="shared" si="28"/>
        <v>2</v>
      </c>
      <c r="X36" s="39">
        <f t="shared" si="28"/>
        <v>0</v>
      </c>
      <c r="Y36" s="39">
        <f t="shared" si="28"/>
        <v>26</v>
      </c>
      <c r="Z36" s="39">
        <f t="shared" si="28"/>
        <v>8</v>
      </c>
      <c r="AA36" s="39">
        <f t="shared" si="28"/>
        <v>4</v>
      </c>
      <c r="AB36" s="39">
        <f t="shared" si="28"/>
        <v>0</v>
      </c>
      <c r="AC36" s="39">
        <f t="shared" si="28"/>
        <v>679</v>
      </c>
      <c r="AD36" s="39">
        <f t="shared" si="28"/>
        <v>0</v>
      </c>
      <c r="AE36" s="40">
        <f t="shared" si="28"/>
        <v>9680</v>
      </c>
      <c r="AF36" s="40">
        <f t="shared" si="28"/>
        <v>10345</v>
      </c>
    </row>
    <row r="37" spans="2:32" ht="23.1" customHeight="1" x14ac:dyDescent="0.25">
      <c r="B37" s="45" t="s">
        <v>64</v>
      </c>
      <c r="C37" s="50">
        <v>141</v>
      </c>
      <c r="D37" s="50">
        <v>102</v>
      </c>
      <c r="E37" s="50">
        <v>4</v>
      </c>
      <c r="F37" s="50">
        <v>3</v>
      </c>
      <c r="G37" s="50">
        <v>1</v>
      </c>
      <c r="H37" s="50">
        <v>1</v>
      </c>
      <c r="I37" s="50">
        <v>4</v>
      </c>
      <c r="J37" s="50">
        <v>5</v>
      </c>
      <c r="K37" s="50">
        <v>1</v>
      </c>
      <c r="L37" s="50">
        <v>0</v>
      </c>
      <c r="M37" s="50">
        <v>143</v>
      </c>
      <c r="N37" s="50">
        <v>0</v>
      </c>
      <c r="O37" s="15">
        <f t="shared" si="0"/>
        <v>262</v>
      </c>
      <c r="P37" s="15">
        <f t="shared" si="1"/>
        <v>405</v>
      </c>
      <c r="R37" s="37" t="s">
        <v>85</v>
      </c>
      <c r="S37" s="35">
        <f t="shared" ref="S37:AF37" si="29">SUM(S10:S12)</f>
        <v>704</v>
      </c>
      <c r="T37" s="16">
        <f t="shared" si="29"/>
        <v>380</v>
      </c>
      <c r="U37" s="16">
        <f t="shared" si="29"/>
        <v>66</v>
      </c>
      <c r="V37" s="16">
        <f t="shared" si="29"/>
        <v>26</v>
      </c>
      <c r="W37" s="16">
        <f t="shared" si="29"/>
        <v>3</v>
      </c>
      <c r="X37" s="16">
        <f t="shared" si="29"/>
        <v>0</v>
      </c>
      <c r="Y37" s="16">
        <f t="shared" si="29"/>
        <v>42</v>
      </c>
      <c r="Z37" s="16">
        <f t="shared" si="29"/>
        <v>19</v>
      </c>
      <c r="AA37" s="16">
        <f t="shared" si="29"/>
        <v>2</v>
      </c>
      <c r="AB37" s="16">
        <f t="shared" si="29"/>
        <v>1</v>
      </c>
      <c r="AC37" s="16">
        <f t="shared" si="29"/>
        <v>1634</v>
      </c>
      <c r="AD37" s="16">
        <f t="shared" si="29"/>
        <v>0</v>
      </c>
      <c r="AE37" s="32">
        <f t="shared" si="29"/>
        <v>1243</v>
      </c>
      <c r="AF37" s="32">
        <f t="shared" si="29"/>
        <v>2877</v>
      </c>
    </row>
    <row r="38" spans="2:32" ht="23.1" customHeight="1" x14ac:dyDescent="0.25">
      <c r="B38" s="46" t="s">
        <v>65</v>
      </c>
      <c r="C38" s="50">
        <v>112</v>
      </c>
      <c r="D38" s="50">
        <v>76</v>
      </c>
      <c r="E38" s="50">
        <v>16</v>
      </c>
      <c r="F38" s="50">
        <v>1</v>
      </c>
      <c r="G38" s="50">
        <v>0</v>
      </c>
      <c r="H38" s="50">
        <v>0</v>
      </c>
      <c r="I38" s="50">
        <v>4</v>
      </c>
      <c r="J38" s="50">
        <v>2</v>
      </c>
      <c r="K38" s="50">
        <v>1</v>
      </c>
      <c r="L38" s="50">
        <v>0</v>
      </c>
      <c r="M38" s="50">
        <v>165</v>
      </c>
      <c r="N38" s="50">
        <v>0</v>
      </c>
      <c r="O38" s="15">
        <f t="shared" si="0"/>
        <v>212</v>
      </c>
      <c r="P38" s="15">
        <f t="shared" si="1"/>
        <v>377</v>
      </c>
      <c r="R38" s="28" t="s">
        <v>86</v>
      </c>
      <c r="S38" s="16">
        <f t="shared" ref="S38:AF38" si="30">SUM(S13:S18)</f>
        <v>2387</v>
      </c>
      <c r="T38" s="16">
        <f t="shared" si="30"/>
        <v>2280</v>
      </c>
      <c r="U38" s="16">
        <f t="shared" si="30"/>
        <v>268</v>
      </c>
      <c r="V38" s="16">
        <f t="shared" si="30"/>
        <v>62</v>
      </c>
      <c r="W38" s="16">
        <f t="shared" si="30"/>
        <v>6</v>
      </c>
      <c r="X38" s="16">
        <f t="shared" si="30"/>
        <v>1</v>
      </c>
      <c r="Y38" s="16">
        <f t="shared" si="30"/>
        <v>151</v>
      </c>
      <c r="Z38" s="16">
        <f t="shared" si="30"/>
        <v>46</v>
      </c>
      <c r="AA38" s="16">
        <f t="shared" si="30"/>
        <v>10</v>
      </c>
      <c r="AB38" s="16">
        <f t="shared" si="30"/>
        <v>2</v>
      </c>
      <c r="AC38" s="16">
        <f t="shared" si="30"/>
        <v>4442</v>
      </c>
      <c r="AD38" s="16">
        <f t="shared" si="30"/>
        <v>0</v>
      </c>
      <c r="AE38" s="32">
        <f t="shared" si="30"/>
        <v>5213</v>
      </c>
      <c r="AF38" s="32">
        <f t="shared" si="30"/>
        <v>9655</v>
      </c>
    </row>
    <row r="39" spans="2:32" ht="23.1" customHeight="1" x14ac:dyDescent="0.25">
      <c r="B39" s="46" t="s">
        <v>66</v>
      </c>
      <c r="C39" s="50">
        <v>151</v>
      </c>
      <c r="D39" s="50">
        <v>120</v>
      </c>
      <c r="E39" s="50">
        <v>8</v>
      </c>
      <c r="F39" s="50">
        <v>5</v>
      </c>
      <c r="G39" s="50">
        <v>1</v>
      </c>
      <c r="H39" s="50">
        <v>0</v>
      </c>
      <c r="I39" s="50">
        <v>3</v>
      </c>
      <c r="J39" s="50">
        <v>2</v>
      </c>
      <c r="K39" s="50">
        <v>1</v>
      </c>
      <c r="L39" s="50">
        <v>0</v>
      </c>
      <c r="M39" s="50">
        <v>213</v>
      </c>
      <c r="N39" s="50">
        <v>0</v>
      </c>
      <c r="O39" s="15">
        <f t="shared" si="0"/>
        <v>291</v>
      </c>
      <c r="P39" s="15">
        <f t="shared" si="1"/>
        <v>504</v>
      </c>
      <c r="R39" s="29" t="s">
        <v>87</v>
      </c>
      <c r="S39" s="16">
        <f t="shared" ref="S39:AF39" si="31">SUM(S19:S21)</f>
        <v>10134</v>
      </c>
      <c r="T39" s="16">
        <f t="shared" si="31"/>
        <v>740</v>
      </c>
      <c r="U39" s="16">
        <f t="shared" si="31"/>
        <v>107</v>
      </c>
      <c r="V39" s="16">
        <f t="shared" si="31"/>
        <v>39</v>
      </c>
      <c r="W39" s="16">
        <f t="shared" si="31"/>
        <v>2</v>
      </c>
      <c r="X39" s="16">
        <f t="shared" si="31"/>
        <v>0</v>
      </c>
      <c r="Y39" s="16">
        <f t="shared" si="31"/>
        <v>47</v>
      </c>
      <c r="Z39" s="16">
        <f t="shared" si="31"/>
        <v>15</v>
      </c>
      <c r="AA39" s="16">
        <f t="shared" si="31"/>
        <v>7</v>
      </c>
      <c r="AB39" s="16">
        <f t="shared" si="31"/>
        <v>0</v>
      </c>
      <c r="AC39" s="16">
        <f t="shared" si="31"/>
        <v>1986</v>
      </c>
      <c r="AD39" s="16">
        <f t="shared" si="31"/>
        <v>0</v>
      </c>
      <c r="AE39" s="32">
        <f t="shared" si="31"/>
        <v>11091</v>
      </c>
      <c r="AF39" s="32">
        <f t="shared" si="31"/>
        <v>13077</v>
      </c>
    </row>
    <row r="40" spans="2:32" ht="23.1" customHeight="1" x14ac:dyDescent="0.25">
      <c r="B40" s="46" t="s">
        <v>67</v>
      </c>
      <c r="C40" s="50">
        <v>93</v>
      </c>
      <c r="D40" s="50">
        <v>51</v>
      </c>
      <c r="E40" s="50">
        <v>3</v>
      </c>
      <c r="F40" s="50">
        <v>7</v>
      </c>
      <c r="G40" s="50">
        <v>0</v>
      </c>
      <c r="H40" s="50">
        <v>0</v>
      </c>
      <c r="I40" s="50">
        <v>6</v>
      </c>
      <c r="J40" s="50">
        <v>2</v>
      </c>
      <c r="K40" s="50">
        <v>1</v>
      </c>
      <c r="L40" s="50">
        <v>0</v>
      </c>
      <c r="M40" s="50">
        <v>166</v>
      </c>
      <c r="N40" s="50">
        <v>0</v>
      </c>
      <c r="O40" s="15">
        <f t="shared" si="0"/>
        <v>163</v>
      </c>
      <c r="P40" s="15">
        <f t="shared" si="1"/>
        <v>329</v>
      </c>
      <c r="R40" s="5" t="s">
        <v>17</v>
      </c>
      <c r="S40" s="16">
        <f t="shared" ref="S40:AF40" si="32">SUM(S10:S21)</f>
        <v>13225</v>
      </c>
      <c r="T40" s="16">
        <f t="shared" si="32"/>
        <v>3400</v>
      </c>
      <c r="U40" s="16">
        <f t="shared" si="32"/>
        <v>441</v>
      </c>
      <c r="V40" s="16">
        <f t="shared" si="32"/>
        <v>127</v>
      </c>
      <c r="W40" s="16">
        <f t="shared" si="32"/>
        <v>11</v>
      </c>
      <c r="X40" s="16">
        <f t="shared" si="32"/>
        <v>1</v>
      </c>
      <c r="Y40" s="16">
        <f t="shared" si="32"/>
        <v>240</v>
      </c>
      <c r="Z40" s="16">
        <f t="shared" si="32"/>
        <v>80</v>
      </c>
      <c r="AA40" s="16">
        <f t="shared" si="32"/>
        <v>19</v>
      </c>
      <c r="AB40" s="16">
        <f t="shared" si="32"/>
        <v>3</v>
      </c>
      <c r="AC40" s="16">
        <f t="shared" si="32"/>
        <v>8062</v>
      </c>
      <c r="AD40" s="16">
        <f t="shared" si="32"/>
        <v>0</v>
      </c>
      <c r="AE40" s="32">
        <f t="shared" si="32"/>
        <v>17547</v>
      </c>
      <c r="AF40" s="32">
        <f t="shared" si="32"/>
        <v>25609</v>
      </c>
    </row>
    <row r="41" spans="2:32" ht="23.1" customHeight="1" x14ac:dyDescent="0.25">
      <c r="B41" s="45" t="s">
        <v>68</v>
      </c>
      <c r="C41" s="50">
        <v>90</v>
      </c>
      <c r="D41" s="50">
        <v>71</v>
      </c>
      <c r="E41" s="50">
        <v>7</v>
      </c>
      <c r="F41" s="50">
        <v>6</v>
      </c>
      <c r="G41" s="50">
        <v>1</v>
      </c>
      <c r="H41" s="50">
        <v>0</v>
      </c>
      <c r="I41" s="50">
        <v>3</v>
      </c>
      <c r="J41" s="50">
        <v>2</v>
      </c>
      <c r="K41" s="50">
        <v>0</v>
      </c>
      <c r="L41" s="50">
        <v>0</v>
      </c>
      <c r="M41" s="50">
        <v>200</v>
      </c>
      <c r="N41" s="50">
        <v>0</v>
      </c>
      <c r="O41" s="15">
        <f t="shared" si="0"/>
        <v>180</v>
      </c>
      <c r="P41" s="15">
        <f t="shared" si="1"/>
        <v>380</v>
      </c>
      <c r="R41" s="5" t="s">
        <v>159</v>
      </c>
      <c r="S41" s="16">
        <f>SUM(S10:S33)</f>
        <v>16185</v>
      </c>
      <c r="T41" s="16">
        <f t="shared" ref="T41:AF41" si="33">SUM(T10:T33)</f>
        <v>4973</v>
      </c>
      <c r="U41" s="16">
        <f t="shared" si="33"/>
        <v>729</v>
      </c>
      <c r="V41" s="16">
        <f t="shared" si="33"/>
        <v>227</v>
      </c>
      <c r="W41" s="16">
        <f t="shared" si="33"/>
        <v>17</v>
      </c>
      <c r="X41" s="16">
        <f t="shared" si="33"/>
        <v>1</v>
      </c>
      <c r="Y41" s="16">
        <f t="shared" si="33"/>
        <v>270</v>
      </c>
      <c r="Z41" s="16">
        <f t="shared" si="33"/>
        <v>99</v>
      </c>
      <c r="AA41" s="16">
        <f t="shared" si="33"/>
        <v>28</v>
      </c>
      <c r="AB41" s="16">
        <f t="shared" si="33"/>
        <v>8</v>
      </c>
      <c r="AC41" s="16">
        <f t="shared" si="33"/>
        <v>10679</v>
      </c>
      <c r="AD41" s="16">
        <f t="shared" si="33"/>
        <v>0</v>
      </c>
      <c r="AE41" s="32">
        <f t="shared" si="33"/>
        <v>22537</v>
      </c>
      <c r="AF41" s="32">
        <f t="shared" si="33"/>
        <v>33216</v>
      </c>
    </row>
    <row r="42" spans="2:32" ht="23.1" customHeight="1" x14ac:dyDescent="0.25">
      <c r="B42" s="46" t="s">
        <v>69</v>
      </c>
      <c r="C42" s="50">
        <v>91</v>
      </c>
      <c r="D42" s="50">
        <v>55</v>
      </c>
      <c r="E42" s="50">
        <v>5</v>
      </c>
      <c r="F42" s="50">
        <v>7</v>
      </c>
      <c r="G42" s="50">
        <v>0</v>
      </c>
      <c r="H42" s="50">
        <v>0</v>
      </c>
      <c r="I42" s="50">
        <v>8</v>
      </c>
      <c r="J42" s="50">
        <v>1</v>
      </c>
      <c r="K42" s="50">
        <v>0</v>
      </c>
      <c r="L42" s="50">
        <v>0</v>
      </c>
      <c r="M42" s="50">
        <v>197</v>
      </c>
      <c r="N42" s="50">
        <v>0</v>
      </c>
      <c r="O42" s="15">
        <f t="shared" si="0"/>
        <v>167</v>
      </c>
      <c r="P42" s="15">
        <f t="shared" si="1"/>
        <v>364</v>
      </c>
      <c r="R42" s="5" t="s">
        <v>160</v>
      </c>
      <c r="S42" s="48">
        <f>S41/S40</f>
        <v>1.2238185255198488</v>
      </c>
      <c r="T42" s="48">
        <f t="shared" ref="T42:AF42" si="34">T41/T40</f>
        <v>1.4626470588235294</v>
      </c>
      <c r="U42" s="48">
        <f t="shared" si="34"/>
        <v>1.653061224489796</v>
      </c>
      <c r="V42" s="48">
        <f t="shared" si="34"/>
        <v>1.7874015748031495</v>
      </c>
      <c r="W42" s="48">
        <f t="shared" si="34"/>
        <v>1.5454545454545454</v>
      </c>
      <c r="X42" s="48">
        <f t="shared" si="34"/>
        <v>1</v>
      </c>
      <c r="Y42" s="48">
        <f t="shared" si="34"/>
        <v>1.125</v>
      </c>
      <c r="Z42" s="48">
        <f t="shared" si="34"/>
        <v>1.2375</v>
      </c>
      <c r="AA42" s="48">
        <f t="shared" si="34"/>
        <v>1.4736842105263157</v>
      </c>
      <c r="AB42" s="48">
        <f t="shared" si="34"/>
        <v>2.6666666666666665</v>
      </c>
      <c r="AC42" s="48">
        <f t="shared" si="34"/>
        <v>1.3246092780947656</v>
      </c>
      <c r="AD42" s="48" t="e">
        <f t="shared" si="34"/>
        <v>#DIV/0!</v>
      </c>
      <c r="AE42" s="48">
        <f t="shared" si="34"/>
        <v>1.2843790961417907</v>
      </c>
      <c r="AF42" s="48">
        <f t="shared" si="34"/>
        <v>1.2970440079659495</v>
      </c>
    </row>
    <row r="43" spans="2:32" ht="23.1" customHeight="1" x14ac:dyDescent="0.25">
      <c r="B43" s="45" t="s">
        <v>70</v>
      </c>
      <c r="C43" s="50">
        <v>106</v>
      </c>
      <c r="D43" s="50">
        <v>64</v>
      </c>
      <c r="E43" s="50">
        <v>4</v>
      </c>
      <c r="F43" s="50">
        <v>2</v>
      </c>
      <c r="G43" s="50">
        <v>0</v>
      </c>
      <c r="H43" s="50">
        <v>0</v>
      </c>
      <c r="I43" s="50">
        <v>5</v>
      </c>
      <c r="J43" s="50">
        <v>0</v>
      </c>
      <c r="K43" s="50">
        <v>0</v>
      </c>
      <c r="L43" s="50">
        <v>0</v>
      </c>
      <c r="M43" s="50">
        <v>212</v>
      </c>
      <c r="N43" s="50">
        <v>0</v>
      </c>
      <c r="O43" s="15">
        <f t="shared" si="0"/>
        <v>181</v>
      </c>
      <c r="P43" s="15">
        <f t="shared" si="1"/>
        <v>393</v>
      </c>
    </row>
    <row r="44" spans="2:32" ht="23.1" customHeight="1" x14ac:dyDescent="0.25">
      <c r="B44" s="47" t="s">
        <v>71</v>
      </c>
      <c r="C44" s="50">
        <v>80</v>
      </c>
      <c r="D44" s="50">
        <v>62</v>
      </c>
      <c r="E44" s="50">
        <v>8</v>
      </c>
      <c r="F44" s="50">
        <v>3</v>
      </c>
      <c r="G44" s="50">
        <v>0</v>
      </c>
      <c r="H44" s="50">
        <v>0</v>
      </c>
      <c r="I44" s="50">
        <v>9</v>
      </c>
      <c r="J44" s="50">
        <v>2</v>
      </c>
      <c r="K44" s="50">
        <v>0</v>
      </c>
      <c r="L44" s="50">
        <v>0</v>
      </c>
      <c r="M44" s="50">
        <v>233</v>
      </c>
      <c r="N44" s="50">
        <v>0</v>
      </c>
      <c r="O44" s="15">
        <f t="shared" si="0"/>
        <v>164</v>
      </c>
      <c r="P44" s="15">
        <f t="shared" si="1"/>
        <v>397</v>
      </c>
    </row>
    <row r="45" spans="2:32" ht="23.1" customHeight="1" x14ac:dyDescent="0.25">
      <c r="B45" s="45" t="s">
        <v>72</v>
      </c>
      <c r="C45" s="50">
        <v>115</v>
      </c>
      <c r="D45" s="50">
        <v>68</v>
      </c>
      <c r="E45" s="50">
        <v>6</v>
      </c>
      <c r="F45" s="50">
        <v>4</v>
      </c>
      <c r="G45" s="50">
        <v>0</v>
      </c>
      <c r="H45" s="50">
        <v>0</v>
      </c>
      <c r="I45" s="50">
        <v>7</v>
      </c>
      <c r="J45" s="50">
        <v>1</v>
      </c>
      <c r="K45" s="50">
        <v>0</v>
      </c>
      <c r="L45" s="50">
        <v>0</v>
      </c>
      <c r="M45" s="50">
        <v>215</v>
      </c>
      <c r="N45" s="50">
        <v>0</v>
      </c>
      <c r="O45" s="15">
        <f t="shared" si="0"/>
        <v>201</v>
      </c>
      <c r="P45" s="15">
        <f t="shared" si="1"/>
        <v>416</v>
      </c>
    </row>
    <row r="46" spans="2:32" ht="23.1" customHeight="1" x14ac:dyDescent="0.25">
      <c r="B46" s="46" t="s">
        <v>73</v>
      </c>
      <c r="C46" s="50">
        <v>121</v>
      </c>
      <c r="D46" s="50">
        <v>67</v>
      </c>
      <c r="E46" s="50">
        <v>6</v>
      </c>
      <c r="F46" s="50">
        <v>5</v>
      </c>
      <c r="G46" s="50">
        <v>1</v>
      </c>
      <c r="H46" s="50">
        <v>0</v>
      </c>
      <c r="I46" s="50">
        <v>7</v>
      </c>
      <c r="J46" s="50">
        <v>1</v>
      </c>
      <c r="K46" s="50">
        <v>1</v>
      </c>
      <c r="L46" s="50">
        <v>0</v>
      </c>
      <c r="M46" s="50">
        <v>206</v>
      </c>
      <c r="N46" s="50">
        <v>0</v>
      </c>
      <c r="O46" s="15">
        <f t="shared" si="0"/>
        <v>209</v>
      </c>
      <c r="P46" s="15">
        <f t="shared" si="1"/>
        <v>415</v>
      </c>
      <c r="R46" s="8"/>
      <c r="T46"/>
    </row>
    <row r="47" spans="2:32" ht="23.1" customHeight="1" x14ac:dyDescent="0.25">
      <c r="B47" s="46" t="s">
        <v>74</v>
      </c>
      <c r="C47" s="50">
        <v>145</v>
      </c>
      <c r="D47" s="50">
        <v>70</v>
      </c>
      <c r="E47" s="50">
        <v>7</v>
      </c>
      <c r="F47" s="50">
        <v>1</v>
      </c>
      <c r="G47" s="50">
        <v>1</v>
      </c>
      <c r="H47" s="50">
        <v>0</v>
      </c>
      <c r="I47" s="50">
        <v>12</v>
      </c>
      <c r="J47" s="50">
        <v>2</v>
      </c>
      <c r="K47" s="50">
        <v>0</v>
      </c>
      <c r="L47" s="50">
        <v>0</v>
      </c>
      <c r="M47" s="50">
        <v>131</v>
      </c>
      <c r="N47" s="50">
        <v>0</v>
      </c>
      <c r="O47" s="15">
        <f t="shared" si="0"/>
        <v>238</v>
      </c>
      <c r="P47" s="15">
        <f t="shared" si="1"/>
        <v>369</v>
      </c>
      <c r="R47" s="8"/>
      <c r="T47"/>
    </row>
    <row r="48" spans="2:32" ht="23.1" customHeight="1" x14ac:dyDescent="0.25">
      <c r="B48" s="46" t="s">
        <v>75</v>
      </c>
      <c r="C48" s="50">
        <v>85</v>
      </c>
      <c r="D48" s="50">
        <v>63</v>
      </c>
      <c r="E48" s="50">
        <v>8</v>
      </c>
      <c r="F48" s="50">
        <v>4</v>
      </c>
      <c r="G48" s="50">
        <v>0</v>
      </c>
      <c r="H48" s="50">
        <v>0</v>
      </c>
      <c r="I48" s="50">
        <v>3</v>
      </c>
      <c r="J48" s="50">
        <v>1</v>
      </c>
      <c r="K48" s="50">
        <v>1</v>
      </c>
      <c r="L48" s="50">
        <v>0</v>
      </c>
      <c r="M48" s="50">
        <v>172</v>
      </c>
      <c r="N48" s="50">
        <v>0</v>
      </c>
      <c r="O48" s="15">
        <f t="shared" si="0"/>
        <v>165</v>
      </c>
      <c r="P48" s="15">
        <f t="shared" si="1"/>
        <v>337</v>
      </c>
      <c r="R48" s="8"/>
      <c r="T48"/>
    </row>
    <row r="49" spans="2:20" ht="23.1" customHeight="1" x14ac:dyDescent="0.25">
      <c r="B49" s="45" t="s">
        <v>76</v>
      </c>
      <c r="C49" s="50">
        <v>103</v>
      </c>
      <c r="D49" s="50">
        <v>80</v>
      </c>
      <c r="E49" s="50">
        <v>10</v>
      </c>
      <c r="F49" s="50">
        <v>2</v>
      </c>
      <c r="G49" s="50">
        <v>0</v>
      </c>
      <c r="H49" s="50">
        <v>0</v>
      </c>
      <c r="I49" s="50">
        <v>4</v>
      </c>
      <c r="J49" s="50">
        <v>0</v>
      </c>
      <c r="K49" s="50">
        <v>2</v>
      </c>
      <c r="L49" s="50">
        <v>0</v>
      </c>
      <c r="M49" s="50">
        <v>170</v>
      </c>
      <c r="N49" s="50">
        <v>0</v>
      </c>
      <c r="O49" s="15">
        <f t="shared" si="0"/>
        <v>201</v>
      </c>
      <c r="P49" s="15">
        <f t="shared" si="1"/>
        <v>371</v>
      </c>
      <c r="R49" s="8"/>
      <c r="T49"/>
    </row>
    <row r="50" spans="2:20" ht="23.1" customHeight="1" x14ac:dyDescent="0.25">
      <c r="B50" s="46" t="s">
        <v>77</v>
      </c>
      <c r="C50" s="50">
        <v>115</v>
      </c>
      <c r="D50" s="50">
        <v>60</v>
      </c>
      <c r="E50" s="50">
        <v>10</v>
      </c>
      <c r="F50" s="50">
        <v>4</v>
      </c>
      <c r="G50" s="50">
        <v>0</v>
      </c>
      <c r="H50" s="50">
        <v>0</v>
      </c>
      <c r="I50" s="50">
        <v>4</v>
      </c>
      <c r="J50" s="50">
        <v>2</v>
      </c>
      <c r="K50" s="50">
        <v>0</v>
      </c>
      <c r="L50" s="50">
        <v>0</v>
      </c>
      <c r="M50" s="50">
        <v>172</v>
      </c>
      <c r="N50" s="50">
        <v>0</v>
      </c>
      <c r="O50" s="15">
        <f t="shared" si="0"/>
        <v>195</v>
      </c>
      <c r="P50" s="15">
        <f t="shared" si="1"/>
        <v>367</v>
      </c>
      <c r="R50" s="8"/>
      <c r="T50"/>
    </row>
    <row r="51" spans="2:20" ht="23.1" customHeight="1" x14ac:dyDescent="0.25">
      <c r="B51" s="46" t="s">
        <v>78</v>
      </c>
      <c r="C51" s="50">
        <v>95</v>
      </c>
      <c r="D51" s="50">
        <v>63</v>
      </c>
      <c r="E51" s="50">
        <v>12</v>
      </c>
      <c r="F51" s="50">
        <v>3</v>
      </c>
      <c r="G51" s="50">
        <v>0</v>
      </c>
      <c r="H51" s="50">
        <v>0</v>
      </c>
      <c r="I51" s="50">
        <v>9</v>
      </c>
      <c r="J51" s="50">
        <v>1</v>
      </c>
      <c r="K51" s="50">
        <v>1</v>
      </c>
      <c r="L51" s="50">
        <v>0</v>
      </c>
      <c r="M51" s="50">
        <v>178</v>
      </c>
      <c r="N51" s="50">
        <v>0</v>
      </c>
      <c r="O51" s="15">
        <f t="shared" si="0"/>
        <v>184</v>
      </c>
      <c r="P51" s="15">
        <f t="shared" si="1"/>
        <v>362</v>
      </c>
      <c r="R51" s="8"/>
      <c r="T51"/>
    </row>
    <row r="52" spans="2:20" ht="23.1" customHeight="1" x14ac:dyDescent="0.25">
      <c r="B52" s="46" t="s">
        <v>79</v>
      </c>
      <c r="C52" s="50">
        <v>61</v>
      </c>
      <c r="D52" s="50">
        <v>62</v>
      </c>
      <c r="E52" s="50">
        <v>10</v>
      </c>
      <c r="F52" s="50">
        <v>3</v>
      </c>
      <c r="G52" s="50">
        <v>0</v>
      </c>
      <c r="H52" s="50">
        <v>0</v>
      </c>
      <c r="I52" s="50">
        <v>4</v>
      </c>
      <c r="J52" s="50">
        <v>2</v>
      </c>
      <c r="K52" s="50">
        <v>0</v>
      </c>
      <c r="L52" s="50">
        <v>0</v>
      </c>
      <c r="M52" s="50">
        <v>165</v>
      </c>
      <c r="N52" s="50">
        <v>0</v>
      </c>
      <c r="O52" s="15">
        <f t="shared" si="0"/>
        <v>142</v>
      </c>
      <c r="P52" s="15">
        <f t="shared" si="1"/>
        <v>307</v>
      </c>
      <c r="R52" s="8"/>
      <c r="T52"/>
    </row>
    <row r="53" spans="2:20" ht="23.1" customHeight="1" x14ac:dyDescent="0.25">
      <c r="B53" s="45" t="s">
        <v>80</v>
      </c>
      <c r="C53" s="50">
        <v>9071</v>
      </c>
      <c r="D53" s="50">
        <v>76</v>
      </c>
      <c r="E53" s="50">
        <v>6</v>
      </c>
      <c r="F53" s="50">
        <v>1</v>
      </c>
      <c r="G53" s="50">
        <v>0</v>
      </c>
      <c r="H53" s="50">
        <v>0</v>
      </c>
      <c r="I53" s="50">
        <v>2</v>
      </c>
      <c r="J53" s="50">
        <v>3</v>
      </c>
      <c r="K53" s="50">
        <v>0</v>
      </c>
      <c r="L53" s="50">
        <v>0</v>
      </c>
      <c r="M53" s="50">
        <v>150</v>
      </c>
      <c r="N53" s="50">
        <v>0</v>
      </c>
      <c r="O53" s="15">
        <f t="shared" si="0"/>
        <v>9159</v>
      </c>
      <c r="P53" s="15">
        <f t="shared" si="1"/>
        <v>9309</v>
      </c>
      <c r="R53" s="8"/>
      <c r="T53"/>
    </row>
    <row r="54" spans="2:20" ht="23.1" customHeight="1" x14ac:dyDescent="0.25">
      <c r="B54" s="45" t="s">
        <v>81</v>
      </c>
      <c r="C54" s="50">
        <v>85</v>
      </c>
      <c r="D54" s="50">
        <v>45</v>
      </c>
      <c r="E54" s="50">
        <v>8</v>
      </c>
      <c r="F54" s="50">
        <v>3</v>
      </c>
      <c r="G54" s="50">
        <v>0</v>
      </c>
      <c r="H54" s="50">
        <v>0</v>
      </c>
      <c r="I54" s="50">
        <v>2</v>
      </c>
      <c r="J54" s="50">
        <v>1</v>
      </c>
      <c r="K54" s="50">
        <v>0</v>
      </c>
      <c r="L54" s="50">
        <v>0</v>
      </c>
      <c r="M54" s="50">
        <v>162</v>
      </c>
      <c r="N54" s="50">
        <v>0</v>
      </c>
      <c r="O54" s="15">
        <f t="shared" si="0"/>
        <v>144</v>
      </c>
      <c r="P54" s="15">
        <f t="shared" si="1"/>
        <v>306</v>
      </c>
      <c r="R54" s="8"/>
      <c r="T54"/>
    </row>
    <row r="55" spans="2:20" ht="23.1" customHeight="1" x14ac:dyDescent="0.25">
      <c r="B55" s="45" t="s">
        <v>82</v>
      </c>
      <c r="C55" s="50">
        <v>69</v>
      </c>
      <c r="D55" s="50">
        <v>63</v>
      </c>
      <c r="E55" s="50">
        <v>6</v>
      </c>
      <c r="F55" s="50">
        <v>7</v>
      </c>
      <c r="G55" s="50">
        <v>0</v>
      </c>
      <c r="H55" s="50">
        <v>0</v>
      </c>
      <c r="I55" s="50">
        <v>0</v>
      </c>
      <c r="J55" s="50">
        <v>1</v>
      </c>
      <c r="K55" s="50">
        <v>2</v>
      </c>
      <c r="L55" s="50">
        <v>0</v>
      </c>
      <c r="M55" s="50">
        <v>164</v>
      </c>
      <c r="N55" s="50">
        <v>0</v>
      </c>
      <c r="O55" s="15">
        <f t="shared" si="0"/>
        <v>148</v>
      </c>
      <c r="P55" s="15">
        <f t="shared" si="1"/>
        <v>312</v>
      </c>
      <c r="R55" s="8"/>
      <c r="T55"/>
    </row>
    <row r="56" spans="2:20" ht="23.1" customHeight="1" x14ac:dyDescent="0.25">
      <c r="B56" s="45" t="s">
        <v>83</v>
      </c>
      <c r="C56" s="50">
        <v>110</v>
      </c>
      <c r="D56" s="50">
        <v>39</v>
      </c>
      <c r="E56" s="50">
        <v>13</v>
      </c>
      <c r="F56" s="50">
        <v>5</v>
      </c>
      <c r="G56" s="50">
        <v>0</v>
      </c>
      <c r="H56" s="50">
        <v>0</v>
      </c>
      <c r="I56" s="50">
        <v>0</v>
      </c>
      <c r="J56" s="50">
        <v>1</v>
      </c>
      <c r="K56" s="50">
        <v>0</v>
      </c>
      <c r="L56" s="50">
        <v>0</v>
      </c>
      <c r="M56" s="50">
        <v>164</v>
      </c>
      <c r="N56" s="50">
        <v>0</v>
      </c>
      <c r="O56" s="15">
        <f t="shared" si="0"/>
        <v>168</v>
      </c>
      <c r="P56" s="15">
        <f t="shared" si="1"/>
        <v>332</v>
      </c>
      <c r="R56" s="8"/>
      <c r="T56"/>
    </row>
    <row r="57" spans="2:20" ht="23.1" customHeight="1" x14ac:dyDescent="0.25">
      <c r="B57" s="45" t="s">
        <v>84</v>
      </c>
      <c r="C57" s="50">
        <v>74</v>
      </c>
      <c r="D57" s="50">
        <v>52</v>
      </c>
      <c r="E57" s="50">
        <v>11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152</v>
      </c>
      <c r="N57" s="50">
        <v>0</v>
      </c>
      <c r="O57" s="15">
        <f t="shared" si="0"/>
        <v>138</v>
      </c>
      <c r="P57" s="15">
        <f t="shared" si="1"/>
        <v>290</v>
      </c>
      <c r="R57" s="8"/>
      <c r="T57"/>
    </row>
    <row r="58" spans="2:20" ht="23.1" customHeight="1" x14ac:dyDescent="0.25">
      <c r="B58" s="45" t="s">
        <v>99</v>
      </c>
      <c r="C58" s="50">
        <v>86</v>
      </c>
      <c r="D58" s="50">
        <v>61</v>
      </c>
      <c r="E58" s="50">
        <v>7</v>
      </c>
      <c r="F58" s="50">
        <v>3</v>
      </c>
      <c r="G58" s="50">
        <v>0</v>
      </c>
      <c r="H58" s="50">
        <v>0</v>
      </c>
      <c r="I58" s="50">
        <v>3</v>
      </c>
      <c r="J58" s="50">
        <v>0</v>
      </c>
      <c r="K58" s="50">
        <v>0</v>
      </c>
      <c r="L58" s="50">
        <v>0</v>
      </c>
      <c r="M58" s="50">
        <v>157</v>
      </c>
      <c r="N58" s="50">
        <v>0</v>
      </c>
      <c r="O58" s="15">
        <f t="shared" si="0"/>
        <v>160</v>
      </c>
      <c r="P58" s="15">
        <f t="shared" si="1"/>
        <v>317</v>
      </c>
      <c r="R58" s="8"/>
      <c r="T58"/>
    </row>
    <row r="59" spans="2:20" ht="23.1" customHeight="1" x14ac:dyDescent="0.25">
      <c r="B59" s="45" t="s">
        <v>100</v>
      </c>
      <c r="C59" s="50">
        <v>127</v>
      </c>
      <c r="D59" s="50">
        <v>45</v>
      </c>
      <c r="E59" s="50">
        <v>8</v>
      </c>
      <c r="F59" s="50">
        <v>2</v>
      </c>
      <c r="G59" s="50">
        <v>0</v>
      </c>
      <c r="H59" s="50">
        <v>0</v>
      </c>
      <c r="I59" s="50">
        <v>0</v>
      </c>
      <c r="J59" s="50">
        <v>5</v>
      </c>
      <c r="K59" s="50">
        <v>0</v>
      </c>
      <c r="L59" s="50">
        <v>2</v>
      </c>
      <c r="M59" s="50">
        <v>155</v>
      </c>
      <c r="N59" s="50">
        <v>0</v>
      </c>
      <c r="O59" s="15">
        <f t="shared" si="0"/>
        <v>189</v>
      </c>
      <c r="P59" s="15">
        <f t="shared" si="1"/>
        <v>344</v>
      </c>
      <c r="R59" s="8"/>
      <c r="T59"/>
    </row>
    <row r="60" spans="2:20" ht="23.1" customHeight="1" x14ac:dyDescent="0.25">
      <c r="B60" s="45" t="s">
        <v>101</v>
      </c>
      <c r="C60" s="50">
        <v>93</v>
      </c>
      <c r="D60" s="50">
        <v>69</v>
      </c>
      <c r="E60" s="50">
        <v>11</v>
      </c>
      <c r="F60" s="50">
        <v>2</v>
      </c>
      <c r="G60" s="50">
        <v>0</v>
      </c>
      <c r="H60" s="50">
        <v>0</v>
      </c>
      <c r="I60" s="50">
        <v>1</v>
      </c>
      <c r="J60" s="50">
        <v>0</v>
      </c>
      <c r="K60" s="50">
        <v>0</v>
      </c>
      <c r="L60" s="50">
        <v>0</v>
      </c>
      <c r="M60" s="50">
        <v>180</v>
      </c>
      <c r="N60" s="50">
        <v>0</v>
      </c>
      <c r="O60" s="15">
        <f t="shared" si="0"/>
        <v>176</v>
      </c>
      <c r="P60" s="15">
        <f t="shared" si="1"/>
        <v>356</v>
      </c>
      <c r="R60" s="8"/>
      <c r="T60"/>
    </row>
    <row r="61" spans="2:20" ht="23.1" customHeight="1" x14ac:dyDescent="0.25">
      <c r="B61" s="45" t="s">
        <v>102</v>
      </c>
      <c r="C61" s="50">
        <v>106</v>
      </c>
      <c r="D61" s="50">
        <v>62</v>
      </c>
      <c r="E61" s="50">
        <v>16</v>
      </c>
      <c r="F61" s="50">
        <v>8</v>
      </c>
      <c r="G61" s="50">
        <v>0</v>
      </c>
      <c r="H61" s="50">
        <v>0</v>
      </c>
      <c r="I61" s="50">
        <v>1</v>
      </c>
      <c r="J61" s="50">
        <v>0</v>
      </c>
      <c r="K61" s="50">
        <v>2</v>
      </c>
      <c r="L61" s="50">
        <v>0</v>
      </c>
      <c r="M61" s="50">
        <v>215</v>
      </c>
      <c r="N61" s="50">
        <v>0</v>
      </c>
      <c r="O61" s="15">
        <f t="shared" si="0"/>
        <v>195</v>
      </c>
      <c r="P61" s="15">
        <f t="shared" si="1"/>
        <v>410</v>
      </c>
      <c r="R61" s="8"/>
      <c r="T61"/>
    </row>
    <row r="62" spans="2:20" ht="23.1" customHeight="1" x14ac:dyDescent="0.25">
      <c r="B62" s="45" t="s">
        <v>107</v>
      </c>
      <c r="C62" s="50">
        <v>107</v>
      </c>
      <c r="D62" s="50">
        <v>46</v>
      </c>
      <c r="E62" s="50">
        <v>11</v>
      </c>
      <c r="F62" s="50">
        <v>8</v>
      </c>
      <c r="G62" s="50">
        <v>0</v>
      </c>
      <c r="H62" s="50">
        <v>0</v>
      </c>
      <c r="I62" s="50">
        <v>0</v>
      </c>
      <c r="J62" s="50">
        <v>0</v>
      </c>
      <c r="K62" s="50">
        <v>0</v>
      </c>
      <c r="L62" s="50">
        <v>1</v>
      </c>
      <c r="M62" s="50">
        <v>185</v>
      </c>
      <c r="N62" s="50">
        <v>0</v>
      </c>
      <c r="O62" s="15">
        <f t="shared" si="0"/>
        <v>173</v>
      </c>
      <c r="P62" s="15">
        <f t="shared" si="1"/>
        <v>358</v>
      </c>
      <c r="R62" s="8"/>
      <c r="T62"/>
    </row>
    <row r="63" spans="2:20" ht="23.1" customHeight="1" x14ac:dyDescent="0.25">
      <c r="B63" s="45" t="s">
        <v>108</v>
      </c>
      <c r="C63" s="50">
        <v>103</v>
      </c>
      <c r="D63" s="50">
        <v>58</v>
      </c>
      <c r="E63" s="50">
        <v>10</v>
      </c>
      <c r="F63" s="50">
        <v>2</v>
      </c>
      <c r="G63" s="50">
        <v>0</v>
      </c>
      <c r="H63" s="50">
        <v>0</v>
      </c>
      <c r="I63" s="50">
        <v>1</v>
      </c>
      <c r="J63" s="50">
        <v>0</v>
      </c>
      <c r="K63" s="50">
        <v>0</v>
      </c>
      <c r="L63" s="50">
        <v>0</v>
      </c>
      <c r="M63" s="50">
        <v>140</v>
      </c>
      <c r="N63" s="50">
        <v>0</v>
      </c>
      <c r="O63" s="15">
        <f t="shared" si="0"/>
        <v>174</v>
      </c>
      <c r="P63" s="15">
        <f t="shared" si="1"/>
        <v>314</v>
      </c>
      <c r="R63" s="8"/>
      <c r="T63"/>
    </row>
    <row r="64" spans="2:20" ht="23.1" customHeight="1" x14ac:dyDescent="0.25">
      <c r="B64" s="45" t="s">
        <v>109</v>
      </c>
      <c r="C64" s="50">
        <v>98</v>
      </c>
      <c r="D64" s="50">
        <v>82</v>
      </c>
      <c r="E64" s="50">
        <v>31</v>
      </c>
      <c r="F64" s="50">
        <v>7</v>
      </c>
      <c r="G64" s="50">
        <v>1</v>
      </c>
      <c r="H64" s="50">
        <v>0</v>
      </c>
      <c r="I64" s="50">
        <v>5</v>
      </c>
      <c r="J64" s="50">
        <v>0</v>
      </c>
      <c r="K64" s="50">
        <v>1</v>
      </c>
      <c r="L64" s="50">
        <v>0</v>
      </c>
      <c r="M64" s="50">
        <v>130</v>
      </c>
      <c r="N64" s="50">
        <v>0</v>
      </c>
      <c r="O64" s="15">
        <f t="shared" si="0"/>
        <v>225</v>
      </c>
      <c r="P64" s="15">
        <f t="shared" si="1"/>
        <v>355</v>
      </c>
      <c r="R64" s="8"/>
      <c r="T64"/>
    </row>
    <row r="65" spans="2:20" ht="23.1" customHeight="1" x14ac:dyDescent="0.25">
      <c r="B65" s="45" t="s">
        <v>158</v>
      </c>
      <c r="C65" s="50">
        <v>107</v>
      </c>
      <c r="D65" s="50">
        <v>62</v>
      </c>
      <c r="E65" s="50">
        <v>17</v>
      </c>
      <c r="F65" s="50">
        <v>7</v>
      </c>
      <c r="G65" s="50">
        <v>0</v>
      </c>
      <c r="H65" s="50">
        <v>0</v>
      </c>
      <c r="I65" s="50">
        <v>0</v>
      </c>
      <c r="J65" s="50">
        <v>0</v>
      </c>
      <c r="K65" s="50">
        <v>0</v>
      </c>
      <c r="L65" s="50">
        <v>0</v>
      </c>
      <c r="M65" s="50">
        <v>95</v>
      </c>
      <c r="N65" s="50">
        <v>0</v>
      </c>
      <c r="O65" s="15">
        <f t="shared" si="0"/>
        <v>193</v>
      </c>
      <c r="P65" s="15">
        <f t="shared" si="1"/>
        <v>288</v>
      </c>
      <c r="R65" s="8"/>
      <c r="T65"/>
    </row>
    <row r="66" spans="2:20" ht="23.1" customHeight="1" x14ac:dyDescent="0.25">
      <c r="B66" s="45" t="s">
        <v>103</v>
      </c>
      <c r="C66" s="50">
        <v>106</v>
      </c>
      <c r="D66" s="50">
        <v>62</v>
      </c>
      <c r="E66" s="50">
        <v>16</v>
      </c>
      <c r="F66" s="50">
        <v>8</v>
      </c>
      <c r="G66" s="50">
        <v>0</v>
      </c>
      <c r="H66" s="50">
        <v>0</v>
      </c>
      <c r="I66" s="50">
        <v>6</v>
      </c>
      <c r="J66" s="50">
        <v>1</v>
      </c>
      <c r="K66" s="50">
        <v>0</v>
      </c>
      <c r="L66" s="50">
        <v>0</v>
      </c>
      <c r="M66" s="50">
        <v>105</v>
      </c>
      <c r="N66" s="50">
        <v>0</v>
      </c>
      <c r="O66" s="15">
        <f t="shared" si="0"/>
        <v>199</v>
      </c>
      <c r="P66" s="15">
        <f t="shared" si="1"/>
        <v>304</v>
      </c>
      <c r="R66" s="8"/>
      <c r="T66"/>
    </row>
    <row r="67" spans="2:20" ht="23.1" customHeight="1" x14ac:dyDescent="0.25">
      <c r="B67" s="45" t="s">
        <v>104</v>
      </c>
      <c r="C67" s="50">
        <v>98</v>
      </c>
      <c r="D67" s="50">
        <v>67</v>
      </c>
      <c r="E67" s="50">
        <v>15</v>
      </c>
      <c r="F67" s="50">
        <v>2</v>
      </c>
      <c r="G67" s="50">
        <v>0</v>
      </c>
      <c r="H67" s="50">
        <v>0</v>
      </c>
      <c r="I67" s="50">
        <v>1</v>
      </c>
      <c r="J67" s="50">
        <v>0</v>
      </c>
      <c r="K67" s="50">
        <v>1</v>
      </c>
      <c r="L67" s="50">
        <v>0</v>
      </c>
      <c r="M67" s="50">
        <v>87</v>
      </c>
      <c r="N67" s="50">
        <v>0</v>
      </c>
      <c r="O67" s="15">
        <f t="shared" si="0"/>
        <v>184</v>
      </c>
      <c r="P67" s="15">
        <f t="shared" si="1"/>
        <v>271</v>
      </c>
      <c r="R67" s="8"/>
      <c r="T67"/>
    </row>
    <row r="68" spans="2:20" ht="23.1" customHeight="1" x14ac:dyDescent="0.25">
      <c r="B68" s="45" t="s">
        <v>105</v>
      </c>
      <c r="C68" s="50">
        <v>81</v>
      </c>
      <c r="D68" s="50">
        <v>27</v>
      </c>
      <c r="E68" s="50">
        <v>7</v>
      </c>
      <c r="F68" s="50">
        <v>3</v>
      </c>
      <c r="G68" s="50">
        <v>0</v>
      </c>
      <c r="H68" s="50">
        <v>0</v>
      </c>
      <c r="I68" s="50">
        <v>0</v>
      </c>
      <c r="J68" s="50">
        <v>1</v>
      </c>
      <c r="K68" s="50">
        <v>0</v>
      </c>
      <c r="L68" s="50">
        <v>1</v>
      </c>
      <c r="M68" s="50">
        <v>80</v>
      </c>
      <c r="N68" s="50">
        <v>0</v>
      </c>
      <c r="O68" s="15">
        <f t="shared" si="0"/>
        <v>120</v>
      </c>
      <c r="P68" s="15">
        <f t="shared" si="1"/>
        <v>200</v>
      </c>
      <c r="R68" s="8"/>
      <c r="T68"/>
    </row>
    <row r="69" spans="2:20" ht="23.1" customHeight="1" x14ac:dyDescent="0.25">
      <c r="B69" s="45" t="s">
        <v>106</v>
      </c>
      <c r="C69" s="50">
        <v>84</v>
      </c>
      <c r="D69" s="50">
        <v>67</v>
      </c>
      <c r="E69" s="50">
        <v>18</v>
      </c>
      <c r="F69" s="50">
        <v>6</v>
      </c>
      <c r="G69" s="50">
        <v>1</v>
      </c>
      <c r="H69" s="50">
        <v>0</v>
      </c>
      <c r="I69" s="50">
        <v>1</v>
      </c>
      <c r="J69" s="50">
        <v>0</v>
      </c>
      <c r="K69" s="50">
        <v>1</v>
      </c>
      <c r="L69" s="50">
        <v>0</v>
      </c>
      <c r="M69" s="50">
        <v>80</v>
      </c>
      <c r="N69" s="50">
        <v>0</v>
      </c>
      <c r="O69" s="15">
        <f t="shared" si="0"/>
        <v>178</v>
      </c>
      <c r="P69" s="15">
        <f t="shared" si="1"/>
        <v>258</v>
      </c>
      <c r="R69" s="8"/>
      <c r="T69"/>
    </row>
    <row r="70" spans="2:20" ht="23.1" customHeight="1" x14ac:dyDescent="0.25">
      <c r="B70" s="45" t="s">
        <v>110</v>
      </c>
      <c r="C70" s="50">
        <v>108</v>
      </c>
      <c r="D70" s="50">
        <v>48</v>
      </c>
      <c r="E70" s="50">
        <v>8</v>
      </c>
      <c r="F70" s="50">
        <v>7</v>
      </c>
      <c r="G70" s="50">
        <v>0</v>
      </c>
      <c r="H70" s="50">
        <v>0</v>
      </c>
      <c r="I70" s="50">
        <v>2</v>
      </c>
      <c r="J70" s="50">
        <v>0</v>
      </c>
      <c r="K70" s="50">
        <v>1</v>
      </c>
      <c r="L70" s="50">
        <v>0</v>
      </c>
      <c r="M70" s="50">
        <v>71</v>
      </c>
      <c r="N70" s="50">
        <v>0</v>
      </c>
      <c r="O70" s="15">
        <f t="shared" si="0"/>
        <v>174</v>
      </c>
      <c r="P70" s="15">
        <f t="shared" si="1"/>
        <v>245</v>
      </c>
      <c r="R70" s="8"/>
      <c r="T70"/>
    </row>
    <row r="71" spans="2:20" ht="23.1" customHeight="1" x14ac:dyDescent="0.25">
      <c r="B71" s="45" t="s">
        <v>111</v>
      </c>
      <c r="C71" s="50">
        <v>108</v>
      </c>
      <c r="D71" s="50">
        <v>56</v>
      </c>
      <c r="E71" s="50">
        <v>8</v>
      </c>
      <c r="F71" s="50">
        <v>4</v>
      </c>
      <c r="G71" s="50">
        <v>0</v>
      </c>
      <c r="H71" s="50">
        <v>0</v>
      </c>
      <c r="I71" s="50">
        <v>1</v>
      </c>
      <c r="J71" s="50">
        <v>0</v>
      </c>
      <c r="K71" s="50">
        <v>0</v>
      </c>
      <c r="L71" s="50">
        <v>0</v>
      </c>
      <c r="M71" s="50">
        <v>70</v>
      </c>
      <c r="N71" s="50">
        <v>0</v>
      </c>
      <c r="O71" s="15">
        <f t="shared" si="0"/>
        <v>177</v>
      </c>
      <c r="P71" s="15">
        <f t="shared" si="1"/>
        <v>247</v>
      </c>
      <c r="R71" s="8"/>
      <c r="T71"/>
    </row>
    <row r="72" spans="2:20" ht="23.1" customHeight="1" x14ac:dyDescent="0.25">
      <c r="B72" s="45" t="s">
        <v>112</v>
      </c>
      <c r="C72" s="50">
        <v>96</v>
      </c>
      <c r="D72" s="50">
        <v>52</v>
      </c>
      <c r="E72" s="50">
        <v>14</v>
      </c>
      <c r="F72" s="50">
        <v>4</v>
      </c>
      <c r="G72" s="50">
        <v>0</v>
      </c>
      <c r="H72" s="50">
        <v>0</v>
      </c>
      <c r="I72" s="50">
        <v>0</v>
      </c>
      <c r="J72" s="50">
        <v>1</v>
      </c>
      <c r="K72" s="50">
        <v>1</v>
      </c>
      <c r="L72" s="50">
        <v>0</v>
      </c>
      <c r="M72" s="50">
        <v>75</v>
      </c>
      <c r="N72" s="50">
        <v>0</v>
      </c>
      <c r="O72" s="15">
        <f t="shared" si="0"/>
        <v>168</v>
      </c>
      <c r="P72" s="15">
        <f t="shared" si="1"/>
        <v>243</v>
      </c>
      <c r="R72" s="8"/>
      <c r="T72"/>
    </row>
    <row r="73" spans="2:20" ht="23.1" customHeight="1" x14ac:dyDescent="0.25">
      <c r="B73" s="45" t="s">
        <v>113</v>
      </c>
      <c r="C73" s="50">
        <v>101</v>
      </c>
      <c r="D73" s="50">
        <v>38</v>
      </c>
      <c r="E73" s="50">
        <v>7</v>
      </c>
      <c r="F73" s="50">
        <v>1</v>
      </c>
      <c r="G73" s="50">
        <v>0</v>
      </c>
      <c r="H73" s="50">
        <v>0</v>
      </c>
      <c r="I73" s="50">
        <v>2</v>
      </c>
      <c r="J73" s="50">
        <v>1</v>
      </c>
      <c r="K73" s="50">
        <v>0</v>
      </c>
      <c r="L73" s="50">
        <v>0</v>
      </c>
      <c r="M73" s="50">
        <v>50</v>
      </c>
      <c r="N73" s="50">
        <v>0</v>
      </c>
      <c r="O73" s="15">
        <f t="shared" si="0"/>
        <v>150</v>
      </c>
      <c r="P73" s="15">
        <f t="shared" si="1"/>
        <v>200</v>
      </c>
      <c r="R73" s="8"/>
      <c r="T73"/>
    </row>
    <row r="74" spans="2:20" ht="23.1" customHeight="1" x14ac:dyDescent="0.25">
      <c r="B74" s="45" t="s">
        <v>114</v>
      </c>
      <c r="C74" s="50">
        <v>72</v>
      </c>
      <c r="D74" s="50">
        <v>62</v>
      </c>
      <c r="E74" s="50">
        <v>4</v>
      </c>
      <c r="F74" s="50">
        <v>2</v>
      </c>
      <c r="G74" s="50">
        <v>0</v>
      </c>
      <c r="H74" s="50">
        <v>0</v>
      </c>
      <c r="I74" s="50">
        <v>0</v>
      </c>
      <c r="J74" s="50">
        <v>1</v>
      </c>
      <c r="K74" s="50">
        <v>1</v>
      </c>
      <c r="L74" s="50">
        <v>0</v>
      </c>
      <c r="M74" s="50">
        <v>40</v>
      </c>
      <c r="N74" s="50">
        <v>0</v>
      </c>
      <c r="O74" s="15">
        <f t="shared" ref="O74:O105" si="35">SUM(C74:L74,N74)</f>
        <v>142</v>
      </c>
      <c r="P74" s="15">
        <f t="shared" ref="P74:P105" si="36">SUM(C74:N74)</f>
        <v>182</v>
      </c>
      <c r="R74" s="8"/>
      <c r="T74"/>
    </row>
    <row r="75" spans="2:20" ht="23.1" customHeight="1" x14ac:dyDescent="0.25">
      <c r="B75" s="45" t="s">
        <v>115</v>
      </c>
      <c r="C75" s="50">
        <v>80</v>
      </c>
      <c r="D75" s="50">
        <v>47</v>
      </c>
      <c r="E75" s="50">
        <v>9</v>
      </c>
      <c r="F75" s="50">
        <v>1</v>
      </c>
      <c r="G75" s="50">
        <v>2</v>
      </c>
      <c r="H75" s="50">
        <v>0</v>
      </c>
      <c r="I75" s="50">
        <v>1</v>
      </c>
      <c r="J75" s="50">
        <v>1</v>
      </c>
      <c r="K75" s="50">
        <v>0</v>
      </c>
      <c r="L75" s="50">
        <v>0</v>
      </c>
      <c r="M75" s="50">
        <v>35</v>
      </c>
      <c r="N75" s="50">
        <v>0</v>
      </c>
      <c r="O75" s="15">
        <f t="shared" si="35"/>
        <v>141</v>
      </c>
      <c r="P75" s="15">
        <f t="shared" si="36"/>
        <v>176</v>
      </c>
      <c r="R75" s="8"/>
      <c r="T75"/>
    </row>
    <row r="76" spans="2:20" ht="23.1" customHeight="1" x14ac:dyDescent="0.25">
      <c r="B76" s="45" t="s">
        <v>116</v>
      </c>
      <c r="C76" s="50">
        <v>89</v>
      </c>
      <c r="D76" s="50">
        <v>59</v>
      </c>
      <c r="E76" s="50">
        <v>17</v>
      </c>
      <c r="F76" s="50">
        <v>1</v>
      </c>
      <c r="G76" s="50">
        <v>1</v>
      </c>
      <c r="H76" s="50">
        <v>0</v>
      </c>
      <c r="I76" s="50">
        <v>0</v>
      </c>
      <c r="J76" s="50">
        <v>0</v>
      </c>
      <c r="K76" s="50">
        <v>0</v>
      </c>
      <c r="L76" s="50">
        <v>0</v>
      </c>
      <c r="M76" s="50">
        <v>55</v>
      </c>
      <c r="N76" s="50">
        <v>0</v>
      </c>
      <c r="O76" s="15">
        <f t="shared" si="35"/>
        <v>167</v>
      </c>
      <c r="P76" s="15">
        <f t="shared" si="36"/>
        <v>222</v>
      </c>
      <c r="R76" s="8"/>
      <c r="T76"/>
    </row>
    <row r="77" spans="2:20" ht="23.1" customHeight="1" x14ac:dyDescent="0.25">
      <c r="B77" s="45" t="s">
        <v>117</v>
      </c>
      <c r="C77" s="50">
        <v>93</v>
      </c>
      <c r="D77" s="50">
        <v>28</v>
      </c>
      <c r="E77" s="50">
        <v>3</v>
      </c>
      <c r="F77" s="50">
        <v>1</v>
      </c>
      <c r="G77" s="50">
        <v>0</v>
      </c>
      <c r="H77" s="50">
        <v>0</v>
      </c>
      <c r="I77" s="50">
        <v>0</v>
      </c>
      <c r="J77" s="50">
        <v>0</v>
      </c>
      <c r="K77" s="50">
        <v>0</v>
      </c>
      <c r="L77" s="50">
        <v>0</v>
      </c>
      <c r="M77" s="50">
        <v>50</v>
      </c>
      <c r="N77" s="50">
        <v>0</v>
      </c>
      <c r="O77" s="15">
        <f t="shared" si="35"/>
        <v>125</v>
      </c>
      <c r="P77" s="15">
        <f t="shared" si="36"/>
        <v>175</v>
      </c>
      <c r="R77" s="8"/>
      <c r="T77"/>
    </row>
    <row r="78" spans="2:20" ht="23.1" customHeight="1" x14ac:dyDescent="0.25">
      <c r="B78" s="46" t="s">
        <v>118</v>
      </c>
      <c r="C78" s="50">
        <v>50</v>
      </c>
      <c r="D78" s="50">
        <v>17</v>
      </c>
      <c r="E78" s="50">
        <v>2</v>
      </c>
      <c r="F78" s="50">
        <v>1</v>
      </c>
      <c r="G78" s="50">
        <v>0</v>
      </c>
      <c r="H78" s="50">
        <v>0</v>
      </c>
      <c r="I78" s="50">
        <v>1</v>
      </c>
      <c r="J78" s="50">
        <v>0</v>
      </c>
      <c r="K78" s="50">
        <v>0</v>
      </c>
      <c r="L78" s="50">
        <v>0</v>
      </c>
      <c r="M78" s="50">
        <v>46</v>
      </c>
      <c r="N78" s="50">
        <v>0</v>
      </c>
      <c r="O78" s="15">
        <f t="shared" si="35"/>
        <v>71</v>
      </c>
      <c r="P78" s="15">
        <f t="shared" si="36"/>
        <v>117</v>
      </c>
      <c r="R78" s="8"/>
      <c r="T78"/>
    </row>
    <row r="79" spans="2:20" ht="23.1" customHeight="1" x14ac:dyDescent="0.25">
      <c r="B79" s="45" t="s">
        <v>119</v>
      </c>
      <c r="C79" s="50">
        <v>78</v>
      </c>
      <c r="D79" s="50">
        <v>22</v>
      </c>
      <c r="E79" s="50">
        <v>6</v>
      </c>
      <c r="F79" s="50">
        <v>2</v>
      </c>
      <c r="G79" s="50">
        <v>0</v>
      </c>
      <c r="H79" s="50">
        <v>0</v>
      </c>
      <c r="I79" s="50">
        <v>1</v>
      </c>
      <c r="J79" s="50">
        <v>0</v>
      </c>
      <c r="K79" s="50">
        <v>0</v>
      </c>
      <c r="L79" s="50">
        <v>0</v>
      </c>
      <c r="M79" s="50">
        <v>30</v>
      </c>
      <c r="N79" s="50">
        <v>0</v>
      </c>
      <c r="O79" s="15">
        <f t="shared" si="35"/>
        <v>109</v>
      </c>
      <c r="P79" s="15">
        <f t="shared" si="36"/>
        <v>139</v>
      </c>
      <c r="R79" s="8"/>
      <c r="T79"/>
    </row>
    <row r="80" spans="2:20" ht="23.1" customHeight="1" x14ac:dyDescent="0.25">
      <c r="B80" s="47" t="s">
        <v>120</v>
      </c>
      <c r="C80" s="50">
        <v>78</v>
      </c>
      <c r="D80" s="50">
        <v>27</v>
      </c>
      <c r="E80" s="50">
        <v>2</v>
      </c>
      <c r="F80" s="50">
        <v>0</v>
      </c>
      <c r="G80" s="50">
        <v>0</v>
      </c>
      <c r="H80" s="50">
        <v>0</v>
      </c>
      <c r="I80" s="50">
        <v>0</v>
      </c>
      <c r="J80" s="50">
        <v>0</v>
      </c>
      <c r="K80" s="50">
        <v>0</v>
      </c>
      <c r="L80" s="50">
        <v>0</v>
      </c>
      <c r="M80" s="50">
        <v>20</v>
      </c>
      <c r="N80" s="50">
        <v>0</v>
      </c>
      <c r="O80" s="15">
        <f t="shared" si="35"/>
        <v>107</v>
      </c>
      <c r="P80" s="15">
        <f t="shared" si="36"/>
        <v>127</v>
      </c>
      <c r="R80" s="8"/>
      <c r="T80"/>
    </row>
    <row r="81" spans="2:20" ht="23.1" customHeight="1" x14ac:dyDescent="0.25">
      <c r="B81" s="45" t="s">
        <v>121</v>
      </c>
      <c r="C81" s="50">
        <v>56</v>
      </c>
      <c r="D81" s="50">
        <v>34</v>
      </c>
      <c r="E81" s="50">
        <v>7</v>
      </c>
      <c r="F81" s="50">
        <v>0</v>
      </c>
      <c r="G81" s="50">
        <v>0</v>
      </c>
      <c r="H81" s="50">
        <v>0</v>
      </c>
      <c r="I81" s="50">
        <v>0</v>
      </c>
      <c r="J81" s="50">
        <v>0</v>
      </c>
      <c r="K81" s="50">
        <v>0</v>
      </c>
      <c r="L81" s="50">
        <v>0</v>
      </c>
      <c r="M81" s="50">
        <v>15</v>
      </c>
      <c r="N81" s="50">
        <v>0</v>
      </c>
      <c r="O81" s="15">
        <f t="shared" si="35"/>
        <v>97</v>
      </c>
      <c r="P81" s="15">
        <f t="shared" si="36"/>
        <v>112</v>
      </c>
      <c r="R81" s="8"/>
      <c r="T81"/>
    </row>
    <row r="82" spans="2:20" ht="23.1" customHeight="1" x14ac:dyDescent="0.25">
      <c r="B82" s="46" t="s">
        <v>122</v>
      </c>
      <c r="C82" s="50">
        <v>66</v>
      </c>
      <c r="D82" s="50">
        <v>24</v>
      </c>
      <c r="E82" s="50">
        <v>1</v>
      </c>
      <c r="F82" s="50">
        <v>3</v>
      </c>
      <c r="G82" s="50">
        <v>0</v>
      </c>
      <c r="H82" s="50">
        <v>0</v>
      </c>
      <c r="I82" s="50">
        <v>0</v>
      </c>
      <c r="J82" s="50">
        <v>0</v>
      </c>
      <c r="K82" s="50">
        <v>0</v>
      </c>
      <c r="L82" s="50">
        <v>0</v>
      </c>
      <c r="M82" s="50">
        <v>22</v>
      </c>
      <c r="N82" s="50">
        <v>0</v>
      </c>
      <c r="O82" s="15">
        <f t="shared" si="35"/>
        <v>94</v>
      </c>
      <c r="P82" s="15">
        <f t="shared" si="36"/>
        <v>116</v>
      </c>
      <c r="R82" s="8"/>
      <c r="T82"/>
    </row>
    <row r="83" spans="2:20" ht="23.1" customHeight="1" x14ac:dyDescent="0.25">
      <c r="B83" s="45" t="s">
        <v>123</v>
      </c>
      <c r="C83" s="50">
        <v>63</v>
      </c>
      <c r="D83" s="50">
        <v>29</v>
      </c>
      <c r="E83" s="50">
        <v>2</v>
      </c>
      <c r="F83" s="50">
        <v>0</v>
      </c>
      <c r="G83" s="50">
        <v>0</v>
      </c>
      <c r="H83" s="50">
        <v>0</v>
      </c>
      <c r="I83" s="50">
        <v>0</v>
      </c>
      <c r="J83" s="50">
        <v>1</v>
      </c>
      <c r="K83" s="50">
        <v>0</v>
      </c>
      <c r="L83" s="50">
        <v>0</v>
      </c>
      <c r="M83" s="50">
        <v>18</v>
      </c>
      <c r="N83" s="50">
        <v>0</v>
      </c>
      <c r="O83" s="15">
        <f t="shared" si="35"/>
        <v>95</v>
      </c>
      <c r="P83" s="15">
        <f t="shared" si="36"/>
        <v>113</v>
      </c>
      <c r="R83" s="8"/>
      <c r="T83"/>
    </row>
    <row r="84" spans="2:20" ht="23.1" customHeight="1" x14ac:dyDescent="0.25">
      <c r="B84" s="47" t="s">
        <v>124</v>
      </c>
      <c r="C84" s="50">
        <v>71</v>
      </c>
      <c r="D84" s="50">
        <v>43</v>
      </c>
      <c r="E84" s="50">
        <v>2</v>
      </c>
      <c r="F84" s="50">
        <v>0</v>
      </c>
      <c r="G84" s="50">
        <v>0</v>
      </c>
      <c r="H84" s="50">
        <v>0</v>
      </c>
      <c r="I84" s="50">
        <v>0</v>
      </c>
      <c r="J84" s="50">
        <v>1</v>
      </c>
      <c r="K84" s="50">
        <v>0</v>
      </c>
      <c r="L84" s="50">
        <v>1</v>
      </c>
      <c r="M84" s="50">
        <v>23</v>
      </c>
      <c r="N84" s="50">
        <v>0</v>
      </c>
      <c r="O84" s="15">
        <f t="shared" si="35"/>
        <v>118</v>
      </c>
      <c r="P84" s="15">
        <f t="shared" si="36"/>
        <v>141</v>
      </c>
      <c r="R84" s="8"/>
      <c r="T84"/>
    </row>
    <row r="85" spans="2:20" ht="23.1" customHeight="1" x14ac:dyDescent="0.25">
      <c r="B85" s="45" t="s">
        <v>125</v>
      </c>
      <c r="C85" s="50">
        <v>44</v>
      </c>
      <c r="D85" s="50">
        <v>21</v>
      </c>
      <c r="E85" s="50">
        <v>1</v>
      </c>
      <c r="F85" s="50">
        <v>1</v>
      </c>
      <c r="G85" s="50">
        <v>0</v>
      </c>
      <c r="H85" s="50">
        <v>0</v>
      </c>
      <c r="I85" s="50">
        <v>1</v>
      </c>
      <c r="J85" s="50">
        <v>1</v>
      </c>
      <c r="K85" s="50">
        <v>0</v>
      </c>
      <c r="L85" s="50">
        <v>0</v>
      </c>
      <c r="M85" s="50">
        <v>25</v>
      </c>
      <c r="N85" s="50">
        <v>0</v>
      </c>
      <c r="O85" s="15">
        <f t="shared" si="35"/>
        <v>69</v>
      </c>
      <c r="P85" s="15">
        <f t="shared" si="36"/>
        <v>94</v>
      </c>
      <c r="R85" s="8"/>
      <c r="T85"/>
    </row>
    <row r="86" spans="2:20" ht="23.1" customHeight="1" x14ac:dyDescent="0.25">
      <c r="B86" s="46" t="s">
        <v>126</v>
      </c>
      <c r="C86" s="50">
        <v>50</v>
      </c>
      <c r="D86" s="50">
        <v>27</v>
      </c>
      <c r="E86" s="50">
        <v>3</v>
      </c>
      <c r="F86" s="50">
        <v>4</v>
      </c>
      <c r="G86" s="50">
        <v>1</v>
      </c>
      <c r="H86" s="50">
        <v>0</v>
      </c>
      <c r="I86" s="50">
        <v>0</v>
      </c>
      <c r="J86" s="50">
        <v>0</v>
      </c>
      <c r="K86" s="50">
        <v>0</v>
      </c>
      <c r="L86" s="50">
        <v>0</v>
      </c>
      <c r="M86" s="50">
        <v>22</v>
      </c>
      <c r="N86" s="50">
        <v>0</v>
      </c>
      <c r="O86" s="15">
        <f t="shared" si="35"/>
        <v>85</v>
      </c>
      <c r="P86" s="15">
        <f t="shared" si="36"/>
        <v>107</v>
      </c>
      <c r="R86" s="8"/>
      <c r="T86"/>
    </row>
    <row r="87" spans="2:20" ht="23.1" customHeight="1" x14ac:dyDescent="0.25">
      <c r="B87" s="45" t="s">
        <v>127</v>
      </c>
      <c r="C87" s="50">
        <v>56</v>
      </c>
      <c r="D87" s="50">
        <v>18</v>
      </c>
      <c r="E87" s="50">
        <v>0</v>
      </c>
      <c r="F87" s="50">
        <v>0</v>
      </c>
      <c r="G87" s="50">
        <v>0</v>
      </c>
      <c r="H87" s="50">
        <v>0</v>
      </c>
      <c r="I87" s="50">
        <v>0</v>
      </c>
      <c r="J87" s="50">
        <v>0</v>
      </c>
      <c r="K87" s="50">
        <v>0</v>
      </c>
      <c r="L87" s="50">
        <v>0</v>
      </c>
      <c r="M87" s="50">
        <v>29</v>
      </c>
      <c r="N87" s="50">
        <v>0</v>
      </c>
      <c r="O87" s="15">
        <f t="shared" si="35"/>
        <v>74</v>
      </c>
      <c r="P87" s="15">
        <f t="shared" si="36"/>
        <v>103</v>
      </c>
      <c r="R87" s="8"/>
      <c r="T87"/>
    </row>
    <row r="88" spans="2:20" ht="23.1" customHeight="1" x14ac:dyDescent="0.25">
      <c r="B88" s="47" t="s">
        <v>128</v>
      </c>
      <c r="C88" s="50">
        <v>40</v>
      </c>
      <c r="D88" s="50">
        <v>18</v>
      </c>
      <c r="E88" s="50">
        <v>1</v>
      </c>
      <c r="F88" s="50">
        <v>0</v>
      </c>
      <c r="G88" s="50">
        <v>0</v>
      </c>
      <c r="H88" s="50">
        <v>0</v>
      </c>
      <c r="I88" s="50">
        <v>0</v>
      </c>
      <c r="J88" s="50">
        <v>0</v>
      </c>
      <c r="K88" s="50">
        <v>0</v>
      </c>
      <c r="L88" s="50">
        <v>0</v>
      </c>
      <c r="M88" s="50">
        <v>30</v>
      </c>
      <c r="N88" s="50">
        <v>0</v>
      </c>
      <c r="O88" s="15">
        <f t="shared" si="35"/>
        <v>59</v>
      </c>
      <c r="P88" s="15">
        <f t="shared" si="36"/>
        <v>89</v>
      </c>
      <c r="R88" s="8"/>
      <c r="T88"/>
    </row>
    <row r="89" spans="2:20" ht="23.1" customHeight="1" x14ac:dyDescent="0.25">
      <c r="B89" s="45" t="s">
        <v>129</v>
      </c>
      <c r="C89" s="50">
        <v>33</v>
      </c>
      <c r="D89" s="50">
        <v>14</v>
      </c>
      <c r="E89" s="50">
        <v>2</v>
      </c>
      <c r="F89" s="50">
        <v>0</v>
      </c>
      <c r="G89" s="50">
        <v>0</v>
      </c>
      <c r="H89" s="50">
        <v>0</v>
      </c>
      <c r="I89" s="50">
        <v>1</v>
      </c>
      <c r="J89" s="50">
        <v>0</v>
      </c>
      <c r="K89" s="50">
        <v>0</v>
      </c>
      <c r="L89" s="50">
        <v>0</v>
      </c>
      <c r="M89" s="50">
        <v>14</v>
      </c>
      <c r="N89" s="50">
        <v>0</v>
      </c>
      <c r="O89" s="15">
        <f t="shared" si="35"/>
        <v>50</v>
      </c>
      <c r="P89" s="15">
        <f t="shared" si="36"/>
        <v>64</v>
      </c>
      <c r="R89" s="8"/>
      <c r="T89"/>
    </row>
    <row r="90" spans="2:20" ht="23.1" customHeight="1" x14ac:dyDescent="0.25">
      <c r="B90" s="46" t="s">
        <v>130</v>
      </c>
      <c r="C90" s="50">
        <v>21</v>
      </c>
      <c r="D90" s="50">
        <v>8</v>
      </c>
      <c r="E90" s="50">
        <v>0</v>
      </c>
      <c r="F90" s="50">
        <v>1</v>
      </c>
      <c r="G90" s="50">
        <v>0</v>
      </c>
      <c r="H90" s="50">
        <v>0</v>
      </c>
      <c r="I90" s="50">
        <v>0</v>
      </c>
      <c r="J90" s="50">
        <v>1</v>
      </c>
      <c r="K90" s="50">
        <v>0</v>
      </c>
      <c r="L90" s="50">
        <v>0</v>
      </c>
      <c r="M90" s="50">
        <v>19</v>
      </c>
      <c r="N90" s="50">
        <v>0</v>
      </c>
      <c r="O90" s="15">
        <f t="shared" si="35"/>
        <v>31</v>
      </c>
      <c r="P90" s="15">
        <f t="shared" si="36"/>
        <v>50</v>
      </c>
      <c r="R90" s="8"/>
      <c r="T90"/>
    </row>
    <row r="91" spans="2:20" ht="23.1" customHeight="1" x14ac:dyDescent="0.25">
      <c r="B91" s="45" t="s">
        <v>131</v>
      </c>
      <c r="C91" s="50">
        <v>44</v>
      </c>
      <c r="D91" s="50">
        <v>22</v>
      </c>
      <c r="E91" s="50">
        <v>1</v>
      </c>
      <c r="F91" s="50">
        <v>1</v>
      </c>
      <c r="G91" s="50">
        <v>0</v>
      </c>
      <c r="H91" s="50">
        <v>0</v>
      </c>
      <c r="I91" s="50">
        <v>0</v>
      </c>
      <c r="J91" s="50">
        <v>0</v>
      </c>
      <c r="K91" s="50">
        <v>0</v>
      </c>
      <c r="L91" s="50">
        <v>0</v>
      </c>
      <c r="M91" s="50">
        <v>10</v>
      </c>
      <c r="N91" s="50">
        <v>0</v>
      </c>
      <c r="O91" s="15">
        <f t="shared" si="35"/>
        <v>68</v>
      </c>
      <c r="P91" s="15">
        <f t="shared" si="36"/>
        <v>78</v>
      </c>
      <c r="R91" s="8"/>
      <c r="T91"/>
    </row>
    <row r="92" spans="2:20" ht="23.1" customHeight="1" x14ac:dyDescent="0.25">
      <c r="B92" s="47" t="s">
        <v>132</v>
      </c>
      <c r="C92" s="50">
        <v>36</v>
      </c>
      <c r="D92" s="50">
        <v>17</v>
      </c>
      <c r="E92" s="50">
        <v>3</v>
      </c>
      <c r="F92" s="50">
        <v>2</v>
      </c>
      <c r="G92" s="50">
        <v>0</v>
      </c>
      <c r="H92" s="50">
        <v>0</v>
      </c>
      <c r="I92" s="50">
        <v>0</v>
      </c>
      <c r="J92" s="50">
        <v>0</v>
      </c>
      <c r="K92" s="50">
        <v>0</v>
      </c>
      <c r="L92" s="50">
        <v>0</v>
      </c>
      <c r="M92" s="50">
        <v>10</v>
      </c>
      <c r="N92" s="50">
        <v>0</v>
      </c>
      <c r="O92" s="15">
        <f t="shared" si="35"/>
        <v>58</v>
      </c>
      <c r="P92" s="15">
        <f t="shared" si="36"/>
        <v>68</v>
      </c>
      <c r="R92" s="8"/>
      <c r="T92"/>
    </row>
    <row r="93" spans="2:20" ht="23.1" customHeight="1" x14ac:dyDescent="0.25">
      <c r="B93" s="45" t="s">
        <v>133</v>
      </c>
      <c r="C93" s="50">
        <v>27</v>
      </c>
      <c r="D93" s="50">
        <v>13</v>
      </c>
      <c r="E93" s="50">
        <v>0</v>
      </c>
      <c r="F93" s="50">
        <v>0</v>
      </c>
      <c r="G93" s="50">
        <v>0</v>
      </c>
      <c r="H93" s="50">
        <v>0</v>
      </c>
      <c r="I93" s="50">
        <v>0</v>
      </c>
      <c r="J93" s="50">
        <v>0</v>
      </c>
      <c r="K93" s="50">
        <v>0</v>
      </c>
      <c r="L93" s="50">
        <v>0</v>
      </c>
      <c r="M93" s="50">
        <v>15</v>
      </c>
      <c r="N93" s="50">
        <v>0</v>
      </c>
      <c r="O93" s="15">
        <f t="shared" si="35"/>
        <v>40</v>
      </c>
      <c r="P93" s="15">
        <f t="shared" si="36"/>
        <v>55</v>
      </c>
      <c r="R93" s="8"/>
      <c r="T93"/>
    </row>
    <row r="94" spans="2:20" ht="23.1" customHeight="1" x14ac:dyDescent="0.25">
      <c r="B94" s="46" t="s">
        <v>134</v>
      </c>
      <c r="C94" s="50">
        <v>23</v>
      </c>
      <c r="D94" s="50">
        <v>18</v>
      </c>
      <c r="E94" s="50">
        <v>2</v>
      </c>
      <c r="F94" s="50">
        <v>1</v>
      </c>
      <c r="G94" s="50">
        <v>0</v>
      </c>
      <c r="H94" s="50">
        <v>0</v>
      </c>
      <c r="I94" s="50">
        <v>0</v>
      </c>
      <c r="J94" s="50">
        <v>0</v>
      </c>
      <c r="K94" s="50">
        <v>0</v>
      </c>
      <c r="L94" s="50">
        <v>0</v>
      </c>
      <c r="M94" s="50">
        <v>18</v>
      </c>
      <c r="N94" s="50">
        <v>0</v>
      </c>
      <c r="O94" s="15">
        <f t="shared" si="35"/>
        <v>44</v>
      </c>
      <c r="P94" s="15">
        <f t="shared" si="36"/>
        <v>62</v>
      </c>
      <c r="R94" s="8"/>
      <c r="T94"/>
    </row>
    <row r="95" spans="2:20" ht="23.1" customHeight="1" x14ac:dyDescent="0.25">
      <c r="B95" s="45" t="s">
        <v>135</v>
      </c>
      <c r="C95" s="50">
        <v>18</v>
      </c>
      <c r="D95" s="50">
        <v>6</v>
      </c>
      <c r="E95" s="50">
        <v>3</v>
      </c>
      <c r="F95" s="50">
        <v>0</v>
      </c>
      <c r="G95" s="50">
        <v>0</v>
      </c>
      <c r="H95" s="50">
        <v>0</v>
      </c>
      <c r="I95" s="50">
        <v>0</v>
      </c>
      <c r="J95" s="50">
        <v>0</v>
      </c>
      <c r="K95" s="50">
        <v>0</v>
      </c>
      <c r="L95" s="50">
        <v>0</v>
      </c>
      <c r="M95" s="50">
        <v>13</v>
      </c>
      <c r="N95" s="50">
        <v>0</v>
      </c>
      <c r="O95" s="15">
        <f t="shared" si="35"/>
        <v>27</v>
      </c>
      <c r="P95" s="15">
        <f t="shared" si="36"/>
        <v>40</v>
      </c>
      <c r="R95" s="8"/>
      <c r="T95"/>
    </row>
    <row r="96" spans="2:20" ht="23.1" customHeight="1" x14ac:dyDescent="0.25">
      <c r="B96" s="47" t="s">
        <v>136</v>
      </c>
      <c r="C96" s="50">
        <v>20</v>
      </c>
      <c r="D96" s="50">
        <v>10</v>
      </c>
      <c r="E96" s="50">
        <v>0</v>
      </c>
      <c r="F96" s="50">
        <v>1</v>
      </c>
      <c r="G96" s="50">
        <v>0</v>
      </c>
      <c r="H96" s="50">
        <v>0</v>
      </c>
      <c r="I96" s="50">
        <v>0</v>
      </c>
      <c r="J96" s="50">
        <v>0</v>
      </c>
      <c r="K96" s="50">
        <v>0</v>
      </c>
      <c r="L96" s="50">
        <v>0</v>
      </c>
      <c r="M96" s="50">
        <v>15</v>
      </c>
      <c r="N96" s="50">
        <v>0</v>
      </c>
      <c r="O96" s="15">
        <f t="shared" si="35"/>
        <v>31</v>
      </c>
      <c r="P96" s="15">
        <f t="shared" si="36"/>
        <v>46</v>
      </c>
      <c r="R96" s="8"/>
      <c r="T96"/>
    </row>
    <row r="97" spans="2:20" ht="23.1" customHeight="1" x14ac:dyDescent="0.25">
      <c r="B97" s="45" t="s">
        <v>137</v>
      </c>
      <c r="C97" s="50">
        <v>27</v>
      </c>
      <c r="D97" s="50">
        <v>24</v>
      </c>
      <c r="E97" s="50">
        <v>4</v>
      </c>
      <c r="F97" s="50">
        <v>0</v>
      </c>
      <c r="G97" s="50">
        <v>0</v>
      </c>
      <c r="H97" s="50">
        <v>0</v>
      </c>
      <c r="I97" s="50">
        <v>0</v>
      </c>
      <c r="J97" s="50">
        <v>2</v>
      </c>
      <c r="K97" s="50">
        <v>0</v>
      </c>
      <c r="L97" s="50">
        <v>0</v>
      </c>
      <c r="M97" s="50">
        <v>12</v>
      </c>
      <c r="N97" s="50">
        <v>0</v>
      </c>
      <c r="O97" s="15">
        <f t="shared" si="35"/>
        <v>57</v>
      </c>
      <c r="P97" s="15">
        <f t="shared" si="36"/>
        <v>69</v>
      </c>
      <c r="R97" s="8"/>
      <c r="T97"/>
    </row>
    <row r="98" spans="2:20" ht="23.1" customHeight="1" x14ac:dyDescent="0.25">
      <c r="B98" s="46" t="s">
        <v>138</v>
      </c>
      <c r="C98" s="50">
        <v>18</v>
      </c>
      <c r="D98" s="50">
        <v>17</v>
      </c>
      <c r="E98" s="50">
        <v>0</v>
      </c>
      <c r="F98" s="50">
        <v>0</v>
      </c>
      <c r="G98" s="50">
        <v>0</v>
      </c>
      <c r="H98" s="50">
        <v>0</v>
      </c>
      <c r="I98" s="50">
        <v>0</v>
      </c>
      <c r="J98" s="50">
        <v>0</v>
      </c>
      <c r="K98" s="50">
        <v>0</v>
      </c>
      <c r="L98" s="50">
        <v>0</v>
      </c>
      <c r="M98" s="50">
        <v>20</v>
      </c>
      <c r="N98" s="50">
        <v>0</v>
      </c>
      <c r="O98" s="15">
        <f t="shared" si="35"/>
        <v>35</v>
      </c>
      <c r="P98" s="15">
        <f t="shared" si="36"/>
        <v>55</v>
      </c>
      <c r="R98" s="8"/>
      <c r="T98"/>
    </row>
    <row r="99" spans="2:20" ht="23.1" customHeight="1" x14ac:dyDescent="0.25">
      <c r="B99" s="45" t="s">
        <v>139</v>
      </c>
      <c r="C99" s="50">
        <v>14</v>
      </c>
      <c r="D99" s="50">
        <v>6</v>
      </c>
      <c r="E99" s="50">
        <v>0</v>
      </c>
      <c r="F99" s="50">
        <v>0</v>
      </c>
      <c r="G99" s="50">
        <v>0</v>
      </c>
      <c r="H99" s="50">
        <v>0</v>
      </c>
      <c r="I99" s="50">
        <v>0</v>
      </c>
      <c r="J99" s="50">
        <v>0</v>
      </c>
      <c r="K99" s="50">
        <v>0</v>
      </c>
      <c r="L99" s="50">
        <v>0</v>
      </c>
      <c r="M99" s="50">
        <v>13</v>
      </c>
      <c r="N99" s="50">
        <v>0</v>
      </c>
      <c r="O99" s="15">
        <f t="shared" si="35"/>
        <v>20</v>
      </c>
      <c r="P99" s="15">
        <f t="shared" si="36"/>
        <v>33</v>
      </c>
      <c r="R99" s="8"/>
      <c r="T99"/>
    </row>
    <row r="100" spans="2:20" ht="23.1" customHeight="1" x14ac:dyDescent="0.25">
      <c r="B100" s="47" t="s">
        <v>140</v>
      </c>
      <c r="C100" s="50">
        <v>19</v>
      </c>
      <c r="D100" s="50">
        <v>9</v>
      </c>
      <c r="E100" s="50">
        <v>1</v>
      </c>
      <c r="F100" s="50">
        <v>1</v>
      </c>
      <c r="G100" s="50">
        <v>0</v>
      </c>
      <c r="H100" s="50">
        <v>0</v>
      </c>
      <c r="I100" s="50">
        <v>0</v>
      </c>
      <c r="J100" s="50">
        <v>0</v>
      </c>
      <c r="K100" s="50">
        <v>0</v>
      </c>
      <c r="L100" s="50">
        <v>0</v>
      </c>
      <c r="M100" s="50">
        <v>10</v>
      </c>
      <c r="N100" s="50">
        <v>0</v>
      </c>
      <c r="O100" s="15">
        <f t="shared" si="35"/>
        <v>30</v>
      </c>
      <c r="P100" s="15">
        <f t="shared" si="36"/>
        <v>40</v>
      </c>
      <c r="R100" s="8"/>
      <c r="T100"/>
    </row>
    <row r="101" spans="2:20" ht="23.1" customHeight="1" x14ac:dyDescent="0.25">
      <c r="B101" s="45" t="s">
        <v>141</v>
      </c>
      <c r="C101" s="50">
        <v>26</v>
      </c>
      <c r="D101" s="50">
        <v>12</v>
      </c>
      <c r="E101" s="50">
        <v>2</v>
      </c>
      <c r="F101" s="50">
        <v>0</v>
      </c>
      <c r="G101" s="50">
        <v>0</v>
      </c>
      <c r="H101" s="50">
        <v>0</v>
      </c>
      <c r="I101" s="50">
        <v>0</v>
      </c>
      <c r="J101" s="50">
        <v>0</v>
      </c>
      <c r="K101" s="50">
        <v>0</v>
      </c>
      <c r="L101" s="50">
        <v>0</v>
      </c>
      <c r="M101" s="50">
        <v>7</v>
      </c>
      <c r="N101" s="50">
        <v>0</v>
      </c>
      <c r="O101" s="15">
        <f t="shared" si="35"/>
        <v>40</v>
      </c>
      <c r="P101" s="15">
        <f t="shared" si="36"/>
        <v>47</v>
      </c>
      <c r="R101" s="8"/>
      <c r="T101"/>
    </row>
    <row r="102" spans="2:20" ht="23.1" customHeight="1" x14ac:dyDescent="0.25">
      <c r="B102" s="46" t="s">
        <v>142</v>
      </c>
      <c r="C102" s="50">
        <v>7</v>
      </c>
      <c r="D102" s="50">
        <v>6</v>
      </c>
      <c r="E102" s="50">
        <v>1</v>
      </c>
      <c r="F102" s="50">
        <v>0</v>
      </c>
      <c r="G102" s="50">
        <v>0</v>
      </c>
      <c r="H102" s="50">
        <v>0</v>
      </c>
      <c r="I102" s="50">
        <v>0</v>
      </c>
      <c r="J102" s="50">
        <v>0</v>
      </c>
      <c r="K102" s="50">
        <v>0</v>
      </c>
      <c r="L102" s="50">
        <v>0</v>
      </c>
      <c r="M102" s="50">
        <v>20</v>
      </c>
      <c r="N102" s="50">
        <v>0</v>
      </c>
      <c r="O102" s="15">
        <f t="shared" si="35"/>
        <v>14</v>
      </c>
      <c r="P102" s="15">
        <f t="shared" si="36"/>
        <v>34</v>
      </c>
      <c r="R102" s="8"/>
      <c r="T102"/>
    </row>
    <row r="103" spans="2:20" ht="23.1" customHeight="1" x14ac:dyDescent="0.25">
      <c r="B103" s="45" t="s">
        <v>143</v>
      </c>
      <c r="C103" s="50">
        <v>14</v>
      </c>
      <c r="D103" s="50">
        <v>8</v>
      </c>
      <c r="E103" s="50">
        <v>3</v>
      </c>
      <c r="F103" s="50">
        <v>3</v>
      </c>
      <c r="G103" s="50">
        <v>0</v>
      </c>
      <c r="H103" s="50">
        <v>0</v>
      </c>
      <c r="I103" s="50">
        <v>0</v>
      </c>
      <c r="J103" s="50">
        <v>0</v>
      </c>
      <c r="K103" s="50">
        <v>1</v>
      </c>
      <c r="L103" s="50">
        <v>0</v>
      </c>
      <c r="M103" s="50">
        <v>26</v>
      </c>
      <c r="N103" s="50">
        <v>0</v>
      </c>
      <c r="O103" s="15">
        <f t="shared" si="35"/>
        <v>29</v>
      </c>
      <c r="P103" s="15">
        <f t="shared" si="36"/>
        <v>55</v>
      </c>
      <c r="R103" s="8"/>
      <c r="T103"/>
    </row>
    <row r="104" spans="2:20" ht="23.1" customHeight="1" x14ac:dyDescent="0.25">
      <c r="B104" s="47" t="s">
        <v>144</v>
      </c>
      <c r="C104" s="50">
        <v>8</v>
      </c>
      <c r="D104" s="50">
        <v>3</v>
      </c>
      <c r="E104" s="50">
        <v>1</v>
      </c>
      <c r="F104" s="50">
        <v>0</v>
      </c>
      <c r="G104" s="50">
        <v>0</v>
      </c>
      <c r="H104" s="50">
        <v>0</v>
      </c>
      <c r="I104" s="50">
        <v>0</v>
      </c>
      <c r="J104" s="50">
        <v>0</v>
      </c>
      <c r="K104" s="50">
        <v>0</v>
      </c>
      <c r="L104" s="50">
        <v>0</v>
      </c>
      <c r="M104" s="50">
        <v>15</v>
      </c>
      <c r="N104" s="50">
        <v>0</v>
      </c>
      <c r="O104" s="15">
        <f t="shared" si="35"/>
        <v>12</v>
      </c>
      <c r="P104" s="15">
        <f t="shared" si="36"/>
        <v>27</v>
      </c>
      <c r="R104" s="8"/>
      <c r="T104"/>
    </row>
    <row r="105" spans="2:20" ht="23.1" customHeight="1" x14ac:dyDescent="0.25">
      <c r="B105" s="45" t="s">
        <v>145</v>
      </c>
      <c r="C105" s="50">
        <v>10</v>
      </c>
      <c r="D105" s="50">
        <v>2</v>
      </c>
      <c r="E105" s="50">
        <v>1</v>
      </c>
      <c r="F105" s="50">
        <v>0</v>
      </c>
      <c r="G105" s="50">
        <v>0</v>
      </c>
      <c r="H105" s="50">
        <v>0</v>
      </c>
      <c r="I105" s="50">
        <v>1</v>
      </c>
      <c r="J105" s="50">
        <v>2</v>
      </c>
      <c r="K105" s="50">
        <v>0</v>
      </c>
      <c r="L105" s="50">
        <v>0</v>
      </c>
      <c r="M105" s="50">
        <v>45</v>
      </c>
      <c r="N105" s="50">
        <v>0</v>
      </c>
      <c r="O105" s="15">
        <f t="shared" si="35"/>
        <v>16</v>
      </c>
      <c r="P105" s="15">
        <f t="shared" si="36"/>
        <v>61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16185</v>
      </c>
      <c r="D106" s="16">
        <f t="shared" ref="D106:P106" si="37">SUM(D10:D105)</f>
        <v>4973</v>
      </c>
      <c r="E106" s="16">
        <f t="shared" si="37"/>
        <v>729</v>
      </c>
      <c r="F106" s="16">
        <f t="shared" si="37"/>
        <v>227</v>
      </c>
      <c r="G106" s="16">
        <f t="shared" si="37"/>
        <v>17</v>
      </c>
      <c r="H106" s="16">
        <f t="shared" si="37"/>
        <v>1</v>
      </c>
      <c r="I106" s="16">
        <f t="shared" si="37"/>
        <v>270</v>
      </c>
      <c r="J106" s="16">
        <f t="shared" si="37"/>
        <v>99</v>
      </c>
      <c r="K106" s="16">
        <f t="shared" si="37"/>
        <v>28</v>
      </c>
      <c r="L106" s="16">
        <f t="shared" si="37"/>
        <v>8</v>
      </c>
      <c r="M106" s="16">
        <f t="shared" si="37"/>
        <v>10679</v>
      </c>
      <c r="N106" s="16">
        <f t="shared" si="37"/>
        <v>0</v>
      </c>
      <c r="O106" s="16">
        <f t="shared" si="37"/>
        <v>22537</v>
      </c>
      <c r="P106" s="16">
        <f t="shared" si="37"/>
        <v>33216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0.48726517341040465</v>
      </c>
      <c r="D107" s="43">
        <f t="shared" si="38"/>
        <v>0.14971700385356454</v>
      </c>
      <c r="E107" s="43">
        <f t="shared" si="38"/>
        <v>2.1947254335260114E-2</v>
      </c>
      <c r="F107" s="43">
        <f t="shared" si="38"/>
        <v>6.8340558766859343E-3</v>
      </c>
      <c r="G107" s="43">
        <f t="shared" si="38"/>
        <v>5.1180154142581888E-4</v>
      </c>
      <c r="H107" s="43">
        <f t="shared" si="38"/>
        <v>3.0105973025048169E-5</v>
      </c>
      <c r="I107" s="43">
        <f t="shared" si="38"/>
        <v>8.1286127167630052E-3</v>
      </c>
      <c r="J107" s="43">
        <f t="shared" si="38"/>
        <v>2.9804913294797686E-3</v>
      </c>
      <c r="K107" s="43">
        <f t="shared" si="38"/>
        <v>8.4296724470134872E-4</v>
      </c>
      <c r="L107" s="43">
        <f t="shared" si="38"/>
        <v>2.4084778420038535E-4</v>
      </c>
      <c r="M107" s="43">
        <f t="shared" si="38"/>
        <v>0.32150168593448941</v>
      </c>
      <c r="N107" s="43">
        <f t="shared" si="38"/>
        <v>0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0.71815237165549983</v>
      </c>
      <c r="D108" s="44">
        <f t="shared" ref="D108:N108" si="39">D106/$O$106</f>
        <v>0.22065936016328705</v>
      </c>
      <c r="E108" s="44">
        <f t="shared" si="39"/>
        <v>3.2346807472156895E-2</v>
      </c>
      <c r="F108" s="44">
        <f t="shared" si="39"/>
        <v>1.007232550916271E-2</v>
      </c>
      <c r="G108" s="44">
        <f t="shared" si="39"/>
        <v>7.5431512623685493E-4</v>
      </c>
      <c r="H108" s="44">
        <f t="shared" si="39"/>
        <v>4.4371478013932642E-5</v>
      </c>
      <c r="I108" s="44">
        <f t="shared" si="39"/>
        <v>1.1980299063761813E-2</v>
      </c>
      <c r="J108" s="44">
        <f t="shared" si="39"/>
        <v>4.3927763233793321E-3</v>
      </c>
      <c r="K108" s="44">
        <f t="shared" si="39"/>
        <v>1.2424013843901141E-3</v>
      </c>
      <c r="L108" s="44">
        <f t="shared" si="39"/>
        <v>3.5497182411146113E-4</v>
      </c>
      <c r="M108" s="44"/>
      <c r="N108" s="44">
        <f t="shared" si="39"/>
        <v>0</v>
      </c>
      <c r="Q108" s="7"/>
      <c r="R108" s="8"/>
      <c r="T108"/>
    </row>
    <row r="109" spans="2:20" ht="23.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3.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3.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3.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3.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3.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3.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3.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3.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3.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3.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3.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3.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3.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3.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3.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3.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3.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3.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3.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3.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3.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3.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3.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3.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3.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3.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3.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3.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3.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3.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3.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3.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3.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3.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3.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3.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3.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3.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3.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3.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3.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3.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3.1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3.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3.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3.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3.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3.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3.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3.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3.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3.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3.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3.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3.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3.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3.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3.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3.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3.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3.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3.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3.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3.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3.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JinjaRoad-Kira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">
        <v>186</v>
      </c>
      <c r="E5" s="3"/>
      <c r="F5" s="41" t="s">
        <v>1</v>
      </c>
      <c r="G5" s="54" t="str">
        <f>'3.08 Kira Road-Jinja Road-24h'!G5:H5</f>
        <v>Shell Petrol Station</v>
      </c>
      <c r="H5" s="55"/>
      <c r="I5" s="14"/>
      <c r="J5" s="2" t="s">
        <v>5</v>
      </c>
      <c r="K5" s="54" t="s">
        <v>185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JinjaRoad-Kira Road'!D6:E6</f>
        <v>Jinja Road</v>
      </c>
      <c r="E6" s="55"/>
      <c r="F6" s="2" t="s">
        <v>2</v>
      </c>
      <c r="G6" s="54" t="str">
        <f>'29.07 JinjaRoad-Kira Road'!G6:H6</f>
        <v>Kira Road</v>
      </c>
      <c r="H6" s="55"/>
      <c r="J6" s="2" t="s">
        <v>21</v>
      </c>
      <c r="K6" s="54" t="str">
        <f>'3.08 Kira Road-Jinja Road-24h'!K6:L6</f>
        <v>Steven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8</v>
      </c>
      <c r="D10" s="50">
        <v>2</v>
      </c>
      <c r="E10" s="50">
        <v>0</v>
      </c>
      <c r="F10" s="50">
        <v>0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30</v>
      </c>
      <c r="N10" s="50">
        <v>0</v>
      </c>
      <c r="O10" s="15">
        <f t="shared" ref="O10:O57" si="0">SUM(C10:L10,N10)</f>
        <v>10</v>
      </c>
      <c r="P10" s="15">
        <f t="shared" ref="P10:P57" si="1">SUM(C10:N10)</f>
        <v>40</v>
      </c>
      <c r="R10" s="1" t="s">
        <v>6</v>
      </c>
      <c r="S10" s="17">
        <f t="shared" ref="S10:AF10" si="2">SUM(C10:C13)</f>
        <v>45</v>
      </c>
      <c r="T10" s="17">
        <f t="shared" si="2"/>
        <v>13</v>
      </c>
      <c r="U10" s="17">
        <f t="shared" si="2"/>
        <v>5</v>
      </c>
      <c r="V10" s="17">
        <f t="shared" si="2"/>
        <v>3</v>
      </c>
      <c r="W10" s="17">
        <f t="shared" si="2"/>
        <v>0</v>
      </c>
      <c r="X10" s="17">
        <f t="shared" si="2"/>
        <v>0</v>
      </c>
      <c r="Y10" s="17">
        <f t="shared" si="2"/>
        <v>3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203</v>
      </c>
      <c r="AD10" s="17">
        <f t="shared" si="2"/>
        <v>0</v>
      </c>
      <c r="AE10" s="31">
        <f t="shared" si="2"/>
        <v>70</v>
      </c>
      <c r="AF10" s="31">
        <f t="shared" si="2"/>
        <v>273</v>
      </c>
    </row>
    <row r="11" spans="2:32" s="6" customFormat="1" ht="23.1" customHeight="1" x14ac:dyDescent="0.25">
      <c r="B11" s="23" t="s">
        <v>38</v>
      </c>
      <c r="C11" s="50">
        <v>9</v>
      </c>
      <c r="D11" s="50">
        <v>2</v>
      </c>
      <c r="E11" s="50">
        <v>2</v>
      </c>
      <c r="F11" s="50">
        <v>1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47</v>
      </c>
      <c r="N11" s="50">
        <v>0</v>
      </c>
      <c r="O11" s="15">
        <f t="shared" si="0"/>
        <v>15</v>
      </c>
      <c r="P11" s="15">
        <f t="shared" si="1"/>
        <v>62</v>
      </c>
      <c r="R11" s="1" t="s">
        <v>7</v>
      </c>
      <c r="S11" s="17">
        <f t="shared" ref="S11:AF11" si="3">SUM(C14:C17)</f>
        <v>69</v>
      </c>
      <c r="T11" s="17">
        <f t="shared" si="3"/>
        <v>21</v>
      </c>
      <c r="U11" s="17">
        <f t="shared" si="3"/>
        <v>9</v>
      </c>
      <c r="V11" s="17">
        <f t="shared" si="3"/>
        <v>0</v>
      </c>
      <c r="W11" s="17">
        <f t="shared" si="3"/>
        <v>0</v>
      </c>
      <c r="X11" s="17">
        <f t="shared" si="3"/>
        <v>0</v>
      </c>
      <c r="Y11" s="17">
        <f t="shared" si="3"/>
        <v>4</v>
      </c>
      <c r="Z11" s="17">
        <f t="shared" si="3"/>
        <v>1</v>
      </c>
      <c r="AA11" s="17">
        <f t="shared" si="3"/>
        <v>2</v>
      </c>
      <c r="AB11" s="17">
        <f t="shared" si="3"/>
        <v>0</v>
      </c>
      <c r="AC11" s="17">
        <f t="shared" si="3"/>
        <v>316</v>
      </c>
      <c r="AD11" s="17">
        <f t="shared" si="3"/>
        <v>0</v>
      </c>
      <c r="AE11" s="31">
        <f t="shared" si="3"/>
        <v>106</v>
      </c>
      <c r="AF11" s="31">
        <f t="shared" si="3"/>
        <v>422</v>
      </c>
    </row>
    <row r="12" spans="2:32" ht="23.1" customHeight="1" x14ac:dyDescent="0.25">
      <c r="B12" s="23" t="s">
        <v>39</v>
      </c>
      <c r="C12" s="50">
        <v>12</v>
      </c>
      <c r="D12" s="50">
        <v>7</v>
      </c>
      <c r="E12" s="50">
        <v>1</v>
      </c>
      <c r="F12" s="50">
        <v>1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51</v>
      </c>
      <c r="N12" s="50">
        <v>0</v>
      </c>
      <c r="O12" s="15">
        <f t="shared" si="0"/>
        <v>21</v>
      </c>
      <c r="P12" s="15">
        <f t="shared" si="1"/>
        <v>72</v>
      </c>
      <c r="R12" s="1" t="s">
        <v>8</v>
      </c>
      <c r="S12" s="17">
        <f t="shared" ref="S12:AF12" si="4">SUM(C18:C21)</f>
        <v>134</v>
      </c>
      <c r="T12" s="17">
        <f t="shared" si="4"/>
        <v>38</v>
      </c>
      <c r="U12" s="17">
        <f t="shared" si="4"/>
        <v>19</v>
      </c>
      <c r="V12" s="17">
        <f t="shared" si="4"/>
        <v>2</v>
      </c>
      <c r="W12" s="17">
        <f t="shared" si="4"/>
        <v>1</v>
      </c>
      <c r="X12" s="17">
        <f t="shared" si="4"/>
        <v>0</v>
      </c>
      <c r="Y12" s="17">
        <f t="shared" si="4"/>
        <v>0</v>
      </c>
      <c r="Z12" s="17">
        <f t="shared" si="4"/>
        <v>8</v>
      </c>
      <c r="AA12" s="17">
        <f t="shared" si="4"/>
        <v>2</v>
      </c>
      <c r="AB12" s="17">
        <f t="shared" si="4"/>
        <v>0</v>
      </c>
      <c r="AC12" s="17">
        <f t="shared" si="4"/>
        <v>354</v>
      </c>
      <c r="AD12" s="17">
        <f t="shared" si="4"/>
        <v>0</v>
      </c>
      <c r="AE12" s="31">
        <f t="shared" si="4"/>
        <v>204</v>
      </c>
      <c r="AF12" s="31">
        <f t="shared" si="4"/>
        <v>558</v>
      </c>
    </row>
    <row r="13" spans="2:32" ht="23.1" customHeight="1" x14ac:dyDescent="0.25">
      <c r="B13" s="23" t="s">
        <v>40</v>
      </c>
      <c r="C13" s="50">
        <v>16</v>
      </c>
      <c r="D13" s="50">
        <v>2</v>
      </c>
      <c r="E13" s="50">
        <v>2</v>
      </c>
      <c r="F13" s="50">
        <v>1</v>
      </c>
      <c r="G13" s="50">
        <v>0</v>
      </c>
      <c r="H13" s="50">
        <v>0</v>
      </c>
      <c r="I13" s="50">
        <v>2</v>
      </c>
      <c r="J13" s="50">
        <v>1</v>
      </c>
      <c r="K13" s="50">
        <v>0</v>
      </c>
      <c r="L13" s="50">
        <v>0</v>
      </c>
      <c r="M13" s="50">
        <v>75</v>
      </c>
      <c r="N13" s="50">
        <v>0</v>
      </c>
      <c r="O13" s="15">
        <f t="shared" si="0"/>
        <v>24</v>
      </c>
      <c r="P13" s="15">
        <f t="shared" si="1"/>
        <v>99</v>
      </c>
      <c r="R13" s="1" t="s">
        <v>9</v>
      </c>
      <c r="S13" s="17">
        <f t="shared" ref="S13:AF13" si="5">SUM(C22:C25)</f>
        <v>186</v>
      </c>
      <c r="T13" s="17">
        <f t="shared" si="5"/>
        <v>64</v>
      </c>
      <c r="U13" s="17">
        <f t="shared" si="5"/>
        <v>19</v>
      </c>
      <c r="V13" s="17">
        <f t="shared" si="5"/>
        <v>8</v>
      </c>
      <c r="W13" s="17">
        <f t="shared" si="5"/>
        <v>0</v>
      </c>
      <c r="X13" s="17">
        <f t="shared" si="5"/>
        <v>0</v>
      </c>
      <c r="Y13" s="17">
        <f t="shared" si="5"/>
        <v>2</v>
      </c>
      <c r="Z13" s="17">
        <f t="shared" si="5"/>
        <v>1</v>
      </c>
      <c r="AA13" s="17">
        <f t="shared" si="5"/>
        <v>1</v>
      </c>
      <c r="AB13" s="17">
        <f t="shared" si="5"/>
        <v>1</v>
      </c>
      <c r="AC13" s="17">
        <f t="shared" si="5"/>
        <v>331</v>
      </c>
      <c r="AD13" s="17">
        <f t="shared" si="5"/>
        <v>0</v>
      </c>
      <c r="AE13" s="31">
        <f t="shared" si="5"/>
        <v>282</v>
      </c>
      <c r="AF13" s="31">
        <f t="shared" si="5"/>
        <v>613</v>
      </c>
    </row>
    <row r="14" spans="2:32" ht="23.1" customHeight="1" x14ac:dyDescent="0.25">
      <c r="B14" s="23" t="s">
        <v>41</v>
      </c>
      <c r="C14" s="50">
        <v>20</v>
      </c>
      <c r="D14" s="50">
        <v>5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1</v>
      </c>
      <c r="K14" s="50">
        <v>0</v>
      </c>
      <c r="L14" s="50">
        <v>0</v>
      </c>
      <c r="M14" s="50">
        <v>78</v>
      </c>
      <c r="N14" s="50">
        <v>0</v>
      </c>
      <c r="O14" s="15">
        <f t="shared" si="0"/>
        <v>27</v>
      </c>
      <c r="P14" s="15">
        <f t="shared" si="1"/>
        <v>105</v>
      </c>
      <c r="R14" s="1" t="s">
        <v>10</v>
      </c>
      <c r="S14" s="17">
        <f t="shared" ref="S14:AF14" si="6">SUM(C26:C29)</f>
        <v>206</v>
      </c>
      <c r="T14" s="17">
        <f t="shared" si="6"/>
        <v>89</v>
      </c>
      <c r="U14" s="17">
        <f t="shared" si="6"/>
        <v>21</v>
      </c>
      <c r="V14" s="17">
        <f t="shared" si="6"/>
        <v>11</v>
      </c>
      <c r="W14" s="17">
        <f t="shared" si="6"/>
        <v>0</v>
      </c>
      <c r="X14" s="17">
        <f t="shared" si="6"/>
        <v>0</v>
      </c>
      <c r="Y14" s="17">
        <f t="shared" si="6"/>
        <v>1</v>
      </c>
      <c r="Z14" s="17">
        <f t="shared" si="6"/>
        <v>4</v>
      </c>
      <c r="AA14" s="17">
        <f t="shared" si="6"/>
        <v>7</v>
      </c>
      <c r="AB14" s="17">
        <f t="shared" si="6"/>
        <v>0</v>
      </c>
      <c r="AC14" s="17">
        <f t="shared" si="6"/>
        <v>344</v>
      </c>
      <c r="AD14" s="17">
        <f t="shared" si="6"/>
        <v>0</v>
      </c>
      <c r="AE14" s="31">
        <f t="shared" si="6"/>
        <v>339</v>
      </c>
      <c r="AF14" s="31">
        <f t="shared" si="6"/>
        <v>683</v>
      </c>
    </row>
    <row r="15" spans="2:32" ht="23.1" customHeight="1" x14ac:dyDescent="0.25">
      <c r="B15" s="23" t="s">
        <v>42</v>
      </c>
      <c r="C15" s="50">
        <v>16</v>
      </c>
      <c r="D15" s="50">
        <v>2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1</v>
      </c>
      <c r="L15" s="50">
        <v>0</v>
      </c>
      <c r="M15" s="50">
        <v>101</v>
      </c>
      <c r="N15" s="50">
        <v>0</v>
      </c>
      <c r="O15" s="15">
        <f t="shared" si="0"/>
        <v>19</v>
      </c>
      <c r="P15" s="15">
        <f t="shared" si="1"/>
        <v>120</v>
      </c>
      <c r="R15" s="1" t="s">
        <v>11</v>
      </c>
      <c r="S15" s="17">
        <f t="shared" ref="S15:AF15" si="7">SUM(C30:C33)</f>
        <v>213</v>
      </c>
      <c r="T15" s="17">
        <f t="shared" si="7"/>
        <v>86</v>
      </c>
      <c r="U15" s="17">
        <f t="shared" si="7"/>
        <v>25</v>
      </c>
      <c r="V15" s="17">
        <f t="shared" si="7"/>
        <v>6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0</v>
      </c>
      <c r="AA15" s="17">
        <f t="shared" si="7"/>
        <v>1</v>
      </c>
      <c r="AB15" s="17">
        <f t="shared" si="7"/>
        <v>0</v>
      </c>
      <c r="AC15" s="17">
        <f t="shared" si="7"/>
        <v>419</v>
      </c>
      <c r="AD15" s="17">
        <f t="shared" si="7"/>
        <v>0</v>
      </c>
      <c r="AE15" s="31">
        <f t="shared" si="7"/>
        <v>337</v>
      </c>
      <c r="AF15" s="31">
        <f t="shared" si="7"/>
        <v>756</v>
      </c>
    </row>
    <row r="16" spans="2:32" ht="23.1" customHeight="1" x14ac:dyDescent="0.25">
      <c r="B16" s="23" t="s">
        <v>43</v>
      </c>
      <c r="C16" s="50">
        <v>13</v>
      </c>
      <c r="D16" s="50">
        <v>7</v>
      </c>
      <c r="E16" s="50">
        <v>4</v>
      </c>
      <c r="F16" s="50">
        <v>0</v>
      </c>
      <c r="G16" s="50">
        <v>0</v>
      </c>
      <c r="H16" s="50">
        <v>0</v>
      </c>
      <c r="I16" s="50">
        <v>2</v>
      </c>
      <c r="J16" s="50">
        <v>0</v>
      </c>
      <c r="K16" s="50">
        <v>0</v>
      </c>
      <c r="L16" s="50">
        <v>0</v>
      </c>
      <c r="M16" s="50">
        <v>69</v>
      </c>
      <c r="N16" s="50">
        <v>0</v>
      </c>
      <c r="O16" s="15">
        <f t="shared" si="0"/>
        <v>26</v>
      </c>
      <c r="P16" s="15">
        <f t="shared" si="1"/>
        <v>95</v>
      </c>
      <c r="R16" s="1" t="s">
        <v>12</v>
      </c>
      <c r="S16" s="17">
        <f t="shared" ref="S16:AF16" si="8">SUM(C34:C37)</f>
        <v>265</v>
      </c>
      <c r="T16" s="17">
        <f t="shared" si="8"/>
        <v>156</v>
      </c>
      <c r="U16" s="17">
        <f t="shared" si="8"/>
        <v>22</v>
      </c>
      <c r="V16" s="17">
        <f t="shared" si="8"/>
        <v>6</v>
      </c>
      <c r="W16" s="17">
        <f t="shared" si="8"/>
        <v>0</v>
      </c>
      <c r="X16" s="17">
        <f t="shared" si="8"/>
        <v>0</v>
      </c>
      <c r="Y16" s="17">
        <f t="shared" si="8"/>
        <v>7</v>
      </c>
      <c r="Z16" s="17">
        <f t="shared" si="8"/>
        <v>2</v>
      </c>
      <c r="AA16" s="17">
        <f t="shared" si="8"/>
        <v>1</v>
      </c>
      <c r="AB16" s="17">
        <f t="shared" si="8"/>
        <v>0</v>
      </c>
      <c r="AC16" s="17">
        <f t="shared" si="8"/>
        <v>385</v>
      </c>
      <c r="AD16" s="17">
        <f t="shared" si="8"/>
        <v>0</v>
      </c>
      <c r="AE16" s="31">
        <f t="shared" si="8"/>
        <v>459</v>
      </c>
      <c r="AF16" s="31">
        <f t="shared" si="8"/>
        <v>844</v>
      </c>
    </row>
    <row r="17" spans="2:32" ht="23.1" customHeight="1" x14ac:dyDescent="0.25">
      <c r="B17" s="23" t="s">
        <v>44</v>
      </c>
      <c r="C17" s="50">
        <v>20</v>
      </c>
      <c r="D17" s="50">
        <v>7</v>
      </c>
      <c r="E17" s="50">
        <v>4</v>
      </c>
      <c r="F17" s="50">
        <v>0</v>
      </c>
      <c r="G17" s="50">
        <v>0</v>
      </c>
      <c r="H17" s="50">
        <v>0</v>
      </c>
      <c r="I17" s="50">
        <v>2</v>
      </c>
      <c r="J17" s="50">
        <v>0</v>
      </c>
      <c r="K17" s="50">
        <v>1</v>
      </c>
      <c r="L17" s="50">
        <v>0</v>
      </c>
      <c r="M17" s="50">
        <v>68</v>
      </c>
      <c r="N17" s="50">
        <v>0</v>
      </c>
      <c r="O17" s="15">
        <f t="shared" si="0"/>
        <v>34</v>
      </c>
      <c r="P17" s="15">
        <f t="shared" si="1"/>
        <v>102</v>
      </c>
      <c r="R17" s="1" t="s">
        <v>13</v>
      </c>
      <c r="S17" s="17">
        <f t="shared" ref="S17:AF17" si="9">SUM(C38:C41)</f>
        <v>272</v>
      </c>
      <c r="T17" s="17">
        <f t="shared" si="9"/>
        <v>138</v>
      </c>
      <c r="U17" s="17">
        <f t="shared" si="9"/>
        <v>25</v>
      </c>
      <c r="V17" s="17">
        <f t="shared" si="9"/>
        <v>12</v>
      </c>
      <c r="W17" s="17">
        <f t="shared" si="9"/>
        <v>1</v>
      </c>
      <c r="X17" s="17">
        <f t="shared" si="9"/>
        <v>0</v>
      </c>
      <c r="Y17" s="17">
        <f t="shared" si="9"/>
        <v>0</v>
      </c>
      <c r="Z17" s="17">
        <f t="shared" si="9"/>
        <v>6</v>
      </c>
      <c r="AA17" s="17">
        <f t="shared" si="9"/>
        <v>1</v>
      </c>
      <c r="AB17" s="17">
        <f t="shared" si="9"/>
        <v>0</v>
      </c>
      <c r="AC17" s="17">
        <f t="shared" si="9"/>
        <v>437</v>
      </c>
      <c r="AD17" s="17">
        <f t="shared" si="9"/>
        <v>0</v>
      </c>
      <c r="AE17" s="31">
        <f t="shared" si="9"/>
        <v>455</v>
      </c>
      <c r="AF17" s="31">
        <f t="shared" si="9"/>
        <v>892</v>
      </c>
    </row>
    <row r="18" spans="2:32" ht="23.1" customHeight="1" x14ac:dyDescent="0.25">
      <c r="B18" s="23" t="s">
        <v>45</v>
      </c>
      <c r="C18" s="50">
        <v>26</v>
      </c>
      <c r="D18" s="50">
        <v>7</v>
      </c>
      <c r="E18" s="50">
        <v>1</v>
      </c>
      <c r="F18" s="50">
        <v>1</v>
      </c>
      <c r="G18" s="50">
        <v>0</v>
      </c>
      <c r="H18" s="50">
        <v>0</v>
      </c>
      <c r="I18" s="50">
        <v>0</v>
      </c>
      <c r="J18" s="50">
        <v>1</v>
      </c>
      <c r="K18" s="50">
        <v>1</v>
      </c>
      <c r="L18" s="50">
        <v>0</v>
      </c>
      <c r="M18" s="50">
        <v>94</v>
      </c>
      <c r="N18" s="50">
        <v>0</v>
      </c>
      <c r="O18" s="15">
        <f t="shared" si="0"/>
        <v>37</v>
      </c>
      <c r="P18" s="15">
        <f t="shared" si="1"/>
        <v>131</v>
      </c>
      <c r="R18" s="1" t="s">
        <v>14</v>
      </c>
      <c r="S18" s="17">
        <f t="shared" ref="S18:AF18" si="10">SUM(C42:C45)</f>
        <v>255</v>
      </c>
      <c r="T18" s="17">
        <f t="shared" si="10"/>
        <v>92</v>
      </c>
      <c r="U18" s="17">
        <f t="shared" si="10"/>
        <v>10</v>
      </c>
      <c r="V18" s="17">
        <f t="shared" si="10"/>
        <v>15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8</v>
      </c>
      <c r="AA18" s="17">
        <f t="shared" si="10"/>
        <v>3</v>
      </c>
      <c r="AB18" s="17">
        <f t="shared" si="10"/>
        <v>0</v>
      </c>
      <c r="AC18" s="17">
        <f t="shared" si="10"/>
        <v>363</v>
      </c>
      <c r="AD18" s="17">
        <f t="shared" si="10"/>
        <v>0</v>
      </c>
      <c r="AE18" s="31">
        <f t="shared" si="10"/>
        <v>389</v>
      </c>
      <c r="AF18" s="31">
        <f t="shared" si="10"/>
        <v>752</v>
      </c>
    </row>
    <row r="19" spans="2:32" ht="23.1" customHeight="1" x14ac:dyDescent="0.25">
      <c r="B19" s="23" t="s">
        <v>46</v>
      </c>
      <c r="C19" s="50">
        <v>46</v>
      </c>
      <c r="D19" s="50">
        <v>9</v>
      </c>
      <c r="E19" s="50">
        <v>7</v>
      </c>
      <c r="F19" s="50">
        <v>1</v>
      </c>
      <c r="G19" s="50">
        <v>0</v>
      </c>
      <c r="H19" s="50">
        <v>0</v>
      </c>
      <c r="I19" s="50">
        <v>0</v>
      </c>
      <c r="J19" s="50">
        <v>4</v>
      </c>
      <c r="K19" s="50">
        <v>0</v>
      </c>
      <c r="L19" s="50">
        <v>0</v>
      </c>
      <c r="M19" s="50">
        <v>88</v>
      </c>
      <c r="N19" s="50">
        <v>0</v>
      </c>
      <c r="O19" s="15">
        <f t="shared" si="0"/>
        <v>67</v>
      </c>
      <c r="P19" s="15">
        <f t="shared" si="1"/>
        <v>155</v>
      </c>
      <c r="R19" s="1" t="s">
        <v>15</v>
      </c>
      <c r="S19" s="17">
        <f t="shared" ref="S19:AF19" si="11">SUM(C46:C49)</f>
        <v>200</v>
      </c>
      <c r="T19" s="17">
        <f t="shared" si="11"/>
        <v>89</v>
      </c>
      <c r="U19" s="17">
        <f t="shared" si="11"/>
        <v>25</v>
      </c>
      <c r="V19" s="17">
        <f t="shared" si="11"/>
        <v>14</v>
      </c>
      <c r="W19" s="17">
        <f t="shared" si="11"/>
        <v>0</v>
      </c>
      <c r="X19" s="17">
        <f t="shared" si="11"/>
        <v>0</v>
      </c>
      <c r="Y19" s="17">
        <f t="shared" si="11"/>
        <v>3</v>
      </c>
      <c r="Z19" s="17">
        <f t="shared" si="11"/>
        <v>1</v>
      </c>
      <c r="AA19" s="17">
        <f t="shared" si="11"/>
        <v>0</v>
      </c>
      <c r="AB19" s="17">
        <f t="shared" si="11"/>
        <v>0</v>
      </c>
      <c r="AC19" s="17">
        <f t="shared" si="11"/>
        <v>471</v>
      </c>
      <c r="AD19" s="17">
        <f t="shared" si="11"/>
        <v>0</v>
      </c>
      <c r="AE19" s="31">
        <f t="shared" si="11"/>
        <v>332</v>
      </c>
      <c r="AF19" s="31">
        <f t="shared" si="11"/>
        <v>803</v>
      </c>
    </row>
    <row r="20" spans="2:32" ht="23.1" customHeight="1" x14ac:dyDescent="0.25">
      <c r="B20" s="23" t="s">
        <v>47</v>
      </c>
      <c r="C20" s="50">
        <v>32</v>
      </c>
      <c r="D20" s="50">
        <v>12</v>
      </c>
      <c r="E20" s="50">
        <v>5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95</v>
      </c>
      <c r="N20" s="50">
        <v>0</v>
      </c>
      <c r="O20" s="15">
        <f t="shared" si="0"/>
        <v>49</v>
      </c>
      <c r="P20" s="15">
        <f t="shared" si="1"/>
        <v>144</v>
      </c>
      <c r="R20" s="1" t="s">
        <v>16</v>
      </c>
      <c r="S20" s="17">
        <f t="shared" ref="S20:AF20" si="12">SUM(C50:C53)</f>
        <v>230</v>
      </c>
      <c r="T20" s="17">
        <f t="shared" si="12"/>
        <v>95</v>
      </c>
      <c r="U20" s="17">
        <f t="shared" si="12"/>
        <v>20</v>
      </c>
      <c r="V20" s="17">
        <f t="shared" si="12"/>
        <v>14</v>
      </c>
      <c r="W20" s="17">
        <f t="shared" si="12"/>
        <v>2</v>
      </c>
      <c r="X20" s="17">
        <f t="shared" si="12"/>
        <v>0</v>
      </c>
      <c r="Y20" s="17">
        <f t="shared" si="12"/>
        <v>3</v>
      </c>
      <c r="Z20" s="17">
        <f t="shared" si="12"/>
        <v>1</v>
      </c>
      <c r="AA20" s="17">
        <f t="shared" si="12"/>
        <v>1</v>
      </c>
      <c r="AB20" s="17">
        <f t="shared" si="12"/>
        <v>0</v>
      </c>
      <c r="AC20" s="17">
        <f t="shared" si="12"/>
        <v>386</v>
      </c>
      <c r="AD20" s="17">
        <f t="shared" si="12"/>
        <v>0</v>
      </c>
      <c r="AE20" s="31">
        <f t="shared" si="12"/>
        <v>366</v>
      </c>
      <c r="AF20" s="31">
        <f t="shared" si="12"/>
        <v>752</v>
      </c>
    </row>
    <row r="21" spans="2:32" ht="23.1" customHeight="1" x14ac:dyDescent="0.25">
      <c r="B21" s="23" t="s">
        <v>48</v>
      </c>
      <c r="C21" s="50">
        <v>30</v>
      </c>
      <c r="D21" s="50">
        <v>10</v>
      </c>
      <c r="E21" s="50">
        <v>6</v>
      </c>
      <c r="F21" s="50">
        <v>0</v>
      </c>
      <c r="G21" s="50">
        <v>1</v>
      </c>
      <c r="H21" s="50">
        <v>0</v>
      </c>
      <c r="I21" s="50">
        <v>0</v>
      </c>
      <c r="J21" s="50">
        <v>3</v>
      </c>
      <c r="K21" s="50">
        <v>1</v>
      </c>
      <c r="L21" s="50">
        <v>0</v>
      </c>
      <c r="M21" s="50">
        <v>77</v>
      </c>
      <c r="N21" s="50">
        <v>0</v>
      </c>
      <c r="O21" s="15">
        <f t="shared" si="0"/>
        <v>51</v>
      </c>
      <c r="P21" s="15">
        <f t="shared" si="1"/>
        <v>128</v>
      </c>
      <c r="R21" s="36" t="s">
        <v>20</v>
      </c>
      <c r="S21" s="34">
        <f t="shared" ref="S21:AF21" si="13">SUM(C54:C57)</f>
        <v>236</v>
      </c>
      <c r="T21" s="17">
        <f t="shared" si="13"/>
        <v>104</v>
      </c>
      <c r="U21" s="17">
        <f t="shared" si="13"/>
        <v>12</v>
      </c>
      <c r="V21" s="17">
        <f t="shared" si="13"/>
        <v>5</v>
      </c>
      <c r="W21" s="17">
        <f t="shared" si="13"/>
        <v>1</v>
      </c>
      <c r="X21" s="17">
        <f t="shared" si="13"/>
        <v>0</v>
      </c>
      <c r="Y21" s="17">
        <f t="shared" si="13"/>
        <v>2</v>
      </c>
      <c r="Z21" s="17">
        <f t="shared" si="13"/>
        <v>0</v>
      </c>
      <c r="AA21" s="17">
        <f t="shared" si="13"/>
        <v>1</v>
      </c>
      <c r="AB21" s="17">
        <f t="shared" si="13"/>
        <v>0</v>
      </c>
      <c r="AC21" s="17">
        <f t="shared" si="13"/>
        <v>248</v>
      </c>
      <c r="AD21" s="17">
        <f t="shared" si="13"/>
        <v>0</v>
      </c>
      <c r="AE21" s="31">
        <f t="shared" si="13"/>
        <v>361</v>
      </c>
      <c r="AF21" s="31">
        <f t="shared" si="13"/>
        <v>609</v>
      </c>
    </row>
    <row r="22" spans="2:32" ht="23.1" customHeight="1" x14ac:dyDescent="0.25">
      <c r="B22" s="23" t="s">
        <v>49</v>
      </c>
      <c r="C22" s="50">
        <v>32</v>
      </c>
      <c r="D22" s="50">
        <v>11</v>
      </c>
      <c r="E22" s="50">
        <v>1</v>
      </c>
      <c r="F22" s="50">
        <v>2</v>
      </c>
      <c r="G22" s="50">
        <v>0</v>
      </c>
      <c r="H22" s="50">
        <v>0</v>
      </c>
      <c r="I22" s="50">
        <v>0</v>
      </c>
      <c r="J22" s="50">
        <v>0</v>
      </c>
      <c r="K22" s="50">
        <v>1</v>
      </c>
      <c r="L22" s="50">
        <v>0</v>
      </c>
      <c r="M22" s="50">
        <v>114</v>
      </c>
      <c r="N22" s="50">
        <v>0</v>
      </c>
      <c r="O22" s="15">
        <f t="shared" si="0"/>
        <v>47</v>
      </c>
      <c r="P22" s="15">
        <f t="shared" si="1"/>
        <v>161</v>
      </c>
      <c r="R22" s="38" t="s">
        <v>90</v>
      </c>
      <c r="S22" s="39">
        <f>MAX(S10:S12)</f>
        <v>134</v>
      </c>
      <c r="T22" s="39">
        <f t="shared" ref="T22:AF22" si="14">MAX(T10:T12)</f>
        <v>38</v>
      </c>
      <c r="U22" s="39">
        <f t="shared" si="14"/>
        <v>19</v>
      </c>
      <c r="V22" s="39">
        <f t="shared" si="14"/>
        <v>3</v>
      </c>
      <c r="W22" s="39">
        <f t="shared" si="14"/>
        <v>1</v>
      </c>
      <c r="X22" s="39">
        <f t="shared" si="14"/>
        <v>0</v>
      </c>
      <c r="Y22" s="39">
        <f t="shared" si="14"/>
        <v>4</v>
      </c>
      <c r="Z22" s="39">
        <f t="shared" si="14"/>
        <v>8</v>
      </c>
      <c r="AA22" s="39">
        <f t="shared" si="14"/>
        <v>2</v>
      </c>
      <c r="AB22" s="39">
        <f t="shared" si="14"/>
        <v>0</v>
      </c>
      <c r="AC22" s="39">
        <f t="shared" si="14"/>
        <v>354</v>
      </c>
      <c r="AD22" s="39">
        <f t="shared" si="14"/>
        <v>0</v>
      </c>
      <c r="AE22" s="40">
        <f t="shared" si="14"/>
        <v>204</v>
      </c>
      <c r="AF22" s="40">
        <f t="shared" si="14"/>
        <v>558</v>
      </c>
    </row>
    <row r="23" spans="2:32" ht="23.1" customHeight="1" x14ac:dyDescent="0.25">
      <c r="B23" s="23" t="s">
        <v>50</v>
      </c>
      <c r="C23" s="50">
        <v>53</v>
      </c>
      <c r="D23" s="50">
        <v>20</v>
      </c>
      <c r="E23" s="50">
        <v>4</v>
      </c>
      <c r="F23" s="50">
        <v>1</v>
      </c>
      <c r="G23" s="50">
        <v>0</v>
      </c>
      <c r="H23" s="50">
        <v>0</v>
      </c>
      <c r="I23" s="50">
        <v>0</v>
      </c>
      <c r="J23" s="50">
        <v>1</v>
      </c>
      <c r="K23" s="50">
        <v>0</v>
      </c>
      <c r="L23" s="50">
        <v>0</v>
      </c>
      <c r="M23" s="50">
        <v>61</v>
      </c>
      <c r="N23" s="50">
        <v>0</v>
      </c>
      <c r="O23" s="15">
        <f t="shared" si="0"/>
        <v>79</v>
      </c>
      <c r="P23" s="15">
        <f t="shared" si="1"/>
        <v>140</v>
      </c>
      <c r="R23" s="38" t="s">
        <v>91</v>
      </c>
      <c r="S23" s="39">
        <f>MAX(S13:S18)</f>
        <v>272</v>
      </c>
      <c r="T23" s="39">
        <f t="shared" ref="T23:AF23" si="15">MAX(T13:T18)</f>
        <v>156</v>
      </c>
      <c r="U23" s="39">
        <f t="shared" si="15"/>
        <v>25</v>
      </c>
      <c r="V23" s="39">
        <f t="shared" si="15"/>
        <v>15</v>
      </c>
      <c r="W23" s="39">
        <f t="shared" si="15"/>
        <v>1</v>
      </c>
      <c r="X23" s="39">
        <f t="shared" si="15"/>
        <v>0</v>
      </c>
      <c r="Y23" s="39">
        <f t="shared" si="15"/>
        <v>7</v>
      </c>
      <c r="Z23" s="39">
        <f t="shared" si="15"/>
        <v>8</v>
      </c>
      <c r="AA23" s="39">
        <f t="shared" si="15"/>
        <v>7</v>
      </c>
      <c r="AB23" s="39">
        <f t="shared" si="15"/>
        <v>1</v>
      </c>
      <c r="AC23" s="39">
        <f t="shared" si="15"/>
        <v>437</v>
      </c>
      <c r="AD23" s="39">
        <f t="shared" si="15"/>
        <v>0</v>
      </c>
      <c r="AE23" s="40">
        <f t="shared" si="15"/>
        <v>459</v>
      </c>
      <c r="AF23" s="40">
        <f t="shared" si="15"/>
        <v>892</v>
      </c>
    </row>
    <row r="24" spans="2:32" ht="23.1" customHeight="1" x14ac:dyDescent="0.25">
      <c r="B24" s="23" t="s">
        <v>51</v>
      </c>
      <c r="C24" s="50">
        <v>49</v>
      </c>
      <c r="D24" s="50">
        <v>14</v>
      </c>
      <c r="E24" s="50">
        <v>5</v>
      </c>
      <c r="F24" s="50">
        <v>0</v>
      </c>
      <c r="G24" s="50">
        <v>0</v>
      </c>
      <c r="H24" s="50">
        <v>0</v>
      </c>
      <c r="I24" s="50">
        <v>1</v>
      </c>
      <c r="J24" s="50">
        <v>0</v>
      </c>
      <c r="K24" s="50">
        <v>0</v>
      </c>
      <c r="L24" s="50">
        <v>1</v>
      </c>
      <c r="M24" s="50">
        <v>82</v>
      </c>
      <c r="N24" s="50">
        <v>0</v>
      </c>
      <c r="O24" s="15">
        <f t="shared" si="0"/>
        <v>70</v>
      </c>
      <c r="P24" s="15">
        <f t="shared" si="1"/>
        <v>152</v>
      </c>
      <c r="R24" s="38" t="s">
        <v>92</v>
      </c>
      <c r="S24" s="39">
        <f>MAX(S19:S21)</f>
        <v>236</v>
      </c>
      <c r="T24" s="39">
        <f t="shared" ref="T24:AF24" si="16">MAX(T19:T21)</f>
        <v>104</v>
      </c>
      <c r="U24" s="39">
        <f t="shared" si="16"/>
        <v>25</v>
      </c>
      <c r="V24" s="39">
        <f t="shared" si="16"/>
        <v>14</v>
      </c>
      <c r="W24" s="39">
        <f t="shared" si="16"/>
        <v>2</v>
      </c>
      <c r="X24" s="39">
        <f t="shared" si="16"/>
        <v>0</v>
      </c>
      <c r="Y24" s="39">
        <f t="shared" si="16"/>
        <v>3</v>
      </c>
      <c r="Z24" s="39">
        <f t="shared" si="16"/>
        <v>1</v>
      </c>
      <c r="AA24" s="39">
        <f t="shared" si="16"/>
        <v>1</v>
      </c>
      <c r="AB24" s="39">
        <f t="shared" si="16"/>
        <v>0</v>
      </c>
      <c r="AC24" s="39">
        <f t="shared" si="16"/>
        <v>471</v>
      </c>
      <c r="AD24" s="39">
        <f t="shared" si="16"/>
        <v>0</v>
      </c>
      <c r="AE24" s="40">
        <f t="shared" si="16"/>
        <v>366</v>
      </c>
      <c r="AF24" s="40">
        <f t="shared" si="16"/>
        <v>803</v>
      </c>
    </row>
    <row r="25" spans="2:32" ht="23.1" customHeight="1" x14ac:dyDescent="0.25">
      <c r="B25" s="23" t="s">
        <v>52</v>
      </c>
      <c r="C25" s="50">
        <v>52</v>
      </c>
      <c r="D25" s="50">
        <v>19</v>
      </c>
      <c r="E25" s="50">
        <v>9</v>
      </c>
      <c r="F25" s="50">
        <v>5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74</v>
      </c>
      <c r="N25" s="50">
        <v>0</v>
      </c>
      <c r="O25" s="15">
        <f t="shared" si="0"/>
        <v>86</v>
      </c>
      <c r="P25" s="15">
        <f t="shared" si="1"/>
        <v>160</v>
      </c>
      <c r="R25" s="37" t="s">
        <v>85</v>
      </c>
      <c r="S25" s="35">
        <f t="shared" ref="S25:AF25" si="17">SUM(S10:S12)</f>
        <v>248</v>
      </c>
      <c r="T25" s="16">
        <f t="shared" si="17"/>
        <v>72</v>
      </c>
      <c r="U25" s="16">
        <f t="shared" si="17"/>
        <v>33</v>
      </c>
      <c r="V25" s="16">
        <f t="shared" si="17"/>
        <v>5</v>
      </c>
      <c r="W25" s="16">
        <f t="shared" si="17"/>
        <v>1</v>
      </c>
      <c r="X25" s="16">
        <f t="shared" si="17"/>
        <v>0</v>
      </c>
      <c r="Y25" s="16">
        <f t="shared" si="17"/>
        <v>7</v>
      </c>
      <c r="Z25" s="16">
        <f t="shared" si="17"/>
        <v>10</v>
      </c>
      <c r="AA25" s="16">
        <f t="shared" si="17"/>
        <v>4</v>
      </c>
      <c r="AB25" s="16">
        <f t="shared" si="17"/>
        <v>0</v>
      </c>
      <c r="AC25" s="16">
        <f t="shared" si="17"/>
        <v>873</v>
      </c>
      <c r="AD25" s="16">
        <f t="shared" si="17"/>
        <v>0</v>
      </c>
      <c r="AE25" s="32">
        <f t="shared" si="17"/>
        <v>380</v>
      </c>
      <c r="AF25" s="32">
        <f t="shared" si="17"/>
        <v>1253</v>
      </c>
    </row>
    <row r="26" spans="2:32" ht="23.1" customHeight="1" x14ac:dyDescent="0.25">
      <c r="B26" s="23" t="s">
        <v>53</v>
      </c>
      <c r="C26" s="50">
        <v>53</v>
      </c>
      <c r="D26" s="50">
        <v>23</v>
      </c>
      <c r="E26" s="50">
        <v>8</v>
      </c>
      <c r="F26" s="50">
        <v>1</v>
      </c>
      <c r="G26" s="50">
        <v>0</v>
      </c>
      <c r="H26" s="50">
        <v>0</v>
      </c>
      <c r="I26" s="50">
        <v>0</v>
      </c>
      <c r="J26" s="50">
        <v>1</v>
      </c>
      <c r="K26" s="50">
        <v>3</v>
      </c>
      <c r="L26" s="50">
        <v>0</v>
      </c>
      <c r="M26" s="50">
        <v>106</v>
      </c>
      <c r="N26" s="50">
        <v>0</v>
      </c>
      <c r="O26" s="15">
        <f t="shared" si="0"/>
        <v>89</v>
      </c>
      <c r="P26" s="15">
        <f t="shared" si="1"/>
        <v>195</v>
      </c>
      <c r="R26" s="28" t="s">
        <v>86</v>
      </c>
      <c r="S26" s="16">
        <f t="shared" ref="S26:AF26" si="18">SUM(S13:S18)</f>
        <v>1397</v>
      </c>
      <c r="T26" s="16">
        <f t="shared" si="18"/>
        <v>625</v>
      </c>
      <c r="U26" s="16">
        <f t="shared" si="18"/>
        <v>122</v>
      </c>
      <c r="V26" s="16">
        <f t="shared" si="18"/>
        <v>58</v>
      </c>
      <c r="W26" s="16">
        <f t="shared" si="18"/>
        <v>1</v>
      </c>
      <c r="X26" s="16">
        <f t="shared" si="18"/>
        <v>0</v>
      </c>
      <c r="Y26" s="16">
        <f t="shared" si="18"/>
        <v>22</v>
      </c>
      <c r="Z26" s="16">
        <f t="shared" si="18"/>
        <v>21</v>
      </c>
      <c r="AA26" s="16">
        <f t="shared" si="18"/>
        <v>14</v>
      </c>
      <c r="AB26" s="16">
        <f t="shared" si="18"/>
        <v>1</v>
      </c>
      <c r="AC26" s="16">
        <f t="shared" si="18"/>
        <v>2279</v>
      </c>
      <c r="AD26" s="16">
        <f t="shared" si="18"/>
        <v>0</v>
      </c>
      <c r="AE26" s="32">
        <f t="shared" si="18"/>
        <v>2261</v>
      </c>
      <c r="AF26" s="32">
        <f t="shared" si="18"/>
        <v>4540</v>
      </c>
    </row>
    <row r="27" spans="2:32" ht="23.1" customHeight="1" x14ac:dyDescent="0.25">
      <c r="B27" s="23" t="s">
        <v>54</v>
      </c>
      <c r="C27" s="50">
        <v>50</v>
      </c>
      <c r="D27" s="50">
        <v>17</v>
      </c>
      <c r="E27" s="50">
        <v>4</v>
      </c>
      <c r="F27" s="50">
        <v>3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78</v>
      </c>
      <c r="N27" s="50">
        <v>0</v>
      </c>
      <c r="O27" s="15">
        <f t="shared" si="0"/>
        <v>74</v>
      </c>
      <c r="P27" s="15">
        <f t="shared" si="1"/>
        <v>152</v>
      </c>
      <c r="R27" s="29" t="s">
        <v>87</v>
      </c>
      <c r="S27" s="16">
        <f t="shared" ref="S27:AF27" si="19">SUM(S19:S21)</f>
        <v>666</v>
      </c>
      <c r="T27" s="16">
        <f t="shared" si="19"/>
        <v>288</v>
      </c>
      <c r="U27" s="16">
        <f t="shared" si="19"/>
        <v>57</v>
      </c>
      <c r="V27" s="16">
        <f t="shared" si="19"/>
        <v>33</v>
      </c>
      <c r="W27" s="16">
        <f t="shared" si="19"/>
        <v>3</v>
      </c>
      <c r="X27" s="16">
        <f t="shared" si="19"/>
        <v>0</v>
      </c>
      <c r="Y27" s="16">
        <f t="shared" si="19"/>
        <v>8</v>
      </c>
      <c r="Z27" s="16">
        <f t="shared" si="19"/>
        <v>2</v>
      </c>
      <c r="AA27" s="16">
        <f t="shared" si="19"/>
        <v>2</v>
      </c>
      <c r="AB27" s="16">
        <f t="shared" si="19"/>
        <v>0</v>
      </c>
      <c r="AC27" s="16">
        <f t="shared" si="19"/>
        <v>1105</v>
      </c>
      <c r="AD27" s="16">
        <f t="shared" si="19"/>
        <v>0</v>
      </c>
      <c r="AE27" s="32">
        <f t="shared" si="19"/>
        <v>1059</v>
      </c>
      <c r="AF27" s="32">
        <f t="shared" si="19"/>
        <v>2164</v>
      </c>
    </row>
    <row r="28" spans="2:32" ht="23.1" customHeight="1" x14ac:dyDescent="0.25">
      <c r="B28" s="23" t="s">
        <v>55</v>
      </c>
      <c r="C28" s="50">
        <v>59</v>
      </c>
      <c r="D28" s="50">
        <v>20</v>
      </c>
      <c r="E28" s="50">
        <v>6</v>
      </c>
      <c r="F28" s="50">
        <v>5</v>
      </c>
      <c r="G28" s="50">
        <v>0</v>
      </c>
      <c r="H28" s="50">
        <v>0</v>
      </c>
      <c r="I28" s="50">
        <v>0</v>
      </c>
      <c r="J28" s="50">
        <v>1</v>
      </c>
      <c r="K28" s="50">
        <v>2</v>
      </c>
      <c r="L28" s="50">
        <v>0</v>
      </c>
      <c r="M28" s="50">
        <v>93</v>
      </c>
      <c r="N28" s="50">
        <v>0</v>
      </c>
      <c r="O28" s="15">
        <f t="shared" si="0"/>
        <v>93</v>
      </c>
      <c r="P28" s="15">
        <f t="shared" si="1"/>
        <v>186</v>
      </c>
      <c r="R28" s="5" t="s">
        <v>17</v>
      </c>
      <c r="S28" s="16">
        <f t="shared" ref="S28:AF28" si="20">SUM(S10:S21)</f>
        <v>2311</v>
      </c>
      <c r="T28" s="16">
        <f t="shared" si="20"/>
        <v>985</v>
      </c>
      <c r="U28" s="16">
        <f t="shared" si="20"/>
        <v>212</v>
      </c>
      <c r="V28" s="16">
        <f t="shared" si="20"/>
        <v>96</v>
      </c>
      <c r="W28" s="16">
        <f t="shared" si="20"/>
        <v>5</v>
      </c>
      <c r="X28" s="16">
        <f t="shared" si="20"/>
        <v>0</v>
      </c>
      <c r="Y28" s="16">
        <f t="shared" si="20"/>
        <v>37</v>
      </c>
      <c r="Z28" s="16">
        <f t="shared" si="20"/>
        <v>33</v>
      </c>
      <c r="AA28" s="16">
        <f t="shared" si="20"/>
        <v>20</v>
      </c>
      <c r="AB28" s="16">
        <f t="shared" si="20"/>
        <v>1</v>
      </c>
      <c r="AC28" s="16">
        <f t="shared" si="20"/>
        <v>4257</v>
      </c>
      <c r="AD28" s="16">
        <f t="shared" si="20"/>
        <v>0</v>
      </c>
      <c r="AE28" s="32">
        <f t="shared" si="20"/>
        <v>3700</v>
      </c>
      <c r="AF28" s="32">
        <f t="shared" si="20"/>
        <v>7957</v>
      </c>
    </row>
    <row r="29" spans="2:32" ht="23.1" customHeight="1" x14ac:dyDescent="0.25">
      <c r="B29" s="23" t="s">
        <v>56</v>
      </c>
      <c r="C29" s="50">
        <v>44</v>
      </c>
      <c r="D29" s="50">
        <v>29</v>
      </c>
      <c r="E29" s="50">
        <v>3</v>
      </c>
      <c r="F29" s="50">
        <v>2</v>
      </c>
      <c r="G29" s="50">
        <v>0</v>
      </c>
      <c r="H29" s="50">
        <v>0</v>
      </c>
      <c r="I29" s="50">
        <v>1</v>
      </c>
      <c r="J29" s="50">
        <v>2</v>
      </c>
      <c r="K29" s="50">
        <v>2</v>
      </c>
      <c r="L29" s="50">
        <v>0</v>
      </c>
      <c r="M29" s="50">
        <v>67</v>
      </c>
      <c r="N29" s="50">
        <v>0</v>
      </c>
      <c r="O29" s="15">
        <f t="shared" si="0"/>
        <v>83</v>
      </c>
      <c r="P29" s="15">
        <f t="shared" si="1"/>
        <v>150</v>
      </c>
      <c r="R29"/>
      <c r="S29" s="20"/>
      <c r="T29" s="19"/>
    </row>
    <row r="30" spans="2:32" ht="23.1" customHeight="1" x14ac:dyDescent="0.25">
      <c r="B30" s="23" t="s">
        <v>57</v>
      </c>
      <c r="C30" s="50">
        <v>54</v>
      </c>
      <c r="D30" s="50">
        <v>24</v>
      </c>
      <c r="E30" s="50">
        <v>8</v>
      </c>
      <c r="F30" s="50">
        <v>2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127</v>
      </c>
      <c r="N30" s="50">
        <v>0</v>
      </c>
      <c r="O30" s="15">
        <f t="shared" si="0"/>
        <v>88</v>
      </c>
      <c r="P30" s="15">
        <f t="shared" si="1"/>
        <v>215</v>
      </c>
    </row>
    <row r="31" spans="2:32" ht="23.1" customHeight="1" x14ac:dyDescent="0.25">
      <c r="B31" s="24" t="s">
        <v>58</v>
      </c>
      <c r="C31" s="50">
        <v>55</v>
      </c>
      <c r="D31" s="50">
        <v>25</v>
      </c>
      <c r="E31" s="50">
        <v>5</v>
      </c>
      <c r="F31" s="50">
        <v>2</v>
      </c>
      <c r="G31" s="50">
        <v>0</v>
      </c>
      <c r="H31" s="50">
        <v>0</v>
      </c>
      <c r="I31" s="50">
        <v>1</v>
      </c>
      <c r="J31" s="50">
        <v>0</v>
      </c>
      <c r="K31" s="50">
        <v>0</v>
      </c>
      <c r="L31" s="50">
        <v>0</v>
      </c>
      <c r="M31" s="50">
        <v>84</v>
      </c>
      <c r="N31" s="50">
        <v>0</v>
      </c>
      <c r="O31" s="15">
        <f t="shared" si="0"/>
        <v>88</v>
      </c>
      <c r="P31" s="15">
        <f t="shared" si="1"/>
        <v>172</v>
      </c>
    </row>
    <row r="32" spans="2:32" ht="23.1" customHeight="1" x14ac:dyDescent="0.25">
      <c r="B32" s="24" t="s">
        <v>59</v>
      </c>
      <c r="C32" s="50">
        <v>44</v>
      </c>
      <c r="D32" s="50">
        <v>20</v>
      </c>
      <c r="E32" s="50">
        <v>6</v>
      </c>
      <c r="F32" s="50">
        <v>1</v>
      </c>
      <c r="G32" s="50">
        <v>0</v>
      </c>
      <c r="H32" s="50">
        <v>0</v>
      </c>
      <c r="I32" s="50">
        <v>3</v>
      </c>
      <c r="J32" s="50">
        <v>0</v>
      </c>
      <c r="K32" s="50">
        <v>1</v>
      </c>
      <c r="L32" s="50">
        <v>0</v>
      </c>
      <c r="M32" s="50">
        <v>119</v>
      </c>
      <c r="N32" s="50">
        <v>0</v>
      </c>
      <c r="O32" s="15">
        <f t="shared" si="0"/>
        <v>75</v>
      </c>
      <c r="P32" s="15">
        <f t="shared" si="1"/>
        <v>194</v>
      </c>
    </row>
    <row r="33" spans="2:20" ht="23.1" customHeight="1" x14ac:dyDescent="0.25">
      <c r="B33" s="23" t="s">
        <v>60</v>
      </c>
      <c r="C33" s="50">
        <v>60</v>
      </c>
      <c r="D33" s="50">
        <v>17</v>
      </c>
      <c r="E33" s="50">
        <v>6</v>
      </c>
      <c r="F33" s="50">
        <v>1</v>
      </c>
      <c r="G33" s="50">
        <v>0</v>
      </c>
      <c r="H33" s="50">
        <v>0</v>
      </c>
      <c r="I33" s="50">
        <v>2</v>
      </c>
      <c r="J33" s="50">
        <v>0</v>
      </c>
      <c r="K33" s="50">
        <v>0</v>
      </c>
      <c r="L33" s="50">
        <v>0</v>
      </c>
      <c r="M33" s="50">
        <v>89</v>
      </c>
      <c r="N33" s="50">
        <v>0</v>
      </c>
      <c r="O33" s="15">
        <f t="shared" si="0"/>
        <v>86</v>
      </c>
      <c r="P33" s="15">
        <f t="shared" si="1"/>
        <v>175</v>
      </c>
    </row>
    <row r="34" spans="2:20" ht="23.1" customHeight="1" x14ac:dyDescent="0.25">
      <c r="B34" s="24" t="s">
        <v>61</v>
      </c>
      <c r="C34" s="50">
        <v>72</v>
      </c>
      <c r="D34" s="50">
        <v>31</v>
      </c>
      <c r="E34" s="50">
        <v>5</v>
      </c>
      <c r="F34" s="50">
        <v>2</v>
      </c>
      <c r="G34" s="50">
        <v>0</v>
      </c>
      <c r="H34" s="50">
        <v>0</v>
      </c>
      <c r="I34" s="50">
        <v>1</v>
      </c>
      <c r="J34" s="50">
        <v>2</v>
      </c>
      <c r="K34" s="50">
        <v>0</v>
      </c>
      <c r="L34" s="50">
        <v>0</v>
      </c>
      <c r="M34" s="50">
        <v>78</v>
      </c>
      <c r="N34" s="50">
        <v>0</v>
      </c>
      <c r="O34" s="15">
        <f t="shared" si="0"/>
        <v>113</v>
      </c>
      <c r="P34" s="15">
        <f t="shared" si="1"/>
        <v>191</v>
      </c>
    </row>
    <row r="35" spans="2:20" ht="23.1" customHeight="1" x14ac:dyDescent="0.25">
      <c r="B35" s="24" t="s">
        <v>62</v>
      </c>
      <c r="C35" s="50">
        <v>57</v>
      </c>
      <c r="D35" s="50">
        <v>20</v>
      </c>
      <c r="E35" s="50">
        <v>1</v>
      </c>
      <c r="F35" s="50">
        <v>4</v>
      </c>
      <c r="G35" s="50">
        <v>0</v>
      </c>
      <c r="H35" s="50">
        <v>0</v>
      </c>
      <c r="I35" s="50">
        <v>0</v>
      </c>
      <c r="J35" s="50">
        <v>0</v>
      </c>
      <c r="K35" s="50">
        <v>0</v>
      </c>
      <c r="L35" s="50">
        <v>0</v>
      </c>
      <c r="M35" s="50">
        <v>111</v>
      </c>
      <c r="N35" s="50">
        <v>0</v>
      </c>
      <c r="O35" s="15">
        <f t="shared" si="0"/>
        <v>82</v>
      </c>
      <c r="P35" s="15">
        <f t="shared" si="1"/>
        <v>193</v>
      </c>
    </row>
    <row r="36" spans="2:20" ht="23.1" customHeight="1" x14ac:dyDescent="0.25">
      <c r="B36" s="24" t="s">
        <v>63</v>
      </c>
      <c r="C36" s="50">
        <v>58</v>
      </c>
      <c r="D36" s="50">
        <v>48</v>
      </c>
      <c r="E36" s="50">
        <v>11</v>
      </c>
      <c r="F36" s="50">
        <v>0</v>
      </c>
      <c r="G36" s="50">
        <v>0</v>
      </c>
      <c r="H36" s="50">
        <v>0</v>
      </c>
      <c r="I36" s="50">
        <v>6</v>
      </c>
      <c r="J36" s="50">
        <v>0</v>
      </c>
      <c r="K36" s="50">
        <v>0</v>
      </c>
      <c r="L36" s="50">
        <v>0</v>
      </c>
      <c r="M36" s="50">
        <v>109</v>
      </c>
      <c r="N36" s="50">
        <v>0</v>
      </c>
      <c r="O36" s="15">
        <f t="shared" si="0"/>
        <v>123</v>
      </c>
      <c r="P36" s="15">
        <f t="shared" si="1"/>
        <v>232</v>
      </c>
    </row>
    <row r="37" spans="2:20" ht="23.1" customHeight="1" x14ac:dyDescent="0.25">
      <c r="B37" s="23" t="s">
        <v>64</v>
      </c>
      <c r="C37" s="50">
        <v>78</v>
      </c>
      <c r="D37" s="50">
        <v>57</v>
      </c>
      <c r="E37" s="50">
        <v>5</v>
      </c>
      <c r="F37" s="50"/>
      <c r="G37" s="50">
        <v>0</v>
      </c>
      <c r="H37" s="50">
        <v>0</v>
      </c>
      <c r="I37" s="50">
        <v>0</v>
      </c>
      <c r="J37" s="50">
        <v>0</v>
      </c>
      <c r="K37" s="50">
        <v>1</v>
      </c>
      <c r="L37" s="50">
        <v>0</v>
      </c>
      <c r="M37" s="50">
        <v>87</v>
      </c>
      <c r="N37" s="50">
        <v>0</v>
      </c>
      <c r="O37" s="15">
        <f t="shared" si="0"/>
        <v>141</v>
      </c>
      <c r="P37" s="15">
        <f t="shared" si="1"/>
        <v>228</v>
      </c>
    </row>
    <row r="38" spans="2:20" ht="23.1" customHeight="1" x14ac:dyDescent="0.25">
      <c r="B38" s="24" t="s">
        <v>65</v>
      </c>
      <c r="C38" s="50">
        <v>61</v>
      </c>
      <c r="D38" s="50">
        <v>37</v>
      </c>
      <c r="E38" s="50">
        <v>1</v>
      </c>
      <c r="F38" s="50">
        <v>0</v>
      </c>
      <c r="G38" s="50">
        <v>0</v>
      </c>
      <c r="H38" s="50">
        <v>0</v>
      </c>
      <c r="I38" s="50">
        <v>0</v>
      </c>
      <c r="J38" s="50">
        <v>3</v>
      </c>
      <c r="K38" s="50">
        <v>0</v>
      </c>
      <c r="L38" s="50">
        <v>0</v>
      </c>
      <c r="M38" s="50">
        <v>82</v>
      </c>
      <c r="N38" s="50">
        <v>0</v>
      </c>
      <c r="O38" s="15">
        <f t="shared" si="0"/>
        <v>102</v>
      </c>
      <c r="P38" s="15">
        <f t="shared" si="1"/>
        <v>184</v>
      </c>
    </row>
    <row r="39" spans="2:20" ht="23.1" customHeight="1" x14ac:dyDescent="0.25">
      <c r="B39" s="24" t="s">
        <v>66</v>
      </c>
      <c r="C39" s="50">
        <v>78</v>
      </c>
      <c r="D39" s="50">
        <v>55</v>
      </c>
      <c r="E39" s="50">
        <v>11</v>
      </c>
      <c r="F39" s="50">
        <v>4</v>
      </c>
      <c r="G39" s="50">
        <v>1</v>
      </c>
      <c r="H39" s="50">
        <v>0</v>
      </c>
      <c r="I39" s="50">
        <v>0</v>
      </c>
      <c r="J39" s="50">
        <v>0</v>
      </c>
      <c r="K39" s="50">
        <v>0</v>
      </c>
      <c r="L39" s="50">
        <v>0</v>
      </c>
      <c r="M39" s="50">
        <v>113</v>
      </c>
      <c r="N39" s="50">
        <v>0</v>
      </c>
      <c r="O39" s="15">
        <f t="shared" si="0"/>
        <v>149</v>
      </c>
      <c r="P39" s="15">
        <f t="shared" si="1"/>
        <v>262</v>
      </c>
    </row>
    <row r="40" spans="2:20" ht="23.1" customHeight="1" x14ac:dyDescent="0.25">
      <c r="B40" s="24" t="s">
        <v>67</v>
      </c>
      <c r="C40" s="50">
        <v>66</v>
      </c>
      <c r="D40" s="50">
        <v>20</v>
      </c>
      <c r="E40" s="50">
        <v>5</v>
      </c>
      <c r="F40" s="50">
        <v>4</v>
      </c>
      <c r="G40" s="50">
        <v>0</v>
      </c>
      <c r="H40" s="50">
        <v>0</v>
      </c>
      <c r="I40" s="50">
        <v>0</v>
      </c>
      <c r="J40" s="50">
        <v>2</v>
      </c>
      <c r="K40" s="50">
        <v>1</v>
      </c>
      <c r="L40" s="50">
        <v>0</v>
      </c>
      <c r="M40" s="50">
        <v>119</v>
      </c>
      <c r="N40" s="50">
        <v>0</v>
      </c>
      <c r="O40" s="15">
        <f t="shared" si="0"/>
        <v>98</v>
      </c>
      <c r="P40" s="15">
        <f t="shared" si="1"/>
        <v>217</v>
      </c>
    </row>
    <row r="41" spans="2:20" ht="23.1" customHeight="1" x14ac:dyDescent="0.25">
      <c r="B41" s="23" t="s">
        <v>68</v>
      </c>
      <c r="C41" s="50">
        <v>67</v>
      </c>
      <c r="D41" s="50">
        <v>26</v>
      </c>
      <c r="E41" s="50">
        <v>8</v>
      </c>
      <c r="F41" s="50">
        <v>4</v>
      </c>
      <c r="G41" s="50">
        <v>0</v>
      </c>
      <c r="H41" s="50">
        <v>0</v>
      </c>
      <c r="I41" s="50">
        <v>0</v>
      </c>
      <c r="J41" s="50">
        <v>1</v>
      </c>
      <c r="K41" s="50">
        <v>0</v>
      </c>
      <c r="L41" s="50">
        <v>0</v>
      </c>
      <c r="M41" s="50">
        <v>123</v>
      </c>
      <c r="N41" s="50">
        <v>0</v>
      </c>
      <c r="O41" s="15">
        <f t="shared" si="0"/>
        <v>106</v>
      </c>
      <c r="P41" s="15">
        <f t="shared" si="1"/>
        <v>229</v>
      </c>
    </row>
    <row r="42" spans="2:20" ht="23.1" customHeight="1" x14ac:dyDescent="0.25">
      <c r="B42" s="24" t="s">
        <v>69</v>
      </c>
      <c r="C42" s="50">
        <v>57</v>
      </c>
      <c r="D42" s="50">
        <v>24</v>
      </c>
      <c r="E42" s="50">
        <v>4</v>
      </c>
      <c r="F42" s="50">
        <v>5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83</v>
      </c>
      <c r="N42" s="50">
        <v>0</v>
      </c>
      <c r="O42" s="15">
        <f t="shared" si="0"/>
        <v>93</v>
      </c>
      <c r="P42" s="15">
        <f t="shared" si="1"/>
        <v>176</v>
      </c>
    </row>
    <row r="43" spans="2:20" ht="23.1" customHeight="1" x14ac:dyDescent="0.25">
      <c r="B43" s="23" t="s">
        <v>70</v>
      </c>
      <c r="C43" s="50">
        <v>67</v>
      </c>
      <c r="D43" s="50">
        <v>16</v>
      </c>
      <c r="E43" s="50">
        <v>3</v>
      </c>
      <c r="F43" s="50">
        <v>0</v>
      </c>
      <c r="G43" s="50">
        <v>0</v>
      </c>
      <c r="H43" s="50">
        <v>0</v>
      </c>
      <c r="I43" s="50">
        <v>2</v>
      </c>
      <c r="J43" s="50">
        <v>2</v>
      </c>
      <c r="K43" s="50">
        <v>1</v>
      </c>
      <c r="L43" s="50">
        <v>0</v>
      </c>
      <c r="M43" s="50">
        <v>113</v>
      </c>
      <c r="N43" s="50">
        <v>0</v>
      </c>
      <c r="O43" s="15">
        <f t="shared" si="0"/>
        <v>91</v>
      </c>
      <c r="P43" s="15">
        <f t="shared" si="1"/>
        <v>204</v>
      </c>
    </row>
    <row r="44" spans="2:20" ht="23.1" customHeight="1" x14ac:dyDescent="0.25">
      <c r="B44" s="25" t="s">
        <v>71</v>
      </c>
      <c r="C44" s="50">
        <v>70</v>
      </c>
      <c r="D44" s="50">
        <v>22</v>
      </c>
      <c r="E44" s="50">
        <v>1</v>
      </c>
      <c r="F44" s="50">
        <v>2</v>
      </c>
      <c r="G44" s="50">
        <v>0</v>
      </c>
      <c r="H44" s="50">
        <v>0</v>
      </c>
      <c r="I44" s="50">
        <v>2</v>
      </c>
      <c r="J44" s="50">
        <v>2</v>
      </c>
      <c r="K44" s="50">
        <v>2</v>
      </c>
      <c r="L44" s="50">
        <v>0</v>
      </c>
      <c r="M44" s="50">
        <v>86</v>
      </c>
      <c r="N44" s="50">
        <v>0</v>
      </c>
      <c r="O44" s="15">
        <f t="shared" si="0"/>
        <v>101</v>
      </c>
      <c r="P44" s="15">
        <f t="shared" si="1"/>
        <v>187</v>
      </c>
    </row>
    <row r="45" spans="2:20" ht="23.1" customHeight="1" x14ac:dyDescent="0.25">
      <c r="B45" s="23" t="s">
        <v>72</v>
      </c>
      <c r="C45" s="50">
        <v>61</v>
      </c>
      <c r="D45" s="50">
        <v>30</v>
      </c>
      <c r="E45" s="50">
        <v>2</v>
      </c>
      <c r="F45" s="50">
        <v>8</v>
      </c>
      <c r="G45" s="50">
        <v>0</v>
      </c>
      <c r="H45" s="50">
        <v>0</v>
      </c>
      <c r="I45" s="50">
        <v>0</v>
      </c>
      <c r="J45" s="50">
        <v>3</v>
      </c>
      <c r="K45" s="50">
        <v>0</v>
      </c>
      <c r="L45" s="50">
        <v>0</v>
      </c>
      <c r="M45" s="50">
        <v>81</v>
      </c>
      <c r="N45" s="50">
        <v>0</v>
      </c>
      <c r="O45" s="15">
        <f t="shared" si="0"/>
        <v>104</v>
      </c>
      <c r="P45" s="15">
        <f t="shared" si="1"/>
        <v>185</v>
      </c>
    </row>
    <row r="46" spans="2:20" ht="23.1" customHeight="1" x14ac:dyDescent="0.25">
      <c r="B46" s="24" t="s">
        <v>73</v>
      </c>
      <c r="C46" s="50">
        <v>64</v>
      </c>
      <c r="D46" s="50">
        <v>19</v>
      </c>
      <c r="E46" s="50">
        <v>5</v>
      </c>
      <c r="F46" s="50">
        <v>3</v>
      </c>
      <c r="G46" s="50">
        <v>0</v>
      </c>
      <c r="H46" s="50">
        <v>0</v>
      </c>
      <c r="I46" s="50">
        <v>2</v>
      </c>
      <c r="J46" s="50">
        <v>1</v>
      </c>
      <c r="K46" s="50">
        <v>0</v>
      </c>
      <c r="L46" s="50">
        <v>0</v>
      </c>
      <c r="M46" s="50">
        <v>119</v>
      </c>
      <c r="N46" s="50">
        <v>0</v>
      </c>
      <c r="O46" s="15">
        <f t="shared" si="0"/>
        <v>94</v>
      </c>
      <c r="P46" s="15">
        <f t="shared" si="1"/>
        <v>213</v>
      </c>
      <c r="R46" s="8"/>
      <c r="T46"/>
    </row>
    <row r="47" spans="2:20" ht="23.1" customHeight="1" x14ac:dyDescent="0.25">
      <c r="B47" s="24" t="s">
        <v>74</v>
      </c>
      <c r="C47" s="50">
        <v>63</v>
      </c>
      <c r="D47" s="50">
        <v>26</v>
      </c>
      <c r="E47" s="50">
        <v>7</v>
      </c>
      <c r="F47" s="50">
        <v>4</v>
      </c>
      <c r="G47" s="50">
        <v>0</v>
      </c>
      <c r="H47" s="50">
        <v>0</v>
      </c>
      <c r="I47" s="50">
        <v>1</v>
      </c>
      <c r="J47" s="50">
        <v>0</v>
      </c>
      <c r="K47" s="50">
        <v>0</v>
      </c>
      <c r="L47" s="50">
        <v>0</v>
      </c>
      <c r="M47" s="50">
        <v>103</v>
      </c>
      <c r="N47" s="50">
        <v>0</v>
      </c>
      <c r="O47" s="15">
        <f t="shared" si="0"/>
        <v>101</v>
      </c>
      <c r="P47" s="15">
        <f t="shared" si="1"/>
        <v>204</v>
      </c>
      <c r="R47" s="8"/>
      <c r="T47"/>
    </row>
    <row r="48" spans="2:20" ht="23.1" customHeight="1" x14ac:dyDescent="0.25">
      <c r="B48" s="24" t="s">
        <v>75</v>
      </c>
      <c r="C48" s="50">
        <v>9</v>
      </c>
      <c r="D48" s="50">
        <v>21</v>
      </c>
      <c r="E48" s="50">
        <v>4</v>
      </c>
      <c r="F48" s="50">
        <v>5</v>
      </c>
      <c r="G48" s="50">
        <v>0</v>
      </c>
      <c r="H48" s="50">
        <v>0</v>
      </c>
      <c r="I48" s="50">
        <v>0</v>
      </c>
      <c r="J48" s="50">
        <v>0</v>
      </c>
      <c r="K48" s="50">
        <v>0</v>
      </c>
      <c r="L48" s="50">
        <v>0</v>
      </c>
      <c r="M48" s="50">
        <v>142</v>
      </c>
      <c r="N48" s="50">
        <v>0</v>
      </c>
      <c r="O48" s="15">
        <f t="shared" si="0"/>
        <v>39</v>
      </c>
      <c r="P48" s="15">
        <f t="shared" si="1"/>
        <v>181</v>
      </c>
      <c r="R48" s="8"/>
      <c r="T48"/>
    </row>
    <row r="49" spans="2:20" ht="23.1" customHeight="1" x14ac:dyDescent="0.25">
      <c r="B49" s="23" t="s">
        <v>76</v>
      </c>
      <c r="C49" s="50">
        <v>64</v>
      </c>
      <c r="D49" s="50">
        <v>23</v>
      </c>
      <c r="E49" s="50">
        <v>9</v>
      </c>
      <c r="F49" s="50">
        <v>2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107</v>
      </c>
      <c r="N49" s="50">
        <v>0</v>
      </c>
      <c r="O49" s="15">
        <f t="shared" si="0"/>
        <v>98</v>
      </c>
      <c r="P49" s="15">
        <f t="shared" si="1"/>
        <v>205</v>
      </c>
      <c r="R49" s="8"/>
      <c r="T49"/>
    </row>
    <row r="50" spans="2:20" ht="23.1" customHeight="1" x14ac:dyDescent="0.25">
      <c r="B50" s="24" t="s">
        <v>77</v>
      </c>
      <c r="C50" s="50">
        <v>55</v>
      </c>
      <c r="D50" s="50">
        <v>25</v>
      </c>
      <c r="E50" s="50">
        <v>5</v>
      </c>
      <c r="F50" s="50">
        <v>3</v>
      </c>
      <c r="G50" s="50">
        <v>0</v>
      </c>
      <c r="H50" s="50">
        <v>0</v>
      </c>
      <c r="I50" s="50">
        <v>1</v>
      </c>
      <c r="J50" s="50">
        <v>0</v>
      </c>
      <c r="K50" s="50">
        <v>0</v>
      </c>
      <c r="L50" s="50">
        <v>0</v>
      </c>
      <c r="M50" s="50">
        <v>99</v>
      </c>
      <c r="N50" s="50">
        <v>0</v>
      </c>
      <c r="O50" s="15">
        <f t="shared" si="0"/>
        <v>89</v>
      </c>
      <c r="P50" s="15">
        <f t="shared" si="1"/>
        <v>188</v>
      </c>
      <c r="R50" s="8"/>
      <c r="T50"/>
    </row>
    <row r="51" spans="2:20" ht="23.1" customHeight="1" x14ac:dyDescent="0.25">
      <c r="B51" s="24" t="s">
        <v>78</v>
      </c>
      <c r="C51" s="50">
        <v>56</v>
      </c>
      <c r="D51" s="50">
        <v>18</v>
      </c>
      <c r="E51" s="50">
        <v>4</v>
      </c>
      <c r="F51" s="50">
        <v>6</v>
      </c>
      <c r="G51" s="50">
        <v>2</v>
      </c>
      <c r="H51" s="50">
        <v>0</v>
      </c>
      <c r="I51" s="50">
        <v>0</v>
      </c>
      <c r="J51" s="50">
        <v>0</v>
      </c>
      <c r="K51" s="50">
        <v>1</v>
      </c>
      <c r="L51" s="50">
        <v>0</v>
      </c>
      <c r="M51" s="50">
        <v>147</v>
      </c>
      <c r="N51" s="50">
        <v>0</v>
      </c>
      <c r="O51" s="15">
        <f t="shared" si="0"/>
        <v>87</v>
      </c>
      <c r="P51" s="15">
        <f t="shared" si="1"/>
        <v>234</v>
      </c>
      <c r="R51" s="8"/>
      <c r="T51"/>
    </row>
    <row r="52" spans="2:20" ht="23.1" customHeight="1" x14ac:dyDescent="0.25">
      <c r="B52" s="24" t="s">
        <v>79</v>
      </c>
      <c r="C52" s="50">
        <v>55</v>
      </c>
      <c r="D52" s="50">
        <v>24</v>
      </c>
      <c r="E52" s="50">
        <v>5</v>
      </c>
      <c r="F52" s="50">
        <v>1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57</v>
      </c>
      <c r="N52" s="50">
        <v>0</v>
      </c>
      <c r="O52" s="15">
        <f t="shared" si="0"/>
        <v>85</v>
      </c>
      <c r="P52" s="15">
        <f t="shared" si="1"/>
        <v>142</v>
      </c>
      <c r="R52" s="8"/>
      <c r="T52"/>
    </row>
    <row r="53" spans="2:20" ht="23.1" customHeight="1" x14ac:dyDescent="0.25">
      <c r="B53" s="23" t="s">
        <v>80</v>
      </c>
      <c r="C53" s="50">
        <v>64</v>
      </c>
      <c r="D53" s="50">
        <v>28</v>
      </c>
      <c r="E53" s="50">
        <v>6</v>
      </c>
      <c r="F53" s="50">
        <v>4</v>
      </c>
      <c r="G53" s="50">
        <v>0</v>
      </c>
      <c r="H53" s="50">
        <v>0</v>
      </c>
      <c r="I53" s="50">
        <v>2</v>
      </c>
      <c r="J53" s="50">
        <v>1</v>
      </c>
      <c r="K53" s="50">
        <v>0</v>
      </c>
      <c r="L53" s="50">
        <v>0</v>
      </c>
      <c r="M53" s="50">
        <v>83</v>
      </c>
      <c r="N53" s="50">
        <v>0</v>
      </c>
      <c r="O53" s="15">
        <f t="shared" si="0"/>
        <v>105</v>
      </c>
      <c r="P53" s="15">
        <f t="shared" si="1"/>
        <v>188</v>
      </c>
      <c r="R53" s="8"/>
      <c r="T53"/>
    </row>
    <row r="54" spans="2:20" ht="23.1" customHeight="1" x14ac:dyDescent="0.25">
      <c r="B54" s="23" t="s">
        <v>81</v>
      </c>
      <c r="C54" s="50">
        <v>50</v>
      </c>
      <c r="D54" s="50">
        <v>30</v>
      </c>
      <c r="E54" s="50">
        <v>1</v>
      </c>
      <c r="F54" s="50">
        <v>0</v>
      </c>
      <c r="G54" s="50">
        <v>0</v>
      </c>
      <c r="H54" s="50">
        <v>0</v>
      </c>
      <c r="I54" s="50">
        <v>2</v>
      </c>
      <c r="J54" s="50">
        <v>0</v>
      </c>
      <c r="K54" s="50">
        <v>0</v>
      </c>
      <c r="L54" s="50">
        <v>0</v>
      </c>
      <c r="M54" s="50">
        <v>67</v>
      </c>
      <c r="N54" s="50">
        <v>0</v>
      </c>
      <c r="O54" s="15">
        <f t="shared" si="0"/>
        <v>83</v>
      </c>
      <c r="P54" s="15">
        <f t="shared" si="1"/>
        <v>150</v>
      </c>
      <c r="R54" s="8"/>
      <c r="T54"/>
    </row>
    <row r="55" spans="2:20" ht="23.1" customHeight="1" x14ac:dyDescent="0.25">
      <c r="B55" s="23" t="s">
        <v>82</v>
      </c>
      <c r="C55" s="50">
        <v>65</v>
      </c>
      <c r="D55" s="50">
        <v>23</v>
      </c>
      <c r="E55" s="50">
        <v>6</v>
      </c>
      <c r="F55" s="50">
        <v>2</v>
      </c>
      <c r="G55" s="50">
        <v>1</v>
      </c>
      <c r="H55" s="50">
        <v>0</v>
      </c>
      <c r="I55" s="50">
        <v>0</v>
      </c>
      <c r="J55" s="50">
        <v>0</v>
      </c>
      <c r="K55" s="50">
        <v>0</v>
      </c>
      <c r="L55" s="50">
        <v>0</v>
      </c>
      <c r="M55" s="50">
        <v>53</v>
      </c>
      <c r="N55" s="50">
        <v>0</v>
      </c>
      <c r="O55" s="15">
        <f t="shared" si="0"/>
        <v>97</v>
      </c>
      <c r="P55" s="15">
        <f t="shared" si="1"/>
        <v>150</v>
      </c>
      <c r="R55" s="8"/>
      <c r="T55"/>
    </row>
    <row r="56" spans="2:20" ht="23.1" customHeight="1" x14ac:dyDescent="0.25">
      <c r="B56" s="23" t="s">
        <v>83</v>
      </c>
      <c r="C56" s="50">
        <v>64</v>
      </c>
      <c r="D56" s="50">
        <v>21</v>
      </c>
      <c r="E56" s="50">
        <v>2</v>
      </c>
      <c r="F56" s="50">
        <v>2</v>
      </c>
      <c r="G56" s="50">
        <v>0</v>
      </c>
      <c r="H56" s="50">
        <v>0</v>
      </c>
      <c r="I56" s="50">
        <v>0</v>
      </c>
      <c r="J56" s="50">
        <v>0</v>
      </c>
      <c r="K56" s="50">
        <v>1</v>
      </c>
      <c r="L56" s="50">
        <v>0</v>
      </c>
      <c r="M56" s="50">
        <v>84</v>
      </c>
      <c r="N56" s="50">
        <v>0</v>
      </c>
      <c r="O56" s="15">
        <f t="shared" si="0"/>
        <v>90</v>
      </c>
      <c r="P56" s="15">
        <f t="shared" si="1"/>
        <v>174</v>
      </c>
      <c r="R56" s="8"/>
      <c r="T56"/>
    </row>
    <row r="57" spans="2:20" ht="23.1" customHeight="1" x14ac:dyDescent="0.25">
      <c r="B57" s="23" t="s">
        <v>84</v>
      </c>
      <c r="C57" s="50">
        <v>57</v>
      </c>
      <c r="D57" s="50">
        <v>30</v>
      </c>
      <c r="E57" s="50">
        <v>3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0</v>
      </c>
      <c r="L57" s="50">
        <v>0</v>
      </c>
      <c r="M57" s="50">
        <v>44</v>
      </c>
      <c r="N57" s="50">
        <v>0</v>
      </c>
      <c r="O57" s="15">
        <f t="shared" si="0"/>
        <v>91</v>
      </c>
      <c r="P57" s="15">
        <f t="shared" si="1"/>
        <v>135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2311</v>
      </c>
      <c r="D58" s="16">
        <f t="shared" si="21"/>
        <v>985</v>
      </c>
      <c r="E58" s="16">
        <f t="shared" si="21"/>
        <v>212</v>
      </c>
      <c r="F58" s="16">
        <f t="shared" si="21"/>
        <v>96</v>
      </c>
      <c r="G58" s="16">
        <f t="shared" si="21"/>
        <v>5</v>
      </c>
      <c r="H58" s="16">
        <f t="shared" si="21"/>
        <v>0</v>
      </c>
      <c r="I58" s="16">
        <f t="shared" si="21"/>
        <v>37</v>
      </c>
      <c r="J58" s="16">
        <f t="shared" si="21"/>
        <v>33</v>
      </c>
      <c r="K58" s="16">
        <f t="shared" si="21"/>
        <v>20</v>
      </c>
      <c r="L58" s="16">
        <f t="shared" si="21"/>
        <v>1</v>
      </c>
      <c r="M58" s="16">
        <f t="shared" si="21"/>
        <v>4257</v>
      </c>
      <c r="N58" s="16">
        <f t="shared" si="21"/>
        <v>0</v>
      </c>
      <c r="O58" s="16">
        <f t="shared" si="21"/>
        <v>3700</v>
      </c>
      <c r="P58" s="16">
        <f t="shared" si="21"/>
        <v>7957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0.29043609400527837</v>
      </c>
      <c r="D59" s="43">
        <f t="shared" si="22"/>
        <v>0.12379037325625236</v>
      </c>
      <c r="E59" s="43">
        <f t="shared" si="22"/>
        <v>2.6643207238909138E-2</v>
      </c>
      <c r="F59" s="43">
        <f t="shared" si="22"/>
        <v>1.2064848561015458E-2</v>
      </c>
      <c r="G59" s="43">
        <f t="shared" si="22"/>
        <v>6.2837752921955506E-4</v>
      </c>
      <c r="H59" s="43">
        <f t="shared" si="22"/>
        <v>0</v>
      </c>
      <c r="I59" s="43">
        <f t="shared" si="22"/>
        <v>4.6499937162247078E-3</v>
      </c>
      <c r="J59" s="43">
        <f t="shared" si="22"/>
        <v>4.1472916928490637E-3</v>
      </c>
      <c r="K59" s="43">
        <f t="shared" si="22"/>
        <v>2.5135101168782203E-3</v>
      </c>
      <c r="L59" s="43">
        <f t="shared" si="22"/>
        <v>1.2567550584391103E-4</v>
      </c>
      <c r="M59" s="43">
        <f t="shared" si="22"/>
        <v>0.53500062837752926</v>
      </c>
      <c r="N59" s="43">
        <f t="shared" si="22"/>
        <v>0</v>
      </c>
      <c r="R59" s="8"/>
      <c r="T59"/>
    </row>
    <row r="60" spans="2:20" ht="23.1" customHeight="1" x14ac:dyDescent="0.25">
      <c r="B60" s="42" t="s">
        <v>94</v>
      </c>
      <c r="C60" s="44">
        <f>C58/$O$58</f>
        <v>0.62459459459459454</v>
      </c>
      <c r="D60" s="44">
        <f t="shared" ref="D60:N60" si="23">D58/$O$58</f>
        <v>0.26621621621621622</v>
      </c>
      <c r="E60" s="44">
        <f t="shared" si="23"/>
        <v>5.7297297297297295E-2</v>
      </c>
      <c r="F60" s="44">
        <f t="shared" si="23"/>
        <v>2.5945945945945945E-2</v>
      </c>
      <c r="G60" s="44">
        <f t="shared" si="23"/>
        <v>1.3513513513513514E-3</v>
      </c>
      <c r="H60" s="44">
        <f t="shared" si="23"/>
        <v>0</v>
      </c>
      <c r="I60" s="44">
        <f t="shared" si="23"/>
        <v>0.01</v>
      </c>
      <c r="J60" s="44">
        <f t="shared" si="23"/>
        <v>8.9189189189189198E-3</v>
      </c>
      <c r="K60" s="44">
        <f t="shared" si="23"/>
        <v>5.4054054054054057E-3</v>
      </c>
      <c r="L60" s="44">
        <f t="shared" si="23"/>
        <v>2.7027027027027027E-4</v>
      </c>
      <c r="M60" s="44"/>
      <c r="N60" s="44">
        <f t="shared" si="23"/>
        <v>0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5:L5"/>
    <mergeCell ref="K6:L6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F126"/>
  <sheetViews>
    <sheetView view="pageBreakPreview" zoomScale="60" workbookViewId="0">
      <selection activeCell="K6" sqref="K6:L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59" t="str">
        <f>'29.07 Kira Road-Jinaj Road'!C3:G3</f>
        <v>MCC - C1 - STN47 - LUGOGO BYPASS ROAD</v>
      </c>
      <c r="D3" s="59"/>
      <c r="E3" s="59"/>
      <c r="F3" s="59"/>
      <c r="G3" s="59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36" t="str">
        <f>'4.08.JINJA ROAD-KIIRA'!D5</f>
        <v>4.08.19</v>
      </c>
      <c r="E5" s="3"/>
      <c r="F5" s="41" t="s">
        <v>1</v>
      </c>
      <c r="G5" s="54" t="str">
        <f>'4.08.JINJA ROAD-KIIRA'!G5:H5</f>
        <v>Shell Petrol Station</v>
      </c>
      <c r="H5" s="55"/>
      <c r="I5" s="14"/>
      <c r="J5" s="2" t="s">
        <v>5</v>
      </c>
      <c r="K5" s="54" t="str">
        <f>'4.08.JINJA ROAD-KIIRA'!K5:L5</f>
        <v>DANIEL MUNANURA</v>
      </c>
      <c r="L5" s="55"/>
      <c r="M5" s="10"/>
      <c r="N5" s="10"/>
      <c r="O5" s="3"/>
      <c r="P5" s="3"/>
    </row>
    <row r="6" spans="2:32" ht="23.25" customHeight="1" x14ac:dyDescent="0.25">
      <c r="C6" s="2" t="s">
        <v>4</v>
      </c>
      <c r="D6" s="54" t="str">
        <f>'29.07 Kira Road-Jinaj Road'!D6:E6</f>
        <v>Kira Road</v>
      </c>
      <c r="E6" s="55"/>
      <c r="F6" s="2" t="s">
        <v>2</v>
      </c>
      <c r="G6" s="54" t="str">
        <f>'29.07 Kira Road-Jinaj Road'!G6:H6</f>
        <v>Jinja Road</v>
      </c>
      <c r="H6" s="55"/>
      <c r="J6" s="2" t="s">
        <v>21</v>
      </c>
      <c r="K6" s="54" t="str">
        <f>'4.08.JINJA ROAD-KIIRA'!K6:L6</f>
        <v>Steven</v>
      </c>
      <c r="L6" s="55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50">
        <v>13</v>
      </c>
      <c r="D10" s="50">
        <v>6</v>
      </c>
      <c r="E10" s="50">
        <v>3</v>
      </c>
      <c r="F10" s="50">
        <v>0</v>
      </c>
      <c r="G10" s="50">
        <v>0</v>
      </c>
      <c r="H10" s="50">
        <v>0</v>
      </c>
      <c r="I10" s="50">
        <v>1</v>
      </c>
      <c r="J10" s="50">
        <v>0</v>
      </c>
      <c r="K10" s="50">
        <v>0</v>
      </c>
      <c r="L10" s="50">
        <v>0</v>
      </c>
      <c r="M10" s="50">
        <v>48</v>
      </c>
      <c r="N10" s="50">
        <v>0</v>
      </c>
      <c r="O10" s="15">
        <f t="shared" ref="O10:O57" si="0">SUM(C10:L10,N10)</f>
        <v>23</v>
      </c>
      <c r="P10" s="15">
        <f t="shared" ref="P10:P57" si="1">SUM(C10:N10)</f>
        <v>71</v>
      </c>
      <c r="R10" s="1" t="s">
        <v>6</v>
      </c>
      <c r="S10" s="17">
        <f t="shared" ref="S10:AF10" si="2">SUM(C10:C13)</f>
        <v>55</v>
      </c>
      <c r="T10" s="17">
        <f t="shared" si="2"/>
        <v>30</v>
      </c>
      <c r="U10" s="17">
        <f t="shared" si="2"/>
        <v>14</v>
      </c>
      <c r="V10" s="17">
        <f t="shared" si="2"/>
        <v>7</v>
      </c>
      <c r="W10" s="17">
        <f t="shared" si="2"/>
        <v>0</v>
      </c>
      <c r="X10" s="17">
        <f t="shared" si="2"/>
        <v>0</v>
      </c>
      <c r="Y10" s="17">
        <f t="shared" si="2"/>
        <v>2</v>
      </c>
      <c r="Z10" s="17">
        <f t="shared" si="2"/>
        <v>1</v>
      </c>
      <c r="AA10" s="17">
        <f t="shared" si="2"/>
        <v>0</v>
      </c>
      <c r="AB10" s="17">
        <f t="shared" si="2"/>
        <v>0</v>
      </c>
      <c r="AC10" s="17">
        <f t="shared" si="2"/>
        <v>211</v>
      </c>
      <c r="AD10" s="17">
        <f t="shared" si="2"/>
        <v>0</v>
      </c>
      <c r="AE10" s="31">
        <f t="shared" si="2"/>
        <v>109</v>
      </c>
      <c r="AF10" s="31">
        <f t="shared" si="2"/>
        <v>320</v>
      </c>
    </row>
    <row r="11" spans="2:32" s="6" customFormat="1" ht="23.1" customHeight="1" x14ac:dyDescent="0.25">
      <c r="B11" s="23" t="s">
        <v>38</v>
      </c>
      <c r="C11" s="50">
        <v>14</v>
      </c>
      <c r="D11" s="50">
        <v>3</v>
      </c>
      <c r="E11" s="50">
        <v>2</v>
      </c>
      <c r="F11" s="50">
        <v>3</v>
      </c>
      <c r="G11" s="50">
        <v>0</v>
      </c>
      <c r="H11" s="50">
        <v>0</v>
      </c>
      <c r="I11" s="50">
        <v>1</v>
      </c>
      <c r="J11" s="50">
        <v>0</v>
      </c>
      <c r="K11" s="50">
        <v>0</v>
      </c>
      <c r="L11" s="50">
        <v>0</v>
      </c>
      <c r="M11" s="50">
        <v>65</v>
      </c>
      <c r="N11" s="50">
        <v>0</v>
      </c>
      <c r="O11" s="15">
        <f t="shared" si="0"/>
        <v>23</v>
      </c>
      <c r="P11" s="15">
        <f t="shared" si="1"/>
        <v>88</v>
      </c>
      <c r="R11" s="1" t="s">
        <v>7</v>
      </c>
      <c r="S11" s="17">
        <f t="shared" ref="S11:AF11" si="3">SUM(C14:C17)</f>
        <v>118</v>
      </c>
      <c r="T11" s="17">
        <f t="shared" si="3"/>
        <v>50</v>
      </c>
      <c r="U11" s="17">
        <f t="shared" si="3"/>
        <v>24</v>
      </c>
      <c r="V11" s="17">
        <f t="shared" si="3"/>
        <v>7</v>
      </c>
      <c r="W11" s="17">
        <f t="shared" si="3"/>
        <v>0</v>
      </c>
      <c r="X11" s="17">
        <f t="shared" si="3"/>
        <v>0</v>
      </c>
      <c r="Y11" s="17">
        <f t="shared" si="3"/>
        <v>11</v>
      </c>
      <c r="Z11" s="17">
        <f t="shared" si="3"/>
        <v>2</v>
      </c>
      <c r="AA11" s="17">
        <f t="shared" si="3"/>
        <v>1</v>
      </c>
      <c r="AB11" s="17">
        <f t="shared" si="3"/>
        <v>1</v>
      </c>
      <c r="AC11" s="17">
        <f t="shared" si="3"/>
        <v>290</v>
      </c>
      <c r="AD11" s="17">
        <f t="shared" si="3"/>
        <v>0</v>
      </c>
      <c r="AE11" s="31">
        <f t="shared" si="3"/>
        <v>214</v>
      </c>
      <c r="AF11" s="31">
        <f t="shared" si="3"/>
        <v>504</v>
      </c>
    </row>
    <row r="12" spans="2:32" ht="23.1" customHeight="1" x14ac:dyDescent="0.25">
      <c r="B12" s="23" t="s">
        <v>39</v>
      </c>
      <c r="C12" s="50">
        <v>20</v>
      </c>
      <c r="D12" s="50">
        <v>13</v>
      </c>
      <c r="E12" s="50">
        <v>3</v>
      </c>
      <c r="F12" s="50">
        <v>3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52</v>
      </c>
      <c r="N12" s="50">
        <v>0</v>
      </c>
      <c r="O12" s="15">
        <f t="shared" si="0"/>
        <v>39</v>
      </c>
      <c r="P12" s="15">
        <f t="shared" si="1"/>
        <v>91</v>
      </c>
      <c r="R12" s="1" t="s">
        <v>8</v>
      </c>
      <c r="S12" s="17">
        <f t="shared" ref="S12:AF12" si="4">SUM(C18:C21)</f>
        <v>163</v>
      </c>
      <c r="T12" s="17">
        <f t="shared" si="4"/>
        <v>85</v>
      </c>
      <c r="U12" s="17">
        <f t="shared" si="4"/>
        <v>10</v>
      </c>
      <c r="V12" s="17">
        <f t="shared" si="4"/>
        <v>3</v>
      </c>
      <c r="W12" s="17">
        <f t="shared" si="4"/>
        <v>0</v>
      </c>
      <c r="X12" s="17">
        <f t="shared" si="4"/>
        <v>0</v>
      </c>
      <c r="Y12" s="17">
        <f t="shared" si="4"/>
        <v>6</v>
      </c>
      <c r="Z12" s="17">
        <f t="shared" si="4"/>
        <v>2</v>
      </c>
      <c r="AA12" s="17">
        <f t="shared" si="4"/>
        <v>6</v>
      </c>
      <c r="AB12" s="17">
        <f t="shared" si="4"/>
        <v>0</v>
      </c>
      <c r="AC12" s="17">
        <f t="shared" si="4"/>
        <v>364</v>
      </c>
      <c r="AD12" s="17">
        <f t="shared" si="4"/>
        <v>0</v>
      </c>
      <c r="AE12" s="31">
        <f t="shared" si="4"/>
        <v>275</v>
      </c>
      <c r="AF12" s="31">
        <f t="shared" si="4"/>
        <v>639</v>
      </c>
    </row>
    <row r="13" spans="2:32" ht="23.1" customHeight="1" x14ac:dyDescent="0.25">
      <c r="B13" s="23" t="s">
        <v>40</v>
      </c>
      <c r="C13" s="50">
        <v>8</v>
      </c>
      <c r="D13" s="50">
        <v>8</v>
      </c>
      <c r="E13" s="50">
        <v>6</v>
      </c>
      <c r="F13" s="50">
        <v>1</v>
      </c>
      <c r="G13" s="50">
        <v>0</v>
      </c>
      <c r="H13" s="50">
        <v>0</v>
      </c>
      <c r="I13" s="50">
        <v>0</v>
      </c>
      <c r="J13" s="50">
        <v>1</v>
      </c>
      <c r="K13" s="50">
        <v>0</v>
      </c>
      <c r="L13" s="50">
        <v>0</v>
      </c>
      <c r="M13" s="50">
        <v>46</v>
      </c>
      <c r="N13" s="50">
        <v>0</v>
      </c>
      <c r="O13" s="15">
        <f t="shared" si="0"/>
        <v>24</v>
      </c>
      <c r="P13" s="15">
        <f t="shared" si="1"/>
        <v>70</v>
      </c>
      <c r="R13" s="1" t="s">
        <v>9</v>
      </c>
      <c r="S13" s="17">
        <f t="shared" ref="S13:AF13" si="5">SUM(C22:C25)</f>
        <v>213</v>
      </c>
      <c r="T13" s="17">
        <f t="shared" si="5"/>
        <v>159</v>
      </c>
      <c r="U13" s="17">
        <f t="shared" si="5"/>
        <v>22</v>
      </c>
      <c r="V13" s="17">
        <f t="shared" si="5"/>
        <v>6</v>
      </c>
      <c r="W13" s="17">
        <f t="shared" si="5"/>
        <v>0</v>
      </c>
      <c r="X13" s="17">
        <f t="shared" si="5"/>
        <v>0</v>
      </c>
      <c r="Y13" s="17">
        <f t="shared" si="5"/>
        <v>5</v>
      </c>
      <c r="Z13" s="17">
        <f t="shared" si="5"/>
        <v>6</v>
      </c>
      <c r="AA13" s="17">
        <f t="shared" si="5"/>
        <v>0</v>
      </c>
      <c r="AB13" s="17">
        <f t="shared" si="5"/>
        <v>0</v>
      </c>
      <c r="AC13" s="17">
        <f t="shared" si="5"/>
        <v>431</v>
      </c>
      <c r="AD13" s="17">
        <f t="shared" si="5"/>
        <v>0</v>
      </c>
      <c r="AE13" s="31">
        <f t="shared" si="5"/>
        <v>411</v>
      </c>
      <c r="AF13" s="31">
        <f t="shared" si="5"/>
        <v>842</v>
      </c>
    </row>
    <row r="14" spans="2:32" ht="23.1" customHeight="1" x14ac:dyDescent="0.25">
      <c r="B14" s="23" t="s">
        <v>41</v>
      </c>
      <c r="C14" s="50">
        <v>35</v>
      </c>
      <c r="D14" s="50">
        <v>12</v>
      </c>
      <c r="E14" s="50">
        <v>4</v>
      </c>
      <c r="F14" s="50">
        <v>2</v>
      </c>
      <c r="G14" s="50">
        <v>0</v>
      </c>
      <c r="H14" s="50">
        <v>0</v>
      </c>
      <c r="I14" s="50">
        <v>2</v>
      </c>
      <c r="J14" s="50">
        <v>1</v>
      </c>
      <c r="K14" s="50">
        <v>1</v>
      </c>
      <c r="L14" s="50">
        <v>1</v>
      </c>
      <c r="M14" s="50">
        <v>67</v>
      </c>
      <c r="N14" s="50">
        <v>0</v>
      </c>
      <c r="O14" s="15">
        <f t="shared" si="0"/>
        <v>58</v>
      </c>
      <c r="P14" s="15">
        <f t="shared" si="1"/>
        <v>125</v>
      </c>
      <c r="R14" s="1" t="s">
        <v>10</v>
      </c>
      <c r="S14" s="17">
        <f t="shared" ref="S14:AF14" si="6">SUM(C26:C29)</f>
        <v>208</v>
      </c>
      <c r="T14" s="17">
        <f t="shared" si="6"/>
        <v>168</v>
      </c>
      <c r="U14" s="17">
        <f t="shared" si="6"/>
        <v>20</v>
      </c>
      <c r="V14" s="17">
        <f t="shared" si="6"/>
        <v>11</v>
      </c>
      <c r="W14" s="17">
        <f t="shared" si="6"/>
        <v>0</v>
      </c>
      <c r="X14" s="17">
        <f t="shared" si="6"/>
        <v>0</v>
      </c>
      <c r="Y14" s="17">
        <f t="shared" si="6"/>
        <v>5</v>
      </c>
      <c r="Z14" s="17">
        <f t="shared" si="6"/>
        <v>7</v>
      </c>
      <c r="AA14" s="17">
        <f t="shared" si="6"/>
        <v>0</v>
      </c>
      <c r="AB14" s="17">
        <f t="shared" si="6"/>
        <v>0</v>
      </c>
      <c r="AC14" s="17">
        <f t="shared" si="6"/>
        <v>369</v>
      </c>
      <c r="AD14" s="17">
        <f t="shared" si="6"/>
        <v>0</v>
      </c>
      <c r="AE14" s="31">
        <f t="shared" si="6"/>
        <v>419</v>
      </c>
      <c r="AF14" s="31">
        <f t="shared" si="6"/>
        <v>788</v>
      </c>
    </row>
    <row r="15" spans="2:32" ht="23.1" customHeight="1" x14ac:dyDescent="0.25">
      <c r="B15" s="23" t="s">
        <v>42</v>
      </c>
      <c r="C15" s="50">
        <v>28</v>
      </c>
      <c r="D15" s="50">
        <v>6</v>
      </c>
      <c r="E15" s="50">
        <v>0</v>
      </c>
      <c r="F15" s="50">
        <v>1</v>
      </c>
      <c r="G15" s="50">
        <v>0</v>
      </c>
      <c r="H15" s="50">
        <v>0</v>
      </c>
      <c r="I15" s="50">
        <v>7</v>
      </c>
      <c r="J15" s="50">
        <v>0</v>
      </c>
      <c r="K15" s="50">
        <v>0</v>
      </c>
      <c r="L15" s="50">
        <v>0</v>
      </c>
      <c r="M15" s="50">
        <v>93</v>
      </c>
      <c r="N15" s="50">
        <v>0</v>
      </c>
      <c r="O15" s="15">
        <f t="shared" si="0"/>
        <v>42</v>
      </c>
      <c r="P15" s="15">
        <f t="shared" si="1"/>
        <v>135</v>
      </c>
      <c r="R15" s="1" t="s">
        <v>11</v>
      </c>
      <c r="S15" s="17">
        <f t="shared" ref="S15:AF15" si="7">SUM(C30:C33)</f>
        <v>276</v>
      </c>
      <c r="T15" s="17">
        <f t="shared" si="7"/>
        <v>127</v>
      </c>
      <c r="U15" s="17">
        <f t="shared" si="7"/>
        <v>26</v>
      </c>
      <c r="V15" s="17">
        <f t="shared" si="7"/>
        <v>16</v>
      </c>
      <c r="W15" s="17">
        <f t="shared" si="7"/>
        <v>0</v>
      </c>
      <c r="X15" s="17">
        <f t="shared" si="7"/>
        <v>0</v>
      </c>
      <c r="Y15" s="17">
        <f t="shared" si="7"/>
        <v>6</v>
      </c>
      <c r="Z15" s="17">
        <f t="shared" si="7"/>
        <v>5</v>
      </c>
      <c r="AA15" s="17">
        <f t="shared" si="7"/>
        <v>3</v>
      </c>
      <c r="AB15" s="17">
        <f t="shared" si="7"/>
        <v>0</v>
      </c>
      <c r="AC15" s="17">
        <f t="shared" si="7"/>
        <v>434</v>
      </c>
      <c r="AD15" s="17">
        <f t="shared" si="7"/>
        <v>0</v>
      </c>
      <c r="AE15" s="31">
        <f t="shared" si="7"/>
        <v>459</v>
      </c>
      <c r="AF15" s="31">
        <f t="shared" si="7"/>
        <v>893</v>
      </c>
    </row>
    <row r="16" spans="2:32" ht="23.1" customHeight="1" x14ac:dyDescent="0.25">
      <c r="B16" s="23" t="s">
        <v>43</v>
      </c>
      <c r="C16" s="50">
        <v>27</v>
      </c>
      <c r="D16" s="50">
        <v>6</v>
      </c>
      <c r="E16" s="50">
        <v>6</v>
      </c>
      <c r="F16" s="50">
        <v>0</v>
      </c>
      <c r="G16" s="50">
        <v>0</v>
      </c>
      <c r="H16" s="50">
        <v>0</v>
      </c>
      <c r="I16" s="50">
        <v>1</v>
      </c>
      <c r="J16" s="50">
        <v>1</v>
      </c>
      <c r="K16" s="50">
        <v>0</v>
      </c>
      <c r="L16" s="50">
        <v>0</v>
      </c>
      <c r="M16" s="50">
        <v>50</v>
      </c>
      <c r="N16" s="50">
        <v>0</v>
      </c>
      <c r="O16" s="15">
        <f t="shared" si="0"/>
        <v>41</v>
      </c>
      <c r="P16" s="15">
        <f t="shared" si="1"/>
        <v>91</v>
      </c>
      <c r="R16" s="1" t="s">
        <v>12</v>
      </c>
      <c r="S16" s="17">
        <f t="shared" ref="S16:AF16" si="8">SUM(C34:C37)</f>
        <v>388</v>
      </c>
      <c r="T16" s="17">
        <f t="shared" si="8"/>
        <v>265</v>
      </c>
      <c r="U16" s="17">
        <f t="shared" si="8"/>
        <v>67</v>
      </c>
      <c r="V16" s="17">
        <f t="shared" si="8"/>
        <v>9</v>
      </c>
      <c r="W16" s="17">
        <f t="shared" si="8"/>
        <v>0</v>
      </c>
      <c r="X16" s="17">
        <f t="shared" si="8"/>
        <v>0</v>
      </c>
      <c r="Y16" s="17">
        <f t="shared" si="8"/>
        <v>3</v>
      </c>
      <c r="Z16" s="17">
        <f t="shared" si="8"/>
        <v>3</v>
      </c>
      <c r="AA16" s="17">
        <f t="shared" si="8"/>
        <v>0</v>
      </c>
      <c r="AB16" s="17">
        <f t="shared" si="8"/>
        <v>0</v>
      </c>
      <c r="AC16" s="17">
        <f t="shared" si="8"/>
        <v>384</v>
      </c>
      <c r="AD16" s="17">
        <f t="shared" si="8"/>
        <v>0</v>
      </c>
      <c r="AE16" s="31">
        <f t="shared" si="8"/>
        <v>735</v>
      </c>
      <c r="AF16" s="31">
        <f t="shared" si="8"/>
        <v>1119</v>
      </c>
    </row>
    <row r="17" spans="2:32" ht="23.1" customHeight="1" x14ac:dyDescent="0.25">
      <c r="B17" s="23" t="s">
        <v>44</v>
      </c>
      <c r="C17" s="50">
        <v>28</v>
      </c>
      <c r="D17" s="50">
        <v>26</v>
      </c>
      <c r="E17" s="50">
        <v>14</v>
      </c>
      <c r="F17" s="50">
        <v>4</v>
      </c>
      <c r="G17" s="50">
        <v>0</v>
      </c>
      <c r="H17" s="50">
        <v>0</v>
      </c>
      <c r="I17" s="50">
        <v>1</v>
      </c>
      <c r="J17" s="50">
        <v>0</v>
      </c>
      <c r="K17" s="50">
        <v>0</v>
      </c>
      <c r="L17" s="50">
        <v>0</v>
      </c>
      <c r="M17" s="50">
        <v>80</v>
      </c>
      <c r="N17" s="50">
        <v>0</v>
      </c>
      <c r="O17" s="15">
        <f t="shared" si="0"/>
        <v>73</v>
      </c>
      <c r="P17" s="15">
        <f t="shared" si="1"/>
        <v>153</v>
      </c>
      <c r="R17" s="1" t="s">
        <v>13</v>
      </c>
      <c r="S17" s="17">
        <f t="shared" ref="S17:AF17" si="9">SUM(C38:C41)</f>
        <v>310</v>
      </c>
      <c r="T17" s="17">
        <f t="shared" si="9"/>
        <v>259</v>
      </c>
      <c r="U17" s="17">
        <f t="shared" si="9"/>
        <v>19</v>
      </c>
      <c r="V17" s="17">
        <f t="shared" si="9"/>
        <v>12</v>
      </c>
      <c r="W17" s="17">
        <f t="shared" si="9"/>
        <v>0</v>
      </c>
      <c r="X17" s="17">
        <f t="shared" si="9"/>
        <v>4</v>
      </c>
      <c r="Y17" s="17">
        <f t="shared" si="9"/>
        <v>2</v>
      </c>
      <c r="Z17" s="17">
        <f t="shared" si="9"/>
        <v>1</v>
      </c>
      <c r="AA17" s="17">
        <f t="shared" si="9"/>
        <v>2</v>
      </c>
      <c r="AB17" s="17">
        <f t="shared" si="9"/>
        <v>0</v>
      </c>
      <c r="AC17" s="17">
        <f t="shared" si="9"/>
        <v>334</v>
      </c>
      <c r="AD17" s="17">
        <f t="shared" si="9"/>
        <v>0</v>
      </c>
      <c r="AE17" s="31">
        <f t="shared" si="9"/>
        <v>609</v>
      </c>
      <c r="AF17" s="31">
        <f t="shared" si="9"/>
        <v>943</v>
      </c>
    </row>
    <row r="18" spans="2:32" ht="23.1" customHeight="1" x14ac:dyDescent="0.25">
      <c r="B18" s="23" t="s">
        <v>45</v>
      </c>
      <c r="C18" s="50">
        <v>55</v>
      </c>
      <c r="D18" s="50">
        <v>15</v>
      </c>
      <c r="E18" s="50">
        <v>4</v>
      </c>
      <c r="F18" s="50">
        <v>2</v>
      </c>
      <c r="G18" s="50">
        <v>0</v>
      </c>
      <c r="H18" s="50">
        <v>0</v>
      </c>
      <c r="I18" s="50">
        <v>1</v>
      </c>
      <c r="J18" s="50">
        <v>0</v>
      </c>
      <c r="K18" s="50">
        <v>2</v>
      </c>
      <c r="L18" s="50">
        <v>0</v>
      </c>
      <c r="M18" s="50">
        <v>102</v>
      </c>
      <c r="N18" s="50">
        <v>0</v>
      </c>
      <c r="O18" s="15">
        <f t="shared" si="0"/>
        <v>79</v>
      </c>
      <c r="P18" s="15">
        <f t="shared" si="1"/>
        <v>181</v>
      </c>
      <c r="R18" s="1" t="s">
        <v>14</v>
      </c>
      <c r="S18" s="17">
        <f t="shared" ref="S18:AF18" si="10">SUM(C42:C45)</f>
        <v>313</v>
      </c>
      <c r="T18" s="17">
        <f t="shared" si="10"/>
        <v>158</v>
      </c>
      <c r="U18" s="17">
        <f t="shared" si="10"/>
        <v>18</v>
      </c>
      <c r="V18" s="17">
        <f t="shared" si="10"/>
        <v>7</v>
      </c>
      <c r="W18" s="17">
        <f t="shared" si="10"/>
        <v>0</v>
      </c>
      <c r="X18" s="17">
        <f t="shared" si="10"/>
        <v>0</v>
      </c>
      <c r="Y18" s="17">
        <f t="shared" si="10"/>
        <v>6</v>
      </c>
      <c r="Z18" s="17">
        <f t="shared" si="10"/>
        <v>2</v>
      </c>
      <c r="AA18" s="17">
        <f t="shared" si="10"/>
        <v>0</v>
      </c>
      <c r="AB18" s="17">
        <f t="shared" si="10"/>
        <v>0</v>
      </c>
      <c r="AC18" s="17">
        <f t="shared" si="10"/>
        <v>378</v>
      </c>
      <c r="AD18" s="17">
        <f t="shared" si="10"/>
        <v>0</v>
      </c>
      <c r="AE18" s="31">
        <f t="shared" si="10"/>
        <v>504</v>
      </c>
      <c r="AF18" s="31">
        <f t="shared" si="10"/>
        <v>882</v>
      </c>
    </row>
    <row r="19" spans="2:32" ht="23.1" customHeight="1" x14ac:dyDescent="0.25">
      <c r="B19" s="23" t="s">
        <v>46</v>
      </c>
      <c r="C19" s="50">
        <v>60</v>
      </c>
      <c r="D19" s="50">
        <v>23</v>
      </c>
      <c r="E19" s="50">
        <v>3</v>
      </c>
      <c r="F19" s="50">
        <v>0</v>
      </c>
      <c r="G19" s="50">
        <v>0</v>
      </c>
      <c r="H19" s="50">
        <v>0</v>
      </c>
      <c r="I19" s="50">
        <v>1</v>
      </c>
      <c r="J19" s="50">
        <v>0</v>
      </c>
      <c r="K19" s="50">
        <v>2</v>
      </c>
      <c r="L19" s="50">
        <v>0</v>
      </c>
      <c r="M19" s="50">
        <v>61</v>
      </c>
      <c r="N19" s="50">
        <v>0</v>
      </c>
      <c r="O19" s="15">
        <f t="shared" si="0"/>
        <v>89</v>
      </c>
      <c r="P19" s="15">
        <f t="shared" si="1"/>
        <v>150</v>
      </c>
      <c r="R19" s="1" t="s">
        <v>15</v>
      </c>
      <c r="S19" s="17">
        <f t="shared" ref="S19:AF19" si="11">SUM(C46:C49)</f>
        <v>336</v>
      </c>
      <c r="T19" s="17">
        <f t="shared" si="11"/>
        <v>160</v>
      </c>
      <c r="U19" s="17">
        <f t="shared" si="11"/>
        <v>23</v>
      </c>
      <c r="V19" s="17">
        <f t="shared" si="11"/>
        <v>16</v>
      </c>
      <c r="W19" s="17">
        <f t="shared" si="11"/>
        <v>0</v>
      </c>
      <c r="X19" s="17">
        <f t="shared" si="11"/>
        <v>0</v>
      </c>
      <c r="Y19" s="17">
        <f t="shared" si="11"/>
        <v>6</v>
      </c>
      <c r="Z19" s="17">
        <f t="shared" si="11"/>
        <v>2</v>
      </c>
      <c r="AA19" s="17">
        <f t="shared" si="11"/>
        <v>0</v>
      </c>
      <c r="AB19" s="17">
        <f t="shared" si="11"/>
        <v>0</v>
      </c>
      <c r="AC19" s="17">
        <f t="shared" si="11"/>
        <v>413</v>
      </c>
      <c r="AD19" s="17">
        <f t="shared" si="11"/>
        <v>0</v>
      </c>
      <c r="AE19" s="31">
        <f t="shared" si="11"/>
        <v>543</v>
      </c>
      <c r="AF19" s="31">
        <f t="shared" si="11"/>
        <v>956</v>
      </c>
    </row>
    <row r="20" spans="2:32" ht="23.1" customHeight="1" x14ac:dyDescent="0.25">
      <c r="B20" s="23" t="s">
        <v>47</v>
      </c>
      <c r="C20" s="50">
        <v>45</v>
      </c>
      <c r="D20" s="50">
        <v>45</v>
      </c>
      <c r="E20" s="50">
        <v>3</v>
      </c>
      <c r="F20" s="50">
        <v>1</v>
      </c>
      <c r="G20" s="50">
        <v>0</v>
      </c>
      <c r="H20" s="50">
        <v>0</v>
      </c>
      <c r="I20" s="50">
        <v>1</v>
      </c>
      <c r="J20" s="50">
        <v>0</v>
      </c>
      <c r="K20" s="50">
        <v>2</v>
      </c>
      <c r="L20" s="50">
        <v>0</v>
      </c>
      <c r="M20" s="50">
        <v>117</v>
      </c>
      <c r="N20" s="50">
        <v>0</v>
      </c>
      <c r="O20" s="15">
        <f t="shared" si="0"/>
        <v>97</v>
      </c>
      <c r="P20" s="15">
        <f t="shared" si="1"/>
        <v>214</v>
      </c>
      <c r="R20" s="1" t="s">
        <v>16</v>
      </c>
      <c r="S20" s="17">
        <f t="shared" ref="S20:AF20" si="12">SUM(C50:C53)</f>
        <v>323</v>
      </c>
      <c r="T20" s="17">
        <f t="shared" si="12"/>
        <v>187</v>
      </c>
      <c r="U20" s="17">
        <f t="shared" si="12"/>
        <v>22</v>
      </c>
      <c r="V20" s="17">
        <f t="shared" si="12"/>
        <v>8</v>
      </c>
      <c r="W20" s="17">
        <f t="shared" si="12"/>
        <v>0</v>
      </c>
      <c r="X20" s="17">
        <f t="shared" si="12"/>
        <v>0</v>
      </c>
      <c r="Y20" s="17">
        <f t="shared" si="12"/>
        <v>7</v>
      </c>
      <c r="Z20" s="17">
        <f t="shared" si="12"/>
        <v>5</v>
      </c>
      <c r="AA20" s="17">
        <f t="shared" si="12"/>
        <v>1</v>
      </c>
      <c r="AB20" s="17">
        <f t="shared" si="12"/>
        <v>0</v>
      </c>
      <c r="AC20" s="17">
        <f t="shared" si="12"/>
        <v>349</v>
      </c>
      <c r="AD20" s="17">
        <f t="shared" si="12"/>
        <v>0</v>
      </c>
      <c r="AE20" s="31">
        <f t="shared" si="12"/>
        <v>553</v>
      </c>
      <c r="AF20" s="31">
        <f t="shared" si="12"/>
        <v>902</v>
      </c>
    </row>
    <row r="21" spans="2:32" ht="23.1" customHeight="1" x14ac:dyDescent="0.25">
      <c r="B21" s="23" t="s">
        <v>48</v>
      </c>
      <c r="C21" s="50">
        <v>3</v>
      </c>
      <c r="D21" s="50">
        <v>2</v>
      </c>
      <c r="E21" s="50">
        <v>0</v>
      </c>
      <c r="F21" s="50">
        <v>0</v>
      </c>
      <c r="G21" s="50">
        <v>0</v>
      </c>
      <c r="H21" s="50">
        <v>0</v>
      </c>
      <c r="I21" s="50">
        <v>3</v>
      </c>
      <c r="J21" s="50">
        <v>2</v>
      </c>
      <c r="K21" s="50">
        <v>0</v>
      </c>
      <c r="L21" s="50">
        <v>0</v>
      </c>
      <c r="M21" s="50">
        <v>84</v>
      </c>
      <c r="N21" s="50">
        <v>0</v>
      </c>
      <c r="O21" s="15">
        <f t="shared" si="0"/>
        <v>10</v>
      </c>
      <c r="P21" s="15">
        <f t="shared" si="1"/>
        <v>94</v>
      </c>
      <c r="R21" s="36" t="s">
        <v>20</v>
      </c>
      <c r="S21" s="34">
        <f t="shared" ref="S21:AF21" si="13">SUM(C54:C57)</f>
        <v>395</v>
      </c>
      <c r="T21" s="17">
        <f t="shared" si="13"/>
        <v>239</v>
      </c>
      <c r="U21" s="17">
        <f t="shared" si="13"/>
        <v>13</v>
      </c>
      <c r="V21" s="17">
        <f t="shared" si="13"/>
        <v>9</v>
      </c>
      <c r="W21" s="17">
        <f t="shared" si="13"/>
        <v>0</v>
      </c>
      <c r="X21" s="17">
        <f t="shared" si="13"/>
        <v>0</v>
      </c>
      <c r="Y21" s="17">
        <f t="shared" si="13"/>
        <v>0</v>
      </c>
      <c r="Z21" s="17">
        <f t="shared" si="13"/>
        <v>2</v>
      </c>
      <c r="AA21" s="17">
        <f t="shared" si="13"/>
        <v>3</v>
      </c>
      <c r="AB21" s="17">
        <f t="shared" si="13"/>
        <v>3</v>
      </c>
      <c r="AC21" s="17">
        <f t="shared" si="13"/>
        <v>0</v>
      </c>
      <c r="AD21" s="17">
        <f t="shared" si="13"/>
        <v>433</v>
      </c>
      <c r="AE21" s="31">
        <f t="shared" si="13"/>
        <v>1097</v>
      </c>
      <c r="AF21" s="31">
        <f t="shared" si="13"/>
        <v>1097</v>
      </c>
    </row>
    <row r="22" spans="2:32" ht="23.1" customHeight="1" x14ac:dyDescent="0.25">
      <c r="B22" s="23" t="s">
        <v>49</v>
      </c>
      <c r="C22" s="50">
        <v>39</v>
      </c>
      <c r="D22" s="50">
        <v>31</v>
      </c>
      <c r="E22" s="50">
        <v>4</v>
      </c>
      <c r="F22" s="50">
        <v>1</v>
      </c>
      <c r="G22" s="50">
        <v>0</v>
      </c>
      <c r="H22" s="50">
        <v>0</v>
      </c>
      <c r="I22" s="50">
        <v>2</v>
      </c>
      <c r="J22" s="50">
        <v>2</v>
      </c>
      <c r="K22" s="50">
        <v>0</v>
      </c>
      <c r="L22" s="50">
        <v>0</v>
      </c>
      <c r="M22" s="50">
        <v>92</v>
      </c>
      <c r="N22" s="50">
        <v>0</v>
      </c>
      <c r="O22" s="15">
        <f t="shared" si="0"/>
        <v>79</v>
      </c>
      <c r="P22" s="15">
        <f t="shared" si="1"/>
        <v>171</v>
      </c>
      <c r="R22" s="38" t="s">
        <v>90</v>
      </c>
      <c r="S22" s="39">
        <f>MAX(S10:S12)</f>
        <v>163</v>
      </c>
      <c r="T22" s="39">
        <f t="shared" ref="T22:AF22" si="14">MAX(T10:T12)</f>
        <v>85</v>
      </c>
      <c r="U22" s="39">
        <f t="shared" si="14"/>
        <v>24</v>
      </c>
      <c r="V22" s="39">
        <f t="shared" si="14"/>
        <v>7</v>
      </c>
      <c r="W22" s="39">
        <f t="shared" si="14"/>
        <v>0</v>
      </c>
      <c r="X22" s="39">
        <f t="shared" si="14"/>
        <v>0</v>
      </c>
      <c r="Y22" s="39">
        <f t="shared" si="14"/>
        <v>11</v>
      </c>
      <c r="Z22" s="39">
        <f t="shared" si="14"/>
        <v>2</v>
      </c>
      <c r="AA22" s="39">
        <f t="shared" si="14"/>
        <v>6</v>
      </c>
      <c r="AB22" s="39">
        <f t="shared" si="14"/>
        <v>1</v>
      </c>
      <c r="AC22" s="39">
        <f t="shared" si="14"/>
        <v>364</v>
      </c>
      <c r="AD22" s="39">
        <f t="shared" si="14"/>
        <v>0</v>
      </c>
      <c r="AE22" s="40">
        <f t="shared" si="14"/>
        <v>275</v>
      </c>
      <c r="AF22" s="40">
        <f t="shared" si="14"/>
        <v>639</v>
      </c>
    </row>
    <row r="23" spans="2:32" ht="23.1" customHeight="1" x14ac:dyDescent="0.25">
      <c r="B23" s="23" t="s">
        <v>50</v>
      </c>
      <c r="C23" s="50">
        <v>64</v>
      </c>
      <c r="D23" s="50">
        <v>39</v>
      </c>
      <c r="E23" s="50">
        <v>4</v>
      </c>
      <c r="F23" s="50">
        <v>0</v>
      </c>
      <c r="G23" s="50">
        <v>0</v>
      </c>
      <c r="H23" s="50">
        <v>0</v>
      </c>
      <c r="I23" s="50">
        <v>1</v>
      </c>
      <c r="J23" s="50">
        <v>3</v>
      </c>
      <c r="K23" s="50">
        <v>0</v>
      </c>
      <c r="L23" s="50">
        <v>0</v>
      </c>
      <c r="M23" s="50">
        <v>122</v>
      </c>
      <c r="N23" s="50">
        <v>0</v>
      </c>
      <c r="O23" s="15">
        <f t="shared" si="0"/>
        <v>111</v>
      </c>
      <c r="P23" s="15">
        <f t="shared" si="1"/>
        <v>233</v>
      </c>
      <c r="R23" s="38" t="s">
        <v>91</v>
      </c>
      <c r="S23" s="39">
        <f>MAX(S13:S18)</f>
        <v>388</v>
      </c>
      <c r="T23" s="39">
        <f t="shared" ref="T23:AF23" si="15">MAX(T13:T18)</f>
        <v>265</v>
      </c>
      <c r="U23" s="39">
        <f t="shared" si="15"/>
        <v>67</v>
      </c>
      <c r="V23" s="39">
        <f t="shared" si="15"/>
        <v>16</v>
      </c>
      <c r="W23" s="39">
        <f t="shared" si="15"/>
        <v>0</v>
      </c>
      <c r="X23" s="39">
        <f t="shared" si="15"/>
        <v>4</v>
      </c>
      <c r="Y23" s="39">
        <f t="shared" si="15"/>
        <v>6</v>
      </c>
      <c r="Z23" s="39">
        <f t="shared" si="15"/>
        <v>7</v>
      </c>
      <c r="AA23" s="39">
        <f t="shared" si="15"/>
        <v>3</v>
      </c>
      <c r="AB23" s="39">
        <f t="shared" si="15"/>
        <v>0</v>
      </c>
      <c r="AC23" s="39">
        <f t="shared" si="15"/>
        <v>434</v>
      </c>
      <c r="AD23" s="39">
        <f t="shared" si="15"/>
        <v>0</v>
      </c>
      <c r="AE23" s="40">
        <f t="shared" si="15"/>
        <v>735</v>
      </c>
      <c r="AF23" s="40">
        <f t="shared" si="15"/>
        <v>1119</v>
      </c>
    </row>
    <row r="24" spans="2:32" ht="23.1" customHeight="1" x14ac:dyDescent="0.25">
      <c r="B24" s="23" t="s">
        <v>51</v>
      </c>
      <c r="C24" s="50">
        <v>46</v>
      </c>
      <c r="D24" s="50">
        <v>48</v>
      </c>
      <c r="E24" s="50">
        <v>3</v>
      </c>
      <c r="F24" s="50">
        <v>1</v>
      </c>
      <c r="G24" s="50">
        <v>0</v>
      </c>
      <c r="H24" s="50">
        <v>0</v>
      </c>
      <c r="I24" s="50">
        <v>1</v>
      </c>
      <c r="J24" s="50">
        <v>1</v>
      </c>
      <c r="K24" s="50">
        <v>0</v>
      </c>
      <c r="L24" s="50">
        <v>0</v>
      </c>
      <c r="M24" s="50">
        <v>92</v>
      </c>
      <c r="N24" s="50">
        <v>0</v>
      </c>
      <c r="O24" s="15">
        <f t="shared" si="0"/>
        <v>100</v>
      </c>
      <c r="P24" s="15">
        <f t="shared" si="1"/>
        <v>192</v>
      </c>
      <c r="R24" s="38" t="s">
        <v>92</v>
      </c>
      <c r="S24" s="39">
        <f>MAX(S19:S21)</f>
        <v>395</v>
      </c>
      <c r="T24" s="39">
        <f t="shared" ref="T24:AF24" si="16">MAX(T19:T21)</f>
        <v>239</v>
      </c>
      <c r="U24" s="39">
        <f t="shared" si="16"/>
        <v>23</v>
      </c>
      <c r="V24" s="39">
        <f t="shared" si="16"/>
        <v>16</v>
      </c>
      <c r="W24" s="39">
        <f t="shared" si="16"/>
        <v>0</v>
      </c>
      <c r="X24" s="39">
        <f t="shared" si="16"/>
        <v>0</v>
      </c>
      <c r="Y24" s="39">
        <f t="shared" si="16"/>
        <v>7</v>
      </c>
      <c r="Z24" s="39">
        <f t="shared" si="16"/>
        <v>5</v>
      </c>
      <c r="AA24" s="39">
        <f t="shared" si="16"/>
        <v>3</v>
      </c>
      <c r="AB24" s="39">
        <f t="shared" si="16"/>
        <v>3</v>
      </c>
      <c r="AC24" s="39">
        <f t="shared" si="16"/>
        <v>413</v>
      </c>
      <c r="AD24" s="39">
        <f t="shared" si="16"/>
        <v>433</v>
      </c>
      <c r="AE24" s="40">
        <f t="shared" si="16"/>
        <v>1097</v>
      </c>
      <c r="AF24" s="40">
        <f t="shared" si="16"/>
        <v>1097</v>
      </c>
    </row>
    <row r="25" spans="2:32" ht="23.1" customHeight="1" x14ac:dyDescent="0.25">
      <c r="B25" s="23" t="s">
        <v>52</v>
      </c>
      <c r="C25" s="50">
        <v>64</v>
      </c>
      <c r="D25" s="50">
        <v>41</v>
      </c>
      <c r="E25" s="50">
        <v>11</v>
      </c>
      <c r="F25" s="50">
        <v>4</v>
      </c>
      <c r="G25" s="50">
        <v>0</v>
      </c>
      <c r="H25" s="50">
        <v>0</v>
      </c>
      <c r="I25" s="50">
        <v>1</v>
      </c>
      <c r="J25" s="50">
        <v>0</v>
      </c>
      <c r="K25" s="50">
        <v>0</v>
      </c>
      <c r="L25" s="50">
        <v>0</v>
      </c>
      <c r="M25" s="50">
        <v>125</v>
      </c>
      <c r="N25" s="50">
        <v>0</v>
      </c>
      <c r="O25" s="15">
        <f t="shared" si="0"/>
        <v>121</v>
      </c>
      <c r="P25" s="15">
        <f t="shared" si="1"/>
        <v>246</v>
      </c>
      <c r="R25" s="37" t="s">
        <v>85</v>
      </c>
      <c r="S25" s="35">
        <f t="shared" ref="S25:AF25" si="17">SUM(S10:S12)</f>
        <v>336</v>
      </c>
      <c r="T25" s="16">
        <f t="shared" si="17"/>
        <v>165</v>
      </c>
      <c r="U25" s="16">
        <f t="shared" si="17"/>
        <v>48</v>
      </c>
      <c r="V25" s="16">
        <f t="shared" si="17"/>
        <v>17</v>
      </c>
      <c r="W25" s="16">
        <f t="shared" si="17"/>
        <v>0</v>
      </c>
      <c r="X25" s="16">
        <f t="shared" si="17"/>
        <v>0</v>
      </c>
      <c r="Y25" s="16">
        <f t="shared" si="17"/>
        <v>19</v>
      </c>
      <c r="Z25" s="16">
        <f t="shared" si="17"/>
        <v>5</v>
      </c>
      <c r="AA25" s="16">
        <f t="shared" si="17"/>
        <v>7</v>
      </c>
      <c r="AB25" s="16">
        <f t="shared" si="17"/>
        <v>1</v>
      </c>
      <c r="AC25" s="16">
        <f t="shared" si="17"/>
        <v>865</v>
      </c>
      <c r="AD25" s="16">
        <f t="shared" si="17"/>
        <v>0</v>
      </c>
      <c r="AE25" s="32">
        <f t="shared" si="17"/>
        <v>598</v>
      </c>
      <c r="AF25" s="32">
        <f t="shared" si="17"/>
        <v>1463</v>
      </c>
    </row>
    <row r="26" spans="2:32" ht="23.1" customHeight="1" x14ac:dyDescent="0.25">
      <c r="B26" s="23" t="s">
        <v>53</v>
      </c>
      <c r="C26" s="50">
        <v>62</v>
      </c>
      <c r="D26" s="50">
        <v>33</v>
      </c>
      <c r="E26" s="50">
        <v>6</v>
      </c>
      <c r="F26" s="50">
        <v>6</v>
      </c>
      <c r="G26" s="50">
        <v>0</v>
      </c>
      <c r="H26" s="50">
        <v>0</v>
      </c>
      <c r="I26" s="50">
        <v>1</v>
      </c>
      <c r="J26" s="50">
        <v>2</v>
      </c>
      <c r="K26" s="50">
        <v>0</v>
      </c>
      <c r="L26" s="50">
        <v>0</v>
      </c>
      <c r="M26" s="50">
        <v>82</v>
      </c>
      <c r="N26" s="50">
        <v>0</v>
      </c>
      <c r="O26" s="15">
        <f t="shared" si="0"/>
        <v>110</v>
      </c>
      <c r="P26" s="15">
        <f t="shared" si="1"/>
        <v>192</v>
      </c>
      <c r="R26" s="28" t="s">
        <v>86</v>
      </c>
      <c r="S26" s="16">
        <f t="shared" ref="S26:AF26" si="18">SUM(S13:S18)</f>
        <v>1708</v>
      </c>
      <c r="T26" s="16">
        <f t="shared" si="18"/>
        <v>1136</v>
      </c>
      <c r="U26" s="16">
        <f t="shared" si="18"/>
        <v>172</v>
      </c>
      <c r="V26" s="16">
        <f t="shared" si="18"/>
        <v>61</v>
      </c>
      <c r="W26" s="16">
        <f t="shared" si="18"/>
        <v>0</v>
      </c>
      <c r="X26" s="16">
        <f t="shared" si="18"/>
        <v>4</v>
      </c>
      <c r="Y26" s="16">
        <f t="shared" si="18"/>
        <v>27</v>
      </c>
      <c r="Z26" s="16">
        <f t="shared" si="18"/>
        <v>24</v>
      </c>
      <c r="AA26" s="16">
        <f t="shared" si="18"/>
        <v>5</v>
      </c>
      <c r="AB26" s="16">
        <f t="shared" si="18"/>
        <v>0</v>
      </c>
      <c r="AC26" s="16">
        <f t="shared" si="18"/>
        <v>2330</v>
      </c>
      <c r="AD26" s="16">
        <f t="shared" si="18"/>
        <v>0</v>
      </c>
      <c r="AE26" s="32">
        <f t="shared" si="18"/>
        <v>3137</v>
      </c>
      <c r="AF26" s="32">
        <f t="shared" si="18"/>
        <v>5467</v>
      </c>
    </row>
    <row r="27" spans="2:32" ht="23.1" customHeight="1" x14ac:dyDescent="0.25">
      <c r="B27" s="23" t="s">
        <v>54</v>
      </c>
      <c r="C27" s="50">
        <v>43</v>
      </c>
      <c r="D27" s="50">
        <v>34</v>
      </c>
      <c r="E27" s="50">
        <v>6</v>
      </c>
      <c r="F27" s="50">
        <v>2</v>
      </c>
      <c r="G27" s="50">
        <v>0</v>
      </c>
      <c r="H27" s="50">
        <v>0</v>
      </c>
      <c r="I27" s="50">
        <v>1</v>
      </c>
      <c r="J27" s="50">
        <v>1</v>
      </c>
      <c r="K27" s="50">
        <v>0</v>
      </c>
      <c r="L27" s="50">
        <v>0</v>
      </c>
      <c r="M27" s="50">
        <v>97</v>
      </c>
      <c r="N27" s="50">
        <v>0</v>
      </c>
      <c r="O27" s="15">
        <f t="shared" si="0"/>
        <v>87</v>
      </c>
      <c r="P27" s="15">
        <f t="shared" si="1"/>
        <v>184</v>
      </c>
      <c r="R27" s="29" t="s">
        <v>87</v>
      </c>
      <c r="S27" s="16">
        <f t="shared" ref="S27:AF27" si="19">SUM(S19:S21)</f>
        <v>1054</v>
      </c>
      <c r="T27" s="16">
        <f t="shared" si="19"/>
        <v>586</v>
      </c>
      <c r="U27" s="16">
        <f t="shared" si="19"/>
        <v>58</v>
      </c>
      <c r="V27" s="16">
        <f t="shared" si="19"/>
        <v>33</v>
      </c>
      <c r="W27" s="16">
        <f t="shared" si="19"/>
        <v>0</v>
      </c>
      <c r="X27" s="16">
        <f t="shared" si="19"/>
        <v>0</v>
      </c>
      <c r="Y27" s="16">
        <f t="shared" si="19"/>
        <v>13</v>
      </c>
      <c r="Z27" s="16">
        <f t="shared" si="19"/>
        <v>9</v>
      </c>
      <c r="AA27" s="16">
        <f t="shared" si="19"/>
        <v>4</v>
      </c>
      <c r="AB27" s="16">
        <f t="shared" si="19"/>
        <v>3</v>
      </c>
      <c r="AC27" s="16">
        <f t="shared" si="19"/>
        <v>762</v>
      </c>
      <c r="AD27" s="16">
        <f t="shared" si="19"/>
        <v>433</v>
      </c>
      <c r="AE27" s="32">
        <f t="shared" si="19"/>
        <v>2193</v>
      </c>
      <c r="AF27" s="32">
        <f t="shared" si="19"/>
        <v>2955</v>
      </c>
    </row>
    <row r="28" spans="2:32" ht="23.1" customHeight="1" x14ac:dyDescent="0.25">
      <c r="B28" s="23" t="s">
        <v>55</v>
      </c>
      <c r="C28" s="50">
        <v>59</v>
      </c>
      <c r="D28" s="50">
        <v>49</v>
      </c>
      <c r="E28" s="50">
        <v>4</v>
      </c>
      <c r="F28" s="50">
        <v>2</v>
      </c>
      <c r="G28" s="50">
        <v>0</v>
      </c>
      <c r="H28" s="50">
        <v>0</v>
      </c>
      <c r="I28" s="50">
        <v>2</v>
      </c>
      <c r="J28" s="50">
        <v>3</v>
      </c>
      <c r="K28" s="50">
        <v>0</v>
      </c>
      <c r="L28" s="50">
        <v>0</v>
      </c>
      <c r="M28" s="50">
        <v>108</v>
      </c>
      <c r="N28" s="50">
        <v>0</v>
      </c>
      <c r="O28" s="15">
        <f t="shared" si="0"/>
        <v>119</v>
      </c>
      <c r="P28" s="15">
        <f t="shared" si="1"/>
        <v>227</v>
      </c>
      <c r="R28" s="5" t="s">
        <v>17</v>
      </c>
      <c r="S28" s="16">
        <f t="shared" ref="S28:AF28" si="20">SUM(S10:S21)</f>
        <v>3098</v>
      </c>
      <c r="T28" s="16">
        <f t="shared" si="20"/>
        <v>1887</v>
      </c>
      <c r="U28" s="16">
        <f t="shared" si="20"/>
        <v>278</v>
      </c>
      <c r="V28" s="16">
        <f t="shared" si="20"/>
        <v>111</v>
      </c>
      <c r="W28" s="16">
        <f t="shared" si="20"/>
        <v>0</v>
      </c>
      <c r="X28" s="16">
        <f t="shared" si="20"/>
        <v>4</v>
      </c>
      <c r="Y28" s="16">
        <f t="shared" si="20"/>
        <v>59</v>
      </c>
      <c r="Z28" s="16">
        <f t="shared" si="20"/>
        <v>38</v>
      </c>
      <c r="AA28" s="16">
        <f t="shared" si="20"/>
        <v>16</v>
      </c>
      <c r="AB28" s="16">
        <f t="shared" si="20"/>
        <v>4</v>
      </c>
      <c r="AC28" s="16">
        <f t="shared" si="20"/>
        <v>3957</v>
      </c>
      <c r="AD28" s="16">
        <f t="shared" si="20"/>
        <v>433</v>
      </c>
      <c r="AE28" s="32">
        <f t="shared" si="20"/>
        <v>5928</v>
      </c>
      <c r="AF28" s="32">
        <f t="shared" si="20"/>
        <v>9885</v>
      </c>
    </row>
    <row r="29" spans="2:32" ht="23.1" customHeight="1" x14ac:dyDescent="0.25">
      <c r="B29" s="23" t="s">
        <v>56</v>
      </c>
      <c r="C29" s="50">
        <v>44</v>
      </c>
      <c r="D29" s="50">
        <v>52</v>
      </c>
      <c r="E29" s="50">
        <v>4</v>
      </c>
      <c r="F29" s="50">
        <v>1</v>
      </c>
      <c r="G29" s="50">
        <v>0</v>
      </c>
      <c r="H29" s="50">
        <v>0</v>
      </c>
      <c r="I29" s="50">
        <v>1</v>
      </c>
      <c r="J29" s="50">
        <v>1</v>
      </c>
      <c r="K29" s="50">
        <v>0</v>
      </c>
      <c r="L29" s="50">
        <v>0</v>
      </c>
      <c r="M29" s="50">
        <v>82</v>
      </c>
      <c r="N29" s="50">
        <v>0</v>
      </c>
      <c r="O29" s="15">
        <f t="shared" si="0"/>
        <v>103</v>
      </c>
      <c r="P29" s="15">
        <f t="shared" si="1"/>
        <v>185</v>
      </c>
      <c r="R29"/>
      <c r="S29" s="20"/>
      <c r="T29" s="19"/>
    </row>
    <row r="30" spans="2:32" ht="23.1" customHeight="1" x14ac:dyDescent="0.25">
      <c r="B30" s="23" t="s">
        <v>57</v>
      </c>
      <c r="C30" s="50">
        <v>83</v>
      </c>
      <c r="D30" s="50">
        <v>49</v>
      </c>
      <c r="E30" s="50">
        <v>6</v>
      </c>
      <c r="F30" s="50">
        <v>1</v>
      </c>
      <c r="G30" s="50">
        <v>0</v>
      </c>
      <c r="H30" s="50">
        <v>0</v>
      </c>
      <c r="I30" s="50">
        <v>0</v>
      </c>
      <c r="J30" s="50">
        <v>1</v>
      </c>
      <c r="K30" s="50">
        <v>2</v>
      </c>
      <c r="L30" s="50">
        <v>0</v>
      </c>
      <c r="M30" s="50">
        <v>139</v>
      </c>
      <c r="N30" s="50">
        <v>0</v>
      </c>
      <c r="O30" s="15">
        <f t="shared" si="0"/>
        <v>142</v>
      </c>
      <c r="P30" s="15">
        <f t="shared" si="1"/>
        <v>281</v>
      </c>
    </row>
    <row r="31" spans="2:32" ht="23.1" customHeight="1" x14ac:dyDescent="0.25">
      <c r="B31" s="24" t="s">
        <v>58</v>
      </c>
      <c r="C31" s="50">
        <v>80</v>
      </c>
      <c r="D31" s="50">
        <v>4</v>
      </c>
      <c r="E31" s="50">
        <v>7</v>
      </c>
      <c r="F31" s="50">
        <v>7</v>
      </c>
      <c r="G31" s="50">
        <v>0</v>
      </c>
      <c r="H31" s="50">
        <v>0</v>
      </c>
      <c r="I31" s="50">
        <v>2</v>
      </c>
      <c r="J31" s="50">
        <v>0</v>
      </c>
      <c r="K31" s="50">
        <v>0</v>
      </c>
      <c r="L31" s="50">
        <v>0</v>
      </c>
      <c r="M31" s="50">
        <v>104</v>
      </c>
      <c r="N31" s="50">
        <v>0</v>
      </c>
      <c r="O31" s="15">
        <f t="shared" si="0"/>
        <v>100</v>
      </c>
      <c r="P31" s="15">
        <f t="shared" si="1"/>
        <v>204</v>
      </c>
    </row>
    <row r="32" spans="2:32" ht="23.1" customHeight="1" x14ac:dyDescent="0.25">
      <c r="B32" s="24" t="s">
        <v>59</v>
      </c>
      <c r="C32" s="50">
        <v>59</v>
      </c>
      <c r="D32" s="50">
        <v>31</v>
      </c>
      <c r="E32" s="50">
        <v>4</v>
      </c>
      <c r="F32" s="50">
        <v>2</v>
      </c>
      <c r="G32" s="50">
        <v>0</v>
      </c>
      <c r="H32" s="50">
        <v>0</v>
      </c>
      <c r="I32" s="50">
        <v>4</v>
      </c>
      <c r="J32" s="50">
        <v>0</v>
      </c>
      <c r="K32" s="50">
        <v>1</v>
      </c>
      <c r="L32" s="50">
        <v>0</v>
      </c>
      <c r="M32" s="50">
        <v>89</v>
      </c>
      <c r="N32" s="50">
        <v>0</v>
      </c>
      <c r="O32" s="15">
        <f t="shared" si="0"/>
        <v>101</v>
      </c>
      <c r="P32" s="15">
        <f t="shared" si="1"/>
        <v>190</v>
      </c>
    </row>
    <row r="33" spans="2:20" ht="23.1" customHeight="1" x14ac:dyDescent="0.25">
      <c r="B33" s="23" t="s">
        <v>60</v>
      </c>
      <c r="C33" s="50">
        <v>54</v>
      </c>
      <c r="D33" s="50">
        <v>43</v>
      </c>
      <c r="E33" s="50">
        <v>9</v>
      </c>
      <c r="F33" s="50">
        <v>6</v>
      </c>
      <c r="G33" s="50">
        <v>0</v>
      </c>
      <c r="H33" s="50">
        <v>0</v>
      </c>
      <c r="I33" s="50">
        <v>0</v>
      </c>
      <c r="J33" s="50">
        <v>4</v>
      </c>
      <c r="K33" s="50">
        <v>0</v>
      </c>
      <c r="L33" s="50">
        <v>0</v>
      </c>
      <c r="M33" s="50">
        <v>102</v>
      </c>
      <c r="N33" s="50">
        <v>0</v>
      </c>
      <c r="O33" s="15">
        <f t="shared" si="0"/>
        <v>116</v>
      </c>
      <c r="P33" s="15">
        <f t="shared" si="1"/>
        <v>218</v>
      </c>
    </row>
    <row r="34" spans="2:20" ht="23.1" customHeight="1" x14ac:dyDescent="0.25">
      <c r="B34" s="24" t="s">
        <v>61</v>
      </c>
      <c r="C34" s="50">
        <v>101</v>
      </c>
      <c r="D34" s="50">
        <v>61</v>
      </c>
      <c r="E34" s="50">
        <v>8</v>
      </c>
      <c r="F34" s="50">
        <v>3</v>
      </c>
      <c r="G34" s="50">
        <v>0</v>
      </c>
      <c r="H34" s="50">
        <v>0</v>
      </c>
      <c r="I34" s="50">
        <v>1</v>
      </c>
      <c r="J34" s="50">
        <v>0</v>
      </c>
      <c r="K34" s="50">
        <v>0</v>
      </c>
      <c r="L34" s="50">
        <v>0</v>
      </c>
      <c r="M34" s="50">
        <v>68</v>
      </c>
      <c r="N34" s="50">
        <v>0</v>
      </c>
      <c r="O34" s="15">
        <f t="shared" si="0"/>
        <v>174</v>
      </c>
      <c r="P34" s="15">
        <f t="shared" si="1"/>
        <v>242</v>
      </c>
    </row>
    <row r="35" spans="2:20" ht="23.1" customHeight="1" x14ac:dyDescent="0.25">
      <c r="B35" s="24" t="s">
        <v>62</v>
      </c>
      <c r="C35" s="50">
        <v>115</v>
      </c>
      <c r="D35" s="50">
        <v>60</v>
      </c>
      <c r="E35" s="50">
        <v>44</v>
      </c>
      <c r="F35" s="50">
        <v>2</v>
      </c>
      <c r="G35" s="50">
        <v>0</v>
      </c>
      <c r="H35" s="50">
        <v>0</v>
      </c>
      <c r="I35" s="50">
        <v>2</v>
      </c>
      <c r="J35" s="50">
        <v>2</v>
      </c>
      <c r="K35" s="50">
        <v>0</v>
      </c>
      <c r="L35" s="50">
        <v>0</v>
      </c>
      <c r="M35" s="50">
        <v>102</v>
      </c>
      <c r="N35" s="50">
        <v>0</v>
      </c>
      <c r="O35" s="15">
        <f t="shared" si="0"/>
        <v>225</v>
      </c>
      <c r="P35" s="15">
        <f t="shared" si="1"/>
        <v>327</v>
      </c>
    </row>
    <row r="36" spans="2:20" ht="23.1" customHeight="1" x14ac:dyDescent="0.25">
      <c r="B36" s="24" t="s">
        <v>63</v>
      </c>
      <c r="C36" s="50">
        <v>70</v>
      </c>
      <c r="D36" s="50">
        <v>60</v>
      </c>
      <c r="E36" s="50">
        <v>4</v>
      </c>
      <c r="F36" s="50">
        <v>2</v>
      </c>
      <c r="G36" s="50">
        <v>0</v>
      </c>
      <c r="H36" s="50">
        <v>0</v>
      </c>
      <c r="I36" s="50">
        <v>0</v>
      </c>
      <c r="J36" s="50">
        <v>0</v>
      </c>
      <c r="K36" s="50">
        <v>0</v>
      </c>
      <c r="L36" s="50">
        <v>0</v>
      </c>
      <c r="M36" s="50">
        <v>101</v>
      </c>
      <c r="N36" s="50">
        <v>0</v>
      </c>
      <c r="O36" s="15">
        <f t="shared" si="0"/>
        <v>136</v>
      </c>
      <c r="P36" s="15">
        <f t="shared" si="1"/>
        <v>237</v>
      </c>
    </row>
    <row r="37" spans="2:20" ht="23.1" customHeight="1" x14ac:dyDescent="0.25">
      <c r="B37" s="23" t="s">
        <v>64</v>
      </c>
      <c r="C37" s="50">
        <v>102</v>
      </c>
      <c r="D37" s="50">
        <v>84</v>
      </c>
      <c r="E37" s="50">
        <v>11</v>
      </c>
      <c r="F37" s="50">
        <v>2</v>
      </c>
      <c r="G37" s="50">
        <v>0</v>
      </c>
      <c r="H37" s="50">
        <v>0</v>
      </c>
      <c r="I37" s="50">
        <v>0</v>
      </c>
      <c r="J37" s="50">
        <v>1</v>
      </c>
      <c r="K37" s="50">
        <v>0</v>
      </c>
      <c r="L37" s="50">
        <v>0</v>
      </c>
      <c r="M37" s="50">
        <v>113</v>
      </c>
      <c r="N37" s="50">
        <v>0</v>
      </c>
      <c r="O37" s="15">
        <f t="shared" si="0"/>
        <v>200</v>
      </c>
      <c r="P37" s="15">
        <f t="shared" si="1"/>
        <v>313</v>
      </c>
    </row>
    <row r="38" spans="2:20" ht="23.1" customHeight="1" x14ac:dyDescent="0.25">
      <c r="B38" s="24" t="s">
        <v>65</v>
      </c>
      <c r="C38" s="50">
        <v>77</v>
      </c>
      <c r="D38" s="50">
        <v>45</v>
      </c>
      <c r="E38" s="50">
        <v>3</v>
      </c>
      <c r="F38" s="50">
        <v>4</v>
      </c>
      <c r="G38" s="50">
        <v>0</v>
      </c>
      <c r="H38" s="50">
        <v>0</v>
      </c>
      <c r="I38" s="50">
        <v>0</v>
      </c>
      <c r="J38" s="50">
        <v>0</v>
      </c>
      <c r="K38" s="50">
        <v>0</v>
      </c>
      <c r="L38" s="50">
        <v>0</v>
      </c>
      <c r="M38" s="50">
        <v>61</v>
      </c>
      <c r="N38" s="50">
        <v>0</v>
      </c>
      <c r="O38" s="15">
        <f t="shared" si="0"/>
        <v>129</v>
      </c>
      <c r="P38" s="15">
        <f t="shared" si="1"/>
        <v>190</v>
      </c>
    </row>
    <row r="39" spans="2:20" ht="23.1" customHeight="1" x14ac:dyDescent="0.25">
      <c r="B39" s="24" t="s">
        <v>66</v>
      </c>
      <c r="C39" s="50">
        <v>67</v>
      </c>
      <c r="D39" s="50">
        <v>64</v>
      </c>
      <c r="E39" s="50">
        <v>5</v>
      </c>
      <c r="F39" s="50">
        <v>2</v>
      </c>
      <c r="G39" s="50">
        <v>0</v>
      </c>
      <c r="H39" s="50">
        <v>4</v>
      </c>
      <c r="I39" s="50">
        <v>1</v>
      </c>
      <c r="J39" s="50">
        <v>1</v>
      </c>
      <c r="K39" s="50">
        <v>0</v>
      </c>
      <c r="L39" s="50">
        <v>0</v>
      </c>
      <c r="M39" s="50">
        <v>104</v>
      </c>
      <c r="N39" s="50">
        <v>0</v>
      </c>
      <c r="O39" s="15">
        <f t="shared" si="0"/>
        <v>144</v>
      </c>
      <c r="P39" s="15">
        <f t="shared" si="1"/>
        <v>248</v>
      </c>
    </row>
    <row r="40" spans="2:20" ht="23.1" customHeight="1" x14ac:dyDescent="0.25">
      <c r="B40" s="24" t="s">
        <v>67</v>
      </c>
      <c r="C40" s="50">
        <v>116</v>
      </c>
      <c r="D40" s="50">
        <v>94</v>
      </c>
      <c r="E40" s="50">
        <v>3</v>
      </c>
      <c r="F40" s="50">
        <v>2</v>
      </c>
      <c r="G40" s="50">
        <v>0</v>
      </c>
      <c r="H40" s="50">
        <v>0</v>
      </c>
      <c r="I40" s="50">
        <v>0</v>
      </c>
      <c r="J40" s="50">
        <v>0</v>
      </c>
      <c r="K40" s="50">
        <v>0</v>
      </c>
      <c r="L40" s="50">
        <v>0</v>
      </c>
      <c r="M40" s="50">
        <v>61</v>
      </c>
      <c r="N40" s="50">
        <v>0</v>
      </c>
      <c r="O40" s="15">
        <f t="shared" si="0"/>
        <v>215</v>
      </c>
      <c r="P40" s="15">
        <f t="shared" si="1"/>
        <v>276</v>
      </c>
    </row>
    <row r="41" spans="2:20" ht="23.1" customHeight="1" x14ac:dyDescent="0.25">
      <c r="B41" s="23" t="s">
        <v>68</v>
      </c>
      <c r="C41" s="50">
        <v>50</v>
      </c>
      <c r="D41" s="50">
        <v>56</v>
      </c>
      <c r="E41" s="50">
        <v>8</v>
      </c>
      <c r="F41" s="50">
        <v>4</v>
      </c>
      <c r="G41" s="50">
        <v>0</v>
      </c>
      <c r="H41" s="50">
        <v>0</v>
      </c>
      <c r="I41" s="50">
        <v>1</v>
      </c>
      <c r="J41" s="50">
        <v>0</v>
      </c>
      <c r="K41" s="50">
        <v>2</v>
      </c>
      <c r="L41" s="50">
        <v>0</v>
      </c>
      <c r="M41" s="50">
        <v>108</v>
      </c>
      <c r="N41" s="50">
        <v>0</v>
      </c>
      <c r="O41" s="15">
        <f t="shared" si="0"/>
        <v>121</v>
      </c>
      <c r="P41" s="15">
        <f t="shared" si="1"/>
        <v>229</v>
      </c>
    </row>
    <row r="42" spans="2:20" ht="23.1" customHeight="1" x14ac:dyDescent="0.25">
      <c r="B42" s="24" t="s">
        <v>69</v>
      </c>
      <c r="C42" s="50">
        <v>80</v>
      </c>
      <c r="D42" s="50">
        <v>51</v>
      </c>
      <c r="E42" s="50">
        <v>5</v>
      </c>
      <c r="F42" s="50">
        <v>1</v>
      </c>
      <c r="G42" s="50">
        <v>0</v>
      </c>
      <c r="H42" s="50">
        <v>0</v>
      </c>
      <c r="I42" s="50">
        <v>2</v>
      </c>
      <c r="J42" s="50">
        <v>1</v>
      </c>
      <c r="K42" s="50">
        <v>0</v>
      </c>
      <c r="L42" s="50">
        <v>0</v>
      </c>
      <c r="M42" s="50">
        <v>111</v>
      </c>
      <c r="N42" s="50">
        <v>0</v>
      </c>
      <c r="O42" s="15">
        <f t="shared" si="0"/>
        <v>140</v>
      </c>
      <c r="P42" s="15">
        <f t="shared" si="1"/>
        <v>251</v>
      </c>
    </row>
    <row r="43" spans="2:20" ht="23.1" customHeight="1" x14ac:dyDescent="0.25">
      <c r="B43" s="23" t="s">
        <v>70</v>
      </c>
      <c r="C43" s="50">
        <v>75</v>
      </c>
      <c r="D43" s="50">
        <v>41</v>
      </c>
      <c r="E43" s="50">
        <v>5</v>
      </c>
      <c r="F43" s="50">
        <v>1</v>
      </c>
      <c r="G43" s="50">
        <v>0</v>
      </c>
      <c r="H43" s="50">
        <v>0</v>
      </c>
      <c r="I43" s="50">
        <v>1</v>
      </c>
      <c r="J43" s="50">
        <v>0</v>
      </c>
      <c r="K43" s="50">
        <v>0</v>
      </c>
      <c r="L43" s="50">
        <v>0</v>
      </c>
      <c r="M43" s="50">
        <v>87</v>
      </c>
      <c r="N43" s="50">
        <v>0</v>
      </c>
      <c r="O43" s="15">
        <f t="shared" si="0"/>
        <v>123</v>
      </c>
      <c r="P43" s="15">
        <f t="shared" si="1"/>
        <v>210</v>
      </c>
    </row>
    <row r="44" spans="2:20" ht="23.1" customHeight="1" x14ac:dyDescent="0.25">
      <c r="B44" s="25" t="s">
        <v>71</v>
      </c>
      <c r="C44" s="50">
        <v>66</v>
      </c>
      <c r="D44" s="50">
        <v>31</v>
      </c>
      <c r="E44" s="50">
        <v>2</v>
      </c>
      <c r="F44" s="50">
        <v>0</v>
      </c>
      <c r="G44" s="50">
        <v>0</v>
      </c>
      <c r="H44" s="50">
        <v>0</v>
      </c>
      <c r="I44" s="50">
        <v>1</v>
      </c>
      <c r="J44" s="50">
        <v>0</v>
      </c>
      <c r="K44" s="50">
        <v>0</v>
      </c>
      <c r="L44" s="50">
        <v>0</v>
      </c>
      <c r="M44" s="50">
        <v>89</v>
      </c>
      <c r="N44" s="50">
        <v>0</v>
      </c>
      <c r="O44" s="15">
        <f t="shared" si="0"/>
        <v>100</v>
      </c>
      <c r="P44" s="15">
        <f t="shared" si="1"/>
        <v>189</v>
      </c>
    </row>
    <row r="45" spans="2:20" ht="23.1" customHeight="1" x14ac:dyDescent="0.25">
      <c r="B45" s="23" t="s">
        <v>72</v>
      </c>
      <c r="C45" s="50">
        <v>92</v>
      </c>
      <c r="D45" s="50">
        <v>35</v>
      </c>
      <c r="E45" s="50">
        <v>6</v>
      </c>
      <c r="F45" s="50">
        <v>5</v>
      </c>
      <c r="G45" s="50">
        <v>0</v>
      </c>
      <c r="H45" s="50">
        <v>0</v>
      </c>
      <c r="I45" s="50">
        <v>2</v>
      </c>
      <c r="J45" s="50">
        <v>1</v>
      </c>
      <c r="K45" s="50">
        <v>0</v>
      </c>
      <c r="L45" s="50">
        <v>0</v>
      </c>
      <c r="M45" s="50">
        <v>91</v>
      </c>
      <c r="N45" s="50">
        <v>0</v>
      </c>
      <c r="O45" s="15">
        <f t="shared" si="0"/>
        <v>141</v>
      </c>
      <c r="P45" s="15">
        <f t="shared" si="1"/>
        <v>232</v>
      </c>
    </row>
    <row r="46" spans="2:20" ht="23.1" customHeight="1" x14ac:dyDescent="0.25">
      <c r="B46" s="24" t="s">
        <v>73</v>
      </c>
      <c r="C46" s="50">
        <v>84</v>
      </c>
      <c r="D46" s="50">
        <v>43</v>
      </c>
      <c r="E46" s="50">
        <v>2</v>
      </c>
      <c r="F46" s="50">
        <v>4</v>
      </c>
      <c r="G46" s="50">
        <v>0</v>
      </c>
      <c r="H46" s="50">
        <v>0</v>
      </c>
      <c r="I46" s="50">
        <v>2</v>
      </c>
      <c r="J46" s="50">
        <v>0</v>
      </c>
      <c r="K46" s="50">
        <v>0</v>
      </c>
      <c r="L46" s="50">
        <v>0</v>
      </c>
      <c r="M46" s="50">
        <v>83</v>
      </c>
      <c r="N46" s="50">
        <v>0</v>
      </c>
      <c r="O46" s="15">
        <f t="shared" si="0"/>
        <v>135</v>
      </c>
      <c r="P46" s="15">
        <f t="shared" si="1"/>
        <v>218</v>
      </c>
      <c r="R46" s="8"/>
      <c r="T46"/>
    </row>
    <row r="47" spans="2:20" ht="23.1" customHeight="1" x14ac:dyDescent="0.25">
      <c r="B47" s="24" t="s">
        <v>74</v>
      </c>
      <c r="C47" s="50">
        <v>84</v>
      </c>
      <c r="D47" s="50">
        <v>46</v>
      </c>
      <c r="E47" s="50">
        <v>6</v>
      </c>
      <c r="F47" s="50">
        <v>4</v>
      </c>
      <c r="G47" s="50">
        <v>0</v>
      </c>
      <c r="H47" s="50">
        <v>0</v>
      </c>
      <c r="I47" s="50">
        <v>2</v>
      </c>
      <c r="J47" s="50">
        <v>0</v>
      </c>
      <c r="K47" s="50">
        <v>0</v>
      </c>
      <c r="L47" s="50">
        <v>0</v>
      </c>
      <c r="M47" s="50">
        <v>119</v>
      </c>
      <c r="N47" s="50">
        <v>0</v>
      </c>
      <c r="O47" s="15">
        <f t="shared" si="0"/>
        <v>142</v>
      </c>
      <c r="P47" s="15">
        <f t="shared" si="1"/>
        <v>261</v>
      </c>
      <c r="R47" s="8"/>
      <c r="T47"/>
    </row>
    <row r="48" spans="2:20" ht="23.1" customHeight="1" x14ac:dyDescent="0.25">
      <c r="B48" s="24" t="s">
        <v>75</v>
      </c>
      <c r="C48" s="50">
        <v>83</v>
      </c>
      <c r="D48" s="50">
        <v>42</v>
      </c>
      <c r="E48" s="50">
        <v>8</v>
      </c>
      <c r="F48" s="50">
        <v>7</v>
      </c>
      <c r="G48" s="50">
        <v>0</v>
      </c>
      <c r="H48" s="50">
        <v>0</v>
      </c>
      <c r="I48" s="50">
        <v>2</v>
      </c>
      <c r="J48" s="50">
        <v>1</v>
      </c>
      <c r="K48" s="50">
        <v>0</v>
      </c>
      <c r="L48" s="50">
        <v>0</v>
      </c>
      <c r="M48" s="50">
        <v>120</v>
      </c>
      <c r="N48" s="50">
        <v>0</v>
      </c>
      <c r="O48" s="15">
        <f t="shared" si="0"/>
        <v>143</v>
      </c>
      <c r="P48" s="15">
        <f t="shared" si="1"/>
        <v>263</v>
      </c>
      <c r="R48" s="8"/>
      <c r="T48"/>
    </row>
    <row r="49" spans="2:20" ht="23.1" customHeight="1" x14ac:dyDescent="0.25">
      <c r="B49" s="23" t="s">
        <v>76</v>
      </c>
      <c r="C49" s="50">
        <v>85</v>
      </c>
      <c r="D49" s="50">
        <v>29</v>
      </c>
      <c r="E49" s="50">
        <v>7</v>
      </c>
      <c r="F49" s="50">
        <v>1</v>
      </c>
      <c r="G49" s="50">
        <v>0</v>
      </c>
      <c r="H49" s="50">
        <v>0</v>
      </c>
      <c r="I49" s="50">
        <v>0</v>
      </c>
      <c r="J49" s="50">
        <v>1</v>
      </c>
      <c r="K49" s="50">
        <v>0</v>
      </c>
      <c r="L49" s="50">
        <v>0</v>
      </c>
      <c r="M49" s="50">
        <v>91</v>
      </c>
      <c r="N49" s="50">
        <v>0</v>
      </c>
      <c r="O49" s="15">
        <f t="shared" si="0"/>
        <v>123</v>
      </c>
      <c r="P49" s="15">
        <f t="shared" si="1"/>
        <v>214</v>
      </c>
      <c r="R49" s="8"/>
      <c r="T49"/>
    </row>
    <row r="50" spans="2:20" ht="23.1" customHeight="1" x14ac:dyDescent="0.25">
      <c r="B50" s="24" t="s">
        <v>77</v>
      </c>
      <c r="C50" s="50">
        <v>86</v>
      </c>
      <c r="D50" s="50">
        <v>44</v>
      </c>
      <c r="E50" s="50">
        <v>8</v>
      </c>
      <c r="F50" s="50">
        <v>3</v>
      </c>
      <c r="G50" s="50">
        <v>0</v>
      </c>
      <c r="H50" s="50">
        <v>0</v>
      </c>
      <c r="I50" s="50">
        <v>2</v>
      </c>
      <c r="J50" s="50">
        <v>5</v>
      </c>
      <c r="K50" s="50">
        <v>1</v>
      </c>
      <c r="L50" s="50">
        <v>0</v>
      </c>
      <c r="M50" s="50">
        <v>109</v>
      </c>
      <c r="N50" s="50">
        <v>0</v>
      </c>
      <c r="O50" s="15">
        <f t="shared" si="0"/>
        <v>149</v>
      </c>
      <c r="P50" s="15">
        <f t="shared" si="1"/>
        <v>258</v>
      </c>
      <c r="R50" s="8"/>
      <c r="T50"/>
    </row>
    <row r="51" spans="2:20" ht="23.1" customHeight="1" x14ac:dyDescent="0.25">
      <c r="B51" s="24" t="s">
        <v>78</v>
      </c>
      <c r="C51" s="50">
        <v>70</v>
      </c>
      <c r="D51" s="50">
        <v>31</v>
      </c>
      <c r="E51" s="50">
        <v>6</v>
      </c>
      <c r="F51" s="50">
        <v>1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101</v>
      </c>
      <c r="N51" s="50">
        <v>0</v>
      </c>
      <c r="O51" s="15">
        <f t="shared" si="0"/>
        <v>108</v>
      </c>
      <c r="P51" s="15">
        <f t="shared" si="1"/>
        <v>209</v>
      </c>
      <c r="R51" s="8"/>
      <c r="T51"/>
    </row>
    <row r="52" spans="2:20" ht="23.1" customHeight="1" x14ac:dyDescent="0.25">
      <c r="B52" s="24" t="s">
        <v>79</v>
      </c>
      <c r="C52" s="50">
        <v>100</v>
      </c>
      <c r="D52" s="50">
        <v>68</v>
      </c>
      <c r="E52" s="50">
        <v>2</v>
      </c>
      <c r="F52" s="50">
        <v>1</v>
      </c>
      <c r="G52" s="50">
        <v>0</v>
      </c>
      <c r="H52" s="50">
        <v>0</v>
      </c>
      <c r="I52" s="50">
        <v>2</v>
      </c>
      <c r="J52" s="50">
        <v>0</v>
      </c>
      <c r="K52" s="50">
        <v>0</v>
      </c>
      <c r="L52" s="50">
        <v>0</v>
      </c>
      <c r="M52" s="50">
        <v>64</v>
      </c>
      <c r="N52" s="50">
        <v>0</v>
      </c>
      <c r="O52" s="15">
        <f t="shared" si="0"/>
        <v>173</v>
      </c>
      <c r="P52" s="15">
        <f t="shared" si="1"/>
        <v>237</v>
      </c>
      <c r="R52" s="8"/>
      <c r="T52"/>
    </row>
    <row r="53" spans="2:20" ht="23.1" customHeight="1" x14ac:dyDescent="0.25">
      <c r="B53" s="23" t="s">
        <v>80</v>
      </c>
      <c r="C53" s="50">
        <v>67</v>
      </c>
      <c r="D53" s="50">
        <v>44</v>
      </c>
      <c r="E53" s="50">
        <v>6</v>
      </c>
      <c r="F53" s="50">
        <v>3</v>
      </c>
      <c r="G53" s="50">
        <v>0</v>
      </c>
      <c r="H53" s="50">
        <v>0</v>
      </c>
      <c r="I53" s="50">
        <v>3</v>
      </c>
      <c r="J53" s="50">
        <v>0</v>
      </c>
      <c r="K53" s="50">
        <v>0</v>
      </c>
      <c r="L53" s="50">
        <v>0</v>
      </c>
      <c r="M53" s="50">
        <v>75</v>
      </c>
      <c r="N53" s="50">
        <v>0</v>
      </c>
      <c r="O53" s="15">
        <f t="shared" si="0"/>
        <v>123</v>
      </c>
      <c r="P53" s="15">
        <f t="shared" si="1"/>
        <v>198</v>
      </c>
      <c r="R53" s="8"/>
      <c r="T53"/>
    </row>
    <row r="54" spans="2:20" ht="23.1" customHeight="1" x14ac:dyDescent="0.25">
      <c r="B54" s="23" t="s">
        <v>81</v>
      </c>
      <c r="C54" s="50">
        <v>98</v>
      </c>
      <c r="D54" s="50">
        <v>55</v>
      </c>
      <c r="E54" s="50">
        <v>4</v>
      </c>
      <c r="F54" s="50">
        <v>1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116</v>
      </c>
      <c r="O54" s="15">
        <f t="shared" si="0"/>
        <v>274</v>
      </c>
      <c r="P54" s="15">
        <f t="shared" si="1"/>
        <v>274</v>
      </c>
      <c r="R54" s="8"/>
      <c r="T54"/>
    </row>
    <row r="55" spans="2:20" ht="23.1" customHeight="1" x14ac:dyDescent="0.25">
      <c r="B55" s="23" t="s">
        <v>82</v>
      </c>
      <c r="C55" s="50">
        <v>120</v>
      </c>
      <c r="D55" s="50">
        <v>70</v>
      </c>
      <c r="E55" s="50">
        <v>2</v>
      </c>
      <c r="F55" s="50">
        <v>6</v>
      </c>
      <c r="G55" s="50">
        <v>0</v>
      </c>
      <c r="H55" s="50">
        <v>0</v>
      </c>
      <c r="I55" s="50">
        <v>0</v>
      </c>
      <c r="J55" s="50">
        <v>2</v>
      </c>
      <c r="K55" s="50">
        <v>0</v>
      </c>
      <c r="L55" s="50">
        <v>0</v>
      </c>
      <c r="M55" s="50">
        <v>0</v>
      </c>
      <c r="N55" s="50">
        <v>101</v>
      </c>
      <c r="O55" s="15">
        <f t="shared" si="0"/>
        <v>301</v>
      </c>
      <c r="P55" s="15">
        <f t="shared" si="1"/>
        <v>301</v>
      </c>
      <c r="R55" s="8"/>
      <c r="T55"/>
    </row>
    <row r="56" spans="2:20" ht="23.1" customHeight="1" x14ac:dyDescent="0.25">
      <c r="B56" s="23" t="s">
        <v>83</v>
      </c>
      <c r="C56" s="50">
        <v>105</v>
      </c>
      <c r="D56" s="50">
        <v>56</v>
      </c>
      <c r="E56" s="50">
        <v>3</v>
      </c>
      <c r="F56" s="50">
        <v>1</v>
      </c>
      <c r="G56" s="50">
        <v>0</v>
      </c>
      <c r="H56" s="50">
        <v>0</v>
      </c>
      <c r="I56" s="50">
        <v>0</v>
      </c>
      <c r="J56" s="50">
        <v>0</v>
      </c>
      <c r="K56" s="50">
        <v>2</v>
      </c>
      <c r="L56" s="50">
        <v>2</v>
      </c>
      <c r="M56" s="50">
        <v>0</v>
      </c>
      <c r="N56" s="50">
        <v>107</v>
      </c>
      <c r="O56" s="15">
        <f t="shared" si="0"/>
        <v>276</v>
      </c>
      <c r="P56" s="15">
        <f t="shared" si="1"/>
        <v>276</v>
      </c>
      <c r="R56" s="8"/>
      <c r="T56"/>
    </row>
    <row r="57" spans="2:20" ht="23.1" customHeight="1" x14ac:dyDescent="0.25">
      <c r="B57" s="23" t="s">
        <v>84</v>
      </c>
      <c r="C57" s="50">
        <v>72</v>
      </c>
      <c r="D57" s="50">
        <v>58</v>
      </c>
      <c r="E57" s="50">
        <v>4</v>
      </c>
      <c r="F57" s="50">
        <v>1</v>
      </c>
      <c r="G57" s="50">
        <v>0</v>
      </c>
      <c r="H57" s="50">
        <v>0</v>
      </c>
      <c r="I57" s="50">
        <v>0</v>
      </c>
      <c r="J57" s="50">
        <v>0</v>
      </c>
      <c r="K57" s="50">
        <v>1</v>
      </c>
      <c r="L57" s="50">
        <v>1</v>
      </c>
      <c r="M57" s="50">
        <v>0</v>
      </c>
      <c r="N57" s="50">
        <v>109</v>
      </c>
      <c r="O57" s="15">
        <f t="shared" si="0"/>
        <v>246</v>
      </c>
      <c r="P57" s="15">
        <f t="shared" si="1"/>
        <v>246</v>
      </c>
      <c r="R57" s="8"/>
      <c r="T57"/>
    </row>
    <row r="58" spans="2:20" ht="23.1" customHeight="1" x14ac:dyDescent="0.25">
      <c r="B58" s="26" t="s">
        <v>18</v>
      </c>
      <c r="C58" s="16">
        <f t="shared" ref="C58:P58" si="21">SUM(C10:C57)</f>
        <v>3098</v>
      </c>
      <c r="D58" s="16">
        <f t="shared" si="21"/>
        <v>1887</v>
      </c>
      <c r="E58" s="16">
        <f t="shared" si="21"/>
        <v>278</v>
      </c>
      <c r="F58" s="16">
        <f t="shared" si="21"/>
        <v>111</v>
      </c>
      <c r="G58" s="16">
        <f t="shared" si="21"/>
        <v>0</v>
      </c>
      <c r="H58" s="16">
        <f t="shared" si="21"/>
        <v>4</v>
      </c>
      <c r="I58" s="16">
        <f t="shared" si="21"/>
        <v>59</v>
      </c>
      <c r="J58" s="16">
        <f t="shared" si="21"/>
        <v>38</v>
      </c>
      <c r="K58" s="16">
        <f t="shared" si="21"/>
        <v>16</v>
      </c>
      <c r="L58" s="16">
        <f t="shared" si="21"/>
        <v>4</v>
      </c>
      <c r="M58" s="16">
        <f t="shared" si="21"/>
        <v>3957</v>
      </c>
      <c r="N58" s="16">
        <f t="shared" si="21"/>
        <v>433</v>
      </c>
      <c r="O58" s="16">
        <f t="shared" si="21"/>
        <v>5928</v>
      </c>
      <c r="P58" s="16">
        <f t="shared" si="21"/>
        <v>9885</v>
      </c>
      <c r="R58" s="8"/>
      <c r="T58"/>
    </row>
    <row r="59" spans="2:20" ht="23.1" customHeight="1" x14ac:dyDescent="0.25">
      <c r="B59" s="26" t="s">
        <v>93</v>
      </c>
      <c r="C59" s="43">
        <f t="shared" ref="C59:N59" si="22">C58/$P$58</f>
        <v>0.31340414769853314</v>
      </c>
      <c r="D59" s="43">
        <f t="shared" si="22"/>
        <v>0.19089529590288315</v>
      </c>
      <c r="E59" s="43">
        <f t="shared" si="22"/>
        <v>2.8123419322205363E-2</v>
      </c>
      <c r="F59" s="43">
        <f t="shared" si="22"/>
        <v>1.1229135053110774E-2</v>
      </c>
      <c r="G59" s="43">
        <f t="shared" si="22"/>
        <v>0</v>
      </c>
      <c r="H59" s="43">
        <f t="shared" si="22"/>
        <v>4.0465351542741526E-4</v>
      </c>
      <c r="I59" s="43">
        <f t="shared" si="22"/>
        <v>5.968639352554375E-3</v>
      </c>
      <c r="J59" s="43">
        <f t="shared" si="22"/>
        <v>3.8442083965604451E-3</v>
      </c>
      <c r="K59" s="43">
        <f t="shared" si="22"/>
        <v>1.618614061709661E-3</v>
      </c>
      <c r="L59" s="43">
        <f t="shared" si="22"/>
        <v>4.0465351542741526E-4</v>
      </c>
      <c r="M59" s="43">
        <f t="shared" si="22"/>
        <v>0.40030349013657057</v>
      </c>
      <c r="N59" s="43">
        <f t="shared" si="22"/>
        <v>4.3803743045017704E-2</v>
      </c>
      <c r="R59" s="8"/>
      <c r="T59"/>
    </row>
    <row r="60" spans="2:20" ht="23.1" customHeight="1" x14ac:dyDescent="0.25">
      <c r="B60" s="42" t="s">
        <v>94</v>
      </c>
      <c r="C60" s="44">
        <f>C58/$O$58</f>
        <v>0.5226045883940621</v>
      </c>
      <c r="D60" s="44">
        <f t="shared" ref="D60:N60" si="23">D58/$O$58</f>
        <v>0.31831983805668018</v>
      </c>
      <c r="E60" s="44">
        <f t="shared" si="23"/>
        <v>4.6896086369770579E-2</v>
      </c>
      <c r="F60" s="44">
        <f t="shared" si="23"/>
        <v>1.8724696356275303E-2</v>
      </c>
      <c r="G60" s="44">
        <f t="shared" si="23"/>
        <v>0</v>
      </c>
      <c r="H60" s="44">
        <f t="shared" si="23"/>
        <v>6.7476383265856947E-4</v>
      </c>
      <c r="I60" s="44">
        <f t="shared" si="23"/>
        <v>9.9527665317139004E-3</v>
      </c>
      <c r="J60" s="44">
        <f t="shared" si="23"/>
        <v>6.41025641025641E-3</v>
      </c>
      <c r="K60" s="44">
        <f t="shared" si="23"/>
        <v>2.6990553306342779E-3</v>
      </c>
      <c r="L60" s="44">
        <f t="shared" si="23"/>
        <v>6.7476383265856947E-4</v>
      </c>
      <c r="M60" s="44"/>
      <c r="N60" s="44">
        <f t="shared" si="23"/>
        <v>7.3043184885290144E-2</v>
      </c>
      <c r="Q60" s="7"/>
      <c r="R60" s="8"/>
      <c r="T60"/>
    </row>
    <row r="61" spans="2:20" ht="20.100000000000001" customHeight="1" x14ac:dyDescent="0.25">
      <c r="B61" s="3"/>
      <c r="C61" s="18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Q61" s="7"/>
      <c r="R61" s="8"/>
      <c r="T61"/>
    </row>
    <row r="62" spans="2:20" ht="20.100000000000001" customHeight="1" x14ac:dyDescent="0.25">
      <c r="B62" s="3"/>
      <c r="C62" s="18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Q62" s="7"/>
      <c r="R62" s="8"/>
      <c r="T62"/>
    </row>
    <row r="63" spans="2:20" ht="20.100000000000001" customHeight="1" x14ac:dyDescent="0.25">
      <c r="B63" s="3"/>
      <c r="C63" s="18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Q63" s="7"/>
    </row>
    <row r="64" spans="2:20" ht="20.100000000000001" customHeight="1" x14ac:dyDescent="0.25">
      <c r="B64" s="3"/>
      <c r="C64" s="18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Q64" s="7"/>
    </row>
    <row r="65" spans="2:20" s="7" customFormat="1" ht="20.100000000000001" customHeight="1" x14ac:dyDescent="0.2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/>
      <c r="P65"/>
      <c r="S65" s="8"/>
      <c r="T65" s="8"/>
    </row>
    <row r="66" spans="2:20" s="7" customFormat="1" ht="20.100000000000001" customHeight="1" x14ac:dyDescent="0.2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/>
      <c r="P66"/>
      <c r="S66" s="8"/>
      <c r="T66" s="8"/>
    </row>
    <row r="67" spans="2:20" s="7" customFormat="1" ht="20.100000000000001" customHeight="1" x14ac:dyDescent="0.2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/>
      <c r="P67"/>
      <c r="S67" s="8"/>
      <c r="T67" s="8"/>
    </row>
    <row r="68" spans="2:20" s="7" customFormat="1" ht="20.100000000000001" customHeight="1" x14ac:dyDescent="0.2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/>
      <c r="P68"/>
      <c r="S68" s="8"/>
      <c r="T68" s="8"/>
    </row>
    <row r="69" spans="2:20" s="7" customFormat="1" ht="20.100000000000001" customHeight="1" x14ac:dyDescent="0.2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/>
      <c r="P69"/>
      <c r="S69" s="8"/>
      <c r="T69" s="8"/>
    </row>
    <row r="70" spans="2:20" s="7" customFormat="1" ht="20.100000000000001" customHeight="1" x14ac:dyDescent="0.2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/>
      <c r="P70"/>
      <c r="S70" s="8"/>
      <c r="T70" s="8"/>
    </row>
    <row r="71" spans="2:20" s="7" customFormat="1" ht="20.100000000000001" customHeight="1" x14ac:dyDescent="0.2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/>
      <c r="P71"/>
      <c r="S71" s="8"/>
      <c r="T71" s="8"/>
    </row>
    <row r="72" spans="2:20" s="7" customFormat="1" ht="20.100000000000001" customHeight="1" x14ac:dyDescent="0.2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/>
      <c r="P72"/>
      <c r="S72" s="8"/>
      <c r="T72" s="8"/>
    </row>
    <row r="73" spans="2:20" s="7" customFormat="1" ht="20.100000000000001" customHeight="1" x14ac:dyDescent="0.2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/>
      <c r="P73"/>
      <c r="S73" s="8"/>
      <c r="T73" s="8"/>
    </row>
    <row r="74" spans="2:20" s="7" customFormat="1" ht="20.100000000000001" customHeight="1" x14ac:dyDescent="0.2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/>
      <c r="P74"/>
      <c r="S74" s="8"/>
      <c r="T74" s="8"/>
    </row>
    <row r="75" spans="2:20" s="7" customFormat="1" ht="20.100000000000001" customHeight="1" x14ac:dyDescent="0.2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/>
      <c r="P75"/>
      <c r="S75" s="8"/>
      <c r="T75" s="8"/>
    </row>
    <row r="76" spans="2:20" s="7" customFormat="1" ht="20.100000000000001" customHeight="1" x14ac:dyDescent="0.2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/>
      <c r="P76"/>
      <c r="S76" s="8"/>
      <c r="T76" s="8"/>
    </row>
    <row r="77" spans="2:20" s="7" customFormat="1" ht="20.100000000000001" customHeight="1" x14ac:dyDescent="0.2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/>
      <c r="P77"/>
      <c r="Q77"/>
      <c r="S77" s="8"/>
      <c r="T77" s="8"/>
    </row>
    <row r="78" spans="2:20" s="7" customFormat="1" ht="20.100000000000001" customHeight="1" x14ac:dyDescent="0.2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/>
      <c r="P78"/>
      <c r="Q78"/>
      <c r="S78" s="8"/>
      <c r="T78" s="8"/>
    </row>
    <row r="79" spans="2:20" s="7" customFormat="1" ht="20.100000000000001" customHeight="1" x14ac:dyDescent="0.2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/>
      <c r="P79"/>
      <c r="Q79"/>
      <c r="S79" s="8"/>
      <c r="T79" s="8"/>
    </row>
    <row r="80" spans="2:20" s="7" customFormat="1" ht="20.100000000000001" customHeight="1" x14ac:dyDescent="0.2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/>
      <c r="P80"/>
      <c r="Q80"/>
      <c r="S80" s="8"/>
      <c r="T80" s="8"/>
    </row>
    <row r="81" spans="2:14" ht="20.100000000000001" customHeight="1" x14ac:dyDescent="0.2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</row>
    <row r="82" spans="2:14" ht="20.100000000000001" customHeight="1" x14ac:dyDescent="0.2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2:14" ht="20.100000000000001" customHeight="1" x14ac:dyDescent="0.2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</row>
    <row r="84" spans="2:14" ht="20.100000000000001" customHeight="1" x14ac:dyDescent="0.2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</row>
    <row r="85" spans="2:14" ht="20.100000000000001" customHeight="1" x14ac:dyDescent="0.2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</row>
    <row r="86" spans="2:14" ht="20.100000000000001" customHeight="1" x14ac:dyDescent="0.2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</row>
    <row r="87" spans="2:14" ht="20.100000000000001" customHeight="1" x14ac:dyDescent="0.25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</row>
    <row r="88" spans="2:14" ht="20.100000000000001" customHeight="1" x14ac:dyDescent="0.25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</row>
    <row r="89" spans="2:14" ht="20.100000000000001" customHeight="1" x14ac:dyDescent="0.25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</row>
    <row r="90" spans="2:14" ht="20.100000000000001" customHeight="1" x14ac:dyDescent="0.25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2:14" ht="20.100000000000001" customHeight="1" x14ac:dyDescent="0.25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</row>
    <row r="92" spans="2:14" ht="20.100000000000001" customHeight="1" x14ac:dyDescent="0.25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</row>
    <row r="93" spans="2:14" ht="20.100000000000001" customHeight="1" x14ac:dyDescent="0.25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</row>
    <row r="94" spans="2:14" ht="20.100000000000001" customHeight="1" x14ac:dyDescent="0.25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</row>
    <row r="95" spans="2:14" ht="20.100000000000001" customHeight="1" x14ac:dyDescent="0.25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2:14" ht="20.100000000000001" customHeight="1" x14ac:dyDescent="0.25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</row>
    <row r="97" spans="2:14" ht="20.100000000000001" customHeight="1" x14ac:dyDescent="0.25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</row>
    <row r="98" spans="2:14" ht="20.100000000000001" customHeight="1" x14ac:dyDescent="0.25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</row>
    <row r="99" spans="2:14" ht="20.100000000000001" customHeight="1" x14ac:dyDescent="0.25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</row>
    <row r="100" spans="2:14" ht="20.100000000000001" customHeight="1" x14ac:dyDescent="0.25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</row>
    <row r="101" spans="2:14" ht="20.100000000000001" customHeight="1" x14ac:dyDescent="0.25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</row>
    <row r="102" spans="2:14" ht="20.100000000000001" customHeight="1" x14ac:dyDescent="0.25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</row>
    <row r="103" spans="2:14" ht="20.100000000000001" customHeight="1" x14ac:dyDescent="0.25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</row>
    <row r="104" spans="2:14" ht="22.5" customHeight="1" x14ac:dyDescent="0.25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</row>
    <row r="105" spans="2:14" ht="20.100000000000001" customHeight="1" x14ac:dyDescent="0.25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</row>
    <row r="106" spans="2:14" ht="20.100000000000001" customHeight="1" x14ac:dyDescent="0.25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</row>
    <row r="107" spans="2:14" ht="20.100000000000001" customHeight="1" x14ac:dyDescent="0.25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</row>
    <row r="108" spans="2:14" ht="20.100000000000001" customHeight="1" x14ac:dyDescent="0.25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</row>
    <row r="109" spans="2:14" ht="20.100000000000001" customHeight="1" x14ac:dyDescent="0.25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</row>
    <row r="110" spans="2:14" ht="20.100000000000001" customHeight="1" x14ac:dyDescent="0.25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</row>
    <row r="111" spans="2:14" ht="20.100000000000001" customHeight="1" x14ac:dyDescent="0.25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</row>
    <row r="112" spans="2:14" ht="20.100000000000001" customHeight="1" x14ac:dyDescent="0.25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</row>
    <row r="113" spans="2:14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</row>
    <row r="114" spans="2:14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</row>
    <row r="115" spans="2:14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</row>
    <row r="116" spans="2:14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</row>
    <row r="117" spans="2:14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</row>
    <row r="118" spans="2:14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</row>
    <row r="119" spans="2:14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</row>
    <row r="120" spans="2:14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</row>
    <row r="121" spans="2:14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</row>
    <row r="122" spans="2:14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</row>
    <row r="123" spans="2:14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</row>
    <row r="124" spans="2:14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</row>
    <row r="125" spans="2:14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</row>
    <row r="126" spans="2:14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</row>
  </sheetData>
  <mergeCells count="9">
    <mergeCell ref="R8:AF8"/>
    <mergeCell ref="D6:E6"/>
    <mergeCell ref="K6:L6"/>
    <mergeCell ref="K5:L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40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L41" zoomScale="60" workbookViewId="0">
      <selection activeCell="Y105" sqref="Y105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6" t="str">
        <f>'4.08.KIIRA-JINJAROAD'!C3:G3</f>
        <v>MCC - C1 - STN47 - LUGOGO BYPASS ROAD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4" t="s">
        <v>162</v>
      </c>
      <c r="E5" s="65"/>
      <c r="F5" s="41" t="s">
        <v>1</v>
      </c>
      <c r="G5" s="62" t="str">
        <f>'4.08.JINJA ROAD-KIIRA'!G5:H5</f>
        <v>Shell Petrol Station</v>
      </c>
      <c r="H5" s="63"/>
      <c r="I5" s="14"/>
      <c r="J5" s="2" t="s">
        <v>5</v>
      </c>
      <c r="K5" s="62" t="str">
        <f>'4.08.JINJA ROAD-KIIRA'!K5:L5</f>
        <v>DANIEL MUNANURA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2" t="str">
        <f>'4.08.JINJA ROAD-KIIRA'!D6:E6</f>
        <v>Jinja Road</v>
      </c>
      <c r="E6" s="63"/>
      <c r="F6" s="2" t="s">
        <v>2</v>
      </c>
      <c r="G6" s="62" t="str">
        <f>'4.08.JINJA ROAD-KIIRA'!G6:H6</f>
        <v>Kira Road</v>
      </c>
      <c r="H6" s="63"/>
      <c r="J6" s="2" t="s">
        <v>21</v>
      </c>
      <c r="K6" s="62" t="str">
        <f>'4.08.JINJA ROAD-KIIRA'!K6:L6</f>
        <v>Steven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JinjaRoad-Kira Road'!C10,'30.07 Jinja Road-Kira Road'!C10,'31.07 Jinja Road-Kira Road'!C10,'2.08 Jinja road-Kira road'!C10,'1.08 Jinja Road-Kira Road-24h'!C10,'3.08 Jinja Road-KiraRoad-24h'!C10,'4.08.JINJA ROAD-KIIRA'!C10)</f>
        <v>51.142857142857146</v>
      </c>
      <c r="D10" s="49">
        <f>AVERAGE('29.07 JinjaRoad-Kira Road'!D10,'30.07 Jinja Road-Kira Road'!D10,'31.07 Jinja Road-Kira Road'!D10,'2.08 Jinja road-Kira road'!D10,'1.08 Jinja Road-Kira Road-24h'!D10,'3.08 Jinja Road-KiraRoad-24h'!D10,'4.08.JINJA ROAD-KIIRA'!D10)</f>
        <v>19.428571428571427</v>
      </c>
      <c r="E10" s="49">
        <f>AVERAGE('29.07 JinjaRoad-Kira Road'!E10,'30.07 Jinja Road-Kira Road'!E10,'31.07 Jinja Road-Kira Road'!E10,'2.08 Jinja road-Kira road'!E10,'1.08 Jinja Road-Kira Road-24h'!E10,'3.08 Jinja Road-KiraRoad-24h'!E10,'4.08.JINJA ROAD-KIIRA'!E10)</f>
        <v>2.7142857142857144</v>
      </c>
      <c r="F10" s="49">
        <f>AVERAGE('29.07 JinjaRoad-Kira Road'!F10,'30.07 Jinja Road-Kira Road'!F10,'31.07 Jinja Road-Kira Road'!F10,'2.08 Jinja road-Kira road'!F10,'1.08 Jinja Road-Kira Road-24h'!F10,'3.08 Jinja Road-KiraRoad-24h'!F10,'4.08.JINJA ROAD-KIIRA'!F10)</f>
        <v>2.7142857142857144</v>
      </c>
      <c r="G10" s="49">
        <f>AVERAGE('29.07 JinjaRoad-Kira Road'!G10,'30.07 Jinja Road-Kira Road'!G10,'31.07 Jinja Road-Kira Road'!G10,'2.08 Jinja road-Kira road'!G10,'1.08 Jinja Road-Kira Road-24h'!G10,'3.08 Jinja Road-KiraRoad-24h'!G10,'4.08.JINJA ROAD-KIIRA'!G10)</f>
        <v>0.14285714285714285</v>
      </c>
      <c r="H10" s="49">
        <f>AVERAGE('29.07 JinjaRoad-Kira Road'!H10,'30.07 Jinja Road-Kira Road'!H10,'31.07 Jinja Road-Kira Road'!H10,'2.08 Jinja road-Kira road'!H10,'1.08 Jinja Road-Kira Road-24h'!H10,'3.08 Jinja Road-KiraRoad-24h'!H10,'4.08.JINJA ROAD-KIIRA'!H10)</f>
        <v>0</v>
      </c>
      <c r="I10" s="49">
        <f>AVERAGE('29.07 JinjaRoad-Kira Road'!I10,'30.07 Jinja Road-Kira Road'!I10,'31.07 Jinja Road-Kira Road'!I10,'2.08 Jinja road-Kira road'!I10,'1.08 Jinja Road-Kira Road-24h'!I10,'3.08 Jinja Road-KiraRoad-24h'!I10,'4.08.JINJA ROAD-KIIRA'!I10)</f>
        <v>0.7142857142857143</v>
      </c>
      <c r="J10" s="49">
        <f>AVERAGE('29.07 JinjaRoad-Kira Road'!J10,'30.07 Jinja Road-Kira Road'!J10,'31.07 Jinja Road-Kira Road'!J10,'2.08 Jinja road-Kira road'!J10,'1.08 Jinja Road-Kira Road-24h'!J10,'3.08 Jinja Road-KiraRoad-24h'!J10,'4.08.JINJA ROAD-KIIRA'!J10)</f>
        <v>0.5714285714285714</v>
      </c>
      <c r="K10" s="49">
        <f>AVERAGE('29.07 JinjaRoad-Kira Road'!K10,'30.07 Jinja Road-Kira Road'!K10,'31.07 Jinja Road-Kira Road'!K10,'2.08 Jinja road-Kira road'!K10,'1.08 Jinja Road-Kira Road-24h'!K10,'3.08 Jinja Road-KiraRoad-24h'!K10,'4.08.JINJA ROAD-KIIRA'!K10)</f>
        <v>0.14285714285714285</v>
      </c>
      <c r="L10" s="49">
        <f>AVERAGE('29.07 JinjaRoad-Kira Road'!L10,'30.07 Jinja Road-Kira Road'!L10,'31.07 Jinja Road-Kira Road'!L10,'2.08 Jinja road-Kira road'!L10,'1.08 Jinja Road-Kira Road-24h'!L10,'3.08 Jinja Road-KiraRoad-24h'!L10,'4.08.JINJA ROAD-KIIRA'!L10)</f>
        <v>0</v>
      </c>
      <c r="M10" s="49">
        <f>AVERAGE('29.07 JinjaRoad-Kira Road'!M10,'30.07 Jinja Road-Kira Road'!M10,'31.07 Jinja Road-Kira Road'!M10,'2.08 Jinja road-Kira road'!M10,'1.08 Jinja Road-Kira Road-24h'!M10,'3.08 Jinja Road-KiraRoad-24h'!M10,'4.08.JINJA ROAD-KIIRA'!M10)</f>
        <v>82.428571428571431</v>
      </c>
      <c r="N10" s="49">
        <f>AVERAGE('29.07 JinjaRoad-Kira Road'!N10,'30.07 Jinja Road-Kira Road'!N10,'31.07 Jinja Road-Kira Road'!N10,'2.08 Jinja road-Kira road'!N10,'1.08 Jinja Road-Kira Road-24h'!N10,'3.08 Jinja Road-KiraRoad-24h'!N10,'4.08.JINJA ROAD-KIIRA'!N10)</f>
        <v>0</v>
      </c>
      <c r="O10" s="15">
        <f t="shared" ref="O10:O73" si="0">SUM(C10:L10,N10)</f>
        <v>77.571428571428541</v>
      </c>
      <c r="P10" s="15">
        <f t="shared" ref="P10:P73" si="1">SUM(C10:N10)</f>
        <v>159.99999999999997</v>
      </c>
      <c r="R10" s="1" t="s">
        <v>6</v>
      </c>
      <c r="S10" s="17">
        <f t="shared" ref="S10:AF10" si="2">SUM(C10:C13)</f>
        <v>212</v>
      </c>
      <c r="T10" s="17">
        <f t="shared" si="2"/>
        <v>83.428571428571431</v>
      </c>
      <c r="U10" s="17">
        <f t="shared" si="2"/>
        <v>24.285714285714285</v>
      </c>
      <c r="V10" s="17">
        <f t="shared" si="2"/>
        <v>7.2857142857142865</v>
      </c>
      <c r="W10" s="17">
        <f t="shared" si="2"/>
        <v>1</v>
      </c>
      <c r="X10" s="17">
        <f t="shared" si="2"/>
        <v>0.14285714285714285</v>
      </c>
      <c r="Y10" s="17">
        <f t="shared" si="2"/>
        <v>5.5714285714285712</v>
      </c>
      <c r="Z10" s="17">
        <f t="shared" si="2"/>
        <v>1.5714285714285714</v>
      </c>
      <c r="AA10" s="17">
        <f t="shared" si="2"/>
        <v>0.42857142857142855</v>
      </c>
      <c r="AB10" s="17">
        <f t="shared" si="2"/>
        <v>1</v>
      </c>
      <c r="AC10" s="17">
        <f t="shared" si="2"/>
        <v>483</v>
      </c>
      <c r="AD10" s="17">
        <f t="shared" si="2"/>
        <v>0</v>
      </c>
      <c r="AE10" s="31">
        <f t="shared" si="2"/>
        <v>336.71428571428567</v>
      </c>
      <c r="AF10" s="31">
        <f t="shared" si="2"/>
        <v>819.71428571428555</v>
      </c>
    </row>
    <row r="11" spans="2:32" s="6" customFormat="1" ht="23.1" customHeight="1" x14ac:dyDescent="0.25">
      <c r="B11" s="23" t="s">
        <v>38</v>
      </c>
      <c r="C11" s="49">
        <f>AVERAGE('29.07 JinjaRoad-Kira Road'!C11,'30.07 Jinja Road-Kira Road'!C11,'31.07 Jinja Road-Kira Road'!C11,'2.08 Jinja road-Kira road'!C11,'1.08 Jinja Road-Kira Road-24h'!C11,'3.08 Jinja Road-KiraRoad-24h'!C11,'4.08.JINJA ROAD-KIIRA'!C11)</f>
        <v>51.714285714285715</v>
      </c>
      <c r="D11" s="49">
        <f>AVERAGE('29.07 JinjaRoad-Kira Road'!D11,'30.07 Jinja Road-Kira Road'!D11,'31.07 Jinja Road-Kira Road'!D11,'2.08 Jinja road-Kira road'!D11,'1.08 Jinja Road-Kira Road-24h'!D11,'3.08 Jinja Road-KiraRoad-24h'!D11,'4.08.JINJA ROAD-KIIRA'!D11)</f>
        <v>20.571428571428573</v>
      </c>
      <c r="E11" s="49">
        <f>AVERAGE('29.07 JinjaRoad-Kira Road'!E11,'30.07 Jinja Road-Kira Road'!E11,'31.07 Jinja Road-Kira Road'!E11,'2.08 Jinja road-Kira road'!E11,'1.08 Jinja Road-Kira Road-24h'!E11,'3.08 Jinja Road-KiraRoad-24h'!E11,'4.08.JINJA ROAD-KIIRA'!E11)</f>
        <v>9.1428571428571423</v>
      </c>
      <c r="F11" s="49">
        <f>AVERAGE('29.07 JinjaRoad-Kira Road'!F11,'30.07 Jinja Road-Kira Road'!F11,'31.07 Jinja Road-Kira Road'!F11,'2.08 Jinja road-Kira road'!F11,'1.08 Jinja Road-Kira Road-24h'!F11,'3.08 Jinja Road-KiraRoad-24h'!F11,'4.08.JINJA ROAD-KIIRA'!F11)</f>
        <v>2.1428571428571428</v>
      </c>
      <c r="G11" s="49">
        <f>AVERAGE('29.07 JinjaRoad-Kira Road'!G11,'30.07 Jinja Road-Kira Road'!G11,'31.07 Jinja Road-Kira Road'!G11,'2.08 Jinja road-Kira road'!G11,'1.08 Jinja Road-Kira Road-24h'!G11,'3.08 Jinja Road-KiraRoad-24h'!G11,'4.08.JINJA ROAD-KIIRA'!G11)</f>
        <v>0.14285714285714285</v>
      </c>
      <c r="H11" s="49">
        <f>AVERAGE('29.07 JinjaRoad-Kira Road'!H11,'30.07 Jinja Road-Kira Road'!H11,'31.07 Jinja Road-Kira Road'!H11,'2.08 Jinja road-Kira road'!H11,'1.08 Jinja Road-Kira Road-24h'!H11,'3.08 Jinja Road-KiraRoad-24h'!H11,'4.08.JINJA ROAD-KIIRA'!H11)</f>
        <v>0.14285714285714285</v>
      </c>
      <c r="I11" s="49">
        <f>AVERAGE('29.07 JinjaRoad-Kira Road'!I11,'30.07 Jinja Road-Kira Road'!I11,'31.07 Jinja Road-Kira Road'!I11,'2.08 Jinja road-Kira road'!I11,'1.08 Jinja Road-Kira Road-24h'!I11,'3.08 Jinja Road-KiraRoad-24h'!I11,'4.08.JINJA ROAD-KIIRA'!I11)</f>
        <v>1.8571428571428572</v>
      </c>
      <c r="J11" s="49">
        <f>AVERAGE('29.07 JinjaRoad-Kira Road'!J11,'30.07 Jinja Road-Kira Road'!J11,'31.07 Jinja Road-Kira Road'!J11,'2.08 Jinja road-Kira road'!J11,'1.08 Jinja Road-Kira Road-24h'!J11,'3.08 Jinja Road-KiraRoad-24h'!J11,'4.08.JINJA ROAD-KIIRA'!J11)</f>
        <v>0.5714285714285714</v>
      </c>
      <c r="K11" s="49">
        <f>AVERAGE('29.07 JinjaRoad-Kira Road'!K11,'30.07 Jinja Road-Kira Road'!K11,'31.07 Jinja Road-Kira Road'!K11,'2.08 Jinja road-Kira road'!K11,'1.08 Jinja Road-Kira Road-24h'!K11,'3.08 Jinja Road-KiraRoad-24h'!K11,'4.08.JINJA ROAD-KIIRA'!K11)</f>
        <v>0.2857142857142857</v>
      </c>
      <c r="L11" s="49">
        <f>AVERAGE('29.07 JinjaRoad-Kira Road'!L11,'30.07 Jinja Road-Kira Road'!L11,'31.07 Jinja Road-Kira Road'!L11,'2.08 Jinja road-Kira road'!L11,'1.08 Jinja Road-Kira Road-24h'!L11,'3.08 Jinja Road-KiraRoad-24h'!L11,'4.08.JINJA ROAD-KIIRA'!L11)</f>
        <v>0.14285714285714285</v>
      </c>
      <c r="M11" s="49">
        <f>AVERAGE('29.07 JinjaRoad-Kira Road'!M11,'30.07 Jinja Road-Kira Road'!M11,'31.07 Jinja Road-Kira Road'!M11,'2.08 Jinja road-Kira road'!M11,'1.08 Jinja Road-Kira Road-24h'!M11,'3.08 Jinja Road-KiraRoad-24h'!M11,'4.08.JINJA ROAD-KIIRA'!M11)</f>
        <v>112.42857142857143</v>
      </c>
      <c r="N11" s="49">
        <f>AVERAGE('29.07 JinjaRoad-Kira Road'!N11,'30.07 Jinja Road-Kira Road'!N11,'31.07 Jinja Road-Kira Road'!N11,'2.08 Jinja road-Kira road'!N11,'1.08 Jinja Road-Kira Road-24h'!N11,'3.08 Jinja Road-KiraRoad-24h'!N11,'4.08.JINJA ROAD-KIIRA'!N11)</f>
        <v>0</v>
      </c>
      <c r="O11" s="15">
        <f t="shared" si="0"/>
        <v>86.714285714285708</v>
      </c>
      <c r="P11" s="15">
        <f t="shared" si="1"/>
        <v>199.14285714285714</v>
      </c>
      <c r="R11" s="1" t="s">
        <v>7</v>
      </c>
      <c r="S11" s="17">
        <f t="shared" ref="S11:AF11" si="3">SUM(C14:C17)</f>
        <v>190.28571428571431</v>
      </c>
      <c r="T11" s="17">
        <f t="shared" si="3"/>
        <v>91.428571428571431</v>
      </c>
      <c r="U11" s="17">
        <f t="shared" si="3"/>
        <v>24.857142857142854</v>
      </c>
      <c r="V11" s="17">
        <f t="shared" si="3"/>
        <v>11.714285714285714</v>
      </c>
      <c r="W11" s="17">
        <f t="shared" si="3"/>
        <v>0.42857142857142855</v>
      </c>
      <c r="X11" s="17">
        <f t="shared" si="3"/>
        <v>0.42857142857142855</v>
      </c>
      <c r="Y11" s="17">
        <f t="shared" si="3"/>
        <v>9.428571428571427</v>
      </c>
      <c r="Z11" s="17">
        <f t="shared" si="3"/>
        <v>3.1428571428571432</v>
      </c>
      <c r="AA11" s="17">
        <f t="shared" si="3"/>
        <v>1</v>
      </c>
      <c r="AB11" s="17">
        <f t="shared" si="3"/>
        <v>1.1428571428571428</v>
      </c>
      <c r="AC11" s="17">
        <f t="shared" si="3"/>
        <v>625.71428571428578</v>
      </c>
      <c r="AD11" s="17">
        <f t="shared" si="3"/>
        <v>0</v>
      </c>
      <c r="AE11" s="31">
        <f t="shared" si="3"/>
        <v>333.85714285714289</v>
      </c>
      <c r="AF11" s="31">
        <f t="shared" si="3"/>
        <v>959.57142857142867</v>
      </c>
    </row>
    <row r="12" spans="2:32" ht="23.1" customHeight="1" x14ac:dyDescent="0.25">
      <c r="B12" s="23" t="s">
        <v>39</v>
      </c>
      <c r="C12" s="49">
        <f>AVERAGE('29.07 JinjaRoad-Kira Road'!C12,'30.07 Jinja Road-Kira Road'!C12,'31.07 Jinja Road-Kira Road'!C12,'2.08 Jinja road-Kira road'!C12,'1.08 Jinja Road-Kira Road-24h'!C12,'3.08 Jinja Road-KiraRoad-24h'!C12,'4.08.JINJA ROAD-KIIRA'!C12)</f>
        <v>52.428571428571431</v>
      </c>
      <c r="D12" s="49">
        <f>AVERAGE('29.07 JinjaRoad-Kira Road'!D12,'30.07 Jinja Road-Kira Road'!D12,'31.07 Jinja Road-Kira Road'!D12,'2.08 Jinja road-Kira road'!D12,'1.08 Jinja Road-Kira Road-24h'!D12,'3.08 Jinja Road-KiraRoad-24h'!D12,'4.08.JINJA ROAD-KIIRA'!D12)</f>
        <v>22</v>
      </c>
      <c r="E12" s="49">
        <f>AVERAGE('29.07 JinjaRoad-Kira Road'!E12,'30.07 Jinja Road-Kira Road'!E12,'31.07 Jinja Road-Kira Road'!E12,'2.08 Jinja road-Kira road'!E12,'1.08 Jinja Road-Kira Road-24h'!E12,'3.08 Jinja Road-KiraRoad-24h'!E12,'4.08.JINJA ROAD-KIIRA'!E12)</f>
        <v>6.2857142857142856</v>
      </c>
      <c r="F12" s="49">
        <f>AVERAGE('29.07 JinjaRoad-Kira Road'!F12,'30.07 Jinja Road-Kira Road'!F12,'31.07 Jinja Road-Kira Road'!F12,'2.08 Jinja road-Kira road'!F12,'1.08 Jinja Road-Kira Road-24h'!F12,'3.08 Jinja Road-KiraRoad-24h'!F12,'4.08.JINJA ROAD-KIIRA'!F12)</f>
        <v>1</v>
      </c>
      <c r="G12" s="49">
        <f>AVERAGE('29.07 JinjaRoad-Kira Road'!G12,'30.07 Jinja Road-Kira Road'!G12,'31.07 Jinja Road-Kira Road'!G12,'2.08 Jinja road-Kira road'!G12,'1.08 Jinja Road-Kira Road-24h'!G12,'3.08 Jinja Road-KiraRoad-24h'!G12,'4.08.JINJA ROAD-KIIRA'!G12)</f>
        <v>0.14285714285714285</v>
      </c>
      <c r="H12" s="49">
        <f>AVERAGE('29.07 JinjaRoad-Kira Road'!H12,'30.07 Jinja Road-Kira Road'!H12,'31.07 Jinja Road-Kira Road'!H12,'2.08 Jinja road-Kira road'!H12,'1.08 Jinja Road-Kira Road-24h'!H12,'3.08 Jinja Road-KiraRoad-24h'!H12,'4.08.JINJA ROAD-KIIRA'!H12)</f>
        <v>0</v>
      </c>
      <c r="I12" s="49">
        <f>AVERAGE('29.07 JinjaRoad-Kira Road'!I12,'30.07 Jinja Road-Kira Road'!I12,'31.07 Jinja Road-Kira Road'!I12,'2.08 Jinja road-Kira road'!I12,'1.08 Jinja Road-Kira Road-24h'!I12,'3.08 Jinja Road-KiraRoad-24h'!I12,'4.08.JINJA ROAD-KIIRA'!I12)</f>
        <v>1.8571428571428572</v>
      </c>
      <c r="J12" s="49">
        <f>AVERAGE('29.07 JinjaRoad-Kira Road'!J12,'30.07 Jinja Road-Kira Road'!J12,'31.07 Jinja Road-Kira Road'!J12,'2.08 Jinja road-Kira road'!J12,'1.08 Jinja Road-Kira Road-24h'!J12,'3.08 Jinja Road-KiraRoad-24h'!J12,'4.08.JINJA ROAD-KIIRA'!J12)</f>
        <v>0</v>
      </c>
      <c r="K12" s="49">
        <f>AVERAGE('29.07 JinjaRoad-Kira Road'!K12,'30.07 Jinja Road-Kira Road'!K12,'31.07 Jinja Road-Kira Road'!K12,'2.08 Jinja road-Kira road'!K12,'1.08 Jinja Road-Kira Road-24h'!K12,'3.08 Jinja Road-KiraRoad-24h'!K12,'4.08.JINJA ROAD-KIIRA'!K12)</f>
        <v>0</v>
      </c>
      <c r="L12" s="49">
        <f>AVERAGE('29.07 JinjaRoad-Kira Road'!L12,'30.07 Jinja Road-Kira Road'!L12,'31.07 Jinja Road-Kira Road'!L12,'2.08 Jinja road-Kira road'!L12,'1.08 Jinja Road-Kira Road-24h'!L12,'3.08 Jinja Road-KiraRoad-24h'!L12,'4.08.JINJA ROAD-KIIRA'!L12)</f>
        <v>0.7142857142857143</v>
      </c>
      <c r="M12" s="49">
        <f>AVERAGE('29.07 JinjaRoad-Kira Road'!M12,'30.07 Jinja Road-Kira Road'!M12,'31.07 Jinja Road-Kira Road'!M12,'2.08 Jinja road-Kira road'!M12,'1.08 Jinja Road-Kira Road-24h'!M12,'3.08 Jinja Road-KiraRoad-24h'!M12,'4.08.JINJA ROAD-KIIRA'!M12)</f>
        <v>130.71428571428572</v>
      </c>
      <c r="N12" s="49">
        <f>AVERAGE('29.07 JinjaRoad-Kira Road'!N12,'30.07 Jinja Road-Kira Road'!N12,'31.07 Jinja Road-Kira Road'!N12,'2.08 Jinja road-Kira road'!N12,'1.08 Jinja Road-Kira Road-24h'!N12,'3.08 Jinja Road-KiraRoad-24h'!N12,'4.08.JINJA ROAD-KIIRA'!N12)</f>
        <v>0</v>
      </c>
      <c r="O12" s="15">
        <f t="shared" si="0"/>
        <v>84.428571428571431</v>
      </c>
      <c r="P12" s="15">
        <f t="shared" si="1"/>
        <v>215.14285714285717</v>
      </c>
      <c r="R12" s="1" t="s">
        <v>8</v>
      </c>
      <c r="S12" s="17">
        <f t="shared" ref="S12:AF12" si="4">SUM(C18:C21)</f>
        <v>230.71428571428572</v>
      </c>
      <c r="T12" s="17">
        <f t="shared" si="4"/>
        <v>133.14285714285714</v>
      </c>
      <c r="U12" s="17">
        <f t="shared" si="4"/>
        <v>30.857142857142858</v>
      </c>
      <c r="V12" s="17">
        <f t="shared" si="4"/>
        <v>10.571428571428571</v>
      </c>
      <c r="W12" s="17">
        <f t="shared" si="4"/>
        <v>1.1428571428571428</v>
      </c>
      <c r="X12" s="17">
        <f t="shared" si="4"/>
        <v>0.7142857142857143</v>
      </c>
      <c r="Y12" s="17">
        <f t="shared" si="4"/>
        <v>13.857142857142858</v>
      </c>
      <c r="Z12" s="17">
        <f t="shared" si="4"/>
        <v>6</v>
      </c>
      <c r="AA12" s="17">
        <f t="shared" si="4"/>
        <v>1.5714285714285714</v>
      </c>
      <c r="AB12" s="17">
        <f t="shared" si="4"/>
        <v>0.8571428571428571</v>
      </c>
      <c r="AC12" s="17">
        <f t="shared" si="4"/>
        <v>554.85714285714289</v>
      </c>
      <c r="AD12" s="17">
        <f t="shared" si="4"/>
        <v>0.14285714285714285</v>
      </c>
      <c r="AE12" s="31">
        <f t="shared" si="4"/>
        <v>429.57142857142861</v>
      </c>
      <c r="AF12" s="31">
        <f t="shared" si="4"/>
        <v>984.42857142857156</v>
      </c>
    </row>
    <row r="13" spans="2:32" ht="23.1" customHeight="1" x14ac:dyDescent="0.25">
      <c r="B13" s="23" t="s">
        <v>40</v>
      </c>
      <c r="C13" s="49">
        <f>AVERAGE('29.07 JinjaRoad-Kira Road'!C13,'30.07 Jinja Road-Kira Road'!C13,'31.07 Jinja Road-Kira Road'!C13,'2.08 Jinja road-Kira road'!C13,'1.08 Jinja Road-Kira Road-24h'!C13,'3.08 Jinja Road-KiraRoad-24h'!C13,'4.08.JINJA ROAD-KIIRA'!C13)</f>
        <v>56.714285714285715</v>
      </c>
      <c r="D13" s="49">
        <f>AVERAGE('29.07 JinjaRoad-Kira Road'!D13,'30.07 Jinja Road-Kira Road'!D13,'31.07 Jinja Road-Kira Road'!D13,'2.08 Jinja road-Kira road'!D13,'1.08 Jinja Road-Kira Road-24h'!D13,'3.08 Jinja Road-KiraRoad-24h'!D13,'4.08.JINJA ROAD-KIIRA'!D13)</f>
        <v>21.428571428571427</v>
      </c>
      <c r="E13" s="49">
        <f>AVERAGE('29.07 JinjaRoad-Kira Road'!E13,'30.07 Jinja Road-Kira Road'!E13,'31.07 Jinja Road-Kira Road'!E13,'2.08 Jinja road-Kira road'!E13,'1.08 Jinja Road-Kira Road-24h'!E13,'3.08 Jinja Road-KiraRoad-24h'!E13,'4.08.JINJA ROAD-KIIRA'!E13)</f>
        <v>6.1428571428571432</v>
      </c>
      <c r="F13" s="49">
        <f>AVERAGE('29.07 JinjaRoad-Kira Road'!F13,'30.07 Jinja Road-Kira Road'!F13,'31.07 Jinja Road-Kira Road'!F13,'2.08 Jinja road-Kira road'!F13,'1.08 Jinja Road-Kira Road-24h'!F13,'3.08 Jinja Road-KiraRoad-24h'!F13,'4.08.JINJA ROAD-KIIRA'!F13)</f>
        <v>1.4285714285714286</v>
      </c>
      <c r="G13" s="49">
        <f>AVERAGE('29.07 JinjaRoad-Kira Road'!G13,'30.07 Jinja Road-Kira Road'!G13,'31.07 Jinja Road-Kira Road'!G13,'2.08 Jinja road-Kira road'!G13,'1.08 Jinja Road-Kira Road-24h'!G13,'3.08 Jinja Road-KiraRoad-24h'!G13,'4.08.JINJA ROAD-KIIRA'!G13)</f>
        <v>0.5714285714285714</v>
      </c>
      <c r="H13" s="49">
        <f>AVERAGE('29.07 JinjaRoad-Kira Road'!H13,'30.07 Jinja Road-Kira Road'!H13,'31.07 Jinja Road-Kira Road'!H13,'2.08 Jinja road-Kira road'!H13,'1.08 Jinja Road-Kira Road-24h'!H13,'3.08 Jinja Road-KiraRoad-24h'!H13,'4.08.JINJA ROAD-KIIRA'!H13)</f>
        <v>0</v>
      </c>
      <c r="I13" s="49">
        <f>AVERAGE('29.07 JinjaRoad-Kira Road'!I13,'30.07 Jinja Road-Kira Road'!I13,'31.07 Jinja Road-Kira Road'!I13,'2.08 Jinja road-Kira road'!I13,'1.08 Jinja Road-Kira Road-24h'!I13,'3.08 Jinja Road-KiraRoad-24h'!I13,'4.08.JINJA ROAD-KIIRA'!I13)</f>
        <v>1.1428571428571428</v>
      </c>
      <c r="J13" s="49">
        <f>AVERAGE('29.07 JinjaRoad-Kira Road'!J13,'30.07 Jinja Road-Kira Road'!J13,'31.07 Jinja Road-Kira Road'!J13,'2.08 Jinja road-Kira road'!J13,'1.08 Jinja Road-Kira Road-24h'!J13,'3.08 Jinja Road-KiraRoad-24h'!J13,'4.08.JINJA ROAD-KIIRA'!J13)</f>
        <v>0.42857142857142855</v>
      </c>
      <c r="K13" s="49">
        <f>AVERAGE('29.07 JinjaRoad-Kira Road'!K13,'30.07 Jinja Road-Kira Road'!K13,'31.07 Jinja Road-Kira Road'!K13,'2.08 Jinja road-Kira road'!K13,'1.08 Jinja Road-Kira Road-24h'!K13,'3.08 Jinja Road-KiraRoad-24h'!K13,'4.08.JINJA ROAD-KIIRA'!K13)</f>
        <v>0</v>
      </c>
      <c r="L13" s="49">
        <f>AVERAGE('29.07 JinjaRoad-Kira Road'!L13,'30.07 Jinja Road-Kira Road'!L13,'31.07 Jinja Road-Kira Road'!L13,'2.08 Jinja road-Kira road'!L13,'1.08 Jinja Road-Kira Road-24h'!L13,'3.08 Jinja Road-KiraRoad-24h'!L13,'4.08.JINJA ROAD-KIIRA'!L13)</f>
        <v>0.14285714285714285</v>
      </c>
      <c r="M13" s="49">
        <f>AVERAGE('29.07 JinjaRoad-Kira Road'!M13,'30.07 Jinja Road-Kira Road'!M13,'31.07 Jinja Road-Kira Road'!M13,'2.08 Jinja road-Kira road'!M13,'1.08 Jinja Road-Kira Road-24h'!M13,'3.08 Jinja Road-KiraRoad-24h'!M13,'4.08.JINJA ROAD-KIIRA'!M13)</f>
        <v>157.42857142857142</v>
      </c>
      <c r="N13" s="49">
        <f>AVERAGE('29.07 JinjaRoad-Kira Road'!N13,'30.07 Jinja Road-Kira Road'!N13,'31.07 Jinja Road-Kira Road'!N13,'2.08 Jinja road-Kira road'!N13,'1.08 Jinja Road-Kira Road-24h'!N13,'3.08 Jinja Road-KiraRoad-24h'!N13,'4.08.JINJA ROAD-KIIRA'!N13)</f>
        <v>0</v>
      </c>
      <c r="O13" s="15">
        <f t="shared" si="0"/>
        <v>87.999999999999986</v>
      </c>
      <c r="P13" s="15">
        <f t="shared" si="1"/>
        <v>245.42857142857139</v>
      </c>
      <c r="R13" s="1" t="s">
        <v>9</v>
      </c>
      <c r="S13" s="17">
        <f t="shared" ref="S13:AF13" si="5">SUM(C22:C25)</f>
        <v>285.28571428571428</v>
      </c>
      <c r="T13" s="17">
        <f t="shared" si="5"/>
        <v>150.14285714285714</v>
      </c>
      <c r="U13" s="17">
        <f t="shared" si="5"/>
        <v>40.285714285714285</v>
      </c>
      <c r="V13" s="17">
        <f t="shared" si="5"/>
        <v>14.857142857142858</v>
      </c>
      <c r="W13" s="17">
        <f t="shared" si="5"/>
        <v>1.2857142857142856</v>
      </c>
      <c r="X13" s="17">
        <f t="shared" si="5"/>
        <v>0</v>
      </c>
      <c r="Y13" s="17">
        <f t="shared" si="5"/>
        <v>11.428571428571429</v>
      </c>
      <c r="Z13" s="17">
        <f t="shared" si="5"/>
        <v>6.7142857142857144</v>
      </c>
      <c r="AA13" s="17">
        <f t="shared" si="5"/>
        <v>1.5714285714285712</v>
      </c>
      <c r="AB13" s="17">
        <f t="shared" si="5"/>
        <v>1.4285714285714284</v>
      </c>
      <c r="AC13" s="17">
        <f t="shared" si="5"/>
        <v>536.71428571428578</v>
      </c>
      <c r="AD13" s="17">
        <f t="shared" si="5"/>
        <v>0.14285714285714285</v>
      </c>
      <c r="AE13" s="31">
        <f t="shared" si="5"/>
        <v>513.14285714285711</v>
      </c>
      <c r="AF13" s="31">
        <f t="shared" si="5"/>
        <v>1049.8571428571429</v>
      </c>
    </row>
    <row r="14" spans="2:32" ht="23.1" customHeight="1" x14ac:dyDescent="0.25">
      <c r="B14" s="23" t="s">
        <v>41</v>
      </c>
      <c r="C14" s="49">
        <f>AVERAGE('29.07 JinjaRoad-Kira Road'!C14,'30.07 Jinja Road-Kira Road'!C14,'31.07 Jinja Road-Kira Road'!C14,'2.08 Jinja road-Kira road'!C14,'1.08 Jinja Road-Kira Road-24h'!C14,'3.08 Jinja Road-KiraRoad-24h'!C14,'4.08.JINJA ROAD-KIIRA'!C14)</f>
        <v>52.142857142857146</v>
      </c>
      <c r="D14" s="49">
        <f>AVERAGE('29.07 JinjaRoad-Kira Road'!D14,'30.07 Jinja Road-Kira Road'!D14,'31.07 Jinja Road-Kira Road'!D14,'2.08 Jinja road-Kira road'!D14,'1.08 Jinja Road-Kira Road-24h'!D14,'3.08 Jinja Road-KiraRoad-24h'!D14,'4.08.JINJA ROAD-KIIRA'!D14)</f>
        <v>24.428571428571427</v>
      </c>
      <c r="E14" s="49">
        <f>AVERAGE('29.07 JinjaRoad-Kira Road'!E14,'30.07 Jinja Road-Kira Road'!E14,'31.07 Jinja Road-Kira Road'!E14,'2.08 Jinja road-Kira road'!E14,'1.08 Jinja Road-Kira Road-24h'!E14,'3.08 Jinja Road-KiraRoad-24h'!E14,'4.08.JINJA ROAD-KIIRA'!E14)</f>
        <v>7.1428571428571432</v>
      </c>
      <c r="F14" s="49">
        <f>AVERAGE('29.07 JinjaRoad-Kira Road'!F14,'30.07 Jinja Road-Kira Road'!F14,'31.07 Jinja Road-Kira Road'!F14,'2.08 Jinja road-Kira road'!F14,'1.08 Jinja Road-Kira Road-24h'!F14,'3.08 Jinja Road-KiraRoad-24h'!F14,'4.08.JINJA ROAD-KIIRA'!F14)</f>
        <v>4.7142857142857144</v>
      </c>
      <c r="G14" s="49">
        <f>AVERAGE('29.07 JinjaRoad-Kira Road'!G14,'30.07 Jinja Road-Kira Road'!G14,'31.07 Jinja Road-Kira Road'!G14,'2.08 Jinja road-Kira road'!G14,'1.08 Jinja Road-Kira Road-24h'!G14,'3.08 Jinja Road-KiraRoad-24h'!G14,'4.08.JINJA ROAD-KIIRA'!G14)</f>
        <v>0</v>
      </c>
      <c r="H14" s="49">
        <f>AVERAGE('29.07 JinjaRoad-Kira Road'!H14,'30.07 Jinja Road-Kira Road'!H14,'31.07 Jinja Road-Kira Road'!H14,'2.08 Jinja road-Kira road'!H14,'1.08 Jinja Road-Kira Road-24h'!H14,'3.08 Jinja Road-KiraRoad-24h'!H14,'4.08.JINJA ROAD-KIIRA'!H14)</f>
        <v>0</v>
      </c>
      <c r="I14" s="49">
        <f>AVERAGE('29.07 JinjaRoad-Kira Road'!I14,'30.07 Jinja Road-Kira Road'!I14,'31.07 Jinja Road-Kira Road'!I14,'2.08 Jinja road-Kira road'!I14,'1.08 Jinja Road-Kira Road-24h'!I14,'3.08 Jinja Road-KiraRoad-24h'!I14,'4.08.JINJA ROAD-KIIRA'!I14)</f>
        <v>2.4285714285714284</v>
      </c>
      <c r="J14" s="49">
        <f>AVERAGE('29.07 JinjaRoad-Kira Road'!J14,'30.07 Jinja Road-Kira Road'!J14,'31.07 Jinja Road-Kira Road'!J14,'2.08 Jinja road-Kira road'!J14,'1.08 Jinja Road-Kira Road-24h'!J14,'3.08 Jinja Road-KiraRoad-24h'!J14,'4.08.JINJA ROAD-KIIRA'!J14)</f>
        <v>1</v>
      </c>
      <c r="K14" s="49">
        <f>AVERAGE('29.07 JinjaRoad-Kira Road'!K14,'30.07 Jinja Road-Kira Road'!K14,'31.07 Jinja Road-Kira Road'!K14,'2.08 Jinja road-Kira road'!K14,'1.08 Jinja Road-Kira Road-24h'!K14,'3.08 Jinja Road-KiraRoad-24h'!K14,'4.08.JINJA ROAD-KIIRA'!K14)</f>
        <v>0.2857142857142857</v>
      </c>
      <c r="L14" s="49">
        <f>AVERAGE('29.07 JinjaRoad-Kira Road'!L14,'30.07 Jinja Road-Kira Road'!L14,'31.07 Jinja Road-Kira Road'!L14,'2.08 Jinja road-Kira road'!L14,'1.08 Jinja Road-Kira Road-24h'!L14,'3.08 Jinja Road-KiraRoad-24h'!L14,'4.08.JINJA ROAD-KIIRA'!L14)</f>
        <v>0.2857142857142857</v>
      </c>
      <c r="M14" s="49">
        <f>AVERAGE('29.07 JinjaRoad-Kira Road'!M14,'30.07 Jinja Road-Kira Road'!M14,'31.07 Jinja Road-Kira Road'!M14,'2.08 Jinja road-Kira road'!M14,'1.08 Jinja Road-Kira Road-24h'!M14,'3.08 Jinja Road-KiraRoad-24h'!M14,'4.08.JINJA ROAD-KIIRA'!M14)</f>
        <v>156.85714285714286</v>
      </c>
      <c r="N14" s="49">
        <f>AVERAGE('29.07 JinjaRoad-Kira Road'!N14,'30.07 Jinja Road-Kira Road'!N14,'31.07 Jinja Road-Kira Road'!N14,'2.08 Jinja road-Kira road'!N14,'1.08 Jinja Road-Kira Road-24h'!N14,'3.08 Jinja Road-KiraRoad-24h'!N14,'4.08.JINJA ROAD-KIIRA'!N14)</f>
        <v>0</v>
      </c>
      <c r="O14" s="15">
        <f t="shared" si="0"/>
        <v>92.428571428571431</v>
      </c>
      <c r="P14" s="15">
        <f t="shared" si="1"/>
        <v>249.28571428571428</v>
      </c>
      <c r="R14" s="1" t="s">
        <v>10</v>
      </c>
      <c r="S14" s="17">
        <f t="shared" ref="S14:AF14" si="6">SUM(C26:C29)</f>
        <v>285.42857142857144</v>
      </c>
      <c r="T14" s="17">
        <f t="shared" si="6"/>
        <v>141.85714285714286</v>
      </c>
      <c r="U14" s="17">
        <f t="shared" si="6"/>
        <v>34.428571428571431</v>
      </c>
      <c r="V14" s="17">
        <f t="shared" si="6"/>
        <v>12.285714285714285</v>
      </c>
      <c r="W14" s="17">
        <f t="shared" si="6"/>
        <v>0.5714285714285714</v>
      </c>
      <c r="X14" s="17">
        <f t="shared" si="6"/>
        <v>0.14285714285714285</v>
      </c>
      <c r="Y14" s="17">
        <f t="shared" si="6"/>
        <v>9.1428571428571423</v>
      </c>
      <c r="Z14" s="17">
        <f t="shared" si="6"/>
        <v>4</v>
      </c>
      <c r="AA14" s="17">
        <f t="shared" si="6"/>
        <v>2.7142857142857144</v>
      </c>
      <c r="AB14" s="17">
        <f t="shared" si="6"/>
        <v>1</v>
      </c>
      <c r="AC14" s="17">
        <f t="shared" si="6"/>
        <v>520.14285714285711</v>
      </c>
      <c r="AD14" s="17">
        <f t="shared" si="6"/>
        <v>0</v>
      </c>
      <c r="AE14" s="31">
        <f t="shared" si="6"/>
        <v>491.57142857142861</v>
      </c>
      <c r="AF14" s="31">
        <f t="shared" si="6"/>
        <v>1011.7142857142858</v>
      </c>
    </row>
    <row r="15" spans="2:32" ht="23.1" customHeight="1" x14ac:dyDescent="0.25">
      <c r="B15" s="23" t="s">
        <v>42</v>
      </c>
      <c r="C15" s="49">
        <f>AVERAGE('29.07 JinjaRoad-Kira Road'!C15,'30.07 Jinja Road-Kira Road'!C15,'31.07 Jinja Road-Kira Road'!C15,'2.08 Jinja road-Kira road'!C15,'1.08 Jinja Road-Kira Road-24h'!C15,'3.08 Jinja Road-KiraRoad-24h'!C15,'4.08.JINJA ROAD-KIIRA'!C15)</f>
        <v>54.142857142857146</v>
      </c>
      <c r="D15" s="49">
        <f>AVERAGE('29.07 JinjaRoad-Kira Road'!D15,'30.07 Jinja Road-Kira Road'!D15,'31.07 Jinja Road-Kira Road'!D15,'2.08 Jinja road-Kira road'!D15,'1.08 Jinja Road-Kira Road-24h'!D15,'3.08 Jinja Road-KiraRoad-24h'!D15,'4.08.JINJA ROAD-KIIRA'!D15)</f>
        <v>23.142857142857142</v>
      </c>
      <c r="E15" s="49">
        <f>AVERAGE('29.07 JinjaRoad-Kira Road'!E15,'30.07 Jinja Road-Kira Road'!E15,'31.07 Jinja Road-Kira Road'!E15,'2.08 Jinja road-Kira road'!E15,'1.08 Jinja Road-Kira Road-24h'!E15,'3.08 Jinja Road-KiraRoad-24h'!E15,'4.08.JINJA ROAD-KIIRA'!E15)</f>
        <v>6.8571428571428568</v>
      </c>
      <c r="F15" s="49">
        <f>AVERAGE('29.07 JinjaRoad-Kira Road'!F15,'30.07 Jinja Road-Kira Road'!F15,'31.07 Jinja Road-Kira Road'!F15,'2.08 Jinja road-Kira road'!F15,'1.08 Jinja Road-Kira Road-24h'!F15,'3.08 Jinja Road-KiraRoad-24h'!F15,'4.08.JINJA ROAD-KIIRA'!F15)</f>
        <v>2.8571428571428572</v>
      </c>
      <c r="G15" s="49">
        <f>AVERAGE('29.07 JinjaRoad-Kira Road'!G15,'30.07 Jinja Road-Kira Road'!G15,'31.07 Jinja Road-Kira Road'!G15,'2.08 Jinja road-Kira road'!G15,'1.08 Jinja Road-Kira Road-24h'!G15,'3.08 Jinja Road-KiraRoad-24h'!G15,'4.08.JINJA ROAD-KIIRA'!G15)</f>
        <v>0</v>
      </c>
      <c r="H15" s="49">
        <f>AVERAGE('29.07 JinjaRoad-Kira Road'!H15,'30.07 Jinja Road-Kira Road'!H15,'31.07 Jinja Road-Kira Road'!H15,'2.08 Jinja road-Kira road'!H15,'1.08 Jinja Road-Kira Road-24h'!H15,'3.08 Jinja Road-KiraRoad-24h'!H15,'4.08.JINJA ROAD-KIIRA'!H15)</f>
        <v>0.42857142857142855</v>
      </c>
      <c r="I15" s="49">
        <f>AVERAGE('29.07 JinjaRoad-Kira Road'!I15,'30.07 Jinja Road-Kira Road'!I15,'31.07 Jinja Road-Kira Road'!I15,'2.08 Jinja road-Kira road'!I15,'1.08 Jinja Road-Kira Road-24h'!I15,'3.08 Jinja Road-KiraRoad-24h'!I15,'4.08.JINJA ROAD-KIIRA'!I15)</f>
        <v>2.2857142857142856</v>
      </c>
      <c r="J15" s="49">
        <f>AVERAGE('29.07 JinjaRoad-Kira Road'!J15,'30.07 Jinja Road-Kira Road'!J15,'31.07 Jinja Road-Kira Road'!J15,'2.08 Jinja road-Kira road'!J15,'1.08 Jinja Road-Kira Road-24h'!J15,'3.08 Jinja Road-KiraRoad-24h'!J15,'4.08.JINJA ROAD-KIIRA'!J15)</f>
        <v>0.7142857142857143</v>
      </c>
      <c r="K15" s="49">
        <f>AVERAGE('29.07 JinjaRoad-Kira Road'!K15,'30.07 Jinja Road-Kira Road'!K15,'31.07 Jinja Road-Kira Road'!K15,'2.08 Jinja road-Kira road'!K15,'1.08 Jinja Road-Kira Road-24h'!K15,'3.08 Jinja Road-KiraRoad-24h'!K15,'4.08.JINJA ROAD-KIIRA'!K15)</f>
        <v>0.14285714285714285</v>
      </c>
      <c r="L15" s="49">
        <f>AVERAGE('29.07 JinjaRoad-Kira Road'!L15,'30.07 Jinja Road-Kira Road'!L15,'31.07 Jinja Road-Kira Road'!L15,'2.08 Jinja road-Kira road'!L15,'1.08 Jinja Road-Kira Road-24h'!L15,'3.08 Jinja Road-KiraRoad-24h'!L15,'4.08.JINJA ROAD-KIIRA'!L15)</f>
        <v>0.5714285714285714</v>
      </c>
      <c r="M15" s="49">
        <f>AVERAGE('29.07 JinjaRoad-Kira Road'!M15,'30.07 Jinja Road-Kira Road'!M15,'31.07 Jinja Road-Kira Road'!M15,'2.08 Jinja road-Kira road'!M15,'1.08 Jinja Road-Kira Road-24h'!M15,'3.08 Jinja Road-KiraRoad-24h'!M15,'4.08.JINJA ROAD-KIIRA'!M15)</f>
        <v>159</v>
      </c>
      <c r="N15" s="49">
        <f>AVERAGE('29.07 JinjaRoad-Kira Road'!N15,'30.07 Jinja Road-Kira Road'!N15,'31.07 Jinja Road-Kira Road'!N15,'2.08 Jinja road-Kira road'!N15,'1.08 Jinja Road-Kira Road-24h'!N15,'3.08 Jinja Road-KiraRoad-24h'!N15,'4.08.JINJA ROAD-KIIRA'!N15)</f>
        <v>0</v>
      </c>
      <c r="O15" s="15">
        <f t="shared" si="0"/>
        <v>91.142857142857153</v>
      </c>
      <c r="P15" s="15">
        <f t="shared" si="1"/>
        <v>250.14285714285717</v>
      </c>
      <c r="R15" s="1" t="s">
        <v>11</v>
      </c>
      <c r="S15" s="17">
        <f t="shared" ref="S15:AF15" si="7">SUM(C30:C33)</f>
        <v>317.57142857142856</v>
      </c>
      <c r="T15" s="17">
        <f t="shared" si="7"/>
        <v>210.57142857142856</v>
      </c>
      <c r="U15" s="17">
        <f t="shared" si="7"/>
        <v>67.285714285714278</v>
      </c>
      <c r="V15" s="17">
        <f t="shared" si="7"/>
        <v>12.142857142857142</v>
      </c>
      <c r="W15" s="17">
        <f t="shared" si="7"/>
        <v>1</v>
      </c>
      <c r="X15" s="17">
        <f t="shared" si="7"/>
        <v>0.71428571428571419</v>
      </c>
      <c r="Y15" s="17">
        <f t="shared" si="7"/>
        <v>12.285714285714285</v>
      </c>
      <c r="Z15" s="17">
        <f t="shared" si="7"/>
        <v>5.4285714285714279</v>
      </c>
      <c r="AA15" s="17">
        <f t="shared" si="7"/>
        <v>2</v>
      </c>
      <c r="AB15" s="17">
        <f t="shared" si="7"/>
        <v>0.71428571428571419</v>
      </c>
      <c r="AC15" s="17">
        <f t="shared" si="7"/>
        <v>473.28571428571433</v>
      </c>
      <c r="AD15" s="17">
        <f t="shared" si="7"/>
        <v>0</v>
      </c>
      <c r="AE15" s="31">
        <f t="shared" si="7"/>
        <v>629.71428571428567</v>
      </c>
      <c r="AF15" s="31">
        <f t="shared" si="7"/>
        <v>1103</v>
      </c>
    </row>
    <row r="16" spans="2:32" ht="23.1" customHeight="1" x14ac:dyDescent="0.25">
      <c r="B16" s="23" t="s">
        <v>43</v>
      </c>
      <c r="C16" s="49">
        <f>AVERAGE('29.07 JinjaRoad-Kira Road'!C16,'30.07 Jinja Road-Kira Road'!C16,'31.07 Jinja Road-Kira Road'!C16,'2.08 Jinja road-Kira road'!C16,'1.08 Jinja Road-Kira Road-24h'!C16,'3.08 Jinja Road-KiraRoad-24h'!C16,'4.08.JINJA ROAD-KIIRA'!C16)</f>
        <v>41.285714285714285</v>
      </c>
      <c r="D16" s="49">
        <f>AVERAGE('29.07 JinjaRoad-Kira Road'!D16,'30.07 Jinja Road-Kira Road'!D16,'31.07 Jinja Road-Kira Road'!D16,'2.08 Jinja road-Kira road'!D16,'1.08 Jinja Road-Kira Road-24h'!D16,'3.08 Jinja Road-KiraRoad-24h'!D16,'4.08.JINJA ROAD-KIIRA'!D16)</f>
        <v>23.857142857142858</v>
      </c>
      <c r="E16" s="49">
        <f>AVERAGE('29.07 JinjaRoad-Kira Road'!E16,'30.07 Jinja Road-Kira Road'!E16,'31.07 Jinja Road-Kira Road'!E16,'2.08 Jinja road-Kira road'!E16,'1.08 Jinja Road-Kira Road-24h'!E16,'3.08 Jinja Road-KiraRoad-24h'!E16,'4.08.JINJA ROAD-KIIRA'!E16)</f>
        <v>5.2857142857142856</v>
      </c>
      <c r="F16" s="49">
        <f>AVERAGE('29.07 JinjaRoad-Kira Road'!F16,'30.07 Jinja Road-Kira Road'!F16,'31.07 Jinja Road-Kira Road'!F16,'2.08 Jinja road-Kira road'!F16,'1.08 Jinja Road-Kira Road-24h'!F16,'3.08 Jinja Road-KiraRoad-24h'!F16,'4.08.JINJA ROAD-KIIRA'!F16)</f>
        <v>1.7142857142857142</v>
      </c>
      <c r="G16" s="49">
        <f>AVERAGE('29.07 JinjaRoad-Kira Road'!G16,'30.07 Jinja Road-Kira Road'!G16,'31.07 Jinja Road-Kira Road'!G16,'2.08 Jinja road-Kira road'!G16,'1.08 Jinja Road-Kira Road-24h'!G16,'3.08 Jinja Road-KiraRoad-24h'!G16,'4.08.JINJA ROAD-KIIRA'!G16)</f>
        <v>0.14285714285714285</v>
      </c>
      <c r="H16" s="49">
        <f>AVERAGE('29.07 JinjaRoad-Kira Road'!H16,'30.07 Jinja Road-Kira Road'!H16,'31.07 Jinja Road-Kira Road'!H16,'2.08 Jinja road-Kira road'!H16,'1.08 Jinja Road-Kira Road-24h'!H16,'3.08 Jinja Road-KiraRoad-24h'!H16,'4.08.JINJA ROAD-KIIRA'!H16)</f>
        <v>0</v>
      </c>
      <c r="I16" s="49">
        <f>AVERAGE('29.07 JinjaRoad-Kira Road'!I16,'30.07 Jinja Road-Kira Road'!I16,'31.07 Jinja Road-Kira Road'!I16,'2.08 Jinja road-Kira road'!I16,'1.08 Jinja Road-Kira Road-24h'!I16,'3.08 Jinja Road-KiraRoad-24h'!I16,'4.08.JINJA ROAD-KIIRA'!I16)</f>
        <v>2.4285714285714284</v>
      </c>
      <c r="J16" s="49">
        <f>AVERAGE('29.07 JinjaRoad-Kira Road'!J16,'30.07 Jinja Road-Kira Road'!J16,'31.07 Jinja Road-Kira Road'!J16,'2.08 Jinja road-Kira road'!J16,'1.08 Jinja Road-Kira Road-24h'!J16,'3.08 Jinja Road-KiraRoad-24h'!J16,'4.08.JINJA ROAD-KIIRA'!J16)</f>
        <v>0.8571428571428571</v>
      </c>
      <c r="K16" s="49">
        <f>AVERAGE('29.07 JinjaRoad-Kira Road'!K16,'30.07 Jinja Road-Kira Road'!K16,'31.07 Jinja Road-Kira Road'!K16,'2.08 Jinja road-Kira road'!K16,'1.08 Jinja Road-Kira Road-24h'!K16,'3.08 Jinja Road-KiraRoad-24h'!K16,'4.08.JINJA ROAD-KIIRA'!K16)</f>
        <v>0</v>
      </c>
      <c r="L16" s="49">
        <f>AVERAGE('29.07 JinjaRoad-Kira Road'!L16,'30.07 Jinja Road-Kira Road'!L16,'31.07 Jinja Road-Kira Road'!L16,'2.08 Jinja road-Kira road'!L16,'1.08 Jinja Road-Kira Road-24h'!L16,'3.08 Jinja Road-KiraRoad-24h'!L16,'4.08.JINJA ROAD-KIIRA'!L16)</f>
        <v>0</v>
      </c>
      <c r="M16" s="49">
        <f>AVERAGE('29.07 JinjaRoad-Kira Road'!M16,'30.07 Jinja Road-Kira Road'!M16,'31.07 Jinja Road-Kira Road'!M16,'2.08 Jinja road-Kira road'!M16,'1.08 Jinja Road-Kira Road-24h'!M16,'3.08 Jinja Road-KiraRoad-24h'!M16,'4.08.JINJA ROAD-KIIRA'!M16)</f>
        <v>151.57142857142858</v>
      </c>
      <c r="N16" s="49">
        <f>AVERAGE('29.07 JinjaRoad-Kira Road'!N16,'30.07 Jinja Road-Kira Road'!N16,'31.07 Jinja Road-Kira Road'!N16,'2.08 Jinja road-Kira road'!N16,'1.08 Jinja Road-Kira Road-24h'!N16,'3.08 Jinja Road-KiraRoad-24h'!N16,'4.08.JINJA ROAD-KIIRA'!N16)</f>
        <v>0</v>
      </c>
      <c r="O16" s="15">
        <f t="shared" si="0"/>
        <v>75.571428571428569</v>
      </c>
      <c r="P16" s="15">
        <f t="shared" si="1"/>
        <v>227.14285714285717</v>
      </c>
      <c r="R16" s="1" t="s">
        <v>12</v>
      </c>
      <c r="S16" s="17">
        <f t="shared" ref="S16:AF16" si="8">SUM(C34:C37)</f>
        <v>343.28571428571428</v>
      </c>
      <c r="T16" s="17">
        <f t="shared" si="8"/>
        <v>208.42857142857144</v>
      </c>
      <c r="U16" s="17">
        <f t="shared" si="8"/>
        <v>65.571428571428569</v>
      </c>
      <c r="V16" s="17">
        <f t="shared" si="8"/>
        <v>15.166666666666666</v>
      </c>
      <c r="W16" s="17">
        <f t="shared" si="8"/>
        <v>2</v>
      </c>
      <c r="X16" s="17">
        <f t="shared" si="8"/>
        <v>0.2857142857142857</v>
      </c>
      <c r="Y16" s="17">
        <f t="shared" si="8"/>
        <v>12</v>
      </c>
      <c r="Z16" s="17">
        <f t="shared" si="8"/>
        <v>4.8571428571428577</v>
      </c>
      <c r="AA16" s="17">
        <f t="shared" si="8"/>
        <v>0.85714285714285698</v>
      </c>
      <c r="AB16" s="17">
        <f t="shared" si="8"/>
        <v>0.71428571428571419</v>
      </c>
      <c r="AC16" s="17">
        <f t="shared" si="8"/>
        <v>479.42857142857144</v>
      </c>
      <c r="AD16" s="17">
        <f t="shared" si="8"/>
        <v>0</v>
      </c>
      <c r="AE16" s="31">
        <f t="shared" si="8"/>
        <v>653.16666666666652</v>
      </c>
      <c r="AF16" s="31">
        <f t="shared" si="8"/>
        <v>1132.5952380952381</v>
      </c>
    </row>
    <row r="17" spans="2:32" ht="23.1" customHeight="1" x14ac:dyDescent="0.25">
      <c r="B17" s="23" t="s">
        <v>44</v>
      </c>
      <c r="C17" s="49">
        <f>AVERAGE('29.07 JinjaRoad-Kira Road'!C17,'30.07 Jinja Road-Kira Road'!C17,'31.07 Jinja Road-Kira Road'!C17,'2.08 Jinja road-Kira road'!C17,'1.08 Jinja Road-Kira Road-24h'!C17,'3.08 Jinja Road-KiraRoad-24h'!C17,'4.08.JINJA ROAD-KIIRA'!C17)</f>
        <v>42.714285714285715</v>
      </c>
      <c r="D17" s="49">
        <f>AVERAGE('29.07 JinjaRoad-Kira Road'!D17,'30.07 Jinja Road-Kira Road'!D17,'31.07 Jinja Road-Kira Road'!D17,'2.08 Jinja road-Kira road'!D17,'1.08 Jinja Road-Kira Road-24h'!D17,'3.08 Jinja Road-KiraRoad-24h'!D17,'4.08.JINJA ROAD-KIIRA'!D17)</f>
        <v>20</v>
      </c>
      <c r="E17" s="49">
        <f>AVERAGE('29.07 JinjaRoad-Kira Road'!E17,'30.07 Jinja Road-Kira Road'!E17,'31.07 Jinja Road-Kira Road'!E17,'2.08 Jinja road-Kira road'!E17,'1.08 Jinja Road-Kira Road-24h'!E17,'3.08 Jinja Road-KiraRoad-24h'!E17,'4.08.JINJA ROAD-KIIRA'!E17)</f>
        <v>5.5714285714285712</v>
      </c>
      <c r="F17" s="49">
        <f>AVERAGE('29.07 JinjaRoad-Kira Road'!F17,'30.07 Jinja Road-Kira Road'!F17,'31.07 Jinja Road-Kira Road'!F17,'2.08 Jinja road-Kira road'!F17,'1.08 Jinja Road-Kira Road-24h'!F17,'3.08 Jinja Road-KiraRoad-24h'!F17,'4.08.JINJA ROAD-KIIRA'!F17)</f>
        <v>2.4285714285714284</v>
      </c>
      <c r="G17" s="49">
        <f>AVERAGE('29.07 JinjaRoad-Kira Road'!G17,'30.07 Jinja Road-Kira Road'!G17,'31.07 Jinja Road-Kira Road'!G17,'2.08 Jinja road-Kira road'!G17,'1.08 Jinja Road-Kira Road-24h'!G17,'3.08 Jinja Road-KiraRoad-24h'!G17,'4.08.JINJA ROAD-KIIRA'!G17)</f>
        <v>0.2857142857142857</v>
      </c>
      <c r="H17" s="49">
        <f>AVERAGE('29.07 JinjaRoad-Kira Road'!H17,'30.07 Jinja Road-Kira Road'!H17,'31.07 Jinja Road-Kira Road'!H17,'2.08 Jinja road-Kira road'!H17,'1.08 Jinja Road-Kira Road-24h'!H17,'3.08 Jinja Road-KiraRoad-24h'!H17,'4.08.JINJA ROAD-KIIRA'!H17)</f>
        <v>0</v>
      </c>
      <c r="I17" s="49">
        <f>AVERAGE('29.07 JinjaRoad-Kira Road'!I17,'30.07 Jinja Road-Kira Road'!I17,'31.07 Jinja Road-Kira Road'!I17,'2.08 Jinja road-Kira road'!I17,'1.08 Jinja Road-Kira Road-24h'!I17,'3.08 Jinja Road-KiraRoad-24h'!I17,'4.08.JINJA ROAD-KIIRA'!I17)</f>
        <v>2.2857142857142856</v>
      </c>
      <c r="J17" s="49">
        <f>AVERAGE('29.07 JinjaRoad-Kira Road'!J17,'30.07 Jinja Road-Kira Road'!J17,'31.07 Jinja Road-Kira Road'!J17,'2.08 Jinja road-Kira road'!J17,'1.08 Jinja Road-Kira Road-24h'!J17,'3.08 Jinja Road-KiraRoad-24h'!J17,'4.08.JINJA ROAD-KIIRA'!J17)</f>
        <v>0.5714285714285714</v>
      </c>
      <c r="K17" s="49">
        <f>AVERAGE('29.07 JinjaRoad-Kira Road'!K17,'30.07 Jinja Road-Kira Road'!K17,'31.07 Jinja Road-Kira Road'!K17,'2.08 Jinja road-Kira road'!K17,'1.08 Jinja Road-Kira Road-24h'!K17,'3.08 Jinja Road-KiraRoad-24h'!K17,'4.08.JINJA ROAD-KIIRA'!K17)</f>
        <v>0.5714285714285714</v>
      </c>
      <c r="L17" s="49">
        <f>AVERAGE('29.07 JinjaRoad-Kira Road'!L17,'30.07 Jinja Road-Kira Road'!L17,'31.07 Jinja Road-Kira Road'!L17,'2.08 Jinja road-Kira road'!L17,'1.08 Jinja Road-Kira Road-24h'!L17,'3.08 Jinja Road-KiraRoad-24h'!L17,'4.08.JINJA ROAD-KIIRA'!L17)</f>
        <v>0.2857142857142857</v>
      </c>
      <c r="M17" s="49">
        <f>AVERAGE('29.07 JinjaRoad-Kira Road'!M17,'30.07 Jinja Road-Kira Road'!M17,'31.07 Jinja Road-Kira Road'!M17,'2.08 Jinja road-Kira road'!M17,'1.08 Jinja Road-Kira Road-24h'!M17,'3.08 Jinja Road-KiraRoad-24h'!M17,'4.08.JINJA ROAD-KIIRA'!M17)</f>
        <v>158.28571428571428</v>
      </c>
      <c r="N17" s="49">
        <f>AVERAGE('29.07 JinjaRoad-Kira Road'!N17,'30.07 Jinja Road-Kira Road'!N17,'31.07 Jinja Road-Kira Road'!N17,'2.08 Jinja road-Kira road'!N17,'1.08 Jinja Road-Kira Road-24h'!N17,'3.08 Jinja Road-KiraRoad-24h'!N17,'4.08.JINJA ROAD-KIIRA'!N17)</f>
        <v>0</v>
      </c>
      <c r="O17" s="15">
        <f t="shared" si="0"/>
        <v>74.714285714285737</v>
      </c>
      <c r="P17" s="15">
        <f t="shared" si="1"/>
        <v>233</v>
      </c>
      <c r="R17" s="1" t="s">
        <v>13</v>
      </c>
      <c r="S17" s="17">
        <f t="shared" ref="S17:AF17" si="9">SUM(C38:C41)</f>
        <v>360.14285714285711</v>
      </c>
      <c r="T17" s="17">
        <f t="shared" si="9"/>
        <v>199.85714285714289</v>
      </c>
      <c r="U17" s="17">
        <f t="shared" si="9"/>
        <v>45.142857142857139</v>
      </c>
      <c r="V17" s="17">
        <f t="shared" si="9"/>
        <v>12.000000000000002</v>
      </c>
      <c r="W17" s="17">
        <f t="shared" si="9"/>
        <v>0.42857142857142855</v>
      </c>
      <c r="X17" s="17">
        <f t="shared" si="9"/>
        <v>0.2857142857142857</v>
      </c>
      <c r="Y17" s="17">
        <f t="shared" si="9"/>
        <v>8.7142857142857153</v>
      </c>
      <c r="Z17" s="17">
        <f t="shared" si="9"/>
        <v>5.4285714285714288</v>
      </c>
      <c r="AA17" s="17">
        <f t="shared" si="9"/>
        <v>1</v>
      </c>
      <c r="AB17" s="17">
        <f t="shared" si="9"/>
        <v>0.42857142857142855</v>
      </c>
      <c r="AC17" s="17">
        <f t="shared" si="9"/>
        <v>515.71428571428578</v>
      </c>
      <c r="AD17" s="17">
        <f t="shared" si="9"/>
        <v>0.14285714285714285</v>
      </c>
      <c r="AE17" s="31">
        <f t="shared" si="9"/>
        <v>633.57142857142856</v>
      </c>
      <c r="AF17" s="31">
        <f t="shared" si="9"/>
        <v>1149.2857142857142</v>
      </c>
    </row>
    <row r="18" spans="2:32" ht="23.1" customHeight="1" x14ac:dyDescent="0.25">
      <c r="B18" s="23" t="s">
        <v>45</v>
      </c>
      <c r="C18" s="49">
        <f>AVERAGE('29.07 JinjaRoad-Kira Road'!C18,'30.07 Jinja Road-Kira Road'!C18,'31.07 Jinja Road-Kira Road'!C18,'2.08 Jinja road-Kira road'!C18,'1.08 Jinja Road-Kira Road-24h'!C18,'3.08 Jinja Road-KiraRoad-24h'!C18,'4.08.JINJA ROAD-KIIRA'!C18)</f>
        <v>59.714285714285715</v>
      </c>
      <c r="D18" s="49">
        <f>AVERAGE('29.07 JinjaRoad-Kira Road'!D18,'30.07 Jinja Road-Kira Road'!D18,'31.07 Jinja Road-Kira Road'!D18,'2.08 Jinja road-Kira road'!D18,'1.08 Jinja Road-Kira Road-24h'!D18,'3.08 Jinja Road-KiraRoad-24h'!D18,'4.08.JINJA ROAD-KIIRA'!D18)</f>
        <v>30.571428571428573</v>
      </c>
      <c r="E18" s="49">
        <f>AVERAGE('29.07 JinjaRoad-Kira Road'!E18,'30.07 Jinja Road-Kira Road'!E18,'31.07 Jinja Road-Kira Road'!E18,'2.08 Jinja road-Kira road'!E18,'1.08 Jinja Road-Kira Road-24h'!E18,'3.08 Jinja Road-KiraRoad-24h'!E18,'4.08.JINJA ROAD-KIIRA'!E18)</f>
        <v>6.2857142857142856</v>
      </c>
      <c r="F18" s="49">
        <f>AVERAGE('29.07 JinjaRoad-Kira Road'!F18,'30.07 Jinja Road-Kira Road'!F18,'31.07 Jinja Road-Kira Road'!F18,'2.08 Jinja road-Kira road'!F18,'1.08 Jinja Road-Kira Road-24h'!F18,'3.08 Jinja Road-KiraRoad-24h'!F18,'4.08.JINJA ROAD-KIIRA'!F18)</f>
        <v>1.7142857142857142</v>
      </c>
      <c r="G18" s="49">
        <f>AVERAGE('29.07 JinjaRoad-Kira Road'!G18,'30.07 Jinja Road-Kira Road'!G18,'31.07 Jinja Road-Kira Road'!G18,'2.08 Jinja road-Kira road'!G18,'1.08 Jinja Road-Kira Road-24h'!G18,'3.08 Jinja Road-KiraRoad-24h'!G18,'4.08.JINJA ROAD-KIIRA'!G18)</f>
        <v>0.14285714285714285</v>
      </c>
      <c r="H18" s="49">
        <f>AVERAGE('29.07 JinjaRoad-Kira Road'!H18,'30.07 Jinja Road-Kira Road'!H18,'31.07 Jinja Road-Kira Road'!H18,'2.08 Jinja road-Kira road'!H18,'1.08 Jinja Road-Kira Road-24h'!H18,'3.08 Jinja Road-KiraRoad-24h'!H18,'4.08.JINJA ROAD-KIIRA'!H18)</f>
        <v>0</v>
      </c>
      <c r="I18" s="49">
        <f>AVERAGE('29.07 JinjaRoad-Kira Road'!I18,'30.07 Jinja Road-Kira Road'!I18,'31.07 Jinja Road-Kira Road'!I18,'2.08 Jinja road-Kira road'!I18,'1.08 Jinja Road-Kira Road-24h'!I18,'3.08 Jinja Road-KiraRoad-24h'!I18,'4.08.JINJA ROAD-KIIRA'!I18)</f>
        <v>2.7142857142857144</v>
      </c>
      <c r="J18" s="49">
        <f>AVERAGE('29.07 JinjaRoad-Kira Road'!J18,'30.07 Jinja Road-Kira Road'!J18,'31.07 Jinja Road-Kira Road'!J18,'2.08 Jinja road-Kira road'!J18,'1.08 Jinja Road-Kira Road-24h'!J18,'3.08 Jinja Road-KiraRoad-24h'!J18,'4.08.JINJA ROAD-KIIRA'!J18)</f>
        <v>1.1428571428571428</v>
      </c>
      <c r="K18" s="49">
        <f>AVERAGE('29.07 JinjaRoad-Kira Road'!K18,'30.07 Jinja Road-Kira Road'!K18,'31.07 Jinja Road-Kira Road'!K18,'2.08 Jinja road-Kira road'!K18,'1.08 Jinja Road-Kira Road-24h'!K18,'3.08 Jinja Road-KiraRoad-24h'!K18,'4.08.JINJA ROAD-KIIRA'!K18)</f>
        <v>0.2857142857142857</v>
      </c>
      <c r="L18" s="49">
        <f>AVERAGE('29.07 JinjaRoad-Kira Road'!L18,'30.07 Jinja Road-Kira Road'!L18,'31.07 Jinja Road-Kira Road'!L18,'2.08 Jinja road-Kira road'!L18,'1.08 Jinja Road-Kira Road-24h'!L18,'3.08 Jinja Road-KiraRoad-24h'!L18,'4.08.JINJA ROAD-KIIRA'!L18)</f>
        <v>0.2857142857142857</v>
      </c>
      <c r="M18" s="49">
        <f>AVERAGE('29.07 JinjaRoad-Kira Road'!M18,'30.07 Jinja Road-Kira Road'!M18,'31.07 Jinja Road-Kira Road'!M18,'2.08 Jinja road-Kira road'!M18,'1.08 Jinja Road-Kira Road-24h'!M18,'3.08 Jinja Road-KiraRoad-24h'!M18,'4.08.JINJA ROAD-KIIRA'!M18)</f>
        <v>129.85714285714286</v>
      </c>
      <c r="N18" s="49">
        <f>AVERAGE('29.07 JinjaRoad-Kira Road'!N18,'30.07 Jinja Road-Kira Road'!N18,'31.07 Jinja Road-Kira Road'!N18,'2.08 Jinja road-Kira road'!N18,'1.08 Jinja Road-Kira Road-24h'!N18,'3.08 Jinja Road-KiraRoad-24h'!N18,'4.08.JINJA ROAD-KIIRA'!N18)</f>
        <v>0</v>
      </c>
      <c r="O18" s="15">
        <f t="shared" si="0"/>
        <v>102.85714285714286</v>
      </c>
      <c r="P18" s="15">
        <f t="shared" si="1"/>
        <v>232.71428571428572</v>
      </c>
      <c r="R18" s="1" t="s">
        <v>14</v>
      </c>
      <c r="S18" s="17">
        <f t="shared" ref="S18:AF18" si="10">SUM(C42:C45)</f>
        <v>353.57142857142856</v>
      </c>
      <c r="T18" s="17">
        <f t="shared" si="10"/>
        <v>197.28571428571431</v>
      </c>
      <c r="U18" s="17">
        <f t="shared" si="10"/>
        <v>39.428571428571431</v>
      </c>
      <c r="V18" s="17">
        <f t="shared" si="10"/>
        <v>12.857142857142858</v>
      </c>
      <c r="W18" s="17">
        <f t="shared" si="10"/>
        <v>0.5714285714285714</v>
      </c>
      <c r="X18" s="17">
        <f t="shared" si="10"/>
        <v>0.42857142857142855</v>
      </c>
      <c r="Y18" s="17">
        <f t="shared" si="10"/>
        <v>8.2857142857142847</v>
      </c>
      <c r="Z18" s="17">
        <f t="shared" si="10"/>
        <v>5.8571428571428577</v>
      </c>
      <c r="AA18" s="17">
        <f t="shared" si="10"/>
        <v>2.2857142857142856</v>
      </c>
      <c r="AB18" s="17">
        <f t="shared" si="10"/>
        <v>1.2857142857142856</v>
      </c>
      <c r="AC18" s="17">
        <f t="shared" si="10"/>
        <v>572.42857142857144</v>
      </c>
      <c r="AD18" s="17">
        <f t="shared" si="10"/>
        <v>0</v>
      </c>
      <c r="AE18" s="31">
        <f t="shared" si="10"/>
        <v>621.85714285714278</v>
      </c>
      <c r="AF18" s="31">
        <f t="shared" si="10"/>
        <v>1194.2857142857142</v>
      </c>
    </row>
    <row r="19" spans="2:32" ht="23.1" customHeight="1" x14ac:dyDescent="0.25">
      <c r="B19" s="23" t="s">
        <v>46</v>
      </c>
      <c r="C19" s="49">
        <f>AVERAGE('29.07 JinjaRoad-Kira Road'!C19,'30.07 Jinja Road-Kira Road'!C19,'31.07 Jinja Road-Kira Road'!C19,'2.08 Jinja road-Kira road'!C19,'1.08 Jinja Road-Kira Road-24h'!C19,'3.08 Jinja Road-KiraRoad-24h'!C19,'4.08.JINJA ROAD-KIIRA'!C19)</f>
        <v>48.571428571428569</v>
      </c>
      <c r="D19" s="49">
        <f>AVERAGE('29.07 JinjaRoad-Kira Road'!D19,'30.07 Jinja Road-Kira Road'!D19,'31.07 Jinja Road-Kira Road'!D19,'2.08 Jinja road-Kira road'!D19,'1.08 Jinja Road-Kira Road-24h'!D19,'3.08 Jinja Road-KiraRoad-24h'!D19,'4.08.JINJA ROAD-KIIRA'!D19)</f>
        <v>25.857142857142858</v>
      </c>
      <c r="E19" s="49">
        <f>AVERAGE('29.07 JinjaRoad-Kira Road'!E19,'30.07 Jinja Road-Kira Road'!E19,'31.07 Jinja Road-Kira Road'!E19,'2.08 Jinja road-Kira road'!E19,'1.08 Jinja Road-Kira Road-24h'!E19,'3.08 Jinja Road-KiraRoad-24h'!E19,'4.08.JINJA ROAD-KIIRA'!E19)</f>
        <v>6.7142857142857144</v>
      </c>
      <c r="F19" s="49">
        <f>AVERAGE('29.07 JinjaRoad-Kira Road'!F19,'30.07 Jinja Road-Kira Road'!F19,'31.07 Jinja Road-Kira Road'!F19,'2.08 Jinja road-Kira road'!F19,'1.08 Jinja Road-Kira Road-24h'!F19,'3.08 Jinja Road-KiraRoad-24h'!F19,'4.08.JINJA ROAD-KIIRA'!F19)</f>
        <v>2.1428571428571428</v>
      </c>
      <c r="G19" s="49">
        <f>AVERAGE('29.07 JinjaRoad-Kira Road'!G19,'30.07 Jinja Road-Kira Road'!G19,'31.07 Jinja Road-Kira Road'!G19,'2.08 Jinja road-Kira road'!G19,'1.08 Jinja Road-Kira Road-24h'!G19,'3.08 Jinja Road-KiraRoad-24h'!G19,'4.08.JINJA ROAD-KIIRA'!G19)</f>
        <v>0.2857142857142857</v>
      </c>
      <c r="H19" s="49">
        <f>AVERAGE('29.07 JinjaRoad-Kira Road'!H19,'30.07 Jinja Road-Kira Road'!H19,'31.07 Jinja Road-Kira Road'!H19,'2.08 Jinja road-Kira road'!H19,'1.08 Jinja Road-Kira Road-24h'!H19,'3.08 Jinja Road-KiraRoad-24h'!H19,'4.08.JINJA ROAD-KIIRA'!H19)</f>
        <v>0</v>
      </c>
      <c r="I19" s="49">
        <f>AVERAGE('29.07 JinjaRoad-Kira Road'!I19,'30.07 Jinja Road-Kira Road'!I19,'31.07 Jinja Road-Kira Road'!I19,'2.08 Jinja road-Kira road'!I19,'1.08 Jinja Road-Kira Road-24h'!I19,'3.08 Jinja Road-KiraRoad-24h'!I19,'4.08.JINJA ROAD-KIIRA'!I19)</f>
        <v>3</v>
      </c>
      <c r="J19" s="49">
        <f>AVERAGE('29.07 JinjaRoad-Kira Road'!J19,'30.07 Jinja Road-Kira Road'!J19,'31.07 Jinja Road-Kira Road'!J19,'2.08 Jinja road-Kira road'!J19,'1.08 Jinja Road-Kira Road-24h'!J19,'3.08 Jinja Road-KiraRoad-24h'!J19,'4.08.JINJA ROAD-KIIRA'!J19)</f>
        <v>2.1428571428571428</v>
      </c>
      <c r="K19" s="49">
        <f>AVERAGE('29.07 JinjaRoad-Kira Road'!K19,'30.07 Jinja Road-Kira Road'!K19,'31.07 Jinja Road-Kira Road'!K19,'2.08 Jinja road-Kira road'!K19,'1.08 Jinja Road-Kira Road-24h'!K19,'3.08 Jinja Road-KiraRoad-24h'!K19,'4.08.JINJA ROAD-KIIRA'!K19)</f>
        <v>0.5714285714285714</v>
      </c>
      <c r="L19" s="49">
        <f>AVERAGE('29.07 JinjaRoad-Kira Road'!L19,'30.07 Jinja Road-Kira Road'!L19,'31.07 Jinja Road-Kira Road'!L19,'2.08 Jinja road-Kira road'!L19,'1.08 Jinja Road-Kira Road-24h'!L19,'3.08 Jinja Road-KiraRoad-24h'!L19,'4.08.JINJA ROAD-KIIRA'!L19)</f>
        <v>0</v>
      </c>
      <c r="M19" s="49">
        <f>AVERAGE('29.07 JinjaRoad-Kira Road'!M19,'30.07 Jinja Road-Kira Road'!M19,'31.07 Jinja Road-Kira Road'!M19,'2.08 Jinja road-Kira road'!M19,'1.08 Jinja Road-Kira Road-24h'!M19,'3.08 Jinja Road-KiraRoad-24h'!M19,'4.08.JINJA ROAD-KIIRA'!M19)</f>
        <v>140.57142857142858</v>
      </c>
      <c r="N19" s="49">
        <f>AVERAGE('29.07 JinjaRoad-Kira Road'!N19,'30.07 Jinja Road-Kira Road'!N19,'31.07 Jinja Road-Kira Road'!N19,'2.08 Jinja road-Kira road'!N19,'1.08 Jinja Road-Kira Road-24h'!N19,'3.08 Jinja Road-KiraRoad-24h'!N19,'4.08.JINJA ROAD-KIIRA'!N19)</f>
        <v>0.14285714285714285</v>
      </c>
      <c r="O19" s="15">
        <f t="shared" si="0"/>
        <v>89.428571428571416</v>
      </c>
      <c r="P19" s="15">
        <f t="shared" si="1"/>
        <v>230</v>
      </c>
      <c r="R19" s="1" t="s">
        <v>15</v>
      </c>
      <c r="S19" s="17">
        <f t="shared" ref="S19:AF19" si="11">SUM(C46:C49)</f>
        <v>359.42857142857144</v>
      </c>
      <c r="T19" s="17">
        <f t="shared" si="11"/>
        <v>205.14285714285714</v>
      </c>
      <c r="U19" s="17">
        <f t="shared" si="11"/>
        <v>56.571428571428569</v>
      </c>
      <c r="V19" s="17">
        <f t="shared" si="11"/>
        <v>18.428571428571427</v>
      </c>
      <c r="W19" s="17">
        <f t="shared" si="11"/>
        <v>0.5714285714285714</v>
      </c>
      <c r="X19" s="17">
        <f t="shared" si="11"/>
        <v>0</v>
      </c>
      <c r="Y19" s="17">
        <f t="shared" si="11"/>
        <v>8.2857142857142865</v>
      </c>
      <c r="Z19" s="17">
        <f t="shared" si="11"/>
        <v>4.7142857142857144</v>
      </c>
      <c r="AA19" s="17">
        <f t="shared" si="11"/>
        <v>0.71428571428571419</v>
      </c>
      <c r="AB19" s="17">
        <f t="shared" si="11"/>
        <v>1.1428571428571428</v>
      </c>
      <c r="AC19" s="17">
        <f t="shared" si="11"/>
        <v>612.71428571428567</v>
      </c>
      <c r="AD19" s="17">
        <f t="shared" si="11"/>
        <v>0</v>
      </c>
      <c r="AE19" s="31">
        <f t="shared" si="11"/>
        <v>655</v>
      </c>
      <c r="AF19" s="31">
        <f t="shared" si="11"/>
        <v>1267.7142857142858</v>
      </c>
    </row>
    <row r="20" spans="2:32" ht="23.1" customHeight="1" x14ac:dyDescent="0.25">
      <c r="B20" s="23" t="s">
        <v>47</v>
      </c>
      <c r="C20" s="49">
        <f>AVERAGE('29.07 JinjaRoad-Kira Road'!C20,'30.07 Jinja Road-Kira Road'!C20,'31.07 Jinja Road-Kira Road'!C20,'2.08 Jinja road-Kira road'!C20,'1.08 Jinja Road-Kira Road-24h'!C20,'3.08 Jinja Road-KiraRoad-24h'!C20,'4.08.JINJA ROAD-KIIRA'!C20)</f>
        <v>59.857142857142854</v>
      </c>
      <c r="D20" s="49">
        <f>AVERAGE('29.07 JinjaRoad-Kira Road'!D20,'30.07 Jinja Road-Kira Road'!D20,'31.07 Jinja Road-Kira Road'!D20,'2.08 Jinja road-Kira road'!D20,'1.08 Jinja Road-Kira Road-24h'!D20,'3.08 Jinja Road-KiraRoad-24h'!D20,'4.08.JINJA ROAD-KIIRA'!D20)</f>
        <v>44.428571428571431</v>
      </c>
      <c r="E20" s="49">
        <f>AVERAGE('29.07 JinjaRoad-Kira Road'!E20,'30.07 Jinja Road-Kira Road'!E20,'31.07 Jinja Road-Kira Road'!E20,'2.08 Jinja road-Kira road'!E20,'1.08 Jinja Road-Kira Road-24h'!E20,'3.08 Jinja Road-KiraRoad-24h'!E20,'4.08.JINJA ROAD-KIIRA'!E20)</f>
        <v>9</v>
      </c>
      <c r="F20" s="49">
        <f>AVERAGE('29.07 JinjaRoad-Kira Road'!F20,'30.07 Jinja Road-Kira Road'!F20,'31.07 Jinja Road-Kira Road'!F20,'2.08 Jinja road-Kira road'!F20,'1.08 Jinja Road-Kira Road-24h'!F20,'3.08 Jinja Road-KiraRoad-24h'!F20,'4.08.JINJA ROAD-KIIRA'!F20)</f>
        <v>4</v>
      </c>
      <c r="G20" s="49">
        <f>AVERAGE('29.07 JinjaRoad-Kira Road'!G20,'30.07 Jinja Road-Kira Road'!G20,'31.07 Jinja Road-Kira Road'!G20,'2.08 Jinja road-Kira road'!G20,'1.08 Jinja Road-Kira Road-24h'!G20,'3.08 Jinja Road-KiraRoad-24h'!G20,'4.08.JINJA ROAD-KIIRA'!G20)</f>
        <v>0.42857142857142855</v>
      </c>
      <c r="H20" s="49">
        <f>AVERAGE('29.07 JinjaRoad-Kira Road'!H20,'30.07 Jinja Road-Kira Road'!H20,'31.07 Jinja Road-Kira Road'!H20,'2.08 Jinja road-Kira road'!H20,'1.08 Jinja Road-Kira Road-24h'!H20,'3.08 Jinja Road-KiraRoad-24h'!H20,'4.08.JINJA ROAD-KIIRA'!H20)</f>
        <v>0</v>
      </c>
      <c r="I20" s="49">
        <f>AVERAGE('29.07 JinjaRoad-Kira Road'!I20,'30.07 Jinja Road-Kira Road'!I20,'31.07 Jinja Road-Kira Road'!I20,'2.08 Jinja road-Kira road'!I20,'1.08 Jinja Road-Kira Road-24h'!I20,'3.08 Jinja Road-KiraRoad-24h'!I20,'4.08.JINJA ROAD-KIIRA'!I20)</f>
        <v>4.1428571428571432</v>
      </c>
      <c r="J20" s="49">
        <f>AVERAGE('29.07 JinjaRoad-Kira Road'!J20,'30.07 Jinja Road-Kira Road'!J20,'31.07 Jinja Road-Kira Road'!J20,'2.08 Jinja road-Kira road'!J20,'1.08 Jinja Road-Kira Road-24h'!J20,'3.08 Jinja Road-KiraRoad-24h'!J20,'4.08.JINJA ROAD-KIIRA'!J20)</f>
        <v>0.8571428571428571</v>
      </c>
      <c r="K20" s="49">
        <f>AVERAGE('29.07 JinjaRoad-Kira Road'!K20,'30.07 Jinja Road-Kira Road'!K20,'31.07 Jinja Road-Kira Road'!K20,'2.08 Jinja road-Kira road'!K20,'1.08 Jinja Road-Kira Road-24h'!K20,'3.08 Jinja Road-KiraRoad-24h'!K20,'4.08.JINJA ROAD-KIIRA'!K20)</f>
        <v>0.2857142857142857</v>
      </c>
      <c r="L20" s="49">
        <f>AVERAGE('29.07 JinjaRoad-Kira Road'!L20,'30.07 Jinja Road-Kira Road'!L20,'31.07 Jinja Road-Kira Road'!L20,'2.08 Jinja road-Kira road'!L20,'1.08 Jinja Road-Kira Road-24h'!L20,'3.08 Jinja Road-KiraRoad-24h'!L20,'4.08.JINJA ROAD-KIIRA'!L20)</f>
        <v>0.14285714285714285</v>
      </c>
      <c r="M20" s="49">
        <f>AVERAGE('29.07 JinjaRoad-Kira Road'!M20,'30.07 Jinja Road-Kira Road'!M20,'31.07 Jinja Road-Kira Road'!M20,'2.08 Jinja road-Kira road'!M20,'1.08 Jinja Road-Kira Road-24h'!M20,'3.08 Jinja Road-KiraRoad-24h'!M20,'4.08.JINJA ROAD-KIIRA'!M20)</f>
        <v>129.85714285714286</v>
      </c>
      <c r="N20" s="49">
        <f>AVERAGE('29.07 JinjaRoad-Kira Road'!N20,'30.07 Jinja Road-Kira Road'!N20,'31.07 Jinja Road-Kira Road'!N20,'2.08 Jinja road-Kira road'!N20,'1.08 Jinja Road-Kira Road-24h'!N20,'3.08 Jinja Road-KiraRoad-24h'!N20,'4.08.JINJA ROAD-KIIRA'!N20)</f>
        <v>0</v>
      </c>
      <c r="O20" s="15">
        <f t="shared" si="0"/>
        <v>123.14285714285714</v>
      </c>
      <c r="P20" s="15">
        <f t="shared" si="1"/>
        <v>253</v>
      </c>
      <c r="R20" s="1" t="s">
        <v>16</v>
      </c>
      <c r="S20" s="17">
        <f t="shared" ref="S20:AF20" si="12">SUM(C50:C53)</f>
        <v>425</v>
      </c>
      <c r="T20" s="17">
        <f t="shared" si="12"/>
        <v>214.28571428571428</v>
      </c>
      <c r="U20" s="17">
        <f t="shared" si="12"/>
        <v>52.857142857142854</v>
      </c>
      <c r="V20" s="17">
        <f t="shared" si="12"/>
        <v>12.571428571428571</v>
      </c>
      <c r="W20" s="17">
        <f t="shared" si="12"/>
        <v>2</v>
      </c>
      <c r="X20" s="17">
        <f t="shared" si="12"/>
        <v>0.14285714285714285</v>
      </c>
      <c r="Y20" s="17">
        <f t="shared" si="12"/>
        <v>7.4285714285714279</v>
      </c>
      <c r="Z20" s="17">
        <f t="shared" si="12"/>
        <v>4.7142857142857135</v>
      </c>
      <c r="AA20" s="17">
        <f t="shared" si="12"/>
        <v>1.4285714285714286</v>
      </c>
      <c r="AB20" s="17">
        <f t="shared" si="12"/>
        <v>0.8571428571428571</v>
      </c>
      <c r="AC20" s="17">
        <f t="shared" si="12"/>
        <v>624.42857142857144</v>
      </c>
      <c r="AD20" s="17">
        <f t="shared" si="12"/>
        <v>0</v>
      </c>
      <c r="AE20" s="31">
        <f t="shared" si="12"/>
        <v>721.28571428571422</v>
      </c>
      <c r="AF20" s="31">
        <f t="shared" si="12"/>
        <v>1345.7142857142858</v>
      </c>
    </row>
    <row r="21" spans="2:32" ht="23.1" customHeight="1" x14ac:dyDescent="0.25">
      <c r="B21" s="23" t="s">
        <v>48</v>
      </c>
      <c r="C21" s="49">
        <f>AVERAGE('29.07 JinjaRoad-Kira Road'!C21,'30.07 Jinja Road-Kira Road'!C21,'31.07 Jinja Road-Kira Road'!C21,'2.08 Jinja road-Kira road'!C21,'1.08 Jinja Road-Kira Road-24h'!C21,'3.08 Jinja Road-KiraRoad-24h'!C21,'4.08.JINJA ROAD-KIIRA'!C21)</f>
        <v>62.571428571428569</v>
      </c>
      <c r="D21" s="49">
        <f>AVERAGE('29.07 JinjaRoad-Kira Road'!D21,'30.07 Jinja Road-Kira Road'!D21,'31.07 Jinja Road-Kira Road'!D21,'2.08 Jinja road-Kira road'!D21,'1.08 Jinja Road-Kira Road-24h'!D21,'3.08 Jinja Road-KiraRoad-24h'!D21,'4.08.JINJA ROAD-KIIRA'!D21)</f>
        <v>32.285714285714285</v>
      </c>
      <c r="E21" s="49">
        <f>AVERAGE('29.07 JinjaRoad-Kira Road'!E21,'30.07 Jinja Road-Kira Road'!E21,'31.07 Jinja Road-Kira Road'!E21,'2.08 Jinja road-Kira road'!E21,'1.08 Jinja Road-Kira Road-24h'!E21,'3.08 Jinja Road-KiraRoad-24h'!E21,'4.08.JINJA ROAD-KIIRA'!E21)</f>
        <v>8.8571428571428577</v>
      </c>
      <c r="F21" s="49">
        <f>AVERAGE('29.07 JinjaRoad-Kira Road'!F21,'30.07 Jinja Road-Kira Road'!F21,'31.07 Jinja Road-Kira Road'!F21,'2.08 Jinja road-Kira road'!F21,'1.08 Jinja Road-Kira Road-24h'!F21,'3.08 Jinja Road-KiraRoad-24h'!F21,'4.08.JINJA ROAD-KIIRA'!F21)</f>
        <v>2.7142857142857144</v>
      </c>
      <c r="G21" s="49">
        <f>AVERAGE('29.07 JinjaRoad-Kira Road'!G21,'30.07 Jinja Road-Kira Road'!G21,'31.07 Jinja Road-Kira Road'!G21,'2.08 Jinja road-Kira road'!G21,'1.08 Jinja Road-Kira Road-24h'!G21,'3.08 Jinja Road-KiraRoad-24h'!G21,'4.08.JINJA ROAD-KIIRA'!G21)</f>
        <v>0.2857142857142857</v>
      </c>
      <c r="H21" s="49">
        <f>AVERAGE('29.07 JinjaRoad-Kira Road'!H21,'30.07 Jinja Road-Kira Road'!H21,'31.07 Jinja Road-Kira Road'!H21,'2.08 Jinja road-Kira road'!H21,'1.08 Jinja Road-Kira Road-24h'!H21,'3.08 Jinja Road-KiraRoad-24h'!H21,'4.08.JINJA ROAD-KIIRA'!H21)</f>
        <v>0.7142857142857143</v>
      </c>
      <c r="I21" s="49">
        <f>AVERAGE('29.07 JinjaRoad-Kira Road'!I21,'30.07 Jinja Road-Kira Road'!I21,'31.07 Jinja Road-Kira Road'!I21,'2.08 Jinja road-Kira road'!I21,'1.08 Jinja Road-Kira Road-24h'!I21,'3.08 Jinja Road-KiraRoad-24h'!I21,'4.08.JINJA ROAD-KIIRA'!I21)</f>
        <v>4</v>
      </c>
      <c r="J21" s="49">
        <f>AVERAGE('29.07 JinjaRoad-Kira Road'!J21,'30.07 Jinja Road-Kira Road'!J21,'31.07 Jinja Road-Kira Road'!J21,'2.08 Jinja road-Kira road'!J21,'1.08 Jinja Road-Kira Road-24h'!J21,'3.08 Jinja Road-KiraRoad-24h'!J21,'4.08.JINJA ROAD-KIIRA'!J21)</f>
        <v>1.8571428571428572</v>
      </c>
      <c r="K21" s="49">
        <f>AVERAGE('29.07 JinjaRoad-Kira Road'!K21,'30.07 Jinja Road-Kira Road'!K21,'31.07 Jinja Road-Kira Road'!K21,'2.08 Jinja road-Kira road'!K21,'1.08 Jinja Road-Kira Road-24h'!K21,'3.08 Jinja Road-KiraRoad-24h'!K21,'4.08.JINJA ROAD-KIIRA'!K21)</f>
        <v>0.42857142857142855</v>
      </c>
      <c r="L21" s="49">
        <f>AVERAGE('29.07 JinjaRoad-Kira Road'!L21,'30.07 Jinja Road-Kira Road'!L21,'31.07 Jinja Road-Kira Road'!L21,'2.08 Jinja road-Kira road'!L21,'1.08 Jinja Road-Kira Road-24h'!L21,'3.08 Jinja Road-KiraRoad-24h'!L21,'4.08.JINJA ROAD-KIIRA'!L21)</f>
        <v>0.42857142857142855</v>
      </c>
      <c r="M21" s="49">
        <f>AVERAGE('29.07 JinjaRoad-Kira Road'!M21,'30.07 Jinja Road-Kira Road'!M21,'31.07 Jinja Road-Kira Road'!M21,'2.08 Jinja road-Kira road'!M21,'1.08 Jinja Road-Kira Road-24h'!M21,'3.08 Jinja Road-KiraRoad-24h'!M21,'4.08.JINJA ROAD-KIIRA'!M21)</f>
        <v>154.57142857142858</v>
      </c>
      <c r="N21" s="49">
        <f>AVERAGE('29.07 JinjaRoad-Kira Road'!N21,'30.07 Jinja Road-Kira Road'!N21,'31.07 Jinja Road-Kira Road'!N21,'2.08 Jinja road-Kira road'!N21,'1.08 Jinja Road-Kira Road-24h'!N21,'3.08 Jinja Road-KiraRoad-24h'!N21,'4.08.JINJA ROAD-KIIRA'!N21)</f>
        <v>0</v>
      </c>
      <c r="O21" s="15">
        <f t="shared" si="0"/>
        <v>114.14285714285715</v>
      </c>
      <c r="P21" s="15">
        <f t="shared" si="1"/>
        <v>268.71428571428572</v>
      </c>
      <c r="R21" s="36" t="s">
        <v>20</v>
      </c>
      <c r="S21" s="34">
        <f t="shared" ref="S21:AF21" si="13">SUM(C54:C57)</f>
        <v>406.28571428571428</v>
      </c>
      <c r="T21" s="17">
        <f t="shared" si="13"/>
        <v>216.42857142857144</v>
      </c>
      <c r="U21" s="17">
        <f t="shared" si="13"/>
        <v>50.142857142857139</v>
      </c>
      <c r="V21" s="17">
        <f t="shared" si="13"/>
        <v>21.428571428571431</v>
      </c>
      <c r="W21" s="17">
        <f t="shared" si="13"/>
        <v>2.1428571428571428</v>
      </c>
      <c r="X21" s="17">
        <f t="shared" si="13"/>
        <v>0.2857142857142857</v>
      </c>
      <c r="Y21" s="17">
        <f t="shared" si="13"/>
        <v>9.7142857142857135</v>
      </c>
      <c r="Z21" s="17">
        <f t="shared" si="13"/>
        <v>3.5714285714285712</v>
      </c>
      <c r="AA21" s="17">
        <f t="shared" si="13"/>
        <v>1.1428571428571428</v>
      </c>
      <c r="AB21" s="17">
        <f t="shared" si="13"/>
        <v>1.4285714285714286</v>
      </c>
      <c r="AC21" s="17">
        <f t="shared" si="13"/>
        <v>546.42857142857144</v>
      </c>
      <c r="AD21" s="17">
        <f t="shared" si="13"/>
        <v>0</v>
      </c>
      <c r="AE21" s="31">
        <f t="shared" si="13"/>
        <v>712.57142857142856</v>
      </c>
      <c r="AF21" s="31">
        <f t="shared" si="13"/>
        <v>1259</v>
      </c>
    </row>
    <row r="22" spans="2:32" ht="23.1" customHeight="1" x14ac:dyDescent="0.25">
      <c r="B22" s="23" t="s">
        <v>49</v>
      </c>
      <c r="C22" s="49">
        <f>AVERAGE('29.07 JinjaRoad-Kira Road'!C22,'30.07 Jinja Road-Kira Road'!C22,'31.07 Jinja Road-Kira Road'!C22,'2.08 Jinja road-Kira road'!C22,'1.08 Jinja Road-Kira Road-24h'!C22,'3.08 Jinja Road-KiraRoad-24h'!C22,'4.08.JINJA ROAD-KIIRA'!C22)</f>
        <v>65.714285714285708</v>
      </c>
      <c r="D22" s="49">
        <f>AVERAGE('29.07 JinjaRoad-Kira Road'!D22,'30.07 Jinja Road-Kira Road'!D22,'31.07 Jinja Road-Kira Road'!D22,'2.08 Jinja road-Kira road'!D22,'1.08 Jinja Road-Kira Road-24h'!D22,'3.08 Jinja Road-KiraRoad-24h'!D22,'4.08.JINJA ROAD-KIIRA'!D22)</f>
        <v>40</v>
      </c>
      <c r="E22" s="49">
        <f>AVERAGE('29.07 JinjaRoad-Kira Road'!E22,'30.07 Jinja Road-Kira Road'!E22,'31.07 Jinja Road-Kira Road'!E22,'2.08 Jinja road-Kira road'!E22,'1.08 Jinja Road-Kira Road-24h'!E22,'3.08 Jinja Road-KiraRoad-24h'!E22,'4.08.JINJA ROAD-KIIRA'!E22)</f>
        <v>14.571428571428571</v>
      </c>
      <c r="F22" s="49">
        <f>AVERAGE('29.07 JinjaRoad-Kira Road'!F22,'30.07 Jinja Road-Kira Road'!F22,'31.07 Jinja Road-Kira Road'!F22,'2.08 Jinja road-Kira road'!F22,'1.08 Jinja Road-Kira Road-24h'!F22,'3.08 Jinja Road-KiraRoad-24h'!F22,'4.08.JINJA ROAD-KIIRA'!F22)</f>
        <v>4.5714285714285712</v>
      </c>
      <c r="G22" s="49">
        <f>AVERAGE('29.07 JinjaRoad-Kira Road'!G22,'30.07 Jinja Road-Kira Road'!G22,'31.07 Jinja Road-Kira Road'!G22,'2.08 Jinja road-Kira road'!G22,'1.08 Jinja Road-Kira Road-24h'!G22,'3.08 Jinja Road-KiraRoad-24h'!G22,'4.08.JINJA ROAD-KIIRA'!G22)</f>
        <v>0.2857142857142857</v>
      </c>
      <c r="H22" s="49">
        <f>AVERAGE('29.07 JinjaRoad-Kira Road'!H22,'30.07 Jinja Road-Kira Road'!H22,'31.07 Jinja Road-Kira Road'!H22,'2.08 Jinja road-Kira road'!H22,'1.08 Jinja Road-Kira Road-24h'!H22,'3.08 Jinja Road-KiraRoad-24h'!H22,'4.08.JINJA ROAD-KIIRA'!H22)</f>
        <v>0</v>
      </c>
      <c r="I22" s="49">
        <f>AVERAGE('29.07 JinjaRoad-Kira Road'!I22,'30.07 Jinja Road-Kira Road'!I22,'31.07 Jinja Road-Kira Road'!I22,'2.08 Jinja road-Kira road'!I22,'1.08 Jinja Road-Kira Road-24h'!I22,'3.08 Jinja Road-KiraRoad-24h'!I22,'4.08.JINJA ROAD-KIIRA'!I22)</f>
        <v>3</v>
      </c>
      <c r="J22" s="49">
        <f>AVERAGE('29.07 JinjaRoad-Kira Road'!J22,'30.07 Jinja Road-Kira Road'!J22,'31.07 Jinja Road-Kira Road'!J22,'2.08 Jinja road-Kira road'!J22,'1.08 Jinja Road-Kira Road-24h'!J22,'3.08 Jinja Road-KiraRoad-24h'!J22,'4.08.JINJA ROAD-KIIRA'!J22)</f>
        <v>1.2857142857142858</v>
      </c>
      <c r="K22" s="49">
        <f>AVERAGE('29.07 JinjaRoad-Kira Road'!K22,'30.07 Jinja Road-Kira Road'!K22,'31.07 Jinja Road-Kira Road'!K22,'2.08 Jinja road-Kira road'!K22,'1.08 Jinja Road-Kira Road-24h'!K22,'3.08 Jinja Road-KiraRoad-24h'!K22,'4.08.JINJA ROAD-KIIRA'!K22)</f>
        <v>0.42857142857142855</v>
      </c>
      <c r="L22" s="49">
        <f>AVERAGE('29.07 JinjaRoad-Kira Road'!L22,'30.07 Jinja Road-Kira Road'!L22,'31.07 Jinja Road-Kira Road'!L22,'2.08 Jinja road-Kira road'!L22,'1.08 Jinja Road-Kira Road-24h'!L22,'3.08 Jinja Road-KiraRoad-24h'!L22,'4.08.JINJA ROAD-KIIRA'!L22)</f>
        <v>0.14285714285714285</v>
      </c>
      <c r="M22" s="49">
        <f>AVERAGE('29.07 JinjaRoad-Kira Road'!M22,'30.07 Jinja Road-Kira Road'!M22,'31.07 Jinja Road-Kira Road'!M22,'2.08 Jinja road-Kira road'!M22,'1.08 Jinja Road-Kira Road-24h'!M22,'3.08 Jinja Road-KiraRoad-24h'!M22,'4.08.JINJA ROAD-KIIRA'!M22)</f>
        <v>119.14285714285714</v>
      </c>
      <c r="N22" s="49">
        <f>AVERAGE('29.07 JinjaRoad-Kira Road'!N22,'30.07 Jinja Road-Kira Road'!N22,'31.07 Jinja Road-Kira Road'!N22,'2.08 Jinja road-Kira road'!N22,'1.08 Jinja Road-Kira Road-24h'!N22,'3.08 Jinja Road-KiraRoad-24h'!N22,'4.08.JINJA ROAD-KIIRA'!N22)</f>
        <v>0</v>
      </c>
      <c r="O22" s="15">
        <f t="shared" si="0"/>
        <v>129.99999999999997</v>
      </c>
      <c r="P22" s="15">
        <f t="shared" si="1"/>
        <v>249.14285714285711</v>
      </c>
      <c r="R22" s="1" t="s">
        <v>146</v>
      </c>
      <c r="S22" s="34">
        <f>SUM(C58:C61)</f>
        <v>269.5</v>
      </c>
      <c r="T22" s="34">
        <f t="shared" ref="T22:AF22" si="14">SUM(D58:D61)</f>
        <v>114</v>
      </c>
      <c r="U22" s="34">
        <f t="shared" si="14"/>
        <v>24</v>
      </c>
      <c r="V22" s="34">
        <f t="shared" si="14"/>
        <v>3.5</v>
      </c>
      <c r="W22" s="34">
        <f t="shared" si="14"/>
        <v>0</v>
      </c>
      <c r="X22" s="34">
        <f t="shared" si="14"/>
        <v>0</v>
      </c>
      <c r="Y22" s="34">
        <f t="shared" si="14"/>
        <v>2.5</v>
      </c>
      <c r="Z22" s="34">
        <f t="shared" si="14"/>
        <v>2</v>
      </c>
      <c r="AA22" s="34">
        <f t="shared" si="14"/>
        <v>1</v>
      </c>
      <c r="AB22" s="34">
        <f t="shared" si="14"/>
        <v>0</v>
      </c>
      <c r="AC22" s="34">
        <f t="shared" si="14"/>
        <v>540</v>
      </c>
      <c r="AD22" s="34">
        <f t="shared" si="14"/>
        <v>0</v>
      </c>
      <c r="AE22" s="31">
        <f t="shared" si="14"/>
        <v>416.5</v>
      </c>
      <c r="AF22" s="31">
        <f t="shared" si="14"/>
        <v>956.5</v>
      </c>
    </row>
    <row r="23" spans="2:32" ht="23.1" customHeight="1" x14ac:dyDescent="0.25">
      <c r="B23" s="23" t="s">
        <v>50</v>
      </c>
      <c r="C23" s="49">
        <f>AVERAGE('29.07 JinjaRoad-Kira Road'!C23,'30.07 Jinja Road-Kira Road'!C23,'31.07 Jinja Road-Kira Road'!C23,'2.08 Jinja road-Kira road'!C23,'1.08 Jinja Road-Kira Road-24h'!C23,'3.08 Jinja Road-KiraRoad-24h'!C23,'4.08.JINJA ROAD-KIIRA'!C23)</f>
        <v>71.571428571428569</v>
      </c>
      <c r="D23" s="49">
        <f>AVERAGE('29.07 JinjaRoad-Kira Road'!D23,'30.07 Jinja Road-Kira Road'!D23,'31.07 Jinja Road-Kira Road'!D23,'2.08 Jinja road-Kira road'!D23,'1.08 Jinja Road-Kira Road-24h'!D23,'3.08 Jinja Road-KiraRoad-24h'!D23,'4.08.JINJA ROAD-KIIRA'!D23)</f>
        <v>30.428571428571427</v>
      </c>
      <c r="E23" s="49">
        <f>AVERAGE('29.07 JinjaRoad-Kira Road'!E23,'30.07 Jinja Road-Kira Road'!E23,'31.07 Jinja Road-Kira Road'!E23,'2.08 Jinja road-Kira road'!E23,'1.08 Jinja Road-Kira Road-24h'!E23,'3.08 Jinja Road-KiraRoad-24h'!E23,'4.08.JINJA ROAD-KIIRA'!E23)</f>
        <v>7</v>
      </c>
      <c r="F23" s="49">
        <f>AVERAGE('29.07 JinjaRoad-Kira Road'!F23,'30.07 Jinja Road-Kira Road'!F23,'31.07 Jinja Road-Kira Road'!F23,'2.08 Jinja road-Kira road'!F23,'1.08 Jinja Road-Kira Road-24h'!F23,'3.08 Jinja Road-KiraRoad-24h'!F23,'4.08.JINJA ROAD-KIIRA'!F23)</f>
        <v>2.4285714285714284</v>
      </c>
      <c r="G23" s="49">
        <f>AVERAGE('29.07 JinjaRoad-Kira Road'!G23,'30.07 Jinja Road-Kira Road'!G23,'31.07 Jinja Road-Kira Road'!G23,'2.08 Jinja road-Kira road'!G23,'1.08 Jinja Road-Kira Road-24h'!G23,'3.08 Jinja Road-KiraRoad-24h'!G23,'4.08.JINJA ROAD-KIIRA'!G23)</f>
        <v>0.14285714285714285</v>
      </c>
      <c r="H23" s="49">
        <f>AVERAGE('29.07 JinjaRoad-Kira Road'!H23,'30.07 Jinja Road-Kira Road'!H23,'31.07 Jinja Road-Kira Road'!H23,'2.08 Jinja road-Kira road'!H23,'1.08 Jinja Road-Kira Road-24h'!H23,'3.08 Jinja Road-KiraRoad-24h'!H23,'4.08.JINJA ROAD-KIIRA'!H23)</f>
        <v>0</v>
      </c>
      <c r="I23" s="49">
        <f>AVERAGE('29.07 JinjaRoad-Kira Road'!I23,'30.07 Jinja Road-Kira Road'!I23,'31.07 Jinja Road-Kira Road'!I23,'2.08 Jinja road-Kira road'!I23,'1.08 Jinja Road-Kira Road-24h'!I23,'3.08 Jinja Road-KiraRoad-24h'!I23,'4.08.JINJA ROAD-KIIRA'!I23)</f>
        <v>2.7142857142857144</v>
      </c>
      <c r="J23" s="49">
        <f>AVERAGE('29.07 JinjaRoad-Kira Road'!J23,'30.07 Jinja Road-Kira Road'!J23,'31.07 Jinja Road-Kira Road'!J23,'2.08 Jinja road-Kira road'!J23,'1.08 Jinja Road-Kira Road-24h'!J23,'3.08 Jinja Road-KiraRoad-24h'!J23,'4.08.JINJA ROAD-KIIRA'!J23)</f>
        <v>1</v>
      </c>
      <c r="K23" s="49">
        <f>AVERAGE('29.07 JinjaRoad-Kira Road'!K23,'30.07 Jinja Road-Kira Road'!K23,'31.07 Jinja Road-Kira Road'!K23,'2.08 Jinja road-Kira road'!K23,'1.08 Jinja Road-Kira Road-24h'!K23,'3.08 Jinja Road-KiraRoad-24h'!K23,'4.08.JINJA ROAD-KIIRA'!K23)</f>
        <v>0.42857142857142855</v>
      </c>
      <c r="L23" s="49">
        <f>AVERAGE('29.07 JinjaRoad-Kira Road'!L23,'30.07 Jinja Road-Kira Road'!L23,'31.07 Jinja Road-Kira Road'!L23,'2.08 Jinja road-Kira road'!L23,'1.08 Jinja Road-Kira Road-24h'!L23,'3.08 Jinja Road-KiraRoad-24h'!L23,'4.08.JINJA ROAD-KIIRA'!L23)</f>
        <v>0.14285714285714285</v>
      </c>
      <c r="M23" s="49">
        <f>AVERAGE('29.07 JinjaRoad-Kira Road'!M23,'30.07 Jinja Road-Kira Road'!M23,'31.07 Jinja Road-Kira Road'!M23,'2.08 Jinja road-Kira road'!M23,'1.08 Jinja Road-Kira Road-24h'!M23,'3.08 Jinja Road-KiraRoad-24h'!M23,'4.08.JINJA ROAD-KIIRA'!M23)</f>
        <v>129</v>
      </c>
      <c r="N23" s="49">
        <f>AVERAGE('29.07 JinjaRoad-Kira Road'!N23,'30.07 Jinja Road-Kira Road'!N23,'31.07 Jinja Road-Kira Road'!N23,'2.08 Jinja road-Kira road'!N23,'1.08 Jinja Road-Kira Road-24h'!N23,'3.08 Jinja Road-KiraRoad-24h'!N23,'4.08.JINJA ROAD-KIIRA'!N23)</f>
        <v>0.14285714285714285</v>
      </c>
      <c r="O23" s="15">
        <f t="shared" si="0"/>
        <v>115.99999999999999</v>
      </c>
      <c r="P23" s="15">
        <f t="shared" si="1"/>
        <v>244.99999999999997</v>
      </c>
      <c r="R23" s="1" t="s">
        <v>147</v>
      </c>
      <c r="S23" s="34">
        <f>SUM(C62:C65)</f>
        <v>244.5</v>
      </c>
      <c r="T23" s="34">
        <f t="shared" ref="T23:AF23" si="15">SUM(D62:D65)</f>
        <v>71.5</v>
      </c>
      <c r="U23" s="34">
        <f t="shared" si="15"/>
        <v>22</v>
      </c>
      <c r="V23" s="34">
        <f t="shared" si="15"/>
        <v>1.5</v>
      </c>
      <c r="W23" s="34">
        <f t="shared" si="15"/>
        <v>0</v>
      </c>
      <c r="X23" s="34">
        <f t="shared" si="15"/>
        <v>0</v>
      </c>
      <c r="Y23" s="34">
        <f t="shared" si="15"/>
        <v>6</v>
      </c>
      <c r="Z23" s="34">
        <f t="shared" si="15"/>
        <v>0.5</v>
      </c>
      <c r="AA23" s="34">
        <f t="shared" si="15"/>
        <v>2</v>
      </c>
      <c r="AB23" s="34">
        <f t="shared" si="15"/>
        <v>0</v>
      </c>
      <c r="AC23" s="34">
        <f t="shared" si="15"/>
        <v>410</v>
      </c>
      <c r="AD23" s="34">
        <f t="shared" si="15"/>
        <v>0</v>
      </c>
      <c r="AE23" s="31">
        <f t="shared" si="15"/>
        <v>348</v>
      </c>
      <c r="AF23" s="31">
        <f t="shared" si="15"/>
        <v>758</v>
      </c>
    </row>
    <row r="24" spans="2:32" ht="23.1" customHeight="1" x14ac:dyDescent="0.25">
      <c r="B24" s="23" t="s">
        <v>51</v>
      </c>
      <c r="C24" s="49">
        <f>AVERAGE('29.07 JinjaRoad-Kira Road'!C24,'30.07 Jinja Road-Kira Road'!C24,'31.07 Jinja Road-Kira Road'!C24,'2.08 Jinja road-Kira road'!C24,'1.08 Jinja Road-Kira Road-24h'!C24,'3.08 Jinja Road-KiraRoad-24h'!C24,'4.08.JINJA ROAD-KIIRA'!C24)</f>
        <v>76.142857142857139</v>
      </c>
      <c r="D24" s="49">
        <f>AVERAGE('29.07 JinjaRoad-Kira Road'!D24,'30.07 Jinja Road-Kira Road'!D24,'31.07 Jinja Road-Kira Road'!D24,'2.08 Jinja road-Kira road'!D24,'1.08 Jinja Road-Kira Road-24h'!D24,'3.08 Jinja Road-KiraRoad-24h'!D24,'4.08.JINJA ROAD-KIIRA'!D24)</f>
        <v>37.857142857142854</v>
      </c>
      <c r="E24" s="49">
        <f>AVERAGE('29.07 JinjaRoad-Kira Road'!E24,'30.07 Jinja Road-Kira Road'!E24,'31.07 Jinja Road-Kira Road'!E24,'2.08 Jinja road-Kira road'!E24,'1.08 Jinja Road-Kira Road-24h'!E24,'3.08 Jinja Road-KiraRoad-24h'!E24,'4.08.JINJA ROAD-KIIRA'!E24)</f>
        <v>8.2857142857142865</v>
      </c>
      <c r="F24" s="49">
        <f>AVERAGE('29.07 JinjaRoad-Kira Road'!F24,'30.07 Jinja Road-Kira Road'!F24,'31.07 Jinja Road-Kira Road'!F24,'2.08 Jinja road-Kira road'!F24,'1.08 Jinja Road-Kira Road-24h'!F24,'3.08 Jinja Road-KiraRoad-24h'!F24,'4.08.JINJA ROAD-KIIRA'!F24)</f>
        <v>4.1428571428571432</v>
      </c>
      <c r="G24" s="49">
        <f>AVERAGE('29.07 JinjaRoad-Kira Road'!G24,'30.07 Jinja Road-Kira Road'!G24,'31.07 Jinja Road-Kira Road'!G24,'2.08 Jinja road-Kira road'!G24,'1.08 Jinja Road-Kira Road-24h'!G24,'3.08 Jinja Road-KiraRoad-24h'!G24,'4.08.JINJA ROAD-KIIRA'!G24)</f>
        <v>0.2857142857142857</v>
      </c>
      <c r="H24" s="49">
        <f>AVERAGE('29.07 JinjaRoad-Kira Road'!H24,'30.07 Jinja Road-Kira Road'!H24,'31.07 Jinja Road-Kira Road'!H24,'2.08 Jinja road-Kira road'!H24,'1.08 Jinja Road-Kira Road-24h'!H24,'3.08 Jinja Road-KiraRoad-24h'!H24,'4.08.JINJA ROAD-KIIRA'!H24)</f>
        <v>0</v>
      </c>
      <c r="I24" s="49">
        <f>AVERAGE('29.07 JinjaRoad-Kira Road'!I24,'30.07 Jinja Road-Kira Road'!I24,'31.07 Jinja Road-Kira Road'!I24,'2.08 Jinja road-Kira road'!I24,'1.08 Jinja Road-Kira Road-24h'!I24,'3.08 Jinja Road-KiraRoad-24h'!I24,'4.08.JINJA ROAD-KIIRA'!I24)</f>
        <v>2</v>
      </c>
      <c r="J24" s="49">
        <f>AVERAGE('29.07 JinjaRoad-Kira Road'!J24,'30.07 Jinja Road-Kira Road'!J24,'31.07 Jinja Road-Kira Road'!J24,'2.08 Jinja road-Kira road'!J24,'1.08 Jinja Road-Kira Road-24h'!J24,'3.08 Jinja Road-KiraRoad-24h'!J24,'4.08.JINJA ROAD-KIIRA'!J24)</f>
        <v>2.7142857142857144</v>
      </c>
      <c r="K24" s="49">
        <f>AVERAGE('29.07 JinjaRoad-Kira Road'!K24,'30.07 Jinja Road-Kira Road'!K24,'31.07 Jinja Road-Kira Road'!K24,'2.08 Jinja road-Kira road'!K24,'1.08 Jinja Road-Kira Road-24h'!K24,'3.08 Jinja Road-KiraRoad-24h'!K24,'4.08.JINJA ROAD-KIIRA'!K24)</f>
        <v>0.42857142857142855</v>
      </c>
      <c r="L24" s="49">
        <f>AVERAGE('29.07 JinjaRoad-Kira Road'!L24,'30.07 Jinja Road-Kira Road'!L24,'31.07 Jinja Road-Kira Road'!L24,'2.08 Jinja road-Kira road'!L24,'1.08 Jinja Road-Kira Road-24h'!L24,'3.08 Jinja Road-KiraRoad-24h'!L24,'4.08.JINJA ROAD-KIIRA'!L24)</f>
        <v>0.8571428571428571</v>
      </c>
      <c r="M24" s="49">
        <f>AVERAGE('29.07 JinjaRoad-Kira Road'!M24,'30.07 Jinja Road-Kira Road'!M24,'31.07 Jinja Road-Kira Road'!M24,'2.08 Jinja road-Kira road'!M24,'1.08 Jinja Road-Kira Road-24h'!M24,'3.08 Jinja Road-KiraRoad-24h'!M24,'4.08.JINJA ROAD-KIIRA'!M24)</f>
        <v>152.28571428571428</v>
      </c>
      <c r="N24" s="49">
        <f>AVERAGE('29.07 JinjaRoad-Kira Road'!N24,'30.07 Jinja Road-Kira Road'!N24,'31.07 Jinja Road-Kira Road'!N24,'2.08 Jinja road-Kira road'!N24,'1.08 Jinja Road-Kira Road-24h'!N24,'3.08 Jinja Road-KiraRoad-24h'!N24,'4.08.JINJA ROAD-KIIRA'!N24)</f>
        <v>0</v>
      </c>
      <c r="O24" s="15">
        <f t="shared" si="0"/>
        <v>132.71428571428572</v>
      </c>
      <c r="P24" s="15">
        <f t="shared" si="1"/>
        <v>285</v>
      </c>
      <c r="R24" s="1" t="s">
        <v>148</v>
      </c>
      <c r="S24" s="34">
        <f>SUM(C66:C69)</f>
        <v>200.5</v>
      </c>
      <c r="T24" s="34">
        <f t="shared" ref="T24:AF24" si="16">SUM(D66:D69)</f>
        <v>71</v>
      </c>
      <c r="U24" s="34">
        <f t="shared" si="16"/>
        <v>14</v>
      </c>
      <c r="V24" s="34">
        <f t="shared" si="16"/>
        <v>4.5</v>
      </c>
      <c r="W24" s="34">
        <f t="shared" si="16"/>
        <v>0</v>
      </c>
      <c r="X24" s="34">
        <f t="shared" si="16"/>
        <v>0.5</v>
      </c>
      <c r="Y24" s="34">
        <f t="shared" si="16"/>
        <v>0.5</v>
      </c>
      <c r="Z24" s="34">
        <f t="shared" si="16"/>
        <v>1.5</v>
      </c>
      <c r="AA24" s="34">
        <f t="shared" si="16"/>
        <v>0</v>
      </c>
      <c r="AB24" s="34">
        <f t="shared" si="16"/>
        <v>0</v>
      </c>
      <c r="AC24" s="34">
        <f t="shared" si="16"/>
        <v>204.5</v>
      </c>
      <c r="AD24" s="34">
        <f t="shared" si="16"/>
        <v>0</v>
      </c>
      <c r="AE24" s="31">
        <f t="shared" si="16"/>
        <v>292.5</v>
      </c>
      <c r="AF24" s="31">
        <f t="shared" si="16"/>
        <v>497</v>
      </c>
    </row>
    <row r="25" spans="2:32" ht="23.1" customHeight="1" x14ac:dyDescent="0.25">
      <c r="B25" s="23" t="s">
        <v>52</v>
      </c>
      <c r="C25" s="49">
        <f>AVERAGE('29.07 JinjaRoad-Kira Road'!C25,'30.07 Jinja Road-Kira Road'!C25,'31.07 Jinja Road-Kira Road'!C25,'2.08 Jinja road-Kira road'!C25,'1.08 Jinja Road-Kira Road-24h'!C25,'3.08 Jinja Road-KiraRoad-24h'!C25,'4.08.JINJA ROAD-KIIRA'!C25)</f>
        <v>71.857142857142861</v>
      </c>
      <c r="D25" s="49">
        <f>AVERAGE('29.07 JinjaRoad-Kira Road'!D25,'30.07 Jinja Road-Kira Road'!D25,'31.07 Jinja Road-Kira Road'!D25,'2.08 Jinja road-Kira road'!D25,'1.08 Jinja Road-Kira Road-24h'!D25,'3.08 Jinja Road-KiraRoad-24h'!D25,'4.08.JINJA ROAD-KIIRA'!D25)</f>
        <v>41.857142857142854</v>
      </c>
      <c r="E25" s="49">
        <f>AVERAGE('29.07 JinjaRoad-Kira Road'!E25,'30.07 Jinja Road-Kira Road'!E25,'31.07 Jinja Road-Kira Road'!E25,'2.08 Jinja road-Kira road'!E25,'1.08 Jinja Road-Kira Road-24h'!E25,'3.08 Jinja Road-KiraRoad-24h'!E25,'4.08.JINJA ROAD-KIIRA'!E25)</f>
        <v>10.428571428571429</v>
      </c>
      <c r="F25" s="49">
        <f>AVERAGE('29.07 JinjaRoad-Kira Road'!F25,'30.07 Jinja Road-Kira Road'!F25,'31.07 Jinja Road-Kira Road'!F25,'2.08 Jinja road-Kira road'!F25,'1.08 Jinja Road-Kira Road-24h'!F25,'3.08 Jinja Road-KiraRoad-24h'!F25,'4.08.JINJA ROAD-KIIRA'!F25)</f>
        <v>3.7142857142857144</v>
      </c>
      <c r="G25" s="49">
        <f>AVERAGE('29.07 JinjaRoad-Kira Road'!G25,'30.07 Jinja Road-Kira Road'!G25,'31.07 Jinja Road-Kira Road'!G25,'2.08 Jinja road-Kira road'!G25,'1.08 Jinja Road-Kira Road-24h'!G25,'3.08 Jinja Road-KiraRoad-24h'!G25,'4.08.JINJA ROAD-KIIRA'!G25)</f>
        <v>0.5714285714285714</v>
      </c>
      <c r="H25" s="49">
        <f>AVERAGE('29.07 JinjaRoad-Kira Road'!H25,'30.07 Jinja Road-Kira Road'!H25,'31.07 Jinja Road-Kira Road'!H25,'2.08 Jinja road-Kira road'!H25,'1.08 Jinja Road-Kira Road-24h'!H25,'3.08 Jinja Road-KiraRoad-24h'!H25,'4.08.JINJA ROAD-KIIRA'!H25)</f>
        <v>0</v>
      </c>
      <c r="I25" s="49">
        <f>AVERAGE('29.07 JinjaRoad-Kira Road'!I25,'30.07 Jinja Road-Kira Road'!I25,'31.07 Jinja Road-Kira Road'!I25,'2.08 Jinja road-Kira road'!I25,'1.08 Jinja Road-Kira Road-24h'!I25,'3.08 Jinja Road-KiraRoad-24h'!I25,'4.08.JINJA ROAD-KIIRA'!I25)</f>
        <v>3.7142857142857144</v>
      </c>
      <c r="J25" s="49">
        <f>AVERAGE('29.07 JinjaRoad-Kira Road'!J25,'30.07 Jinja Road-Kira Road'!J25,'31.07 Jinja Road-Kira Road'!J25,'2.08 Jinja road-Kira road'!J25,'1.08 Jinja Road-Kira Road-24h'!J25,'3.08 Jinja Road-KiraRoad-24h'!J25,'4.08.JINJA ROAD-KIIRA'!J25)</f>
        <v>1.7142857142857142</v>
      </c>
      <c r="K25" s="49">
        <f>AVERAGE('29.07 JinjaRoad-Kira Road'!K25,'30.07 Jinja Road-Kira Road'!K25,'31.07 Jinja Road-Kira Road'!K25,'2.08 Jinja road-Kira road'!K25,'1.08 Jinja Road-Kira Road-24h'!K25,'3.08 Jinja Road-KiraRoad-24h'!K25,'4.08.JINJA ROAD-KIIRA'!K25)</f>
        <v>0.2857142857142857</v>
      </c>
      <c r="L25" s="49">
        <f>AVERAGE('29.07 JinjaRoad-Kira Road'!L25,'30.07 Jinja Road-Kira Road'!L25,'31.07 Jinja Road-Kira Road'!L25,'2.08 Jinja road-Kira road'!L25,'1.08 Jinja Road-Kira Road-24h'!L25,'3.08 Jinja Road-KiraRoad-24h'!L25,'4.08.JINJA ROAD-KIIRA'!L25)</f>
        <v>0.2857142857142857</v>
      </c>
      <c r="M25" s="49">
        <f>AVERAGE('29.07 JinjaRoad-Kira Road'!M25,'30.07 Jinja Road-Kira Road'!M25,'31.07 Jinja Road-Kira Road'!M25,'2.08 Jinja road-Kira road'!M25,'1.08 Jinja Road-Kira Road-24h'!M25,'3.08 Jinja Road-KiraRoad-24h'!M25,'4.08.JINJA ROAD-KIIRA'!M25)</f>
        <v>136.28571428571428</v>
      </c>
      <c r="N25" s="49">
        <f>AVERAGE('29.07 JinjaRoad-Kira Road'!N25,'30.07 Jinja Road-Kira Road'!N25,'31.07 Jinja Road-Kira Road'!N25,'2.08 Jinja road-Kira road'!N25,'1.08 Jinja Road-Kira Road-24h'!N25,'3.08 Jinja Road-KiraRoad-24h'!N25,'4.08.JINJA ROAD-KIIRA'!N25)</f>
        <v>0</v>
      </c>
      <c r="O25" s="15">
        <f t="shared" si="0"/>
        <v>134.42857142857144</v>
      </c>
      <c r="P25" s="15">
        <f t="shared" si="1"/>
        <v>270.71428571428572</v>
      </c>
      <c r="R25" s="1" t="s">
        <v>149</v>
      </c>
      <c r="S25" s="34">
        <f>SUM(C70:C73)</f>
        <v>167</v>
      </c>
      <c r="T25" s="34">
        <f t="shared" ref="T25:AF25" si="17">SUM(D70:D73)</f>
        <v>41.5</v>
      </c>
      <c r="U25" s="34">
        <f t="shared" si="17"/>
        <v>11.5</v>
      </c>
      <c r="V25" s="34">
        <f t="shared" si="17"/>
        <v>5</v>
      </c>
      <c r="W25" s="34">
        <f t="shared" si="17"/>
        <v>0</v>
      </c>
      <c r="X25" s="34">
        <f t="shared" si="17"/>
        <v>0</v>
      </c>
      <c r="Y25" s="34">
        <f t="shared" si="17"/>
        <v>1</v>
      </c>
      <c r="Z25" s="34">
        <f t="shared" si="17"/>
        <v>0.5</v>
      </c>
      <c r="AA25" s="34">
        <f t="shared" si="17"/>
        <v>0</v>
      </c>
      <c r="AB25" s="34">
        <f t="shared" si="17"/>
        <v>0.5</v>
      </c>
      <c r="AC25" s="34">
        <f t="shared" si="17"/>
        <v>192.5</v>
      </c>
      <c r="AD25" s="34">
        <f t="shared" si="17"/>
        <v>0</v>
      </c>
      <c r="AE25" s="31">
        <f t="shared" si="17"/>
        <v>227</v>
      </c>
      <c r="AF25" s="31">
        <f t="shared" si="17"/>
        <v>419.5</v>
      </c>
    </row>
    <row r="26" spans="2:32" ht="23.1" customHeight="1" x14ac:dyDescent="0.25">
      <c r="B26" s="23" t="s">
        <v>53</v>
      </c>
      <c r="C26" s="49">
        <f>AVERAGE('29.07 JinjaRoad-Kira Road'!C26,'30.07 Jinja Road-Kira Road'!C26,'31.07 Jinja Road-Kira Road'!C26,'2.08 Jinja road-Kira road'!C26,'1.08 Jinja Road-Kira Road-24h'!C26,'3.08 Jinja Road-KiraRoad-24h'!C26,'4.08.JINJA ROAD-KIIRA'!C26)</f>
        <v>73.142857142857139</v>
      </c>
      <c r="D26" s="49">
        <f>AVERAGE('29.07 JinjaRoad-Kira Road'!D26,'30.07 Jinja Road-Kira Road'!D26,'31.07 Jinja Road-Kira Road'!D26,'2.08 Jinja road-Kira road'!D26,'1.08 Jinja Road-Kira Road-24h'!D26,'3.08 Jinja Road-KiraRoad-24h'!D26,'4.08.JINJA ROAD-KIIRA'!D26)</f>
        <v>36</v>
      </c>
      <c r="E26" s="49">
        <f>AVERAGE('29.07 JinjaRoad-Kira Road'!E26,'30.07 Jinja Road-Kira Road'!E26,'31.07 Jinja Road-Kira Road'!E26,'2.08 Jinja road-Kira road'!E26,'1.08 Jinja Road-Kira Road-24h'!E26,'3.08 Jinja Road-KiraRoad-24h'!E26,'4.08.JINJA ROAD-KIIRA'!E26)</f>
        <v>10.142857142857142</v>
      </c>
      <c r="F26" s="49">
        <f>AVERAGE('29.07 JinjaRoad-Kira Road'!F26,'30.07 Jinja Road-Kira Road'!F26,'31.07 Jinja Road-Kira Road'!F26,'2.08 Jinja road-Kira road'!F26,'1.08 Jinja Road-Kira Road-24h'!F26,'3.08 Jinja Road-KiraRoad-24h'!F26,'4.08.JINJA ROAD-KIIRA'!F26)</f>
        <v>3.4285714285714284</v>
      </c>
      <c r="G26" s="49">
        <f>AVERAGE('29.07 JinjaRoad-Kira Road'!G26,'30.07 Jinja Road-Kira Road'!G26,'31.07 Jinja Road-Kira Road'!G26,'2.08 Jinja road-Kira road'!G26,'1.08 Jinja Road-Kira Road-24h'!G26,'3.08 Jinja Road-KiraRoad-24h'!G26,'4.08.JINJA ROAD-KIIRA'!G26)</f>
        <v>0.14285714285714285</v>
      </c>
      <c r="H26" s="49">
        <f>AVERAGE('29.07 JinjaRoad-Kira Road'!H26,'30.07 Jinja Road-Kira Road'!H26,'31.07 Jinja Road-Kira Road'!H26,'2.08 Jinja road-Kira road'!H26,'1.08 Jinja Road-Kira Road-24h'!H26,'3.08 Jinja Road-KiraRoad-24h'!H26,'4.08.JINJA ROAD-KIIRA'!H26)</f>
        <v>0</v>
      </c>
      <c r="I26" s="49">
        <f>AVERAGE('29.07 JinjaRoad-Kira Road'!I26,'30.07 Jinja Road-Kira Road'!I26,'31.07 Jinja Road-Kira Road'!I26,'2.08 Jinja road-Kira road'!I26,'1.08 Jinja Road-Kira Road-24h'!I26,'3.08 Jinja Road-KiraRoad-24h'!I26,'4.08.JINJA ROAD-KIIRA'!I26)</f>
        <v>3</v>
      </c>
      <c r="J26" s="49">
        <f>AVERAGE('29.07 JinjaRoad-Kira Road'!J26,'30.07 Jinja Road-Kira Road'!J26,'31.07 Jinja Road-Kira Road'!J26,'2.08 Jinja road-Kira road'!J26,'1.08 Jinja Road-Kira Road-24h'!J26,'3.08 Jinja Road-KiraRoad-24h'!J26,'4.08.JINJA ROAD-KIIRA'!J26)</f>
        <v>0.8571428571428571</v>
      </c>
      <c r="K26" s="49">
        <f>AVERAGE('29.07 JinjaRoad-Kira Road'!K26,'30.07 Jinja Road-Kira Road'!K26,'31.07 Jinja Road-Kira Road'!K26,'2.08 Jinja road-Kira road'!K26,'1.08 Jinja Road-Kira Road-24h'!K26,'3.08 Jinja Road-KiraRoad-24h'!K26,'4.08.JINJA ROAD-KIIRA'!K26)</f>
        <v>0.8571428571428571</v>
      </c>
      <c r="L26" s="49">
        <f>AVERAGE('29.07 JinjaRoad-Kira Road'!L26,'30.07 Jinja Road-Kira Road'!L26,'31.07 Jinja Road-Kira Road'!L26,'2.08 Jinja road-Kira road'!L26,'1.08 Jinja Road-Kira Road-24h'!L26,'3.08 Jinja Road-KiraRoad-24h'!L26,'4.08.JINJA ROAD-KIIRA'!L26)</f>
        <v>0.2857142857142857</v>
      </c>
      <c r="M26" s="49">
        <f>AVERAGE('29.07 JinjaRoad-Kira Road'!M26,'30.07 Jinja Road-Kira Road'!M26,'31.07 Jinja Road-Kira Road'!M26,'2.08 Jinja road-Kira road'!M26,'1.08 Jinja Road-Kira Road-24h'!M26,'3.08 Jinja Road-KiraRoad-24h'!M26,'4.08.JINJA ROAD-KIIRA'!M26)</f>
        <v>133</v>
      </c>
      <c r="N26" s="49">
        <f>AVERAGE('29.07 JinjaRoad-Kira Road'!N26,'30.07 Jinja Road-Kira Road'!N26,'31.07 Jinja Road-Kira Road'!N26,'2.08 Jinja road-Kira road'!N26,'1.08 Jinja Road-Kira Road-24h'!N26,'3.08 Jinja Road-KiraRoad-24h'!N26,'4.08.JINJA ROAD-KIIRA'!N26)</f>
        <v>0</v>
      </c>
      <c r="O26" s="15">
        <f t="shared" si="0"/>
        <v>127.85714285714286</v>
      </c>
      <c r="P26" s="15">
        <f t="shared" si="1"/>
        <v>260.85714285714289</v>
      </c>
      <c r="R26" s="1" t="s">
        <v>150</v>
      </c>
      <c r="S26" s="34">
        <f>SUM(C74:C77)</f>
        <v>139.5</v>
      </c>
      <c r="T26" s="34">
        <f t="shared" ref="T26:AF26" si="18">SUM(D74:D77)</f>
        <v>26.5</v>
      </c>
      <c r="U26" s="34">
        <f t="shared" si="18"/>
        <v>11.5</v>
      </c>
      <c r="V26" s="34">
        <f t="shared" si="18"/>
        <v>2</v>
      </c>
      <c r="W26" s="34">
        <f t="shared" si="18"/>
        <v>0</v>
      </c>
      <c r="X26" s="34">
        <f t="shared" si="18"/>
        <v>0</v>
      </c>
      <c r="Y26" s="34">
        <f t="shared" si="18"/>
        <v>0</v>
      </c>
      <c r="Z26" s="34">
        <f t="shared" si="18"/>
        <v>0</v>
      </c>
      <c r="AA26" s="34">
        <f t="shared" si="18"/>
        <v>0</v>
      </c>
      <c r="AB26" s="34">
        <f t="shared" si="18"/>
        <v>0</v>
      </c>
      <c r="AC26" s="34">
        <f t="shared" si="18"/>
        <v>185.5</v>
      </c>
      <c r="AD26" s="34">
        <f t="shared" si="18"/>
        <v>0</v>
      </c>
      <c r="AE26" s="31">
        <f t="shared" si="18"/>
        <v>179.5</v>
      </c>
      <c r="AF26" s="31">
        <f t="shared" si="18"/>
        <v>365</v>
      </c>
    </row>
    <row r="27" spans="2:32" ht="23.1" customHeight="1" x14ac:dyDescent="0.25">
      <c r="B27" s="23" t="s">
        <v>54</v>
      </c>
      <c r="C27" s="49">
        <f>AVERAGE('29.07 JinjaRoad-Kira Road'!C27,'30.07 Jinja Road-Kira Road'!C27,'31.07 Jinja Road-Kira Road'!C27,'2.08 Jinja road-Kira road'!C27,'1.08 Jinja Road-Kira Road-24h'!C27,'3.08 Jinja Road-KiraRoad-24h'!C27,'4.08.JINJA ROAD-KIIRA'!C27)</f>
        <v>71.428571428571431</v>
      </c>
      <c r="D27" s="49">
        <f>AVERAGE('29.07 JinjaRoad-Kira Road'!D27,'30.07 Jinja Road-Kira Road'!D27,'31.07 Jinja Road-Kira Road'!D27,'2.08 Jinja road-Kira road'!D27,'1.08 Jinja Road-Kira Road-24h'!D27,'3.08 Jinja Road-KiraRoad-24h'!D27,'4.08.JINJA ROAD-KIIRA'!D27)</f>
        <v>30.285714285714285</v>
      </c>
      <c r="E27" s="49">
        <f>AVERAGE('29.07 JinjaRoad-Kira Road'!E27,'30.07 Jinja Road-Kira Road'!E27,'31.07 Jinja Road-Kira Road'!E27,'2.08 Jinja road-Kira road'!E27,'1.08 Jinja Road-Kira Road-24h'!E27,'3.08 Jinja Road-KiraRoad-24h'!E27,'4.08.JINJA ROAD-KIIRA'!E27)</f>
        <v>6</v>
      </c>
      <c r="F27" s="49">
        <f>AVERAGE('29.07 JinjaRoad-Kira Road'!F27,'30.07 Jinja Road-Kira Road'!F27,'31.07 Jinja Road-Kira Road'!F27,'2.08 Jinja road-Kira road'!F27,'1.08 Jinja Road-Kira Road-24h'!F27,'3.08 Jinja Road-KiraRoad-24h'!F27,'4.08.JINJA ROAD-KIIRA'!F27)</f>
        <v>3.2857142857142856</v>
      </c>
      <c r="G27" s="49">
        <f>AVERAGE('29.07 JinjaRoad-Kira Road'!G27,'30.07 Jinja Road-Kira Road'!G27,'31.07 Jinja Road-Kira Road'!G27,'2.08 Jinja road-Kira road'!G27,'1.08 Jinja Road-Kira Road-24h'!G27,'3.08 Jinja Road-KiraRoad-24h'!G27,'4.08.JINJA ROAD-KIIRA'!G27)</f>
        <v>0.14285714285714285</v>
      </c>
      <c r="H27" s="49">
        <f>AVERAGE('29.07 JinjaRoad-Kira Road'!H27,'30.07 Jinja Road-Kira Road'!H27,'31.07 Jinja Road-Kira Road'!H27,'2.08 Jinja road-Kira road'!H27,'1.08 Jinja Road-Kira Road-24h'!H27,'3.08 Jinja Road-KiraRoad-24h'!H27,'4.08.JINJA ROAD-KIIRA'!H27)</f>
        <v>0</v>
      </c>
      <c r="I27" s="49">
        <f>AVERAGE('29.07 JinjaRoad-Kira Road'!I27,'30.07 Jinja Road-Kira Road'!I27,'31.07 Jinja Road-Kira Road'!I27,'2.08 Jinja road-Kira road'!I27,'1.08 Jinja Road-Kira Road-24h'!I27,'3.08 Jinja Road-KiraRoad-24h'!I27,'4.08.JINJA ROAD-KIIRA'!I27)</f>
        <v>3</v>
      </c>
      <c r="J27" s="49">
        <f>AVERAGE('29.07 JinjaRoad-Kira Road'!J27,'30.07 Jinja Road-Kira Road'!J27,'31.07 Jinja Road-Kira Road'!J27,'2.08 Jinja road-Kira road'!J27,'1.08 Jinja Road-Kira Road-24h'!J27,'3.08 Jinja Road-KiraRoad-24h'!J27,'4.08.JINJA ROAD-KIIRA'!J27)</f>
        <v>1.2857142857142858</v>
      </c>
      <c r="K27" s="49">
        <f>AVERAGE('29.07 JinjaRoad-Kira Road'!K27,'30.07 Jinja Road-Kira Road'!K27,'31.07 Jinja Road-Kira Road'!K27,'2.08 Jinja road-Kira road'!K27,'1.08 Jinja Road-Kira Road-24h'!K27,'3.08 Jinja Road-KiraRoad-24h'!K27,'4.08.JINJA ROAD-KIIRA'!K27)</f>
        <v>0</v>
      </c>
      <c r="L27" s="49">
        <f>AVERAGE('29.07 JinjaRoad-Kira Road'!L27,'30.07 Jinja Road-Kira Road'!L27,'31.07 Jinja Road-Kira Road'!L27,'2.08 Jinja road-Kira road'!L27,'1.08 Jinja Road-Kira Road-24h'!L27,'3.08 Jinja Road-KiraRoad-24h'!L27,'4.08.JINJA ROAD-KIIRA'!L27)</f>
        <v>0.14285714285714285</v>
      </c>
      <c r="M27" s="49">
        <f>AVERAGE('29.07 JinjaRoad-Kira Road'!M27,'30.07 Jinja Road-Kira Road'!M27,'31.07 Jinja Road-Kira Road'!M27,'2.08 Jinja road-Kira road'!M27,'1.08 Jinja Road-Kira Road-24h'!M27,'3.08 Jinja Road-KiraRoad-24h'!M27,'4.08.JINJA ROAD-KIIRA'!M27)</f>
        <v>128.71428571428572</v>
      </c>
      <c r="N27" s="49">
        <f>AVERAGE('29.07 JinjaRoad-Kira Road'!N27,'30.07 Jinja Road-Kira Road'!N27,'31.07 Jinja Road-Kira Road'!N27,'2.08 Jinja road-Kira road'!N27,'1.08 Jinja Road-Kira Road-24h'!N27,'3.08 Jinja Road-KiraRoad-24h'!N27,'4.08.JINJA ROAD-KIIRA'!N27)</f>
        <v>0</v>
      </c>
      <c r="O27" s="15">
        <f t="shared" si="0"/>
        <v>115.57142857142858</v>
      </c>
      <c r="P27" s="15">
        <f t="shared" si="1"/>
        <v>244.28571428571431</v>
      </c>
      <c r="R27" s="1" t="s">
        <v>151</v>
      </c>
      <c r="S27" s="34">
        <f>SUM(C78:C81)</f>
        <v>108</v>
      </c>
      <c r="T27" s="34">
        <f t="shared" ref="T27:AF27" si="19">SUM(D78:D81)</f>
        <v>22.5</v>
      </c>
      <c r="U27" s="34">
        <f t="shared" si="19"/>
        <v>1.5</v>
      </c>
      <c r="V27" s="34">
        <f t="shared" si="19"/>
        <v>2.5</v>
      </c>
      <c r="W27" s="34">
        <f t="shared" si="19"/>
        <v>0</v>
      </c>
      <c r="X27" s="34">
        <f t="shared" si="19"/>
        <v>0</v>
      </c>
      <c r="Y27" s="34">
        <f t="shared" si="19"/>
        <v>0.5</v>
      </c>
      <c r="Z27" s="34">
        <f t="shared" si="19"/>
        <v>1.5</v>
      </c>
      <c r="AA27" s="34">
        <f t="shared" si="19"/>
        <v>0</v>
      </c>
      <c r="AB27" s="34">
        <f t="shared" si="19"/>
        <v>0</v>
      </c>
      <c r="AC27" s="34">
        <f t="shared" si="19"/>
        <v>122.5</v>
      </c>
      <c r="AD27" s="34">
        <f t="shared" si="19"/>
        <v>0</v>
      </c>
      <c r="AE27" s="31">
        <f t="shared" si="19"/>
        <v>136.5</v>
      </c>
      <c r="AF27" s="31">
        <f t="shared" si="19"/>
        <v>259</v>
      </c>
    </row>
    <row r="28" spans="2:32" ht="23.1" customHeight="1" x14ac:dyDescent="0.25">
      <c r="B28" s="23" t="s">
        <v>55</v>
      </c>
      <c r="C28" s="49">
        <f>AVERAGE('29.07 JinjaRoad-Kira Road'!C28,'30.07 Jinja Road-Kira Road'!C28,'31.07 Jinja Road-Kira Road'!C28,'2.08 Jinja road-Kira road'!C28,'1.08 Jinja Road-Kira Road-24h'!C28,'3.08 Jinja Road-KiraRoad-24h'!C28,'4.08.JINJA ROAD-KIIRA'!C28)</f>
        <v>70</v>
      </c>
      <c r="D28" s="49">
        <f>AVERAGE('29.07 JinjaRoad-Kira Road'!D28,'30.07 Jinja Road-Kira Road'!D28,'31.07 Jinja Road-Kira Road'!D28,'2.08 Jinja road-Kira road'!D28,'1.08 Jinja Road-Kira Road-24h'!D28,'3.08 Jinja Road-KiraRoad-24h'!D28,'4.08.JINJA ROAD-KIIRA'!D28)</f>
        <v>39.428571428571431</v>
      </c>
      <c r="E28" s="49">
        <f>AVERAGE('29.07 JinjaRoad-Kira Road'!E28,'30.07 Jinja Road-Kira Road'!E28,'31.07 Jinja Road-Kira Road'!E28,'2.08 Jinja road-Kira road'!E28,'1.08 Jinja Road-Kira Road-24h'!E28,'3.08 Jinja Road-KiraRoad-24h'!E28,'4.08.JINJA ROAD-KIIRA'!E28)</f>
        <v>11</v>
      </c>
      <c r="F28" s="49">
        <f>AVERAGE('29.07 JinjaRoad-Kira Road'!F28,'30.07 Jinja Road-Kira Road'!F28,'31.07 Jinja Road-Kira Road'!F28,'2.08 Jinja road-Kira road'!F28,'1.08 Jinja Road-Kira Road-24h'!F28,'3.08 Jinja Road-KiraRoad-24h'!F28,'4.08.JINJA ROAD-KIIRA'!F28)</f>
        <v>2.8571428571428572</v>
      </c>
      <c r="G28" s="49">
        <f>AVERAGE('29.07 JinjaRoad-Kira Road'!G28,'30.07 Jinja Road-Kira Road'!G28,'31.07 Jinja Road-Kira Road'!G28,'2.08 Jinja road-Kira road'!G28,'1.08 Jinja Road-Kira Road-24h'!G28,'3.08 Jinja Road-KiraRoad-24h'!G28,'4.08.JINJA ROAD-KIIRA'!G28)</f>
        <v>0.2857142857142857</v>
      </c>
      <c r="H28" s="49">
        <f>AVERAGE('29.07 JinjaRoad-Kira Road'!H28,'30.07 Jinja Road-Kira Road'!H28,'31.07 Jinja Road-Kira Road'!H28,'2.08 Jinja road-Kira road'!H28,'1.08 Jinja Road-Kira Road-24h'!H28,'3.08 Jinja Road-KiraRoad-24h'!H28,'4.08.JINJA ROAD-KIIRA'!H28)</f>
        <v>0</v>
      </c>
      <c r="I28" s="49">
        <f>AVERAGE('29.07 JinjaRoad-Kira Road'!I28,'30.07 Jinja Road-Kira Road'!I28,'31.07 Jinja Road-Kira Road'!I28,'2.08 Jinja road-Kira road'!I28,'1.08 Jinja Road-Kira Road-24h'!I28,'3.08 Jinja Road-KiraRoad-24h'!I28,'4.08.JINJA ROAD-KIIRA'!I28)</f>
        <v>1.2857142857142858</v>
      </c>
      <c r="J28" s="49">
        <f>AVERAGE('29.07 JinjaRoad-Kira Road'!J28,'30.07 Jinja Road-Kira Road'!J28,'31.07 Jinja Road-Kira Road'!J28,'2.08 Jinja road-Kira road'!J28,'1.08 Jinja Road-Kira Road-24h'!J28,'3.08 Jinja Road-KiraRoad-24h'!J28,'4.08.JINJA ROAD-KIIRA'!J28)</f>
        <v>0.5714285714285714</v>
      </c>
      <c r="K28" s="49">
        <f>AVERAGE('29.07 JinjaRoad-Kira Road'!K28,'30.07 Jinja Road-Kira Road'!K28,'31.07 Jinja Road-Kira Road'!K28,'2.08 Jinja road-Kira road'!K28,'1.08 Jinja Road-Kira Road-24h'!K28,'3.08 Jinja Road-KiraRoad-24h'!K28,'4.08.JINJA ROAD-KIIRA'!K28)</f>
        <v>1.2857142857142858</v>
      </c>
      <c r="L28" s="49">
        <f>AVERAGE('29.07 JinjaRoad-Kira Road'!L28,'30.07 Jinja Road-Kira Road'!L28,'31.07 Jinja Road-Kira Road'!L28,'2.08 Jinja road-Kira road'!L28,'1.08 Jinja Road-Kira Road-24h'!L28,'3.08 Jinja Road-KiraRoad-24h'!L28,'4.08.JINJA ROAD-KIIRA'!L28)</f>
        <v>0.14285714285714285</v>
      </c>
      <c r="M28" s="49">
        <f>AVERAGE('29.07 JinjaRoad-Kira Road'!M28,'30.07 Jinja Road-Kira Road'!M28,'31.07 Jinja Road-Kira Road'!M28,'2.08 Jinja road-Kira road'!M28,'1.08 Jinja Road-Kira Road-24h'!M28,'3.08 Jinja Road-KiraRoad-24h'!M28,'4.08.JINJA ROAD-KIIRA'!M28)</f>
        <v>140</v>
      </c>
      <c r="N28" s="49">
        <f>AVERAGE('29.07 JinjaRoad-Kira Road'!N28,'30.07 Jinja Road-Kira Road'!N28,'31.07 Jinja Road-Kira Road'!N28,'2.08 Jinja road-Kira road'!N28,'1.08 Jinja Road-Kira Road-24h'!N28,'3.08 Jinja Road-KiraRoad-24h'!N28,'4.08.JINJA ROAD-KIIRA'!N28)</f>
        <v>0</v>
      </c>
      <c r="O28" s="15">
        <f t="shared" si="0"/>
        <v>126.85714285714288</v>
      </c>
      <c r="P28" s="15">
        <f t="shared" si="1"/>
        <v>266.85714285714289</v>
      </c>
      <c r="R28" s="1" t="s">
        <v>152</v>
      </c>
      <c r="S28" s="34">
        <f>SUM(C82:C85)</f>
        <v>62.5</v>
      </c>
      <c r="T28" s="34">
        <f t="shared" ref="T28:AF28" si="20">SUM(D82:D85)</f>
        <v>12</v>
      </c>
      <c r="U28" s="34">
        <f t="shared" si="20"/>
        <v>1.5</v>
      </c>
      <c r="V28" s="34">
        <f t="shared" si="20"/>
        <v>0.5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0</v>
      </c>
      <c r="AA28" s="34">
        <f t="shared" si="20"/>
        <v>0</v>
      </c>
      <c r="AB28" s="34">
        <f t="shared" si="20"/>
        <v>0</v>
      </c>
      <c r="AC28" s="34">
        <f t="shared" si="20"/>
        <v>82.5</v>
      </c>
      <c r="AD28" s="34">
        <f t="shared" si="20"/>
        <v>0</v>
      </c>
      <c r="AE28" s="31">
        <f t="shared" si="20"/>
        <v>77</v>
      </c>
      <c r="AF28" s="31">
        <f t="shared" si="20"/>
        <v>159.5</v>
      </c>
    </row>
    <row r="29" spans="2:32" ht="23.1" customHeight="1" x14ac:dyDescent="0.25">
      <c r="B29" s="23" t="s">
        <v>56</v>
      </c>
      <c r="C29" s="49">
        <f>AVERAGE('29.07 JinjaRoad-Kira Road'!C29,'30.07 Jinja Road-Kira Road'!C29,'31.07 Jinja Road-Kira Road'!C29,'2.08 Jinja road-Kira road'!C29,'1.08 Jinja Road-Kira Road-24h'!C29,'3.08 Jinja Road-KiraRoad-24h'!C29,'4.08.JINJA ROAD-KIIRA'!C29)</f>
        <v>70.857142857142861</v>
      </c>
      <c r="D29" s="49">
        <f>AVERAGE('29.07 JinjaRoad-Kira Road'!D29,'30.07 Jinja Road-Kira Road'!D29,'31.07 Jinja Road-Kira Road'!D29,'2.08 Jinja road-Kira road'!D29,'1.08 Jinja Road-Kira Road-24h'!D29,'3.08 Jinja Road-KiraRoad-24h'!D29,'4.08.JINJA ROAD-KIIRA'!D29)</f>
        <v>36.142857142857146</v>
      </c>
      <c r="E29" s="49">
        <f>AVERAGE('29.07 JinjaRoad-Kira Road'!E29,'30.07 Jinja Road-Kira Road'!E29,'31.07 Jinja Road-Kira Road'!E29,'2.08 Jinja road-Kira road'!E29,'1.08 Jinja Road-Kira Road-24h'!E29,'3.08 Jinja Road-KiraRoad-24h'!E29,'4.08.JINJA ROAD-KIIRA'!E29)</f>
        <v>7.2857142857142856</v>
      </c>
      <c r="F29" s="49">
        <f>AVERAGE('29.07 JinjaRoad-Kira Road'!F29,'30.07 Jinja Road-Kira Road'!F29,'31.07 Jinja Road-Kira Road'!F29,'2.08 Jinja road-Kira road'!F29,'1.08 Jinja Road-Kira Road-24h'!F29,'3.08 Jinja Road-KiraRoad-24h'!F29,'4.08.JINJA ROAD-KIIRA'!F29)</f>
        <v>2.7142857142857144</v>
      </c>
      <c r="G29" s="49">
        <f>AVERAGE('29.07 JinjaRoad-Kira Road'!G29,'30.07 Jinja Road-Kira Road'!G29,'31.07 Jinja Road-Kira Road'!G29,'2.08 Jinja road-Kira road'!G29,'1.08 Jinja Road-Kira Road-24h'!G29,'3.08 Jinja Road-KiraRoad-24h'!G29,'4.08.JINJA ROAD-KIIRA'!G29)</f>
        <v>0</v>
      </c>
      <c r="H29" s="49">
        <f>AVERAGE('29.07 JinjaRoad-Kira Road'!H29,'30.07 Jinja Road-Kira Road'!H29,'31.07 Jinja Road-Kira Road'!H29,'2.08 Jinja road-Kira road'!H29,'1.08 Jinja Road-Kira Road-24h'!H29,'3.08 Jinja Road-KiraRoad-24h'!H29,'4.08.JINJA ROAD-KIIRA'!H29)</f>
        <v>0.14285714285714285</v>
      </c>
      <c r="I29" s="49">
        <f>AVERAGE('29.07 JinjaRoad-Kira Road'!I29,'30.07 Jinja Road-Kira Road'!I29,'31.07 Jinja Road-Kira Road'!I29,'2.08 Jinja road-Kira road'!I29,'1.08 Jinja Road-Kira Road-24h'!I29,'3.08 Jinja Road-KiraRoad-24h'!I29,'4.08.JINJA ROAD-KIIRA'!I29)</f>
        <v>1.8571428571428572</v>
      </c>
      <c r="J29" s="49">
        <f>AVERAGE('29.07 JinjaRoad-Kira Road'!J29,'30.07 Jinja Road-Kira Road'!J29,'31.07 Jinja Road-Kira Road'!J29,'2.08 Jinja road-Kira road'!J29,'1.08 Jinja Road-Kira Road-24h'!J29,'3.08 Jinja Road-KiraRoad-24h'!J29,'4.08.JINJA ROAD-KIIRA'!J29)</f>
        <v>1.2857142857142858</v>
      </c>
      <c r="K29" s="49">
        <f>AVERAGE('29.07 JinjaRoad-Kira Road'!K29,'30.07 Jinja Road-Kira Road'!K29,'31.07 Jinja Road-Kira Road'!K29,'2.08 Jinja road-Kira road'!K29,'1.08 Jinja Road-Kira Road-24h'!K29,'3.08 Jinja Road-KiraRoad-24h'!K29,'4.08.JINJA ROAD-KIIRA'!K29)</f>
        <v>0.5714285714285714</v>
      </c>
      <c r="L29" s="49">
        <f>AVERAGE('29.07 JinjaRoad-Kira Road'!L29,'30.07 Jinja Road-Kira Road'!L29,'31.07 Jinja Road-Kira Road'!L29,'2.08 Jinja road-Kira road'!L29,'1.08 Jinja Road-Kira Road-24h'!L29,'3.08 Jinja Road-KiraRoad-24h'!L29,'4.08.JINJA ROAD-KIIRA'!L29)</f>
        <v>0.42857142857142855</v>
      </c>
      <c r="M29" s="49">
        <f>AVERAGE('29.07 JinjaRoad-Kira Road'!M29,'30.07 Jinja Road-Kira Road'!M29,'31.07 Jinja Road-Kira Road'!M29,'2.08 Jinja road-Kira road'!M29,'1.08 Jinja Road-Kira Road-24h'!M29,'3.08 Jinja Road-KiraRoad-24h'!M29,'4.08.JINJA ROAD-KIIRA'!M29)</f>
        <v>118.42857142857143</v>
      </c>
      <c r="N29" s="49">
        <f>AVERAGE('29.07 JinjaRoad-Kira Road'!N29,'30.07 Jinja Road-Kira Road'!N29,'31.07 Jinja Road-Kira Road'!N29,'2.08 Jinja road-Kira road'!N29,'1.08 Jinja Road-Kira Road-24h'!N29,'3.08 Jinja Road-KiraRoad-24h'!N29,'4.08.JINJA ROAD-KIIRA'!N29)</f>
        <v>0</v>
      </c>
      <c r="O29" s="15">
        <f t="shared" si="0"/>
        <v>121.28571428571429</v>
      </c>
      <c r="P29" s="15">
        <f t="shared" si="1"/>
        <v>239.71428571428572</v>
      </c>
      <c r="R29" s="1" t="s">
        <v>153</v>
      </c>
      <c r="S29" s="34">
        <f>SUM(C86:C89)</f>
        <v>54</v>
      </c>
      <c r="T29" s="34">
        <f t="shared" ref="T29:AF29" si="21">SUM(D86:D89)</f>
        <v>7.5</v>
      </c>
      <c r="U29" s="34">
        <f t="shared" si="21"/>
        <v>2</v>
      </c>
      <c r="V29" s="34">
        <f t="shared" si="21"/>
        <v>0</v>
      </c>
      <c r="W29" s="34">
        <f t="shared" si="21"/>
        <v>0</v>
      </c>
      <c r="X29" s="34">
        <f t="shared" si="21"/>
        <v>0</v>
      </c>
      <c r="Y29" s="34">
        <f t="shared" si="21"/>
        <v>0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39.5</v>
      </c>
      <c r="AD29" s="34">
        <f t="shared" si="21"/>
        <v>0</v>
      </c>
      <c r="AE29" s="31">
        <f t="shared" si="21"/>
        <v>63.5</v>
      </c>
      <c r="AF29" s="31">
        <f t="shared" si="21"/>
        <v>103</v>
      </c>
    </row>
    <row r="30" spans="2:32" ht="23.1" customHeight="1" x14ac:dyDescent="0.25">
      <c r="B30" s="23" t="s">
        <v>57</v>
      </c>
      <c r="C30" s="49">
        <f>AVERAGE('29.07 JinjaRoad-Kira Road'!C30,'30.07 Jinja Road-Kira Road'!C30,'31.07 Jinja Road-Kira Road'!C30,'2.08 Jinja road-Kira road'!C30,'1.08 Jinja Road-Kira Road-24h'!C30,'3.08 Jinja Road-KiraRoad-24h'!C30,'4.08.JINJA ROAD-KIIRA'!C30)</f>
        <v>77.428571428571431</v>
      </c>
      <c r="D30" s="49">
        <f>AVERAGE('29.07 JinjaRoad-Kira Road'!D30,'30.07 Jinja Road-Kira Road'!D30,'31.07 Jinja Road-Kira Road'!D30,'2.08 Jinja road-Kira road'!D30,'1.08 Jinja Road-Kira Road-24h'!D30,'3.08 Jinja Road-KiraRoad-24h'!D30,'4.08.JINJA ROAD-KIIRA'!D30)</f>
        <v>49.714285714285715</v>
      </c>
      <c r="E30" s="49">
        <f>AVERAGE('29.07 JinjaRoad-Kira Road'!E30,'30.07 Jinja Road-Kira Road'!E30,'31.07 Jinja Road-Kira Road'!E30,'2.08 Jinja road-Kira road'!E30,'1.08 Jinja Road-Kira Road-24h'!E30,'3.08 Jinja Road-KiraRoad-24h'!E30,'4.08.JINJA ROAD-KIIRA'!E30)</f>
        <v>17.714285714285715</v>
      </c>
      <c r="F30" s="49">
        <f>AVERAGE('29.07 JinjaRoad-Kira Road'!F30,'30.07 Jinja Road-Kira Road'!F30,'31.07 Jinja Road-Kira Road'!F30,'2.08 Jinja road-Kira road'!F30,'1.08 Jinja Road-Kira Road-24h'!F30,'3.08 Jinja Road-KiraRoad-24h'!F30,'4.08.JINJA ROAD-KIIRA'!F30)</f>
        <v>3.5714285714285716</v>
      </c>
      <c r="G30" s="49">
        <f>AVERAGE('29.07 JinjaRoad-Kira Road'!G30,'30.07 Jinja Road-Kira Road'!G30,'31.07 Jinja Road-Kira Road'!G30,'2.08 Jinja road-Kira road'!G30,'1.08 Jinja Road-Kira Road-24h'!G30,'3.08 Jinja Road-KiraRoad-24h'!G30,'4.08.JINJA ROAD-KIIRA'!G30)</f>
        <v>0.2857142857142857</v>
      </c>
      <c r="H30" s="49">
        <f>AVERAGE('29.07 JinjaRoad-Kira Road'!H30,'30.07 Jinja Road-Kira Road'!H30,'31.07 Jinja Road-Kira Road'!H30,'2.08 Jinja road-Kira road'!H30,'1.08 Jinja Road-Kira Road-24h'!H30,'3.08 Jinja Road-KiraRoad-24h'!H30,'4.08.JINJA ROAD-KIIRA'!H30)</f>
        <v>0.2857142857142857</v>
      </c>
      <c r="I30" s="49">
        <f>AVERAGE('29.07 JinjaRoad-Kira Road'!I30,'30.07 Jinja Road-Kira Road'!I30,'31.07 Jinja Road-Kira Road'!I30,'2.08 Jinja road-Kira road'!I30,'1.08 Jinja Road-Kira Road-24h'!I30,'3.08 Jinja Road-KiraRoad-24h'!I30,'4.08.JINJA ROAD-KIIRA'!I30)</f>
        <v>3.2857142857142856</v>
      </c>
      <c r="J30" s="49">
        <f>AVERAGE('29.07 JinjaRoad-Kira Road'!J30,'30.07 Jinja Road-Kira Road'!J30,'31.07 Jinja Road-Kira Road'!J30,'2.08 Jinja road-Kira road'!J30,'1.08 Jinja Road-Kira Road-24h'!J30,'3.08 Jinja Road-KiraRoad-24h'!J30,'4.08.JINJA ROAD-KIIRA'!J30)</f>
        <v>1.4285714285714286</v>
      </c>
      <c r="K30" s="49">
        <f>AVERAGE('29.07 JinjaRoad-Kira Road'!K30,'30.07 Jinja Road-Kira Road'!K30,'31.07 Jinja Road-Kira Road'!K30,'2.08 Jinja road-Kira road'!K30,'1.08 Jinja Road-Kira Road-24h'!K30,'3.08 Jinja Road-KiraRoad-24h'!K30,'4.08.JINJA ROAD-KIIRA'!K30)</f>
        <v>0.14285714285714285</v>
      </c>
      <c r="L30" s="49">
        <f>AVERAGE('29.07 JinjaRoad-Kira Road'!L30,'30.07 Jinja Road-Kira Road'!L30,'31.07 Jinja Road-Kira Road'!L30,'2.08 Jinja road-Kira road'!L30,'1.08 Jinja Road-Kira Road-24h'!L30,'3.08 Jinja Road-KiraRoad-24h'!L30,'4.08.JINJA ROAD-KIIRA'!L30)</f>
        <v>0.2857142857142857</v>
      </c>
      <c r="M30" s="49">
        <f>AVERAGE('29.07 JinjaRoad-Kira Road'!M30,'30.07 Jinja Road-Kira Road'!M30,'31.07 Jinja Road-Kira Road'!M30,'2.08 Jinja road-Kira road'!M30,'1.08 Jinja Road-Kira Road-24h'!M30,'3.08 Jinja Road-KiraRoad-24h'!M30,'4.08.JINJA ROAD-KIIRA'!M30)</f>
        <v>123.42857142857143</v>
      </c>
      <c r="N30" s="49">
        <f>AVERAGE('29.07 JinjaRoad-Kira Road'!N30,'30.07 Jinja Road-Kira Road'!N30,'31.07 Jinja Road-Kira Road'!N30,'2.08 Jinja road-Kira road'!N30,'1.08 Jinja Road-Kira Road-24h'!N30,'3.08 Jinja Road-KiraRoad-24h'!N30,'4.08.JINJA ROAD-KIIRA'!N30)</f>
        <v>0</v>
      </c>
      <c r="O30" s="15">
        <f t="shared" si="0"/>
        <v>154.14285714285711</v>
      </c>
      <c r="P30" s="15">
        <f t="shared" si="1"/>
        <v>277.57142857142856</v>
      </c>
      <c r="R30" s="1" t="s">
        <v>154</v>
      </c>
      <c r="S30" s="34">
        <f>SUM(C90:C93)</f>
        <v>36</v>
      </c>
      <c r="T30" s="34">
        <f t="shared" ref="T30:AF30" si="22">SUM(D90:D93)</f>
        <v>3.5</v>
      </c>
      <c r="U30" s="34">
        <f t="shared" si="22"/>
        <v>1.5</v>
      </c>
      <c r="V30" s="34">
        <f t="shared" si="22"/>
        <v>1.5</v>
      </c>
      <c r="W30" s="34">
        <f t="shared" si="22"/>
        <v>0</v>
      </c>
      <c r="X30" s="34">
        <f t="shared" si="22"/>
        <v>0</v>
      </c>
      <c r="Y30" s="34">
        <f t="shared" si="22"/>
        <v>0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28.5</v>
      </c>
      <c r="AD30" s="34">
        <f t="shared" si="22"/>
        <v>0</v>
      </c>
      <c r="AE30" s="31">
        <f t="shared" si="22"/>
        <v>43.5</v>
      </c>
      <c r="AF30" s="31">
        <f t="shared" si="22"/>
        <v>72</v>
      </c>
    </row>
    <row r="31" spans="2:32" ht="23.1" customHeight="1" x14ac:dyDescent="0.25">
      <c r="B31" s="24" t="s">
        <v>58</v>
      </c>
      <c r="C31" s="49">
        <f>AVERAGE('29.07 JinjaRoad-Kira Road'!C31,'30.07 Jinja Road-Kira Road'!C31,'31.07 Jinja Road-Kira Road'!C31,'2.08 Jinja road-Kira road'!C31,'1.08 Jinja Road-Kira Road-24h'!C31,'3.08 Jinja Road-KiraRoad-24h'!C31,'4.08.JINJA ROAD-KIIRA'!C31)</f>
        <v>79.142857142857139</v>
      </c>
      <c r="D31" s="49">
        <f>AVERAGE('29.07 JinjaRoad-Kira Road'!D31,'30.07 Jinja Road-Kira Road'!D31,'31.07 Jinja Road-Kira Road'!D31,'2.08 Jinja road-Kira road'!D31,'1.08 Jinja Road-Kira Road-24h'!D31,'3.08 Jinja Road-KiraRoad-24h'!D31,'4.08.JINJA ROAD-KIIRA'!D31)</f>
        <v>49.857142857142854</v>
      </c>
      <c r="E31" s="49">
        <f>AVERAGE('29.07 JinjaRoad-Kira Road'!E31,'30.07 Jinja Road-Kira Road'!E31,'31.07 Jinja Road-Kira Road'!E31,'2.08 Jinja road-Kira road'!E31,'1.08 Jinja Road-Kira Road-24h'!E31,'3.08 Jinja Road-KiraRoad-24h'!E31,'4.08.JINJA ROAD-KIIRA'!E31)</f>
        <v>14.285714285714286</v>
      </c>
      <c r="F31" s="49">
        <f>AVERAGE('29.07 JinjaRoad-Kira Road'!F31,'30.07 Jinja Road-Kira Road'!F31,'31.07 Jinja Road-Kira Road'!F31,'2.08 Jinja road-Kira road'!F31,'1.08 Jinja Road-Kira Road-24h'!F31,'3.08 Jinja Road-KiraRoad-24h'!F31,'4.08.JINJA ROAD-KIIRA'!F31)</f>
        <v>2.7142857142857144</v>
      </c>
      <c r="G31" s="49">
        <f>AVERAGE('29.07 JinjaRoad-Kira Road'!G31,'30.07 Jinja Road-Kira Road'!G31,'31.07 Jinja Road-Kira Road'!G31,'2.08 Jinja road-Kira road'!G31,'1.08 Jinja Road-Kira Road-24h'!G31,'3.08 Jinja Road-KiraRoad-24h'!G31,'4.08.JINJA ROAD-KIIRA'!G31)</f>
        <v>0.14285714285714285</v>
      </c>
      <c r="H31" s="49">
        <f>AVERAGE('29.07 JinjaRoad-Kira Road'!H31,'30.07 Jinja Road-Kira Road'!H31,'31.07 Jinja Road-Kira Road'!H31,'2.08 Jinja road-Kira road'!H31,'1.08 Jinja Road-Kira Road-24h'!H31,'3.08 Jinja Road-KiraRoad-24h'!H31,'4.08.JINJA ROAD-KIIRA'!H31)</f>
        <v>0.14285714285714285</v>
      </c>
      <c r="I31" s="49">
        <f>AVERAGE('29.07 JinjaRoad-Kira Road'!I31,'30.07 Jinja Road-Kira Road'!I31,'31.07 Jinja Road-Kira Road'!I31,'2.08 Jinja road-Kira road'!I31,'1.08 Jinja Road-Kira Road-24h'!I31,'3.08 Jinja Road-KiraRoad-24h'!I31,'4.08.JINJA ROAD-KIIRA'!I31)</f>
        <v>2.8571428571428572</v>
      </c>
      <c r="J31" s="49">
        <f>AVERAGE('29.07 JinjaRoad-Kira Road'!J31,'30.07 Jinja Road-Kira Road'!J31,'31.07 Jinja Road-Kira Road'!J31,'2.08 Jinja road-Kira road'!J31,'1.08 Jinja Road-Kira Road-24h'!J31,'3.08 Jinja Road-KiraRoad-24h'!J31,'4.08.JINJA ROAD-KIIRA'!J31)</f>
        <v>1.5714285714285714</v>
      </c>
      <c r="K31" s="49">
        <f>AVERAGE('29.07 JinjaRoad-Kira Road'!K31,'30.07 Jinja Road-Kira Road'!K31,'31.07 Jinja Road-Kira Road'!K31,'2.08 Jinja road-Kira road'!K31,'1.08 Jinja Road-Kira Road-24h'!K31,'3.08 Jinja Road-KiraRoad-24h'!K31,'4.08.JINJA ROAD-KIIRA'!K31)</f>
        <v>0.42857142857142855</v>
      </c>
      <c r="L31" s="49">
        <f>AVERAGE('29.07 JinjaRoad-Kira Road'!L31,'30.07 Jinja Road-Kira Road'!L31,'31.07 Jinja Road-Kira Road'!L31,'2.08 Jinja road-Kira road'!L31,'1.08 Jinja Road-Kira Road-24h'!L31,'3.08 Jinja Road-KiraRoad-24h'!L31,'4.08.JINJA ROAD-KIIRA'!L31)</f>
        <v>0.2857142857142857</v>
      </c>
      <c r="M31" s="49">
        <f>AVERAGE('29.07 JinjaRoad-Kira Road'!M31,'30.07 Jinja Road-Kira Road'!M31,'31.07 Jinja Road-Kira Road'!M31,'2.08 Jinja road-Kira road'!M31,'1.08 Jinja Road-Kira Road-24h'!M31,'3.08 Jinja Road-KiraRoad-24h'!M31,'4.08.JINJA ROAD-KIIRA'!M31)</f>
        <v>124.14285714285714</v>
      </c>
      <c r="N31" s="49">
        <f>AVERAGE('29.07 JinjaRoad-Kira Road'!N31,'30.07 Jinja Road-Kira Road'!N31,'31.07 Jinja Road-Kira Road'!N31,'2.08 Jinja road-Kira road'!N31,'1.08 Jinja Road-Kira Road-24h'!N31,'3.08 Jinja Road-KiraRoad-24h'!N31,'4.08.JINJA ROAD-KIIRA'!N31)</f>
        <v>0</v>
      </c>
      <c r="O31" s="15">
        <f t="shared" si="0"/>
        <v>151.42857142857142</v>
      </c>
      <c r="P31" s="15">
        <f t="shared" si="1"/>
        <v>275.57142857142856</v>
      </c>
      <c r="R31" s="1" t="s">
        <v>155</v>
      </c>
      <c r="S31" s="34">
        <f>SUM(C94:C97)</f>
        <v>33</v>
      </c>
      <c r="T31" s="34">
        <f t="shared" ref="T31:AF31" si="23">SUM(D94:D97)</f>
        <v>3</v>
      </c>
      <c r="U31" s="34">
        <f t="shared" si="23"/>
        <v>1</v>
      </c>
      <c r="V31" s="34">
        <f t="shared" si="23"/>
        <v>0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0.5</v>
      </c>
      <c r="AA31" s="34">
        <f t="shared" si="23"/>
        <v>0.5</v>
      </c>
      <c r="AB31" s="34">
        <f t="shared" si="23"/>
        <v>0</v>
      </c>
      <c r="AC31" s="34">
        <f t="shared" si="23"/>
        <v>39</v>
      </c>
      <c r="AD31" s="34">
        <f t="shared" si="23"/>
        <v>0</v>
      </c>
      <c r="AE31" s="31">
        <f t="shared" si="23"/>
        <v>39</v>
      </c>
      <c r="AF31" s="31">
        <f t="shared" si="23"/>
        <v>78</v>
      </c>
    </row>
    <row r="32" spans="2:32" ht="23.1" customHeight="1" x14ac:dyDescent="0.25">
      <c r="B32" s="24" t="s">
        <v>59</v>
      </c>
      <c r="C32" s="49">
        <f>AVERAGE('29.07 JinjaRoad-Kira Road'!C32,'30.07 Jinja Road-Kira Road'!C32,'31.07 Jinja Road-Kira Road'!C32,'2.08 Jinja road-Kira road'!C32,'1.08 Jinja Road-Kira Road-24h'!C32,'3.08 Jinja Road-KiraRoad-24h'!C32,'4.08.JINJA ROAD-KIIRA'!C32)</f>
        <v>81.428571428571431</v>
      </c>
      <c r="D32" s="49">
        <f>AVERAGE('29.07 JinjaRoad-Kira Road'!D32,'30.07 Jinja Road-Kira Road'!D32,'31.07 Jinja Road-Kira Road'!D32,'2.08 Jinja road-Kira road'!D32,'1.08 Jinja Road-Kira Road-24h'!D32,'3.08 Jinja Road-KiraRoad-24h'!D32,'4.08.JINJA ROAD-KIIRA'!D32)</f>
        <v>57</v>
      </c>
      <c r="E32" s="49">
        <f>AVERAGE('29.07 JinjaRoad-Kira Road'!E32,'30.07 Jinja Road-Kira Road'!E32,'31.07 Jinja Road-Kira Road'!E32,'2.08 Jinja road-Kira road'!E32,'1.08 Jinja Road-Kira Road-24h'!E32,'3.08 Jinja Road-KiraRoad-24h'!E32,'4.08.JINJA ROAD-KIIRA'!E32)</f>
        <v>17.571428571428573</v>
      </c>
      <c r="F32" s="49">
        <f>AVERAGE('29.07 JinjaRoad-Kira Road'!F32,'30.07 Jinja Road-Kira Road'!F32,'31.07 Jinja Road-Kira Road'!F32,'2.08 Jinja road-Kira road'!F32,'1.08 Jinja Road-Kira Road-24h'!F32,'3.08 Jinja Road-KiraRoad-24h'!F32,'4.08.JINJA ROAD-KIIRA'!F32)</f>
        <v>2.5714285714285716</v>
      </c>
      <c r="G32" s="49">
        <f>AVERAGE('29.07 JinjaRoad-Kira Road'!G32,'30.07 Jinja Road-Kira Road'!G32,'31.07 Jinja Road-Kira Road'!G32,'2.08 Jinja road-Kira road'!G32,'1.08 Jinja Road-Kira Road-24h'!G32,'3.08 Jinja Road-KiraRoad-24h'!G32,'4.08.JINJA ROAD-KIIRA'!G32)</f>
        <v>0</v>
      </c>
      <c r="H32" s="49">
        <f>AVERAGE('29.07 JinjaRoad-Kira Road'!H32,'30.07 Jinja Road-Kira Road'!H32,'31.07 Jinja Road-Kira Road'!H32,'2.08 Jinja road-Kira road'!H32,'1.08 Jinja Road-Kira Road-24h'!H32,'3.08 Jinja Road-KiraRoad-24h'!H32,'4.08.JINJA ROAD-KIIRA'!H32)</f>
        <v>0</v>
      </c>
      <c r="I32" s="49">
        <f>AVERAGE('29.07 JinjaRoad-Kira Road'!I32,'30.07 Jinja Road-Kira Road'!I32,'31.07 Jinja Road-Kira Road'!I32,'2.08 Jinja road-Kira road'!I32,'1.08 Jinja Road-Kira Road-24h'!I32,'3.08 Jinja Road-KiraRoad-24h'!I32,'4.08.JINJA ROAD-KIIRA'!I32)</f>
        <v>3.8571428571428572</v>
      </c>
      <c r="J32" s="49">
        <f>AVERAGE('29.07 JinjaRoad-Kira Road'!J32,'30.07 Jinja Road-Kira Road'!J32,'31.07 Jinja Road-Kira Road'!J32,'2.08 Jinja road-Kira road'!J32,'1.08 Jinja Road-Kira Road-24h'!J32,'3.08 Jinja Road-KiraRoad-24h'!J32,'4.08.JINJA ROAD-KIIRA'!J32)</f>
        <v>1.1428571428571428</v>
      </c>
      <c r="K32" s="49">
        <f>AVERAGE('29.07 JinjaRoad-Kira Road'!K32,'30.07 Jinja Road-Kira Road'!K32,'31.07 Jinja Road-Kira Road'!K32,'2.08 Jinja road-Kira road'!K32,'1.08 Jinja Road-Kira Road-24h'!K32,'3.08 Jinja Road-KiraRoad-24h'!K32,'4.08.JINJA ROAD-KIIRA'!K32)</f>
        <v>0.7142857142857143</v>
      </c>
      <c r="L32" s="49">
        <f>AVERAGE('29.07 JinjaRoad-Kira Road'!L32,'30.07 Jinja Road-Kira Road'!L32,'31.07 Jinja Road-Kira Road'!L32,'2.08 Jinja road-Kira road'!L32,'1.08 Jinja Road-Kira Road-24h'!L32,'3.08 Jinja Road-KiraRoad-24h'!L32,'4.08.JINJA ROAD-KIIRA'!L32)</f>
        <v>0.14285714285714285</v>
      </c>
      <c r="M32" s="49">
        <f>AVERAGE('29.07 JinjaRoad-Kira Road'!M32,'30.07 Jinja Road-Kira Road'!M32,'31.07 Jinja Road-Kira Road'!M32,'2.08 Jinja road-Kira road'!M32,'1.08 Jinja Road-Kira Road-24h'!M32,'3.08 Jinja Road-KiraRoad-24h'!M32,'4.08.JINJA ROAD-KIIRA'!M32)</f>
        <v>120.85714285714286</v>
      </c>
      <c r="N32" s="49">
        <f>AVERAGE('29.07 JinjaRoad-Kira Road'!N32,'30.07 Jinja Road-Kira Road'!N32,'31.07 Jinja Road-Kira Road'!N32,'2.08 Jinja road-Kira road'!N32,'1.08 Jinja Road-Kira Road-24h'!N32,'3.08 Jinja Road-KiraRoad-24h'!N32,'4.08.JINJA ROAD-KIIRA'!N32)</f>
        <v>0</v>
      </c>
      <c r="O32" s="15">
        <f t="shared" si="0"/>
        <v>164.42857142857147</v>
      </c>
      <c r="P32" s="15">
        <f t="shared" si="1"/>
        <v>285.28571428571433</v>
      </c>
      <c r="R32" s="1" t="s">
        <v>156</v>
      </c>
      <c r="S32" s="34">
        <f>SUM(C98:C101)</f>
        <v>24.5</v>
      </c>
      <c r="T32" s="34">
        <f t="shared" ref="T32:AF32" si="24">SUM(D98:D101)</f>
        <v>4.5</v>
      </c>
      <c r="U32" s="34">
        <f t="shared" si="24"/>
        <v>2</v>
      </c>
      <c r="V32" s="34">
        <f t="shared" si="24"/>
        <v>0.5</v>
      </c>
      <c r="W32" s="34">
        <f t="shared" si="24"/>
        <v>0</v>
      </c>
      <c r="X32" s="34">
        <f t="shared" si="24"/>
        <v>0</v>
      </c>
      <c r="Y32" s="34">
        <f t="shared" si="24"/>
        <v>0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69</v>
      </c>
      <c r="AD32" s="34">
        <f t="shared" si="24"/>
        <v>0</v>
      </c>
      <c r="AE32" s="31">
        <f t="shared" si="24"/>
        <v>32.5</v>
      </c>
      <c r="AF32" s="31">
        <f t="shared" si="24"/>
        <v>101.5</v>
      </c>
    </row>
    <row r="33" spans="2:32" ht="23.1" customHeight="1" x14ac:dyDescent="0.25">
      <c r="B33" s="23" t="s">
        <v>60</v>
      </c>
      <c r="C33" s="49">
        <f>AVERAGE('29.07 JinjaRoad-Kira Road'!C33,'30.07 Jinja Road-Kira Road'!C33,'31.07 Jinja Road-Kira Road'!C33,'2.08 Jinja road-Kira road'!C33,'1.08 Jinja Road-Kira Road-24h'!C33,'3.08 Jinja Road-KiraRoad-24h'!C33,'4.08.JINJA ROAD-KIIRA'!C33)</f>
        <v>79.571428571428569</v>
      </c>
      <c r="D33" s="49">
        <f>AVERAGE('29.07 JinjaRoad-Kira Road'!D33,'30.07 Jinja Road-Kira Road'!D33,'31.07 Jinja Road-Kira Road'!D33,'2.08 Jinja road-Kira road'!D33,'1.08 Jinja Road-Kira Road-24h'!D33,'3.08 Jinja Road-KiraRoad-24h'!D33,'4.08.JINJA ROAD-KIIRA'!D33)</f>
        <v>54</v>
      </c>
      <c r="E33" s="49">
        <f>AVERAGE('29.07 JinjaRoad-Kira Road'!E33,'30.07 Jinja Road-Kira Road'!E33,'31.07 Jinja Road-Kira Road'!E33,'2.08 Jinja road-Kira road'!E33,'1.08 Jinja Road-Kira Road-24h'!E33,'3.08 Jinja Road-KiraRoad-24h'!E33,'4.08.JINJA ROAD-KIIRA'!E33)</f>
        <v>17.714285714285715</v>
      </c>
      <c r="F33" s="49">
        <f>AVERAGE('29.07 JinjaRoad-Kira Road'!F33,'30.07 Jinja Road-Kira Road'!F33,'31.07 Jinja Road-Kira Road'!F33,'2.08 Jinja road-Kira road'!F33,'1.08 Jinja Road-Kira Road-24h'!F33,'3.08 Jinja Road-KiraRoad-24h'!F33,'4.08.JINJA ROAD-KIIRA'!F33)</f>
        <v>3.2857142857142856</v>
      </c>
      <c r="G33" s="49">
        <f>AVERAGE('29.07 JinjaRoad-Kira Road'!G33,'30.07 Jinja Road-Kira Road'!G33,'31.07 Jinja Road-Kira Road'!G33,'2.08 Jinja road-Kira road'!G33,'1.08 Jinja Road-Kira Road-24h'!G33,'3.08 Jinja Road-KiraRoad-24h'!G33,'4.08.JINJA ROAD-KIIRA'!G33)</f>
        <v>0.5714285714285714</v>
      </c>
      <c r="H33" s="49">
        <f>AVERAGE('29.07 JinjaRoad-Kira Road'!H33,'30.07 Jinja Road-Kira Road'!H33,'31.07 Jinja Road-Kira Road'!H33,'2.08 Jinja road-Kira road'!H33,'1.08 Jinja Road-Kira Road-24h'!H33,'3.08 Jinja Road-KiraRoad-24h'!H33,'4.08.JINJA ROAD-KIIRA'!H33)</f>
        <v>0.2857142857142857</v>
      </c>
      <c r="I33" s="49">
        <f>AVERAGE('29.07 JinjaRoad-Kira Road'!I33,'30.07 Jinja Road-Kira Road'!I33,'31.07 Jinja Road-Kira Road'!I33,'2.08 Jinja road-Kira road'!I33,'1.08 Jinja Road-Kira Road-24h'!I33,'3.08 Jinja Road-KiraRoad-24h'!I33,'4.08.JINJA ROAD-KIIRA'!I33)</f>
        <v>2.2857142857142856</v>
      </c>
      <c r="J33" s="49">
        <f>AVERAGE('29.07 JinjaRoad-Kira Road'!J33,'30.07 Jinja Road-Kira Road'!J33,'31.07 Jinja Road-Kira Road'!J33,'2.08 Jinja road-Kira road'!J33,'1.08 Jinja Road-Kira Road-24h'!J33,'3.08 Jinja Road-KiraRoad-24h'!J33,'4.08.JINJA ROAD-KIIRA'!J33)</f>
        <v>1.2857142857142858</v>
      </c>
      <c r="K33" s="49">
        <f>AVERAGE('29.07 JinjaRoad-Kira Road'!K33,'30.07 Jinja Road-Kira Road'!K33,'31.07 Jinja Road-Kira Road'!K33,'2.08 Jinja road-Kira road'!K33,'1.08 Jinja Road-Kira Road-24h'!K33,'3.08 Jinja Road-KiraRoad-24h'!K33,'4.08.JINJA ROAD-KIIRA'!K33)</f>
        <v>0.7142857142857143</v>
      </c>
      <c r="L33" s="49">
        <f>AVERAGE('29.07 JinjaRoad-Kira Road'!L33,'30.07 Jinja Road-Kira Road'!L33,'31.07 Jinja Road-Kira Road'!L33,'2.08 Jinja road-Kira road'!L33,'1.08 Jinja Road-Kira Road-24h'!L33,'3.08 Jinja Road-KiraRoad-24h'!L33,'4.08.JINJA ROAD-KIIRA'!L33)</f>
        <v>0</v>
      </c>
      <c r="M33" s="49">
        <f>AVERAGE('29.07 JinjaRoad-Kira Road'!M33,'30.07 Jinja Road-Kira Road'!M33,'31.07 Jinja Road-Kira Road'!M33,'2.08 Jinja road-Kira road'!M33,'1.08 Jinja Road-Kira Road-24h'!M33,'3.08 Jinja Road-KiraRoad-24h'!M33,'4.08.JINJA ROAD-KIIRA'!M33)</f>
        <v>104.85714285714286</v>
      </c>
      <c r="N33" s="49">
        <f>AVERAGE('29.07 JinjaRoad-Kira Road'!N33,'30.07 Jinja Road-Kira Road'!N33,'31.07 Jinja Road-Kira Road'!N33,'2.08 Jinja road-Kira road'!N33,'1.08 Jinja Road-Kira Road-24h'!N33,'3.08 Jinja Road-KiraRoad-24h'!N33,'4.08.JINJA ROAD-KIIRA'!N33)</f>
        <v>0</v>
      </c>
      <c r="O33" s="15">
        <f t="shared" si="0"/>
        <v>159.71428571428569</v>
      </c>
      <c r="P33" s="15">
        <f t="shared" si="1"/>
        <v>264.57142857142856</v>
      </c>
      <c r="R33" s="1" t="s">
        <v>157</v>
      </c>
      <c r="S33" s="34">
        <f>SUM(C102:C105)</f>
        <v>81.5</v>
      </c>
      <c r="T33" s="34">
        <f t="shared" ref="T33:AF33" si="25">SUM(D102:D105)</f>
        <v>37.5</v>
      </c>
      <c r="U33" s="34">
        <f t="shared" si="25"/>
        <v>8</v>
      </c>
      <c r="V33" s="34">
        <f t="shared" si="25"/>
        <v>2.5</v>
      </c>
      <c r="W33" s="34">
        <f t="shared" si="25"/>
        <v>0</v>
      </c>
      <c r="X33" s="34">
        <f t="shared" si="25"/>
        <v>0</v>
      </c>
      <c r="Y33" s="34">
        <f t="shared" si="25"/>
        <v>1.5</v>
      </c>
      <c r="Z33" s="34">
        <f t="shared" si="25"/>
        <v>2</v>
      </c>
      <c r="AA33" s="34">
        <f t="shared" si="25"/>
        <v>0</v>
      </c>
      <c r="AB33" s="34">
        <f t="shared" si="25"/>
        <v>0</v>
      </c>
      <c r="AC33" s="34">
        <f t="shared" si="25"/>
        <v>135</v>
      </c>
      <c r="AD33" s="34">
        <f t="shared" si="25"/>
        <v>0</v>
      </c>
      <c r="AE33" s="31">
        <f t="shared" si="25"/>
        <v>133</v>
      </c>
      <c r="AF33" s="31">
        <f t="shared" si="25"/>
        <v>268</v>
      </c>
    </row>
    <row r="34" spans="2:32" ht="23.1" customHeight="1" x14ac:dyDescent="0.25">
      <c r="B34" s="24" t="s">
        <v>61</v>
      </c>
      <c r="C34" s="49">
        <f>AVERAGE('29.07 JinjaRoad-Kira Road'!C34,'30.07 Jinja Road-Kira Road'!C34,'31.07 Jinja Road-Kira Road'!C34,'2.08 Jinja road-Kira road'!C34,'1.08 Jinja Road-Kira Road-24h'!C34,'3.08 Jinja Road-KiraRoad-24h'!C34,'4.08.JINJA ROAD-KIIRA'!C34)</f>
        <v>93.142857142857139</v>
      </c>
      <c r="D34" s="49">
        <f>AVERAGE('29.07 JinjaRoad-Kira Road'!D34,'30.07 Jinja Road-Kira Road'!D34,'31.07 Jinja Road-Kira Road'!D34,'2.08 Jinja road-Kira road'!D34,'1.08 Jinja Road-Kira Road-24h'!D34,'3.08 Jinja Road-KiraRoad-24h'!D34,'4.08.JINJA ROAD-KIIRA'!D34)</f>
        <v>52.857142857142854</v>
      </c>
      <c r="E34" s="49">
        <f>AVERAGE('29.07 JinjaRoad-Kira Road'!E34,'30.07 Jinja Road-Kira Road'!E34,'31.07 Jinja Road-Kira Road'!E34,'2.08 Jinja road-Kira road'!E34,'1.08 Jinja Road-Kira Road-24h'!E34,'3.08 Jinja Road-KiraRoad-24h'!E34,'4.08.JINJA ROAD-KIIRA'!E34)</f>
        <v>17.428571428571427</v>
      </c>
      <c r="F34" s="49">
        <f>AVERAGE('29.07 JinjaRoad-Kira Road'!F34,'30.07 Jinja Road-Kira Road'!F34,'31.07 Jinja Road-Kira Road'!F34,'2.08 Jinja road-Kira road'!F34,'1.08 Jinja Road-Kira Road-24h'!F34,'3.08 Jinja Road-KiraRoad-24h'!F34,'4.08.JINJA ROAD-KIIRA'!F34)</f>
        <v>6.7142857142857144</v>
      </c>
      <c r="G34" s="49">
        <f>AVERAGE('29.07 JinjaRoad-Kira Road'!G34,'30.07 Jinja Road-Kira Road'!G34,'31.07 Jinja Road-Kira Road'!G34,'2.08 Jinja road-Kira road'!G34,'1.08 Jinja Road-Kira Road-24h'!G34,'3.08 Jinja Road-KiraRoad-24h'!G34,'4.08.JINJA ROAD-KIIRA'!G34)</f>
        <v>0.7142857142857143</v>
      </c>
      <c r="H34" s="49">
        <f>AVERAGE('29.07 JinjaRoad-Kira Road'!H34,'30.07 Jinja Road-Kira Road'!H34,'31.07 Jinja Road-Kira Road'!H34,'2.08 Jinja road-Kira road'!H34,'1.08 Jinja Road-Kira Road-24h'!H34,'3.08 Jinja Road-KiraRoad-24h'!H34,'4.08.JINJA ROAD-KIIRA'!H34)</f>
        <v>0.14285714285714285</v>
      </c>
      <c r="I34" s="49">
        <f>AVERAGE('29.07 JinjaRoad-Kira Road'!I34,'30.07 Jinja Road-Kira Road'!I34,'31.07 Jinja Road-Kira Road'!I34,'2.08 Jinja road-Kira road'!I34,'1.08 Jinja Road-Kira Road-24h'!I34,'3.08 Jinja Road-KiraRoad-24h'!I34,'4.08.JINJA ROAD-KIIRA'!I34)</f>
        <v>1.2857142857142858</v>
      </c>
      <c r="J34" s="49">
        <f>AVERAGE('29.07 JinjaRoad-Kira Road'!J34,'30.07 Jinja Road-Kira Road'!J34,'31.07 Jinja Road-Kira Road'!J34,'2.08 Jinja road-Kira road'!J34,'1.08 Jinja Road-Kira Road-24h'!J34,'3.08 Jinja Road-KiraRoad-24h'!J34,'4.08.JINJA ROAD-KIIRA'!J34)</f>
        <v>1.5714285714285714</v>
      </c>
      <c r="K34" s="49">
        <f>AVERAGE('29.07 JinjaRoad-Kira Road'!K34,'30.07 Jinja Road-Kira Road'!K34,'31.07 Jinja Road-Kira Road'!K34,'2.08 Jinja road-Kira road'!K34,'1.08 Jinja Road-Kira Road-24h'!K34,'3.08 Jinja Road-KiraRoad-24h'!K34,'4.08.JINJA ROAD-KIIRA'!K34)</f>
        <v>0</v>
      </c>
      <c r="L34" s="49">
        <f>AVERAGE('29.07 JinjaRoad-Kira Road'!L34,'30.07 Jinja Road-Kira Road'!L34,'31.07 Jinja Road-Kira Road'!L34,'2.08 Jinja road-Kira road'!L34,'1.08 Jinja Road-Kira Road-24h'!L34,'3.08 Jinja Road-KiraRoad-24h'!L34,'4.08.JINJA ROAD-KIIRA'!L34)</f>
        <v>0.14285714285714285</v>
      </c>
      <c r="M34" s="49">
        <f>AVERAGE('29.07 JinjaRoad-Kira Road'!M34,'30.07 Jinja Road-Kira Road'!M34,'31.07 Jinja Road-Kira Road'!M34,'2.08 Jinja road-Kira road'!M34,'1.08 Jinja Road-Kira Road-24h'!M34,'3.08 Jinja Road-KiraRoad-24h'!M34,'4.08.JINJA ROAD-KIIRA'!M34)</f>
        <v>91.857142857142861</v>
      </c>
      <c r="N34" s="49">
        <f>AVERAGE('29.07 JinjaRoad-Kira Road'!N34,'30.07 Jinja Road-Kira Road'!N34,'31.07 Jinja Road-Kira Road'!N34,'2.08 Jinja road-Kira road'!N34,'1.08 Jinja Road-Kira Road-24h'!N34,'3.08 Jinja Road-KiraRoad-24h'!N34,'4.08.JINJA ROAD-KIIRA'!N34)</f>
        <v>0</v>
      </c>
      <c r="O34" s="15">
        <f t="shared" si="0"/>
        <v>174</v>
      </c>
      <c r="P34" s="15">
        <f t="shared" si="1"/>
        <v>265.85714285714289</v>
      </c>
      <c r="R34" s="38" t="s">
        <v>90</v>
      </c>
      <c r="S34" s="39">
        <f t="shared" ref="S34:AF34" si="26">MAX(S10:S12)</f>
        <v>230.71428571428572</v>
      </c>
      <c r="T34" s="39">
        <f t="shared" si="26"/>
        <v>133.14285714285714</v>
      </c>
      <c r="U34" s="39">
        <f t="shared" si="26"/>
        <v>30.857142857142858</v>
      </c>
      <c r="V34" s="39">
        <f t="shared" si="26"/>
        <v>11.714285714285714</v>
      </c>
      <c r="W34" s="39">
        <f t="shared" si="26"/>
        <v>1.1428571428571428</v>
      </c>
      <c r="X34" s="39">
        <f t="shared" si="26"/>
        <v>0.7142857142857143</v>
      </c>
      <c r="Y34" s="39">
        <f t="shared" si="26"/>
        <v>13.857142857142858</v>
      </c>
      <c r="Z34" s="39">
        <f t="shared" si="26"/>
        <v>6</v>
      </c>
      <c r="AA34" s="39">
        <f t="shared" si="26"/>
        <v>1.5714285714285714</v>
      </c>
      <c r="AB34" s="39">
        <f t="shared" si="26"/>
        <v>1.1428571428571428</v>
      </c>
      <c r="AC34" s="39">
        <f t="shared" si="26"/>
        <v>625.71428571428578</v>
      </c>
      <c r="AD34" s="39">
        <f t="shared" si="26"/>
        <v>0.14285714285714285</v>
      </c>
      <c r="AE34" s="40">
        <f t="shared" si="26"/>
        <v>429.57142857142861</v>
      </c>
      <c r="AF34" s="40">
        <f t="shared" si="26"/>
        <v>984.42857142857156</v>
      </c>
    </row>
    <row r="35" spans="2:32" ht="23.1" customHeight="1" x14ac:dyDescent="0.25">
      <c r="B35" s="24" t="s">
        <v>62</v>
      </c>
      <c r="C35" s="49">
        <f>AVERAGE('29.07 JinjaRoad-Kira Road'!C35,'30.07 Jinja Road-Kira Road'!C35,'31.07 Jinja Road-Kira Road'!C35,'2.08 Jinja road-Kira road'!C35,'1.08 Jinja Road-Kira Road-24h'!C35,'3.08 Jinja Road-KiraRoad-24h'!C35,'4.08.JINJA ROAD-KIIRA'!C35)</f>
        <v>87.571428571428569</v>
      </c>
      <c r="D35" s="49">
        <f>AVERAGE('29.07 JinjaRoad-Kira Road'!D35,'30.07 Jinja Road-Kira Road'!D35,'31.07 Jinja Road-Kira Road'!D35,'2.08 Jinja road-Kira road'!D35,'1.08 Jinja Road-Kira Road-24h'!D35,'3.08 Jinja Road-KiraRoad-24h'!D35,'4.08.JINJA ROAD-KIIRA'!D35)</f>
        <v>52.428571428571431</v>
      </c>
      <c r="E35" s="49">
        <f>AVERAGE('29.07 JinjaRoad-Kira Road'!E35,'30.07 Jinja Road-Kira Road'!E35,'31.07 Jinja Road-Kira Road'!E35,'2.08 Jinja road-Kira road'!E35,'1.08 Jinja Road-Kira Road-24h'!E35,'3.08 Jinja Road-KiraRoad-24h'!E35,'4.08.JINJA ROAD-KIIRA'!E35)</f>
        <v>18.142857142857142</v>
      </c>
      <c r="F35" s="49">
        <f>AVERAGE('29.07 JinjaRoad-Kira Road'!F35,'30.07 Jinja Road-Kira Road'!F35,'31.07 Jinja Road-Kira Road'!F35,'2.08 Jinja road-Kira road'!F35,'1.08 Jinja Road-Kira Road-24h'!F35,'3.08 Jinja Road-KiraRoad-24h'!F35,'4.08.JINJA ROAD-KIIRA'!F35)</f>
        <v>4.2857142857142856</v>
      </c>
      <c r="G35" s="49">
        <f>AVERAGE('29.07 JinjaRoad-Kira Road'!G35,'30.07 Jinja Road-Kira Road'!G35,'31.07 Jinja Road-Kira Road'!G35,'2.08 Jinja road-Kira road'!G35,'1.08 Jinja Road-Kira Road-24h'!G35,'3.08 Jinja Road-KiraRoad-24h'!G35,'4.08.JINJA ROAD-KIIRA'!G35)</f>
        <v>0.14285714285714285</v>
      </c>
      <c r="H35" s="49">
        <f>AVERAGE('29.07 JinjaRoad-Kira Road'!H35,'30.07 Jinja Road-Kira Road'!H35,'31.07 Jinja Road-Kira Road'!H35,'2.08 Jinja road-Kira road'!H35,'1.08 Jinja Road-Kira Road-24h'!H35,'3.08 Jinja Road-KiraRoad-24h'!H35,'4.08.JINJA ROAD-KIIRA'!H35)</f>
        <v>0</v>
      </c>
      <c r="I35" s="49">
        <f>AVERAGE('29.07 JinjaRoad-Kira Road'!I35,'30.07 Jinja Road-Kira Road'!I35,'31.07 Jinja Road-Kira Road'!I35,'2.08 Jinja road-Kira road'!I35,'1.08 Jinja Road-Kira Road-24h'!I35,'3.08 Jinja Road-KiraRoad-24h'!I35,'4.08.JINJA ROAD-KIIRA'!I35)</f>
        <v>3.2857142857142856</v>
      </c>
      <c r="J35" s="49">
        <f>AVERAGE('29.07 JinjaRoad-Kira Road'!J35,'30.07 Jinja Road-Kira Road'!J35,'31.07 Jinja Road-Kira Road'!J35,'2.08 Jinja road-Kira road'!J35,'1.08 Jinja Road-Kira Road-24h'!J35,'3.08 Jinja Road-KiraRoad-24h'!J35,'4.08.JINJA ROAD-KIIRA'!J35)</f>
        <v>1.4285714285714286</v>
      </c>
      <c r="K35" s="49">
        <f>AVERAGE('29.07 JinjaRoad-Kira Road'!K35,'30.07 Jinja Road-Kira Road'!K35,'31.07 Jinja Road-Kira Road'!K35,'2.08 Jinja road-Kira road'!K35,'1.08 Jinja Road-Kira Road-24h'!K35,'3.08 Jinja Road-KiraRoad-24h'!K35,'4.08.JINJA ROAD-KIIRA'!K35)</f>
        <v>0.2857142857142857</v>
      </c>
      <c r="L35" s="49">
        <f>AVERAGE('29.07 JinjaRoad-Kira Road'!L35,'30.07 Jinja Road-Kira Road'!L35,'31.07 Jinja Road-Kira Road'!L35,'2.08 Jinja road-Kira road'!L35,'1.08 Jinja Road-Kira Road-24h'!L35,'3.08 Jinja Road-KiraRoad-24h'!L35,'4.08.JINJA ROAD-KIIRA'!L35)</f>
        <v>0.2857142857142857</v>
      </c>
      <c r="M35" s="49">
        <f>AVERAGE('29.07 JinjaRoad-Kira Road'!M35,'30.07 Jinja Road-Kira Road'!M35,'31.07 Jinja Road-Kira Road'!M35,'2.08 Jinja road-Kira road'!M35,'1.08 Jinja Road-Kira Road-24h'!M35,'3.08 Jinja Road-KiraRoad-24h'!M35,'4.08.JINJA ROAD-KIIRA'!M35)</f>
        <v>126.42857142857143</v>
      </c>
      <c r="N35" s="49">
        <f>AVERAGE('29.07 JinjaRoad-Kira Road'!N35,'30.07 Jinja Road-Kira Road'!N35,'31.07 Jinja Road-Kira Road'!N35,'2.08 Jinja road-Kira road'!N35,'1.08 Jinja Road-Kira Road-24h'!N35,'3.08 Jinja Road-KiraRoad-24h'!N35,'4.08.JINJA ROAD-KIIRA'!N35)</f>
        <v>0</v>
      </c>
      <c r="O35" s="15">
        <f t="shared" si="0"/>
        <v>167.8571428571428</v>
      </c>
      <c r="P35" s="15">
        <f t="shared" si="1"/>
        <v>294.28571428571422</v>
      </c>
      <c r="R35" s="38" t="s">
        <v>91</v>
      </c>
      <c r="S35" s="39">
        <f t="shared" ref="S35:AF35" si="27">MAX(S13:S18)</f>
        <v>360.14285714285711</v>
      </c>
      <c r="T35" s="39">
        <f t="shared" si="27"/>
        <v>210.57142857142856</v>
      </c>
      <c r="U35" s="39">
        <f t="shared" si="27"/>
        <v>67.285714285714278</v>
      </c>
      <c r="V35" s="39">
        <f t="shared" si="27"/>
        <v>15.166666666666666</v>
      </c>
      <c r="W35" s="39">
        <f t="shared" si="27"/>
        <v>2</v>
      </c>
      <c r="X35" s="39">
        <f t="shared" si="27"/>
        <v>0.71428571428571419</v>
      </c>
      <c r="Y35" s="39">
        <f t="shared" si="27"/>
        <v>12.285714285714285</v>
      </c>
      <c r="Z35" s="39">
        <f t="shared" si="27"/>
        <v>6.7142857142857144</v>
      </c>
      <c r="AA35" s="39">
        <f t="shared" si="27"/>
        <v>2.7142857142857144</v>
      </c>
      <c r="AB35" s="39">
        <f t="shared" si="27"/>
        <v>1.4285714285714284</v>
      </c>
      <c r="AC35" s="39">
        <f t="shared" si="27"/>
        <v>572.42857142857144</v>
      </c>
      <c r="AD35" s="39">
        <f t="shared" si="27"/>
        <v>0.14285714285714285</v>
      </c>
      <c r="AE35" s="40">
        <f t="shared" si="27"/>
        <v>653.16666666666652</v>
      </c>
      <c r="AF35" s="40">
        <f t="shared" si="27"/>
        <v>1194.2857142857142</v>
      </c>
    </row>
    <row r="36" spans="2:32" ht="23.1" customHeight="1" x14ac:dyDescent="0.25">
      <c r="B36" s="24" t="s">
        <v>63</v>
      </c>
      <c r="C36" s="49">
        <f>AVERAGE('29.07 JinjaRoad-Kira Road'!C36,'30.07 Jinja Road-Kira Road'!C36,'31.07 Jinja Road-Kira Road'!C36,'2.08 Jinja road-Kira road'!C36,'1.08 Jinja Road-Kira Road-24h'!C36,'3.08 Jinja Road-KiraRoad-24h'!C36,'4.08.JINJA ROAD-KIIRA'!C36)</f>
        <v>85.857142857142861</v>
      </c>
      <c r="D36" s="49">
        <f>AVERAGE('29.07 JinjaRoad-Kira Road'!D36,'30.07 Jinja Road-Kira Road'!D36,'31.07 Jinja Road-Kira Road'!D36,'2.08 Jinja road-Kira road'!D36,'1.08 Jinja Road-Kira Road-24h'!D36,'3.08 Jinja Road-KiraRoad-24h'!D36,'4.08.JINJA ROAD-KIIRA'!D36)</f>
        <v>58.428571428571431</v>
      </c>
      <c r="E36" s="49">
        <f>AVERAGE('29.07 JinjaRoad-Kira Road'!E36,'30.07 Jinja Road-Kira Road'!E36,'31.07 Jinja Road-Kira Road'!E36,'2.08 Jinja road-Kira road'!E36,'1.08 Jinja Road-Kira Road-24h'!E36,'3.08 Jinja Road-KiraRoad-24h'!E36,'4.08.JINJA ROAD-KIIRA'!E36)</f>
        <v>17.571428571428573</v>
      </c>
      <c r="F36" s="49">
        <f>AVERAGE('29.07 JinjaRoad-Kira Road'!F36,'30.07 Jinja Road-Kira Road'!F36,'31.07 Jinja Road-Kira Road'!F36,'2.08 Jinja road-Kira road'!F36,'1.08 Jinja Road-Kira Road-24h'!F36,'3.08 Jinja Road-KiraRoad-24h'!F36,'4.08.JINJA ROAD-KIIRA'!F36)</f>
        <v>2</v>
      </c>
      <c r="G36" s="49">
        <f>AVERAGE('29.07 JinjaRoad-Kira Road'!G36,'30.07 Jinja Road-Kira Road'!G36,'31.07 Jinja Road-Kira Road'!G36,'2.08 Jinja road-Kira road'!G36,'1.08 Jinja Road-Kira Road-24h'!G36,'3.08 Jinja Road-KiraRoad-24h'!G36,'4.08.JINJA ROAD-KIIRA'!G36)</f>
        <v>0.8571428571428571</v>
      </c>
      <c r="H36" s="49">
        <f>AVERAGE('29.07 JinjaRoad-Kira Road'!H36,'30.07 Jinja Road-Kira Road'!H36,'31.07 Jinja Road-Kira Road'!H36,'2.08 Jinja road-Kira road'!H36,'1.08 Jinja Road-Kira Road-24h'!H36,'3.08 Jinja Road-KiraRoad-24h'!H36,'4.08.JINJA ROAD-KIIRA'!H36)</f>
        <v>0.14285714285714285</v>
      </c>
      <c r="I36" s="49">
        <f>AVERAGE('29.07 JinjaRoad-Kira Road'!I36,'30.07 Jinja Road-Kira Road'!I36,'31.07 Jinja Road-Kira Road'!I36,'2.08 Jinja road-Kira road'!I36,'1.08 Jinja Road-Kira Road-24h'!I36,'3.08 Jinja Road-KiraRoad-24h'!I36,'4.08.JINJA ROAD-KIIRA'!I36)</f>
        <v>3.1428571428571428</v>
      </c>
      <c r="J36" s="49">
        <f>AVERAGE('29.07 JinjaRoad-Kira Road'!J36,'30.07 Jinja Road-Kira Road'!J36,'31.07 Jinja Road-Kira Road'!J36,'2.08 Jinja road-Kira road'!J36,'1.08 Jinja Road-Kira Road-24h'!J36,'3.08 Jinja Road-KiraRoad-24h'!J36,'4.08.JINJA ROAD-KIIRA'!J36)</f>
        <v>0.7142857142857143</v>
      </c>
      <c r="K36" s="49">
        <f>AVERAGE('29.07 JinjaRoad-Kira Road'!K36,'30.07 Jinja Road-Kira Road'!K36,'31.07 Jinja Road-Kira Road'!K36,'2.08 Jinja road-Kira road'!K36,'1.08 Jinja Road-Kira Road-24h'!K36,'3.08 Jinja Road-KiraRoad-24h'!K36,'4.08.JINJA ROAD-KIIRA'!K36)</f>
        <v>0.42857142857142855</v>
      </c>
      <c r="L36" s="49">
        <f>AVERAGE('29.07 JinjaRoad-Kira Road'!L36,'30.07 Jinja Road-Kira Road'!L36,'31.07 Jinja Road-Kira Road'!L36,'2.08 Jinja road-Kira road'!L36,'1.08 Jinja Road-Kira Road-24h'!L36,'3.08 Jinja Road-KiraRoad-24h'!L36,'4.08.JINJA ROAD-KIIRA'!L36)</f>
        <v>0.2857142857142857</v>
      </c>
      <c r="M36" s="49">
        <f>AVERAGE('29.07 JinjaRoad-Kira Road'!M36,'30.07 Jinja Road-Kira Road'!M36,'31.07 Jinja Road-Kira Road'!M36,'2.08 Jinja road-Kira road'!M36,'1.08 Jinja Road-Kira Road-24h'!M36,'3.08 Jinja Road-KiraRoad-24h'!M36,'4.08.JINJA ROAD-KIIRA'!M36)</f>
        <v>127.28571428571429</v>
      </c>
      <c r="N36" s="49">
        <f>AVERAGE('29.07 JinjaRoad-Kira Road'!N36,'30.07 Jinja Road-Kira Road'!N36,'31.07 Jinja Road-Kira Road'!N36,'2.08 Jinja road-Kira road'!N36,'1.08 Jinja Road-Kira Road-24h'!N36,'3.08 Jinja Road-KiraRoad-24h'!N36,'4.08.JINJA ROAD-KIIRA'!N36)</f>
        <v>0</v>
      </c>
      <c r="O36" s="15">
        <f t="shared" si="0"/>
        <v>169.42857142857142</v>
      </c>
      <c r="P36" s="15">
        <f t="shared" si="1"/>
        <v>296.71428571428572</v>
      </c>
      <c r="R36" s="38" t="s">
        <v>92</v>
      </c>
      <c r="S36" s="39">
        <f t="shared" ref="S36:AF36" si="28">MAX(S19:S21)</f>
        <v>425</v>
      </c>
      <c r="T36" s="39">
        <f t="shared" si="28"/>
        <v>216.42857142857144</v>
      </c>
      <c r="U36" s="39">
        <f t="shared" si="28"/>
        <v>56.571428571428569</v>
      </c>
      <c r="V36" s="39">
        <f t="shared" si="28"/>
        <v>21.428571428571431</v>
      </c>
      <c r="W36" s="39">
        <f t="shared" si="28"/>
        <v>2.1428571428571428</v>
      </c>
      <c r="X36" s="39">
        <f t="shared" si="28"/>
        <v>0.2857142857142857</v>
      </c>
      <c r="Y36" s="39">
        <f t="shared" si="28"/>
        <v>9.7142857142857135</v>
      </c>
      <c r="Z36" s="39">
        <f t="shared" si="28"/>
        <v>4.7142857142857144</v>
      </c>
      <c r="AA36" s="39">
        <f t="shared" si="28"/>
        <v>1.4285714285714286</v>
      </c>
      <c r="AB36" s="39">
        <f t="shared" si="28"/>
        <v>1.4285714285714286</v>
      </c>
      <c r="AC36" s="39">
        <f t="shared" si="28"/>
        <v>624.42857142857144</v>
      </c>
      <c r="AD36" s="39">
        <f t="shared" si="28"/>
        <v>0</v>
      </c>
      <c r="AE36" s="40">
        <f t="shared" si="28"/>
        <v>721.28571428571422</v>
      </c>
      <c r="AF36" s="40">
        <f t="shared" si="28"/>
        <v>1345.7142857142858</v>
      </c>
    </row>
    <row r="37" spans="2:32" ht="23.1" customHeight="1" x14ac:dyDescent="0.25">
      <c r="B37" s="23" t="s">
        <v>64</v>
      </c>
      <c r="C37" s="49">
        <f>AVERAGE('29.07 JinjaRoad-Kira Road'!C37,'30.07 Jinja Road-Kira Road'!C37,'31.07 Jinja Road-Kira Road'!C37,'2.08 Jinja road-Kira road'!C37,'1.08 Jinja Road-Kira Road-24h'!C37,'3.08 Jinja Road-KiraRoad-24h'!C37,'4.08.JINJA ROAD-KIIRA'!C37)</f>
        <v>76.714285714285708</v>
      </c>
      <c r="D37" s="49">
        <f>AVERAGE('29.07 JinjaRoad-Kira Road'!D37,'30.07 Jinja Road-Kira Road'!D37,'31.07 Jinja Road-Kira Road'!D37,'2.08 Jinja road-Kira road'!D37,'1.08 Jinja Road-Kira Road-24h'!D37,'3.08 Jinja Road-KiraRoad-24h'!D37,'4.08.JINJA ROAD-KIIRA'!D37)</f>
        <v>44.714285714285715</v>
      </c>
      <c r="E37" s="49">
        <f>AVERAGE('29.07 JinjaRoad-Kira Road'!E37,'30.07 Jinja Road-Kira Road'!E37,'31.07 Jinja Road-Kira Road'!E37,'2.08 Jinja road-Kira road'!E37,'1.08 Jinja Road-Kira Road-24h'!E37,'3.08 Jinja Road-KiraRoad-24h'!E37,'4.08.JINJA ROAD-KIIRA'!E37)</f>
        <v>12.428571428571429</v>
      </c>
      <c r="F37" s="49">
        <f>AVERAGE('29.07 JinjaRoad-Kira Road'!F37,'30.07 Jinja Road-Kira Road'!F37,'31.07 Jinja Road-Kira Road'!F37,'2.08 Jinja road-Kira road'!F37,'1.08 Jinja Road-Kira Road-24h'!F37,'3.08 Jinja Road-KiraRoad-24h'!F37,'4.08.JINJA ROAD-KIIRA'!F37)</f>
        <v>2.1666666666666665</v>
      </c>
      <c r="G37" s="49">
        <f>AVERAGE('29.07 JinjaRoad-Kira Road'!G37,'30.07 Jinja Road-Kira Road'!G37,'31.07 Jinja Road-Kira Road'!G37,'2.08 Jinja road-Kira road'!G37,'1.08 Jinja Road-Kira Road-24h'!G37,'3.08 Jinja Road-KiraRoad-24h'!G37,'4.08.JINJA ROAD-KIIRA'!G37)</f>
        <v>0.2857142857142857</v>
      </c>
      <c r="H37" s="49">
        <f>AVERAGE('29.07 JinjaRoad-Kira Road'!H37,'30.07 Jinja Road-Kira Road'!H37,'31.07 Jinja Road-Kira Road'!H37,'2.08 Jinja road-Kira road'!H37,'1.08 Jinja Road-Kira Road-24h'!H37,'3.08 Jinja Road-KiraRoad-24h'!H37,'4.08.JINJA ROAD-KIIRA'!H37)</f>
        <v>0</v>
      </c>
      <c r="I37" s="49">
        <f>AVERAGE('29.07 JinjaRoad-Kira Road'!I37,'30.07 Jinja Road-Kira Road'!I37,'31.07 Jinja Road-Kira Road'!I37,'2.08 Jinja road-Kira road'!I37,'1.08 Jinja Road-Kira Road-24h'!I37,'3.08 Jinja Road-KiraRoad-24h'!I37,'4.08.JINJA ROAD-KIIRA'!I37)</f>
        <v>4.2857142857142856</v>
      </c>
      <c r="J37" s="49">
        <f>AVERAGE('29.07 JinjaRoad-Kira Road'!J37,'30.07 Jinja Road-Kira Road'!J37,'31.07 Jinja Road-Kira Road'!J37,'2.08 Jinja road-Kira road'!J37,'1.08 Jinja Road-Kira Road-24h'!J37,'3.08 Jinja Road-KiraRoad-24h'!J37,'4.08.JINJA ROAD-KIIRA'!J37)</f>
        <v>1.1428571428571428</v>
      </c>
      <c r="K37" s="49">
        <f>AVERAGE('29.07 JinjaRoad-Kira Road'!K37,'30.07 Jinja Road-Kira Road'!K37,'31.07 Jinja Road-Kira Road'!K37,'2.08 Jinja road-Kira road'!K37,'1.08 Jinja Road-Kira Road-24h'!K37,'3.08 Jinja Road-KiraRoad-24h'!K37,'4.08.JINJA ROAD-KIIRA'!K37)</f>
        <v>0.14285714285714285</v>
      </c>
      <c r="L37" s="49">
        <f>AVERAGE('29.07 JinjaRoad-Kira Road'!L37,'30.07 Jinja Road-Kira Road'!L37,'31.07 Jinja Road-Kira Road'!L37,'2.08 Jinja road-Kira road'!L37,'1.08 Jinja Road-Kira Road-24h'!L37,'3.08 Jinja Road-KiraRoad-24h'!L37,'4.08.JINJA ROAD-KIIRA'!L37)</f>
        <v>0</v>
      </c>
      <c r="M37" s="49">
        <f>AVERAGE('29.07 JinjaRoad-Kira Road'!M37,'30.07 Jinja Road-Kira Road'!M37,'31.07 Jinja Road-Kira Road'!M37,'2.08 Jinja road-Kira road'!M37,'1.08 Jinja Road-Kira Road-24h'!M37,'3.08 Jinja Road-KiraRoad-24h'!M37,'4.08.JINJA ROAD-KIIRA'!M37)</f>
        <v>133.85714285714286</v>
      </c>
      <c r="N37" s="49">
        <f>AVERAGE('29.07 JinjaRoad-Kira Road'!N37,'30.07 Jinja Road-Kira Road'!N37,'31.07 Jinja Road-Kira Road'!N37,'2.08 Jinja road-Kira road'!N37,'1.08 Jinja Road-Kira Road-24h'!N37,'3.08 Jinja Road-KiraRoad-24h'!N37,'4.08.JINJA ROAD-KIIRA'!N37)</f>
        <v>0</v>
      </c>
      <c r="O37" s="15">
        <f t="shared" si="0"/>
        <v>141.88095238095232</v>
      </c>
      <c r="P37" s="15">
        <f t="shared" si="1"/>
        <v>275.73809523809518</v>
      </c>
      <c r="R37" s="37" t="s">
        <v>85</v>
      </c>
      <c r="S37" s="35">
        <f t="shared" ref="S37:AF37" si="29">SUM(S10:S12)</f>
        <v>633</v>
      </c>
      <c r="T37" s="16">
        <f t="shared" si="29"/>
        <v>308</v>
      </c>
      <c r="U37" s="16">
        <f t="shared" si="29"/>
        <v>80</v>
      </c>
      <c r="V37" s="16">
        <f t="shared" si="29"/>
        <v>29.571428571428569</v>
      </c>
      <c r="W37" s="16">
        <f t="shared" si="29"/>
        <v>2.5714285714285712</v>
      </c>
      <c r="X37" s="16">
        <f t="shared" si="29"/>
        <v>1.2857142857142856</v>
      </c>
      <c r="Y37" s="16">
        <f t="shared" si="29"/>
        <v>28.857142857142854</v>
      </c>
      <c r="Z37" s="16">
        <f t="shared" si="29"/>
        <v>10.714285714285715</v>
      </c>
      <c r="AA37" s="16">
        <f t="shared" si="29"/>
        <v>3</v>
      </c>
      <c r="AB37" s="16">
        <f t="shared" si="29"/>
        <v>3</v>
      </c>
      <c r="AC37" s="16">
        <f t="shared" si="29"/>
        <v>1663.5714285714287</v>
      </c>
      <c r="AD37" s="16">
        <f t="shared" si="29"/>
        <v>0.14285714285714285</v>
      </c>
      <c r="AE37" s="32">
        <f t="shared" si="29"/>
        <v>1100.1428571428571</v>
      </c>
      <c r="AF37" s="32">
        <f t="shared" si="29"/>
        <v>2763.7142857142858</v>
      </c>
    </row>
    <row r="38" spans="2:32" ht="23.1" customHeight="1" x14ac:dyDescent="0.25">
      <c r="B38" s="24" t="s">
        <v>65</v>
      </c>
      <c r="C38" s="49">
        <f>AVERAGE('29.07 JinjaRoad-Kira Road'!C38,'30.07 Jinja Road-Kira Road'!C38,'31.07 Jinja Road-Kira Road'!C38,'2.08 Jinja road-Kira road'!C38,'1.08 Jinja Road-Kira Road-24h'!C38,'3.08 Jinja Road-KiraRoad-24h'!C38,'4.08.JINJA ROAD-KIIRA'!C38)</f>
        <v>84.571428571428569</v>
      </c>
      <c r="D38" s="49">
        <f>AVERAGE('29.07 JinjaRoad-Kira Road'!D38,'30.07 Jinja Road-Kira Road'!D38,'31.07 Jinja Road-Kira Road'!D38,'2.08 Jinja road-Kira road'!D38,'1.08 Jinja Road-Kira Road-24h'!D38,'3.08 Jinja Road-KiraRoad-24h'!D38,'4.08.JINJA ROAD-KIIRA'!D38)</f>
        <v>45.142857142857146</v>
      </c>
      <c r="E38" s="49">
        <f>AVERAGE('29.07 JinjaRoad-Kira Road'!E38,'30.07 Jinja Road-Kira Road'!E38,'31.07 Jinja Road-Kira Road'!E38,'2.08 Jinja road-Kira road'!E38,'1.08 Jinja Road-Kira Road-24h'!E38,'3.08 Jinja Road-KiraRoad-24h'!E38,'4.08.JINJA ROAD-KIIRA'!E38)</f>
        <v>12.714285714285714</v>
      </c>
      <c r="F38" s="49">
        <f>AVERAGE('29.07 JinjaRoad-Kira Road'!F38,'30.07 Jinja Road-Kira Road'!F38,'31.07 Jinja Road-Kira Road'!F38,'2.08 Jinja road-Kira road'!F38,'1.08 Jinja Road-Kira Road-24h'!F38,'3.08 Jinja Road-KiraRoad-24h'!F38,'4.08.JINJA ROAD-KIIRA'!F38)</f>
        <v>2.5714285714285716</v>
      </c>
      <c r="G38" s="49">
        <f>AVERAGE('29.07 JinjaRoad-Kira Road'!G38,'30.07 Jinja Road-Kira Road'!G38,'31.07 Jinja Road-Kira Road'!G38,'2.08 Jinja road-Kira road'!G38,'1.08 Jinja Road-Kira Road-24h'!G38,'3.08 Jinja Road-KiraRoad-24h'!G38,'4.08.JINJA ROAD-KIIRA'!G38)</f>
        <v>0.14285714285714285</v>
      </c>
      <c r="H38" s="49">
        <f>AVERAGE('29.07 JinjaRoad-Kira Road'!H38,'30.07 Jinja Road-Kira Road'!H38,'31.07 Jinja Road-Kira Road'!H38,'2.08 Jinja road-Kira road'!H38,'1.08 Jinja Road-Kira Road-24h'!H38,'3.08 Jinja Road-KiraRoad-24h'!H38,'4.08.JINJA ROAD-KIIRA'!H38)</f>
        <v>0.14285714285714285</v>
      </c>
      <c r="I38" s="49">
        <f>AVERAGE('29.07 JinjaRoad-Kira Road'!I38,'30.07 Jinja Road-Kira Road'!I38,'31.07 Jinja Road-Kira Road'!I38,'2.08 Jinja road-Kira road'!I38,'1.08 Jinja Road-Kira Road-24h'!I38,'3.08 Jinja Road-KiraRoad-24h'!I38,'4.08.JINJA ROAD-KIIRA'!I38)</f>
        <v>2.7142857142857144</v>
      </c>
      <c r="J38" s="49">
        <f>AVERAGE('29.07 JinjaRoad-Kira Road'!J38,'30.07 Jinja Road-Kira Road'!J38,'31.07 Jinja Road-Kira Road'!J38,'2.08 Jinja road-Kira road'!J38,'1.08 Jinja Road-Kira Road-24h'!J38,'3.08 Jinja Road-KiraRoad-24h'!J38,'4.08.JINJA ROAD-KIIRA'!J38)</f>
        <v>2.2857142857142856</v>
      </c>
      <c r="K38" s="49">
        <f>AVERAGE('29.07 JinjaRoad-Kira Road'!K38,'30.07 Jinja Road-Kira Road'!K38,'31.07 Jinja Road-Kira Road'!K38,'2.08 Jinja road-Kira road'!K38,'1.08 Jinja Road-Kira Road-24h'!K38,'3.08 Jinja Road-KiraRoad-24h'!K38,'4.08.JINJA ROAD-KIIRA'!K38)</f>
        <v>0.2857142857142857</v>
      </c>
      <c r="L38" s="49">
        <f>AVERAGE('29.07 JinjaRoad-Kira Road'!L38,'30.07 Jinja Road-Kira Road'!L38,'31.07 Jinja Road-Kira Road'!L38,'2.08 Jinja road-Kira road'!L38,'1.08 Jinja Road-Kira Road-24h'!L38,'3.08 Jinja Road-KiraRoad-24h'!L38,'4.08.JINJA ROAD-KIIRA'!L38)</f>
        <v>0.14285714285714285</v>
      </c>
      <c r="M38" s="49">
        <f>AVERAGE('29.07 JinjaRoad-Kira Road'!M38,'30.07 Jinja Road-Kira Road'!M38,'31.07 Jinja Road-Kira Road'!M38,'2.08 Jinja road-Kira road'!M38,'1.08 Jinja Road-Kira Road-24h'!M38,'3.08 Jinja Road-KiraRoad-24h'!M38,'4.08.JINJA ROAD-KIIRA'!M38)</f>
        <v>112</v>
      </c>
      <c r="N38" s="49">
        <f>AVERAGE('29.07 JinjaRoad-Kira Road'!N38,'30.07 Jinja Road-Kira Road'!N38,'31.07 Jinja Road-Kira Road'!N38,'2.08 Jinja road-Kira road'!N38,'1.08 Jinja Road-Kira Road-24h'!N38,'3.08 Jinja Road-KiraRoad-24h'!N38,'4.08.JINJA ROAD-KIIRA'!N38)</f>
        <v>0</v>
      </c>
      <c r="O38" s="15">
        <f t="shared" si="0"/>
        <v>150.71428571428572</v>
      </c>
      <c r="P38" s="15">
        <f t="shared" si="1"/>
        <v>262.71428571428572</v>
      </c>
      <c r="R38" s="28" t="s">
        <v>86</v>
      </c>
      <c r="S38" s="16">
        <f t="shared" ref="S38:AF38" si="30">SUM(S13:S18)</f>
        <v>1945.2857142857142</v>
      </c>
      <c r="T38" s="16">
        <f t="shared" si="30"/>
        <v>1108.1428571428571</v>
      </c>
      <c r="U38" s="16">
        <f t="shared" si="30"/>
        <v>292.14285714285711</v>
      </c>
      <c r="V38" s="16">
        <f t="shared" si="30"/>
        <v>79.30952380952381</v>
      </c>
      <c r="W38" s="16">
        <f t="shared" si="30"/>
        <v>5.8571428571428568</v>
      </c>
      <c r="X38" s="16">
        <f t="shared" si="30"/>
        <v>1.857142857142857</v>
      </c>
      <c r="Y38" s="16">
        <f t="shared" si="30"/>
        <v>61.857142857142854</v>
      </c>
      <c r="Z38" s="16">
        <f t="shared" si="30"/>
        <v>32.285714285714292</v>
      </c>
      <c r="AA38" s="16">
        <f t="shared" si="30"/>
        <v>10.428571428571427</v>
      </c>
      <c r="AB38" s="16">
        <f t="shared" si="30"/>
        <v>5.5714285714285712</v>
      </c>
      <c r="AC38" s="16">
        <f t="shared" si="30"/>
        <v>3097.7142857142862</v>
      </c>
      <c r="AD38" s="16">
        <f t="shared" si="30"/>
        <v>0.2857142857142857</v>
      </c>
      <c r="AE38" s="32">
        <f t="shared" si="30"/>
        <v>3543.0238095238092</v>
      </c>
      <c r="AF38" s="32">
        <f t="shared" si="30"/>
        <v>6640.7380952380936</v>
      </c>
    </row>
    <row r="39" spans="2:32" ht="23.1" customHeight="1" x14ac:dyDescent="0.25">
      <c r="B39" s="24" t="s">
        <v>66</v>
      </c>
      <c r="C39" s="49">
        <f>AVERAGE('29.07 JinjaRoad-Kira Road'!C39,'30.07 Jinja Road-Kira Road'!C39,'31.07 Jinja Road-Kira Road'!C39,'2.08 Jinja road-Kira road'!C39,'1.08 Jinja Road-Kira Road-24h'!C39,'3.08 Jinja Road-KiraRoad-24h'!C39,'4.08.JINJA ROAD-KIIRA'!C39)</f>
        <v>94.714285714285708</v>
      </c>
      <c r="D39" s="49">
        <f>AVERAGE('29.07 JinjaRoad-Kira Road'!D39,'30.07 Jinja Road-Kira Road'!D39,'31.07 Jinja Road-Kira Road'!D39,'2.08 Jinja road-Kira road'!D39,'1.08 Jinja Road-Kira Road-24h'!D39,'3.08 Jinja Road-KiraRoad-24h'!D39,'4.08.JINJA ROAD-KIIRA'!D39)</f>
        <v>53.857142857142854</v>
      </c>
      <c r="E39" s="49">
        <f>AVERAGE('29.07 JinjaRoad-Kira Road'!E39,'30.07 Jinja Road-Kira Road'!E39,'31.07 Jinja Road-Kira Road'!E39,'2.08 Jinja road-Kira road'!E39,'1.08 Jinja Road-Kira Road-24h'!E39,'3.08 Jinja Road-KiraRoad-24h'!E39,'4.08.JINJA ROAD-KIIRA'!E39)</f>
        <v>12.142857142857142</v>
      </c>
      <c r="F39" s="49">
        <f>AVERAGE('29.07 JinjaRoad-Kira Road'!F39,'30.07 Jinja Road-Kira Road'!F39,'31.07 Jinja Road-Kira Road'!F39,'2.08 Jinja road-Kira road'!F39,'1.08 Jinja Road-Kira Road-24h'!F39,'3.08 Jinja Road-KiraRoad-24h'!F39,'4.08.JINJA ROAD-KIIRA'!F39)</f>
        <v>2.7142857142857144</v>
      </c>
      <c r="G39" s="49">
        <f>AVERAGE('29.07 JinjaRoad-Kira Road'!G39,'30.07 Jinja Road-Kira Road'!G39,'31.07 Jinja Road-Kira Road'!G39,'2.08 Jinja road-Kira road'!G39,'1.08 Jinja Road-Kira Road-24h'!G39,'3.08 Jinja Road-KiraRoad-24h'!G39,'4.08.JINJA ROAD-KIIRA'!G39)</f>
        <v>0.14285714285714285</v>
      </c>
      <c r="H39" s="49">
        <f>AVERAGE('29.07 JinjaRoad-Kira Road'!H39,'30.07 Jinja Road-Kira Road'!H39,'31.07 Jinja Road-Kira Road'!H39,'2.08 Jinja road-Kira road'!H39,'1.08 Jinja Road-Kira Road-24h'!H39,'3.08 Jinja Road-KiraRoad-24h'!H39,'4.08.JINJA ROAD-KIIRA'!H39)</f>
        <v>0.14285714285714285</v>
      </c>
      <c r="I39" s="49">
        <f>AVERAGE('29.07 JinjaRoad-Kira Road'!I39,'30.07 Jinja Road-Kira Road'!I39,'31.07 Jinja Road-Kira Road'!I39,'2.08 Jinja road-Kira road'!I39,'1.08 Jinja Road-Kira Road-24h'!I39,'3.08 Jinja Road-KiraRoad-24h'!I39,'4.08.JINJA ROAD-KIIRA'!I39)</f>
        <v>3.1428571428571428</v>
      </c>
      <c r="J39" s="49">
        <f>AVERAGE('29.07 JinjaRoad-Kira Road'!J39,'30.07 Jinja Road-Kira Road'!J39,'31.07 Jinja Road-Kira Road'!J39,'2.08 Jinja road-Kira road'!J39,'1.08 Jinja Road-Kira Road-24h'!J39,'3.08 Jinja Road-KiraRoad-24h'!J39,'4.08.JINJA ROAD-KIIRA'!J39)</f>
        <v>0.5714285714285714</v>
      </c>
      <c r="K39" s="49">
        <f>AVERAGE('29.07 JinjaRoad-Kira Road'!K39,'30.07 Jinja Road-Kira Road'!K39,'31.07 Jinja Road-Kira Road'!K39,'2.08 Jinja road-Kira road'!K39,'1.08 Jinja Road-Kira Road-24h'!K39,'3.08 Jinja Road-KiraRoad-24h'!K39,'4.08.JINJA ROAD-KIIRA'!K39)</f>
        <v>0.14285714285714285</v>
      </c>
      <c r="L39" s="49">
        <f>AVERAGE('29.07 JinjaRoad-Kira Road'!L39,'30.07 Jinja Road-Kira Road'!L39,'31.07 Jinja Road-Kira Road'!L39,'2.08 Jinja road-Kira road'!L39,'1.08 Jinja Road-Kira Road-24h'!L39,'3.08 Jinja Road-KiraRoad-24h'!L39,'4.08.JINJA ROAD-KIIRA'!L39)</f>
        <v>0</v>
      </c>
      <c r="M39" s="49">
        <f>AVERAGE('29.07 JinjaRoad-Kira Road'!M39,'30.07 Jinja Road-Kira Road'!M39,'31.07 Jinja Road-Kira Road'!M39,'2.08 Jinja road-Kira road'!M39,'1.08 Jinja Road-Kira Road-24h'!M39,'3.08 Jinja Road-KiraRoad-24h'!M39,'4.08.JINJA ROAD-KIIRA'!M39)</f>
        <v>121.28571428571429</v>
      </c>
      <c r="N39" s="49">
        <f>AVERAGE('29.07 JinjaRoad-Kira Road'!N39,'30.07 Jinja Road-Kira Road'!N39,'31.07 Jinja Road-Kira Road'!N39,'2.08 Jinja road-Kira road'!N39,'1.08 Jinja Road-Kira Road-24h'!N39,'3.08 Jinja Road-KiraRoad-24h'!N39,'4.08.JINJA ROAD-KIIRA'!N39)</f>
        <v>0</v>
      </c>
      <c r="O39" s="15">
        <f t="shared" si="0"/>
        <v>167.57142857142856</v>
      </c>
      <c r="P39" s="15">
        <f t="shared" si="1"/>
        <v>288.85714285714283</v>
      </c>
      <c r="R39" s="29" t="s">
        <v>87</v>
      </c>
      <c r="S39" s="16">
        <f t="shared" ref="S39:AF39" si="31">SUM(S19:S21)</f>
        <v>1190.7142857142858</v>
      </c>
      <c r="T39" s="16">
        <f t="shared" si="31"/>
        <v>635.85714285714289</v>
      </c>
      <c r="U39" s="16">
        <f t="shared" si="31"/>
        <v>159.57142857142856</v>
      </c>
      <c r="V39" s="16">
        <f t="shared" si="31"/>
        <v>52.428571428571431</v>
      </c>
      <c r="W39" s="16">
        <f t="shared" si="31"/>
        <v>4.7142857142857135</v>
      </c>
      <c r="X39" s="16">
        <f t="shared" si="31"/>
        <v>0.42857142857142855</v>
      </c>
      <c r="Y39" s="16">
        <f t="shared" si="31"/>
        <v>25.428571428571431</v>
      </c>
      <c r="Z39" s="16">
        <f t="shared" si="31"/>
        <v>12.999999999999998</v>
      </c>
      <c r="AA39" s="16">
        <f t="shared" si="31"/>
        <v>3.2857142857142856</v>
      </c>
      <c r="AB39" s="16">
        <f t="shared" si="31"/>
        <v>3.4285714285714288</v>
      </c>
      <c r="AC39" s="16">
        <f t="shared" si="31"/>
        <v>1783.5714285714284</v>
      </c>
      <c r="AD39" s="16">
        <f t="shared" si="31"/>
        <v>0</v>
      </c>
      <c r="AE39" s="32">
        <f t="shared" si="31"/>
        <v>2088.8571428571427</v>
      </c>
      <c r="AF39" s="32">
        <f t="shared" si="31"/>
        <v>3872.4285714285716</v>
      </c>
    </row>
    <row r="40" spans="2:32" ht="23.1" customHeight="1" x14ac:dyDescent="0.25">
      <c r="B40" s="24" t="s">
        <v>67</v>
      </c>
      <c r="C40" s="49">
        <f>AVERAGE('29.07 JinjaRoad-Kira Road'!C40,'30.07 Jinja Road-Kira Road'!C40,'31.07 Jinja Road-Kira Road'!C40,'2.08 Jinja road-Kira road'!C40,'1.08 Jinja Road-Kira Road-24h'!C40,'3.08 Jinja Road-KiraRoad-24h'!C40,'4.08.JINJA ROAD-KIIRA'!C40)</f>
        <v>92</v>
      </c>
      <c r="D40" s="49">
        <f>AVERAGE('29.07 JinjaRoad-Kira Road'!D40,'30.07 Jinja Road-Kira Road'!D40,'31.07 Jinja Road-Kira Road'!D40,'2.08 Jinja road-Kira road'!D40,'1.08 Jinja Road-Kira Road-24h'!D40,'3.08 Jinja Road-KiraRoad-24h'!D40,'4.08.JINJA ROAD-KIIRA'!D40)</f>
        <v>48.428571428571431</v>
      </c>
      <c r="E40" s="49">
        <f>AVERAGE('29.07 JinjaRoad-Kira Road'!E40,'30.07 Jinja Road-Kira Road'!E40,'31.07 Jinja Road-Kira Road'!E40,'2.08 Jinja road-Kira road'!E40,'1.08 Jinja Road-Kira Road-24h'!E40,'3.08 Jinja Road-KiraRoad-24h'!E40,'4.08.JINJA ROAD-KIIRA'!E40)</f>
        <v>11</v>
      </c>
      <c r="F40" s="49">
        <f>AVERAGE('29.07 JinjaRoad-Kira Road'!F40,'30.07 Jinja Road-Kira Road'!F40,'31.07 Jinja Road-Kira Road'!F40,'2.08 Jinja road-Kira road'!F40,'1.08 Jinja Road-Kira Road-24h'!F40,'3.08 Jinja Road-KiraRoad-24h'!F40,'4.08.JINJA ROAD-KIIRA'!F40)</f>
        <v>4.2857142857142856</v>
      </c>
      <c r="G40" s="49">
        <f>AVERAGE('29.07 JinjaRoad-Kira Road'!G40,'30.07 Jinja Road-Kira Road'!G40,'31.07 Jinja Road-Kira Road'!G40,'2.08 Jinja road-Kira road'!G40,'1.08 Jinja Road-Kira Road-24h'!G40,'3.08 Jinja Road-KiraRoad-24h'!G40,'4.08.JINJA ROAD-KIIRA'!G40)</f>
        <v>0</v>
      </c>
      <c r="H40" s="49">
        <f>AVERAGE('29.07 JinjaRoad-Kira Road'!H40,'30.07 Jinja Road-Kira Road'!H40,'31.07 Jinja Road-Kira Road'!H40,'2.08 Jinja road-Kira road'!H40,'1.08 Jinja Road-Kira Road-24h'!H40,'3.08 Jinja Road-KiraRoad-24h'!H40,'4.08.JINJA ROAD-KIIRA'!H40)</f>
        <v>0</v>
      </c>
      <c r="I40" s="49">
        <f>AVERAGE('29.07 JinjaRoad-Kira Road'!I40,'30.07 Jinja Road-Kira Road'!I40,'31.07 Jinja Road-Kira Road'!I40,'2.08 Jinja road-Kira road'!I40,'1.08 Jinja Road-Kira Road-24h'!I40,'3.08 Jinja Road-KiraRoad-24h'!I40,'4.08.JINJA ROAD-KIIRA'!I40)</f>
        <v>1.5714285714285714</v>
      </c>
      <c r="J40" s="49">
        <f>AVERAGE('29.07 JinjaRoad-Kira Road'!J40,'30.07 Jinja Road-Kira Road'!J40,'31.07 Jinja Road-Kira Road'!J40,'2.08 Jinja road-Kira road'!J40,'1.08 Jinja Road-Kira Road-24h'!J40,'3.08 Jinja Road-KiraRoad-24h'!J40,'4.08.JINJA ROAD-KIIRA'!J40)</f>
        <v>0.7142857142857143</v>
      </c>
      <c r="K40" s="49">
        <f>AVERAGE('29.07 JinjaRoad-Kira Road'!K40,'30.07 Jinja Road-Kira Road'!K40,'31.07 Jinja Road-Kira Road'!K40,'2.08 Jinja road-Kira road'!K40,'1.08 Jinja Road-Kira Road-24h'!K40,'3.08 Jinja Road-KiraRoad-24h'!K40,'4.08.JINJA ROAD-KIIRA'!K40)</f>
        <v>0.42857142857142855</v>
      </c>
      <c r="L40" s="49">
        <f>AVERAGE('29.07 JinjaRoad-Kira Road'!L40,'30.07 Jinja Road-Kira Road'!L40,'31.07 Jinja Road-Kira Road'!L40,'2.08 Jinja road-Kira road'!L40,'1.08 Jinja Road-Kira Road-24h'!L40,'3.08 Jinja Road-KiraRoad-24h'!L40,'4.08.JINJA ROAD-KIIRA'!L40)</f>
        <v>0.2857142857142857</v>
      </c>
      <c r="M40" s="49">
        <f>AVERAGE('29.07 JinjaRoad-Kira Road'!M40,'30.07 Jinja Road-Kira Road'!M40,'31.07 Jinja Road-Kira Road'!M40,'2.08 Jinja road-Kira road'!M40,'1.08 Jinja Road-Kira Road-24h'!M40,'3.08 Jinja Road-KiraRoad-24h'!M40,'4.08.JINJA ROAD-KIIRA'!M40)</f>
        <v>148.71428571428572</v>
      </c>
      <c r="N40" s="49">
        <f>AVERAGE('29.07 JinjaRoad-Kira Road'!N40,'30.07 Jinja Road-Kira Road'!N40,'31.07 Jinja Road-Kira Road'!N40,'2.08 Jinja road-Kira road'!N40,'1.08 Jinja Road-Kira Road-24h'!N40,'3.08 Jinja Road-KiraRoad-24h'!N40,'4.08.JINJA ROAD-KIIRA'!N40)</f>
        <v>0</v>
      </c>
      <c r="O40" s="15">
        <f t="shared" si="0"/>
        <v>158.71428571428572</v>
      </c>
      <c r="P40" s="15">
        <f t="shared" si="1"/>
        <v>307.42857142857144</v>
      </c>
      <c r="R40" s="5" t="s">
        <v>17</v>
      </c>
      <c r="S40" s="16">
        <f t="shared" ref="S40:AF40" si="32">SUM(S10:S21)</f>
        <v>3768.9999999999995</v>
      </c>
      <c r="T40" s="16">
        <f t="shared" si="32"/>
        <v>2052</v>
      </c>
      <c r="U40" s="16">
        <f t="shared" si="32"/>
        <v>531.71428571428567</v>
      </c>
      <c r="V40" s="16">
        <f t="shared" si="32"/>
        <v>161.30952380952385</v>
      </c>
      <c r="W40" s="16">
        <f t="shared" si="32"/>
        <v>13.142857142857142</v>
      </c>
      <c r="X40" s="16">
        <f t="shared" si="32"/>
        <v>3.5714285714285703</v>
      </c>
      <c r="Y40" s="16">
        <f t="shared" si="32"/>
        <v>116.14285714285715</v>
      </c>
      <c r="Z40" s="16">
        <f t="shared" si="32"/>
        <v>56</v>
      </c>
      <c r="AA40" s="16">
        <f t="shared" si="32"/>
        <v>16.714285714285712</v>
      </c>
      <c r="AB40" s="16">
        <f t="shared" si="32"/>
        <v>12.000000000000002</v>
      </c>
      <c r="AC40" s="16">
        <f t="shared" si="32"/>
        <v>6544.8571428571431</v>
      </c>
      <c r="AD40" s="16">
        <f t="shared" si="32"/>
        <v>0.42857142857142855</v>
      </c>
      <c r="AE40" s="32">
        <f t="shared" si="32"/>
        <v>6732.0238095238083</v>
      </c>
      <c r="AF40" s="32">
        <f t="shared" si="32"/>
        <v>13276.880952380952</v>
      </c>
    </row>
    <row r="41" spans="2:32" ht="23.1" customHeight="1" x14ac:dyDescent="0.25">
      <c r="B41" s="23" t="s">
        <v>68</v>
      </c>
      <c r="C41" s="49">
        <f>AVERAGE('29.07 JinjaRoad-Kira Road'!C41,'30.07 Jinja Road-Kira Road'!C41,'31.07 Jinja Road-Kira Road'!C41,'2.08 Jinja road-Kira road'!C41,'1.08 Jinja Road-Kira Road-24h'!C41,'3.08 Jinja Road-KiraRoad-24h'!C41,'4.08.JINJA ROAD-KIIRA'!C41)</f>
        <v>88.857142857142861</v>
      </c>
      <c r="D41" s="49">
        <f>AVERAGE('29.07 JinjaRoad-Kira Road'!D41,'30.07 Jinja Road-Kira Road'!D41,'31.07 Jinja Road-Kira Road'!D41,'2.08 Jinja road-Kira road'!D41,'1.08 Jinja Road-Kira Road-24h'!D41,'3.08 Jinja Road-KiraRoad-24h'!D41,'4.08.JINJA ROAD-KIIRA'!D41)</f>
        <v>52.428571428571431</v>
      </c>
      <c r="E41" s="49">
        <f>AVERAGE('29.07 JinjaRoad-Kira Road'!E41,'30.07 Jinja Road-Kira Road'!E41,'31.07 Jinja Road-Kira Road'!E41,'2.08 Jinja road-Kira road'!E41,'1.08 Jinja Road-Kira Road-24h'!E41,'3.08 Jinja Road-KiraRoad-24h'!E41,'4.08.JINJA ROAD-KIIRA'!E41)</f>
        <v>9.2857142857142865</v>
      </c>
      <c r="F41" s="49">
        <f>AVERAGE('29.07 JinjaRoad-Kira Road'!F41,'30.07 Jinja Road-Kira Road'!F41,'31.07 Jinja Road-Kira Road'!F41,'2.08 Jinja road-Kira road'!F41,'1.08 Jinja Road-Kira Road-24h'!F41,'3.08 Jinja Road-KiraRoad-24h'!F41,'4.08.JINJA ROAD-KIIRA'!F41)</f>
        <v>2.4285714285714284</v>
      </c>
      <c r="G41" s="49">
        <f>AVERAGE('29.07 JinjaRoad-Kira Road'!G41,'30.07 Jinja Road-Kira Road'!G41,'31.07 Jinja Road-Kira Road'!G41,'2.08 Jinja road-Kira road'!G41,'1.08 Jinja Road-Kira Road-24h'!G41,'3.08 Jinja Road-KiraRoad-24h'!G41,'4.08.JINJA ROAD-KIIRA'!G41)</f>
        <v>0.14285714285714285</v>
      </c>
      <c r="H41" s="49">
        <f>AVERAGE('29.07 JinjaRoad-Kira Road'!H41,'30.07 Jinja Road-Kira Road'!H41,'31.07 Jinja Road-Kira Road'!H41,'2.08 Jinja road-Kira road'!H41,'1.08 Jinja Road-Kira Road-24h'!H41,'3.08 Jinja Road-KiraRoad-24h'!H41,'4.08.JINJA ROAD-KIIRA'!H41)</f>
        <v>0</v>
      </c>
      <c r="I41" s="49">
        <f>AVERAGE('29.07 JinjaRoad-Kira Road'!I41,'30.07 Jinja Road-Kira Road'!I41,'31.07 Jinja Road-Kira Road'!I41,'2.08 Jinja road-Kira road'!I41,'1.08 Jinja Road-Kira Road-24h'!I41,'3.08 Jinja Road-KiraRoad-24h'!I41,'4.08.JINJA ROAD-KIIRA'!I41)</f>
        <v>1.2857142857142858</v>
      </c>
      <c r="J41" s="49">
        <f>AVERAGE('29.07 JinjaRoad-Kira Road'!J41,'30.07 Jinja Road-Kira Road'!J41,'31.07 Jinja Road-Kira Road'!J41,'2.08 Jinja road-Kira road'!J41,'1.08 Jinja Road-Kira Road-24h'!J41,'3.08 Jinja Road-KiraRoad-24h'!J41,'4.08.JINJA ROAD-KIIRA'!J41)</f>
        <v>1.8571428571428572</v>
      </c>
      <c r="K41" s="49">
        <f>AVERAGE('29.07 JinjaRoad-Kira Road'!K41,'30.07 Jinja Road-Kira Road'!K41,'31.07 Jinja Road-Kira Road'!K41,'2.08 Jinja road-Kira road'!K41,'1.08 Jinja Road-Kira Road-24h'!K41,'3.08 Jinja Road-KiraRoad-24h'!K41,'4.08.JINJA ROAD-KIIRA'!K41)</f>
        <v>0.14285714285714285</v>
      </c>
      <c r="L41" s="49">
        <f>AVERAGE('29.07 JinjaRoad-Kira Road'!L41,'30.07 Jinja Road-Kira Road'!L41,'31.07 Jinja Road-Kira Road'!L41,'2.08 Jinja road-Kira road'!L41,'1.08 Jinja Road-Kira Road-24h'!L41,'3.08 Jinja Road-KiraRoad-24h'!L41,'4.08.JINJA ROAD-KIIRA'!L41)</f>
        <v>0</v>
      </c>
      <c r="M41" s="49">
        <f>AVERAGE('29.07 JinjaRoad-Kira Road'!M41,'30.07 Jinja Road-Kira Road'!M41,'31.07 Jinja Road-Kira Road'!M41,'2.08 Jinja road-Kira road'!M41,'1.08 Jinja Road-Kira Road-24h'!M41,'3.08 Jinja Road-KiraRoad-24h'!M41,'4.08.JINJA ROAD-KIIRA'!M41)</f>
        <v>133.71428571428572</v>
      </c>
      <c r="N41" s="49">
        <f>AVERAGE('29.07 JinjaRoad-Kira Road'!N41,'30.07 Jinja Road-Kira Road'!N41,'31.07 Jinja Road-Kira Road'!N41,'2.08 Jinja road-Kira road'!N41,'1.08 Jinja Road-Kira Road-24h'!N41,'3.08 Jinja Road-KiraRoad-24h'!N41,'4.08.JINJA ROAD-KIIRA'!N41)</f>
        <v>0.14285714285714285</v>
      </c>
      <c r="O41" s="15">
        <f t="shared" si="0"/>
        <v>156.57142857142853</v>
      </c>
      <c r="P41" s="15">
        <f t="shared" si="1"/>
        <v>290.28571428571428</v>
      </c>
      <c r="R41" s="5" t="s">
        <v>187</v>
      </c>
      <c r="S41" s="16">
        <f>SUM(S10:S33)</f>
        <v>5189.5</v>
      </c>
      <c r="T41" s="16">
        <f t="shared" ref="T41:AD41" si="33">SUM(T10:T33)</f>
        <v>2467</v>
      </c>
      <c r="U41" s="16">
        <f t="shared" si="33"/>
        <v>632.21428571428567</v>
      </c>
      <c r="V41" s="16">
        <f t="shared" si="33"/>
        <v>185.30952380952385</v>
      </c>
      <c r="W41" s="16">
        <f t="shared" si="33"/>
        <v>13.142857142857142</v>
      </c>
      <c r="X41" s="16">
        <f t="shared" si="33"/>
        <v>4.0714285714285703</v>
      </c>
      <c r="Y41" s="16">
        <f t="shared" si="33"/>
        <v>129.64285714285717</v>
      </c>
      <c r="Z41" s="16">
        <f t="shared" si="33"/>
        <v>66.5</v>
      </c>
      <c r="AA41" s="16">
        <f t="shared" si="33"/>
        <v>20.214285714285712</v>
      </c>
      <c r="AB41" s="16">
        <f t="shared" si="33"/>
        <v>12.500000000000002</v>
      </c>
      <c r="AC41" s="16">
        <f t="shared" si="33"/>
        <v>8593.3571428571431</v>
      </c>
      <c r="AD41" s="16">
        <f t="shared" si="33"/>
        <v>0.42857142857142855</v>
      </c>
      <c r="AE41" s="32">
        <f>SUM(AE10:AE33)</f>
        <v>8720.5238095238092</v>
      </c>
      <c r="AF41" s="32">
        <f>SUM(AF10:AF33)</f>
        <v>17313.880952380954</v>
      </c>
    </row>
    <row r="42" spans="2:32" ht="23.1" customHeight="1" x14ac:dyDescent="0.25">
      <c r="B42" s="24" t="s">
        <v>69</v>
      </c>
      <c r="C42" s="49">
        <f>AVERAGE('29.07 JinjaRoad-Kira Road'!C42,'30.07 Jinja Road-Kira Road'!C42,'31.07 Jinja Road-Kira Road'!C42,'2.08 Jinja road-Kira road'!C42,'1.08 Jinja Road-Kira Road-24h'!C42,'3.08 Jinja Road-KiraRoad-24h'!C42,'4.08.JINJA ROAD-KIIRA'!C42)</f>
        <v>94.142857142857139</v>
      </c>
      <c r="D42" s="49">
        <f>AVERAGE('29.07 JinjaRoad-Kira Road'!D42,'30.07 Jinja Road-Kira Road'!D42,'31.07 Jinja Road-Kira Road'!D42,'2.08 Jinja road-Kira road'!D42,'1.08 Jinja Road-Kira Road-24h'!D42,'3.08 Jinja Road-KiraRoad-24h'!D42,'4.08.JINJA ROAD-KIIRA'!D42)</f>
        <v>46.571428571428569</v>
      </c>
      <c r="E42" s="49">
        <f>AVERAGE('29.07 JinjaRoad-Kira Road'!E42,'30.07 Jinja Road-Kira Road'!E42,'31.07 Jinja Road-Kira Road'!E42,'2.08 Jinja road-Kira road'!E42,'1.08 Jinja Road-Kira Road-24h'!E42,'3.08 Jinja Road-KiraRoad-24h'!E42,'4.08.JINJA ROAD-KIIRA'!E42)</f>
        <v>8.1428571428571423</v>
      </c>
      <c r="F42" s="49">
        <f>AVERAGE('29.07 JinjaRoad-Kira Road'!F42,'30.07 Jinja Road-Kira Road'!F42,'31.07 Jinja Road-Kira Road'!F42,'2.08 Jinja road-Kira road'!F42,'1.08 Jinja Road-Kira Road-24h'!F42,'3.08 Jinja Road-KiraRoad-24h'!F42,'4.08.JINJA ROAD-KIIRA'!F42)</f>
        <v>4</v>
      </c>
      <c r="G42" s="49">
        <f>AVERAGE('29.07 JinjaRoad-Kira Road'!G42,'30.07 Jinja Road-Kira Road'!G42,'31.07 Jinja Road-Kira Road'!G42,'2.08 Jinja road-Kira road'!G42,'1.08 Jinja Road-Kira Road-24h'!G42,'3.08 Jinja Road-KiraRoad-24h'!G42,'4.08.JINJA ROAD-KIIRA'!G42)</f>
        <v>0.14285714285714285</v>
      </c>
      <c r="H42" s="49">
        <f>AVERAGE('29.07 JinjaRoad-Kira Road'!H42,'30.07 Jinja Road-Kira Road'!H42,'31.07 Jinja Road-Kira Road'!H42,'2.08 Jinja road-Kira road'!H42,'1.08 Jinja Road-Kira Road-24h'!H42,'3.08 Jinja Road-KiraRoad-24h'!H42,'4.08.JINJA ROAD-KIIRA'!H42)</f>
        <v>0.14285714285714285</v>
      </c>
      <c r="I42" s="49">
        <f>AVERAGE('29.07 JinjaRoad-Kira Road'!I42,'30.07 Jinja Road-Kira Road'!I42,'31.07 Jinja Road-Kira Road'!I42,'2.08 Jinja road-Kira road'!I42,'1.08 Jinja Road-Kira Road-24h'!I42,'3.08 Jinja Road-KiraRoad-24h'!I42,'4.08.JINJA ROAD-KIIRA'!I42)</f>
        <v>2.8571428571428572</v>
      </c>
      <c r="J42" s="49">
        <f>AVERAGE('29.07 JinjaRoad-Kira Road'!J42,'30.07 Jinja Road-Kira Road'!J42,'31.07 Jinja Road-Kira Road'!J42,'2.08 Jinja road-Kira road'!J42,'1.08 Jinja Road-Kira Road-24h'!J42,'3.08 Jinja Road-KiraRoad-24h'!J42,'4.08.JINJA ROAD-KIIRA'!J42)</f>
        <v>1.8571428571428572</v>
      </c>
      <c r="K42" s="49">
        <f>AVERAGE('29.07 JinjaRoad-Kira Road'!K42,'30.07 Jinja Road-Kira Road'!K42,'31.07 Jinja Road-Kira Road'!K42,'2.08 Jinja road-Kira road'!K42,'1.08 Jinja Road-Kira Road-24h'!K42,'3.08 Jinja Road-KiraRoad-24h'!K42,'4.08.JINJA ROAD-KIIRA'!K42)</f>
        <v>0.8571428571428571</v>
      </c>
      <c r="L42" s="49">
        <f>AVERAGE('29.07 JinjaRoad-Kira Road'!L42,'30.07 Jinja Road-Kira Road'!L42,'31.07 Jinja Road-Kira Road'!L42,'2.08 Jinja road-Kira road'!L42,'1.08 Jinja Road-Kira Road-24h'!L42,'3.08 Jinja Road-KiraRoad-24h'!L42,'4.08.JINJA ROAD-KIIRA'!L42)</f>
        <v>0.2857142857142857</v>
      </c>
      <c r="M42" s="49">
        <f>AVERAGE('29.07 JinjaRoad-Kira Road'!M42,'30.07 Jinja Road-Kira Road'!M42,'31.07 Jinja Road-Kira Road'!M42,'2.08 Jinja road-Kira road'!M42,'1.08 Jinja Road-Kira Road-24h'!M42,'3.08 Jinja Road-KiraRoad-24h'!M42,'4.08.JINJA ROAD-KIIRA'!M42)</f>
        <v>129.71428571428572</v>
      </c>
      <c r="N42" s="49">
        <f>AVERAGE('29.07 JinjaRoad-Kira Road'!N42,'30.07 Jinja Road-Kira Road'!N42,'31.07 Jinja Road-Kira Road'!N42,'2.08 Jinja road-Kira road'!N42,'1.08 Jinja Road-Kira Road-24h'!N42,'3.08 Jinja Road-KiraRoad-24h'!N42,'4.08.JINJA ROAD-KIIRA'!N42)</f>
        <v>0</v>
      </c>
      <c r="O42" s="15">
        <f t="shared" si="0"/>
        <v>159</v>
      </c>
      <c r="P42" s="15">
        <f t="shared" si="1"/>
        <v>288.71428571428572</v>
      </c>
      <c r="R42" s="5" t="s">
        <v>160</v>
      </c>
      <c r="S42" s="48">
        <f>S41/S40</f>
        <v>1.3768904218625633</v>
      </c>
      <c r="T42" s="48">
        <f t="shared" ref="T42:AF42" si="34">T41/T40</f>
        <v>1.2022417153996101</v>
      </c>
      <c r="U42" s="48">
        <f t="shared" si="34"/>
        <v>1.1890112842557765</v>
      </c>
      <c r="V42" s="48">
        <f t="shared" si="34"/>
        <v>1.1487822878228782</v>
      </c>
      <c r="W42" s="48">
        <f t="shared" si="34"/>
        <v>1</v>
      </c>
      <c r="X42" s="48">
        <f t="shared" si="34"/>
        <v>1.1400000000000001</v>
      </c>
      <c r="Y42" s="48">
        <f t="shared" si="34"/>
        <v>1.1162361623616237</v>
      </c>
      <c r="Z42" s="48">
        <f t="shared" si="34"/>
        <v>1.1875</v>
      </c>
      <c r="AA42" s="48">
        <f t="shared" si="34"/>
        <v>1.2094017094017093</v>
      </c>
      <c r="AB42" s="48">
        <f t="shared" si="34"/>
        <v>1.0416666666666667</v>
      </c>
      <c r="AC42" s="48">
        <f t="shared" si="34"/>
        <v>1.3129938446762999</v>
      </c>
      <c r="AD42" s="48">
        <f t="shared" si="34"/>
        <v>1</v>
      </c>
      <c r="AE42" s="51">
        <f t="shared" si="34"/>
        <v>1.2953792286335746</v>
      </c>
      <c r="AF42" s="51">
        <f t="shared" si="34"/>
        <v>1.3040623783913678</v>
      </c>
    </row>
    <row r="43" spans="2:32" ht="23.1" customHeight="1" x14ac:dyDescent="0.25">
      <c r="B43" s="23" t="s">
        <v>70</v>
      </c>
      <c r="C43" s="49">
        <f>AVERAGE('29.07 JinjaRoad-Kira Road'!C43,'30.07 Jinja Road-Kira Road'!C43,'31.07 Jinja Road-Kira Road'!C43,'2.08 Jinja road-Kira road'!C43,'1.08 Jinja Road-Kira Road-24h'!C43,'3.08 Jinja Road-KiraRoad-24h'!C43,'4.08.JINJA ROAD-KIIRA'!C43)</f>
        <v>91.714285714285708</v>
      </c>
      <c r="D43" s="49">
        <f>AVERAGE('29.07 JinjaRoad-Kira Road'!D43,'30.07 Jinja Road-Kira Road'!D43,'31.07 Jinja Road-Kira Road'!D43,'2.08 Jinja road-Kira road'!D43,'1.08 Jinja Road-Kira Road-24h'!D43,'3.08 Jinja Road-KiraRoad-24h'!D43,'4.08.JINJA ROAD-KIIRA'!D43)</f>
        <v>52.428571428571431</v>
      </c>
      <c r="E43" s="49">
        <f>AVERAGE('29.07 JinjaRoad-Kira Road'!E43,'30.07 Jinja Road-Kira Road'!E43,'31.07 Jinja Road-Kira Road'!E43,'2.08 Jinja road-Kira road'!E43,'1.08 Jinja Road-Kira Road-24h'!E43,'3.08 Jinja Road-KiraRoad-24h'!E43,'4.08.JINJA ROAD-KIIRA'!E43)</f>
        <v>11</v>
      </c>
      <c r="F43" s="49">
        <f>AVERAGE('29.07 JinjaRoad-Kira Road'!F43,'30.07 Jinja Road-Kira Road'!F43,'31.07 Jinja Road-Kira Road'!F43,'2.08 Jinja road-Kira road'!F43,'1.08 Jinja Road-Kira Road-24h'!F43,'3.08 Jinja Road-KiraRoad-24h'!F43,'4.08.JINJA ROAD-KIIRA'!F43)</f>
        <v>2.2857142857142856</v>
      </c>
      <c r="G43" s="49">
        <f>AVERAGE('29.07 JinjaRoad-Kira Road'!G43,'30.07 Jinja Road-Kira Road'!G43,'31.07 Jinja Road-Kira Road'!G43,'2.08 Jinja road-Kira road'!G43,'1.08 Jinja Road-Kira Road-24h'!G43,'3.08 Jinja Road-KiraRoad-24h'!G43,'4.08.JINJA ROAD-KIIRA'!G43)</f>
        <v>0.2857142857142857</v>
      </c>
      <c r="H43" s="49">
        <f>AVERAGE('29.07 JinjaRoad-Kira Road'!H43,'30.07 Jinja Road-Kira Road'!H43,'31.07 Jinja Road-Kira Road'!H43,'2.08 Jinja road-Kira road'!H43,'1.08 Jinja Road-Kira Road-24h'!H43,'3.08 Jinja Road-KiraRoad-24h'!H43,'4.08.JINJA ROAD-KIIRA'!H43)</f>
        <v>0</v>
      </c>
      <c r="I43" s="49">
        <f>AVERAGE('29.07 JinjaRoad-Kira Road'!I43,'30.07 Jinja Road-Kira Road'!I43,'31.07 Jinja Road-Kira Road'!I43,'2.08 Jinja road-Kira road'!I43,'1.08 Jinja Road-Kira Road-24h'!I43,'3.08 Jinja Road-KiraRoad-24h'!I43,'4.08.JINJA ROAD-KIIRA'!I43)</f>
        <v>1.8571428571428572</v>
      </c>
      <c r="J43" s="49">
        <f>AVERAGE('29.07 JinjaRoad-Kira Road'!J43,'30.07 Jinja Road-Kira Road'!J43,'31.07 Jinja Road-Kira Road'!J43,'2.08 Jinja road-Kira road'!J43,'1.08 Jinja Road-Kira Road-24h'!J43,'3.08 Jinja Road-KiraRoad-24h'!J43,'4.08.JINJA ROAD-KIIRA'!J43)</f>
        <v>1.1428571428571428</v>
      </c>
      <c r="K43" s="49">
        <f>AVERAGE('29.07 JinjaRoad-Kira Road'!K43,'30.07 Jinja Road-Kira Road'!K43,'31.07 Jinja Road-Kira Road'!K43,'2.08 Jinja road-Kira road'!K43,'1.08 Jinja Road-Kira Road-24h'!K43,'3.08 Jinja Road-KiraRoad-24h'!K43,'4.08.JINJA ROAD-KIIRA'!K43)</f>
        <v>0.14285714285714285</v>
      </c>
      <c r="L43" s="49">
        <f>AVERAGE('29.07 JinjaRoad-Kira Road'!L43,'30.07 Jinja Road-Kira Road'!L43,'31.07 Jinja Road-Kira Road'!L43,'2.08 Jinja road-Kira road'!L43,'1.08 Jinja Road-Kira Road-24h'!L43,'3.08 Jinja Road-KiraRoad-24h'!L43,'4.08.JINJA ROAD-KIIRA'!L43)</f>
        <v>0.2857142857142857</v>
      </c>
      <c r="M43" s="49">
        <f>AVERAGE('29.07 JinjaRoad-Kira Road'!M43,'30.07 Jinja Road-Kira Road'!M43,'31.07 Jinja Road-Kira Road'!M43,'2.08 Jinja road-Kira road'!M43,'1.08 Jinja Road-Kira Road-24h'!M43,'3.08 Jinja Road-KiraRoad-24h'!M43,'4.08.JINJA ROAD-KIIRA'!M43)</f>
        <v>121.85714285714286</v>
      </c>
      <c r="N43" s="49">
        <f>AVERAGE('29.07 JinjaRoad-Kira Road'!N43,'30.07 Jinja Road-Kira Road'!N43,'31.07 Jinja Road-Kira Road'!N43,'2.08 Jinja road-Kira road'!N43,'1.08 Jinja Road-Kira Road-24h'!N43,'3.08 Jinja Road-KiraRoad-24h'!N43,'4.08.JINJA ROAD-KIIRA'!N43)</f>
        <v>0</v>
      </c>
      <c r="O43" s="15">
        <f t="shared" si="0"/>
        <v>161.14285714285711</v>
      </c>
      <c r="P43" s="15">
        <f t="shared" si="1"/>
        <v>283</v>
      </c>
    </row>
    <row r="44" spans="2:32" ht="23.1" customHeight="1" x14ac:dyDescent="0.25">
      <c r="B44" s="25" t="s">
        <v>71</v>
      </c>
      <c r="C44" s="49">
        <f>AVERAGE('29.07 JinjaRoad-Kira Road'!C44,'30.07 Jinja Road-Kira Road'!C44,'31.07 Jinja Road-Kira Road'!C44,'2.08 Jinja road-Kira road'!C44,'1.08 Jinja Road-Kira Road-24h'!C44,'3.08 Jinja Road-KiraRoad-24h'!C44,'4.08.JINJA ROAD-KIIRA'!C44)</f>
        <v>91.142857142857139</v>
      </c>
      <c r="D44" s="49">
        <f>AVERAGE('29.07 JinjaRoad-Kira Road'!D44,'30.07 Jinja Road-Kira Road'!D44,'31.07 Jinja Road-Kira Road'!D44,'2.08 Jinja road-Kira road'!D44,'1.08 Jinja Road-Kira Road-24h'!D44,'3.08 Jinja Road-KiraRoad-24h'!D44,'4.08.JINJA ROAD-KIIRA'!D44)</f>
        <v>49.428571428571431</v>
      </c>
      <c r="E44" s="49">
        <f>AVERAGE('29.07 JinjaRoad-Kira Road'!E44,'30.07 Jinja Road-Kira Road'!E44,'31.07 Jinja Road-Kira Road'!E44,'2.08 Jinja road-Kira road'!E44,'1.08 Jinja Road-Kira Road-24h'!E44,'3.08 Jinja Road-KiraRoad-24h'!E44,'4.08.JINJA ROAD-KIIRA'!E44)</f>
        <v>10.428571428571429</v>
      </c>
      <c r="F44" s="49">
        <f>AVERAGE('29.07 JinjaRoad-Kira Road'!F44,'30.07 Jinja Road-Kira Road'!F44,'31.07 Jinja Road-Kira Road'!F44,'2.08 Jinja road-Kira road'!F44,'1.08 Jinja Road-Kira Road-24h'!F44,'3.08 Jinja Road-KiraRoad-24h'!F44,'4.08.JINJA ROAD-KIIRA'!F44)</f>
        <v>3.1428571428571428</v>
      </c>
      <c r="G44" s="49">
        <f>AVERAGE('29.07 JinjaRoad-Kira Road'!G44,'30.07 Jinja Road-Kira Road'!G44,'31.07 Jinja Road-Kira Road'!G44,'2.08 Jinja road-Kira road'!G44,'1.08 Jinja Road-Kira Road-24h'!G44,'3.08 Jinja Road-KiraRoad-24h'!G44,'4.08.JINJA ROAD-KIIRA'!G44)</f>
        <v>0.14285714285714285</v>
      </c>
      <c r="H44" s="49">
        <f>AVERAGE('29.07 JinjaRoad-Kira Road'!H44,'30.07 Jinja Road-Kira Road'!H44,'31.07 Jinja Road-Kira Road'!H44,'2.08 Jinja road-Kira road'!H44,'1.08 Jinja Road-Kira Road-24h'!H44,'3.08 Jinja Road-KiraRoad-24h'!H44,'4.08.JINJA ROAD-KIIRA'!H44)</f>
        <v>0</v>
      </c>
      <c r="I44" s="49">
        <f>AVERAGE('29.07 JinjaRoad-Kira Road'!I44,'30.07 Jinja Road-Kira Road'!I44,'31.07 Jinja Road-Kira Road'!I44,'2.08 Jinja road-Kira road'!I44,'1.08 Jinja Road-Kira Road-24h'!I44,'3.08 Jinja Road-KiraRoad-24h'!I44,'4.08.JINJA ROAD-KIIRA'!I44)</f>
        <v>1.8571428571428572</v>
      </c>
      <c r="J44" s="49">
        <f>AVERAGE('29.07 JinjaRoad-Kira Road'!J44,'30.07 Jinja Road-Kira Road'!J44,'31.07 Jinja Road-Kira Road'!J44,'2.08 Jinja road-Kira road'!J44,'1.08 Jinja Road-Kira Road-24h'!J44,'3.08 Jinja Road-KiraRoad-24h'!J44,'4.08.JINJA ROAD-KIIRA'!J44)</f>
        <v>0.8571428571428571</v>
      </c>
      <c r="K44" s="49">
        <f>AVERAGE('29.07 JinjaRoad-Kira Road'!K44,'30.07 Jinja Road-Kira Road'!K44,'31.07 Jinja Road-Kira Road'!K44,'2.08 Jinja road-Kira road'!K44,'1.08 Jinja Road-Kira Road-24h'!K44,'3.08 Jinja Road-KiraRoad-24h'!K44,'4.08.JINJA ROAD-KIIRA'!K44)</f>
        <v>0.42857142857142855</v>
      </c>
      <c r="L44" s="49">
        <f>AVERAGE('29.07 JinjaRoad-Kira Road'!L44,'30.07 Jinja Road-Kira Road'!L44,'31.07 Jinja Road-Kira Road'!L44,'2.08 Jinja road-Kira road'!L44,'1.08 Jinja Road-Kira Road-24h'!L44,'3.08 Jinja Road-KiraRoad-24h'!L44,'4.08.JINJA ROAD-KIIRA'!L44)</f>
        <v>0.5714285714285714</v>
      </c>
      <c r="M44" s="49">
        <f>AVERAGE('29.07 JinjaRoad-Kira Road'!M44,'30.07 Jinja Road-Kira Road'!M44,'31.07 Jinja Road-Kira Road'!M44,'2.08 Jinja road-Kira road'!M44,'1.08 Jinja Road-Kira Road-24h'!M44,'3.08 Jinja Road-KiraRoad-24h'!M44,'4.08.JINJA ROAD-KIIRA'!M44)</f>
        <v>168</v>
      </c>
      <c r="N44" s="49">
        <f>AVERAGE('29.07 JinjaRoad-Kira Road'!N44,'30.07 Jinja Road-Kira Road'!N44,'31.07 Jinja Road-Kira Road'!N44,'2.08 Jinja road-Kira road'!N44,'1.08 Jinja Road-Kira Road-24h'!N44,'3.08 Jinja Road-KiraRoad-24h'!N44,'4.08.JINJA ROAD-KIIRA'!N44)</f>
        <v>0</v>
      </c>
      <c r="O44" s="15">
        <f t="shared" si="0"/>
        <v>157.99999999999997</v>
      </c>
      <c r="P44" s="15">
        <f t="shared" si="1"/>
        <v>326</v>
      </c>
    </row>
    <row r="45" spans="2:32" ht="23.1" customHeight="1" x14ac:dyDescent="0.25">
      <c r="B45" s="23" t="s">
        <v>72</v>
      </c>
      <c r="C45" s="49">
        <f>AVERAGE('29.07 JinjaRoad-Kira Road'!C45,'30.07 Jinja Road-Kira Road'!C45,'31.07 Jinja Road-Kira Road'!C45,'2.08 Jinja road-Kira road'!C45,'1.08 Jinja Road-Kira Road-24h'!C45,'3.08 Jinja Road-KiraRoad-24h'!C45,'4.08.JINJA ROAD-KIIRA'!C45)</f>
        <v>76.571428571428569</v>
      </c>
      <c r="D45" s="49">
        <f>AVERAGE('29.07 JinjaRoad-Kira Road'!D45,'30.07 Jinja Road-Kira Road'!D45,'31.07 Jinja Road-Kira Road'!D45,'2.08 Jinja road-Kira road'!D45,'1.08 Jinja Road-Kira Road-24h'!D45,'3.08 Jinja Road-KiraRoad-24h'!D45,'4.08.JINJA ROAD-KIIRA'!D45)</f>
        <v>48.857142857142854</v>
      </c>
      <c r="E45" s="49">
        <f>AVERAGE('29.07 JinjaRoad-Kira Road'!E45,'30.07 Jinja Road-Kira Road'!E45,'31.07 Jinja Road-Kira Road'!E45,'2.08 Jinja road-Kira road'!E45,'1.08 Jinja Road-Kira Road-24h'!E45,'3.08 Jinja Road-KiraRoad-24h'!E45,'4.08.JINJA ROAD-KIIRA'!E45)</f>
        <v>9.8571428571428577</v>
      </c>
      <c r="F45" s="49">
        <f>AVERAGE('29.07 JinjaRoad-Kira Road'!F45,'30.07 Jinja Road-Kira Road'!F45,'31.07 Jinja Road-Kira Road'!F45,'2.08 Jinja road-Kira road'!F45,'1.08 Jinja Road-Kira Road-24h'!F45,'3.08 Jinja Road-KiraRoad-24h'!F45,'4.08.JINJA ROAD-KIIRA'!F45)</f>
        <v>3.4285714285714284</v>
      </c>
      <c r="G45" s="49">
        <f>AVERAGE('29.07 JinjaRoad-Kira Road'!G45,'30.07 Jinja Road-Kira Road'!G45,'31.07 Jinja Road-Kira Road'!G45,'2.08 Jinja road-Kira road'!G45,'1.08 Jinja Road-Kira Road-24h'!G45,'3.08 Jinja Road-KiraRoad-24h'!G45,'4.08.JINJA ROAD-KIIRA'!G45)</f>
        <v>0</v>
      </c>
      <c r="H45" s="49">
        <f>AVERAGE('29.07 JinjaRoad-Kira Road'!H45,'30.07 Jinja Road-Kira Road'!H45,'31.07 Jinja Road-Kira Road'!H45,'2.08 Jinja road-Kira road'!H45,'1.08 Jinja Road-Kira Road-24h'!H45,'3.08 Jinja Road-KiraRoad-24h'!H45,'4.08.JINJA ROAD-KIIRA'!H45)</f>
        <v>0.2857142857142857</v>
      </c>
      <c r="I45" s="49">
        <f>AVERAGE('29.07 JinjaRoad-Kira Road'!I45,'30.07 Jinja Road-Kira Road'!I45,'31.07 Jinja Road-Kira Road'!I45,'2.08 Jinja road-Kira road'!I45,'1.08 Jinja Road-Kira Road-24h'!I45,'3.08 Jinja Road-KiraRoad-24h'!I45,'4.08.JINJA ROAD-KIIRA'!I45)</f>
        <v>1.7142857142857142</v>
      </c>
      <c r="J45" s="49">
        <f>AVERAGE('29.07 JinjaRoad-Kira Road'!J45,'30.07 Jinja Road-Kira Road'!J45,'31.07 Jinja Road-Kira Road'!J45,'2.08 Jinja road-Kira road'!J45,'1.08 Jinja Road-Kira Road-24h'!J45,'3.08 Jinja Road-KiraRoad-24h'!J45,'4.08.JINJA ROAD-KIIRA'!J45)</f>
        <v>2</v>
      </c>
      <c r="K45" s="49">
        <f>AVERAGE('29.07 JinjaRoad-Kira Road'!K45,'30.07 Jinja Road-Kira Road'!K45,'31.07 Jinja Road-Kira Road'!K45,'2.08 Jinja road-Kira road'!K45,'1.08 Jinja Road-Kira Road-24h'!K45,'3.08 Jinja Road-KiraRoad-24h'!K45,'4.08.JINJA ROAD-KIIRA'!K45)</f>
        <v>0.8571428571428571</v>
      </c>
      <c r="L45" s="49">
        <f>AVERAGE('29.07 JinjaRoad-Kira Road'!L45,'30.07 Jinja Road-Kira Road'!L45,'31.07 Jinja Road-Kira Road'!L45,'2.08 Jinja road-Kira road'!L45,'1.08 Jinja Road-Kira Road-24h'!L45,'3.08 Jinja Road-KiraRoad-24h'!L45,'4.08.JINJA ROAD-KIIRA'!L45)</f>
        <v>0.14285714285714285</v>
      </c>
      <c r="M45" s="49">
        <f>AVERAGE('29.07 JinjaRoad-Kira Road'!M45,'30.07 Jinja Road-Kira Road'!M45,'31.07 Jinja Road-Kira Road'!M45,'2.08 Jinja road-Kira road'!M45,'1.08 Jinja Road-Kira Road-24h'!M45,'3.08 Jinja Road-KiraRoad-24h'!M45,'4.08.JINJA ROAD-KIIRA'!M45)</f>
        <v>152.85714285714286</v>
      </c>
      <c r="N45" s="49">
        <f>AVERAGE('29.07 JinjaRoad-Kira Road'!N45,'30.07 Jinja Road-Kira Road'!N45,'31.07 Jinja Road-Kira Road'!N45,'2.08 Jinja road-Kira road'!N45,'1.08 Jinja Road-Kira Road-24h'!N45,'3.08 Jinja Road-KiraRoad-24h'!N45,'4.08.JINJA ROAD-KIIRA'!N45)</f>
        <v>0</v>
      </c>
      <c r="O45" s="15">
        <f t="shared" si="0"/>
        <v>143.71428571428569</v>
      </c>
      <c r="P45" s="15">
        <f t="shared" si="1"/>
        <v>296.57142857142856</v>
      </c>
    </row>
    <row r="46" spans="2:32" ht="23.1" customHeight="1" x14ac:dyDescent="0.25">
      <c r="B46" s="24" t="s">
        <v>73</v>
      </c>
      <c r="C46" s="49">
        <f>AVERAGE('29.07 JinjaRoad-Kira Road'!C46,'30.07 Jinja Road-Kira Road'!C46,'31.07 Jinja Road-Kira Road'!C46,'2.08 Jinja road-Kira road'!C46,'1.08 Jinja Road-Kira Road-24h'!C46,'3.08 Jinja Road-KiraRoad-24h'!C46,'4.08.JINJA ROAD-KIIRA'!C46)</f>
        <v>91.857142857142861</v>
      </c>
      <c r="D46" s="49">
        <f>AVERAGE('29.07 JinjaRoad-Kira Road'!D46,'30.07 Jinja Road-Kira Road'!D46,'31.07 Jinja Road-Kira Road'!D46,'2.08 Jinja road-Kira road'!D46,'1.08 Jinja Road-Kira Road-24h'!D46,'3.08 Jinja Road-KiraRoad-24h'!D46,'4.08.JINJA ROAD-KIIRA'!D46)</f>
        <v>46.571428571428569</v>
      </c>
      <c r="E46" s="49">
        <f>AVERAGE('29.07 JinjaRoad-Kira Road'!E46,'30.07 Jinja Road-Kira Road'!E46,'31.07 Jinja Road-Kira Road'!E46,'2.08 Jinja road-Kira road'!E46,'1.08 Jinja Road-Kira Road-24h'!E46,'3.08 Jinja Road-KiraRoad-24h'!E46,'4.08.JINJA ROAD-KIIRA'!E46)</f>
        <v>13.428571428571429</v>
      </c>
      <c r="F46" s="49">
        <f>AVERAGE('29.07 JinjaRoad-Kira Road'!F46,'30.07 Jinja Road-Kira Road'!F46,'31.07 Jinja Road-Kira Road'!F46,'2.08 Jinja road-Kira road'!F46,'1.08 Jinja Road-Kira Road-24h'!F46,'3.08 Jinja Road-KiraRoad-24h'!F46,'4.08.JINJA ROAD-KIIRA'!F46)</f>
        <v>3.8571428571428572</v>
      </c>
      <c r="G46" s="49">
        <f>AVERAGE('29.07 JinjaRoad-Kira Road'!G46,'30.07 Jinja Road-Kira Road'!G46,'31.07 Jinja Road-Kira Road'!G46,'2.08 Jinja road-Kira road'!G46,'1.08 Jinja Road-Kira Road-24h'!G46,'3.08 Jinja Road-KiraRoad-24h'!G46,'4.08.JINJA ROAD-KIIRA'!G46)</f>
        <v>0</v>
      </c>
      <c r="H46" s="49">
        <f>AVERAGE('29.07 JinjaRoad-Kira Road'!H46,'30.07 Jinja Road-Kira Road'!H46,'31.07 Jinja Road-Kira Road'!H46,'2.08 Jinja road-Kira road'!H46,'1.08 Jinja Road-Kira Road-24h'!H46,'3.08 Jinja Road-KiraRoad-24h'!H46,'4.08.JINJA ROAD-KIIRA'!H46)</f>
        <v>0</v>
      </c>
      <c r="I46" s="49">
        <f>AVERAGE('29.07 JinjaRoad-Kira Road'!I46,'30.07 Jinja Road-Kira Road'!I46,'31.07 Jinja Road-Kira Road'!I46,'2.08 Jinja road-Kira road'!I46,'1.08 Jinja Road-Kira Road-24h'!I46,'3.08 Jinja Road-KiraRoad-24h'!I46,'4.08.JINJA ROAD-KIIRA'!I46)</f>
        <v>2.5714285714285716</v>
      </c>
      <c r="J46" s="49">
        <f>AVERAGE('29.07 JinjaRoad-Kira Road'!J46,'30.07 Jinja Road-Kira Road'!J46,'31.07 Jinja Road-Kira Road'!J46,'2.08 Jinja road-Kira road'!J46,'1.08 Jinja Road-Kira Road-24h'!J46,'3.08 Jinja Road-KiraRoad-24h'!J46,'4.08.JINJA ROAD-KIIRA'!J46)</f>
        <v>2</v>
      </c>
      <c r="K46" s="49">
        <f>AVERAGE('29.07 JinjaRoad-Kira Road'!K46,'30.07 Jinja Road-Kira Road'!K46,'31.07 Jinja Road-Kira Road'!K46,'2.08 Jinja road-Kira road'!K46,'1.08 Jinja Road-Kira Road-24h'!K46,'3.08 Jinja Road-KiraRoad-24h'!K46,'4.08.JINJA ROAD-KIIRA'!K46)</f>
        <v>0.14285714285714285</v>
      </c>
      <c r="L46" s="49">
        <f>AVERAGE('29.07 JinjaRoad-Kira Road'!L46,'30.07 Jinja Road-Kira Road'!L46,'31.07 Jinja Road-Kira Road'!L46,'2.08 Jinja road-Kira road'!L46,'1.08 Jinja Road-Kira Road-24h'!L46,'3.08 Jinja Road-KiraRoad-24h'!L46,'4.08.JINJA ROAD-KIIRA'!L46)</f>
        <v>0</v>
      </c>
      <c r="M46" s="49">
        <f>AVERAGE('29.07 JinjaRoad-Kira Road'!M46,'30.07 Jinja Road-Kira Road'!M46,'31.07 Jinja Road-Kira Road'!M46,'2.08 Jinja road-Kira road'!M46,'1.08 Jinja Road-Kira Road-24h'!M46,'3.08 Jinja Road-KiraRoad-24h'!M46,'4.08.JINJA ROAD-KIIRA'!M46)</f>
        <v>154.85714285714286</v>
      </c>
      <c r="N46" s="49">
        <f>AVERAGE('29.07 JinjaRoad-Kira Road'!N46,'30.07 Jinja Road-Kira Road'!N46,'31.07 Jinja Road-Kira Road'!N46,'2.08 Jinja road-Kira road'!N46,'1.08 Jinja Road-Kira Road-24h'!N46,'3.08 Jinja Road-KiraRoad-24h'!N46,'4.08.JINJA ROAD-KIIRA'!N46)</f>
        <v>0</v>
      </c>
      <c r="O46" s="15">
        <f t="shared" si="0"/>
        <v>160.42857142857144</v>
      </c>
      <c r="P46" s="15">
        <f t="shared" si="1"/>
        <v>315.28571428571433</v>
      </c>
      <c r="R46" s="8"/>
      <c r="T46"/>
    </row>
    <row r="47" spans="2:32" ht="23.1" customHeight="1" x14ac:dyDescent="0.25">
      <c r="B47" s="24" t="s">
        <v>74</v>
      </c>
      <c r="C47" s="49">
        <f>AVERAGE('29.07 JinjaRoad-Kira Road'!C47,'30.07 Jinja Road-Kira Road'!C47,'31.07 Jinja Road-Kira Road'!C47,'2.08 Jinja road-Kira road'!C47,'1.08 Jinja Road-Kira Road-24h'!C47,'3.08 Jinja Road-KiraRoad-24h'!C47,'4.08.JINJA ROAD-KIIRA'!C47)</f>
        <v>92.142857142857139</v>
      </c>
      <c r="D47" s="49">
        <f>AVERAGE('29.07 JinjaRoad-Kira Road'!D47,'30.07 Jinja Road-Kira Road'!D47,'31.07 Jinja Road-Kira Road'!D47,'2.08 Jinja road-Kira road'!D47,'1.08 Jinja Road-Kira Road-24h'!D47,'3.08 Jinja Road-KiraRoad-24h'!D47,'4.08.JINJA ROAD-KIIRA'!D47)</f>
        <v>47.571428571428569</v>
      </c>
      <c r="E47" s="49">
        <f>AVERAGE('29.07 JinjaRoad-Kira Road'!E47,'30.07 Jinja Road-Kira Road'!E47,'31.07 Jinja Road-Kira Road'!E47,'2.08 Jinja road-Kira road'!E47,'1.08 Jinja Road-Kira Road-24h'!E47,'3.08 Jinja Road-KiraRoad-24h'!E47,'4.08.JINJA ROAD-KIIRA'!E47)</f>
        <v>16</v>
      </c>
      <c r="F47" s="49">
        <f>AVERAGE('29.07 JinjaRoad-Kira Road'!F47,'30.07 Jinja Road-Kira Road'!F47,'31.07 Jinja Road-Kira Road'!F47,'2.08 Jinja road-Kira road'!F47,'1.08 Jinja Road-Kira Road-24h'!F47,'3.08 Jinja Road-KiraRoad-24h'!F47,'4.08.JINJA ROAD-KIIRA'!F47)</f>
        <v>5.7142857142857144</v>
      </c>
      <c r="G47" s="49">
        <f>AVERAGE('29.07 JinjaRoad-Kira Road'!G47,'30.07 Jinja Road-Kira Road'!G47,'31.07 Jinja Road-Kira Road'!G47,'2.08 Jinja road-Kira road'!G47,'1.08 Jinja Road-Kira Road-24h'!G47,'3.08 Jinja Road-KiraRoad-24h'!G47,'4.08.JINJA ROAD-KIIRA'!G47)</f>
        <v>0.42857142857142855</v>
      </c>
      <c r="H47" s="49">
        <f>AVERAGE('29.07 JinjaRoad-Kira Road'!H47,'30.07 Jinja Road-Kira Road'!H47,'31.07 Jinja Road-Kira Road'!H47,'2.08 Jinja road-Kira road'!H47,'1.08 Jinja Road-Kira Road-24h'!H47,'3.08 Jinja Road-KiraRoad-24h'!H47,'4.08.JINJA ROAD-KIIRA'!H47)</f>
        <v>0</v>
      </c>
      <c r="I47" s="49">
        <f>AVERAGE('29.07 JinjaRoad-Kira Road'!I47,'30.07 Jinja Road-Kira Road'!I47,'31.07 Jinja Road-Kira Road'!I47,'2.08 Jinja road-Kira road'!I47,'1.08 Jinja Road-Kira Road-24h'!I47,'3.08 Jinja Road-KiraRoad-24h'!I47,'4.08.JINJA ROAD-KIIRA'!I47)</f>
        <v>1.8571428571428572</v>
      </c>
      <c r="J47" s="49">
        <f>AVERAGE('29.07 JinjaRoad-Kira Road'!J47,'30.07 Jinja Road-Kira Road'!J47,'31.07 Jinja Road-Kira Road'!J47,'2.08 Jinja road-Kira road'!J47,'1.08 Jinja Road-Kira Road-24h'!J47,'3.08 Jinja Road-KiraRoad-24h'!J47,'4.08.JINJA ROAD-KIIRA'!J47)</f>
        <v>1.1428571428571428</v>
      </c>
      <c r="K47" s="49">
        <f>AVERAGE('29.07 JinjaRoad-Kira Road'!K47,'30.07 Jinja Road-Kira Road'!K47,'31.07 Jinja Road-Kira Road'!K47,'2.08 Jinja road-Kira road'!K47,'1.08 Jinja Road-Kira Road-24h'!K47,'3.08 Jinja Road-KiraRoad-24h'!K47,'4.08.JINJA ROAD-KIIRA'!K47)</f>
        <v>0.2857142857142857</v>
      </c>
      <c r="L47" s="49">
        <f>AVERAGE('29.07 JinjaRoad-Kira Road'!L47,'30.07 Jinja Road-Kira Road'!L47,'31.07 Jinja Road-Kira Road'!L47,'2.08 Jinja road-Kira road'!L47,'1.08 Jinja Road-Kira Road-24h'!L47,'3.08 Jinja Road-KiraRoad-24h'!L47,'4.08.JINJA ROAD-KIIRA'!L47)</f>
        <v>0.2857142857142857</v>
      </c>
      <c r="M47" s="49">
        <f>AVERAGE('29.07 JinjaRoad-Kira Road'!M47,'30.07 Jinja Road-Kira Road'!M47,'31.07 Jinja Road-Kira Road'!M47,'2.08 Jinja road-Kira road'!M47,'1.08 Jinja Road-Kira Road-24h'!M47,'3.08 Jinja Road-KiraRoad-24h'!M47,'4.08.JINJA ROAD-KIIRA'!M47)</f>
        <v>146.71428571428572</v>
      </c>
      <c r="N47" s="49">
        <f>AVERAGE('29.07 JinjaRoad-Kira Road'!N47,'30.07 Jinja Road-Kira Road'!N47,'31.07 Jinja Road-Kira Road'!N47,'2.08 Jinja road-Kira road'!N47,'1.08 Jinja Road-Kira Road-24h'!N47,'3.08 Jinja Road-KiraRoad-24h'!N47,'4.08.JINJA ROAD-KIIRA'!N47)</f>
        <v>0</v>
      </c>
      <c r="O47" s="15">
        <f t="shared" si="0"/>
        <v>165.42857142857142</v>
      </c>
      <c r="P47" s="15">
        <f t="shared" si="1"/>
        <v>312.14285714285711</v>
      </c>
      <c r="R47" s="8"/>
      <c r="T47"/>
    </row>
    <row r="48" spans="2:32" ht="23.1" customHeight="1" x14ac:dyDescent="0.25">
      <c r="B48" s="24" t="s">
        <v>75</v>
      </c>
      <c r="C48" s="49">
        <f>AVERAGE('29.07 JinjaRoad-Kira Road'!C48,'30.07 Jinja Road-Kira Road'!C48,'31.07 Jinja Road-Kira Road'!C48,'2.08 Jinja road-Kira road'!C48,'1.08 Jinja Road-Kira Road-24h'!C48,'3.08 Jinja Road-KiraRoad-24h'!C48,'4.08.JINJA ROAD-KIIRA'!C48)</f>
        <v>78.857142857142861</v>
      </c>
      <c r="D48" s="49">
        <f>AVERAGE('29.07 JinjaRoad-Kira Road'!D48,'30.07 Jinja Road-Kira Road'!D48,'31.07 Jinja Road-Kira Road'!D48,'2.08 Jinja road-Kira road'!D48,'1.08 Jinja Road-Kira Road-24h'!D48,'3.08 Jinja Road-KiraRoad-24h'!D48,'4.08.JINJA ROAD-KIIRA'!D48)</f>
        <v>51.714285714285715</v>
      </c>
      <c r="E48" s="49">
        <f>AVERAGE('29.07 JinjaRoad-Kira Road'!E48,'30.07 Jinja Road-Kira Road'!E48,'31.07 Jinja Road-Kira Road'!E48,'2.08 Jinja road-Kira road'!E48,'1.08 Jinja Road-Kira Road-24h'!E48,'3.08 Jinja Road-KiraRoad-24h'!E48,'4.08.JINJA ROAD-KIIRA'!E48)</f>
        <v>11.285714285714286</v>
      </c>
      <c r="F48" s="49">
        <f>AVERAGE('29.07 JinjaRoad-Kira Road'!F48,'30.07 Jinja Road-Kira Road'!F48,'31.07 Jinja Road-Kira Road'!F48,'2.08 Jinja road-Kira road'!F48,'1.08 Jinja Road-Kira Road-24h'!F48,'3.08 Jinja Road-KiraRoad-24h'!F48,'4.08.JINJA ROAD-KIIRA'!F48)</f>
        <v>4.7142857142857144</v>
      </c>
      <c r="G48" s="49">
        <f>AVERAGE('29.07 JinjaRoad-Kira Road'!G48,'30.07 Jinja Road-Kira Road'!G48,'31.07 Jinja Road-Kira Road'!G48,'2.08 Jinja road-Kira road'!G48,'1.08 Jinja Road-Kira Road-24h'!G48,'3.08 Jinja Road-KiraRoad-24h'!G48,'4.08.JINJA ROAD-KIIRA'!G48)</f>
        <v>0.14285714285714285</v>
      </c>
      <c r="H48" s="49">
        <f>AVERAGE('29.07 JinjaRoad-Kira Road'!H48,'30.07 Jinja Road-Kira Road'!H48,'31.07 Jinja Road-Kira Road'!H48,'2.08 Jinja road-Kira road'!H48,'1.08 Jinja Road-Kira Road-24h'!H48,'3.08 Jinja Road-KiraRoad-24h'!H48,'4.08.JINJA ROAD-KIIRA'!H48)</f>
        <v>0</v>
      </c>
      <c r="I48" s="49">
        <f>AVERAGE('29.07 JinjaRoad-Kira Road'!I48,'30.07 Jinja Road-Kira Road'!I48,'31.07 Jinja Road-Kira Road'!I48,'2.08 Jinja road-Kira road'!I48,'1.08 Jinja Road-Kira Road-24h'!I48,'3.08 Jinja Road-KiraRoad-24h'!I48,'4.08.JINJA ROAD-KIIRA'!I48)</f>
        <v>2.2857142857142856</v>
      </c>
      <c r="J48" s="49">
        <f>AVERAGE('29.07 JinjaRoad-Kira Road'!J48,'30.07 Jinja Road-Kira Road'!J48,'31.07 Jinja Road-Kira Road'!J48,'2.08 Jinja road-Kira road'!J48,'1.08 Jinja Road-Kira Road-24h'!J48,'3.08 Jinja Road-KiraRoad-24h'!J48,'4.08.JINJA ROAD-KIIRA'!J48)</f>
        <v>0.5714285714285714</v>
      </c>
      <c r="K48" s="49">
        <f>AVERAGE('29.07 JinjaRoad-Kira Road'!K48,'30.07 Jinja Road-Kira Road'!K48,'31.07 Jinja Road-Kira Road'!K48,'2.08 Jinja road-Kira road'!K48,'1.08 Jinja Road-Kira Road-24h'!K48,'3.08 Jinja Road-KiraRoad-24h'!K48,'4.08.JINJA ROAD-KIIRA'!K48)</f>
        <v>0.14285714285714285</v>
      </c>
      <c r="L48" s="49">
        <f>AVERAGE('29.07 JinjaRoad-Kira Road'!L48,'30.07 Jinja Road-Kira Road'!L48,'31.07 Jinja Road-Kira Road'!L48,'2.08 Jinja road-Kira road'!L48,'1.08 Jinja Road-Kira Road-24h'!L48,'3.08 Jinja Road-KiraRoad-24h'!L48,'4.08.JINJA ROAD-KIIRA'!L48)</f>
        <v>0.2857142857142857</v>
      </c>
      <c r="M48" s="49">
        <f>AVERAGE('29.07 JinjaRoad-Kira Road'!M48,'30.07 Jinja Road-Kira Road'!M48,'31.07 Jinja Road-Kira Road'!M48,'2.08 Jinja road-Kira road'!M48,'1.08 Jinja Road-Kira Road-24h'!M48,'3.08 Jinja Road-KiraRoad-24h'!M48,'4.08.JINJA ROAD-KIIRA'!M48)</f>
        <v>142.28571428571428</v>
      </c>
      <c r="N48" s="49">
        <f>AVERAGE('29.07 JinjaRoad-Kira Road'!N48,'30.07 Jinja Road-Kira Road'!N48,'31.07 Jinja Road-Kira Road'!N48,'2.08 Jinja road-Kira road'!N48,'1.08 Jinja Road-Kira Road-24h'!N48,'3.08 Jinja Road-KiraRoad-24h'!N48,'4.08.JINJA ROAD-KIIRA'!N48)</f>
        <v>0</v>
      </c>
      <c r="O48" s="15">
        <f t="shared" si="0"/>
        <v>150</v>
      </c>
      <c r="P48" s="15">
        <f t="shared" si="1"/>
        <v>292.28571428571428</v>
      </c>
      <c r="R48" s="8"/>
      <c r="T48"/>
    </row>
    <row r="49" spans="2:20" ht="23.1" customHeight="1" x14ac:dyDescent="0.25">
      <c r="B49" s="23" t="s">
        <v>76</v>
      </c>
      <c r="C49" s="49">
        <f>AVERAGE('29.07 JinjaRoad-Kira Road'!C49,'30.07 Jinja Road-Kira Road'!C49,'31.07 Jinja Road-Kira Road'!C49,'2.08 Jinja road-Kira road'!C49,'1.08 Jinja Road-Kira Road-24h'!C49,'3.08 Jinja Road-KiraRoad-24h'!C49,'4.08.JINJA ROAD-KIIRA'!C49)</f>
        <v>96.571428571428569</v>
      </c>
      <c r="D49" s="49">
        <f>AVERAGE('29.07 JinjaRoad-Kira Road'!D49,'30.07 Jinja Road-Kira Road'!D49,'31.07 Jinja Road-Kira Road'!D49,'2.08 Jinja road-Kira road'!D49,'1.08 Jinja Road-Kira Road-24h'!D49,'3.08 Jinja Road-KiraRoad-24h'!D49,'4.08.JINJA ROAD-KIIRA'!D49)</f>
        <v>59.285714285714285</v>
      </c>
      <c r="E49" s="49">
        <f>AVERAGE('29.07 JinjaRoad-Kira Road'!E49,'30.07 Jinja Road-Kira Road'!E49,'31.07 Jinja Road-Kira Road'!E49,'2.08 Jinja road-Kira road'!E49,'1.08 Jinja Road-Kira Road-24h'!E49,'3.08 Jinja Road-KiraRoad-24h'!E49,'4.08.JINJA ROAD-KIIRA'!E49)</f>
        <v>15.857142857142858</v>
      </c>
      <c r="F49" s="49">
        <f>AVERAGE('29.07 JinjaRoad-Kira Road'!F49,'30.07 Jinja Road-Kira Road'!F49,'31.07 Jinja Road-Kira Road'!F49,'2.08 Jinja road-Kira road'!F49,'1.08 Jinja Road-Kira Road-24h'!F49,'3.08 Jinja Road-KiraRoad-24h'!F49,'4.08.JINJA ROAD-KIIRA'!F49)</f>
        <v>4.1428571428571432</v>
      </c>
      <c r="G49" s="49">
        <f>AVERAGE('29.07 JinjaRoad-Kira Road'!G49,'30.07 Jinja Road-Kira Road'!G49,'31.07 Jinja Road-Kira Road'!G49,'2.08 Jinja road-Kira road'!G49,'1.08 Jinja Road-Kira Road-24h'!G49,'3.08 Jinja Road-KiraRoad-24h'!G49,'4.08.JINJA ROAD-KIIRA'!G49)</f>
        <v>0</v>
      </c>
      <c r="H49" s="49">
        <f>AVERAGE('29.07 JinjaRoad-Kira Road'!H49,'30.07 Jinja Road-Kira Road'!H49,'31.07 Jinja Road-Kira Road'!H49,'2.08 Jinja road-Kira road'!H49,'1.08 Jinja Road-Kira Road-24h'!H49,'3.08 Jinja Road-KiraRoad-24h'!H49,'4.08.JINJA ROAD-KIIRA'!H49)</f>
        <v>0</v>
      </c>
      <c r="I49" s="49">
        <f>AVERAGE('29.07 JinjaRoad-Kira Road'!I49,'30.07 Jinja Road-Kira Road'!I49,'31.07 Jinja Road-Kira Road'!I49,'2.08 Jinja road-Kira road'!I49,'1.08 Jinja Road-Kira Road-24h'!I49,'3.08 Jinja Road-KiraRoad-24h'!I49,'4.08.JINJA ROAD-KIIRA'!I49)</f>
        <v>1.5714285714285714</v>
      </c>
      <c r="J49" s="49">
        <f>AVERAGE('29.07 JinjaRoad-Kira Road'!J49,'30.07 Jinja Road-Kira Road'!J49,'31.07 Jinja Road-Kira Road'!J49,'2.08 Jinja road-Kira road'!J49,'1.08 Jinja Road-Kira Road-24h'!J49,'3.08 Jinja Road-KiraRoad-24h'!J49,'4.08.JINJA ROAD-KIIRA'!J49)</f>
        <v>1</v>
      </c>
      <c r="K49" s="49">
        <f>AVERAGE('29.07 JinjaRoad-Kira Road'!K49,'30.07 Jinja Road-Kira Road'!K49,'31.07 Jinja Road-Kira Road'!K49,'2.08 Jinja road-Kira road'!K49,'1.08 Jinja Road-Kira Road-24h'!K49,'3.08 Jinja Road-KiraRoad-24h'!K49,'4.08.JINJA ROAD-KIIRA'!K49)</f>
        <v>0.14285714285714285</v>
      </c>
      <c r="L49" s="49">
        <f>AVERAGE('29.07 JinjaRoad-Kira Road'!L49,'30.07 Jinja Road-Kira Road'!L49,'31.07 Jinja Road-Kira Road'!L49,'2.08 Jinja road-Kira road'!L49,'1.08 Jinja Road-Kira Road-24h'!L49,'3.08 Jinja Road-KiraRoad-24h'!L49,'4.08.JINJA ROAD-KIIRA'!L49)</f>
        <v>0.5714285714285714</v>
      </c>
      <c r="M49" s="49">
        <f>AVERAGE('29.07 JinjaRoad-Kira Road'!M49,'30.07 Jinja Road-Kira Road'!M49,'31.07 Jinja Road-Kira Road'!M49,'2.08 Jinja road-Kira road'!M49,'1.08 Jinja Road-Kira Road-24h'!M49,'3.08 Jinja Road-KiraRoad-24h'!M49,'4.08.JINJA ROAD-KIIRA'!M49)</f>
        <v>168.85714285714286</v>
      </c>
      <c r="N49" s="49">
        <f>AVERAGE('29.07 JinjaRoad-Kira Road'!N49,'30.07 Jinja Road-Kira Road'!N49,'31.07 Jinja Road-Kira Road'!N49,'2.08 Jinja road-Kira road'!N49,'1.08 Jinja Road-Kira Road-24h'!N49,'3.08 Jinja Road-KiraRoad-24h'!N49,'4.08.JINJA ROAD-KIIRA'!N49)</f>
        <v>0</v>
      </c>
      <c r="O49" s="15">
        <f t="shared" si="0"/>
        <v>179.14285714285717</v>
      </c>
      <c r="P49" s="15">
        <f t="shared" si="1"/>
        <v>348</v>
      </c>
      <c r="R49" s="8"/>
      <c r="T49"/>
    </row>
    <row r="50" spans="2:20" ht="23.1" customHeight="1" x14ac:dyDescent="0.25">
      <c r="B50" s="24" t="s">
        <v>77</v>
      </c>
      <c r="C50" s="49">
        <f>AVERAGE('29.07 JinjaRoad-Kira Road'!C50,'30.07 Jinja Road-Kira Road'!C50,'31.07 Jinja Road-Kira Road'!C50,'2.08 Jinja road-Kira road'!C50,'1.08 Jinja Road-Kira Road-24h'!C50,'3.08 Jinja Road-KiraRoad-24h'!C50,'4.08.JINJA ROAD-KIIRA'!C50)</f>
        <v>116.14285714285714</v>
      </c>
      <c r="D50" s="49">
        <f>AVERAGE('29.07 JinjaRoad-Kira Road'!D50,'30.07 Jinja Road-Kira Road'!D50,'31.07 Jinja Road-Kira Road'!D50,'2.08 Jinja road-Kira road'!D50,'1.08 Jinja Road-Kira Road-24h'!D50,'3.08 Jinja Road-KiraRoad-24h'!D50,'4.08.JINJA ROAD-KIIRA'!D50)</f>
        <v>52.142857142857146</v>
      </c>
      <c r="E50" s="49">
        <f>AVERAGE('29.07 JinjaRoad-Kira Road'!E50,'30.07 Jinja Road-Kira Road'!E50,'31.07 Jinja Road-Kira Road'!E50,'2.08 Jinja road-Kira road'!E50,'1.08 Jinja Road-Kira Road-24h'!E50,'3.08 Jinja Road-KiraRoad-24h'!E50,'4.08.JINJA ROAD-KIIRA'!E50)</f>
        <v>13.714285714285714</v>
      </c>
      <c r="F50" s="49">
        <f>AVERAGE('29.07 JinjaRoad-Kira Road'!F50,'30.07 Jinja Road-Kira Road'!F50,'31.07 Jinja Road-Kira Road'!F50,'2.08 Jinja road-Kira road'!F50,'1.08 Jinja Road-Kira Road-24h'!F50,'3.08 Jinja Road-KiraRoad-24h'!F50,'4.08.JINJA ROAD-KIIRA'!F50)</f>
        <v>1.7142857142857142</v>
      </c>
      <c r="G50" s="49">
        <f>AVERAGE('29.07 JinjaRoad-Kira Road'!G50,'30.07 Jinja Road-Kira Road'!G50,'31.07 Jinja Road-Kira Road'!G50,'2.08 Jinja road-Kira road'!G50,'1.08 Jinja Road-Kira Road-24h'!G50,'3.08 Jinja Road-KiraRoad-24h'!G50,'4.08.JINJA ROAD-KIIRA'!G50)</f>
        <v>0.2857142857142857</v>
      </c>
      <c r="H50" s="49">
        <f>AVERAGE('29.07 JinjaRoad-Kira Road'!H50,'30.07 Jinja Road-Kira Road'!H50,'31.07 Jinja Road-Kira Road'!H50,'2.08 Jinja road-Kira road'!H50,'1.08 Jinja Road-Kira Road-24h'!H50,'3.08 Jinja Road-KiraRoad-24h'!H50,'4.08.JINJA ROAD-KIIRA'!H50)</f>
        <v>0</v>
      </c>
      <c r="I50" s="49">
        <f>AVERAGE('29.07 JinjaRoad-Kira Road'!I50,'30.07 Jinja Road-Kira Road'!I50,'31.07 Jinja Road-Kira Road'!I50,'2.08 Jinja road-Kira road'!I50,'1.08 Jinja Road-Kira Road-24h'!I50,'3.08 Jinja Road-KiraRoad-24h'!I50,'4.08.JINJA ROAD-KIIRA'!I50)</f>
        <v>1.5714285714285714</v>
      </c>
      <c r="J50" s="49">
        <f>AVERAGE('29.07 JinjaRoad-Kira Road'!J50,'30.07 Jinja Road-Kira Road'!J50,'31.07 Jinja Road-Kira Road'!J50,'2.08 Jinja road-Kira road'!J50,'1.08 Jinja Road-Kira Road-24h'!J50,'3.08 Jinja Road-KiraRoad-24h'!J50,'4.08.JINJA ROAD-KIIRA'!J50)</f>
        <v>1.2857142857142858</v>
      </c>
      <c r="K50" s="49">
        <f>AVERAGE('29.07 JinjaRoad-Kira Road'!K50,'30.07 Jinja Road-Kira Road'!K50,'31.07 Jinja Road-Kira Road'!K50,'2.08 Jinja road-Kira road'!K50,'1.08 Jinja Road-Kira Road-24h'!K50,'3.08 Jinja Road-KiraRoad-24h'!K50,'4.08.JINJA ROAD-KIIRA'!K50)</f>
        <v>0.2857142857142857</v>
      </c>
      <c r="L50" s="49">
        <f>AVERAGE('29.07 JinjaRoad-Kira Road'!L50,'30.07 Jinja Road-Kira Road'!L50,'31.07 Jinja Road-Kira Road'!L50,'2.08 Jinja road-Kira road'!L50,'1.08 Jinja Road-Kira Road-24h'!L50,'3.08 Jinja Road-KiraRoad-24h'!L50,'4.08.JINJA ROAD-KIIRA'!L50)</f>
        <v>0.2857142857142857</v>
      </c>
      <c r="M50" s="49">
        <f>AVERAGE('29.07 JinjaRoad-Kira Road'!M50,'30.07 Jinja Road-Kira Road'!M50,'31.07 Jinja Road-Kira Road'!M50,'2.08 Jinja road-Kira road'!M50,'1.08 Jinja Road-Kira Road-24h'!M50,'3.08 Jinja Road-KiraRoad-24h'!M50,'4.08.JINJA ROAD-KIIRA'!M50)</f>
        <v>177.71428571428572</v>
      </c>
      <c r="N50" s="49">
        <f>AVERAGE('29.07 JinjaRoad-Kira Road'!N50,'30.07 Jinja Road-Kira Road'!N50,'31.07 Jinja Road-Kira Road'!N50,'2.08 Jinja road-Kira road'!N50,'1.08 Jinja Road-Kira Road-24h'!N50,'3.08 Jinja Road-KiraRoad-24h'!N50,'4.08.JINJA ROAD-KIIRA'!N50)</f>
        <v>0</v>
      </c>
      <c r="O50" s="15">
        <f t="shared" si="0"/>
        <v>187.42857142857142</v>
      </c>
      <c r="P50" s="15">
        <f t="shared" si="1"/>
        <v>365.14285714285711</v>
      </c>
      <c r="R50" s="8"/>
      <c r="T50"/>
    </row>
    <row r="51" spans="2:20" ht="23.1" customHeight="1" x14ac:dyDescent="0.25">
      <c r="B51" s="24" t="s">
        <v>78</v>
      </c>
      <c r="C51" s="49">
        <f>AVERAGE('29.07 JinjaRoad-Kira Road'!C51,'30.07 Jinja Road-Kira Road'!C51,'31.07 Jinja Road-Kira Road'!C51,'2.08 Jinja road-Kira road'!C51,'1.08 Jinja Road-Kira Road-24h'!C51,'3.08 Jinja Road-KiraRoad-24h'!C51,'4.08.JINJA ROAD-KIIRA'!C51)</f>
        <v>107</v>
      </c>
      <c r="D51" s="49">
        <f>AVERAGE('29.07 JinjaRoad-Kira Road'!D51,'30.07 Jinja Road-Kira Road'!D51,'31.07 Jinja Road-Kira Road'!D51,'2.08 Jinja road-Kira road'!D51,'1.08 Jinja Road-Kira Road-24h'!D51,'3.08 Jinja Road-KiraRoad-24h'!D51,'4.08.JINJA ROAD-KIIRA'!D51)</f>
        <v>53.285714285714285</v>
      </c>
      <c r="E51" s="49">
        <f>AVERAGE('29.07 JinjaRoad-Kira Road'!E51,'30.07 Jinja Road-Kira Road'!E51,'31.07 Jinja Road-Kira Road'!E51,'2.08 Jinja road-Kira road'!E51,'1.08 Jinja Road-Kira Road-24h'!E51,'3.08 Jinja Road-KiraRoad-24h'!E51,'4.08.JINJA ROAD-KIIRA'!E51)</f>
        <v>13.428571428571429</v>
      </c>
      <c r="F51" s="49">
        <f>AVERAGE('29.07 JinjaRoad-Kira Road'!F51,'30.07 Jinja Road-Kira Road'!F51,'31.07 Jinja Road-Kira Road'!F51,'2.08 Jinja road-Kira road'!F51,'1.08 Jinja Road-Kira Road-24h'!F51,'3.08 Jinja Road-KiraRoad-24h'!F51,'4.08.JINJA ROAD-KIIRA'!F51)</f>
        <v>3.5714285714285716</v>
      </c>
      <c r="G51" s="49">
        <f>AVERAGE('29.07 JinjaRoad-Kira Road'!G51,'30.07 Jinja Road-Kira Road'!G51,'31.07 Jinja Road-Kira Road'!G51,'2.08 Jinja road-Kira road'!G51,'1.08 Jinja Road-Kira Road-24h'!G51,'3.08 Jinja Road-KiraRoad-24h'!G51,'4.08.JINJA ROAD-KIIRA'!G51)</f>
        <v>0.8571428571428571</v>
      </c>
      <c r="H51" s="49">
        <f>AVERAGE('29.07 JinjaRoad-Kira Road'!H51,'30.07 Jinja Road-Kira Road'!H51,'31.07 Jinja Road-Kira Road'!H51,'2.08 Jinja road-Kira road'!H51,'1.08 Jinja Road-Kira Road-24h'!H51,'3.08 Jinja Road-KiraRoad-24h'!H51,'4.08.JINJA ROAD-KIIRA'!H51)</f>
        <v>0.14285714285714285</v>
      </c>
      <c r="I51" s="49">
        <f>AVERAGE('29.07 JinjaRoad-Kira Road'!I51,'30.07 Jinja Road-Kira Road'!I51,'31.07 Jinja Road-Kira Road'!I51,'2.08 Jinja road-Kira road'!I51,'1.08 Jinja Road-Kira Road-24h'!I51,'3.08 Jinja Road-KiraRoad-24h'!I51,'4.08.JINJA ROAD-KIIRA'!I51)</f>
        <v>2</v>
      </c>
      <c r="J51" s="49">
        <f>AVERAGE('29.07 JinjaRoad-Kira Road'!J51,'30.07 Jinja Road-Kira Road'!J51,'31.07 Jinja Road-Kira Road'!J51,'2.08 Jinja road-Kira road'!J51,'1.08 Jinja Road-Kira Road-24h'!J51,'3.08 Jinja Road-KiraRoad-24h'!J51,'4.08.JINJA ROAD-KIIRA'!J51)</f>
        <v>1.7142857142857142</v>
      </c>
      <c r="K51" s="49">
        <f>AVERAGE('29.07 JinjaRoad-Kira Road'!K51,'30.07 Jinja Road-Kira Road'!K51,'31.07 Jinja Road-Kira Road'!K51,'2.08 Jinja road-Kira road'!K51,'1.08 Jinja Road-Kira Road-24h'!K51,'3.08 Jinja Road-KiraRoad-24h'!K51,'4.08.JINJA ROAD-KIIRA'!K51)</f>
        <v>0.2857142857142857</v>
      </c>
      <c r="L51" s="49">
        <f>AVERAGE('29.07 JinjaRoad-Kira Road'!L51,'30.07 Jinja Road-Kira Road'!L51,'31.07 Jinja Road-Kira Road'!L51,'2.08 Jinja road-Kira road'!L51,'1.08 Jinja Road-Kira Road-24h'!L51,'3.08 Jinja Road-KiraRoad-24h'!L51,'4.08.JINJA ROAD-KIIRA'!L51)</f>
        <v>0</v>
      </c>
      <c r="M51" s="49">
        <f>AVERAGE('29.07 JinjaRoad-Kira Road'!M51,'30.07 Jinja Road-Kira Road'!M51,'31.07 Jinja Road-Kira Road'!M51,'2.08 Jinja road-Kira road'!M51,'1.08 Jinja Road-Kira Road-24h'!M51,'3.08 Jinja Road-KiraRoad-24h'!M51,'4.08.JINJA ROAD-KIIRA'!M51)</f>
        <v>163.85714285714286</v>
      </c>
      <c r="N51" s="49">
        <f>AVERAGE('29.07 JinjaRoad-Kira Road'!N51,'30.07 Jinja Road-Kira Road'!N51,'31.07 Jinja Road-Kira Road'!N51,'2.08 Jinja road-Kira road'!N51,'1.08 Jinja Road-Kira Road-24h'!N51,'3.08 Jinja Road-KiraRoad-24h'!N51,'4.08.JINJA ROAD-KIIRA'!N51)</f>
        <v>0</v>
      </c>
      <c r="O51" s="15">
        <f t="shared" si="0"/>
        <v>182.28571428571428</v>
      </c>
      <c r="P51" s="15">
        <f t="shared" si="1"/>
        <v>346.14285714285711</v>
      </c>
      <c r="R51" s="8"/>
      <c r="T51"/>
    </row>
    <row r="52" spans="2:20" ht="23.1" customHeight="1" x14ac:dyDescent="0.25">
      <c r="B52" s="24" t="s">
        <v>79</v>
      </c>
      <c r="C52" s="49">
        <f>AVERAGE('29.07 JinjaRoad-Kira Road'!C52,'30.07 Jinja Road-Kira Road'!C52,'31.07 Jinja Road-Kira Road'!C52,'2.08 Jinja road-Kira road'!C52,'1.08 Jinja Road-Kira Road-24h'!C52,'3.08 Jinja Road-KiraRoad-24h'!C52,'4.08.JINJA ROAD-KIIRA'!C52)</f>
        <v>95.571428571428569</v>
      </c>
      <c r="D52" s="49">
        <f>AVERAGE('29.07 JinjaRoad-Kira Road'!D52,'30.07 Jinja Road-Kira Road'!D52,'31.07 Jinja Road-Kira Road'!D52,'2.08 Jinja road-Kira road'!D52,'1.08 Jinja Road-Kira Road-24h'!D52,'3.08 Jinja Road-KiraRoad-24h'!D52,'4.08.JINJA ROAD-KIIRA'!D52)</f>
        <v>46.714285714285715</v>
      </c>
      <c r="E52" s="49">
        <f>AVERAGE('29.07 JinjaRoad-Kira Road'!E52,'30.07 Jinja Road-Kira Road'!E52,'31.07 Jinja Road-Kira Road'!E52,'2.08 Jinja road-Kira road'!E52,'1.08 Jinja Road-Kira Road-24h'!E52,'3.08 Jinja Road-KiraRoad-24h'!E52,'4.08.JINJA ROAD-KIIRA'!E52)</f>
        <v>12.714285714285714</v>
      </c>
      <c r="F52" s="49">
        <f>AVERAGE('29.07 JinjaRoad-Kira Road'!F52,'30.07 Jinja Road-Kira Road'!F52,'31.07 Jinja Road-Kira Road'!F52,'2.08 Jinja road-Kira road'!F52,'1.08 Jinja Road-Kira Road-24h'!F52,'3.08 Jinja Road-KiraRoad-24h'!F52,'4.08.JINJA ROAD-KIIRA'!F52)</f>
        <v>3.2857142857142856</v>
      </c>
      <c r="G52" s="49">
        <f>AVERAGE('29.07 JinjaRoad-Kira Road'!G52,'30.07 Jinja Road-Kira Road'!G52,'31.07 Jinja Road-Kira Road'!G52,'2.08 Jinja road-Kira road'!G52,'1.08 Jinja Road-Kira Road-24h'!G52,'3.08 Jinja Road-KiraRoad-24h'!G52,'4.08.JINJA ROAD-KIIRA'!G52)</f>
        <v>0.42857142857142855</v>
      </c>
      <c r="H52" s="49">
        <f>AVERAGE('29.07 JinjaRoad-Kira Road'!H52,'30.07 Jinja Road-Kira Road'!H52,'31.07 Jinja Road-Kira Road'!H52,'2.08 Jinja road-Kira road'!H52,'1.08 Jinja Road-Kira Road-24h'!H52,'3.08 Jinja Road-KiraRoad-24h'!H52,'4.08.JINJA ROAD-KIIRA'!H52)</f>
        <v>0</v>
      </c>
      <c r="I52" s="49">
        <f>AVERAGE('29.07 JinjaRoad-Kira Road'!I52,'30.07 Jinja Road-Kira Road'!I52,'31.07 Jinja Road-Kira Road'!I52,'2.08 Jinja road-Kira road'!I52,'1.08 Jinja Road-Kira Road-24h'!I52,'3.08 Jinja Road-KiraRoad-24h'!I52,'4.08.JINJA ROAD-KIIRA'!I52)</f>
        <v>2.1428571428571428</v>
      </c>
      <c r="J52" s="49">
        <f>AVERAGE('29.07 JinjaRoad-Kira Road'!J52,'30.07 Jinja Road-Kira Road'!J52,'31.07 Jinja Road-Kira Road'!J52,'2.08 Jinja road-Kira road'!J52,'1.08 Jinja Road-Kira Road-24h'!J52,'3.08 Jinja Road-KiraRoad-24h'!J52,'4.08.JINJA ROAD-KIIRA'!J52)</f>
        <v>0.5714285714285714</v>
      </c>
      <c r="K52" s="49">
        <f>AVERAGE('29.07 JinjaRoad-Kira Road'!K52,'30.07 Jinja Road-Kira Road'!K52,'31.07 Jinja Road-Kira Road'!K52,'2.08 Jinja road-Kira road'!K52,'1.08 Jinja Road-Kira Road-24h'!K52,'3.08 Jinja Road-KiraRoad-24h'!K52,'4.08.JINJA ROAD-KIIRA'!K52)</f>
        <v>0.42857142857142855</v>
      </c>
      <c r="L52" s="49">
        <f>AVERAGE('29.07 JinjaRoad-Kira Road'!L52,'30.07 Jinja Road-Kira Road'!L52,'31.07 Jinja Road-Kira Road'!L52,'2.08 Jinja road-Kira road'!L52,'1.08 Jinja Road-Kira Road-24h'!L52,'3.08 Jinja Road-KiraRoad-24h'!L52,'4.08.JINJA ROAD-KIIRA'!L52)</f>
        <v>0.2857142857142857</v>
      </c>
      <c r="M52" s="49">
        <f>AVERAGE('29.07 JinjaRoad-Kira Road'!M52,'30.07 Jinja Road-Kira Road'!M52,'31.07 Jinja Road-Kira Road'!M52,'2.08 Jinja road-Kira road'!M52,'1.08 Jinja Road-Kira Road-24h'!M52,'3.08 Jinja Road-KiraRoad-24h'!M52,'4.08.JINJA ROAD-KIIRA'!M52)</f>
        <v>136.71428571428572</v>
      </c>
      <c r="N52" s="49">
        <f>AVERAGE('29.07 JinjaRoad-Kira Road'!N52,'30.07 Jinja Road-Kira Road'!N52,'31.07 Jinja Road-Kira Road'!N52,'2.08 Jinja road-Kira road'!N52,'1.08 Jinja Road-Kira Road-24h'!N52,'3.08 Jinja Road-KiraRoad-24h'!N52,'4.08.JINJA ROAD-KIIRA'!N52)</f>
        <v>0</v>
      </c>
      <c r="O52" s="15">
        <f t="shared" si="0"/>
        <v>162.14285714285711</v>
      </c>
      <c r="P52" s="15">
        <f t="shared" si="1"/>
        <v>298.85714285714283</v>
      </c>
      <c r="R52" s="8"/>
      <c r="T52"/>
    </row>
    <row r="53" spans="2:20" ht="23.1" customHeight="1" x14ac:dyDescent="0.25">
      <c r="B53" s="23" t="s">
        <v>80</v>
      </c>
      <c r="C53" s="49">
        <f>AVERAGE('29.07 JinjaRoad-Kira Road'!C53,'30.07 Jinja Road-Kira Road'!C53,'31.07 Jinja Road-Kira Road'!C53,'2.08 Jinja road-Kira road'!C53,'1.08 Jinja Road-Kira Road-24h'!C53,'3.08 Jinja Road-KiraRoad-24h'!C53,'4.08.JINJA ROAD-KIIRA'!C53)</f>
        <v>106.28571428571429</v>
      </c>
      <c r="D53" s="49">
        <f>AVERAGE('29.07 JinjaRoad-Kira Road'!D53,'30.07 Jinja Road-Kira Road'!D53,'31.07 Jinja Road-Kira Road'!D53,'2.08 Jinja road-Kira road'!D53,'1.08 Jinja Road-Kira Road-24h'!D53,'3.08 Jinja Road-KiraRoad-24h'!D53,'4.08.JINJA ROAD-KIIRA'!D53)</f>
        <v>62.142857142857146</v>
      </c>
      <c r="E53" s="49">
        <f>AVERAGE('29.07 JinjaRoad-Kira Road'!E53,'30.07 Jinja Road-Kira Road'!E53,'31.07 Jinja Road-Kira Road'!E53,'2.08 Jinja road-Kira road'!E53,'1.08 Jinja Road-Kira Road-24h'!E53,'3.08 Jinja Road-KiraRoad-24h'!E53,'4.08.JINJA ROAD-KIIRA'!E53)</f>
        <v>13</v>
      </c>
      <c r="F53" s="49">
        <f>AVERAGE('29.07 JinjaRoad-Kira Road'!F53,'30.07 Jinja Road-Kira Road'!F53,'31.07 Jinja Road-Kira Road'!F53,'2.08 Jinja road-Kira road'!F53,'1.08 Jinja Road-Kira Road-24h'!F53,'3.08 Jinja Road-KiraRoad-24h'!F53,'4.08.JINJA ROAD-KIIRA'!F53)</f>
        <v>4</v>
      </c>
      <c r="G53" s="49">
        <f>AVERAGE('29.07 JinjaRoad-Kira Road'!G53,'30.07 Jinja Road-Kira Road'!G53,'31.07 Jinja Road-Kira Road'!G53,'2.08 Jinja road-Kira road'!G53,'1.08 Jinja Road-Kira Road-24h'!G53,'3.08 Jinja Road-KiraRoad-24h'!G53,'4.08.JINJA ROAD-KIIRA'!G53)</f>
        <v>0.42857142857142855</v>
      </c>
      <c r="H53" s="49">
        <f>AVERAGE('29.07 JinjaRoad-Kira Road'!H53,'30.07 Jinja Road-Kira Road'!H53,'31.07 Jinja Road-Kira Road'!H53,'2.08 Jinja road-Kira road'!H53,'1.08 Jinja Road-Kira Road-24h'!H53,'3.08 Jinja Road-KiraRoad-24h'!H53,'4.08.JINJA ROAD-KIIRA'!H53)</f>
        <v>0</v>
      </c>
      <c r="I53" s="49">
        <f>AVERAGE('29.07 JinjaRoad-Kira Road'!I53,'30.07 Jinja Road-Kira Road'!I53,'31.07 Jinja Road-Kira Road'!I53,'2.08 Jinja road-Kira road'!I53,'1.08 Jinja Road-Kira Road-24h'!I53,'3.08 Jinja Road-KiraRoad-24h'!I53,'4.08.JINJA ROAD-KIIRA'!I53)</f>
        <v>1.7142857142857142</v>
      </c>
      <c r="J53" s="49">
        <f>AVERAGE('29.07 JinjaRoad-Kira Road'!J53,'30.07 Jinja Road-Kira Road'!J53,'31.07 Jinja Road-Kira Road'!J53,'2.08 Jinja road-Kira road'!J53,'1.08 Jinja Road-Kira Road-24h'!J53,'3.08 Jinja Road-KiraRoad-24h'!J53,'4.08.JINJA ROAD-KIIRA'!J53)</f>
        <v>1.1428571428571428</v>
      </c>
      <c r="K53" s="49">
        <f>AVERAGE('29.07 JinjaRoad-Kira Road'!K53,'30.07 Jinja Road-Kira Road'!K53,'31.07 Jinja Road-Kira Road'!K53,'2.08 Jinja road-Kira road'!K53,'1.08 Jinja Road-Kira Road-24h'!K53,'3.08 Jinja Road-KiraRoad-24h'!K53,'4.08.JINJA ROAD-KIIRA'!K53)</f>
        <v>0.42857142857142855</v>
      </c>
      <c r="L53" s="49">
        <f>AVERAGE('29.07 JinjaRoad-Kira Road'!L53,'30.07 Jinja Road-Kira Road'!L53,'31.07 Jinja Road-Kira Road'!L53,'2.08 Jinja road-Kira road'!L53,'1.08 Jinja Road-Kira Road-24h'!L53,'3.08 Jinja Road-KiraRoad-24h'!L53,'4.08.JINJA ROAD-KIIRA'!L53)</f>
        <v>0.2857142857142857</v>
      </c>
      <c r="M53" s="49">
        <f>AVERAGE('29.07 JinjaRoad-Kira Road'!M53,'30.07 Jinja Road-Kira Road'!M53,'31.07 Jinja Road-Kira Road'!M53,'2.08 Jinja road-Kira road'!M53,'1.08 Jinja Road-Kira Road-24h'!M53,'3.08 Jinja Road-KiraRoad-24h'!M53,'4.08.JINJA ROAD-KIIRA'!M53)</f>
        <v>146.14285714285714</v>
      </c>
      <c r="N53" s="49">
        <f>AVERAGE('29.07 JinjaRoad-Kira Road'!N53,'30.07 Jinja Road-Kira Road'!N53,'31.07 Jinja Road-Kira Road'!N53,'2.08 Jinja road-Kira road'!N53,'1.08 Jinja Road-Kira Road-24h'!N53,'3.08 Jinja Road-KiraRoad-24h'!N53,'4.08.JINJA ROAD-KIIRA'!N53)</f>
        <v>0</v>
      </c>
      <c r="O53" s="15">
        <f t="shared" si="0"/>
        <v>189.42857142857142</v>
      </c>
      <c r="P53" s="15">
        <f t="shared" si="1"/>
        <v>335.57142857142856</v>
      </c>
      <c r="R53" s="8"/>
      <c r="T53"/>
    </row>
    <row r="54" spans="2:20" ht="23.1" customHeight="1" x14ac:dyDescent="0.25">
      <c r="B54" s="23" t="s">
        <v>81</v>
      </c>
      <c r="C54" s="49">
        <f>AVERAGE('29.07 JinjaRoad-Kira Road'!C54,'30.07 Jinja Road-Kira Road'!C54,'31.07 Jinja Road-Kira Road'!C54,'2.08 Jinja road-Kira road'!C54,'1.08 Jinja Road-Kira Road-24h'!C54,'3.08 Jinja Road-KiraRoad-24h'!C54,'4.08.JINJA ROAD-KIIRA'!C54)</f>
        <v>108.28571428571429</v>
      </c>
      <c r="D54" s="49">
        <f>AVERAGE('29.07 JinjaRoad-Kira Road'!D54,'30.07 Jinja Road-Kira Road'!D54,'31.07 Jinja Road-Kira Road'!D54,'2.08 Jinja road-Kira road'!D54,'1.08 Jinja Road-Kira Road-24h'!D54,'3.08 Jinja Road-KiraRoad-24h'!D54,'4.08.JINJA ROAD-KIIRA'!D54)</f>
        <v>72</v>
      </c>
      <c r="E54" s="49">
        <f>AVERAGE('29.07 JinjaRoad-Kira Road'!E54,'30.07 Jinja Road-Kira Road'!E54,'31.07 Jinja Road-Kira Road'!E54,'2.08 Jinja road-Kira road'!E54,'1.08 Jinja Road-Kira Road-24h'!E54,'3.08 Jinja Road-KiraRoad-24h'!E54,'4.08.JINJA ROAD-KIIRA'!E54)</f>
        <v>12.857142857142858</v>
      </c>
      <c r="F54" s="49">
        <f>AVERAGE('29.07 JinjaRoad-Kira Road'!F54,'30.07 Jinja Road-Kira Road'!F54,'31.07 Jinja Road-Kira Road'!F54,'2.08 Jinja road-Kira road'!F54,'1.08 Jinja Road-Kira Road-24h'!F54,'3.08 Jinja Road-KiraRoad-24h'!F54,'4.08.JINJA ROAD-KIIRA'!F54)</f>
        <v>6.1428571428571432</v>
      </c>
      <c r="G54" s="49">
        <f>AVERAGE('29.07 JinjaRoad-Kira Road'!G54,'30.07 Jinja Road-Kira Road'!G54,'31.07 Jinja Road-Kira Road'!G54,'2.08 Jinja road-Kira road'!G54,'1.08 Jinja Road-Kira Road-24h'!G54,'3.08 Jinja Road-KiraRoad-24h'!G54,'4.08.JINJA ROAD-KIIRA'!G54)</f>
        <v>0</v>
      </c>
      <c r="H54" s="49">
        <f>AVERAGE('29.07 JinjaRoad-Kira Road'!H54,'30.07 Jinja Road-Kira Road'!H54,'31.07 Jinja Road-Kira Road'!H54,'2.08 Jinja road-Kira road'!H54,'1.08 Jinja Road-Kira Road-24h'!H54,'3.08 Jinja Road-KiraRoad-24h'!H54,'4.08.JINJA ROAD-KIIRA'!H54)</f>
        <v>0</v>
      </c>
      <c r="I54" s="49">
        <f>AVERAGE('29.07 JinjaRoad-Kira Road'!I54,'30.07 Jinja Road-Kira Road'!I54,'31.07 Jinja Road-Kira Road'!I54,'2.08 Jinja road-Kira road'!I54,'1.08 Jinja Road-Kira Road-24h'!I54,'3.08 Jinja Road-KiraRoad-24h'!I54,'4.08.JINJA ROAD-KIIRA'!I54)</f>
        <v>3.5714285714285716</v>
      </c>
      <c r="J54" s="49">
        <f>AVERAGE('29.07 JinjaRoad-Kira Road'!J54,'30.07 Jinja Road-Kira Road'!J54,'31.07 Jinja Road-Kira Road'!J54,'2.08 Jinja road-Kira road'!J54,'1.08 Jinja Road-Kira Road-24h'!J54,'3.08 Jinja Road-KiraRoad-24h'!J54,'4.08.JINJA ROAD-KIIRA'!J54)</f>
        <v>0.7142857142857143</v>
      </c>
      <c r="K54" s="49">
        <f>AVERAGE('29.07 JinjaRoad-Kira Road'!K54,'30.07 Jinja Road-Kira Road'!K54,'31.07 Jinja Road-Kira Road'!K54,'2.08 Jinja road-Kira road'!K54,'1.08 Jinja Road-Kira Road-24h'!K54,'3.08 Jinja Road-KiraRoad-24h'!K54,'4.08.JINJA ROAD-KIIRA'!K54)</f>
        <v>0.5714285714285714</v>
      </c>
      <c r="L54" s="49">
        <f>AVERAGE('29.07 JinjaRoad-Kira Road'!L54,'30.07 Jinja Road-Kira Road'!L54,'31.07 Jinja Road-Kira Road'!L54,'2.08 Jinja road-Kira road'!L54,'1.08 Jinja Road-Kira Road-24h'!L54,'3.08 Jinja Road-KiraRoad-24h'!L54,'4.08.JINJA ROAD-KIIRA'!L54)</f>
        <v>0.14285714285714285</v>
      </c>
      <c r="M54" s="49">
        <f>AVERAGE('29.07 JinjaRoad-Kira Road'!M54,'30.07 Jinja Road-Kira Road'!M54,'31.07 Jinja Road-Kira Road'!M54,'2.08 Jinja road-Kira road'!M54,'1.08 Jinja Road-Kira Road-24h'!M54,'3.08 Jinja Road-KiraRoad-24h'!M54,'4.08.JINJA ROAD-KIIRA'!M54)</f>
        <v>185.42857142857142</v>
      </c>
      <c r="N54" s="49">
        <f>AVERAGE('29.07 JinjaRoad-Kira Road'!N54,'30.07 Jinja Road-Kira Road'!N54,'31.07 Jinja Road-Kira Road'!N54,'2.08 Jinja road-Kira road'!N54,'1.08 Jinja Road-Kira Road-24h'!N54,'3.08 Jinja Road-KiraRoad-24h'!N54,'4.08.JINJA ROAD-KIIRA'!N54)</f>
        <v>0</v>
      </c>
      <c r="O54" s="15">
        <f t="shared" si="0"/>
        <v>204.28571428571431</v>
      </c>
      <c r="P54" s="15">
        <f t="shared" si="1"/>
        <v>389.71428571428572</v>
      </c>
      <c r="R54" s="8"/>
      <c r="T54"/>
    </row>
    <row r="55" spans="2:20" ht="23.1" customHeight="1" x14ac:dyDescent="0.25">
      <c r="B55" s="23" t="s">
        <v>82</v>
      </c>
      <c r="C55" s="49">
        <f>AVERAGE('29.07 JinjaRoad-Kira Road'!C55,'30.07 Jinja Road-Kira Road'!C55,'31.07 Jinja Road-Kira Road'!C55,'2.08 Jinja road-Kira road'!C55,'1.08 Jinja Road-Kira Road-24h'!C55,'3.08 Jinja Road-KiraRoad-24h'!C55,'4.08.JINJA ROAD-KIIRA'!C55)</f>
        <v>94.714285714285708</v>
      </c>
      <c r="D55" s="49">
        <f>AVERAGE('29.07 JinjaRoad-Kira Road'!D55,'30.07 Jinja Road-Kira Road'!D55,'31.07 Jinja Road-Kira Road'!D55,'2.08 Jinja road-Kira road'!D55,'1.08 Jinja Road-Kira Road-24h'!D55,'3.08 Jinja Road-KiraRoad-24h'!D55,'4.08.JINJA ROAD-KIIRA'!D55)</f>
        <v>50.857142857142854</v>
      </c>
      <c r="E55" s="49">
        <f>AVERAGE('29.07 JinjaRoad-Kira Road'!E55,'30.07 Jinja Road-Kira Road'!E55,'31.07 Jinja Road-Kira Road'!E55,'2.08 Jinja road-Kira road'!E55,'1.08 Jinja Road-Kira Road-24h'!E55,'3.08 Jinja Road-KiraRoad-24h'!E55,'4.08.JINJA ROAD-KIIRA'!E55)</f>
        <v>9</v>
      </c>
      <c r="F55" s="49">
        <f>AVERAGE('29.07 JinjaRoad-Kira Road'!F55,'30.07 Jinja Road-Kira Road'!F55,'31.07 Jinja Road-Kira Road'!F55,'2.08 Jinja road-Kira road'!F55,'1.08 Jinja Road-Kira Road-24h'!F55,'3.08 Jinja Road-KiraRoad-24h'!F55,'4.08.JINJA ROAD-KIIRA'!F55)</f>
        <v>3.4285714285714284</v>
      </c>
      <c r="G55" s="49">
        <f>AVERAGE('29.07 JinjaRoad-Kira Road'!G55,'30.07 Jinja Road-Kira Road'!G55,'31.07 Jinja Road-Kira Road'!G55,'2.08 Jinja road-Kira road'!G55,'1.08 Jinja Road-Kira Road-24h'!G55,'3.08 Jinja Road-KiraRoad-24h'!G55,'4.08.JINJA ROAD-KIIRA'!G55)</f>
        <v>0.7142857142857143</v>
      </c>
      <c r="H55" s="49">
        <f>AVERAGE('29.07 JinjaRoad-Kira Road'!H55,'30.07 Jinja Road-Kira Road'!H55,'31.07 Jinja Road-Kira Road'!H55,'2.08 Jinja road-Kira road'!H55,'1.08 Jinja Road-Kira Road-24h'!H55,'3.08 Jinja Road-KiraRoad-24h'!H55,'4.08.JINJA ROAD-KIIRA'!H55)</f>
        <v>0.14285714285714285</v>
      </c>
      <c r="I55" s="49">
        <f>AVERAGE('29.07 JinjaRoad-Kira Road'!I55,'30.07 Jinja Road-Kira Road'!I55,'31.07 Jinja Road-Kira Road'!I55,'2.08 Jinja road-Kira road'!I55,'1.08 Jinja Road-Kira Road-24h'!I55,'3.08 Jinja Road-KiraRoad-24h'!I55,'4.08.JINJA ROAD-KIIRA'!I55)</f>
        <v>2</v>
      </c>
      <c r="J55" s="49">
        <f>AVERAGE('29.07 JinjaRoad-Kira Road'!J55,'30.07 Jinja Road-Kira Road'!J55,'31.07 Jinja Road-Kira Road'!J55,'2.08 Jinja road-Kira road'!J55,'1.08 Jinja Road-Kira Road-24h'!J55,'3.08 Jinja Road-KiraRoad-24h'!J55,'4.08.JINJA ROAD-KIIRA'!J55)</f>
        <v>0.8571428571428571</v>
      </c>
      <c r="K55" s="49">
        <f>AVERAGE('29.07 JinjaRoad-Kira Road'!K55,'30.07 Jinja Road-Kira Road'!K55,'31.07 Jinja Road-Kira Road'!K55,'2.08 Jinja road-Kira road'!K55,'1.08 Jinja Road-Kira Road-24h'!K55,'3.08 Jinja Road-KiraRoad-24h'!K55,'4.08.JINJA ROAD-KIIRA'!K55)</f>
        <v>0</v>
      </c>
      <c r="L55" s="49">
        <f>AVERAGE('29.07 JinjaRoad-Kira Road'!L55,'30.07 Jinja Road-Kira Road'!L55,'31.07 Jinja Road-Kira Road'!L55,'2.08 Jinja road-Kira road'!L55,'1.08 Jinja Road-Kira Road-24h'!L55,'3.08 Jinja Road-KiraRoad-24h'!L55,'4.08.JINJA ROAD-KIIRA'!L55)</f>
        <v>0.2857142857142857</v>
      </c>
      <c r="M55" s="49">
        <f>AVERAGE('29.07 JinjaRoad-Kira Road'!M55,'30.07 Jinja Road-Kira Road'!M55,'31.07 Jinja Road-Kira Road'!M55,'2.08 Jinja road-Kira road'!M55,'1.08 Jinja Road-Kira Road-24h'!M55,'3.08 Jinja Road-KiraRoad-24h'!M55,'4.08.JINJA ROAD-KIIRA'!M55)</f>
        <v>132</v>
      </c>
      <c r="N55" s="49">
        <f>AVERAGE('29.07 JinjaRoad-Kira Road'!N55,'30.07 Jinja Road-Kira Road'!N55,'31.07 Jinja Road-Kira Road'!N55,'2.08 Jinja road-Kira road'!N55,'1.08 Jinja Road-Kira Road-24h'!N55,'3.08 Jinja Road-KiraRoad-24h'!N55,'4.08.JINJA ROAD-KIIRA'!N55)</f>
        <v>0</v>
      </c>
      <c r="O55" s="15">
        <f t="shared" si="0"/>
        <v>161.99999999999997</v>
      </c>
      <c r="P55" s="15">
        <f t="shared" si="1"/>
        <v>294</v>
      </c>
      <c r="R55" s="8"/>
      <c r="T55"/>
    </row>
    <row r="56" spans="2:20" ht="23.1" customHeight="1" x14ac:dyDescent="0.25">
      <c r="B56" s="23" t="s">
        <v>83</v>
      </c>
      <c r="C56" s="49">
        <f>AVERAGE('29.07 JinjaRoad-Kira Road'!C56,'30.07 Jinja Road-Kira Road'!C56,'31.07 Jinja Road-Kira Road'!C56,'2.08 Jinja road-Kira road'!C56,'1.08 Jinja Road-Kira Road-24h'!C56,'3.08 Jinja Road-KiraRoad-24h'!C56,'4.08.JINJA ROAD-KIIRA'!C56)</f>
        <v>96.285714285714292</v>
      </c>
      <c r="D56" s="49">
        <f>AVERAGE('29.07 JinjaRoad-Kira Road'!D56,'30.07 Jinja Road-Kira Road'!D56,'31.07 Jinja Road-Kira Road'!D56,'2.08 Jinja road-Kira road'!D56,'1.08 Jinja Road-Kira Road-24h'!D56,'3.08 Jinja Road-KiraRoad-24h'!D56,'4.08.JINJA ROAD-KIIRA'!D56)</f>
        <v>42.142857142857146</v>
      </c>
      <c r="E56" s="49">
        <f>AVERAGE('29.07 JinjaRoad-Kira Road'!E56,'30.07 Jinja Road-Kira Road'!E56,'31.07 Jinja Road-Kira Road'!E56,'2.08 Jinja road-Kira road'!E56,'1.08 Jinja Road-Kira Road-24h'!E56,'3.08 Jinja Road-KiraRoad-24h'!E56,'4.08.JINJA ROAD-KIIRA'!E56)</f>
        <v>11.142857142857142</v>
      </c>
      <c r="F56" s="49">
        <f>AVERAGE('29.07 JinjaRoad-Kira Road'!F56,'30.07 Jinja Road-Kira Road'!F56,'31.07 Jinja Road-Kira Road'!F56,'2.08 Jinja road-Kira road'!F56,'1.08 Jinja Road-Kira Road-24h'!F56,'3.08 Jinja Road-KiraRoad-24h'!F56,'4.08.JINJA ROAD-KIIRA'!F56)</f>
        <v>4.1428571428571432</v>
      </c>
      <c r="G56" s="49">
        <f>AVERAGE('29.07 JinjaRoad-Kira Road'!G56,'30.07 Jinja Road-Kira Road'!G56,'31.07 Jinja Road-Kira Road'!G56,'2.08 Jinja road-Kira road'!G56,'1.08 Jinja Road-Kira Road-24h'!G56,'3.08 Jinja Road-KiraRoad-24h'!G56,'4.08.JINJA ROAD-KIIRA'!G56)</f>
        <v>1</v>
      </c>
      <c r="H56" s="49">
        <f>AVERAGE('29.07 JinjaRoad-Kira Road'!H56,'30.07 Jinja Road-Kira Road'!H56,'31.07 Jinja Road-Kira Road'!H56,'2.08 Jinja road-Kira road'!H56,'1.08 Jinja Road-Kira Road-24h'!H56,'3.08 Jinja Road-KiraRoad-24h'!H56,'4.08.JINJA ROAD-KIIRA'!H56)</f>
        <v>0</v>
      </c>
      <c r="I56" s="49">
        <f>AVERAGE('29.07 JinjaRoad-Kira Road'!I56,'30.07 Jinja Road-Kira Road'!I56,'31.07 Jinja Road-Kira Road'!I56,'2.08 Jinja road-Kira road'!I56,'1.08 Jinja Road-Kira Road-24h'!I56,'3.08 Jinja Road-KiraRoad-24h'!I56,'4.08.JINJA ROAD-KIIRA'!I56)</f>
        <v>2</v>
      </c>
      <c r="J56" s="49">
        <f>AVERAGE('29.07 JinjaRoad-Kira Road'!J56,'30.07 Jinja Road-Kira Road'!J56,'31.07 Jinja Road-Kira Road'!J56,'2.08 Jinja road-Kira road'!J56,'1.08 Jinja Road-Kira Road-24h'!J56,'3.08 Jinja Road-KiraRoad-24h'!J56,'4.08.JINJA ROAD-KIIRA'!J56)</f>
        <v>0.2857142857142857</v>
      </c>
      <c r="K56" s="49">
        <f>AVERAGE('29.07 JinjaRoad-Kira Road'!K56,'30.07 Jinja Road-Kira Road'!K56,'31.07 Jinja Road-Kira Road'!K56,'2.08 Jinja road-Kira road'!K56,'1.08 Jinja Road-Kira Road-24h'!K56,'3.08 Jinja Road-KiraRoad-24h'!K56,'4.08.JINJA ROAD-KIIRA'!K56)</f>
        <v>0.2857142857142857</v>
      </c>
      <c r="L56" s="49">
        <f>AVERAGE('29.07 JinjaRoad-Kira Road'!L56,'30.07 Jinja Road-Kira Road'!L56,'31.07 Jinja Road-Kira Road'!L56,'2.08 Jinja road-Kira road'!L56,'1.08 Jinja Road-Kira Road-24h'!L56,'3.08 Jinja Road-KiraRoad-24h'!L56,'4.08.JINJA ROAD-KIIRA'!L56)</f>
        <v>0.5714285714285714</v>
      </c>
      <c r="M56" s="49">
        <f>AVERAGE('29.07 JinjaRoad-Kira Road'!M56,'30.07 Jinja Road-Kira Road'!M56,'31.07 Jinja Road-Kira Road'!M56,'2.08 Jinja road-Kira road'!M56,'1.08 Jinja Road-Kira Road-24h'!M56,'3.08 Jinja Road-KiraRoad-24h'!M56,'4.08.JINJA ROAD-KIIRA'!M56)</f>
        <v>125.57142857142857</v>
      </c>
      <c r="N56" s="49">
        <f>AVERAGE('29.07 JinjaRoad-Kira Road'!N56,'30.07 Jinja Road-Kira Road'!N56,'31.07 Jinja Road-Kira Road'!N56,'2.08 Jinja road-Kira road'!N56,'1.08 Jinja Road-Kira Road-24h'!N56,'3.08 Jinja Road-KiraRoad-24h'!N56,'4.08.JINJA ROAD-KIIRA'!N56)</f>
        <v>0</v>
      </c>
      <c r="O56" s="15">
        <f t="shared" si="0"/>
        <v>157.85714285714286</v>
      </c>
      <c r="P56" s="15">
        <f t="shared" si="1"/>
        <v>283.42857142857144</v>
      </c>
      <c r="R56" s="8"/>
      <c r="T56"/>
    </row>
    <row r="57" spans="2:20" ht="23.1" customHeight="1" x14ac:dyDescent="0.25">
      <c r="B57" s="23" t="s">
        <v>84</v>
      </c>
      <c r="C57" s="49">
        <f>AVERAGE('29.07 JinjaRoad-Kira Road'!C57,'30.07 Jinja Road-Kira Road'!C57,'31.07 Jinja Road-Kira Road'!C57,'2.08 Jinja road-Kira road'!C57,'1.08 Jinja Road-Kira Road-24h'!C57,'3.08 Jinja Road-KiraRoad-24h'!C57,'4.08.JINJA ROAD-KIIRA'!C57)</f>
        <v>107</v>
      </c>
      <c r="D57" s="49">
        <f>AVERAGE('29.07 JinjaRoad-Kira Road'!D57,'30.07 Jinja Road-Kira Road'!D57,'31.07 Jinja Road-Kira Road'!D57,'2.08 Jinja road-Kira road'!D57,'1.08 Jinja Road-Kira Road-24h'!D57,'3.08 Jinja Road-KiraRoad-24h'!D57,'4.08.JINJA ROAD-KIIRA'!D57)</f>
        <v>51.428571428571431</v>
      </c>
      <c r="E57" s="49">
        <f>AVERAGE('29.07 JinjaRoad-Kira Road'!E57,'30.07 Jinja Road-Kira Road'!E57,'31.07 Jinja Road-Kira Road'!E57,'2.08 Jinja road-Kira road'!E57,'1.08 Jinja Road-Kira Road-24h'!E57,'3.08 Jinja Road-KiraRoad-24h'!E57,'4.08.JINJA ROAD-KIIRA'!E57)</f>
        <v>17.142857142857142</v>
      </c>
      <c r="F57" s="49">
        <f>AVERAGE('29.07 JinjaRoad-Kira Road'!F57,'30.07 Jinja Road-Kira Road'!F57,'31.07 Jinja Road-Kira Road'!F57,'2.08 Jinja road-Kira road'!F57,'1.08 Jinja Road-Kira Road-24h'!F57,'3.08 Jinja Road-KiraRoad-24h'!F57,'4.08.JINJA ROAD-KIIRA'!F57)</f>
        <v>7.7142857142857144</v>
      </c>
      <c r="G57" s="49">
        <f>AVERAGE('29.07 JinjaRoad-Kira Road'!G57,'30.07 Jinja Road-Kira Road'!G57,'31.07 Jinja Road-Kira Road'!G57,'2.08 Jinja road-Kira road'!G57,'1.08 Jinja Road-Kira Road-24h'!G57,'3.08 Jinja Road-KiraRoad-24h'!G57,'4.08.JINJA ROAD-KIIRA'!G57)</f>
        <v>0.42857142857142855</v>
      </c>
      <c r="H57" s="49">
        <f>AVERAGE('29.07 JinjaRoad-Kira Road'!H57,'30.07 Jinja Road-Kira Road'!H57,'31.07 Jinja Road-Kira Road'!H57,'2.08 Jinja road-Kira road'!H57,'1.08 Jinja Road-Kira Road-24h'!H57,'3.08 Jinja Road-KiraRoad-24h'!H57,'4.08.JINJA ROAD-KIIRA'!H57)</f>
        <v>0.14285714285714285</v>
      </c>
      <c r="I57" s="49">
        <f>AVERAGE('29.07 JinjaRoad-Kira Road'!I57,'30.07 Jinja Road-Kira Road'!I57,'31.07 Jinja Road-Kira Road'!I57,'2.08 Jinja road-Kira road'!I57,'1.08 Jinja Road-Kira Road-24h'!I57,'3.08 Jinja Road-KiraRoad-24h'!I57,'4.08.JINJA ROAD-KIIRA'!I57)</f>
        <v>2.1428571428571428</v>
      </c>
      <c r="J57" s="49">
        <f>AVERAGE('29.07 JinjaRoad-Kira Road'!J57,'30.07 Jinja Road-Kira Road'!J57,'31.07 Jinja Road-Kira Road'!J57,'2.08 Jinja road-Kira road'!J57,'1.08 Jinja Road-Kira Road-24h'!J57,'3.08 Jinja Road-KiraRoad-24h'!J57,'4.08.JINJA ROAD-KIIRA'!J57)</f>
        <v>1.7142857142857142</v>
      </c>
      <c r="K57" s="49">
        <f>AVERAGE('29.07 JinjaRoad-Kira Road'!K57,'30.07 Jinja Road-Kira Road'!K57,'31.07 Jinja Road-Kira Road'!K57,'2.08 Jinja road-Kira road'!K57,'1.08 Jinja Road-Kira Road-24h'!K57,'3.08 Jinja Road-KiraRoad-24h'!K57,'4.08.JINJA ROAD-KIIRA'!K57)</f>
        <v>0.2857142857142857</v>
      </c>
      <c r="L57" s="49">
        <f>AVERAGE('29.07 JinjaRoad-Kira Road'!L57,'30.07 Jinja Road-Kira Road'!L57,'31.07 Jinja Road-Kira Road'!L57,'2.08 Jinja road-Kira road'!L57,'1.08 Jinja Road-Kira Road-24h'!L57,'3.08 Jinja Road-KiraRoad-24h'!L57,'4.08.JINJA ROAD-KIIRA'!L57)</f>
        <v>0.42857142857142855</v>
      </c>
      <c r="M57" s="49">
        <f>AVERAGE('29.07 JinjaRoad-Kira Road'!M57,'30.07 Jinja Road-Kira Road'!M57,'31.07 Jinja Road-Kira Road'!M57,'2.08 Jinja road-Kira road'!M57,'1.08 Jinja Road-Kira Road-24h'!M57,'3.08 Jinja Road-KiraRoad-24h'!M57,'4.08.JINJA ROAD-KIIRA'!M57)</f>
        <v>103.42857142857143</v>
      </c>
      <c r="N57" s="49">
        <f>AVERAGE('29.07 JinjaRoad-Kira Road'!N57,'30.07 Jinja Road-Kira Road'!N57,'31.07 Jinja Road-Kira Road'!N57,'2.08 Jinja road-Kira road'!N57,'1.08 Jinja Road-Kira Road-24h'!N57,'3.08 Jinja Road-KiraRoad-24h'!N57,'4.08.JINJA ROAD-KIIRA'!N57)</f>
        <v>0</v>
      </c>
      <c r="O57" s="15">
        <f t="shared" si="0"/>
        <v>188.42857142857142</v>
      </c>
      <c r="P57" s="15">
        <f t="shared" si="1"/>
        <v>291.85714285714283</v>
      </c>
      <c r="R57" s="8"/>
      <c r="T57"/>
    </row>
    <row r="58" spans="2:20" ht="23.1" customHeight="1" x14ac:dyDescent="0.25">
      <c r="B58" s="23" t="s">
        <v>99</v>
      </c>
      <c r="C58" s="49">
        <f>AVERAGE('1.08 Jinja Road-Kira Road-24h'!C58,'3.08 Jinja Road-KiraRoad-24h'!C58)</f>
        <v>79.5</v>
      </c>
      <c r="D58" s="49">
        <f>AVERAGE('1.08 Jinja Road-Kira Road-24h'!D58,'3.08 Jinja Road-KiraRoad-24h'!D58)</f>
        <v>36.5</v>
      </c>
      <c r="E58" s="49">
        <f>AVERAGE('1.08 Jinja Road-Kira Road-24h'!E58,'3.08 Jinja Road-KiraRoad-24h'!E58)</f>
        <v>6</v>
      </c>
      <c r="F58" s="49">
        <f>AVERAGE('1.08 Jinja Road-Kira Road-24h'!F58,'3.08 Jinja Road-KiraRoad-24h'!F58)</f>
        <v>1.5</v>
      </c>
      <c r="G58" s="49">
        <f>AVERAGE('1.08 Jinja Road-Kira Road-24h'!G58,'3.08 Jinja Road-KiraRoad-24h'!G58)</f>
        <v>0</v>
      </c>
      <c r="H58" s="49">
        <f>AVERAGE('1.08 Jinja Road-Kira Road-24h'!H58,'3.08 Jinja Road-KiraRoad-24h'!H58)</f>
        <v>0</v>
      </c>
      <c r="I58" s="49">
        <f>AVERAGE('1.08 Jinja Road-Kira Road-24h'!I58,'3.08 Jinja Road-KiraRoad-24h'!I58)</f>
        <v>1</v>
      </c>
      <c r="J58" s="49">
        <f>AVERAGE('1.08 Jinja Road-Kira Road-24h'!J58,'3.08 Jinja Road-KiraRoad-24h'!J58)</f>
        <v>1</v>
      </c>
      <c r="K58" s="49">
        <f>AVERAGE('1.08 Jinja Road-Kira Road-24h'!K58,'3.08 Jinja Road-KiraRoad-24h'!K58)</f>
        <v>0.5</v>
      </c>
      <c r="L58" s="49">
        <f>AVERAGE('1.08 Jinja Road-Kira Road-24h'!L58,'3.08 Jinja Road-KiraRoad-24h'!L58)</f>
        <v>0</v>
      </c>
      <c r="M58" s="49">
        <f>AVERAGE('1.08 Jinja Road-Kira Road-24h'!M58,'3.08 Jinja Road-KiraRoad-24h'!M58)</f>
        <v>119.5</v>
      </c>
      <c r="N58" s="49">
        <f>AVERAGE('1.08 Jinja Road-Kira Road-24h'!N58,'3.08 Jinja Road-KiraRoad-24h'!N58)</f>
        <v>0</v>
      </c>
      <c r="O58" s="15">
        <f t="shared" si="0"/>
        <v>126</v>
      </c>
      <c r="P58" s="15">
        <f t="shared" si="1"/>
        <v>245.5</v>
      </c>
      <c r="R58" s="8"/>
      <c r="T58"/>
    </row>
    <row r="59" spans="2:20" ht="23.1" customHeight="1" x14ac:dyDescent="0.25">
      <c r="B59" s="23" t="s">
        <v>100</v>
      </c>
      <c r="C59" s="49">
        <f>AVERAGE('1.08 Jinja Road-Kira Road-24h'!C59,'3.08 Jinja Road-KiraRoad-24h'!C59)</f>
        <v>53</v>
      </c>
      <c r="D59" s="49">
        <f>AVERAGE('1.08 Jinja Road-Kira Road-24h'!D59,'3.08 Jinja Road-KiraRoad-24h'!D59)</f>
        <v>23.5</v>
      </c>
      <c r="E59" s="49">
        <f>AVERAGE('1.08 Jinja Road-Kira Road-24h'!E59,'3.08 Jinja Road-KiraRoad-24h'!E59)</f>
        <v>3.5</v>
      </c>
      <c r="F59" s="49">
        <f>AVERAGE('1.08 Jinja Road-Kira Road-24h'!F59,'3.08 Jinja Road-KiraRoad-24h'!F59)</f>
        <v>1</v>
      </c>
      <c r="G59" s="49">
        <f>AVERAGE('1.08 Jinja Road-Kira Road-24h'!G59,'3.08 Jinja Road-KiraRoad-24h'!G59)</f>
        <v>0</v>
      </c>
      <c r="H59" s="49">
        <f>AVERAGE('1.08 Jinja Road-Kira Road-24h'!H59,'3.08 Jinja Road-KiraRoad-24h'!H59)</f>
        <v>0</v>
      </c>
      <c r="I59" s="49">
        <f>AVERAGE('1.08 Jinja Road-Kira Road-24h'!I59,'3.08 Jinja Road-KiraRoad-24h'!I59)</f>
        <v>0.5</v>
      </c>
      <c r="J59" s="49">
        <f>AVERAGE('1.08 Jinja Road-Kira Road-24h'!J59,'3.08 Jinja Road-KiraRoad-24h'!J59)</f>
        <v>0</v>
      </c>
      <c r="K59" s="49">
        <f>AVERAGE('1.08 Jinja Road-Kira Road-24h'!K59,'3.08 Jinja Road-KiraRoad-24h'!K59)</f>
        <v>0</v>
      </c>
      <c r="L59" s="49">
        <f>AVERAGE('1.08 Jinja Road-Kira Road-24h'!L59,'3.08 Jinja Road-KiraRoad-24h'!L59)</f>
        <v>0</v>
      </c>
      <c r="M59" s="49">
        <f>AVERAGE('1.08 Jinja Road-Kira Road-24h'!M59,'3.08 Jinja Road-KiraRoad-24h'!M59)</f>
        <v>101</v>
      </c>
      <c r="N59" s="49">
        <f>AVERAGE('1.08 Jinja Road-Kira Road-24h'!N59,'3.08 Jinja Road-KiraRoad-24h'!N59)</f>
        <v>0</v>
      </c>
      <c r="O59" s="15">
        <f t="shared" si="0"/>
        <v>81.5</v>
      </c>
      <c r="P59" s="15">
        <f t="shared" si="1"/>
        <v>182.5</v>
      </c>
      <c r="R59" s="8"/>
      <c r="T59"/>
    </row>
    <row r="60" spans="2:20" ht="23.1" customHeight="1" x14ac:dyDescent="0.25">
      <c r="B60" s="23" t="s">
        <v>101</v>
      </c>
      <c r="C60" s="49">
        <f>AVERAGE('1.08 Jinja Road-Kira Road-24h'!C60,'3.08 Jinja Road-KiraRoad-24h'!C60)</f>
        <v>65.5</v>
      </c>
      <c r="D60" s="49">
        <f>AVERAGE('1.08 Jinja Road-Kira Road-24h'!D60,'3.08 Jinja Road-KiraRoad-24h'!D60)</f>
        <v>26.5</v>
      </c>
      <c r="E60" s="49">
        <f>AVERAGE('1.08 Jinja Road-Kira Road-24h'!E60,'3.08 Jinja Road-KiraRoad-24h'!E60)</f>
        <v>5</v>
      </c>
      <c r="F60" s="49">
        <f>AVERAGE('1.08 Jinja Road-Kira Road-24h'!F60,'3.08 Jinja Road-KiraRoad-24h'!F60)</f>
        <v>0</v>
      </c>
      <c r="G60" s="49">
        <f>AVERAGE('1.08 Jinja Road-Kira Road-24h'!G60,'3.08 Jinja Road-KiraRoad-24h'!G60)</f>
        <v>0</v>
      </c>
      <c r="H60" s="49">
        <f>AVERAGE('1.08 Jinja Road-Kira Road-24h'!H60,'3.08 Jinja Road-KiraRoad-24h'!H60)</f>
        <v>0</v>
      </c>
      <c r="I60" s="49">
        <f>AVERAGE('1.08 Jinja Road-Kira Road-24h'!I60,'3.08 Jinja Road-KiraRoad-24h'!I60)</f>
        <v>0</v>
      </c>
      <c r="J60" s="49">
        <f>AVERAGE('1.08 Jinja Road-Kira Road-24h'!J60,'3.08 Jinja Road-KiraRoad-24h'!J60)</f>
        <v>1</v>
      </c>
      <c r="K60" s="49">
        <f>AVERAGE('1.08 Jinja Road-Kira Road-24h'!K60,'3.08 Jinja Road-KiraRoad-24h'!K60)</f>
        <v>0</v>
      </c>
      <c r="L60" s="49">
        <f>AVERAGE('1.08 Jinja Road-Kira Road-24h'!L60,'3.08 Jinja Road-KiraRoad-24h'!L60)</f>
        <v>0</v>
      </c>
      <c r="M60" s="49">
        <f>AVERAGE('1.08 Jinja Road-Kira Road-24h'!M60,'3.08 Jinja Road-KiraRoad-24h'!M60)</f>
        <v>113</v>
      </c>
      <c r="N60" s="49">
        <f>AVERAGE('1.08 Jinja Road-Kira Road-24h'!N60,'3.08 Jinja Road-KiraRoad-24h'!N60)</f>
        <v>0</v>
      </c>
      <c r="O60" s="15">
        <f t="shared" si="0"/>
        <v>98</v>
      </c>
      <c r="P60" s="15">
        <f t="shared" si="1"/>
        <v>211</v>
      </c>
      <c r="R60" s="8"/>
      <c r="T60"/>
    </row>
    <row r="61" spans="2:20" ht="23.1" customHeight="1" x14ac:dyDescent="0.25">
      <c r="B61" s="23" t="s">
        <v>102</v>
      </c>
      <c r="C61" s="49">
        <f>AVERAGE('1.08 Jinja Road-Kira Road-24h'!C61,'3.08 Jinja Road-KiraRoad-24h'!C61)</f>
        <v>71.5</v>
      </c>
      <c r="D61" s="49">
        <f>AVERAGE('1.08 Jinja Road-Kira Road-24h'!D61,'3.08 Jinja Road-KiraRoad-24h'!D61)</f>
        <v>27.5</v>
      </c>
      <c r="E61" s="49">
        <f>AVERAGE('1.08 Jinja Road-Kira Road-24h'!E61,'3.08 Jinja Road-KiraRoad-24h'!E61)</f>
        <v>9.5</v>
      </c>
      <c r="F61" s="49">
        <f>AVERAGE('1.08 Jinja Road-Kira Road-24h'!F61,'3.08 Jinja Road-KiraRoad-24h'!F61)</f>
        <v>1</v>
      </c>
      <c r="G61" s="49">
        <f>AVERAGE('1.08 Jinja Road-Kira Road-24h'!G61,'3.08 Jinja Road-KiraRoad-24h'!G61)</f>
        <v>0</v>
      </c>
      <c r="H61" s="49">
        <f>AVERAGE('1.08 Jinja Road-Kira Road-24h'!H61,'3.08 Jinja Road-KiraRoad-24h'!H61)</f>
        <v>0</v>
      </c>
      <c r="I61" s="49">
        <f>AVERAGE('1.08 Jinja Road-Kira Road-24h'!I61,'3.08 Jinja Road-KiraRoad-24h'!I61)</f>
        <v>1</v>
      </c>
      <c r="J61" s="49">
        <f>AVERAGE('1.08 Jinja Road-Kira Road-24h'!J61,'3.08 Jinja Road-KiraRoad-24h'!J61)</f>
        <v>0</v>
      </c>
      <c r="K61" s="49">
        <f>AVERAGE('1.08 Jinja Road-Kira Road-24h'!K61,'3.08 Jinja Road-KiraRoad-24h'!K61)</f>
        <v>0.5</v>
      </c>
      <c r="L61" s="49">
        <f>AVERAGE('1.08 Jinja Road-Kira Road-24h'!L61,'3.08 Jinja Road-KiraRoad-24h'!L61)</f>
        <v>0</v>
      </c>
      <c r="M61" s="49">
        <f>AVERAGE('1.08 Jinja Road-Kira Road-24h'!M61,'3.08 Jinja Road-KiraRoad-24h'!M61)</f>
        <v>206.5</v>
      </c>
      <c r="N61" s="49">
        <f>AVERAGE('1.08 Jinja Road-Kira Road-24h'!N61,'3.08 Jinja Road-KiraRoad-24h'!N61)</f>
        <v>0</v>
      </c>
      <c r="O61" s="15">
        <f t="shared" si="0"/>
        <v>111</v>
      </c>
      <c r="P61" s="15">
        <f t="shared" si="1"/>
        <v>317.5</v>
      </c>
      <c r="R61" s="8"/>
      <c r="T61"/>
    </row>
    <row r="62" spans="2:20" ht="23.1" customHeight="1" x14ac:dyDescent="0.25">
      <c r="B62" s="23" t="s">
        <v>107</v>
      </c>
      <c r="C62" s="49">
        <f>AVERAGE('1.08 Jinja Road-Kira Road-24h'!C62,'3.08 Jinja Road-KiraRoad-24h'!C62)</f>
        <v>68</v>
      </c>
      <c r="D62" s="49">
        <f>AVERAGE('1.08 Jinja Road-Kira Road-24h'!D62,'3.08 Jinja Road-KiraRoad-24h'!D62)</f>
        <v>14.5</v>
      </c>
      <c r="E62" s="49">
        <f>AVERAGE('1.08 Jinja Road-Kira Road-24h'!E62,'3.08 Jinja Road-KiraRoad-24h'!E62)</f>
        <v>7.5</v>
      </c>
      <c r="F62" s="49">
        <f>AVERAGE('1.08 Jinja Road-Kira Road-24h'!F62,'3.08 Jinja Road-KiraRoad-24h'!F62)</f>
        <v>0.5</v>
      </c>
      <c r="G62" s="49">
        <f>AVERAGE('1.08 Jinja Road-Kira Road-24h'!G62,'3.08 Jinja Road-KiraRoad-24h'!G62)</f>
        <v>0</v>
      </c>
      <c r="H62" s="49">
        <f>AVERAGE('1.08 Jinja Road-Kira Road-24h'!H62,'3.08 Jinja Road-KiraRoad-24h'!H62)</f>
        <v>0</v>
      </c>
      <c r="I62" s="49">
        <f>AVERAGE('1.08 Jinja Road-Kira Road-24h'!I62,'3.08 Jinja Road-KiraRoad-24h'!I62)</f>
        <v>2.5</v>
      </c>
      <c r="J62" s="49">
        <f>AVERAGE('1.08 Jinja Road-Kira Road-24h'!J62,'3.08 Jinja Road-KiraRoad-24h'!J62)</f>
        <v>0.5</v>
      </c>
      <c r="K62" s="49">
        <f>AVERAGE('1.08 Jinja Road-Kira Road-24h'!K62,'3.08 Jinja Road-KiraRoad-24h'!K62)</f>
        <v>1.5</v>
      </c>
      <c r="L62" s="49">
        <f>AVERAGE('1.08 Jinja Road-Kira Road-24h'!L62,'3.08 Jinja Road-KiraRoad-24h'!L62)</f>
        <v>0</v>
      </c>
      <c r="M62" s="49">
        <f>AVERAGE('1.08 Jinja Road-Kira Road-24h'!M62,'3.08 Jinja Road-KiraRoad-24h'!M62)</f>
        <v>121</v>
      </c>
      <c r="N62" s="49">
        <f>AVERAGE('1.08 Jinja Road-Kira Road-24h'!N62,'3.08 Jinja Road-KiraRoad-24h'!N62)</f>
        <v>0</v>
      </c>
      <c r="O62" s="15">
        <f t="shared" si="0"/>
        <v>95</v>
      </c>
      <c r="P62" s="15">
        <f t="shared" si="1"/>
        <v>216</v>
      </c>
      <c r="R62" s="8"/>
      <c r="T62"/>
    </row>
    <row r="63" spans="2:20" ht="23.1" customHeight="1" x14ac:dyDescent="0.25">
      <c r="B63" s="23" t="s">
        <v>108</v>
      </c>
      <c r="C63" s="49">
        <f>AVERAGE('1.08 Jinja Road-Kira Road-24h'!C63,'3.08 Jinja Road-KiraRoad-24h'!C63)</f>
        <v>64.5</v>
      </c>
      <c r="D63" s="49">
        <f>AVERAGE('1.08 Jinja Road-Kira Road-24h'!D63,'3.08 Jinja Road-KiraRoad-24h'!D63)</f>
        <v>23</v>
      </c>
      <c r="E63" s="49">
        <f>AVERAGE('1.08 Jinja Road-Kira Road-24h'!E63,'3.08 Jinja Road-KiraRoad-24h'!E63)</f>
        <v>5</v>
      </c>
      <c r="F63" s="49">
        <f>AVERAGE('1.08 Jinja Road-Kira Road-24h'!F63,'3.08 Jinja Road-KiraRoad-24h'!F63)</f>
        <v>0</v>
      </c>
      <c r="G63" s="49">
        <f>AVERAGE('1.08 Jinja Road-Kira Road-24h'!G63,'3.08 Jinja Road-KiraRoad-24h'!G63)</f>
        <v>0</v>
      </c>
      <c r="H63" s="49">
        <f>AVERAGE('1.08 Jinja Road-Kira Road-24h'!H63,'3.08 Jinja Road-KiraRoad-24h'!H63)</f>
        <v>0</v>
      </c>
      <c r="I63" s="49">
        <f>AVERAGE('1.08 Jinja Road-Kira Road-24h'!I63,'3.08 Jinja Road-KiraRoad-24h'!I63)</f>
        <v>1</v>
      </c>
      <c r="J63" s="49">
        <f>AVERAGE('1.08 Jinja Road-Kira Road-24h'!J63,'3.08 Jinja Road-KiraRoad-24h'!J63)</f>
        <v>0</v>
      </c>
      <c r="K63" s="49">
        <f>AVERAGE('1.08 Jinja Road-Kira Road-24h'!K63,'3.08 Jinja Road-KiraRoad-24h'!K63)</f>
        <v>0</v>
      </c>
      <c r="L63" s="49">
        <f>AVERAGE('1.08 Jinja Road-Kira Road-24h'!L63,'3.08 Jinja Road-KiraRoad-24h'!L63)</f>
        <v>0</v>
      </c>
      <c r="M63" s="49">
        <f>AVERAGE('1.08 Jinja Road-Kira Road-24h'!M63,'3.08 Jinja Road-KiraRoad-24h'!M63)</f>
        <v>107.5</v>
      </c>
      <c r="N63" s="49">
        <f>AVERAGE('1.08 Jinja Road-Kira Road-24h'!N63,'3.08 Jinja Road-KiraRoad-24h'!N63)</f>
        <v>0</v>
      </c>
      <c r="O63" s="15">
        <f t="shared" si="0"/>
        <v>93.5</v>
      </c>
      <c r="P63" s="15">
        <f t="shared" si="1"/>
        <v>201</v>
      </c>
      <c r="R63" s="8"/>
      <c r="T63"/>
    </row>
    <row r="64" spans="2:20" ht="23.1" customHeight="1" x14ac:dyDescent="0.25">
      <c r="B64" s="23" t="s">
        <v>109</v>
      </c>
      <c r="C64" s="49">
        <f>AVERAGE('1.08 Jinja Road-Kira Road-24h'!C64,'3.08 Jinja Road-KiraRoad-24h'!C64)</f>
        <v>58.5</v>
      </c>
      <c r="D64" s="49">
        <f>AVERAGE('1.08 Jinja Road-Kira Road-24h'!D64,'3.08 Jinja Road-KiraRoad-24h'!D64)</f>
        <v>18</v>
      </c>
      <c r="E64" s="49">
        <f>AVERAGE('1.08 Jinja Road-Kira Road-24h'!E64,'3.08 Jinja Road-KiraRoad-24h'!E64)</f>
        <v>5.5</v>
      </c>
      <c r="F64" s="49">
        <f>AVERAGE('1.08 Jinja Road-Kira Road-24h'!F64,'3.08 Jinja Road-KiraRoad-24h'!F64)</f>
        <v>0.5</v>
      </c>
      <c r="G64" s="49">
        <f>AVERAGE('1.08 Jinja Road-Kira Road-24h'!G64,'3.08 Jinja Road-KiraRoad-24h'!G64)</f>
        <v>0</v>
      </c>
      <c r="H64" s="49">
        <f>AVERAGE('1.08 Jinja Road-Kira Road-24h'!H64,'3.08 Jinja Road-KiraRoad-24h'!H64)</f>
        <v>0</v>
      </c>
      <c r="I64" s="49">
        <f>AVERAGE('1.08 Jinja Road-Kira Road-24h'!I64,'3.08 Jinja Road-KiraRoad-24h'!I64)</f>
        <v>0.5</v>
      </c>
      <c r="J64" s="49">
        <f>AVERAGE('1.08 Jinja Road-Kira Road-24h'!J64,'3.08 Jinja Road-KiraRoad-24h'!J64)</f>
        <v>0</v>
      </c>
      <c r="K64" s="49">
        <f>AVERAGE('1.08 Jinja Road-Kira Road-24h'!K64,'3.08 Jinja Road-KiraRoad-24h'!K64)</f>
        <v>0.5</v>
      </c>
      <c r="L64" s="49">
        <f>AVERAGE('1.08 Jinja Road-Kira Road-24h'!L64,'3.08 Jinja Road-KiraRoad-24h'!L64)</f>
        <v>0</v>
      </c>
      <c r="M64" s="49">
        <f>AVERAGE('1.08 Jinja Road-Kira Road-24h'!M64,'3.08 Jinja Road-KiraRoad-24h'!M64)</f>
        <v>90</v>
      </c>
      <c r="N64" s="49">
        <f>AVERAGE('1.08 Jinja Road-Kira Road-24h'!N64,'3.08 Jinja Road-KiraRoad-24h'!N64)</f>
        <v>0</v>
      </c>
      <c r="O64" s="15">
        <f t="shared" si="0"/>
        <v>83.5</v>
      </c>
      <c r="P64" s="15">
        <f t="shared" si="1"/>
        <v>173.5</v>
      </c>
      <c r="R64" s="8"/>
      <c r="T64"/>
    </row>
    <row r="65" spans="2:20" ht="23.1" customHeight="1" x14ac:dyDescent="0.25">
      <c r="B65" s="23" t="s">
        <v>158</v>
      </c>
      <c r="C65" s="49">
        <f>AVERAGE('1.08 Jinja Road-Kira Road-24h'!C65,'3.08 Jinja Road-KiraRoad-24h'!C65)</f>
        <v>53.5</v>
      </c>
      <c r="D65" s="49">
        <f>AVERAGE('1.08 Jinja Road-Kira Road-24h'!D65,'3.08 Jinja Road-KiraRoad-24h'!D65)</f>
        <v>16</v>
      </c>
      <c r="E65" s="49">
        <f>AVERAGE('1.08 Jinja Road-Kira Road-24h'!E65,'3.08 Jinja Road-KiraRoad-24h'!E65)</f>
        <v>4</v>
      </c>
      <c r="F65" s="49">
        <f>AVERAGE('1.08 Jinja Road-Kira Road-24h'!F65,'3.08 Jinja Road-KiraRoad-24h'!F65)</f>
        <v>0.5</v>
      </c>
      <c r="G65" s="49">
        <f>AVERAGE('1.08 Jinja Road-Kira Road-24h'!G65,'3.08 Jinja Road-KiraRoad-24h'!G65)</f>
        <v>0</v>
      </c>
      <c r="H65" s="49">
        <f>AVERAGE('1.08 Jinja Road-Kira Road-24h'!H65,'3.08 Jinja Road-KiraRoad-24h'!H65)</f>
        <v>0</v>
      </c>
      <c r="I65" s="49">
        <f>AVERAGE('1.08 Jinja Road-Kira Road-24h'!I65,'3.08 Jinja Road-KiraRoad-24h'!I65)</f>
        <v>2</v>
      </c>
      <c r="J65" s="49">
        <f>AVERAGE('1.08 Jinja Road-Kira Road-24h'!J65,'3.08 Jinja Road-KiraRoad-24h'!J65)</f>
        <v>0</v>
      </c>
      <c r="K65" s="49">
        <f>AVERAGE('1.08 Jinja Road-Kira Road-24h'!K65,'3.08 Jinja Road-KiraRoad-24h'!K65)</f>
        <v>0</v>
      </c>
      <c r="L65" s="49">
        <f>AVERAGE('1.08 Jinja Road-Kira Road-24h'!L65,'3.08 Jinja Road-KiraRoad-24h'!L65)</f>
        <v>0</v>
      </c>
      <c r="M65" s="49">
        <f>AVERAGE('1.08 Jinja Road-Kira Road-24h'!M65,'3.08 Jinja Road-KiraRoad-24h'!M65)</f>
        <v>91.5</v>
      </c>
      <c r="N65" s="49">
        <f>AVERAGE('1.08 Jinja Road-Kira Road-24h'!N65,'3.08 Jinja Road-KiraRoad-24h'!N65)</f>
        <v>0</v>
      </c>
      <c r="O65" s="15">
        <f t="shared" si="0"/>
        <v>76</v>
      </c>
      <c r="P65" s="15">
        <f t="shared" si="1"/>
        <v>167.5</v>
      </c>
      <c r="R65" s="8"/>
      <c r="T65"/>
    </row>
    <row r="66" spans="2:20" ht="23.1" customHeight="1" x14ac:dyDescent="0.25">
      <c r="B66" s="23" t="s">
        <v>103</v>
      </c>
      <c r="C66" s="49">
        <f>AVERAGE('1.08 Jinja Road-Kira Road-24h'!C66,'3.08 Jinja Road-KiraRoad-24h'!C66)</f>
        <v>58.5</v>
      </c>
      <c r="D66" s="49">
        <f>AVERAGE('1.08 Jinja Road-Kira Road-24h'!D66,'3.08 Jinja Road-KiraRoad-24h'!D66)</f>
        <v>18.5</v>
      </c>
      <c r="E66" s="49">
        <f>AVERAGE('1.08 Jinja Road-Kira Road-24h'!E66,'3.08 Jinja Road-KiraRoad-24h'!E66)</f>
        <v>4.5</v>
      </c>
      <c r="F66" s="49">
        <f>AVERAGE('1.08 Jinja Road-Kira Road-24h'!F66,'3.08 Jinja Road-KiraRoad-24h'!F66)</f>
        <v>0.5</v>
      </c>
      <c r="G66" s="49">
        <f>AVERAGE('1.08 Jinja Road-Kira Road-24h'!G66,'3.08 Jinja Road-KiraRoad-24h'!G66)</f>
        <v>0</v>
      </c>
      <c r="H66" s="49">
        <f>AVERAGE('1.08 Jinja Road-Kira Road-24h'!H66,'3.08 Jinja Road-KiraRoad-24h'!H66)</f>
        <v>0</v>
      </c>
      <c r="I66" s="49">
        <f>AVERAGE('1.08 Jinja Road-Kira Road-24h'!I66,'3.08 Jinja Road-KiraRoad-24h'!I66)</f>
        <v>0</v>
      </c>
      <c r="J66" s="49">
        <f>AVERAGE('1.08 Jinja Road-Kira Road-24h'!J66,'3.08 Jinja Road-KiraRoad-24h'!J66)</f>
        <v>1</v>
      </c>
      <c r="K66" s="49">
        <f>AVERAGE('1.08 Jinja Road-Kira Road-24h'!K66,'3.08 Jinja Road-KiraRoad-24h'!K66)</f>
        <v>0</v>
      </c>
      <c r="L66" s="49">
        <f>AVERAGE('1.08 Jinja Road-Kira Road-24h'!L66,'3.08 Jinja Road-KiraRoad-24h'!L66)</f>
        <v>0</v>
      </c>
      <c r="M66" s="49">
        <f>AVERAGE('1.08 Jinja Road-Kira Road-24h'!M66,'3.08 Jinja Road-KiraRoad-24h'!M66)</f>
        <v>48.5</v>
      </c>
      <c r="N66" s="49">
        <f>AVERAGE('1.08 Jinja Road-Kira Road-24h'!N66,'3.08 Jinja Road-KiraRoad-24h'!N66)</f>
        <v>0</v>
      </c>
      <c r="O66" s="15">
        <f t="shared" si="0"/>
        <v>83</v>
      </c>
      <c r="P66" s="15">
        <f t="shared" si="1"/>
        <v>131.5</v>
      </c>
      <c r="R66" s="8"/>
      <c r="T66"/>
    </row>
    <row r="67" spans="2:20" ht="23.1" customHeight="1" x14ac:dyDescent="0.25">
      <c r="B67" s="23" t="s">
        <v>104</v>
      </c>
      <c r="C67" s="49">
        <f>AVERAGE('1.08 Jinja Road-Kira Road-24h'!C67,'3.08 Jinja Road-KiraRoad-24h'!C67)</f>
        <v>54</v>
      </c>
      <c r="D67" s="49">
        <f>AVERAGE('1.08 Jinja Road-Kira Road-24h'!D67,'3.08 Jinja Road-KiraRoad-24h'!D67)</f>
        <v>24.5</v>
      </c>
      <c r="E67" s="49">
        <f>AVERAGE('1.08 Jinja Road-Kira Road-24h'!E67,'3.08 Jinja Road-KiraRoad-24h'!E67)</f>
        <v>3.5</v>
      </c>
      <c r="F67" s="49">
        <f>AVERAGE('1.08 Jinja Road-Kira Road-24h'!F67,'3.08 Jinja Road-KiraRoad-24h'!F67)</f>
        <v>0</v>
      </c>
      <c r="G67" s="49">
        <f>AVERAGE('1.08 Jinja Road-Kira Road-24h'!G67,'3.08 Jinja Road-KiraRoad-24h'!G67)</f>
        <v>0</v>
      </c>
      <c r="H67" s="49">
        <f>AVERAGE('1.08 Jinja Road-Kira Road-24h'!H67,'3.08 Jinja Road-KiraRoad-24h'!H67)</f>
        <v>0</v>
      </c>
      <c r="I67" s="49">
        <f>AVERAGE('1.08 Jinja Road-Kira Road-24h'!I67,'3.08 Jinja Road-KiraRoad-24h'!I67)</f>
        <v>0.5</v>
      </c>
      <c r="J67" s="49">
        <f>AVERAGE('1.08 Jinja Road-Kira Road-24h'!J67,'3.08 Jinja Road-KiraRoad-24h'!J67)</f>
        <v>0.5</v>
      </c>
      <c r="K67" s="49">
        <f>AVERAGE('1.08 Jinja Road-Kira Road-24h'!K67,'3.08 Jinja Road-KiraRoad-24h'!K67)</f>
        <v>0</v>
      </c>
      <c r="L67" s="49">
        <f>AVERAGE('1.08 Jinja Road-Kira Road-24h'!L67,'3.08 Jinja Road-KiraRoad-24h'!L67)</f>
        <v>0</v>
      </c>
      <c r="M67" s="49">
        <f>AVERAGE('1.08 Jinja Road-Kira Road-24h'!M67,'3.08 Jinja Road-KiraRoad-24h'!M67)</f>
        <v>41.5</v>
      </c>
      <c r="N67" s="49">
        <f>AVERAGE('1.08 Jinja Road-Kira Road-24h'!N67,'3.08 Jinja Road-KiraRoad-24h'!N67)</f>
        <v>0</v>
      </c>
      <c r="O67" s="15">
        <f t="shared" si="0"/>
        <v>83</v>
      </c>
      <c r="P67" s="15">
        <f t="shared" si="1"/>
        <v>124.5</v>
      </c>
      <c r="R67" s="8"/>
      <c r="T67"/>
    </row>
    <row r="68" spans="2:20" ht="23.1" customHeight="1" x14ac:dyDescent="0.25">
      <c r="B68" s="23" t="s">
        <v>105</v>
      </c>
      <c r="C68" s="49">
        <f>AVERAGE('1.08 Jinja Road-Kira Road-24h'!C68,'3.08 Jinja Road-KiraRoad-24h'!C68)</f>
        <v>43</v>
      </c>
      <c r="D68" s="49">
        <f>AVERAGE('1.08 Jinja Road-Kira Road-24h'!D68,'3.08 Jinja Road-KiraRoad-24h'!D68)</f>
        <v>11.5</v>
      </c>
      <c r="E68" s="49">
        <f>AVERAGE('1.08 Jinja Road-Kira Road-24h'!E68,'3.08 Jinja Road-KiraRoad-24h'!E68)</f>
        <v>2.5</v>
      </c>
      <c r="F68" s="49">
        <f>AVERAGE('1.08 Jinja Road-Kira Road-24h'!F68,'3.08 Jinja Road-KiraRoad-24h'!F68)</f>
        <v>2</v>
      </c>
      <c r="G68" s="49">
        <f>AVERAGE('1.08 Jinja Road-Kira Road-24h'!G68,'3.08 Jinja Road-KiraRoad-24h'!G68)</f>
        <v>0</v>
      </c>
      <c r="H68" s="49">
        <f>AVERAGE('1.08 Jinja Road-Kira Road-24h'!H68,'3.08 Jinja Road-KiraRoad-24h'!H68)</f>
        <v>0.5</v>
      </c>
      <c r="I68" s="49">
        <f>AVERAGE('1.08 Jinja Road-Kira Road-24h'!I68,'3.08 Jinja Road-KiraRoad-24h'!I68)</f>
        <v>0</v>
      </c>
      <c r="J68" s="49">
        <f>AVERAGE('1.08 Jinja Road-Kira Road-24h'!J68,'3.08 Jinja Road-KiraRoad-24h'!J68)</f>
        <v>0</v>
      </c>
      <c r="K68" s="49">
        <f>AVERAGE('1.08 Jinja Road-Kira Road-24h'!K68,'3.08 Jinja Road-KiraRoad-24h'!K68)</f>
        <v>0</v>
      </c>
      <c r="L68" s="49">
        <f>AVERAGE('1.08 Jinja Road-Kira Road-24h'!L68,'3.08 Jinja Road-KiraRoad-24h'!L68)</f>
        <v>0</v>
      </c>
      <c r="M68" s="49">
        <f>AVERAGE('1.08 Jinja Road-Kira Road-24h'!M68,'3.08 Jinja Road-KiraRoad-24h'!M68)</f>
        <v>64.5</v>
      </c>
      <c r="N68" s="49">
        <f>AVERAGE('1.08 Jinja Road-Kira Road-24h'!N68,'3.08 Jinja Road-KiraRoad-24h'!N68)</f>
        <v>0</v>
      </c>
      <c r="O68" s="15">
        <f t="shared" si="0"/>
        <v>59.5</v>
      </c>
      <c r="P68" s="15">
        <f t="shared" si="1"/>
        <v>124</v>
      </c>
      <c r="R68" s="8"/>
      <c r="T68"/>
    </row>
    <row r="69" spans="2:20" ht="23.1" customHeight="1" x14ac:dyDescent="0.25">
      <c r="B69" s="23" t="s">
        <v>106</v>
      </c>
      <c r="C69" s="49">
        <f>AVERAGE('1.08 Jinja Road-Kira Road-24h'!C69,'3.08 Jinja Road-KiraRoad-24h'!C69)</f>
        <v>45</v>
      </c>
      <c r="D69" s="49">
        <f>AVERAGE('1.08 Jinja Road-Kira Road-24h'!D69,'3.08 Jinja Road-KiraRoad-24h'!D69)</f>
        <v>16.5</v>
      </c>
      <c r="E69" s="49">
        <f>AVERAGE('1.08 Jinja Road-Kira Road-24h'!E69,'3.08 Jinja Road-KiraRoad-24h'!E69)</f>
        <v>3.5</v>
      </c>
      <c r="F69" s="49">
        <f>AVERAGE('1.08 Jinja Road-Kira Road-24h'!F69,'3.08 Jinja Road-KiraRoad-24h'!F69)</f>
        <v>2</v>
      </c>
      <c r="G69" s="49">
        <f>AVERAGE('1.08 Jinja Road-Kira Road-24h'!G69,'3.08 Jinja Road-KiraRoad-24h'!G69)</f>
        <v>0</v>
      </c>
      <c r="H69" s="49">
        <f>AVERAGE('1.08 Jinja Road-Kira Road-24h'!H69,'3.08 Jinja Road-KiraRoad-24h'!H69)</f>
        <v>0</v>
      </c>
      <c r="I69" s="49">
        <f>AVERAGE('1.08 Jinja Road-Kira Road-24h'!I69,'3.08 Jinja Road-KiraRoad-24h'!I69)</f>
        <v>0</v>
      </c>
      <c r="J69" s="49">
        <f>AVERAGE('1.08 Jinja Road-Kira Road-24h'!J69,'3.08 Jinja Road-KiraRoad-24h'!J69)</f>
        <v>0</v>
      </c>
      <c r="K69" s="49">
        <f>AVERAGE('1.08 Jinja Road-Kira Road-24h'!K69,'3.08 Jinja Road-KiraRoad-24h'!K69)</f>
        <v>0</v>
      </c>
      <c r="L69" s="49">
        <f>AVERAGE('1.08 Jinja Road-Kira Road-24h'!L69,'3.08 Jinja Road-KiraRoad-24h'!L69)</f>
        <v>0</v>
      </c>
      <c r="M69" s="49">
        <f>AVERAGE('1.08 Jinja Road-Kira Road-24h'!M69,'3.08 Jinja Road-KiraRoad-24h'!M69)</f>
        <v>50</v>
      </c>
      <c r="N69" s="49">
        <f>AVERAGE('1.08 Jinja Road-Kira Road-24h'!N69,'3.08 Jinja Road-KiraRoad-24h'!N69)</f>
        <v>0</v>
      </c>
      <c r="O69" s="15">
        <f t="shared" si="0"/>
        <v>67</v>
      </c>
      <c r="P69" s="15">
        <f t="shared" si="1"/>
        <v>117</v>
      </c>
      <c r="R69" s="8"/>
      <c r="T69"/>
    </row>
    <row r="70" spans="2:20" ht="23.1" customHeight="1" x14ac:dyDescent="0.25">
      <c r="B70" s="23" t="s">
        <v>110</v>
      </c>
      <c r="C70" s="49">
        <f>AVERAGE('1.08 Jinja Road-Kira Road-24h'!C70,'3.08 Jinja Road-KiraRoad-24h'!C70)</f>
        <v>41</v>
      </c>
      <c r="D70" s="49">
        <f>AVERAGE('1.08 Jinja Road-Kira Road-24h'!D70,'3.08 Jinja Road-KiraRoad-24h'!D70)</f>
        <v>10</v>
      </c>
      <c r="E70" s="49">
        <f>AVERAGE('1.08 Jinja Road-Kira Road-24h'!E70,'3.08 Jinja Road-KiraRoad-24h'!E70)</f>
        <v>4.5</v>
      </c>
      <c r="F70" s="49">
        <f>AVERAGE('1.08 Jinja Road-Kira Road-24h'!F70,'3.08 Jinja Road-KiraRoad-24h'!F70)</f>
        <v>2</v>
      </c>
      <c r="G70" s="49">
        <f>AVERAGE('1.08 Jinja Road-Kira Road-24h'!G70,'3.08 Jinja Road-KiraRoad-24h'!G70)</f>
        <v>0</v>
      </c>
      <c r="H70" s="49">
        <f>AVERAGE('1.08 Jinja Road-Kira Road-24h'!H70,'3.08 Jinja Road-KiraRoad-24h'!H70)</f>
        <v>0</v>
      </c>
      <c r="I70" s="49">
        <f>AVERAGE('1.08 Jinja Road-Kira Road-24h'!I70,'3.08 Jinja Road-KiraRoad-24h'!I70)</f>
        <v>0.5</v>
      </c>
      <c r="J70" s="49">
        <f>AVERAGE('1.08 Jinja Road-Kira Road-24h'!J70,'3.08 Jinja Road-KiraRoad-24h'!J70)</f>
        <v>0.5</v>
      </c>
      <c r="K70" s="49">
        <f>AVERAGE('1.08 Jinja Road-Kira Road-24h'!K70,'3.08 Jinja Road-KiraRoad-24h'!K70)</f>
        <v>0</v>
      </c>
      <c r="L70" s="49">
        <f>AVERAGE('1.08 Jinja Road-Kira Road-24h'!L70,'3.08 Jinja Road-KiraRoad-24h'!L70)</f>
        <v>0</v>
      </c>
      <c r="M70" s="49">
        <f>AVERAGE('1.08 Jinja Road-Kira Road-24h'!M70,'3.08 Jinja Road-KiraRoad-24h'!M70)</f>
        <v>41.5</v>
      </c>
      <c r="N70" s="49">
        <f>AVERAGE('1.08 Jinja Road-Kira Road-24h'!N70,'3.08 Jinja Road-KiraRoad-24h'!N70)</f>
        <v>0</v>
      </c>
      <c r="O70" s="15">
        <f t="shared" si="0"/>
        <v>58.5</v>
      </c>
      <c r="P70" s="15">
        <f t="shared" si="1"/>
        <v>100</v>
      </c>
      <c r="R70" s="8"/>
      <c r="T70"/>
    </row>
    <row r="71" spans="2:20" ht="23.1" customHeight="1" x14ac:dyDescent="0.25">
      <c r="B71" s="23" t="s">
        <v>111</v>
      </c>
      <c r="C71" s="49">
        <f>AVERAGE('1.08 Jinja Road-Kira Road-24h'!C71,'3.08 Jinja Road-KiraRoad-24h'!C71)</f>
        <v>40.5</v>
      </c>
      <c r="D71" s="49">
        <f>AVERAGE('1.08 Jinja Road-Kira Road-24h'!D71,'3.08 Jinja Road-KiraRoad-24h'!D71)</f>
        <v>7.5</v>
      </c>
      <c r="E71" s="49">
        <f>AVERAGE('1.08 Jinja Road-Kira Road-24h'!E71,'3.08 Jinja Road-KiraRoad-24h'!E71)</f>
        <v>2.5</v>
      </c>
      <c r="F71" s="49">
        <f>AVERAGE('1.08 Jinja Road-Kira Road-24h'!F71,'3.08 Jinja Road-KiraRoad-24h'!F71)</f>
        <v>1</v>
      </c>
      <c r="G71" s="49">
        <f>AVERAGE('1.08 Jinja Road-Kira Road-24h'!G71,'3.08 Jinja Road-KiraRoad-24h'!G71)</f>
        <v>0</v>
      </c>
      <c r="H71" s="49">
        <f>AVERAGE('1.08 Jinja Road-Kira Road-24h'!H71,'3.08 Jinja Road-KiraRoad-24h'!H71)</f>
        <v>0</v>
      </c>
      <c r="I71" s="49">
        <f>AVERAGE('1.08 Jinja Road-Kira Road-24h'!I71,'3.08 Jinja Road-KiraRoad-24h'!I71)</f>
        <v>0</v>
      </c>
      <c r="J71" s="49">
        <f>AVERAGE('1.08 Jinja Road-Kira Road-24h'!J71,'3.08 Jinja Road-KiraRoad-24h'!J71)</f>
        <v>0</v>
      </c>
      <c r="K71" s="49">
        <f>AVERAGE('1.08 Jinja Road-Kira Road-24h'!K71,'3.08 Jinja Road-KiraRoad-24h'!K71)</f>
        <v>0</v>
      </c>
      <c r="L71" s="49">
        <f>AVERAGE('1.08 Jinja Road-Kira Road-24h'!L71,'3.08 Jinja Road-KiraRoad-24h'!L71)</f>
        <v>0.5</v>
      </c>
      <c r="M71" s="49">
        <f>AVERAGE('1.08 Jinja Road-Kira Road-24h'!M71,'3.08 Jinja Road-KiraRoad-24h'!M71)</f>
        <v>39.5</v>
      </c>
      <c r="N71" s="49">
        <f>AVERAGE('1.08 Jinja Road-Kira Road-24h'!N71,'3.08 Jinja Road-KiraRoad-24h'!N71)</f>
        <v>0</v>
      </c>
      <c r="O71" s="15">
        <f t="shared" si="0"/>
        <v>52</v>
      </c>
      <c r="P71" s="15">
        <f t="shared" si="1"/>
        <v>91.5</v>
      </c>
      <c r="R71" s="8"/>
      <c r="T71"/>
    </row>
    <row r="72" spans="2:20" ht="23.1" customHeight="1" x14ac:dyDescent="0.25">
      <c r="B72" s="23" t="s">
        <v>112</v>
      </c>
      <c r="C72" s="49">
        <f>AVERAGE('1.08 Jinja Road-Kira Road-24h'!C72,'3.08 Jinja Road-KiraRoad-24h'!C72)</f>
        <v>48</v>
      </c>
      <c r="D72" s="49">
        <f>AVERAGE('1.08 Jinja Road-Kira Road-24h'!D72,'3.08 Jinja Road-KiraRoad-24h'!D72)</f>
        <v>12</v>
      </c>
      <c r="E72" s="49">
        <f>AVERAGE('1.08 Jinja Road-Kira Road-24h'!E72,'3.08 Jinja Road-KiraRoad-24h'!E72)</f>
        <v>3.5</v>
      </c>
      <c r="F72" s="49">
        <f>AVERAGE('1.08 Jinja Road-Kira Road-24h'!F72,'3.08 Jinja Road-KiraRoad-24h'!F72)</f>
        <v>0.5</v>
      </c>
      <c r="G72" s="49">
        <f>AVERAGE('1.08 Jinja Road-Kira Road-24h'!G72,'3.08 Jinja Road-KiraRoad-24h'!G72)</f>
        <v>0</v>
      </c>
      <c r="H72" s="49">
        <f>AVERAGE('1.08 Jinja Road-Kira Road-24h'!H72,'3.08 Jinja Road-KiraRoad-24h'!H72)</f>
        <v>0</v>
      </c>
      <c r="I72" s="49">
        <f>AVERAGE('1.08 Jinja Road-Kira Road-24h'!I72,'3.08 Jinja Road-KiraRoad-24h'!I72)</f>
        <v>0.5</v>
      </c>
      <c r="J72" s="49">
        <f>AVERAGE('1.08 Jinja Road-Kira Road-24h'!J72,'3.08 Jinja Road-KiraRoad-24h'!J72)</f>
        <v>0</v>
      </c>
      <c r="K72" s="49">
        <f>AVERAGE('1.08 Jinja Road-Kira Road-24h'!K72,'3.08 Jinja Road-KiraRoad-24h'!K72)</f>
        <v>0</v>
      </c>
      <c r="L72" s="49">
        <f>AVERAGE('1.08 Jinja Road-Kira Road-24h'!L72,'3.08 Jinja Road-KiraRoad-24h'!L72)</f>
        <v>0</v>
      </c>
      <c r="M72" s="49">
        <f>AVERAGE('1.08 Jinja Road-Kira Road-24h'!M72,'3.08 Jinja Road-KiraRoad-24h'!M72)</f>
        <v>57</v>
      </c>
      <c r="N72" s="49">
        <f>AVERAGE('1.08 Jinja Road-Kira Road-24h'!N72,'3.08 Jinja Road-KiraRoad-24h'!N72)</f>
        <v>0</v>
      </c>
      <c r="O72" s="15">
        <f t="shared" si="0"/>
        <v>64.5</v>
      </c>
      <c r="P72" s="15">
        <f t="shared" si="1"/>
        <v>121.5</v>
      </c>
      <c r="R72" s="8"/>
      <c r="T72"/>
    </row>
    <row r="73" spans="2:20" ht="23.1" customHeight="1" x14ac:dyDescent="0.25">
      <c r="B73" s="23" t="s">
        <v>113</v>
      </c>
      <c r="C73" s="49">
        <f>AVERAGE('1.08 Jinja Road-Kira Road-24h'!C73,'3.08 Jinja Road-KiraRoad-24h'!C73)</f>
        <v>37.5</v>
      </c>
      <c r="D73" s="49">
        <f>AVERAGE('1.08 Jinja Road-Kira Road-24h'!D73,'3.08 Jinja Road-KiraRoad-24h'!D73)</f>
        <v>12</v>
      </c>
      <c r="E73" s="49">
        <f>AVERAGE('1.08 Jinja Road-Kira Road-24h'!E73,'3.08 Jinja Road-KiraRoad-24h'!E73)</f>
        <v>1</v>
      </c>
      <c r="F73" s="49">
        <f>AVERAGE('1.08 Jinja Road-Kira Road-24h'!F73,'3.08 Jinja Road-KiraRoad-24h'!F73)</f>
        <v>1.5</v>
      </c>
      <c r="G73" s="49">
        <f>AVERAGE('1.08 Jinja Road-Kira Road-24h'!G73,'3.08 Jinja Road-KiraRoad-24h'!G73)</f>
        <v>0</v>
      </c>
      <c r="H73" s="49">
        <f>AVERAGE('1.08 Jinja Road-Kira Road-24h'!H73,'3.08 Jinja Road-KiraRoad-24h'!H73)</f>
        <v>0</v>
      </c>
      <c r="I73" s="49">
        <f>AVERAGE('1.08 Jinja Road-Kira Road-24h'!I73,'3.08 Jinja Road-KiraRoad-24h'!I73)</f>
        <v>0</v>
      </c>
      <c r="J73" s="49">
        <f>AVERAGE('1.08 Jinja Road-Kira Road-24h'!J73,'3.08 Jinja Road-KiraRoad-24h'!J73)</f>
        <v>0</v>
      </c>
      <c r="K73" s="49">
        <f>AVERAGE('1.08 Jinja Road-Kira Road-24h'!K73,'3.08 Jinja Road-KiraRoad-24h'!K73)</f>
        <v>0</v>
      </c>
      <c r="L73" s="49">
        <f>AVERAGE('1.08 Jinja Road-Kira Road-24h'!L73,'3.08 Jinja Road-KiraRoad-24h'!L73)</f>
        <v>0</v>
      </c>
      <c r="M73" s="49">
        <f>AVERAGE('1.08 Jinja Road-Kira Road-24h'!M73,'3.08 Jinja Road-KiraRoad-24h'!M73)</f>
        <v>54.5</v>
      </c>
      <c r="N73" s="49">
        <f>AVERAGE('1.08 Jinja Road-Kira Road-24h'!N73,'3.08 Jinja Road-KiraRoad-24h'!N73)</f>
        <v>0</v>
      </c>
      <c r="O73" s="15">
        <f t="shared" si="0"/>
        <v>52</v>
      </c>
      <c r="P73" s="15">
        <f t="shared" si="1"/>
        <v>106.5</v>
      </c>
      <c r="R73" s="8"/>
      <c r="T73"/>
    </row>
    <row r="74" spans="2:20" ht="23.1" customHeight="1" x14ac:dyDescent="0.25">
      <c r="B74" s="23" t="s">
        <v>114</v>
      </c>
      <c r="C74" s="49">
        <f>AVERAGE('1.08 Jinja Road-Kira Road-24h'!C74,'3.08 Jinja Road-KiraRoad-24h'!C74)</f>
        <v>44</v>
      </c>
      <c r="D74" s="49">
        <f>AVERAGE('1.08 Jinja Road-Kira Road-24h'!D74,'3.08 Jinja Road-KiraRoad-24h'!D74)</f>
        <v>7</v>
      </c>
      <c r="E74" s="49">
        <f>AVERAGE('1.08 Jinja Road-Kira Road-24h'!E74,'3.08 Jinja Road-KiraRoad-24h'!E74)</f>
        <v>3.5</v>
      </c>
      <c r="F74" s="49">
        <f>AVERAGE('1.08 Jinja Road-Kira Road-24h'!F74,'3.08 Jinja Road-KiraRoad-24h'!F74)</f>
        <v>0</v>
      </c>
      <c r="G74" s="49">
        <f>AVERAGE('1.08 Jinja Road-Kira Road-24h'!G74,'3.08 Jinja Road-KiraRoad-24h'!G74)</f>
        <v>0</v>
      </c>
      <c r="H74" s="49">
        <f>AVERAGE('1.08 Jinja Road-Kira Road-24h'!H74,'3.08 Jinja Road-KiraRoad-24h'!H74)</f>
        <v>0</v>
      </c>
      <c r="I74" s="49">
        <f>AVERAGE('1.08 Jinja Road-Kira Road-24h'!I74,'3.08 Jinja Road-KiraRoad-24h'!I74)</f>
        <v>0</v>
      </c>
      <c r="J74" s="49">
        <f>AVERAGE('1.08 Jinja Road-Kira Road-24h'!J74,'3.08 Jinja Road-KiraRoad-24h'!J74)</f>
        <v>0</v>
      </c>
      <c r="K74" s="49">
        <f>AVERAGE('1.08 Jinja Road-Kira Road-24h'!K74,'3.08 Jinja Road-KiraRoad-24h'!K74)</f>
        <v>0</v>
      </c>
      <c r="L74" s="49">
        <f>AVERAGE('1.08 Jinja Road-Kira Road-24h'!L74,'3.08 Jinja Road-KiraRoad-24h'!L74)</f>
        <v>0</v>
      </c>
      <c r="M74" s="49">
        <f>AVERAGE('1.08 Jinja Road-Kira Road-24h'!M74,'3.08 Jinja Road-KiraRoad-24h'!M74)</f>
        <v>65.5</v>
      </c>
      <c r="N74" s="49">
        <f>AVERAGE('1.08 Jinja Road-Kira Road-24h'!N74,'3.08 Jinja Road-KiraRoad-24h'!N74)</f>
        <v>0</v>
      </c>
      <c r="O74" s="15">
        <f t="shared" ref="O74:O105" si="35">SUM(C74:L74,N74)</f>
        <v>54.5</v>
      </c>
      <c r="P74" s="15">
        <f t="shared" ref="P74:P105" si="36">SUM(C74:N74)</f>
        <v>120</v>
      </c>
      <c r="R74" s="8"/>
      <c r="T74"/>
    </row>
    <row r="75" spans="2:20" ht="23.1" customHeight="1" x14ac:dyDescent="0.25">
      <c r="B75" s="23" t="s">
        <v>115</v>
      </c>
      <c r="C75" s="49">
        <f>AVERAGE('1.08 Jinja Road-Kira Road-24h'!C75,'3.08 Jinja Road-KiraRoad-24h'!C75)</f>
        <v>31</v>
      </c>
      <c r="D75" s="49">
        <f>AVERAGE('1.08 Jinja Road-Kira Road-24h'!D75,'3.08 Jinja Road-KiraRoad-24h'!D75)</f>
        <v>8.5</v>
      </c>
      <c r="E75" s="49">
        <f>AVERAGE('1.08 Jinja Road-Kira Road-24h'!E75,'3.08 Jinja Road-KiraRoad-24h'!E75)</f>
        <v>1.5</v>
      </c>
      <c r="F75" s="49">
        <f>AVERAGE('1.08 Jinja Road-Kira Road-24h'!F75,'3.08 Jinja Road-KiraRoad-24h'!F75)</f>
        <v>0.5</v>
      </c>
      <c r="G75" s="49">
        <f>AVERAGE('1.08 Jinja Road-Kira Road-24h'!G75,'3.08 Jinja Road-KiraRoad-24h'!G75)</f>
        <v>0</v>
      </c>
      <c r="H75" s="49">
        <f>AVERAGE('1.08 Jinja Road-Kira Road-24h'!H75,'3.08 Jinja Road-KiraRoad-24h'!H75)</f>
        <v>0</v>
      </c>
      <c r="I75" s="49">
        <f>AVERAGE('1.08 Jinja Road-Kira Road-24h'!I75,'3.08 Jinja Road-KiraRoad-24h'!I75)</f>
        <v>0</v>
      </c>
      <c r="J75" s="49">
        <f>AVERAGE('1.08 Jinja Road-Kira Road-24h'!J75,'3.08 Jinja Road-KiraRoad-24h'!J75)</f>
        <v>0</v>
      </c>
      <c r="K75" s="49">
        <f>AVERAGE('1.08 Jinja Road-Kira Road-24h'!K75,'3.08 Jinja Road-KiraRoad-24h'!K75)</f>
        <v>0</v>
      </c>
      <c r="L75" s="49">
        <f>AVERAGE('1.08 Jinja Road-Kira Road-24h'!L75,'3.08 Jinja Road-KiraRoad-24h'!L75)</f>
        <v>0</v>
      </c>
      <c r="M75" s="49">
        <f>AVERAGE('1.08 Jinja Road-Kira Road-24h'!M75,'3.08 Jinja Road-KiraRoad-24h'!M75)</f>
        <v>28.5</v>
      </c>
      <c r="N75" s="49">
        <f>AVERAGE('1.08 Jinja Road-Kira Road-24h'!N75,'3.08 Jinja Road-KiraRoad-24h'!N75)</f>
        <v>0</v>
      </c>
      <c r="O75" s="15">
        <f t="shared" si="35"/>
        <v>41.5</v>
      </c>
      <c r="P75" s="15">
        <f t="shared" si="36"/>
        <v>70</v>
      </c>
      <c r="R75" s="8"/>
      <c r="T75"/>
    </row>
    <row r="76" spans="2:20" ht="23.1" customHeight="1" x14ac:dyDescent="0.25">
      <c r="B76" s="23" t="s">
        <v>116</v>
      </c>
      <c r="C76" s="49">
        <f>AVERAGE('1.08 Jinja Road-Kira Road-24h'!C76,'3.08 Jinja Road-KiraRoad-24h'!C76)</f>
        <v>40.5</v>
      </c>
      <c r="D76" s="49">
        <f>AVERAGE('1.08 Jinja Road-Kira Road-24h'!D76,'3.08 Jinja Road-KiraRoad-24h'!D76)</f>
        <v>7</v>
      </c>
      <c r="E76" s="49">
        <f>AVERAGE('1.08 Jinja Road-Kira Road-24h'!E76,'3.08 Jinja Road-KiraRoad-24h'!E76)</f>
        <v>1.5</v>
      </c>
      <c r="F76" s="49">
        <f>AVERAGE('1.08 Jinja Road-Kira Road-24h'!F76,'3.08 Jinja Road-KiraRoad-24h'!F76)</f>
        <v>0.5</v>
      </c>
      <c r="G76" s="49">
        <f>AVERAGE('1.08 Jinja Road-Kira Road-24h'!G76,'3.08 Jinja Road-KiraRoad-24h'!G76)</f>
        <v>0</v>
      </c>
      <c r="H76" s="49">
        <f>AVERAGE('1.08 Jinja Road-Kira Road-24h'!H76,'3.08 Jinja Road-KiraRoad-24h'!H76)</f>
        <v>0</v>
      </c>
      <c r="I76" s="49">
        <f>AVERAGE('1.08 Jinja Road-Kira Road-24h'!I76,'3.08 Jinja Road-KiraRoad-24h'!I76)</f>
        <v>0</v>
      </c>
      <c r="J76" s="49">
        <f>AVERAGE('1.08 Jinja Road-Kira Road-24h'!J76,'3.08 Jinja Road-KiraRoad-24h'!J76)</f>
        <v>0</v>
      </c>
      <c r="K76" s="49">
        <f>AVERAGE('1.08 Jinja Road-Kira Road-24h'!K76,'3.08 Jinja Road-KiraRoad-24h'!K76)</f>
        <v>0</v>
      </c>
      <c r="L76" s="49">
        <f>AVERAGE('1.08 Jinja Road-Kira Road-24h'!L76,'3.08 Jinja Road-KiraRoad-24h'!L76)</f>
        <v>0</v>
      </c>
      <c r="M76" s="49">
        <f>AVERAGE('1.08 Jinja Road-Kira Road-24h'!M76,'3.08 Jinja Road-KiraRoad-24h'!M76)</f>
        <v>51</v>
      </c>
      <c r="N76" s="49">
        <f>AVERAGE('1.08 Jinja Road-Kira Road-24h'!N76,'3.08 Jinja Road-KiraRoad-24h'!N76)</f>
        <v>0</v>
      </c>
      <c r="O76" s="15">
        <f t="shared" si="35"/>
        <v>49.5</v>
      </c>
      <c r="P76" s="15">
        <f t="shared" si="36"/>
        <v>100.5</v>
      </c>
      <c r="R76" s="8"/>
      <c r="T76"/>
    </row>
    <row r="77" spans="2:20" ht="23.1" customHeight="1" x14ac:dyDescent="0.25">
      <c r="B77" s="23" t="s">
        <v>117</v>
      </c>
      <c r="C77" s="49">
        <f>AVERAGE('1.08 Jinja Road-Kira Road-24h'!C77,'3.08 Jinja Road-KiraRoad-24h'!C77)</f>
        <v>24</v>
      </c>
      <c r="D77" s="49">
        <f>AVERAGE('1.08 Jinja Road-Kira Road-24h'!D77,'3.08 Jinja Road-KiraRoad-24h'!D77)</f>
        <v>4</v>
      </c>
      <c r="E77" s="49">
        <f>AVERAGE('1.08 Jinja Road-Kira Road-24h'!E77,'3.08 Jinja Road-KiraRoad-24h'!E77)</f>
        <v>5</v>
      </c>
      <c r="F77" s="49">
        <f>AVERAGE('1.08 Jinja Road-Kira Road-24h'!F77,'3.08 Jinja Road-KiraRoad-24h'!F77)</f>
        <v>1</v>
      </c>
      <c r="G77" s="49">
        <f>AVERAGE('1.08 Jinja Road-Kira Road-24h'!G77,'3.08 Jinja Road-KiraRoad-24h'!G77)</f>
        <v>0</v>
      </c>
      <c r="H77" s="49">
        <f>AVERAGE('1.08 Jinja Road-Kira Road-24h'!H77,'3.08 Jinja Road-KiraRoad-24h'!H77)</f>
        <v>0</v>
      </c>
      <c r="I77" s="49">
        <f>AVERAGE('1.08 Jinja Road-Kira Road-24h'!I77,'3.08 Jinja Road-KiraRoad-24h'!I77)</f>
        <v>0</v>
      </c>
      <c r="J77" s="49">
        <f>AVERAGE('1.08 Jinja Road-Kira Road-24h'!J77,'3.08 Jinja Road-KiraRoad-24h'!J77)</f>
        <v>0</v>
      </c>
      <c r="K77" s="49">
        <f>AVERAGE('1.08 Jinja Road-Kira Road-24h'!K77,'3.08 Jinja Road-KiraRoad-24h'!K77)</f>
        <v>0</v>
      </c>
      <c r="L77" s="49">
        <f>AVERAGE('1.08 Jinja Road-Kira Road-24h'!L77,'3.08 Jinja Road-KiraRoad-24h'!L77)</f>
        <v>0</v>
      </c>
      <c r="M77" s="49">
        <f>AVERAGE('1.08 Jinja Road-Kira Road-24h'!M77,'3.08 Jinja Road-KiraRoad-24h'!M77)</f>
        <v>40.5</v>
      </c>
      <c r="N77" s="49">
        <f>AVERAGE('1.08 Jinja Road-Kira Road-24h'!N77,'3.08 Jinja Road-KiraRoad-24h'!N77)</f>
        <v>0</v>
      </c>
      <c r="O77" s="15">
        <f t="shared" si="35"/>
        <v>34</v>
      </c>
      <c r="P77" s="15">
        <f t="shared" si="36"/>
        <v>74.5</v>
      </c>
      <c r="R77" s="8"/>
      <c r="T77"/>
    </row>
    <row r="78" spans="2:20" ht="23.1" customHeight="1" x14ac:dyDescent="0.25">
      <c r="B78" s="24" t="s">
        <v>118</v>
      </c>
      <c r="C78" s="49">
        <f>AVERAGE('1.08 Jinja Road-Kira Road-24h'!C78,'3.08 Jinja Road-KiraRoad-24h'!C78)</f>
        <v>22</v>
      </c>
      <c r="D78" s="49">
        <f>AVERAGE('1.08 Jinja Road-Kira Road-24h'!D78,'3.08 Jinja Road-KiraRoad-24h'!D78)</f>
        <v>6.5</v>
      </c>
      <c r="E78" s="49">
        <f>AVERAGE('1.08 Jinja Road-Kira Road-24h'!E78,'3.08 Jinja Road-KiraRoad-24h'!E78)</f>
        <v>0.5</v>
      </c>
      <c r="F78" s="49">
        <f>AVERAGE('1.08 Jinja Road-Kira Road-24h'!F78,'3.08 Jinja Road-KiraRoad-24h'!F78)</f>
        <v>0.5</v>
      </c>
      <c r="G78" s="49">
        <f>AVERAGE('1.08 Jinja Road-Kira Road-24h'!G78,'3.08 Jinja Road-KiraRoad-24h'!G78)</f>
        <v>0</v>
      </c>
      <c r="H78" s="49">
        <f>AVERAGE('1.08 Jinja Road-Kira Road-24h'!H78,'3.08 Jinja Road-KiraRoad-24h'!H78)</f>
        <v>0</v>
      </c>
      <c r="I78" s="49">
        <f>AVERAGE('1.08 Jinja Road-Kira Road-24h'!I78,'3.08 Jinja Road-KiraRoad-24h'!I78)</f>
        <v>0</v>
      </c>
      <c r="J78" s="49">
        <f>AVERAGE('1.08 Jinja Road-Kira Road-24h'!J78,'3.08 Jinja Road-KiraRoad-24h'!J78)</f>
        <v>0</v>
      </c>
      <c r="K78" s="49">
        <f>AVERAGE('1.08 Jinja Road-Kira Road-24h'!K78,'3.08 Jinja Road-KiraRoad-24h'!K78)</f>
        <v>0</v>
      </c>
      <c r="L78" s="49">
        <f>AVERAGE('1.08 Jinja Road-Kira Road-24h'!L78,'3.08 Jinja Road-KiraRoad-24h'!L78)</f>
        <v>0</v>
      </c>
      <c r="M78" s="49">
        <f>AVERAGE('1.08 Jinja Road-Kira Road-24h'!M78,'3.08 Jinja Road-KiraRoad-24h'!M78)</f>
        <v>32.5</v>
      </c>
      <c r="N78" s="49">
        <f>AVERAGE('1.08 Jinja Road-Kira Road-24h'!N78,'3.08 Jinja Road-KiraRoad-24h'!N78)</f>
        <v>0</v>
      </c>
      <c r="O78" s="15">
        <f t="shared" si="35"/>
        <v>29.5</v>
      </c>
      <c r="P78" s="15">
        <f t="shared" si="36"/>
        <v>62</v>
      </c>
      <c r="R78" s="8"/>
      <c r="T78"/>
    </row>
    <row r="79" spans="2:20" ht="23.1" customHeight="1" x14ac:dyDescent="0.25">
      <c r="B79" s="23" t="s">
        <v>119</v>
      </c>
      <c r="C79" s="49">
        <f>AVERAGE('1.08 Jinja Road-Kira Road-24h'!C79,'3.08 Jinja Road-KiraRoad-24h'!C79)</f>
        <v>34.5</v>
      </c>
      <c r="D79" s="49">
        <f>AVERAGE('1.08 Jinja Road-Kira Road-24h'!D79,'3.08 Jinja Road-KiraRoad-24h'!D79)</f>
        <v>5</v>
      </c>
      <c r="E79" s="49">
        <f>AVERAGE('1.08 Jinja Road-Kira Road-24h'!E79,'3.08 Jinja Road-KiraRoad-24h'!E79)</f>
        <v>0</v>
      </c>
      <c r="F79" s="49">
        <f>AVERAGE('1.08 Jinja Road-Kira Road-24h'!F79,'3.08 Jinja Road-KiraRoad-24h'!F79)</f>
        <v>1</v>
      </c>
      <c r="G79" s="49">
        <f>AVERAGE('1.08 Jinja Road-Kira Road-24h'!G79,'3.08 Jinja Road-KiraRoad-24h'!G79)</f>
        <v>0</v>
      </c>
      <c r="H79" s="49">
        <f>AVERAGE('1.08 Jinja Road-Kira Road-24h'!H79,'3.08 Jinja Road-KiraRoad-24h'!H79)</f>
        <v>0</v>
      </c>
      <c r="I79" s="49">
        <f>AVERAGE('1.08 Jinja Road-Kira Road-24h'!I79,'3.08 Jinja Road-KiraRoad-24h'!I79)</f>
        <v>0</v>
      </c>
      <c r="J79" s="49">
        <f>AVERAGE('1.08 Jinja Road-Kira Road-24h'!J79,'3.08 Jinja Road-KiraRoad-24h'!J79)</f>
        <v>0.5</v>
      </c>
      <c r="K79" s="49">
        <f>AVERAGE('1.08 Jinja Road-Kira Road-24h'!K79,'3.08 Jinja Road-KiraRoad-24h'!K79)</f>
        <v>0</v>
      </c>
      <c r="L79" s="49">
        <f>AVERAGE('1.08 Jinja Road-Kira Road-24h'!L79,'3.08 Jinja Road-KiraRoad-24h'!L79)</f>
        <v>0</v>
      </c>
      <c r="M79" s="49">
        <f>AVERAGE('1.08 Jinja Road-Kira Road-24h'!M79,'3.08 Jinja Road-KiraRoad-24h'!M79)</f>
        <v>25</v>
      </c>
      <c r="N79" s="49">
        <f>AVERAGE('1.08 Jinja Road-Kira Road-24h'!N79,'3.08 Jinja Road-KiraRoad-24h'!N79)</f>
        <v>0</v>
      </c>
      <c r="O79" s="15">
        <f t="shared" si="35"/>
        <v>41</v>
      </c>
      <c r="P79" s="15">
        <f t="shared" si="36"/>
        <v>66</v>
      </c>
      <c r="R79" s="8"/>
      <c r="T79"/>
    </row>
    <row r="80" spans="2:20" ht="23.1" customHeight="1" x14ac:dyDescent="0.25">
      <c r="B80" s="25" t="s">
        <v>120</v>
      </c>
      <c r="C80" s="49">
        <f>AVERAGE('1.08 Jinja Road-Kira Road-24h'!C80,'3.08 Jinja Road-KiraRoad-24h'!C80)</f>
        <v>28</v>
      </c>
      <c r="D80" s="49">
        <f>AVERAGE('1.08 Jinja Road-Kira Road-24h'!D80,'3.08 Jinja Road-KiraRoad-24h'!D80)</f>
        <v>5</v>
      </c>
      <c r="E80" s="49">
        <f>AVERAGE('1.08 Jinja Road-Kira Road-24h'!E80,'3.08 Jinja Road-KiraRoad-24h'!E80)</f>
        <v>1</v>
      </c>
      <c r="F80" s="49">
        <f>AVERAGE('1.08 Jinja Road-Kira Road-24h'!F80,'3.08 Jinja Road-KiraRoad-24h'!F80)</f>
        <v>0.5</v>
      </c>
      <c r="G80" s="49">
        <f>AVERAGE('1.08 Jinja Road-Kira Road-24h'!G80,'3.08 Jinja Road-KiraRoad-24h'!G80)</f>
        <v>0</v>
      </c>
      <c r="H80" s="49">
        <f>AVERAGE('1.08 Jinja Road-Kira Road-24h'!H80,'3.08 Jinja Road-KiraRoad-24h'!H80)</f>
        <v>0</v>
      </c>
      <c r="I80" s="49">
        <f>AVERAGE('1.08 Jinja Road-Kira Road-24h'!I80,'3.08 Jinja Road-KiraRoad-24h'!I80)</f>
        <v>0.5</v>
      </c>
      <c r="J80" s="49">
        <f>AVERAGE('1.08 Jinja Road-Kira Road-24h'!J80,'3.08 Jinja Road-KiraRoad-24h'!J80)</f>
        <v>1</v>
      </c>
      <c r="K80" s="49">
        <f>AVERAGE('1.08 Jinja Road-Kira Road-24h'!K80,'3.08 Jinja Road-KiraRoad-24h'!K80)</f>
        <v>0</v>
      </c>
      <c r="L80" s="49">
        <f>AVERAGE('1.08 Jinja Road-Kira Road-24h'!L80,'3.08 Jinja Road-KiraRoad-24h'!L80)</f>
        <v>0</v>
      </c>
      <c r="M80" s="49">
        <f>AVERAGE('1.08 Jinja Road-Kira Road-24h'!M80,'3.08 Jinja Road-KiraRoad-24h'!M80)</f>
        <v>39.5</v>
      </c>
      <c r="N80" s="49">
        <f>AVERAGE('1.08 Jinja Road-Kira Road-24h'!N80,'3.08 Jinja Road-KiraRoad-24h'!N80)</f>
        <v>0</v>
      </c>
      <c r="O80" s="15">
        <f t="shared" si="35"/>
        <v>36</v>
      </c>
      <c r="P80" s="15">
        <f t="shared" si="36"/>
        <v>75.5</v>
      </c>
      <c r="R80" s="8"/>
      <c r="T80"/>
    </row>
    <row r="81" spans="2:20" ht="23.1" customHeight="1" x14ac:dyDescent="0.25">
      <c r="B81" s="23" t="s">
        <v>121</v>
      </c>
      <c r="C81" s="49">
        <f>AVERAGE('1.08 Jinja Road-Kira Road-24h'!C81,'3.08 Jinja Road-KiraRoad-24h'!C81)</f>
        <v>23.5</v>
      </c>
      <c r="D81" s="49">
        <f>AVERAGE('1.08 Jinja Road-Kira Road-24h'!D81,'3.08 Jinja Road-KiraRoad-24h'!D81)</f>
        <v>6</v>
      </c>
      <c r="E81" s="49">
        <f>AVERAGE('1.08 Jinja Road-Kira Road-24h'!E81,'3.08 Jinja Road-KiraRoad-24h'!E81)</f>
        <v>0</v>
      </c>
      <c r="F81" s="49">
        <f>AVERAGE('1.08 Jinja Road-Kira Road-24h'!F81,'3.08 Jinja Road-KiraRoad-24h'!F81)</f>
        <v>0.5</v>
      </c>
      <c r="G81" s="49">
        <f>AVERAGE('1.08 Jinja Road-Kira Road-24h'!G81,'3.08 Jinja Road-KiraRoad-24h'!G81)</f>
        <v>0</v>
      </c>
      <c r="H81" s="49">
        <f>AVERAGE('1.08 Jinja Road-Kira Road-24h'!H81,'3.08 Jinja Road-KiraRoad-24h'!H81)</f>
        <v>0</v>
      </c>
      <c r="I81" s="49">
        <f>AVERAGE('1.08 Jinja Road-Kira Road-24h'!I81,'3.08 Jinja Road-KiraRoad-24h'!I81)</f>
        <v>0</v>
      </c>
      <c r="J81" s="49">
        <f>AVERAGE('1.08 Jinja Road-Kira Road-24h'!J81,'3.08 Jinja Road-KiraRoad-24h'!J81)</f>
        <v>0</v>
      </c>
      <c r="K81" s="49">
        <f>AVERAGE('1.08 Jinja Road-Kira Road-24h'!K81,'3.08 Jinja Road-KiraRoad-24h'!K81)</f>
        <v>0</v>
      </c>
      <c r="L81" s="49">
        <f>AVERAGE('1.08 Jinja Road-Kira Road-24h'!L81,'3.08 Jinja Road-KiraRoad-24h'!L81)</f>
        <v>0</v>
      </c>
      <c r="M81" s="49">
        <f>AVERAGE('1.08 Jinja Road-Kira Road-24h'!M81,'3.08 Jinja Road-KiraRoad-24h'!M81)</f>
        <v>25.5</v>
      </c>
      <c r="N81" s="49">
        <f>AVERAGE('1.08 Jinja Road-Kira Road-24h'!N81,'3.08 Jinja Road-KiraRoad-24h'!N81)</f>
        <v>0</v>
      </c>
      <c r="O81" s="15">
        <f t="shared" si="35"/>
        <v>30</v>
      </c>
      <c r="P81" s="15">
        <f t="shared" si="36"/>
        <v>55.5</v>
      </c>
      <c r="R81" s="8"/>
      <c r="T81"/>
    </row>
    <row r="82" spans="2:20" ht="23.1" customHeight="1" x14ac:dyDescent="0.25">
      <c r="B82" s="24" t="s">
        <v>122</v>
      </c>
      <c r="C82" s="49">
        <f>AVERAGE('1.08 Jinja Road-Kira Road-24h'!C82,'3.08 Jinja Road-KiraRoad-24h'!C82)</f>
        <v>11</v>
      </c>
      <c r="D82" s="49">
        <f>AVERAGE('1.08 Jinja Road-Kira Road-24h'!D82,'3.08 Jinja Road-KiraRoad-24h'!D82)</f>
        <v>1.5</v>
      </c>
      <c r="E82" s="49">
        <f>AVERAGE('1.08 Jinja Road-Kira Road-24h'!E82,'3.08 Jinja Road-KiraRoad-24h'!E82)</f>
        <v>0</v>
      </c>
      <c r="F82" s="49">
        <f>AVERAGE('1.08 Jinja Road-Kira Road-24h'!F82,'3.08 Jinja Road-KiraRoad-24h'!F82)</f>
        <v>0</v>
      </c>
      <c r="G82" s="49">
        <f>AVERAGE('1.08 Jinja Road-Kira Road-24h'!G82,'3.08 Jinja Road-KiraRoad-24h'!G82)</f>
        <v>0</v>
      </c>
      <c r="H82" s="49">
        <f>AVERAGE('1.08 Jinja Road-Kira Road-24h'!H82,'3.08 Jinja Road-KiraRoad-24h'!H82)</f>
        <v>0</v>
      </c>
      <c r="I82" s="49">
        <f>AVERAGE('1.08 Jinja Road-Kira Road-24h'!I82,'3.08 Jinja Road-KiraRoad-24h'!I82)</f>
        <v>0.5</v>
      </c>
      <c r="J82" s="49">
        <f>AVERAGE('1.08 Jinja Road-Kira Road-24h'!J82,'3.08 Jinja Road-KiraRoad-24h'!J82)</f>
        <v>0</v>
      </c>
      <c r="K82" s="49">
        <f>AVERAGE('1.08 Jinja Road-Kira Road-24h'!K82,'3.08 Jinja Road-KiraRoad-24h'!K82)</f>
        <v>0</v>
      </c>
      <c r="L82" s="49">
        <f>AVERAGE('1.08 Jinja Road-Kira Road-24h'!L82,'3.08 Jinja Road-KiraRoad-24h'!L82)</f>
        <v>0</v>
      </c>
      <c r="M82" s="49">
        <f>AVERAGE('1.08 Jinja Road-Kira Road-24h'!M82,'3.08 Jinja Road-KiraRoad-24h'!M82)</f>
        <v>18</v>
      </c>
      <c r="N82" s="49">
        <f>AVERAGE('1.08 Jinja Road-Kira Road-24h'!N82,'3.08 Jinja Road-KiraRoad-24h'!N82)</f>
        <v>0</v>
      </c>
      <c r="O82" s="15">
        <f t="shared" si="35"/>
        <v>13</v>
      </c>
      <c r="P82" s="15">
        <f t="shared" si="36"/>
        <v>31</v>
      </c>
      <c r="R82" s="8"/>
      <c r="T82"/>
    </row>
    <row r="83" spans="2:20" ht="23.1" customHeight="1" x14ac:dyDescent="0.25">
      <c r="B83" s="23" t="s">
        <v>123</v>
      </c>
      <c r="C83" s="49">
        <f>AVERAGE('1.08 Jinja Road-Kira Road-24h'!C83,'3.08 Jinja Road-KiraRoad-24h'!C83)</f>
        <v>13.5</v>
      </c>
      <c r="D83" s="49">
        <f>AVERAGE('1.08 Jinja Road-Kira Road-24h'!D83,'3.08 Jinja Road-KiraRoad-24h'!D83)</f>
        <v>4</v>
      </c>
      <c r="E83" s="49">
        <f>AVERAGE('1.08 Jinja Road-Kira Road-24h'!E83,'3.08 Jinja Road-KiraRoad-24h'!E83)</f>
        <v>0.5</v>
      </c>
      <c r="F83" s="49">
        <f>AVERAGE('1.08 Jinja Road-Kira Road-24h'!F83,'3.08 Jinja Road-KiraRoad-24h'!F83)</f>
        <v>0</v>
      </c>
      <c r="G83" s="49">
        <f>AVERAGE('1.08 Jinja Road-Kira Road-24h'!G83,'3.08 Jinja Road-KiraRoad-24h'!G83)</f>
        <v>0</v>
      </c>
      <c r="H83" s="49">
        <f>AVERAGE('1.08 Jinja Road-Kira Road-24h'!H83,'3.08 Jinja Road-KiraRoad-24h'!H83)</f>
        <v>0</v>
      </c>
      <c r="I83" s="49">
        <f>AVERAGE('1.08 Jinja Road-Kira Road-24h'!I83,'3.08 Jinja Road-KiraRoad-24h'!I83)</f>
        <v>0</v>
      </c>
      <c r="J83" s="49">
        <f>AVERAGE('1.08 Jinja Road-Kira Road-24h'!J83,'3.08 Jinja Road-KiraRoad-24h'!J83)</f>
        <v>0</v>
      </c>
      <c r="K83" s="49">
        <f>AVERAGE('1.08 Jinja Road-Kira Road-24h'!K83,'3.08 Jinja Road-KiraRoad-24h'!K83)</f>
        <v>0</v>
      </c>
      <c r="L83" s="49">
        <f>AVERAGE('1.08 Jinja Road-Kira Road-24h'!L83,'3.08 Jinja Road-KiraRoad-24h'!L83)</f>
        <v>0</v>
      </c>
      <c r="M83" s="49">
        <f>AVERAGE('1.08 Jinja Road-Kira Road-24h'!M83,'3.08 Jinja Road-KiraRoad-24h'!M83)</f>
        <v>25</v>
      </c>
      <c r="N83" s="49">
        <f>AVERAGE('1.08 Jinja Road-Kira Road-24h'!N83,'3.08 Jinja Road-KiraRoad-24h'!N83)</f>
        <v>0</v>
      </c>
      <c r="O83" s="15">
        <f t="shared" si="35"/>
        <v>18</v>
      </c>
      <c r="P83" s="15">
        <f t="shared" si="36"/>
        <v>43</v>
      </c>
      <c r="R83" s="8"/>
      <c r="T83"/>
    </row>
    <row r="84" spans="2:20" ht="23.1" customHeight="1" x14ac:dyDescent="0.25">
      <c r="B84" s="25" t="s">
        <v>124</v>
      </c>
      <c r="C84" s="49">
        <f>AVERAGE('1.08 Jinja Road-Kira Road-24h'!C84,'3.08 Jinja Road-KiraRoad-24h'!C84)</f>
        <v>22.5</v>
      </c>
      <c r="D84" s="49">
        <f>AVERAGE('1.08 Jinja Road-Kira Road-24h'!D84,'3.08 Jinja Road-KiraRoad-24h'!D84)</f>
        <v>3</v>
      </c>
      <c r="E84" s="49">
        <f>AVERAGE('1.08 Jinja Road-Kira Road-24h'!E84,'3.08 Jinja Road-KiraRoad-24h'!E84)</f>
        <v>1</v>
      </c>
      <c r="F84" s="49">
        <f>AVERAGE('1.08 Jinja Road-Kira Road-24h'!F84,'3.08 Jinja Road-KiraRoad-24h'!F84)</f>
        <v>0.5</v>
      </c>
      <c r="G84" s="49">
        <f>AVERAGE('1.08 Jinja Road-Kira Road-24h'!G84,'3.08 Jinja Road-KiraRoad-24h'!G84)</f>
        <v>0</v>
      </c>
      <c r="H84" s="49">
        <f>AVERAGE('1.08 Jinja Road-Kira Road-24h'!H84,'3.08 Jinja Road-KiraRoad-24h'!H84)</f>
        <v>0</v>
      </c>
      <c r="I84" s="49">
        <f>AVERAGE('1.08 Jinja Road-Kira Road-24h'!I84,'3.08 Jinja Road-KiraRoad-24h'!I84)</f>
        <v>0</v>
      </c>
      <c r="J84" s="49">
        <f>AVERAGE('1.08 Jinja Road-Kira Road-24h'!J84,'3.08 Jinja Road-KiraRoad-24h'!J84)</f>
        <v>0</v>
      </c>
      <c r="K84" s="49">
        <f>AVERAGE('1.08 Jinja Road-Kira Road-24h'!K84,'3.08 Jinja Road-KiraRoad-24h'!K84)</f>
        <v>0</v>
      </c>
      <c r="L84" s="49">
        <f>AVERAGE('1.08 Jinja Road-Kira Road-24h'!L84,'3.08 Jinja Road-KiraRoad-24h'!L84)</f>
        <v>0</v>
      </c>
      <c r="M84" s="49">
        <f>AVERAGE('1.08 Jinja Road-Kira Road-24h'!M84,'3.08 Jinja Road-KiraRoad-24h'!M84)</f>
        <v>18.5</v>
      </c>
      <c r="N84" s="49">
        <f>AVERAGE('1.08 Jinja Road-Kira Road-24h'!N84,'3.08 Jinja Road-KiraRoad-24h'!N84)</f>
        <v>0</v>
      </c>
      <c r="O84" s="15">
        <f t="shared" si="35"/>
        <v>27</v>
      </c>
      <c r="P84" s="15">
        <f t="shared" si="36"/>
        <v>45.5</v>
      </c>
      <c r="R84" s="8"/>
      <c r="T84"/>
    </row>
    <row r="85" spans="2:20" ht="23.1" customHeight="1" x14ac:dyDescent="0.25">
      <c r="B85" s="23" t="s">
        <v>125</v>
      </c>
      <c r="C85" s="49">
        <f>AVERAGE('1.08 Jinja Road-Kira Road-24h'!C85,'3.08 Jinja Road-KiraRoad-24h'!C85)</f>
        <v>15.5</v>
      </c>
      <c r="D85" s="49">
        <f>AVERAGE('1.08 Jinja Road-Kira Road-24h'!D85,'3.08 Jinja Road-KiraRoad-24h'!D85)</f>
        <v>3.5</v>
      </c>
      <c r="E85" s="49">
        <f>AVERAGE('1.08 Jinja Road-Kira Road-24h'!E85,'3.08 Jinja Road-KiraRoad-24h'!E85)</f>
        <v>0</v>
      </c>
      <c r="F85" s="49">
        <f>AVERAGE('1.08 Jinja Road-Kira Road-24h'!F85,'3.08 Jinja Road-KiraRoad-24h'!F85)</f>
        <v>0</v>
      </c>
      <c r="G85" s="49">
        <f>AVERAGE('1.08 Jinja Road-Kira Road-24h'!G85,'3.08 Jinja Road-KiraRoad-24h'!G85)</f>
        <v>0</v>
      </c>
      <c r="H85" s="49">
        <f>AVERAGE('1.08 Jinja Road-Kira Road-24h'!H85,'3.08 Jinja Road-KiraRoad-24h'!H85)</f>
        <v>0</v>
      </c>
      <c r="I85" s="49">
        <f>AVERAGE('1.08 Jinja Road-Kira Road-24h'!I85,'3.08 Jinja Road-KiraRoad-24h'!I85)</f>
        <v>0</v>
      </c>
      <c r="J85" s="49">
        <f>AVERAGE('1.08 Jinja Road-Kira Road-24h'!J85,'3.08 Jinja Road-KiraRoad-24h'!J85)</f>
        <v>0</v>
      </c>
      <c r="K85" s="49">
        <f>AVERAGE('1.08 Jinja Road-Kira Road-24h'!K85,'3.08 Jinja Road-KiraRoad-24h'!K85)</f>
        <v>0</v>
      </c>
      <c r="L85" s="49">
        <f>AVERAGE('1.08 Jinja Road-Kira Road-24h'!L85,'3.08 Jinja Road-KiraRoad-24h'!L85)</f>
        <v>0</v>
      </c>
      <c r="M85" s="49">
        <f>AVERAGE('1.08 Jinja Road-Kira Road-24h'!M85,'3.08 Jinja Road-KiraRoad-24h'!M85)</f>
        <v>21</v>
      </c>
      <c r="N85" s="49">
        <f>AVERAGE('1.08 Jinja Road-Kira Road-24h'!N85,'3.08 Jinja Road-KiraRoad-24h'!N85)</f>
        <v>0</v>
      </c>
      <c r="O85" s="15">
        <f t="shared" si="35"/>
        <v>19</v>
      </c>
      <c r="P85" s="15">
        <f t="shared" si="36"/>
        <v>40</v>
      </c>
      <c r="R85" s="8"/>
      <c r="T85"/>
    </row>
    <row r="86" spans="2:20" ht="23.1" customHeight="1" x14ac:dyDescent="0.25">
      <c r="B86" s="24" t="s">
        <v>126</v>
      </c>
      <c r="C86" s="49">
        <f>AVERAGE('1.08 Jinja Road-Kira Road-24h'!C86,'3.08 Jinja Road-KiraRoad-24h'!C86)</f>
        <v>17.5</v>
      </c>
      <c r="D86" s="49">
        <f>AVERAGE('1.08 Jinja Road-Kira Road-24h'!D86,'3.08 Jinja Road-KiraRoad-24h'!D86)</f>
        <v>3</v>
      </c>
      <c r="E86" s="49">
        <f>AVERAGE('1.08 Jinja Road-Kira Road-24h'!E86,'3.08 Jinja Road-KiraRoad-24h'!E86)</f>
        <v>1.5</v>
      </c>
      <c r="F86" s="49">
        <f>AVERAGE('1.08 Jinja Road-Kira Road-24h'!F86,'3.08 Jinja Road-KiraRoad-24h'!F86)</f>
        <v>0</v>
      </c>
      <c r="G86" s="49">
        <f>AVERAGE('1.08 Jinja Road-Kira Road-24h'!G86,'3.08 Jinja Road-KiraRoad-24h'!G86)</f>
        <v>0</v>
      </c>
      <c r="H86" s="49">
        <f>AVERAGE('1.08 Jinja Road-Kira Road-24h'!H86,'3.08 Jinja Road-KiraRoad-24h'!H86)</f>
        <v>0</v>
      </c>
      <c r="I86" s="49">
        <f>AVERAGE('1.08 Jinja Road-Kira Road-24h'!I86,'3.08 Jinja Road-KiraRoad-24h'!I86)</f>
        <v>0</v>
      </c>
      <c r="J86" s="49">
        <f>AVERAGE('1.08 Jinja Road-Kira Road-24h'!J86,'3.08 Jinja Road-KiraRoad-24h'!J86)</f>
        <v>0</v>
      </c>
      <c r="K86" s="49">
        <f>AVERAGE('1.08 Jinja Road-Kira Road-24h'!K86,'3.08 Jinja Road-KiraRoad-24h'!K86)</f>
        <v>0</v>
      </c>
      <c r="L86" s="49">
        <f>AVERAGE('1.08 Jinja Road-Kira Road-24h'!L86,'3.08 Jinja Road-KiraRoad-24h'!L86)</f>
        <v>0</v>
      </c>
      <c r="M86" s="49">
        <f>AVERAGE('1.08 Jinja Road-Kira Road-24h'!M86,'3.08 Jinja Road-KiraRoad-24h'!M86)</f>
        <v>8.5</v>
      </c>
      <c r="N86" s="49">
        <f>AVERAGE('1.08 Jinja Road-Kira Road-24h'!N86,'3.08 Jinja Road-KiraRoad-24h'!N86)</f>
        <v>0</v>
      </c>
      <c r="O86" s="15">
        <f t="shared" si="35"/>
        <v>22</v>
      </c>
      <c r="P86" s="15">
        <f t="shared" si="36"/>
        <v>30.5</v>
      </c>
      <c r="R86" s="8"/>
      <c r="T86"/>
    </row>
    <row r="87" spans="2:20" ht="23.1" customHeight="1" x14ac:dyDescent="0.25">
      <c r="B87" s="23" t="s">
        <v>127</v>
      </c>
      <c r="C87" s="49">
        <f>AVERAGE('1.08 Jinja Road-Kira Road-24h'!C87,'3.08 Jinja Road-KiraRoad-24h'!C87)</f>
        <v>19.5</v>
      </c>
      <c r="D87" s="49">
        <f>AVERAGE('1.08 Jinja Road-Kira Road-24h'!D87,'3.08 Jinja Road-KiraRoad-24h'!D87)</f>
        <v>2.5</v>
      </c>
      <c r="E87" s="49">
        <f>AVERAGE('1.08 Jinja Road-Kira Road-24h'!E87,'3.08 Jinja Road-KiraRoad-24h'!E87)</f>
        <v>0.5</v>
      </c>
      <c r="F87" s="49">
        <f>AVERAGE('1.08 Jinja Road-Kira Road-24h'!F87,'3.08 Jinja Road-KiraRoad-24h'!F87)</f>
        <v>0</v>
      </c>
      <c r="G87" s="49">
        <f>AVERAGE('1.08 Jinja Road-Kira Road-24h'!G87,'3.08 Jinja Road-KiraRoad-24h'!G87)</f>
        <v>0</v>
      </c>
      <c r="H87" s="49">
        <f>AVERAGE('1.08 Jinja Road-Kira Road-24h'!H87,'3.08 Jinja Road-KiraRoad-24h'!H87)</f>
        <v>0</v>
      </c>
      <c r="I87" s="49">
        <f>AVERAGE('1.08 Jinja Road-Kira Road-24h'!I87,'3.08 Jinja Road-KiraRoad-24h'!I87)</f>
        <v>0</v>
      </c>
      <c r="J87" s="49">
        <f>AVERAGE('1.08 Jinja Road-Kira Road-24h'!J87,'3.08 Jinja Road-KiraRoad-24h'!J87)</f>
        <v>0</v>
      </c>
      <c r="K87" s="49">
        <f>AVERAGE('1.08 Jinja Road-Kira Road-24h'!K87,'3.08 Jinja Road-KiraRoad-24h'!K87)</f>
        <v>0</v>
      </c>
      <c r="L87" s="49">
        <f>AVERAGE('1.08 Jinja Road-Kira Road-24h'!L87,'3.08 Jinja Road-KiraRoad-24h'!L87)</f>
        <v>0</v>
      </c>
      <c r="M87" s="49">
        <f>AVERAGE('1.08 Jinja Road-Kira Road-24h'!M87,'3.08 Jinja Road-KiraRoad-24h'!M87)</f>
        <v>17</v>
      </c>
      <c r="N87" s="49">
        <f>AVERAGE('1.08 Jinja Road-Kira Road-24h'!N87,'3.08 Jinja Road-KiraRoad-24h'!N87)</f>
        <v>0</v>
      </c>
      <c r="O87" s="15">
        <f t="shared" si="35"/>
        <v>22.5</v>
      </c>
      <c r="P87" s="15">
        <f t="shared" si="36"/>
        <v>39.5</v>
      </c>
      <c r="R87" s="8"/>
      <c r="T87"/>
    </row>
    <row r="88" spans="2:20" ht="23.1" customHeight="1" x14ac:dyDescent="0.25">
      <c r="B88" s="25" t="s">
        <v>128</v>
      </c>
      <c r="C88" s="49">
        <f>AVERAGE('1.08 Jinja Road-Kira Road-24h'!C88,'3.08 Jinja Road-KiraRoad-24h'!C88)</f>
        <v>8.5</v>
      </c>
      <c r="D88" s="49">
        <f>AVERAGE('1.08 Jinja Road-Kira Road-24h'!D88,'3.08 Jinja Road-KiraRoad-24h'!D88)</f>
        <v>1.5</v>
      </c>
      <c r="E88" s="49">
        <f>AVERAGE('1.08 Jinja Road-Kira Road-24h'!E88,'3.08 Jinja Road-KiraRoad-24h'!E88)</f>
        <v>0</v>
      </c>
      <c r="F88" s="49">
        <f>AVERAGE('1.08 Jinja Road-Kira Road-24h'!F88,'3.08 Jinja Road-KiraRoad-24h'!F88)</f>
        <v>0</v>
      </c>
      <c r="G88" s="49">
        <f>AVERAGE('1.08 Jinja Road-Kira Road-24h'!G88,'3.08 Jinja Road-KiraRoad-24h'!G88)</f>
        <v>0</v>
      </c>
      <c r="H88" s="49">
        <f>AVERAGE('1.08 Jinja Road-Kira Road-24h'!H88,'3.08 Jinja Road-KiraRoad-24h'!H88)</f>
        <v>0</v>
      </c>
      <c r="I88" s="49">
        <f>AVERAGE('1.08 Jinja Road-Kira Road-24h'!I88,'3.08 Jinja Road-KiraRoad-24h'!I88)</f>
        <v>0</v>
      </c>
      <c r="J88" s="49">
        <f>AVERAGE('1.08 Jinja Road-Kira Road-24h'!J88,'3.08 Jinja Road-KiraRoad-24h'!J88)</f>
        <v>0</v>
      </c>
      <c r="K88" s="49">
        <f>AVERAGE('1.08 Jinja Road-Kira Road-24h'!K88,'3.08 Jinja Road-KiraRoad-24h'!K88)</f>
        <v>0</v>
      </c>
      <c r="L88" s="49">
        <f>AVERAGE('1.08 Jinja Road-Kira Road-24h'!L88,'3.08 Jinja Road-KiraRoad-24h'!L88)</f>
        <v>0</v>
      </c>
      <c r="M88" s="49">
        <f>AVERAGE('1.08 Jinja Road-Kira Road-24h'!M88,'3.08 Jinja Road-KiraRoad-24h'!M88)</f>
        <v>7.5</v>
      </c>
      <c r="N88" s="49">
        <f>AVERAGE('1.08 Jinja Road-Kira Road-24h'!N88,'3.08 Jinja Road-KiraRoad-24h'!N88)</f>
        <v>0</v>
      </c>
      <c r="O88" s="15">
        <f t="shared" si="35"/>
        <v>10</v>
      </c>
      <c r="P88" s="15">
        <f t="shared" si="36"/>
        <v>17.5</v>
      </c>
      <c r="R88" s="8"/>
      <c r="T88"/>
    </row>
    <row r="89" spans="2:20" ht="23.1" customHeight="1" x14ac:dyDescent="0.25">
      <c r="B89" s="23" t="s">
        <v>129</v>
      </c>
      <c r="C89" s="49">
        <f>AVERAGE('1.08 Jinja Road-Kira Road-24h'!C89,'3.08 Jinja Road-KiraRoad-24h'!C89)</f>
        <v>8.5</v>
      </c>
      <c r="D89" s="49">
        <f>AVERAGE('1.08 Jinja Road-Kira Road-24h'!D89,'3.08 Jinja Road-KiraRoad-24h'!D89)</f>
        <v>0.5</v>
      </c>
      <c r="E89" s="49">
        <f>AVERAGE('1.08 Jinja Road-Kira Road-24h'!E89,'3.08 Jinja Road-KiraRoad-24h'!E89)</f>
        <v>0</v>
      </c>
      <c r="F89" s="49">
        <f>AVERAGE('1.08 Jinja Road-Kira Road-24h'!F89,'3.08 Jinja Road-KiraRoad-24h'!F89)</f>
        <v>0</v>
      </c>
      <c r="G89" s="49">
        <f>AVERAGE('1.08 Jinja Road-Kira Road-24h'!G89,'3.08 Jinja Road-KiraRoad-24h'!G89)</f>
        <v>0</v>
      </c>
      <c r="H89" s="49">
        <f>AVERAGE('1.08 Jinja Road-Kira Road-24h'!H89,'3.08 Jinja Road-KiraRoad-24h'!H89)</f>
        <v>0</v>
      </c>
      <c r="I89" s="49">
        <f>AVERAGE('1.08 Jinja Road-Kira Road-24h'!I89,'3.08 Jinja Road-KiraRoad-24h'!I89)</f>
        <v>0</v>
      </c>
      <c r="J89" s="49">
        <f>AVERAGE('1.08 Jinja Road-Kira Road-24h'!J89,'3.08 Jinja Road-KiraRoad-24h'!J89)</f>
        <v>0</v>
      </c>
      <c r="K89" s="49">
        <f>AVERAGE('1.08 Jinja Road-Kira Road-24h'!K89,'3.08 Jinja Road-KiraRoad-24h'!K89)</f>
        <v>0</v>
      </c>
      <c r="L89" s="49">
        <f>AVERAGE('1.08 Jinja Road-Kira Road-24h'!L89,'3.08 Jinja Road-KiraRoad-24h'!L89)</f>
        <v>0</v>
      </c>
      <c r="M89" s="49">
        <f>AVERAGE('1.08 Jinja Road-Kira Road-24h'!M89,'3.08 Jinja Road-KiraRoad-24h'!M89)</f>
        <v>6.5</v>
      </c>
      <c r="N89" s="49">
        <f>AVERAGE('1.08 Jinja Road-Kira Road-24h'!N89,'3.08 Jinja Road-KiraRoad-24h'!N89)</f>
        <v>0</v>
      </c>
      <c r="O89" s="15">
        <f t="shared" si="35"/>
        <v>9</v>
      </c>
      <c r="P89" s="15">
        <f t="shared" si="36"/>
        <v>15.5</v>
      </c>
      <c r="R89" s="8"/>
      <c r="T89"/>
    </row>
    <row r="90" spans="2:20" ht="23.1" customHeight="1" x14ac:dyDescent="0.25">
      <c r="B90" s="24" t="s">
        <v>130</v>
      </c>
      <c r="C90" s="49">
        <f>AVERAGE('1.08 Jinja Road-Kira Road-24h'!C90,'3.08 Jinja Road-KiraRoad-24h'!C90)</f>
        <v>11</v>
      </c>
      <c r="D90" s="49">
        <f>AVERAGE('1.08 Jinja Road-Kira Road-24h'!D90,'3.08 Jinja Road-KiraRoad-24h'!D90)</f>
        <v>1.5</v>
      </c>
      <c r="E90" s="49">
        <f>AVERAGE('1.08 Jinja Road-Kira Road-24h'!E90,'3.08 Jinja Road-KiraRoad-24h'!E90)</f>
        <v>0.5</v>
      </c>
      <c r="F90" s="49">
        <f>AVERAGE('1.08 Jinja Road-Kira Road-24h'!F90,'3.08 Jinja Road-KiraRoad-24h'!F90)</f>
        <v>0.5</v>
      </c>
      <c r="G90" s="49">
        <f>AVERAGE('1.08 Jinja Road-Kira Road-24h'!G90,'3.08 Jinja Road-KiraRoad-24h'!G90)</f>
        <v>0</v>
      </c>
      <c r="H90" s="49">
        <f>AVERAGE('1.08 Jinja Road-Kira Road-24h'!H90,'3.08 Jinja Road-KiraRoad-24h'!H90)</f>
        <v>0</v>
      </c>
      <c r="I90" s="49">
        <f>AVERAGE('1.08 Jinja Road-Kira Road-24h'!I90,'3.08 Jinja Road-KiraRoad-24h'!I90)</f>
        <v>0</v>
      </c>
      <c r="J90" s="49">
        <f>AVERAGE('1.08 Jinja Road-Kira Road-24h'!J90,'3.08 Jinja Road-KiraRoad-24h'!J90)</f>
        <v>0.5</v>
      </c>
      <c r="K90" s="49">
        <f>AVERAGE('1.08 Jinja Road-Kira Road-24h'!K90,'3.08 Jinja Road-KiraRoad-24h'!K90)</f>
        <v>0</v>
      </c>
      <c r="L90" s="49">
        <f>AVERAGE('1.08 Jinja Road-Kira Road-24h'!L90,'3.08 Jinja Road-KiraRoad-24h'!L90)</f>
        <v>0</v>
      </c>
      <c r="M90" s="49">
        <f>AVERAGE('1.08 Jinja Road-Kira Road-24h'!M90,'3.08 Jinja Road-KiraRoad-24h'!M90)</f>
        <v>7.5</v>
      </c>
      <c r="N90" s="49">
        <f>AVERAGE('1.08 Jinja Road-Kira Road-24h'!N90,'3.08 Jinja Road-KiraRoad-24h'!N90)</f>
        <v>0</v>
      </c>
      <c r="O90" s="15">
        <f t="shared" si="35"/>
        <v>14</v>
      </c>
      <c r="P90" s="15">
        <f t="shared" si="36"/>
        <v>21.5</v>
      </c>
      <c r="R90" s="8"/>
      <c r="T90"/>
    </row>
    <row r="91" spans="2:20" ht="23.1" customHeight="1" x14ac:dyDescent="0.25">
      <c r="B91" s="23" t="s">
        <v>131</v>
      </c>
      <c r="C91" s="49">
        <f>AVERAGE('1.08 Jinja Road-Kira Road-24h'!C91,'3.08 Jinja Road-KiraRoad-24h'!C91)</f>
        <v>9</v>
      </c>
      <c r="D91" s="49">
        <f>AVERAGE('1.08 Jinja Road-Kira Road-24h'!D91,'3.08 Jinja Road-KiraRoad-24h'!D91)</f>
        <v>1</v>
      </c>
      <c r="E91" s="49">
        <f>AVERAGE('1.08 Jinja Road-Kira Road-24h'!E91,'3.08 Jinja Road-KiraRoad-24h'!E91)</f>
        <v>0</v>
      </c>
      <c r="F91" s="49">
        <f>AVERAGE('1.08 Jinja Road-Kira Road-24h'!F91,'3.08 Jinja Road-KiraRoad-24h'!F91)</f>
        <v>0</v>
      </c>
      <c r="G91" s="49">
        <f>AVERAGE('1.08 Jinja Road-Kira Road-24h'!G91,'3.08 Jinja Road-KiraRoad-24h'!G91)</f>
        <v>0</v>
      </c>
      <c r="H91" s="49">
        <f>AVERAGE('1.08 Jinja Road-Kira Road-24h'!H91,'3.08 Jinja Road-KiraRoad-24h'!H91)</f>
        <v>0</v>
      </c>
      <c r="I91" s="49">
        <f>AVERAGE('1.08 Jinja Road-Kira Road-24h'!I91,'3.08 Jinja Road-KiraRoad-24h'!I91)</f>
        <v>0</v>
      </c>
      <c r="J91" s="49">
        <f>AVERAGE('1.08 Jinja Road-Kira Road-24h'!J91,'3.08 Jinja Road-KiraRoad-24h'!J91)</f>
        <v>0</v>
      </c>
      <c r="K91" s="49">
        <f>AVERAGE('1.08 Jinja Road-Kira Road-24h'!K91,'3.08 Jinja Road-KiraRoad-24h'!K91)</f>
        <v>0</v>
      </c>
      <c r="L91" s="49">
        <f>AVERAGE('1.08 Jinja Road-Kira Road-24h'!L91,'3.08 Jinja Road-KiraRoad-24h'!L91)</f>
        <v>0</v>
      </c>
      <c r="M91" s="49">
        <f>AVERAGE('1.08 Jinja Road-Kira Road-24h'!M91,'3.08 Jinja Road-KiraRoad-24h'!M91)</f>
        <v>9</v>
      </c>
      <c r="N91" s="49">
        <f>AVERAGE('1.08 Jinja Road-Kira Road-24h'!N91,'3.08 Jinja Road-KiraRoad-24h'!N91)</f>
        <v>0</v>
      </c>
      <c r="O91" s="15">
        <f t="shared" si="35"/>
        <v>10</v>
      </c>
      <c r="P91" s="15">
        <f t="shared" si="36"/>
        <v>19</v>
      </c>
      <c r="R91" s="8"/>
      <c r="T91"/>
    </row>
    <row r="92" spans="2:20" ht="23.1" customHeight="1" x14ac:dyDescent="0.25">
      <c r="B92" s="25" t="s">
        <v>132</v>
      </c>
      <c r="C92" s="49">
        <f>AVERAGE('1.08 Jinja Road-Kira Road-24h'!C92,'3.08 Jinja Road-KiraRoad-24h'!C92)</f>
        <v>6</v>
      </c>
      <c r="D92" s="49">
        <f>AVERAGE('1.08 Jinja Road-Kira Road-24h'!D92,'3.08 Jinja Road-KiraRoad-24h'!D92)</f>
        <v>0.5</v>
      </c>
      <c r="E92" s="49">
        <f>AVERAGE('1.08 Jinja Road-Kira Road-24h'!E92,'3.08 Jinja Road-KiraRoad-24h'!E92)</f>
        <v>1</v>
      </c>
      <c r="F92" s="49">
        <f>AVERAGE('1.08 Jinja Road-Kira Road-24h'!F92,'3.08 Jinja Road-KiraRoad-24h'!F92)</f>
        <v>0.5</v>
      </c>
      <c r="G92" s="49">
        <f>AVERAGE('1.08 Jinja Road-Kira Road-24h'!G92,'3.08 Jinja Road-KiraRoad-24h'!G92)</f>
        <v>0</v>
      </c>
      <c r="H92" s="49">
        <f>AVERAGE('1.08 Jinja Road-Kira Road-24h'!H92,'3.08 Jinja Road-KiraRoad-24h'!H92)</f>
        <v>0</v>
      </c>
      <c r="I92" s="49">
        <f>AVERAGE('1.08 Jinja Road-Kira Road-24h'!I92,'3.08 Jinja Road-KiraRoad-24h'!I92)</f>
        <v>0</v>
      </c>
      <c r="J92" s="49">
        <f>AVERAGE('1.08 Jinja Road-Kira Road-24h'!J92,'3.08 Jinja Road-KiraRoad-24h'!J92)</f>
        <v>0.5</v>
      </c>
      <c r="K92" s="49">
        <f>AVERAGE('1.08 Jinja Road-Kira Road-24h'!K92,'3.08 Jinja Road-KiraRoad-24h'!K92)</f>
        <v>0</v>
      </c>
      <c r="L92" s="49">
        <f>AVERAGE('1.08 Jinja Road-Kira Road-24h'!L92,'3.08 Jinja Road-KiraRoad-24h'!L92)</f>
        <v>0</v>
      </c>
      <c r="M92" s="49">
        <f>AVERAGE('1.08 Jinja Road-Kira Road-24h'!M92,'3.08 Jinja Road-KiraRoad-24h'!M92)</f>
        <v>4.5</v>
      </c>
      <c r="N92" s="49">
        <f>AVERAGE('1.08 Jinja Road-Kira Road-24h'!N92,'3.08 Jinja Road-KiraRoad-24h'!N92)</f>
        <v>0</v>
      </c>
      <c r="O92" s="15">
        <f t="shared" si="35"/>
        <v>8.5</v>
      </c>
      <c r="P92" s="15">
        <f t="shared" si="36"/>
        <v>13</v>
      </c>
      <c r="R92" s="8"/>
      <c r="T92"/>
    </row>
    <row r="93" spans="2:20" ht="23.1" customHeight="1" x14ac:dyDescent="0.25">
      <c r="B93" s="23" t="s">
        <v>133</v>
      </c>
      <c r="C93" s="49">
        <f>AVERAGE('1.08 Jinja Road-Kira Road-24h'!C93,'3.08 Jinja Road-KiraRoad-24h'!C93)</f>
        <v>10</v>
      </c>
      <c r="D93" s="49">
        <f>AVERAGE('1.08 Jinja Road-Kira Road-24h'!D93,'3.08 Jinja Road-KiraRoad-24h'!D93)</f>
        <v>0.5</v>
      </c>
      <c r="E93" s="49">
        <f>AVERAGE('1.08 Jinja Road-Kira Road-24h'!E93,'3.08 Jinja Road-KiraRoad-24h'!E93)</f>
        <v>0</v>
      </c>
      <c r="F93" s="49">
        <f>AVERAGE('1.08 Jinja Road-Kira Road-24h'!F93,'3.08 Jinja Road-KiraRoad-24h'!F93)</f>
        <v>0.5</v>
      </c>
      <c r="G93" s="49">
        <f>AVERAGE('1.08 Jinja Road-Kira Road-24h'!G93,'3.08 Jinja Road-KiraRoad-24h'!G93)</f>
        <v>0</v>
      </c>
      <c r="H93" s="49">
        <f>AVERAGE('1.08 Jinja Road-Kira Road-24h'!H93,'3.08 Jinja Road-KiraRoad-24h'!H93)</f>
        <v>0</v>
      </c>
      <c r="I93" s="49">
        <f>AVERAGE('1.08 Jinja Road-Kira Road-24h'!I93,'3.08 Jinja Road-KiraRoad-24h'!I93)</f>
        <v>0</v>
      </c>
      <c r="J93" s="49">
        <f>AVERAGE('1.08 Jinja Road-Kira Road-24h'!J93,'3.08 Jinja Road-KiraRoad-24h'!J93)</f>
        <v>0</v>
      </c>
      <c r="K93" s="49">
        <f>AVERAGE('1.08 Jinja Road-Kira Road-24h'!K93,'3.08 Jinja Road-KiraRoad-24h'!K93)</f>
        <v>0</v>
      </c>
      <c r="L93" s="49">
        <f>AVERAGE('1.08 Jinja Road-Kira Road-24h'!L93,'3.08 Jinja Road-KiraRoad-24h'!L93)</f>
        <v>0</v>
      </c>
      <c r="M93" s="49">
        <f>AVERAGE('1.08 Jinja Road-Kira Road-24h'!M93,'3.08 Jinja Road-KiraRoad-24h'!M93)</f>
        <v>7.5</v>
      </c>
      <c r="N93" s="49">
        <f>AVERAGE('1.08 Jinja Road-Kira Road-24h'!N93,'3.08 Jinja Road-KiraRoad-24h'!N93)</f>
        <v>0</v>
      </c>
      <c r="O93" s="15">
        <f t="shared" si="35"/>
        <v>11</v>
      </c>
      <c r="P93" s="15">
        <f t="shared" si="36"/>
        <v>18.5</v>
      </c>
      <c r="R93" s="8"/>
      <c r="T93"/>
    </row>
    <row r="94" spans="2:20" ht="23.1" customHeight="1" x14ac:dyDescent="0.25">
      <c r="B94" s="24" t="s">
        <v>134</v>
      </c>
      <c r="C94" s="49">
        <f>AVERAGE('1.08 Jinja Road-Kira Road-24h'!C94,'3.08 Jinja Road-KiraRoad-24h'!C94)</f>
        <v>12.5</v>
      </c>
      <c r="D94" s="49">
        <f>AVERAGE('1.08 Jinja Road-Kira Road-24h'!D94,'3.08 Jinja Road-KiraRoad-24h'!D94)</f>
        <v>2</v>
      </c>
      <c r="E94" s="49">
        <f>AVERAGE('1.08 Jinja Road-Kira Road-24h'!E94,'3.08 Jinja Road-KiraRoad-24h'!E94)</f>
        <v>0</v>
      </c>
      <c r="F94" s="49">
        <f>AVERAGE('1.08 Jinja Road-Kira Road-24h'!F94,'3.08 Jinja Road-KiraRoad-24h'!F94)</f>
        <v>0</v>
      </c>
      <c r="G94" s="49">
        <f>AVERAGE('1.08 Jinja Road-Kira Road-24h'!G94,'3.08 Jinja Road-KiraRoad-24h'!G94)</f>
        <v>0</v>
      </c>
      <c r="H94" s="49">
        <f>AVERAGE('1.08 Jinja Road-Kira Road-24h'!H94,'3.08 Jinja Road-KiraRoad-24h'!H94)</f>
        <v>0</v>
      </c>
      <c r="I94" s="49">
        <f>AVERAGE('1.08 Jinja Road-Kira Road-24h'!I94,'3.08 Jinja Road-KiraRoad-24h'!I94)</f>
        <v>0</v>
      </c>
      <c r="J94" s="49">
        <f>AVERAGE('1.08 Jinja Road-Kira Road-24h'!J94,'3.08 Jinja Road-KiraRoad-24h'!J94)</f>
        <v>0</v>
      </c>
      <c r="K94" s="49">
        <f>AVERAGE('1.08 Jinja Road-Kira Road-24h'!K94,'3.08 Jinja Road-KiraRoad-24h'!K94)</f>
        <v>0</v>
      </c>
      <c r="L94" s="49">
        <f>AVERAGE('1.08 Jinja Road-Kira Road-24h'!L94,'3.08 Jinja Road-KiraRoad-24h'!L94)</f>
        <v>0</v>
      </c>
      <c r="M94" s="49">
        <f>AVERAGE('1.08 Jinja Road-Kira Road-24h'!M94,'3.08 Jinja Road-KiraRoad-24h'!M94)</f>
        <v>10</v>
      </c>
      <c r="N94" s="49">
        <f>AVERAGE('1.08 Jinja Road-Kira Road-24h'!N94,'3.08 Jinja Road-KiraRoad-24h'!N94)</f>
        <v>0</v>
      </c>
      <c r="O94" s="15">
        <f t="shared" si="35"/>
        <v>14.5</v>
      </c>
      <c r="P94" s="15">
        <f t="shared" si="36"/>
        <v>24.5</v>
      </c>
      <c r="R94" s="8"/>
      <c r="T94"/>
    </row>
    <row r="95" spans="2:20" ht="23.1" customHeight="1" x14ac:dyDescent="0.25">
      <c r="B95" s="23" t="s">
        <v>135</v>
      </c>
      <c r="C95" s="49">
        <f>AVERAGE('1.08 Jinja Road-Kira Road-24h'!C95,'3.08 Jinja Road-KiraRoad-24h'!C95)</f>
        <v>8</v>
      </c>
      <c r="D95" s="49">
        <f>AVERAGE('1.08 Jinja Road-Kira Road-24h'!D95,'3.08 Jinja Road-KiraRoad-24h'!D95)</f>
        <v>0.5</v>
      </c>
      <c r="E95" s="49">
        <f>AVERAGE('1.08 Jinja Road-Kira Road-24h'!E95,'3.08 Jinja Road-KiraRoad-24h'!E95)</f>
        <v>0</v>
      </c>
      <c r="F95" s="49">
        <f>AVERAGE('1.08 Jinja Road-Kira Road-24h'!F95,'3.08 Jinja Road-KiraRoad-24h'!F95)</f>
        <v>0</v>
      </c>
      <c r="G95" s="49">
        <f>AVERAGE('1.08 Jinja Road-Kira Road-24h'!G95,'3.08 Jinja Road-KiraRoad-24h'!G95)</f>
        <v>0</v>
      </c>
      <c r="H95" s="49">
        <f>AVERAGE('1.08 Jinja Road-Kira Road-24h'!H95,'3.08 Jinja Road-KiraRoad-24h'!H95)</f>
        <v>0</v>
      </c>
      <c r="I95" s="49">
        <f>AVERAGE('1.08 Jinja Road-Kira Road-24h'!I95,'3.08 Jinja Road-KiraRoad-24h'!I95)</f>
        <v>0.5</v>
      </c>
      <c r="J95" s="49">
        <f>AVERAGE('1.08 Jinja Road-Kira Road-24h'!J95,'3.08 Jinja Road-KiraRoad-24h'!J95)</f>
        <v>0</v>
      </c>
      <c r="K95" s="49">
        <f>AVERAGE('1.08 Jinja Road-Kira Road-24h'!K95,'3.08 Jinja Road-KiraRoad-24h'!K95)</f>
        <v>0</v>
      </c>
      <c r="L95" s="49">
        <f>AVERAGE('1.08 Jinja Road-Kira Road-24h'!L95,'3.08 Jinja Road-KiraRoad-24h'!L95)</f>
        <v>0</v>
      </c>
      <c r="M95" s="49">
        <f>AVERAGE('1.08 Jinja Road-Kira Road-24h'!M95,'3.08 Jinja Road-KiraRoad-24h'!M95)</f>
        <v>11</v>
      </c>
      <c r="N95" s="49">
        <f>AVERAGE('1.08 Jinja Road-Kira Road-24h'!N95,'3.08 Jinja Road-KiraRoad-24h'!N95)</f>
        <v>0</v>
      </c>
      <c r="O95" s="15">
        <f t="shared" si="35"/>
        <v>9</v>
      </c>
      <c r="P95" s="15">
        <f t="shared" si="36"/>
        <v>20</v>
      </c>
      <c r="R95" s="8"/>
      <c r="T95"/>
    </row>
    <row r="96" spans="2:20" ht="23.1" customHeight="1" x14ac:dyDescent="0.25">
      <c r="B96" s="25" t="s">
        <v>136</v>
      </c>
      <c r="C96" s="49">
        <f>AVERAGE('1.08 Jinja Road-Kira Road-24h'!C96,'3.08 Jinja Road-KiraRoad-24h'!C96)</f>
        <v>7.5</v>
      </c>
      <c r="D96" s="49">
        <f>AVERAGE('1.08 Jinja Road-Kira Road-24h'!D96,'3.08 Jinja Road-KiraRoad-24h'!D96)</f>
        <v>0</v>
      </c>
      <c r="E96" s="49">
        <f>AVERAGE('1.08 Jinja Road-Kira Road-24h'!E96,'3.08 Jinja Road-KiraRoad-24h'!E96)</f>
        <v>0</v>
      </c>
      <c r="F96" s="49">
        <f>AVERAGE('1.08 Jinja Road-Kira Road-24h'!F96,'3.08 Jinja Road-KiraRoad-24h'!F96)</f>
        <v>0</v>
      </c>
      <c r="G96" s="49">
        <f>AVERAGE('1.08 Jinja Road-Kira Road-24h'!G96,'3.08 Jinja Road-KiraRoad-24h'!G96)</f>
        <v>0</v>
      </c>
      <c r="H96" s="49">
        <f>AVERAGE('1.08 Jinja Road-Kira Road-24h'!H96,'3.08 Jinja Road-KiraRoad-24h'!H96)</f>
        <v>0</v>
      </c>
      <c r="I96" s="49">
        <f>AVERAGE('1.08 Jinja Road-Kira Road-24h'!I96,'3.08 Jinja Road-KiraRoad-24h'!I96)</f>
        <v>0.5</v>
      </c>
      <c r="J96" s="49">
        <f>AVERAGE('1.08 Jinja Road-Kira Road-24h'!J96,'3.08 Jinja Road-KiraRoad-24h'!J96)</f>
        <v>0.5</v>
      </c>
      <c r="K96" s="49">
        <f>AVERAGE('1.08 Jinja Road-Kira Road-24h'!K96,'3.08 Jinja Road-KiraRoad-24h'!K96)</f>
        <v>0</v>
      </c>
      <c r="L96" s="49">
        <f>AVERAGE('1.08 Jinja Road-Kira Road-24h'!L96,'3.08 Jinja Road-KiraRoad-24h'!L96)</f>
        <v>0</v>
      </c>
      <c r="M96" s="49">
        <f>AVERAGE('1.08 Jinja Road-Kira Road-24h'!M96,'3.08 Jinja Road-KiraRoad-24h'!M96)</f>
        <v>11</v>
      </c>
      <c r="N96" s="49">
        <f>AVERAGE('1.08 Jinja Road-Kira Road-24h'!N96,'3.08 Jinja Road-KiraRoad-24h'!N96)</f>
        <v>0</v>
      </c>
      <c r="O96" s="15">
        <f t="shared" si="35"/>
        <v>8.5</v>
      </c>
      <c r="P96" s="15">
        <f t="shared" si="36"/>
        <v>19.5</v>
      </c>
      <c r="R96" s="8"/>
      <c r="T96"/>
    </row>
    <row r="97" spans="2:20" ht="23.1" customHeight="1" x14ac:dyDescent="0.25">
      <c r="B97" s="23" t="s">
        <v>137</v>
      </c>
      <c r="C97" s="49">
        <f>AVERAGE('1.08 Jinja Road-Kira Road-24h'!C97,'3.08 Jinja Road-KiraRoad-24h'!C97)</f>
        <v>5</v>
      </c>
      <c r="D97" s="49">
        <f>AVERAGE('1.08 Jinja Road-Kira Road-24h'!D97,'3.08 Jinja Road-KiraRoad-24h'!D97)</f>
        <v>0.5</v>
      </c>
      <c r="E97" s="49">
        <f>AVERAGE('1.08 Jinja Road-Kira Road-24h'!E97,'3.08 Jinja Road-KiraRoad-24h'!E97)</f>
        <v>1</v>
      </c>
      <c r="F97" s="49">
        <f>AVERAGE('1.08 Jinja Road-Kira Road-24h'!F97,'3.08 Jinja Road-KiraRoad-24h'!F97)</f>
        <v>0</v>
      </c>
      <c r="G97" s="49">
        <f>AVERAGE('1.08 Jinja Road-Kira Road-24h'!G97,'3.08 Jinja Road-KiraRoad-24h'!G97)</f>
        <v>0</v>
      </c>
      <c r="H97" s="49">
        <f>AVERAGE('1.08 Jinja Road-Kira Road-24h'!H97,'3.08 Jinja Road-KiraRoad-24h'!H97)</f>
        <v>0</v>
      </c>
      <c r="I97" s="49">
        <f>AVERAGE('1.08 Jinja Road-Kira Road-24h'!I97,'3.08 Jinja Road-KiraRoad-24h'!I97)</f>
        <v>0</v>
      </c>
      <c r="J97" s="49">
        <f>AVERAGE('1.08 Jinja Road-Kira Road-24h'!J97,'3.08 Jinja Road-KiraRoad-24h'!J97)</f>
        <v>0</v>
      </c>
      <c r="K97" s="49">
        <f>AVERAGE('1.08 Jinja Road-Kira Road-24h'!K97,'3.08 Jinja Road-KiraRoad-24h'!K97)</f>
        <v>0.5</v>
      </c>
      <c r="L97" s="49">
        <f>AVERAGE('1.08 Jinja Road-Kira Road-24h'!L97,'3.08 Jinja Road-KiraRoad-24h'!L97)</f>
        <v>0</v>
      </c>
      <c r="M97" s="49">
        <f>AVERAGE('1.08 Jinja Road-Kira Road-24h'!M97,'3.08 Jinja Road-KiraRoad-24h'!M97)</f>
        <v>7</v>
      </c>
      <c r="N97" s="49">
        <f>AVERAGE('1.08 Jinja Road-Kira Road-24h'!N97,'3.08 Jinja Road-KiraRoad-24h'!N97)</f>
        <v>0</v>
      </c>
      <c r="O97" s="15">
        <f t="shared" si="35"/>
        <v>7</v>
      </c>
      <c r="P97" s="15">
        <f t="shared" si="36"/>
        <v>14</v>
      </c>
      <c r="R97" s="8"/>
      <c r="T97"/>
    </row>
    <row r="98" spans="2:20" ht="23.1" customHeight="1" x14ac:dyDescent="0.25">
      <c r="B98" s="24" t="s">
        <v>138</v>
      </c>
      <c r="C98" s="49">
        <f>AVERAGE('1.08 Jinja Road-Kira Road-24h'!C98,'3.08 Jinja Road-KiraRoad-24h'!C98)</f>
        <v>6.5</v>
      </c>
      <c r="D98" s="49">
        <f>AVERAGE('1.08 Jinja Road-Kira Road-24h'!D98,'3.08 Jinja Road-KiraRoad-24h'!D98)</f>
        <v>0.5</v>
      </c>
      <c r="E98" s="49">
        <f>AVERAGE('1.08 Jinja Road-Kira Road-24h'!E98,'3.08 Jinja Road-KiraRoad-24h'!E98)</f>
        <v>0</v>
      </c>
      <c r="F98" s="49">
        <f>AVERAGE('1.08 Jinja Road-Kira Road-24h'!F98,'3.08 Jinja Road-KiraRoad-24h'!F98)</f>
        <v>0.5</v>
      </c>
      <c r="G98" s="49">
        <f>AVERAGE('1.08 Jinja Road-Kira Road-24h'!G98,'3.08 Jinja Road-KiraRoad-24h'!G98)</f>
        <v>0</v>
      </c>
      <c r="H98" s="49">
        <f>AVERAGE('1.08 Jinja Road-Kira Road-24h'!H98,'3.08 Jinja Road-KiraRoad-24h'!H98)</f>
        <v>0</v>
      </c>
      <c r="I98" s="49">
        <f>AVERAGE('1.08 Jinja Road-Kira Road-24h'!I98,'3.08 Jinja Road-KiraRoad-24h'!I98)</f>
        <v>0</v>
      </c>
      <c r="J98" s="49">
        <f>AVERAGE('1.08 Jinja Road-Kira Road-24h'!J98,'3.08 Jinja Road-KiraRoad-24h'!J98)</f>
        <v>0</v>
      </c>
      <c r="K98" s="49">
        <f>AVERAGE('1.08 Jinja Road-Kira Road-24h'!K98,'3.08 Jinja Road-KiraRoad-24h'!K98)</f>
        <v>0</v>
      </c>
      <c r="L98" s="49">
        <f>AVERAGE('1.08 Jinja Road-Kira Road-24h'!L98,'3.08 Jinja Road-KiraRoad-24h'!L98)</f>
        <v>0</v>
      </c>
      <c r="M98" s="49">
        <f>AVERAGE('1.08 Jinja Road-Kira Road-24h'!M98,'3.08 Jinja Road-KiraRoad-24h'!M98)</f>
        <v>17.5</v>
      </c>
      <c r="N98" s="49">
        <f>AVERAGE('1.08 Jinja Road-Kira Road-24h'!N98,'3.08 Jinja Road-KiraRoad-24h'!N98)</f>
        <v>0</v>
      </c>
      <c r="O98" s="15">
        <f t="shared" si="35"/>
        <v>7.5</v>
      </c>
      <c r="P98" s="15">
        <f t="shared" si="36"/>
        <v>25</v>
      </c>
      <c r="R98" s="8"/>
      <c r="T98"/>
    </row>
    <row r="99" spans="2:20" ht="23.1" customHeight="1" x14ac:dyDescent="0.25">
      <c r="B99" s="23" t="s">
        <v>139</v>
      </c>
      <c r="C99" s="49">
        <f>AVERAGE('1.08 Jinja Road-Kira Road-24h'!C99,'3.08 Jinja Road-KiraRoad-24h'!C99)</f>
        <v>5.5</v>
      </c>
      <c r="D99" s="49">
        <f>AVERAGE('1.08 Jinja Road-Kira Road-24h'!D99,'3.08 Jinja Road-KiraRoad-24h'!D99)</f>
        <v>0</v>
      </c>
      <c r="E99" s="49">
        <f>AVERAGE('1.08 Jinja Road-Kira Road-24h'!E99,'3.08 Jinja Road-KiraRoad-24h'!E99)</f>
        <v>0</v>
      </c>
      <c r="F99" s="49">
        <f>AVERAGE('1.08 Jinja Road-Kira Road-24h'!F99,'3.08 Jinja Road-KiraRoad-24h'!F99)</f>
        <v>0</v>
      </c>
      <c r="G99" s="49">
        <f>AVERAGE('1.08 Jinja Road-Kira Road-24h'!G99,'3.08 Jinja Road-KiraRoad-24h'!G99)</f>
        <v>0</v>
      </c>
      <c r="H99" s="49">
        <f>AVERAGE('1.08 Jinja Road-Kira Road-24h'!H99,'3.08 Jinja Road-KiraRoad-24h'!H99)</f>
        <v>0</v>
      </c>
      <c r="I99" s="49">
        <f>AVERAGE('1.08 Jinja Road-Kira Road-24h'!I99,'3.08 Jinja Road-KiraRoad-24h'!I99)</f>
        <v>0</v>
      </c>
      <c r="J99" s="49">
        <f>AVERAGE('1.08 Jinja Road-Kira Road-24h'!J99,'3.08 Jinja Road-KiraRoad-24h'!J99)</f>
        <v>0.5</v>
      </c>
      <c r="K99" s="49">
        <f>AVERAGE('1.08 Jinja Road-Kira Road-24h'!K99,'3.08 Jinja Road-KiraRoad-24h'!K99)</f>
        <v>0</v>
      </c>
      <c r="L99" s="49">
        <f>AVERAGE('1.08 Jinja Road-Kira Road-24h'!L99,'3.08 Jinja Road-KiraRoad-24h'!L99)</f>
        <v>0</v>
      </c>
      <c r="M99" s="49">
        <f>AVERAGE('1.08 Jinja Road-Kira Road-24h'!M99,'3.08 Jinja Road-KiraRoad-24h'!M99)</f>
        <v>21</v>
      </c>
      <c r="N99" s="49">
        <f>AVERAGE('1.08 Jinja Road-Kira Road-24h'!N99,'3.08 Jinja Road-KiraRoad-24h'!N99)</f>
        <v>0</v>
      </c>
      <c r="O99" s="15">
        <f t="shared" si="35"/>
        <v>6</v>
      </c>
      <c r="P99" s="15">
        <f t="shared" si="36"/>
        <v>27</v>
      </c>
      <c r="R99" s="8"/>
      <c r="T99"/>
    </row>
    <row r="100" spans="2:20" ht="23.1" customHeight="1" x14ac:dyDescent="0.25">
      <c r="B100" s="25" t="s">
        <v>140</v>
      </c>
      <c r="C100" s="49">
        <f>AVERAGE('1.08 Jinja Road-Kira Road-24h'!C100,'3.08 Jinja Road-KiraRoad-24h'!C100)</f>
        <v>6.5</v>
      </c>
      <c r="D100" s="49">
        <f>AVERAGE('1.08 Jinja Road-Kira Road-24h'!D100,'3.08 Jinja Road-KiraRoad-24h'!D100)</f>
        <v>2.5</v>
      </c>
      <c r="E100" s="49">
        <f>AVERAGE('1.08 Jinja Road-Kira Road-24h'!E100,'3.08 Jinja Road-KiraRoad-24h'!E100)</f>
        <v>1</v>
      </c>
      <c r="F100" s="49">
        <f>AVERAGE('1.08 Jinja Road-Kira Road-24h'!F100,'3.08 Jinja Road-KiraRoad-24h'!F100)</f>
        <v>0</v>
      </c>
      <c r="G100" s="49">
        <f>AVERAGE('1.08 Jinja Road-Kira Road-24h'!G100,'3.08 Jinja Road-KiraRoad-24h'!G100)</f>
        <v>0</v>
      </c>
      <c r="H100" s="49">
        <f>AVERAGE('1.08 Jinja Road-Kira Road-24h'!H100,'3.08 Jinja Road-KiraRoad-24h'!H100)</f>
        <v>0</v>
      </c>
      <c r="I100" s="49">
        <f>AVERAGE('1.08 Jinja Road-Kira Road-24h'!I100,'3.08 Jinja Road-KiraRoad-24h'!I100)</f>
        <v>0</v>
      </c>
      <c r="J100" s="49">
        <f>AVERAGE('1.08 Jinja Road-Kira Road-24h'!J100,'3.08 Jinja Road-KiraRoad-24h'!J100)</f>
        <v>0.5</v>
      </c>
      <c r="K100" s="49">
        <f>AVERAGE('1.08 Jinja Road-Kira Road-24h'!K100,'3.08 Jinja Road-KiraRoad-24h'!K100)</f>
        <v>0</v>
      </c>
      <c r="L100" s="49">
        <f>AVERAGE('1.08 Jinja Road-Kira Road-24h'!L100,'3.08 Jinja Road-KiraRoad-24h'!L100)</f>
        <v>0</v>
      </c>
      <c r="M100" s="49">
        <f>AVERAGE('1.08 Jinja Road-Kira Road-24h'!M100,'3.08 Jinja Road-KiraRoad-24h'!M100)</f>
        <v>15.5</v>
      </c>
      <c r="N100" s="49">
        <f>AVERAGE('1.08 Jinja Road-Kira Road-24h'!N100,'3.08 Jinja Road-KiraRoad-24h'!N100)</f>
        <v>0</v>
      </c>
      <c r="O100" s="15">
        <f t="shared" si="35"/>
        <v>10.5</v>
      </c>
      <c r="P100" s="15">
        <f t="shared" si="36"/>
        <v>26</v>
      </c>
      <c r="R100" s="8"/>
      <c r="T100"/>
    </row>
    <row r="101" spans="2:20" ht="23.1" customHeight="1" x14ac:dyDescent="0.25">
      <c r="B101" s="23" t="s">
        <v>141</v>
      </c>
      <c r="C101" s="49">
        <f>AVERAGE('1.08 Jinja Road-Kira Road-24h'!C101,'3.08 Jinja Road-KiraRoad-24h'!C101)</f>
        <v>6</v>
      </c>
      <c r="D101" s="49">
        <f>AVERAGE('1.08 Jinja Road-Kira Road-24h'!D101,'3.08 Jinja Road-KiraRoad-24h'!D101)</f>
        <v>1.5</v>
      </c>
      <c r="E101" s="49">
        <f>AVERAGE('1.08 Jinja Road-Kira Road-24h'!E101,'3.08 Jinja Road-KiraRoad-24h'!E101)</f>
        <v>1</v>
      </c>
      <c r="F101" s="49">
        <f>AVERAGE('1.08 Jinja Road-Kira Road-24h'!F101,'3.08 Jinja Road-KiraRoad-24h'!F101)</f>
        <v>0</v>
      </c>
      <c r="G101" s="49">
        <f>AVERAGE('1.08 Jinja Road-Kira Road-24h'!G101,'3.08 Jinja Road-KiraRoad-24h'!G101)</f>
        <v>0</v>
      </c>
      <c r="H101" s="49">
        <f>AVERAGE('1.08 Jinja Road-Kira Road-24h'!H101,'3.08 Jinja Road-KiraRoad-24h'!H101)</f>
        <v>0</v>
      </c>
      <c r="I101" s="49">
        <f>AVERAGE('1.08 Jinja Road-Kira Road-24h'!I101,'3.08 Jinja Road-KiraRoad-24h'!I101)</f>
        <v>0</v>
      </c>
      <c r="J101" s="49">
        <f>AVERAGE('1.08 Jinja Road-Kira Road-24h'!J101,'3.08 Jinja Road-KiraRoad-24h'!J101)</f>
        <v>0</v>
      </c>
      <c r="K101" s="49">
        <f>AVERAGE('1.08 Jinja Road-Kira Road-24h'!K101,'3.08 Jinja Road-KiraRoad-24h'!K101)</f>
        <v>0</v>
      </c>
      <c r="L101" s="49">
        <f>AVERAGE('1.08 Jinja Road-Kira Road-24h'!L101,'3.08 Jinja Road-KiraRoad-24h'!L101)</f>
        <v>0</v>
      </c>
      <c r="M101" s="49">
        <f>AVERAGE('1.08 Jinja Road-Kira Road-24h'!M101,'3.08 Jinja Road-KiraRoad-24h'!M101)</f>
        <v>15</v>
      </c>
      <c r="N101" s="49">
        <f>AVERAGE('1.08 Jinja Road-Kira Road-24h'!N101,'3.08 Jinja Road-KiraRoad-24h'!N101)</f>
        <v>0</v>
      </c>
      <c r="O101" s="15">
        <f t="shared" si="35"/>
        <v>8.5</v>
      </c>
      <c r="P101" s="15">
        <f t="shared" si="36"/>
        <v>23.5</v>
      </c>
      <c r="R101" s="8"/>
      <c r="T101"/>
    </row>
    <row r="102" spans="2:20" ht="23.1" customHeight="1" x14ac:dyDescent="0.25">
      <c r="B102" s="24" t="s">
        <v>142</v>
      </c>
      <c r="C102" s="49">
        <f>AVERAGE('1.08 Jinja Road-Kira Road-24h'!C102,'3.08 Jinja Road-KiraRoad-24h'!C102)</f>
        <v>6.5</v>
      </c>
      <c r="D102" s="49">
        <f>AVERAGE('1.08 Jinja Road-Kira Road-24h'!D102,'3.08 Jinja Road-KiraRoad-24h'!D102)</f>
        <v>3.5</v>
      </c>
      <c r="E102" s="49">
        <f>AVERAGE('1.08 Jinja Road-Kira Road-24h'!E102,'3.08 Jinja Road-KiraRoad-24h'!E102)</f>
        <v>0.5</v>
      </c>
      <c r="F102" s="49">
        <f>AVERAGE('1.08 Jinja Road-Kira Road-24h'!F102,'3.08 Jinja Road-KiraRoad-24h'!F102)</f>
        <v>0.5</v>
      </c>
      <c r="G102" s="49">
        <f>AVERAGE('1.08 Jinja Road-Kira Road-24h'!G102,'3.08 Jinja Road-KiraRoad-24h'!G102)</f>
        <v>0</v>
      </c>
      <c r="H102" s="49">
        <f>AVERAGE('1.08 Jinja Road-Kira Road-24h'!H102,'3.08 Jinja Road-KiraRoad-24h'!H102)</f>
        <v>0</v>
      </c>
      <c r="I102" s="49">
        <f>AVERAGE('1.08 Jinja Road-Kira Road-24h'!I102,'3.08 Jinja Road-KiraRoad-24h'!I102)</f>
        <v>0</v>
      </c>
      <c r="J102" s="49">
        <f>AVERAGE('1.08 Jinja Road-Kira Road-24h'!J102,'3.08 Jinja Road-KiraRoad-24h'!J102)</f>
        <v>0</v>
      </c>
      <c r="K102" s="49">
        <f>AVERAGE('1.08 Jinja Road-Kira Road-24h'!K102,'3.08 Jinja Road-KiraRoad-24h'!K102)</f>
        <v>0</v>
      </c>
      <c r="L102" s="49">
        <f>AVERAGE('1.08 Jinja Road-Kira Road-24h'!L102,'3.08 Jinja Road-KiraRoad-24h'!L102)</f>
        <v>0</v>
      </c>
      <c r="M102" s="49">
        <f>AVERAGE('1.08 Jinja Road-Kira Road-24h'!M102,'3.08 Jinja Road-KiraRoad-24h'!M102)</f>
        <v>23.5</v>
      </c>
      <c r="N102" s="49">
        <f>AVERAGE('1.08 Jinja Road-Kira Road-24h'!N102,'3.08 Jinja Road-KiraRoad-24h'!N102)</f>
        <v>0</v>
      </c>
      <c r="O102" s="15">
        <f t="shared" si="35"/>
        <v>11</v>
      </c>
      <c r="P102" s="15">
        <f t="shared" si="36"/>
        <v>34.5</v>
      </c>
      <c r="R102" s="8"/>
      <c r="T102"/>
    </row>
    <row r="103" spans="2:20" ht="23.1" customHeight="1" x14ac:dyDescent="0.25">
      <c r="B103" s="23" t="s">
        <v>143</v>
      </c>
      <c r="C103" s="49">
        <f>AVERAGE('1.08 Jinja Road-Kira Road-24h'!C103,'3.08 Jinja Road-KiraRoad-24h'!C103)</f>
        <v>18.5</v>
      </c>
      <c r="D103" s="49">
        <f>AVERAGE('1.08 Jinja Road-Kira Road-24h'!D103,'3.08 Jinja Road-KiraRoad-24h'!D103)</f>
        <v>9.5</v>
      </c>
      <c r="E103" s="49">
        <f>AVERAGE('1.08 Jinja Road-Kira Road-24h'!E103,'3.08 Jinja Road-KiraRoad-24h'!E103)</f>
        <v>2.5</v>
      </c>
      <c r="F103" s="49">
        <f>AVERAGE('1.08 Jinja Road-Kira Road-24h'!F103,'3.08 Jinja Road-KiraRoad-24h'!F103)</f>
        <v>0</v>
      </c>
      <c r="G103" s="49">
        <f>AVERAGE('1.08 Jinja Road-Kira Road-24h'!G103,'3.08 Jinja Road-KiraRoad-24h'!G103)</f>
        <v>0</v>
      </c>
      <c r="H103" s="49">
        <f>AVERAGE('1.08 Jinja Road-Kira Road-24h'!H103,'3.08 Jinja Road-KiraRoad-24h'!H103)</f>
        <v>0</v>
      </c>
      <c r="I103" s="49">
        <f>AVERAGE('1.08 Jinja Road-Kira Road-24h'!I103,'3.08 Jinja Road-KiraRoad-24h'!I103)</f>
        <v>0.5</v>
      </c>
      <c r="J103" s="49">
        <f>AVERAGE('1.08 Jinja Road-Kira Road-24h'!J103,'3.08 Jinja Road-KiraRoad-24h'!J103)</f>
        <v>1</v>
      </c>
      <c r="K103" s="49">
        <f>AVERAGE('1.08 Jinja Road-Kira Road-24h'!K103,'3.08 Jinja Road-KiraRoad-24h'!K103)</f>
        <v>0</v>
      </c>
      <c r="L103" s="49">
        <f>AVERAGE('1.08 Jinja Road-Kira Road-24h'!L103,'3.08 Jinja Road-KiraRoad-24h'!L103)</f>
        <v>0</v>
      </c>
      <c r="M103" s="49">
        <f>AVERAGE('1.08 Jinja Road-Kira Road-24h'!M103,'3.08 Jinja Road-KiraRoad-24h'!M103)</f>
        <v>28.5</v>
      </c>
      <c r="N103" s="49">
        <f>AVERAGE('1.08 Jinja Road-Kira Road-24h'!N103,'3.08 Jinja Road-KiraRoad-24h'!N103)</f>
        <v>0</v>
      </c>
      <c r="O103" s="15">
        <f t="shared" si="35"/>
        <v>32</v>
      </c>
      <c r="P103" s="15">
        <f t="shared" si="36"/>
        <v>60.5</v>
      </c>
      <c r="R103" s="8"/>
      <c r="T103"/>
    </row>
    <row r="104" spans="2:20" ht="23.1" customHeight="1" x14ac:dyDescent="0.25">
      <c r="B104" s="25" t="s">
        <v>144</v>
      </c>
      <c r="C104" s="49">
        <f>AVERAGE('1.08 Jinja Road-Kira Road-24h'!C104,'3.08 Jinja Road-KiraRoad-24h'!C104)</f>
        <v>24</v>
      </c>
      <c r="D104" s="49">
        <f>AVERAGE('1.08 Jinja Road-Kira Road-24h'!D104,'3.08 Jinja Road-KiraRoad-24h'!D104)</f>
        <v>9</v>
      </c>
      <c r="E104" s="49">
        <f>AVERAGE('1.08 Jinja Road-Kira Road-24h'!E104,'3.08 Jinja Road-KiraRoad-24h'!E104)</f>
        <v>3</v>
      </c>
      <c r="F104" s="49">
        <f>AVERAGE('1.08 Jinja Road-Kira Road-24h'!F104,'3.08 Jinja Road-KiraRoad-24h'!F104)</f>
        <v>0.5</v>
      </c>
      <c r="G104" s="49">
        <f>AVERAGE('1.08 Jinja Road-Kira Road-24h'!G104,'3.08 Jinja Road-KiraRoad-24h'!G104)</f>
        <v>0</v>
      </c>
      <c r="H104" s="49">
        <f>AVERAGE('1.08 Jinja Road-Kira Road-24h'!H104,'3.08 Jinja Road-KiraRoad-24h'!H104)</f>
        <v>0</v>
      </c>
      <c r="I104" s="49">
        <f>AVERAGE('1.08 Jinja Road-Kira Road-24h'!I104,'3.08 Jinja Road-KiraRoad-24h'!I104)</f>
        <v>0.5</v>
      </c>
      <c r="J104" s="49">
        <f>AVERAGE('1.08 Jinja Road-Kira Road-24h'!J104,'3.08 Jinja Road-KiraRoad-24h'!J104)</f>
        <v>0.5</v>
      </c>
      <c r="K104" s="49">
        <f>AVERAGE('1.08 Jinja Road-Kira Road-24h'!K104,'3.08 Jinja Road-KiraRoad-24h'!K104)</f>
        <v>0</v>
      </c>
      <c r="L104" s="49">
        <f>AVERAGE('1.08 Jinja Road-Kira Road-24h'!L104,'3.08 Jinja Road-KiraRoad-24h'!L104)</f>
        <v>0</v>
      </c>
      <c r="M104" s="49">
        <f>AVERAGE('1.08 Jinja Road-Kira Road-24h'!M104,'3.08 Jinja Road-KiraRoad-24h'!M104)</f>
        <v>47</v>
      </c>
      <c r="N104" s="49">
        <f>AVERAGE('1.08 Jinja Road-Kira Road-24h'!N104,'3.08 Jinja Road-KiraRoad-24h'!N104)</f>
        <v>0</v>
      </c>
      <c r="O104" s="15">
        <f t="shared" si="35"/>
        <v>37.5</v>
      </c>
      <c r="P104" s="15">
        <f t="shared" si="36"/>
        <v>84.5</v>
      </c>
      <c r="R104" s="8"/>
      <c r="T104"/>
    </row>
    <row r="105" spans="2:20" ht="23.1" customHeight="1" x14ac:dyDescent="0.25">
      <c r="B105" s="23" t="s">
        <v>145</v>
      </c>
      <c r="C105" s="49">
        <f>AVERAGE('1.08 Jinja Road-Kira Road-24h'!C105,'3.08 Jinja Road-KiraRoad-24h'!C105)</f>
        <v>32.5</v>
      </c>
      <c r="D105" s="49">
        <f>AVERAGE('1.08 Jinja Road-Kira Road-24h'!D105,'3.08 Jinja Road-KiraRoad-24h'!D105)</f>
        <v>15.5</v>
      </c>
      <c r="E105" s="49">
        <f>AVERAGE('1.08 Jinja Road-Kira Road-24h'!E105,'3.08 Jinja Road-KiraRoad-24h'!E105)</f>
        <v>2</v>
      </c>
      <c r="F105" s="49">
        <f>AVERAGE('1.08 Jinja Road-Kira Road-24h'!F105,'3.08 Jinja Road-KiraRoad-24h'!F105)</f>
        <v>1.5</v>
      </c>
      <c r="G105" s="49">
        <f>AVERAGE('1.08 Jinja Road-Kira Road-24h'!G105,'3.08 Jinja Road-KiraRoad-24h'!G105)</f>
        <v>0</v>
      </c>
      <c r="H105" s="49">
        <f>AVERAGE('1.08 Jinja Road-Kira Road-24h'!H105,'3.08 Jinja Road-KiraRoad-24h'!H105)</f>
        <v>0</v>
      </c>
      <c r="I105" s="49">
        <f>AVERAGE('1.08 Jinja Road-Kira Road-24h'!I105,'3.08 Jinja Road-KiraRoad-24h'!I105)</f>
        <v>0.5</v>
      </c>
      <c r="J105" s="49">
        <f>AVERAGE('1.08 Jinja Road-Kira Road-24h'!J105,'3.08 Jinja Road-KiraRoad-24h'!J105)</f>
        <v>0.5</v>
      </c>
      <c r="K105" s="49">
        <f>AVERAGE('1.08 Jinja Road-Kira Road-24h'!K105,'3.08 Jinja Road-KiraRoad-24h'!K105)</f>
        <v>0</v>
      </c>
      <c r="L105" s="49">
        <f>AVERAGE('1.08 Jinja Road-Kira Road-24h'!L105,'3.08 Jinja Road-KiraRoad-24h'!L105)</f>
        <v>0</v>
      </c>
      <c r="M105" s="49">
        <f>AVERAGE('1.08 Jinja Road-Kira Road-24h'!M105,'3.08 Jinja Road-KiraRoad-24h'!M105)</f>
        <v>36</v>
      </c>
      <c r="N105" s="49">
        <f>AVERAGE('1.08 Jinja Road-Kira Road-24h'!N105,'3.08 Jinja Road-KiraRoad-24h'!N105)</f>
        <v>0</v>
      </c>
      <c r="O105" s="15">
        <f t="shared" si="35"/>
        <v>52.5</v>
      </c>
      <c r="P105" s="15">
        <f t="shared" si="36"/>
        <v>88.5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5189.5</v>
      </c>
      <c r="D106" s="16">
        <f t="shared" ref="D106:P106" si="37">SUM(D10:D105)</f>
        <v>2467</v>
      </c>
      <c r="E106" s="16">
        <f t="shared" si="37"/>
        <v>632.21428571428578</v>
      </c>
      <c r="F106" s="16">
        <f t="shared" si="37"/>
        <v>185.30952380952382</v>
      </c>
      <c r="G106" s="16">
        <f t="shared" si="37"/>
        <v>13.142857142857144</v>
      </c>
      <c r="H106" s="16">
        <f t="shared" si="37"/>
        <v>4.0714285714285703</v>
      </c>
      <c r="I106" s="16">
        <f t="shared" si="37"/>
        <v>129.64285714285711</v>
      </c>
      <c r="J106" s="16">
        <f t="shared" si="37"/>
        <v>66.5</v>
      </c>
      <c r="K106" s="16">
        <f t="shared" si="37"/>
        <v>20.214285714285712</v>
      </c>
      <c r="L106" s="16">
        <f t="shared" si="37"/>
        <v>12.500000000000004</v>
      </c>
      <c r="M106" s="16">
        <f t="shared" si="37"/>
        <v>8593.3571428571431</v>
      </c>
      <c r="N106" s="16">
        <f t="shared" si="37"/>
        <v>0.42857142857142855</v>
      </c>
      <c r="O106" s="16">
        <f t="shared" si="37"/>
        <v>8720.5238095238092</v>
      </c>
      <c r="P106" s="16">
        <f t="shared" si="37"/>
        <v>17313.880952380954</v>
      </c>
      <c r="Q106" s="8"/>
      <c r="R106" s="8"/>
      <c r="S106"/>
      <c r="T106"/>
    </row>
    <row r="107" spans="2:20" ht="23.1" customHeight="1" x14ac:dyDescent="0.25">
      <c r="B107" s="26" t="s">
        <v>93</v>
      </c>
      <c r="C107" s="43">
        <f t="shared" ref="C107:N107" si="38">C106/$P$106</f>
        <v>0.29973060426330095</v>
      </c>
      <c r="D107" s="43">
        <f t="shared" si="38"/>
        <v>0.14248682931256643</v>
      </c>
      <c r="E107" s="43">
        <f t="shared" si="38"/>
        <v>3.6514880023322878E-2</v>
      </c>
      <c r="F107" s="43">
        <f t="shared" si="38"/>
        <v>1.0702945475898088E-2</v>
      </c>
      <c r="G107" s="43">
        <f t="shared" si="38"/>
        <v>7.59093653179461E-4</v>
      </c>
      <c r="H107" s="43">
        <f t="shared" si="38"/>
        <v>2.3515401212624598E-4</v>
      </c>
      <c r="I107" s="43">
        <f t="shared" si="38"/>
        <v>7.4877988071778328E-3</v>
      </c>
      <c r="J107" s="43">
        <f t="shared" si="38"/>
        <v>3.8408488647286854E-3</v>
      </c>
      <c r="K107" s="43">
        <f t="shared" si="38"/>
        <v>1.1675190426618882E-3</v>
      </c>
      <c r="L107" s="43">
        <f t="shared" si="38"/>
        <v>7.219640723174223E-4</v>
      </c>
      <c r="M107" s="43">
        <f t="shared" si="38"/>
        <v>0.49632760941881199</v>
      </c>
      <c r="N107" s="43">
        <f t="shared" si="38"/>
        <v>2.4753053908025899E-5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0.59509039976847178</v>
      </c>
      <c r="D108" s="44">
        <f t="shared" ref="D108:N108" si="39">D106/$O$106</f>
        <v>0.28289585051138255</v>
      </c>
      <c r="E108" s="44">
        <f t="shared" si="39"/>
        <v>7.2497283365459714E-2</v>
      </c>
      <c r="F108" s="44">
        <f t="shared" si="39"/>
        <v>2.1249815705697016E-2</v>
      </c>
      <c r="G108" s="44">
        <f t="shared" si="39"/>
        <v>1.5071178555241878E-3</v>
      </c>
      <c r="H108" s="44">
        <f t="shared" si="39"/>
        <v>4.6687890089607974E-4</v>
      </c>
      <c r="I108" s="44">
        <f t="shared" si="39"/>
        <v>1.4866407107480434E-2</v>
      </c>
      <c r="J108" s="44">
        <f t="shared" si="39"/>
        <v>7.6256887146359713E-3</v>
      </c>
      <c r="K108" s="44">
        <f t="shared" si="39"/>
        <v>2.318012788659484E-3</v>
      </c>
      <c r="L108" s="44">
        <f t="shared" si="39"/>
        <v>1.4334001343300701E-3</v>
      </c>
      <c r="M108" s="44"/>
      <c r="N108" s="44">
        <f t="shared" si="39"/>
        <v>4.9145147462745246E-5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view="pageBreakPreview" topLeftCell="M52" zoomScale="60" workbookViewId="0">
      <selection activeCell="X79" sqref="X79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6" t="str">
        <f>'4.08.KIIRA-JINJAROAD'!C3:G3</f>
        <v>MCC - C1 - STN47 - LUGOGO BYPASS ROAD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4" t="s">
        <v>162</v>
      </c>
      <c r="E5" s="65"/>
      <c r="F5" s="41" t="s">
        <v>1</v>
      </c>
      <c r="G5" s="62" t="str">
        <f>'4.08.KIIRA-JINJAROAD'!G5:H5</f>
        <v>Shell Petrol Station</v>
      </c>
      <c r="H5" s="63"/>
      <c r="I5" s="14"/>
      <c r="J5" s="2" t="s">
        <v>5</v>
      </c>
      <c r="K5" s="62" t="str">
        <f>'4.08.KIIRA-JINJAROAD'!K5:L5</f>
        <v>DANIEL MUNANURA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2" t="str">
        <f>'4.08.KIIRA-JINJAROAD'!D6:E6</f>
        <v>Kira Road</v>
      </c>
      <c r="E6" s="63"/>
      <c r="F6" s="2" t="s">
        <v>2</v>
      </c>
      <c r="G6" s="62" t="str">
        <f>'4.08.KIIRA-JINJAROAD'!G6:H6</f>
        <v>Jinja Road</v>
      </c>
      <c r="H6" s="63"/>
      <c r="J6" s="2" t="s">
        <v>21</v>
      </c>
      <c r="K6" s="62" t="str">
        <f>'4.08.KIIRA-JINJAROAD'!K6:L6</f>
        <v>Steven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AVERAGE('29.07 Kira Road-Jinaj Road'!C10,'30.07 Kira Road-Jinja Road'!C10,'31.07 Kira Road-Jinja Road'!C10,'2.08 Kira Road-Jinja road'!C10,'1.08 Kira Road-Jinja Road-24h'!C10,'3.08 Kira Road-Jinja Road-24h'!C10,'4.08.KIIRA-JINJAROAD'!C10)</f>
        <v>81.285714285714292</v>
      </c>
      <c r="D10" s="49">
        <f>AVERAGE('29.07 Kira Road-Jinaj Road'!D10,'30.07 Kira Road-Jinja Road'!D10,'31.07 Kira Road-Jinja Road'!D10,'2.08 Kira Road-Jinja road'!D10,'1.08 Kira Road-Jinja Road-24h'!D10,'3.08 Kira Road-Jinja Road-24h'!D10,'4.08.KIIRA-JINJAROAD'!D10)</f>
        <v>26</v>
      </c>
      <c r="E10" s="49">
        <f>AVERAGE('29.07 Kira Road-Jinaj Road'!E10,'30.07 Kira Road-Jinja Road'!E10,'31.07 Kira Road-Jinja Road'!E10,'2.08 Kira Road-Jinja road'!E10,'1.08 Kira Road-Jinja Road-24h'!E10,'3.08 Kira Road-Jinja Road-24h'!E10,'4.08.KIIRA-JINJAROAD'!E10)</f>
        <v>15.142857142857142</v>
      </c>
      <c r="F10" s="49">
        <f>AVERAGE('29.07 Kira Road-Jinaj Road'!F10,'30.07 Kira Road-Jinja Road'!F10,'31.07 Kira Road-Jinja Road'!F10,'2.08 Kira Road-Jinja road'!F10,'1.08 Kira Road-Jinja Road-24h'!F10,'3.08 Kira Road-Jinja Road-24h'!F10,'4.08.KIIRA-JINJAROAD'!F10)</f>
        <v>3.5714285714285716</v>
      </c>
      <c r="G10" s="49">
        <f>AVERAGE('29.07 Kira Road-Jinaj Road'!G10,'30.07 Kira Road-Jinja Road'!G10,'31.07 Kira Road-Jinja Road'!G10,'2.08 Kira Road-Jinja road'!G10,'1.08 Kira Road-Jinja Road-24h'!G10,'3.08 Kira Road-Jinja Road-24h'!G10,'4.08.KIIRA-JINJAROAD'!G10)</f>
        <v>0.42857142857142855</v>
      </c>
      <c r="H10" s="49">
        <f>AVERAGE('29.07 Kira Road-Jinaj Road'!H10,'30.07 Kira Road-Jinja Road'!H10,'31.07 Kira Road-Jinja Road'!H10,'2.08 Kira Road-Jinja road'!H10,'1.08 Kira Road-Jinja Road-24h'!H10,'3.08 Kira Road-Jinja Road-24h'!H10,'4.08.KIIRA-JINJAROAD'!H10)</f>
        <v>0</v>
      </c>
      <c r="I10" s="49">
        <f>AVERAGE('29.07 Kira Road-Jinaj Road'!I10,'30.07 Kira Road-Jinja Road'!I10,'31.07 Kira Road-Jinja Road'!I10,'2.08 Kira Road-Jinja road'!I10,'1.08 Kira Road-Jinja Road-24h'!I10,'3.08 Kira Road-Jinja Road-24h'!I10,'4.08.KIIRA-JINJAROAD'!I10)</f>
        <v>1.2857142857142858</v>
      </c>
      <c r="J10" s="49">
        <f>AVERAGE('29.07 Kira Road-Jinaj Road'!J10,'30.07 Kira Road-Jinja Road'!J10,'31.07 Kira Road-Jinja Road'!J10,'2.08 Kira Road-Jinja road'!J10,'1.08 Kira Road-Jinja Road-24h'!J10,'3.08 Kira Road-Jinja Road-24h'!J10,'4.08.KIIRA-JINJAROAD'!J10)</f>
        <v>0.14285714285714285</v>
      </c>
      <c r="K10" s="49">
        <f>AVERAGE('29.07 Kira Road-Jinaj Road'!K10,'30.07 Kira Road-Jinja Road'!K10,'31.07 Kira Road-Jinja Road'!K10,'2.08 Kira Road-Jinja road'!K10,'1.08 Kira Road-Jinja Road-24h'!K10,'3.08 Kira Road-Jinja Road-24h'!K10,'4.08.KIIRA-JINJAROAD'!K10)</f>
        <v>0.14285714285714285</v>
      </c>
      <c r="L10" s="49">
        <f>AVERAGE('29.07 Kira Road-Jinaj Road'!L10,'30.07 Kira Road-Jinja Road'!L10,'31.07 Kira Road-Jinja Road'!L10,'2.08 Kira Road-Jinja road'!L10,'1.08 Kira Road-Jinja Road-24h'!L10,'3.08 Kira Road-Jinja Road-24h'!L10,'4.08.KIIRA-JINJAROAD'!L10)</f>
        <v>0</v>
      </c>
      <c r="M10" s="49">
        <f>AVERAGE('29.07 Kira Road-Jinaj Road'!M10,'30.07 Kira Road-Jinja Road'!M10,'31.07 Kira Road-Jinja Road'!M10,'2.08 Kira Road-Jinja road'!M10,'1.08 Kira Road-Jinja Road-24h'!M10,'3.08 Kira Road-Jinja Road-24h'!M10,'4.08.KIIRA-JINJAROAD'!M10)</f>
        <v>87.428571428571431</v>
      </c>
      <c r="N10" s="49">
        <f>AVERAGE('29.07 Kira Road-Jinaj Road'!N10,'30.07 Kira Road-Jinja Road'!N10,'31.07 Kira Road-Jinja Road'!N10,'2.08 Kira Road-Jinja road'!N10,'1.08 Kira Road-Jinja Road-24h'!N10,'3.08 Kira Road-Jinja Road-24h'!N10,'4.08.KIIRA-JINJAROAD'!N10)</f>
        <v>0</v>
      </c>
      <c r="O10" s="15">
        <f t="shared" ref="O10:O73" si="0">SUM(C10:L10,N10)</f>
        <v>128</v>
      </c>
      <c r="P10" s="15">
        <f t="shared" ref="P10:P73" si="1">SUM(C10:N10)</f>
        <v>215.42857142857144</v>
      </c>
      <c r="R10" s="1" t="s">
        <v>6</v>
      </c>
      <c r="S10" s="17">
        <f t="shared" ref="S10:AF10" si="2">SUM(C10:C13)</f>
        <v>347.28571428571428</v>
      </c>
      <c r="T10" s="17">
        <f t="shared" si="2"/>
        <v>114.85714285714286</v>
      </c>
      <c r="U10" s="17">
        <f t="shared" si="2"/>
        <v>50</v>
      </c>
      <c r="V10" s="17">
        <f t="shared" si="2"/>
        <v>17.428571428571427</v>
      </c>
      <c r="W10" s="17">
        <f t="shared" si="2"/>
        <v>0.85714285714285698</v>
      </c>
      <c r="X10" s="17">
        <f t="shared" si="2"/>
        <v>0</v>
      </c>
      <c r="Y10" s="17">
        <f t="shared" si="2"/>
        <v>7</v>
      </c>
      <c r="Z10" s="17">
        <f t="shared" si="2"/>
        <v>1</v>
      </c>
      <c r="AA10" s="17">
        <f t="shared" si="2"/>
        <v>0.5714285714285714</v>
      </c>
      <c r="AB10" s="17">
        <f t="shared" si="2"/>
        <v>0</v>
      </c>
      <c r="AC10" s="17">
        <f t="shared" si="2"/>
        <v>478.14285714285711</v>
      </c>
      <c r="AD10" s="17">
        <f t="shared" si="2"/>
        <v>0</v>
      </c>
      <c r="AE10" s="31">
        <f t="shared" si="2"/>
        <v>539</v>
      </c>
      <c r="AF10" s="31">
        <f t="shared" si="2"/>
        <v>1017.1428571428571</v>
      </c>
    </row>
    <row r="11" spans="2:32" s="6" customFormat="1" ht="23.1" customHeight="1" x14ac:dyDescent="0.25">
      <c r="B11" s="23" t="s">
        <v>38</v>
      </c>
      <c r="C11" s="49">
        <f>AVERAGE('29.07 Kira Road-Jinaj Road'!C11,'30.07 Kira Road-Jinja Road'!C11,'31.07 Kira Road-Jinja Road'!C11,'2.08 Kira Road-Jinja road'!C11,'1.08 Kira Road-Jinja Road-24h'!C11,'3.08 Kira Road-Jinja Road-24h'!C11,'4.08.KIIRA-JINJAROAD'!C11)</f>
        <v>92.285714285714292</v>
      </c>
      <c r="D11" s="49">
        <f>AVERAGE('29.07 Kira Road-Jinaj Road'!D11,'30.07 Kira Road-Jinja Road'!D11,'31.07 Kira Road-Jinja Road'!D11,'2.08 Kira Road-Jinja road'!D11,'1.08 Kira Road-Jinja Road-24h'!D11,'3.08 Kira Road-Jinja Road-24h'!D11,'4.08.KIIRA-JINJAROAD'!D11)</f>
        <v>25.428571428571427</v>
      </c>
      <c r="E11" s="49">
        <f>AVERAGE('29.07 Kira Road-Jinaj Road'!E11,'30.07 Kira Road-Jinja Road'!E11,'31.07 Kira Road-Jinja Road'!E11,'2.08 Kira Road-Jinja road'!E11,'1.08 Kira Road-Jinja Road-24h'!E11,'3.08 Kira Road-Jinja Road-24h'!E11,'4.08.KIIRA-JINJAROAD'!E11)</f>
        <v>15</v>
      </c>
      <c r="F11" s="49">
        <f>AVERAGE('29.07 Kira Road-Jinaj Road'!F11,'30.07 Kira Road-Jinja Road'!F11,'31.07 Kira Road-Jinja Road'!F11,'2.08 Kira Road-Jinja road'!F11,'1.08 Kira Road-Jinja Road-24h'!F11,'3.08 Kira Road-Jinja Road-24h'!F11,'4.08.KIIRA-JINJAROAD'!F11)</f>
        <v>3.5714285714285716</v>
      </c>
      <c r="G11" s="49">
        <f>AVERAGE('29.07 Kira Road-Jinaj Road'!G11,'30.07 Kira Road-Jinja Road'!G11,'31.07 Kira Road-Jinja Road'!G11,'2.08 Kira Road-Jinja road'!G11,'1.08 Kira Road-Jinja Road-24h'!G11,'3.08 Kira Road-Jinja Road-24h'!G11,'4.08.KIIRA-JINJAROAD'!G11)</f>
        <v>0.14285714285714285</v>
      </c>
      <c r="H11" s="49">
        <f>AVERAGE('29.07 Kira Road-Jinaj Road'!H11,'30.07 Kira Road-Jinja Road'!H11,'31.07 Kira Road-Jinja Road'!H11,'2.08 Kira Road-Jinja road'!H11,'1.08 Kira Road-Jinja Road-24h'!H11,'3.08 Kira Road-Jinja Road-24h'!H11,'4.08.KIIRA-JINJAROAD'!H11)</f>
        <v>0</v>
      </c>
      <c r="I11" s="49">
        <f>AVERAGE('29.07 Kira Road-Jinaj Road'!I11,'30.07 Kira Road-Jinja Road'!I11,'31.07 Kira Road-Jinja Road'!I11,'2.08 Kira Road-Jinja road'!I11,'1.08 Kira Road-Jinja Road-24h'!I11,'3.08 Kira Road-Jinja Road-24h'!I11,'4.08.KIIRA-JINJAROAD'!I11)</f>
        <v>2.1428571428571428</v>
      </c>
      <c r="J11" s="49">
        <f>AVERAGE('29.07 Kira Road-Jinaj Road'!J11,'30.07 Kira Road-Jinja Road'!J11,'31.07 Kira Road-Jinja Road'!J11,'2.08 Kira Road-Jinja road'!J11,'1.08 Kira Road-Jinja Road-24h'!J11,'3.08 Kira Road-Jinja Road-24h'!J11,'4.08.KIIRA-JINJAROAD'!J11)</f>
        <v>0.14285714285714285</v>
      </c>
      <c r="K11" s="49">
        <f>AVERAGE('29.07 Kira Road-Jinaj Road'!K11,'30.07 Kira Road-Jinja Road'!K11,'31.07 Kira Road-Jinja Road'!K11,'2.08 Kira Road-Jinja road'!K11,'1.08 Kira Road-Jinja Road-24h'!K11,'3.08 Kira Road-Jinja Road-24h'!K11,'4.08.KIIRA-JINJAROAD'!K11)</f>
        <v>0.2857142857142857</v>
      </c>
      <c r="L11" s="49">
        <f>AVERAGE('29.07 Kira Road-Jinaj Road'!L11,'30.07 Kira Road-Jinja Road'!L11,'31.07 Kira Road-Jinja Road'!L11,'2.08 Kira Road-Jinja road'!L11,'1.08 Kira Road-Jinja Road-24h'!L11,'3.08 Kira Road-Jinja Road-24h'!L11,'4.08.KIIRA-JINJAROAD'!L11)</f>
        <v>0</v>
      </c>
      <c r="M11" s="49">
        <f>AVERAGE('29.07 Kira Road-Jinaj Road'!M11,'30.07 Kira Road-Jinja Road'!M11,'31.07 Kira Road-Jinja Road'!M11,'2.08 Kira Road-Jinja road'!M11,'1.08 Kira Road-Jinja Road-24h'!M11,'3.08 Kira Road-Jinja Road-24h'!M11,'4.08.KIIRA-JINJAROAD'!M11)</f>
        <v>108.42857142857143</v>
      </c>
      <c r="N11" s="49">
        <f>AVERAGE('29.07 Kira Road-Jinaj Road'!N11,'30.07 Kira Road-Jinja Road'!N11,'31.07 Kira Road-Jinja Road'!N11,'2.08 Kira Road-Jinja road'!N11,'1.08 Kira Road-Jinja Road-24h'!N11,'3.08 Kira Road-Jinja Road-24h'!N11,'4.08.KIIRA-JINJAROAD'!N11)</f>
        <v>0</v>
      </c>
      <c r="O11" s="15">
        <f t="shared" si="0"/>
        <v>139</v>
      </c>
      <c r="P11" s="15">
        <f t="shared" si="1"/>
        <v>247.42857142857144</v>
      </c>
      <c r="R11" s="1" t="s">
        <v>7</v>
      </c>
      <c r="S11" s="17">
        <f t="shared" ref="S11:AF11" si="3">SUM(C14:C17)</f>
        <v>416.85714285714289</v>
      </c>
      <c r="T11" s="17">
        <f t="shared" si="3"/>
        <v>152</v>
      </c>
      <c r="U11" s="17">
        <f t="shared" si="3"/>
        <v>54</v>
      </c>
      <c r="V11" s="17">
        <f t="shared" si="3"/>
        <v>19.142857142857142</v>
      </c>
      <c r="W11" s="17">
        <f t="shared" si="3"/>
        <v>1.2857142857142856</v>
      </c>
      <c r="X11" s="17">
        <f t="shared" si="3"/>
        <v>0</v>
      </c>
      <c r="Y11" s="17">
        <f t="shared" si="3"/>
        <v>15.714285714285715</v>
      </c>
      <c r="Z11" s="17">
        <f t="shared" si="3"/>
        <v>4.8571428571428568</v>
      </c>
      <c r="AA11" s="17">
        <f t="shared" si="3"/>
        <v>0.85714285714285698</v>
      </c>
      <c r="AB11" s="17">
        <f t="shared" si="3"/>
        <v>0.5714285714285714</v>
      </c>
      <c r="AC11" s="17">
        <f t="shared" si="3"/>
        <v>720.57142857142867</v>
      </c>
      <c r="AD11" s="17">
        <f t="shared" si="3"/>
        <v>0</v>
      </c>
      <c r="AE11" s="31">
        <f t="shared" si="3"/>
        <v>665.28571428571422</v>
      </c>
      <c r="AF11" s="31">
        <f t="shared" si="3"/>
        <v>1385.8571428571427</v>
      </c>
    </row>
    <row r="12" spans="2:32" ht="23.1" customHeight="1" x14ac:dyDescent="0.25">
      <c r="B12" s="23" t="s">
        <v>39</v>
      </c>
      <c r="C12" s="49">
        <f>AVERAGE('29.07 Kira Road-Jinaj Road'!C12,'30.07 Kira Road-Jinja Road'!C12,'31.07 Kira Road-Jinja Road'!C12,'2.08 Kira Road-Jinja road'!C12,'1.08 Kira Road-Jinja Road-24h'!C12,'3.08 Kira Road-Jinja Road-24h'!C12,'4.08.KIIRA-JINJAROAD'!C12)</f>
        <v>89.428571428571431</v>
      </c>
      <c r="D12" s="49">
        <f>AVERAGE('29.07 Kira Road-Jinaj Road'!D12,'30.07 Kira Road-Jinja Road'!D12,'31.07 Kira Road-Jinja Road'!D12,'2.08 Kira Road-Jinja road'!D12,'1.08 Kira Road-Jinja Road-24h'!D12,'3.08 Kira Road-Jinja Road-24h'!D12,'4.08.KIIRA-JINJAROAD'!D12)</f>
        <v>31.571428571428573</v>
      </c>
      <c r="E12" s="49">
        <f>AVERAGE('29.07 Kira Road-Jinaj Road'!E12,'30.07 Kira Road-Jinja Road'!E12,'31.07 Kira Road-Jinja Road'!E12,'2.08 Kira Road-Jinja road'!E12,'1.08 Kira Road-Jinja Road-24h'!E12,'3.08 Kira Road-Jinja Road-24h'!E12,'4.08.KIIRA-JINJAROAD'!E12)</f>
        <v>9.2857142857142865</v>
      </c>
      <c r="F12" s="49">
        <f>AVERAGE('29.07 Kira Road-Jinaj Road'!F12,'30.07 Kira Road-Jinja Road'!F12,'31.07 Kira Road-Jinja Road'!F12,'2.08 Kira Road-Jinja road'!F12,'1.08 Kira Road-Jinja Road-24h'!F12,'3.08 Kira Road-Jinja Road-24h'!F12,'4.08.KIIRA-JINJAROAD'!F12)</f>
        <v>3</v>
      </c>
      <c r="G12" s="49">
        <f>AVERAGE('29.07 Kira Road-Jinaj Road'!G12,'30.07 Kira Road-Jinja Road'!G12,'31.07 Kira Road-Jinja Road'!G12,'2.08 Kira Road-Jinja road'!G12,'1.08 Kira Road-Jinja Road-24h'!G12,'3.08 Kira Road-Jinja Road-24h'!G12,'4.08.KIIRA-JINJAROAD'!G12)</f>
        <v>0.14285714285714285</v>
      </c>
      <c r="H12" s="49">
        <f>AVERAGE('29.07 Kira Road-Jinaj Road'!H12,'30.07 Kira Road-Jinja Road'!H12,'31.07 Kira Road-Jinja Road'!H12,'2.08 Kira Road-Jinja road'!H12,'1.08 Kira Road-Jinja Road-24h'!H12,'3.08 Kira Road-Jinja Road-24h'!H12,'4.08.KIIRA-JINJAROAD'!H12)</f>
        <v>0</v>
      </c>
      <c r="I12" s="49">
        <f>AVERAGE('29.07 Kira Road-Jinaj Road'!I12,'30.07 Kira Road-Jinja Road'!I12,'31.07 Kira Road-Jinja Road'!I12,'2.08 Kira Road-Jinja road'!I12,'1.08 Kira Road-Jinja Road-24h'!I12,'3.08 Kira Road-Jinja Road-24h'!I12,'4.08.KIIRA-JINJAROAD'!I12)</f>
        <v>1.4285714285714286</v>
      </c>
      <c r="J12" s="49">
        <f>AVERAGE('29.07 Kira Road-Jinaj Road'!J12,'30.07 Kira Road-Jinja Road'!J12,'31.07 Kira Road-Jinja Road'!J12,'2.08 Kira Road-Jinja road'!J12,'1.08 Kira Road-Jinja Road-24h'!J12,'3.08 Kira Road-Jinja Road-24h'!J12,'4.08.KIIRA-JINJAROAD'!J12)</f>
        <v>0.14285714285714285</v>
      </c>
      <c r="K12" s="49">
        <f>AVERAGE('29.07 Kira Road-Jinaj Road'!K12,'30.07 Kira Road-Jinja Road'!K12,'31.07 Kira Road-Jinja Road'!K12,'2.08 Kira Road-Jinja road'!K12,'1.08 Kira Road-Jinja Road-24h'!K12,'3.08 Kira Road-Jinja Road-24h'!K12,'4.08.KIIRA-JINJAROAD'!K12)</f>
        <v>0</v>
      </c>
      <c r="L12" s="49">
        <f>AVERAGE('29.07 Kira Road-Jinaj Road'!L12,'30.07 Kira Road-Jinja Road'!L12,'31.07 Kira Road-Jinja Road'!L12,'2.08 Kira Road-Jinja road'!L12,'1.08 Kira Road-Jinja Road-24h'!L12,'3.08 Kira Road-Jinja Road-24h'!L12,'4.08.KIIRA-JINJAROAD'!L12)</f>
        <v>0</v>
      </c>
      <c r="M12" s="49">
        <f>AVERAGE('29.07 Kira Road-Jinaj Road'!M12,'30.07 Kira Road-Jinja Road'!M12,'31.07 Kira Road-Jinja Road'!M12,'2.08 Kira Road-Jinja road'!M12,'1.08 Kira Road-Jinja Road-24h'!M12,'3.08 Kira Road-Jinja Road-24h'!M12,'4.08.KIIRA-JINJAROAD'!M12)</f>
        <v>120.71428571428571</v>
      </c>
      <c r="N12" s="49">
        <f>AVERAGE('29.07 Kira Road-Jinaj Road'!N12,'30.07 Kira Road-Jinja Road'!N12,'31.07 Kira Road-Jinja Road'!N12,'2.08 Kira Road-Jinja road'!N12,'1.08 Kira Road-Jinja Road-24h'!N12,'3.08 Kira Road-Jinja Road-24h'!N12,'4.08.KIIRA-JINJAROAD'!N12)</f>
        <v>0</v>
      </c>
      <c r="O12" s="15">
        <f t="shared" si="0"/>
        <v>134.99999999999997</v>
      </c>
      <c r="P12" s="15">
        <f t="shared" si="1"/>
        <v>255.71428571428567</v>
      </c>
      <c r="R12" s="1" t="s">
        <v>8</v>
      </c>
      <c r="S12" s="17">
        <f t="shared" ref="S12:AF12" si="4">SUM(C18:C21)</f>
        <v>481.71428571428572</v>
      </c>
      <c r="T12" s="17">
        <f t="shared" si="4"/>
        <v>185.71428571428572</v>
      </c>
      <c r="U12" s="17">
        <f t="shared" si="4"/>
        <v>72.285714285714278</v>
      </c>
      <c r="V12" s="17">
        <f t="shared" si="4"/>
        <v>19</v>
      </c>
      <c r="W12" s="17">
        <f t="shared" si="4"/>
        <v>2</v>
      </c>
      <c r="X12" s="17">
        <f t="shared" si="4"/>
        <v>0.71428571428571419</v>
      </c>
      <c r="Y12" s="17">
        <f t="shared" si="4"/>
        <v>21.142857142857146</v>
      </c>
      <c r="Z12" s="17">
        <f t="shared" si="4"/>
        <v>8.2857142857142847</v>
      </c>
      <c r="AA12" s="17">
        <f t="shared" si="4"/>
        <v>2.8571428571428572</v>
      </c>
      <c r="AB12" s="17">
        <f t="shared" si="4"/>
        <v>0.8571428571428571</v>
      </c>
      <c r="AC12" s="17">
        <f t="shared" si="4"/>
        <v>680.71428571428578</v>
      </c>
      <c r="AD12" s="17">
        <f t="shared" si="4"/>
        <v>0</v>
      </c>
      <c r="AE12" s="31">
        <f t="shared" si="4"/>
        <v>794.57142857142856</v>
      </c>
      <c r="AF12" s="31">
        <f t="shared" si="4"/>
        <v>1475.2857142857142</v>
      </c>
    </row>
    <row r="13" spans="2:32" ht="23.1" customHeight="1" x14ac:dyDescent="0.25">
      <c r="B13" s="23" t="s">
        <v>40</v>
      </c>
      <c r="C13" s="49">
        <f>AVERAGE('29.07 Kira Road-Jinaj Road'!C13,'30.07 Kira Road-Jinja Road'!C13,'31.07 Kira Road-Jinja Road'!C13,'2.08 Kira Road-Jinja road'!C13,'1.08 Kira Road-Jinja Road-24h'!C13,'3.08 Kira Road-Jinja Road-24h'!C13,'4.08.KIIRA-JINJAROAD'!C13)</f>
        <v>84.285714285714292</v>
      </c>
      <c r="D13" s="49">
        <f>AVERAGE('29.07 Kira Road-Jinaj Road'!D13,'30.07 Kira Road-Jinja Road'!D13,'31.07 Kira Road-Jinja Road'!D13,'2.08 Kira Road-Jinja road'!D13,'1.08 Kira Road-Jinja Road-24h'!D13,'3.08 Kira Road-Jinja Road-24h'!D13,'4.08.KIIRA-JINJAROAD'!D13)</f>
        <v>31.857142857142858</v>
      </c>
      <c r="E13" s="49">
        <f>AVERAGE('29.07 Kira Road-Jinaj Road'!E13,'30.07 Kira Road-Jinja Road'!E13,'31.07 Kira Road-Jinja Road'!E13,'2.08 Kira Road-Jinja road'!E13,'1.08 Kira Road-Jinja Road-24h'!E13,'3.08 Kira Road-Jinja Road-24h'!E13,'4.08.KIIRA-JINJAROAD'!E13)</f>
        <v>10.571428571428571</v>
      </c>
      <c r="F13" s="49">
        <f>AVERAGE('29.07 Kira Road-Jinaj Road'!F13,'30.07 Kira Road-Jinja Road'!F13,'31.07 Kira Road-Jinja Road'!F13,'2.08 Kira Road-Jinja road'!F13,'1.08 Kira Road-Jinja Road-24h'!F13,'3.08 Kira Road-Jinja Road-24h'!F13,'4.08.KIIRA-JINJAROAD'!F13)</f>
        <v>7.2857142857142856</v>
      </c>
      <c r="G13" s="49">
        <f>AVERAGE('29.07 Kira Road-Jinaj Road'!G13,'30.07 Kira Road-Jinja Road'!G13,'31.07 Kira Road-Jinja Road'!G13,'2.08 Kira Road-Jinja road'!G13,'1.08 Kira Road-Jinja Road-24h'!G13,'3.08 Kira Road-Jinja Road-24h'!G13,'4.08.KIIRA-JINJAROAD'!G13)</f>
        <v>0.14285714285714285</v>
      </c>
      <c r="H13" s="49">
        <f>AVERAGE('29.07 Kira Road-Jinaj Road'!H13,'30.07 Kira Road-Jinja Road'!H13,'31.07 Kira Road-Jinja Road'!H13,'2.08 Kira Road-Jinja road'!H13,'1.08 Kira Road-Jinja Road-24h'!H13,'3.08 Kira Road-Jinja Road-24h'!H13,'4.08.KIIRA-JINJAROAD'!H13)</f>
        <v>0</v>
      </c>
      <c r="I13" s="49">
        <f>AVERAGE('29.07 Kira Road-Jinaj Road'!I13,'30.07 Kira Road-Jinja Road'!I13,'31.07 Kira Road-Jinja Road'!I13,'2.08 Kira Road-Jinja road'!I13,'1.08 Kira Road-Jinja Road-24h'!I13,'3.08 Kira Road-Jinja Road-24h'!I13,'4.08.KIIRA-JINJAROAD'!I13)</f>
        <v>2.1428571428571428</v>
      </c>
      <c r="J13" s="49">
        <f>AVERAGE('29.07 Kira Road-Jinaj Road'!J13,'30.07 Kira Road-Jinja Road'!J13,'31.07 Kira Road-Jinja Road'!J13,'2.08 Kira Road-Jinja road'!J13,'1.08 Kira Road-Jinja Road-24h'!J13,'3.08 Kira Road-Jinja Road-24h'!J13,'4.08.KIIRA-JINJAROAD'!J13)</f>
        <v>0.5714285714285714</v>
      </c>
      <c r="K13" s="49">
        <f>AVERAGE('29.07 Kira Road-Jinaj Road'!K13,'30.07 Kira Road-Jinja Road'!K13,'31.07 Kira Road-Jinja Road'!K13,'2.08 Kira Road-Jinja road'!K13,'1.08 Kira Road-Jinja Road-24h'!K13,'3.08 Kira Road-Jinja Road-24h'!K13,'4.08.KIIRA-JINJAROAD'!K13)</f>
        <v>0.14285714285714285</v>
      </c>
      <c r="L13" s="49">
        <f>AVERAGE('29.07 Kira Road-Jinaj Road'!L13,'30.07 Kira Road-Jinja Road'!L13,'31.07 Kira Road-Jinja Road'!L13,'2.08 Kira Road-Jinja road'!L13,'1.08 Kira Road-Jinja Road-24h'!L13,'3.08 Kira Road-Jinja Road-24h'!L13,'4.08.KIIRA-JINJAROAD'!L13)</f>
        <v>0</v>
      </c>
      <c r="M13" s="49">
        <f>AVERAGE('29.07 Kira Road-Jinaj Road'!M13,'30.07 Kira Road-Jinja Road'!M13,'31.07 Kira Road-Jinja Road'!M13,'2.08 Kira Road-Jinja road'!M13,'1.08 Kira Road-Jinja Road-24h'!M13,'3.08 Kira Road-Jinja Road-24h'!M13,'4.08.KIIRA-JINJAROAD'!M13)</f>
        <v>161.57142857142858</v>
      </c>
      <c r="N13" s="49">
        <f>AVERAGE('29.07 Kira Road-Jinaj Road'!N13,'30.07 Kira Road-Jinja Road'!N13,'31.07 Kira Road-Jinja Road'!N13,'2.08 Kira Road-Jinja road'!N13,'1.08 Kira Road-Jinja Road-24h'!N13,'3.08 Kira Road-Jinja Road-24h'!N13,'4.08.KIIRA-JINJAROAD'!N13)</f>
        <v>0</v>
      </c>
      <c r="O13" s="15">
        <f t="shared" si="0"/>
        <v>137</v>
      </c>
      <c r="P13" s="15">
        <f t="shared" si="1"/>
        <v>298.57142857142856</v>
      </c>
      <c r="R13" s="1" t="s">
        <v>9</v>
      </c>
      <c r="S13" s="17">
        <f t="shared" ref="S13:AF13" si="5">SUM(C22:C25)</f>
        <v>458</v>
      </c>
      <c r="T13" s="17">
        <f t="shared" si="5"/>
        <v>207.57142857142858</v>
      </c>
      <c r="U13" s="17">
        <f t="shared" si="5"/>
        <v>82.857142857142847</v>
      </c>
      <c r="V13" s="17">
        <f t="shared" si="5"/>
        <v>30.285714285714285</v>
      </c>
      <c r="W13" s="17">
        <f t="shared" si="5"/>
        <v>1.1428571428571428</v>
      </c>
      <c r="X13" s="17">
        <f t="shared" si="5"/>
        <v>0.2857142857142857</v>
      </c>
      <c r="Y13" s="17">
        <f t="shared" si="5"/>
        <v>22.285714285714288</v>
      </c>
      <c r="Z13" s="17">
        <f t="shared" si="5"/>
        <v>8</v>
      </c>
      <c r="AA13" s="17">
        <f t="shared" si="5"/>
        <v>2.7142857142857144</v>
      </c>
      <c r="AB13" s="17">
        <f t="shared" si="5"/>
        <v>0.8571428571428571</v>
      </c>
      <c r="AC13" s="17">
        <f t="shared" si="5"/>
        <v>683.42857142857144</v>
      </c>
      <c r="AD13" s="17">
        <f t="shared" si="5"/>
        <v>0</v>
      </c>
      <c r="AE13" s="31">
        <f t="shared" si="5"/>
        <v>813.99999999999989</v>
      </c>
      <c r="AF13" s="31">
        <f t="shared" si="5"/>
        <v>1497.4285714285716</v>
      </c>
    </row>
    <row r="14" spans="2:32" ht="23.1" customHeight="1" x14ac:dyDescent="0.25">
      <c r="B14" s="23" t="s">
        <v>41</v>
      </c>
      <c r="C14" s="49">
        <f>AVERAGE('29.07 Kira Road-Jinaj Road'!C14,'30.07 Kira Road-Jinja Road'!C14,'31.07 Kira Road-Jinja Road'!C14,'2.08 Kira Road-Jinja road'!C14,'1.08 Kira Road-Jinja Road-24h'!C14,'3.08 Kira Road-Jinja Road-24h'!C14,'4.08.KIIRA-JINJAROAD'!C14)</f>
        <v>101</v>
      </c>
      <c r="D14" s="49">
        <f>AVERAGE('29.07 Kira Road-Jinaj Road'!D14,'30.07 Kira Road-Jinja Road'!D14,'31.07 Kira Road-Jinja Road'!D14,'2.08 Kira Road-Jinja road'!D14,'1.08 Kira Road-Jinja Road-24h'!D14,'3.08 Kira Road-Jinja Road-24h'!D14,'4.08.KIIRA-JINJAROAD'!D14)</f>
        <v>33.857142857142854</v>
      </c>
      <c r="E14" s="49">
        <f>AVERAGE('29.07 Kira Road-Jinaj Road'!E14,'30.07 Kira Road-Jinja Road'!E14,'31.07 Kira Road-Jinja Road'!E14,'2.08 Kira Road-Jinja road'!E14,'1.08 Kira Road-Jinja Road-24h'!E14,'3.08 Kira Road-Jinja Road-24h'!E14,'4.08.KIIRA-JINJAROAD'!E14)</f>
        <v>12.428571428571429</v>
      </c>
      <c r="F14" s="49">
        <f>AVERAGE('29.07 Kira Road-Jinaj Road'!F14,'30.07 Kira Road-Jinja Road'!F14,'31.07 Kira Road-Jinja Road'!F14,'2.08 Kira Road-Jinja road'!F14,'1.08 Kira Road-Jinja Road-24h'!F14,'3.08 Kira Road-Jinja Road-24h'!F14,'4.08.KIIRA-JINJAROAD'!F14)</f>
        <v>5.1428571428571432</v>
      </c>
      <c r="G14" s="49">
        <f>AVERAGE('29.07 Kira Road-Jinaj Road'!G14,'30.07 Kira Road-Jinja Road'!G14,'31.07 Kira Road-Jinja Road'!G14,'2.08 Kira Road-Jinja road'!G14,'1.08 Kira Road-Jinja Road-24h'!G14,'3.08 Kira Road-Jinja Road-24h'!G14,'4.08.KIIRA-JINJAROAD'!G14)</f>
        <v>0.5714285714285714</v>
      </c>
      <c r="H14" s="49">
        <f>AVERAGE('29.07 Kira Road-Jinaj Road'!H14,'30.07 Kira Road-Jinja Road'!H14,'31.07 Kira Road-Jinja Road'!H14,'2.08 Kira Road-Jinja road'!H14,'1.08 Kira Road-Jinja Road-24h'!H14,'3.08 Kira Road-Jinja Road-24h'!H14,'4.08.KIIRA-JINJAROAD'!H14)</f>
        <v>0</v>
      </c>
      <c r="I14" s="49">
        <f>AVERAGE('29.07 Kira Road-Jinaj Road'!I14,'30.07 Kira Road-Jinja Road'!I14,'31.07 Kira Road-Jinja Road'!I14,'2.08 Kira Road-Jinja road'!I14,'1.08 Kira Road-Jinja Road-24h'!I14,'3.08 Kira Road-Jinja Road-24h'!I14,'4.08.KIIRA-JINJAROAD'!I14)</f>
        <v>2.5714285714285716</v>
      </c>
      <c r="J14" s="49">
        <f>AVERAGE('29.07 Kira Road-Jinaj Road'!J14,'30.07 Kira Road-Jinja Road'!J14,'31.07 Kira Road-Jinja Road'!J14,'2.08 Kira Road-Jinja road'!J14,'1.08 Kira Road-Jinja Road-24h'!J14,'3.08 Kira Road-Jinja Road-24h'!J14,'4.08.KIIRA-JINJAROAD'!J14)</f>
        <v>0.8571428571428571</v>
      </c>
      <c r="K14" s="49">
        <f>AVERAGE('29.07 Kira Road-Jinaj Road'!K14,'30.07 Kira Road-Jinja Road'!K14,'31.07 Kira Road-Jinja Road'!K14,'2.08 Kira Road-Jinja road'!K14,'1.08 Kira Road-Jinja Road-24h'!K14,'3.08 Kira Road-Jinja Road-24h'!K14,'4.08.KIIRA-JINJAROAD'!K14)</f>
        <v>0.14285714285714285</v>
      </c>
      <c r="L14" s="49">
        <f>AVERAGE('29.07 Kira Road-Jinaj Road'!L14,'30.07 Kira Road-Jinja Road'!L14,'31.07 Kira Road-Jinja Road'!L14,'2.08 Kira Road-Jinja road'!L14,'1.08 Kira Road-Jinja Road-24h'!L14,'3.08 Kira Road-Jinja Road-24h'!L14,'4.08.KIIRA-JINJAROAD'!L14)</f>
        <v>0.2857142857142857</v>
      </c>
      <c r="M14" s="49">
        <f>AVERAGE('29.07 Kira Road-Jinaj Road'!M14,'30.07 Kira Road-Jinja Road'!M14,'31.07 Kira Road-Jinja Road'!M14,'2.08 Kira Road-Jinja road'!M14,'1.08 Kira Road-Jinja Road-24h'!M14,'3.08 Kira Road-Jinja Road-24h'!M14,'4.08.KIIRA-JINJAROAD'!M14)</f>
        <v>177.42857142857142</v>
      </c>
      <c r="N14" s="49">
        <f>AVERAGE('29.07 Kira Road-Jinaj Road'!N14,'30.07 Kira Road-Jinja Road'!N14,'31.07 Kira Road-Jinja Road'!N14,'2.08 Kira Road-Jinja road'!N14,'1.08 Kira Road-Jinja Road-24h'!N14,'3.08 Kira Road-Jinja Road-24h'!N14,'4.08.KIIRA-JINJAROAD'!N14)</f>
        <v>0</v>
      </c>
      <c r="O14" s="15">
        <f t="shared" si="0"/>
        <v>156.85714285714286</v>
      </c>
      <c r="P14" s="15">
        <f t="shared" si="1"/>
        <v>334.28571428571428</v>
      </c>
      <c r="R14" s="1" t="s">
        <v>10</v>
      </c>
      <c r="S14" s="17">
        <f t="shared" ref="S14:AF14" si="6">SUM(C26:C29)</f>
        <v>424.14285714285711</v>
      </c>
      <c r="T14" s="17">
        <f t="shared" si="6"/>
        <v>221.28571428571428</v>
      </c>
      <c r="U14" s="17">
        <f t="shared" si="6"/>
        <v>68.142857142857139</v>
      </c>
      <c r="V14" s="17">
        <f t="shared" si="6"/>
        <v>21.714285714285712</v>
      </c>
      <c r="W14" s="17">
        <f t="shared" si="6"/>
        <v>1</v>
      </c>
      <c r="X14" s="17">
        <f t="shared" si="6"/>
        <v>1</v>
      </c>
      <c r="Y14" s="17">
        <f t="shared" si="6"/>
        <v>23.285714285714285</v>
      </c>
      <c r="Z14" s="17">
        <f t="shared" si="6"/>
        <v>7.7142857142857144</v>
      </c>
      <c r="AA14" s="17">
        <f t="shared" si="6"/>
        <v>0.71428571428571419</v>
      </c>
      <c r="AB14" s="17">
        <f t="shared" si="6"/>
        <v>0.85714285714285698</v>
      </c>
      <c r="AC14" s="17">
        <f t="shared" si="6"/>
        <v>707.85714285714278</v>
      </c>
      <c r="AD14" s="17">
        <f t="shared" si="6"/>
        <v>0</v>
      </c>
      <c r="AE14" s="31">
        <f t="shared" si="6"/>
        <v>769.85714285714289</v>
      </c>
      <c r="AF14" s="31">
        <f t="shared" si="6"/>
        <v>1477.7142857142858</v>
      </c>
    </row>
    <row r="15" spans="2:32" ht="23.1" customHeight="1" x14ac:dyDescent="0.25">
      <c r="B15" s="23" t="s">
        <v>42</v>
      </c>
      <c r="C15" s="49">
        <f>AVERAGE('29.07 Kira Road-Jinaj Road'!C15,'30.07 Kira Road-Jinja Road'!C15,'31.07 Kira Road-Jinja Road'!C15,'2.08 Kira Road-Jinja road'!C15,'1.08 Kira Road-Jinja Road-24h'!C15,'3.08 Kira Road-Jinja Road-24h'!C15,'4.08.KIIRA-JINJAROAD'!C15)</f>
        <v>105.71428571428571</v>
      </c>
      <c r="D15" s="49">
        <f>AVERAGE('29.07 Kira Road-Jinaj Road'!D15,'30.07 Kira Road-Jinja Road'!D15,'31.07 Kira Road-Jinja Road'!D15,'2.08 Kira Road-Jinja road'!D15,'1.08 Kira Road-Jinja Road-24h'!D15,'3.08 Kira Road-Jinja Road-24h'!D15,'4.08.KIIRA-JINJAROAD'!D15)</f>
        <v>39.857142857142854</v>
      </c>
      <c r="E15" s="49">
        <f>AVERAGE('29.07 Kira Road-Jinaj Road'!E15,'30.07 Kira Road-Jinja Road'!E15,'31.07 Kira Road-Jinja Road'!E15,'2.08 Kira Road-Jinja road'!E15,'1.08 Kira Road-Jinja Road-24h'!E15,'3.08 Kira Road-Jinja Road-24h'!E15,'4.08.KIIRA-JINJAROAD'!E15)</f>
        <v>12.571428571428571</v>
      </c>
      <c r="F15" s="49">
        <f>AVERAGE('29.07 Kira Road-Jinaj Road'!F15,'30.07 Kira Road-Jinja Road'!F15,'31.07 Kira Road-Jinja Road'!F15,'2.08 Kira Road-Jinja road'!F15,'1.08 Kira Road-Jinja Road-24h'!F15,'3.08 Kira Road-Jinja Road-24h'!F15,'4.08.KIIRA-JINJAROAD'!F15)</f>
        <v>5.2857142857142856</v>
      </c>
      <c r="G15" s="49">
        <f>AVERAGE('29.07 Kira Road-Jinaj Road'!G15,'30.07 Kira Road-Jinja Road'!G15,'31.07 Kira Road-Jinja Road'!G15,'2.08 Kira Road-Jinja road'!G15,'1.08 Kira Road-Jinja Road-24h'!G15,'3.08 Kira Road-Jinja Road-24h'!G15,'4.08.KIIRA-JINJAROAD'!G15)</f>
        <v>0.2857142857142857</v>
      </c>
      <c r="H15" s="49">
        <f>AVERAGE('29.07 Kira Road-Jinaj Road'!H15,'30.07 Kira Road-Jinja Road'!H15,'31.07 Kira Road-Jinja Road'!H15,'2.08 Kira Road-Jinja road'!H15,'1.08 Kira Road-Jinja Road-24h'!H15,'3.08 Kira Road-Jinja Road-24h'!H15,'4.08.KIIRA-JINJAROAD'!H15)</f>
        <v>0</v>
      </c>
      <c r="I15" s="49">
        <f>AVERAGE('29.07 Kira Road-Jinaj Road'!I15,'30.07 Kira Road-Jinja Road'!I15,'31.07 Kira Road-Jinja Road'!I15,'2.08 Kira Road-Jinja road'!I15,'1.08 Kira Road-Jinja Road-24h'!I15,'3.08 Kira Road-Jinja Road-24h'!I15,'4.08.KIIRA-JINJAROAD'!I15)</f>
        <v>4.5714285714285712</v>
      </c>
      <c r="J15" s="49">
        <f>AVERAGE('29.07 Kira Road-Jinaj Road'!J15,'30.07 Kira Road-Jinja Road'!J15,'31.07 Kira Road-Jinja Road'!J15,'2.08 Kira Road-Jinja road'!J15,'1.08 Kira Road-Jinja Road-24h'!J15,'3.08 Kira Road-Jinja Road-24h'!J15,'4.08.KIIRA-JINJAROAD'!J15)</f>
        <v>0.8571428571428571</v>
      </c>
      <c r="K15" s="49">
        <f>AVERAGE('29.07 Kira Road-Jinaj Road'!K15,'30.07 Kira Road-Jinja Road'!K15,'31.07 Kira Road-Jinja Road'!K15,'2.08 Kira Road-Jinja road'!K15,'1.08 Kira Road-Jinja Road-24h'!K15,'3.08 Kira Road-Jinja Road-24h'!K15,'4.08.KIIRA-JINJAROAD'!K15)</f>
        <v>0.14285714285714285</v>
      </c>
      <c r="L15" s="49">
        <f>AVERAGE('29.07 Kira Road-Jinaj Road'!L15,'30.07 Kira Road-Jinja Road'!L15,'31.07 Kira Road-Jinja Road'!L15,'2.08 Kira Road-Jinja road'!L15,'1.08 Kira Road-Jinja Road-24h'!L15,'3.08 Kira Road-Jinja Road-24h'!L15,'4.08.KIIRA-JINJAROAD'!L15)</f>
        <v>0</v>
      </c>
      <c r="M15" s="49">
        <f>AVERAGE('29.07 Kira Road-Jinaj Road'!M15,'30.07 Kira Road-Jinja Road'!M15,'31.07 Kira Road-Jinja Road'!M15,'2.08 Kira Road-Jinja road'!M15,'1.08 Kira Road-Jinja Road-24h'!M15,'3.08 Kira Road-Jinja Road-24h'!M15,'4.08.KIIRA-JINJAROAD'!M15)</f>
        <v>187.71428571428572</v>
      </c>
      <c r="N15" s="49">
        <f>AVERAGE('29.07 Kira Road-Jinaj Road'!N15,'30.07 Kira Road-Jinja Road'!N15,'31.07 Kira Road-Jinja Road'!N15,'2.08 Kira Road-Jinja road'!N15,'1.08 Kira Road-Jinja Road-24h'!N15,'3.08 Kira Road-Jinja Road-24h'!N15,'4.08.KIIRA-JINJAROAD'!N15)</f>
        <v>0</v>
      </c>
      <c r="O15" s="15">
        <f t="shared" si="0"/>
        <v>169.28571428571428</v>
      </c>
      <c r="P15" s="15">
        <f t="shared" si="1"/>
        <v>357</v>
      </c>
      <c r="R15" s="1" t="s">
        <v>11</v>
      </c>
      <c r="S15" s="17">
        <f t="shared" ref="S15:AF15" si="7">SUM(C30:C33)</f>
        <v>454</v>
      </c>
      <c r="T15" s="17">
        <f t="shared" si="7"/>
        <v>168.28571428571428</v>
      </c>
      <c r="U15" s="17">
        <f t="shared" si="7"/>
        <v>51.142857142857146</v>
      </c>
      <c r="V15" s="17">
        <f t="shared" si="7"/>
        <v>21.428571428571427</v>
      </c>
      <c r="W15" s="17">
        <f t="shared" si="7"/>
        <v>0.14285714285714285</v>
      </c>
      <c r="X15" s="17">
        <f t="shared" si="7"/>
        <v>0.14285714285714285</v>
      </c>
      <c r="Y15" s="17">
        <f t="shared" si="7"/>
        <v>27.142857142857142</v>
      </c>
      <c r="Z15" s="17">
        <f t="shared" si="7"/>
        <v>8.8571428571428577</v>
      </c>
      <c r="AA15" s="17">
        <f t="shared" si="7"/>
        <v>2.2857142857142856</v>
      </c>
      <c r="AB15" s="17">
        <f t="shared" si="7"/>
        <v>0.99999999999999989</v>
      </c>
      <c r="AC15" s="17">
        <f t="shared" si="7"/>
        <v>734.57142857142856</v>
      </c>
      <c r="AD15" s="17">
        <f t="shared" si="7"/>
        <v>0</v>
      </c>
      <c r="AE15" s="31">
        <f t="shared" si="7"/>
        <v>734.42857142857144</v>
      </c>
      <c r="AF15" s="31">
        <f t="shared" si="7"/>
        <v>1469</v>
      </c>
    </row>
    <row r="16" spans="2:32" ht="23.1" customHeight="1" x14ac:dyDescent="0.25">
      <c r="B16" s="23" t="s">
        <v>43</v>
      </c>
      <c r="C16" s="49">
        <f>AVERAGE('29.07 Kira Road-Jinaj Road'!C16,'30.07 Kira Road-Jinja Road'!C16,'31.07 Kira Road-Jinja Road'!C16,'2.08 Kira Road-Jinja road'!C16,'1.08 Kira Road-Jinja Road-24h'!C16,'3.08 Kira Road-Jinja Road-24h'!C16,'4.08.KIIRA-JINJAROAD'!C16)</f>
        <v>102.14285714285714</v>
      </c>
      <c r="D16" s="49">
        <f>AVERAGE('29.07 Kira Road-Jinaj Road'!D16,'30.07 Kira Road-Jinja Road'!D16,'31.07 Kira Road-Jinja Road'!D16,'2.08 Kira Road-Jinja road'!D16,'1.08 Kira Road-Jinja Road-24h'!D16,'3.08 Kira Road-Jinja Road-24h'!D16,'4.08.KIIRA-JINJAROAD'!D16)</f>
        <v>39.142857142857146</v>
      </c>
      <c r="E16" s="49">
        <f>AVERAGE('29.07 Kira Road-Jinaj Road'!E16,'30.07 Kira Road-Jinja Road'!E16,'31.07 Kira Road-Jinja Road'!E16,'2.08 Kira Road-Jinja road'!E16,'1.08 Kira Road-Jinja Road-24h'!E16,'3.08 Kira Road-Jinja Road-24h'!E16,'4.08.KIIRA-JINJAROAD'!E16)</f>
        <v>13.857142857142858</v>
      </c>
      <c r="F16" s="49">
        <f>AVERAGE('29.07 Kira Road-Jinaj Road'!F16,'30.07 Kira Road-Jinja Road'!F16,'31.07 Kira Road-Jinja Road'!F16,'2.08 Kira Road-Jinja road'!F16,'1.08 Kira Road-Jinja Road-24h'!F16,'3.08 Kira Road-Jinja Road-24h'!F16,'4.08.KIIRA-JINJAROAD'!F16)</f>
        <v>5</v>
      </c>
      <c r="G16" s="49">
        <f>AVERAGE('29.07 Kira Road-Jinaj Road'!G16,'30.07 Kira Road-Jinja Road'!G16,'31.07 Kira Road-Jinja Road'!G16,'2.08 Kira Road-Jinja road'!G16,'1.08 Kira Road-Jinja Road-24h'!G16,'3.08 Kira Road-Jinja Road-24h'!G16,'4.08.KIIRA-JINJAROAD'!G16)</f>
        <v>0.2857142857142857</v>
      </c>
      <c r="H16" s="49">
        <f>AVERAGE('29.07 Kira Road-Jinaj Road'!H16,'30.07 Kira Road-Jinja Road'!H16,'31.07 Kira Road-Jinja Road'!H16,'2.08 Kira Road-Jinja road'!H16,'1.08 Kira Road-Jinja Road-24h'!H16,'3.08 Kira Road-Jinja Road-24h'!H16,'4.08.KIIRA-JINJAROAD'!H16)</f>
        <v>0</v>
      </c>
      <c r="I16" s="49">
        <f>AVERAGE('29.07 Kira Road-Jinaj Road'!I16,'30.07 Kira Road-Jinja Road'!I16,'31.07 Kira Road-Jinja Road'!I16,'2.08 Kira Road-Jinja road'!I16,'1.08 Kira Road-Jinja Road-24h'!I16,'3.08 Kira Road-Jinja Road-24h'!I16,'4.08.KIIRA-JINJAROAD'!I16)</f>
        <v>3.8571428571428572</v>
      </c>
      <c r="J16" s="49">
        <f>AVERAGE('29.07 Kira Road-Jinaj Road'!J16,'30.07 Kira Road-Jinja Road'!J16,'31.07 Kira Road-Jinja Road'!J16,'2.08 Kira Road-Jinja road'!J16,'1.08 Kira Road-Jinja Road-24h'!J16,'3.08 Kira Road-Jinja Road-24h'!J16,'4.08.KIIRA-JINJAROAD'!J16)</f>
        <v>1.5714285714285714</v>
      </c>
      <c r="K16" s="49">
        <f>AVERAGE('29.07 Kira Road-Jinaj Road'!K16,'30.07 Kira Road-Jinja Road'!K16,'31.07 Kira Road-Jinja Road'!K16,'2.08 Kira Road-Jinja road'!K16,'1.08 Kira Road-Jinja Road-24h'!K16,'3.08 Kira Road-Jinja Road-24h'!K16,'4.08.KIIRA-JINJAROAD'!K16)</f>
        <v>0.42857142857142855</v>
      </c>
      <c r="L16" s="49">
        <f>AVERAGE('29.07 Kira Road-Jinaj Road'!L16,'30.07 Kira Road-Jinja Road'!L16,'31.07 Kira Road-Jinja Road'!L16,'2.08 Kira Road-Jinja road'!L16,'1.08 Kira Road-Jinja Road-24h'!L16,'3.08 Kira Road-Jinja Road-24h'!L16,'4.08.KIIRA-JINJAROAD'!L16)</f>
        <v>0.14285714285714285</v>
      </c>
      <c r="M16" s="49">
        <f>AVERAGE('29.07 Kira Road-Jinaj Road'!M16,'30.07 Kira Road-Jinja Road'!M16,'31.07 Kira Road-Jinja Road'!M16,'2.08 Kira Road-Jinja road'!M16,'1.08 Kira Road-Jinja Road-24h'!M16,'3.08 Kira Road-Jinja Road-24h'!M16,'4.08.KIIRA-JINJAROAD'!M16)</f>
        <v>178.71428571428572</v>
      </c>
      <c r="N16" s="49">
        <f>AVERAGE('29.07 Kira Road-Jinaj Road'!N16,'30.07 Kira Road-Jinja Road'!N16,'31.07 Kira Road-Jinja Road'!N16,'2.08 Kira Road-Jinja road'!N16,'1.08 Kira Road-Jinja Road-24h'!N16,'3.08 Kira Road-Jinja Road-24h'!N16,'4.08.KIIRA-JINJAROAD'!N16)</f>
        <v>0</v>
      </c>
      <c r="O16" s="15">
        <f t="shared" si="0"/>
        <v>166.42857142857142</v>
      </c>
      <c r="P16" s="15">
        <f t="shared" si="1"/>
        <v>345.14285714285711</v>
      </c>
      <c r="R16" s="1" t="s">
        <v>12</v>
      </c>
      <c r="S16" s="17">
        <f t="shared" ref="S16:AF16" si="8">SUM(C34:C37)</f>
        <v>444.85714285714283</v>
      </c>
      <c r="T16" s="17">
        <f t="shared" si="8"/>
        <v>204.14285714285714</v>
      </c>
      <c r="U16" s="17">
        <f t="shared" si="8"/>
        <v>65.285714285714292</v>
      </c>
      <c r="V16" s="17">
        <f t="shared" si="8"/>
        <v>23.714285714285715</v>
      </c>
      <c r="W16" s="17">
        <f t="shared" si="8"/>
        <v>1.1428571428571428</v>
      </c>
      <c r="X16" s="17">
        <f t="shared" si="8"/>
        <v>0.2857142857142857</v>
      </c>
      <c r="Y16" s="17">
        <f t="shared" si="8"/>
        <v>21.428571428571427</v>
      </c>
      <c r="Z16" s="17">
        <f t="shared" si="8"/>
        <v>7.5714285714285712</v>
      </c>
      <c r="AA16" s="17">
        <f t="shared" si="8"/>
        <v>1.4285714285714284</v>
      </c>
      <c r="AB16" s="17">
        <f t="shared" si="8"/>
        <v>0.2857142857142857</v>
      </c>
      <c r="AC16" s="17">
        <f t="shared" si="8"/>
        <v>700</v>
      </c>
      <c r="AD16" s="17">
        <f t="shared" si="8"/>
        <v>0</v>
      </c>
      <c r="AE16" s="31">
        <f t="shared" si="8"/>
        <v>770.14285714285711</v>
      </c>
      <c r="AF16" s="31">
        <f t="shared" si="8"/>
        <v>1470.1428571428573</v>
      </c>
    </row>
    <row r="17" spans="2:32" ht="23.1" customHeight="1" x14ac:dyDescent="0.25">
      <c r="B17" s="23" t="s">
        <v>44</v>
      </c>
      <c r="C17" s="49">
        <f>AVERAGE('29.07 Kira Road-Jinaj Road'!C17,'30.07 Kira Road-Jinja Road'!C17,'31.07 Kira Road-Jinja Road'!C17,'2.08 Kira Road-Jinja road'!C17,'1.08 Kira Road-Jinja Road-24h'!C17,'3.08 Kira Road-Jinja Road-24h'!C17,'4.08.KIIRA-JINJAROAD'!C17)</f>
        <v>108</v>
      </c>
      <c r="D17" s="49">
        <f>AVERAGE('29.07 Kira Road-Jinaj Road'!D17,'30.07 Kira Road-Jinja Road'!D17,'31.07 Kira Road-Jinja Road'!D17,'2.08 Kira Road-Jinja road'!D17,'1.08 Kira Road-Jinja Road-24h'!D17,'3.08 Kira Road-Jinja Road-24h'!D17,'4.08.KIIRA-JINJAROAD'!D17)</f>
        <v>39.142857142857146</v>
      </c>
      <c r="E17" s="49">
        <f>AVERAGE('29.07 Kira Road-Jinaj Road'!E17,'30.07 Kira Road-Jinja Road'!E17,'31.07 Kira Road-Jinja Road'!E17,'2.08 Kira Road-Jinja road'!E17,'1.08 Kira Road-Jinja Road-24h'!E17,'3.08 Kira Road-Jinja Road-24h'!E17,'4.08.KIIRA-JINJAROAD'!E17)</f>
        <v>15.142857142857142</v>
      </c>
      <c r="F17" s="49">
        <f>AVERAGE('29.07 Kira Road-Jinaj Road'!F17,'30.07 Kira Road-Jinja Road'!F17,'31.07 Kira Road-Jinja Road'!F17,'2.08 Kira Road-Jinja road'!F17,'1.08 Kira Road-Jinja Road-24h'!F17,'3.08 Kira Road-Jinja Road-24h'!F17,'4.08.KIIRA-JINJAROAD'!F17)</f>
        <v>3.7142857142857144</v>
      </c>
      <c r="G17" s="49">
        <f>AVERAGE('29.07 Kira Road-Jinaj Road'!G17,'30.07 Kira Road-Jinja Road'!G17,'31.07 Kira Road-Jinja Road'!G17,'2.08 Kira Road-Jinja road'!G17,'1.08 Kira Road-Jinja Road-24h'!G17,'3.08 Kira Road-Jinja Road-24h'!G17,'4.08.KIIRA-JINJAROAD'!G17)</f>
        <v>0.14285714285714285</v>
      </c>
      <c r="H17" s="49">
        <f>AVERAGE('29.07 Kira Road-Jinaj Road'!H17,'30.07 Kira Road-Jinja Road'!H17,'31.07 Kira Road-Jinja Road'!H17,'2.08 Kira Road-Jinja road'!H17,'1.08 Kira Road-Jinja Road-24h'!H17,'3.08 Kira Road-Jinja Road-24h'!H17,'4.08.KIIRA-JINJAROAD'!H17)</f>
        <v>0</v>
      </c>
      <c r="I17" s="49">
        <f>AVERAGE('29.07 Kira Road-Jinaj Road'!I17,'30.07 Kira Road-Jinja Road'!I17,'31.07 Kira Road-Jinja Road'!I17,'2.08 Kira Road-Jinja road'!I17,'1.08 Kira Road-Jinja Road-24h'!I17,'3.08 Kira Road-Jinja Road-24h'!I17,'4.08.KIIRA-JINJAROAD'!I17)</f>
        <v>4.7142857142857144</v>
      </c>
      <c r="J17" s="49">
        <f>AVERAGE('29.07 Kira Road-Jinaj Road'!J17,'30.07 Kira Road-Jinja Road'!J17,'31.07 Kira Road-Jinja Road'!J17,'2.08 Kira Road-Jinja road'!J17,'1.08 Kira Road-Jinja Road-24h'!J17,'3.08 Kira Road-Jinja Road-24h'!J17,'4.08.KIIRA-JINJAROAD'!J17)</f>
        <v>1.5714285714285714</v>
      </c>
      <c r="K17" s="49">
        <f>AVERAGE('29.07 Kira Road-Jinaj Road'!K17,'30.07 Kira Road-Jinja Road'!K17,'31.07 Kira Road-Jinja Road'!K17,'2.08 Kira Road-Jinja road'!K17,'1.08 Kira Road-Jinja Road-24h'!K17,'3.08 Kira Road-Jinja Road-24h'!K17,'4.08.KIIRA-JINJAROAD'!K17)</f>
        <v>0.14285714285714285</v>
      </c>
      <c r="L17" s="49">
        <f>AVERAGE('29.07 Kira Road-Jinaj Road'!L17,'30.07 Kira Road-Jinja Road'!L17,'31.07 Kira Road-Jinja Road'!L17,'2.08 Kira Road-Jinja road'!L17,'1.08 Kira Road-Jinja Road-24h'!L17,'3.08 Kira Road-Jinja Road-24h'!L17,'4.08.KIIRA-JINJAROAD'!L17)</f>
        <v>0.14285714285714285</v>
      </c>
      <c r="M17" s="49">
        <f>AVERAGE('29.07 Kira Road-Jinaj Road'!M17,'30.07 Kira Road-Jinja Road'!M17,'31.07 Kira Road-Jinja Road'!M17,'2.08 Kira Road-Jinja road'!M17,'1.08 Kira Road-Jinja Road-24h'!M17,'3.08 Kira Road-Jinja Road-24h'!M17,'4.08.KIIRA-JINJAROAD'!M17)</f>
        <v>176.71428571428572</v>
      </c>
      <c r="N17" s="49">
        <f>AVERAGE('29.07 Kira Road-Jinaj Road'!N17,'30.07 Kira Road-Jinja Road'!N17,'31.07 Kira Road-Jinja Road'!N17,'2.08 Kira Road-Jinja road'!N17,'1.08 Kira Road-Jinja Road-24h'!N17,'3.08 Kira Road-Jinja Road-24h'!N17,'4.08.KIIRA-JINJAROAD'!N17)</f>
        <v>0</v>
      </c>
      <c r="O17" s="15">
        <f t="shared" si="0"/>
        <v>172.71428571428572</v>
      </c>
      <c r="P17" s="15">
        <f t="shared" si="1"/>
        <v>349.42857142857144</v>
      </c>
      <c r="R17" s="1" t="s">
        <v>13</v>
      </c>
      <c r="S17" s="17">
        <f t="shared" ref="S17:AF17" si="9">SUM(C38:C41)</f>
        <v>490.42857142857144</v>
      </c>
      <c r="T17" s="17">
        <f t="shared" si="9"/>
        <v>185.42857142857142</v>
      </c>
      <c r="U17" s="17">
        <f t="shared" si="9"/>
        <v>46</v>
      </c>
      <c r="V17" s="17">
        <f t="shared" si="9"/>
        <v>32.428571428571431</v>
      </c>
      <c r="W17" s="17">
        <f t="shared" si="9"/>
        <v>0.71428571428571419</v>
      </c>
      <c r="X17" s="17">
        <f t="shared" si="9"/>
        <v>0.5714285714285714</v>
      </c>
      <c r="Y17" s="17">
        <f t="shared" si="9"/>
        <v>22.428571428571431</v>
      </c>
      <c r="Z17" s="17">
        <f t="shared" si="9"/>
        <v>6.8571428571428568</v>
      </c>
      <c r="AA17" s="17">
        <f t="shared" si="9"/>
        <v>2.5714285714285712</v>
      </c>
      <c r="AB17" s="17">
        <f t="shared" si="9"/>
        <v>0.42857142857142855</v>
      </c>
      <c r="AC17" s="17">
        <f t="shared" si="9"/>
        <v>690.14285714285711</v>
      </c>
      <c r="AD17" s="17">
        <f t="shared" si="9"/>
        <v>0</v>
      </c>
      <c r="AE17" s="31">
        <f t="shared" si="9"/>
        <v>787.85714285714289</v>
      </c>
      <c r="AF17" s="31">
        <f t="shared" si="9"/>
        <v>1478</v>
      </c>
    </row>
    <row r="18" spans="2:32" ht="23.1" customHeight="1" x14ac:dyDescent="0.25">
      <c r="B18" s="23" t="s">
        <v>45</v>
      </c>
      <c r="C18" s="49">
        <f>AVERAGE('29.07 Kira Road-Jinaj Road'!C18,'30.07 Kira Road-Jinja Road'!C18,'31.07 Kira Road-Jinja Road'!C18,'2.08 Kira Road-Jinja road'!C18,'1.08 Kira Road-Jinja Road-24h'!C18,'3.08 Kira Road-Jinja Road-24h'!C18,'4.08.KIIRA-JINJAROAD'!C18)</f>
        <v>112.42857142857143</v>
      </c>
      <c r="D18" s="49">
        <f>AVERAGE('29.07 Kira Road-Jinaj Road'!D18,'30.07 Kira Road-Jinja Road'!D18,'31.07 Kira Road-Jinja Road'!D18,'2.08 Kira Road-Jinja road'!D18,'1.08 Kira Road-Jinja Road-24h'!D18,'3.08 Kira Road-Jinja Road-24h'!D18,'4.08.KIIRA-JINJAROAD'!D18)</f>
        <v>41.142857142857146</v>
      </c>
      <c r="E18" s="49">
        <f>AVERAGE('29.07 Kira Road-Jinaj Road'!E18,'30.07 Kira Road-Jinja Road'!E18,'31.07 Kira Road-Jinja Road'!E18,'2.08 Kira Road-Jinja road'!E18,'1.08 Kira Road-Jinja Road-24h'!E18,'3.08 Kira Road-Jinja Road-24h'!E18,'4.08.KIIRA-JINJAROAD'!E18)</f>
        <v>15.142857142857142</v>
      </c>
      <c r="F18" s="49">
        <f>AVERAGE('29.07 Kira Road-Jinaj Road'!F18,'30.07 Kira Road-Jinja Road'!F18,'31.07 Kira Road-Jinja Road'!F18,'2.08 Kira Road-Jinja road'!F18,'1.08 Kira Road-Jinja Road-24h'!F18,'3.08 Kira Road-Jinja Road-24h'!F18,'4.08.KIIRA-JINJAROAD'!F18)</f>
        <v>4.2857142857142856</v>
      </c>
      <c r="G18" s="49">
        <f>AVERAGE('29.07 Kira Road-Jinaj Road'!G18,'30.07 Kira Road-Jinja Road'!G18,'31.07 Kira Road-Jinja Road'!G18,'2.08 Kira Road-Jinja road'!G18,'1.08 Kira Road-Jinja Road-24h'!G18,'3.08 Kira Road-Jinja Road-24h'!G18,'4.08.KIIRA-JINJAROAD'!G18)</f>
        <v>0.7142857142857143</v>
      </c>
      <c r="H18" s="49">
        <f>AVERAGE('29.07 Kira Road-Jinaj Road'!H18,'30.07 Kira Road-Jinja Road'!H18,'31.07 Kira Road-Jinja Road'!H18,'2.08 Kira Road-Jinja road'!H18,'1.08 Kira Road-Jinja Road-24h'!H18,'3.08 Kira Road-Jinja Road-24h'!H18,'4.08.KIIRA-JINJAROAD'!H18)</f>
        <v>0</v>
      </c>
      <c r="I18" s="49">
        <f>AVERAGE('29.07 Kira Road-Jinaj Road'!I18,'30.07 Kira Road-Jinja Road'!I18,'31.07 Kira Road-Jinja Road'!I18,'2.08 Kira Road-Jinja road'!I18,'1.08 Kira Road-Jinja Road-24h'!I18,'3.08 Kira Road-Jinja Road-24h'!I18,'4.08.KIIRA-JINJAROAD'!I18)</f>
        <v>4.5714285714285712</v>
      </c>
      <c r="J18" s="49">
        <f>AVERAGE('29.07 Kira Road-Jinaj Road'!J18,'30.07 Kira Road-Jinja Road'!J18,'31.07 Kira Road-Jinja Road'!J18,'2.08 Kira Road-Jinja road'!J18,'1.08 Kira Road-Jinja Road-24h'!J18,'3.08 Kira Road-Jinja Road-24h'!J18,'4.08.KIIRA-JINJAROAD'!J18)</f>
        <v>1.5714285714285714</v>
      </c>
      <c r="K18" s="49">
        <f>AVERAGE('29.07 Kira Road-Jinaj Road'!K18,'30.07 Kira Road-Jinja Road'!K18,'31.07 Kira Road-Jinja Road'!K18,'2.08 Kira Road-Jinja road'!K18,'1.08 Kira Road-Jinja Road-24h'!K18,'3.08 Kira Road-Jinja Road-24h'!K18,'4.08.KIIRA-JINJAROAD'!K18)</f>
        <v>0.7142857142857143</v>
      </c>
      <c r="L18" s="49">
        <f>AVERAGE('29.07 Kira Road-Jinaj Road'!L18,'30.07 Kira Road-Jinja Road'!L18,'31.07 Kira Road-Jinja Road'!L18,'2.08 Kira Road-Jinja road'!L18,'1.08 Kira Road-Jinja Road-24h'!L18,'3.08 Kira Road-Jinja Road-24h'!L18,'4.08.KIIRA-JINJAROAD'!L18)</f>
        <v>0</v>
      </c>
      <c r="M18" s="49">
        <f>AVERAGE('29.07 Kira Road-Jinaj Road'!M18,'30.07 Kira Road-Jinja Road'!M18,'31.07 Kira Road-Jinja Road'!M18,'2.08 Kira Road-Jinja road'!M18,'1.08 Kira Road-Jinja Road-24h'!M18,'3.08 Kira Road-Jinja Road-24h'!M18,'4.08.KIIRA-JINJAROAD'!M18)</f>
        <v>179.71428571428572</v>
      </c>
      <c r="N18" s="49">
        <f>AVERAGE('29.07 Kira Road-Jinaj Road'!N18,'30.07 Kira Road-Jinja Road'!N18,'31.07 Kira Road-Jinja Road'!N18,'2.08 Kira Road-Jinja road'!N18,'1.08 Kira Road-Jinja Road-24h'!N18,'3.08 Kira Road-Jinja Road-24h'!N18,'4.08.KIIRA-JINJAROAD'!N18)</f>
        <v>0</v>
      </c>
      <c r="O18" s="15">
        <f t="shared" si="0"/>
        <v>180.57142857142861</v>
      </c>
      <c r="P18" s="15">
        <f t="shared" si="1"/>
        <v>360.28571428571433</v>
      </c>
      <c r="R18" s="1" t="s">
        <v>14</v>
      </c>
      <c r="S18" s="17">
        <f t="shared" ref="S18:AF18" si="10">SUM(C42:C45)</f>
        <v>434.85714285714289</v>
      </c>
      <c r="T18" s="17">
        <f t="shared" si="10"/>
        <v>188.14285714285714</v>
      </c>
      <c r="U18" s="17">
        <f t="shared" si="10"/>
        <v>57</v>
      </c>
      <c r="V18" s="17">
        <f t="shared" si="10"/>
        <v>25.714285714285715</v>
      </c>
      <c r="W18" s="17">
        <f t="shared" si="10"/>
        <v>0.71428571428571419</v>
      </c>
      <c r="X18" s="17">
        <f t="shared" si="10"/>
        <v>0</v>
      </c>
      <c r="Y18" s="17">
        <f t="shared" si="10"/>
        <v>30.142857142857146</v>
      </c>
      <c r="Z18" s="17">
        <f t="shared" si="10"/>
        <v>7.4285714285714288</v>
      </c>
      <c r="AA18" s="17">
        <f t="shared" si="10"/>
        <v>1</v>
      </c>
      <c r="AB18" s="17">
        <f t="shared" si="10"/>
        <v>1</v>
      </c>
      <c r="AC18" s="17">
        <f t="shared" si="10"/>
        <v>753.57142857142856</v>
      </c>
      <c r="AD18" s="17">
        <f t="shared" si="10"/>
        <v>0</v>
      </c>
      <c r="AE18" s="31">
        <f t="shared" si="10"/>
        <v>746</v>
      </c>
      <c r="AF18" s="31">
        <f t="shared" si="10"/>
        <v>1499.5714285714284</v>
      </c>
    </row>
    <row r="19" spans="2:32" ht="23.1" customHeight="1" x14ac:dyDescent="0.25">
      <c r="B19" s="23" t="s">
        <v>46</v>
      </c>
      <c r="C19" s="49">
        <f>AVERAGE('29.07 Kira Road-Jinaj Road'!C19,'30.07 Kira Road-Jinja Road'!C19,'31.07 Kira Road-Jinja Road'!C19,'2.08 Kira Road-Jinja road'!C19,'1.08 Kira Road-Jinja Road-24h'!C19,'3.08 Kira Road-Jinja Road-24h'!C19,'4.08.KIIRA-JINJAROAD'!C19)</f>
        <v>129.14285714285714</v>
      </c>
      <c r="D19" s="49">
        <f>AVERAGE('29.07 Kira Road-Jinaj Road'!D19,'30.07 Kira Road-Jinja Road'!D19,'31.07 Kira Road-Jinja Road'!D19,'2.08 Kira Road-Jinja road'!D19,'1.08 Kira Road-Jinja Road-24h'!D19,'3.08 Kira Road-Jinja Road-24h'!D19,'4.08.KIIRA-JINJAROAD'!D19)</f>
        <v>49.857142857142854</v>
      </c>
      <c r="E19" s="49">
        <f>AVERAGE('29.07 Kira Road-Jinaj Road'!E19,'30.07 Kira Road-Jinja Road'!E19,'31.07 Kira Road-Jinja Road'!E19,'2.08 Kira Road-Jinja road'!E19,'1.08 Kira Road-Jinja Road-24h'!E19,'3.08 Kira Road-Jinja Road-24h'!E19,'4.08.KIIRA-JINJAROAD'!E19)</f>
        <v>18.428571428571427</v>
      </c>
      <c r="F19" s="49">
        <f>AVERAGE('29.07 Kira Road-Jinaj Road'!F19,'30.07 Kira Road-Jinja Road'!F19,'31.07 Kira Road-Jinja Road'!F19,'2.08 Kira Road-Jinja road'!F19,'1.08 Kira Road-Jinja Road-24h'!F19,'3.08 Kira Road-Jinja Road-24h'!F19,'4.08.KIIRA-JINJAROAD'!F19)</f>
        <v>5.2857142857142856</v>
      </c>
      <c r="G19" s="49">
        <f>AVERAGE('29.07 Kira Road-Jinaj Road'!G19,'30.07 Kira Road-Jinja Road'!G19,'31.07 Kira Road-Jinja Road'!G19,'2.08 Kira Road-Jinja road'!G19,'1.08 Kira Road-Jinja Road-24h'!G19,'3.08 Kira Road-Jinja Road-24h'!G19,'4.08.KIIRA-JINJAROAD'!G19)</f>
        <v>0.14285714285714285</v>
      </c>
      <c r="H19" s="49">
        <f>AVERAGE('29.07 Kira Road-Jinaj Road'!H19,'30.07 Kira Road-Jinja Road'!H19,'31.07 Kira Road-Jinja Road'!H19,'2.08 Kira Road-Jinja road'!H19,'1.08 Kira Road-Jinja Road-24h'!H19,'3.08 Kira Road-Jinja Road-24h'!H19,'4.08.KIIRA-JINJAROAD'!H19)</f>
        <v>0.5714285714285714</v>
      </c>
      <c r="I19" s="49">
        <f>AVERAGE('29.07 Kira Road-Jinaj Road'!I19,'30.07 Kira Road-Jinja Road'!I19,'31.07 Kira Road-Jinja Road'!I19,'2.08 Kira Road-Jinja road'!I19,'1.08 Kira Road-Jinja Road-24h'!I19,'3.08 Kira Road-Jinja Road-24h'!I19,'4.08.KIIRA-JINJAROAD'!I19)</f>
        <v>5.1428571428571432</v>
      </c>
      <c r="J19" s="49">
        <f>AVERAGE('29.07 Kira Road-Jinaj Road'!J19,'30.07 Kira Road-Jinja Road'!J19,'31.07 Kira Road-Jinja Road'!J19,'2.08 Kira Road-Jinja road'!J19,'1.08 Kira Road-Jinja Road-24h'!J19,'3.08 Kira Road-Jinja Road-24h'!J19,'4.08.KIIRA-JINJAROAD'!J19)</f>
        <v>3</v>
      </c>
      <c r="K19" s="49">
        <f>AVERAGE('29.07 Kira Road-Jinaj Road'!K19,'30.07 Kira Road-Jinja Road'!K19,'31.07 Kira Road-Jinja Road'!K19,'2.08 Kira Road-Jinja road'!K19,'1.08 Kira Road-Jinja Road-24h'!K19,'3.08 Kira Road-Jinja Road-24h'!K19,'4.08.KIIRA-JINJAROAD'!K19)</f>
        <v>0.42857142857142855</v>
      </c>
      <c r="L19" s="49">
        <f>AVERAGE('29.07 Kira Road-Jinaj Road'!L19,'30.07 Kira Road-Jinja Road'!L19,'31.07 Kira Road-Jinja Road'!L19,'2.08 Kira Road-Jinja road'!L19,'1.08 Kira Road-Jinja Road-24h'!L19,'3.08 Kira Road-Jinja Road-24h'!L19,'4.08.KIIRA-JINJAROAD'!L19)</f>
        <v>0</v>
      </c>
      <c r="M19" s="49">
        <f>AVERAGE('29.07 Kira Road-Jinaj Road'!M19,'30.07 Kira Road-Jinja Road'!M19,'31.07 Kira Road-Jinja Road'!M19,'2.08 Kira Road-Jinja road'!M19,'1.08 Kira Road-Jinja Road-24h'!M19,'3.08 Kira Road-Jinja Road-24h'!M19,'4.08.KIIRA-JINJAROAD'!M19)</f>
        <v>172.71428571428572</v>
      </c>
      <c r="N19" s="49">
        <f>AVERAGE('29.07 Kira Road-Jinaj Road'!N19,'30.07 Kira Road-Jinja Road'!N19,'31.07 Kira Road-Jinja Road'!N19,'2.08 Kira Road-Jinja road'!N19,'1.08 Kira Road-Jinja Road-24h'!N19,'3.08 Kira Road-Jinja Road-24h'!N19,'4.08.KIIRA-JINJAROAD'!N19)</f>
        <v>0</v>
      </c>
      <c r="O19" s="15">
        <f t="shared" si="0"/>
        <v>211.99999999999997</v>
      </c>
      <c r="P19" s="15">
        <f t="shared" si="1"/>
        <v>384.71428571428567</v>
      </c>
      <c r="R19" s="1" t="s">
        <v>15</v>
      </c>
      <c r="S19" s="17">
        <f t="shared" ref="S19:AF19" si="11">SUM(C46:C49)</f>
        <v>457</v>
      </c>
      <c r="T19" s="17">
        <f t="shared" si="11"/>
        <v>185.42857142857142</v>
      </c>
      <c r="U19" s="17">
        <f t="shared" si="11"/>
        <v>68</v>
      </c>
      <c r="V19" s="17">
        <f t="shared" si="11"/>
        <v>31</v>
      </c>
      <c r="W19" s="17">
        <f t="shared" si="11"/>
        <v>0.85714285714285698</v>
      </c>
      <c r="X19" s="17">
        <f t="shared" si="11"/>
        <v>0.14285714285714285</v>
      </c>
      <c r="Y19" s="17">
        <f t="shared" si="11"/>
        <v>25.428571428571427</v>
      </c>
      <c r="Z19" s="17">
        <f t="shared" si="11"/>
        <v>8.428571428571427</v>
      </c>
      <c r="AA19" s="17">
        <f t="shared" si="11"/>
        <v>2.1428571428571428</v>
      </c>
      <c r="AB19" s="17">
        <f t="shared" si="11"/>
        <v>0.42857142857142855</v>
      </c>
      <c r="AC19" s="17">
        <f t="shared" si="11"/>
        <v>719</v>
      </c>
      <c r="AD19" s="17">
        <f t="shared" si="11"/>
        <v>0</v>
      </c>
      <c r="AE19" s="31">
        <f t="shared" si="11"/>
        <v>778.85714285714278</v>
      </c>
      <c r="AF19" s="31">
        <f t="shared" si="11"/>
        <v>1497.8571428571429</v>
      </c>
    </row>
    <row r="20" spans="2:32" ht="23.1" customHeight="1" x14ac:dyDescent="0.25">
      <c r="B20" s="23" t="s">
        <v>47</v>
      </c>
      <c r="C20" s="49">
        <f>AVERAGE('29.07 Kira Road-Jinaj Road'!C20,'30.07 Kira Road-Jinja Road'!C20,'31.07 Kira Road-Jinja Road'!C20,'2.08 Kira Road-Jinja road'!C20,'1.08 Kira Road-Jinja Road-24h'!C20,'3.08 Kira Road-Jinja Road-24h'!C20,'4.08.KIIRA-JINJAROAD'!C20)</f>
        <v>119.71428571428571</v>
      </c>
      <c r="D20" s="49">
        <f>AVERAGE('29.07 Kira Road-Jinaj Road'!D20,'30.07 Kira Road-Jinja Road'!D20,'31.07 Kira Road-Jinja Road'!D20,'2.08 Kira Road-Jinja road'!D20,'1.08 Kira Road-Jinja Road-24h'!D20,'3.08 Kira Road-Jinja Road-24h'!D20,'4.08.KIIRA-JINJAROAD'!D20)</f>
        <v>53.142857142857146</v>
      </c>
      <c r="E20" s="49">
        <f>AVERAGE('29.07 Kira Road-Jinaj Road'!E20,'30.07 Kira Road-Jinja Road'!E20,'31.07 Kira Road-Jinja Road'!E20,'2.08 Kira Road-Jinja road'!E20,'1.08 Kira Road-Jinja Road-24h'!E20,'3.08 Kira Road-Jinja Road-24h'!E20,'4.08.KIIRA-JINJAROAD'!E20)</f>
        <v>17</v>
      </c>
      <c r="F20" s="49">
        <f>AVERAGE('29.07 Kira Road-Jinaj Road'!F20,'30.07 Kira Road-Jinja Road'!F20,'31.07 Kira Road-Jinja Road'!F20,'2.08 Kira Road-Jinja road'!F20,'1.08 Kira Road-Jinja Road-24h'!F20,'3.08 Kira Road-Jinja Road-24h'!F20,'4.08.KIIRA-JINJAROAD'!F20)</f>
        <v>5</v>
      </c>
      <c r="G20" s="49">
        <f>AVERAGE('29.07 Kira Road-Jinaj Road'!G20,'30.07 Kira Road-Jinja Road'!G20,'31.07 Kira Road-Jinja Road'!G20,'2.08 Kira Road-Jinja road'!G20,'1.08 Kira Road-Jinja Road-24h'!G20,'3.08 Kira Road-Jinja Road-24h'!G20,'4.08.KIIRA-JINJAROAD'!G20)</f>
        <v>1</v>
      </c>
      <c r="H20" s="49">
        <f>AVERAGE('29.07 Kira Road-Jinaj Road'!H20,'30.07 Kira Road-Jinja Road'!H20,'31.07 Kira Road-Jinja Road'!H20,'2.08 Kira Road-Jinja road'!H20,'1.08 Kira Road-Jinja Road-24h'!H20,'3.08 Kira Road-Jinja Road-24h'!H20,'4.08.KIIRA-JINJAROAD'!H20)</f>
        <v>0.14285714285714285</v>
      </c>
      <c r="I20" s="49">
        <f>AVERAGE('29.07 Kira Road-Jinaj Road'!I20,'30.07 Kira Road-Jinja Road'!I20,'31.07 Kira Road-Jinja Road'!I20,'2.08 Kira Road-Jinja road'!I20,'1.08 Kira Road-Jinja Road-24h'!I20,'3.08 Kira Road-Jinja Road-24h'!I20,'4.08.KIIRA-JINJAROAD'!I20)</f>
        <v>6</v>
      </c>
      <c r="J20" s="49">
        <f>AVERAGE('29.07 Kira Road-Jinaj Road'!J20,'30.07 Kira Road-Jinja Road'!J20,'31.07 Kira Road-Jinja Road'!J20,'2.08 Kira Road-Jinja road'!J20,'1.08 Kira Road-Jinja Road-24h'!J20,'3.08 Kira Road-Jinja Road-24h'!J20,'4.08.KIIRA-JINJAROAD'!J20)</f>
        <v>1.7142857142857142</v>
      </c>
      <c r="K20" s="49">
        <f>AVERAGE('29.07 Kira Road-Jinaj Road'!K20,'30.07 Kira Road-Jinja Road'!K20,'31.07 Kira Road-Jinja Road'!K20,'2.08 Kira Road-Jinja road'!K20,'1.08 Kira Road-Jinja Road-24h'!K20,'3.08 Kira Road-Jinja Road-24h'!K20,'4.08.KIIRA-JINJAROAD'!K20)</f>
        <v>1.2857142857142858</v>
      </c>
      <c r="L20" s="49">
        <f>AVERAGE('29.07 Kira Road-Jinaj Road'!L20,'30.07 Kira Road-Jinja Road'!L20,'31.07 Kira Road-Jinja Road'!L20,'2.08 Kira Road-Jinja road'!L20,'1.08 Kira Road-Jinja Road-24h'!L20,'3.08 Kira Road-Jinja Road-24h'!L20,'4.08.KIIRA-JINJAROAD'!L20)</f>
        <v>0.42857142857142855</v>
      </c>
      <c r="M20" s="49">
        <f>AVERAGE('29.07 Kira Road-Jinaj Road'!M20,'30.07 Kira Road-Jinja Road'!M20,'31.07 Kira Road-Jinja Road'!M20,'2.08 Kira Road-Jinja road'!M20,'1.08 Kira Road-Jinja Road-24h'!M20,'3.08 Kira Road-Jinja Road-24h'!M20,'4.08.KIIRA-JINJAROAD'!M20)</f>
        <v>161.42857142857142</v>
      </c>
      <c r="N20" s="49">
        <f>AVERAGE('29.07 Kira Road-Jinaj Road'!N20,'30.07 Kira Road-Jinja Road'!N20,'31.07 Kira Road-Jinja Road'!N20,'2.08 Kira Road-Jinja road'!N20,'1.08 Kira Road-Jinja Road-24h'!N20,'3.08 Kira Road-Jinja Road-24h'!N20,'4.08.KIIRA-JINJAROAD'!N20)</f>
        <v>0</v>
      </c>
      <c r="O20" s="15">
        <f t="shared" si="0"/>
        <v>205.42857142857142</v>
      </c>
      <c r="P20" s="15">
        <f t="shared" si="1"/>
        <v>366.85714285714283</v>
      </c>
      <c r="R20" s="1" t="s">
        <v>16</v>
      </c>
      <c r="S20" s="17">
        <f t="shared" ref="S20:AF20" si="12">SUM(C50:C53)</f>
        <v>1745.1428571428573</v>
      </c>
      <c r="T20" s="17">
        <f t="shared" si="12"/>
        <v>202.14285714285714</v>
      </c>
      <c r="U20" s="17">
        <f t="shared" si="12"/>
        <v>69.142857142857139</v>
      </c>
      <c r="V20" s="17">
        <f t="shared" si="12"/>
        <v>28.571428571428569</v>
      </c>
      <c r="W20" s="17">
        <f t="shared" si="12"/>
        <v>0.8571428571428571</v>
      </c>
      <c r="X20" s="17">
        <f t="shared" si="12"/>
        <v>0.14285714285714285</v>
      </c>
      <c r="Y20" s="17">
        <f t="shared" si="12"/>
        <v>19</v>
      </c>
      <c r="Z20" s="17">
        <f t="shared" si="12"/>
        <v>6.5714285714285712</v>
      </c>
      <c r="AA20" s="17">
        <f t="shared" si="12"/>
        <v>1.7142857142857142</v>
      </c>
      <c r="AB20" s="17">
        <f t="shared" si="12"/>
        <v>0.2857142857142857</v>
      </c>
      <c r="AC20" s="17">
        <f t="shared" si="12"/>
        <v>755</v>
      </c>
      <c r="AD20" s="17">
        <f t="shared" si="12"/>
        <v>0</v>
      </c>
      <c r="AE20" s="31">
        <f t="shared" si="12"/>
        <v>2073.5714285714284</v>
      </c>
      <c r="AF20" s="31">
        <f t="shared" si="12"/>
        <v>2828.5714285714284</v>
      </c>
    </row>
    <row r="21" spans="2:32" ht="23.1" customHeight="1" x14ac:dyDescent="0.25">
      <c r="B21" s="23" t="s">
        <v>48</v>
      </c>
      <c r="C21" s="49">
        <f>AVERAGE('29.07 Kira Road-Jinaj Road'!C21,'30.07 Kira Road-Jinja Road'!C21,'31.07 Kira Road-Jinja Road'!C21,'2.08 Kira Road-Jinja road'!C21,'1.08 Kira Road-Jinja Road-24h'!C21,'3.08 Kira Road-Jinja Road-24h'!C21,'4.08.KIIRA-JINJAROAD'!C21)</f>
        <v>120.42857142857143</v>
      </c>
      <c r="D21" s="49">
        <f>AVERAGE('29.07 Kira Road-Jinaj Road'!D21,'30.07 Kira Road-Jinja Road'!D21,'31.07 Kira Road-Jinja Road'!D21,'2.08 Kira Road-Jinja road'!D21,'1.08 Kira Road-Jinja Road-24h'!D21,'3.08 Kira Road-Jinja Road-24h'!D21,'4.08.KIIRA-JINJAROAD'!D21)</f>
        <v>41.571428571428569</v>
      </c>
      <c r="E21" s="49">
        <f>AVERAGE('29.07 Kira Road-Jinaj Road'!E21,'30.07 Kira Road-Jinja Road'!E21,'31.07 Kira Road-Jinja Road'!E21,'2.08 Kira Road-Jinja road'!E21,'1.08 Kira Road-Jinja Road-24h'!E21,'3.08 Kira Road-Jinja Road-24h'!E21,'4.08.KIIRA-JINJAROAD'!E21)</f>
        <v>21.714285714285715</v>
      </c>
      <c r="F21" s="49">
        <f>AVERAGE('29.07 Kira Road-Jinaj Road'!F21,'30.07 Kira Road-Jinja Road'!F21,'31.07 Kira Road-Jinja Road'!F21,'2.08 Kira Road-Jinja road'!F21,'1.08 Kira Road-Jinja Road-24h'!F21,'3.08 Kira Road-Jinja Road-24h'!F21,'4.08.KIIRA-JINJAROAD'!F21)</f>
        <v>4.4285714285714288</v>
      </c>
      <c r="G21" s="49">
        <f>AVERAGE('29.07 Kira Road-Jinaj Road'!G21,'30.07 Kira Road-Jinja Road'!G21,'31.07 Kira Road-Jinja Road'!G21,'2.08 Kira Road-Jinja road'!G21,'1.08 Kira Road-Jinja Road-24h'!G21,'3.08 Kira Road-Jinja Road-24h'!G21,'4.08.KIIRA-JINJAROAD'!G21)</f>
        <v>0.14285714285714285</v>
      </c>
      <c r="H21" s="49">
        <f>AVERAGE('29.07 Kira Road-Jinaj Road'!H21,'30.07 Kira Road-Jinja Road'!H21,'31.07 Kira Road-Jinja Road'!H21,'2.08 Kira Road-Jinja road'!H21,'1.08 Kira Road-Jinja Road-24h'!H21,'3.08 Kira Road-Jinja Road-24h'!H21,'4.08.KIIRA-JINJAROAD'!H21)</f>
        <v>0</v>
      </c>
      <c r="I21" s="49">
        <f>AVERAGE('29.07 Kira Road-Jinaj Road'!I21,'30.07 Kira Road-Jinja Road'!I21,'31.07 Kira Road-Jinja Road'!I21,'2.08 Kira Road-Jinja road'!I21,'1.08 Kira Road-Jinja Road-24h'!I21,'3.08 Kira Road-Jinja Road-24h'!I21,'4.08.KIIRA-JINJAROAD'!I21)</f>
        <v>5.4285714285714288</v>
      </c>
      <c r="J21" s="49">
        <f>AVERAGE('29.07 Kira Road-Jinaj Road'!J21,'30.07 Kira Road-Jinja Road'!J21,'31.07 Kira Road-Jinja Road'!J21,'2.08 Kira Road-Jinja road'!J21,'1.08 Kira Road-Jinja Road-24h'!J21,'3.08 Kira Road-Jinja Road-24h'!J21,'4.08.KIIRA-JINJAROAD'!J21)</f>
        <v>2</v>
      </c>
      <c r="K21" s="49">
        <f>AVERAGE('29.07 Kira Road-Jinaj Road'!K21,'30.07 Kira Road-Jinja Road'!K21,'31.07 Kira Road-Jinja Road'!K21,'2.08 Kira Road-Jinja road'!K21,'1.08 Kira Road-Jinja Road-24h'!K21,'3.08 Kira Road-Jinja Road-24h'!K21,'4.08.KIIRA-JINJAROAD'!K21)</f>
        <v>0.42857142857142855</v>
      </c>
      <c r="L21" s="49">
        <f>AVERAGE('29.07 Kira Road-Jinaj Road'!L21,'30.07 Kira Road-Jinja Road'!L21,'31.07 Kira Road-Jinja Road'!L21,'2.08 Kira Road-Jinja road'!L21,'1.08 Kira Road-Jinja Road-24h'!L21,'3.08 Kira Road-Jinja Road-24h'!L21,'4.08.KIIRA-JINJAROAD'!L21)</f>
        <v>0.42857142857142855</v>
      </c>
      <c r="M21" s="49">
        <f>AVERAGE('29.07 Kira Road-Jinaj Road'!M21,'30.07 Kira Road-Jinja Road'!M21,'31.07 Kira Road-Jinja Road'!M21,'2.08 Kira Road-Jinja road'!M21,'1.08 Kira Road-Jinja Road-24h'!M21,'3.08 Kira Road-Jinja Road-24h'!M21,'4.08.KIIRA-JINJAROAD'!M21)</f>
        <v>166.85714285714286</v>
      </c>
      <c r="N21" s="49">
        <f>AVERAGE('29.07 Kira Road-Jinaj Road'!N21,'30.07 Kira Road-Jinja Road'!N21,'31.07 Kira Road-Jinja Road'!N21,'2.08 Kira Road-Jinja road'!N21,'1.08 Kira Road-Jinja Road-24h'!N21,'3.08 Kira Road-Jinja Road-24h'!N21,'4.08.KIIRA-JINJAROAD'!N21)</f>
        <v>0</v>
      </c>
      <c r="O21" s="15">
        <f t="shared" si="0"/>
        <v>196.57142857142853</v>
      </c>
      <c r="P21" s="15">
        <f t="shared" si="1"/>
        <v>363.42857142857139</v>
      </c>
      <c r="R21" s="36" t="s">
        <v>20</v>
      </c>
      <c r="S21" s="34">
        <f t="shared" ref="S21:AF21" si="13">SUM(C54:C57)</f>
        <v>455.28571428571428</v>
      </c>
      <c r="T21" s="17">
        <f t="shared" si="13"/>
        <v>171.14285714285714</v>
      </c>
      <c r="U21" s="17">
        <f t="shared" si="13"/>
        <v>55.857142857142854</v>
      </c>
      <c r="V21" s="17">
        <f t="shared" si="13"/>
        <v>23.285714285714285</v>
      </c>
      <c r="W21" s="17">
        <f t="shared" si="13"/>
        <v>0.71428571428571419</v>
      </c>
      <c r="X21" s="17">
        <f t="shared" si="13"/>
        <v>0.5714285714285714</v>
      </c>
      <c r="Y21" s="17">
        <f t="shared" si="13"/>
        <v>14.571428571428573</v>
      </c>
      <c r="Z21" s="17">
        <f t="shared" si="13"/>
        <v>5.4285714285714288</v>
      </c>
      <c r="AA21" s="17">
        <f t="shared" si="13"/>
        <v>1.7142857142857144</v>
      </c>
      <c r="AB21" s="17">
        <f t="shared" si="13"/>
        <v>0.71428571428571419</v>
      </c>
      <c r="AC21" s="17">
        <f t="shared" si="13"/>
        <v>674.42857142857144</v>
      </c>
      <c r="AD21" s="17">
        <f t="shared" si="13"/>
        <v>61.857142857142854</v>
      </c>
      <c r="AE21" s="31">
        <f t="shared" si="13"/>
        <v>791.14285714285711</v>
      </c>
      <c r="AF21" s="31">
        <f t="shared" si="13"/>
        <v>1465.5714285714284</v>
      </c>
    </row>
    <row r="22" spans="2:32" ht="23.1" customHeight="1" x14ac:dyDescent="0.25">
      <c r="B22" s="23" t="s">
        <v>49</v>
      </c>
      <c r="C22" s="49">
        <f>AVERAGE('29.07 Kira Road-Jinaj Road'!C22,'30.07 Kira Road-Jinja Road'!C22,'31.07 Kira Road-Jinja Road'!C22,'2.08 Kira Road-Jinja road'!C22,'1.08 Kira Road-Jinja Road-24h'!C22,'3.08 Kira Road-Jinja Road-24h'!C22,'4.08.KIIRA-JINJAROAD'!C22)</f>
        <v>130.14285714285714</v>
      </c>
      <c r="D22" s="49">
        <f>AVERAGE('29.07 Kira Road-Jinaj Road'!D22,'30.07 Kira Road-Jinja Road'!D22,'31.07 Kira Road-Jinja Road'!D22,'2.08 Kira Road-Jinja road'!D22,'1.08 Kira Road-Jinja Road-24h'!D22,'3.08 Kira Road-Jinja Road-24h'!D22,'4.08.KIIRA-JINJAROAD'!D22)</f>
        <v>54.142857142857146</v>
      </c>
      <c r="E22" s="49">
        <f>AVERAGE('29.07 Kira Road-Jinaj Road'!E22,'30.07 Kira Road-Jinja Road'!E22,'31.07 Kira Road-Jinja Road'!E22,'2.08 Kira Road-Jinja road'!E22,'1.08 Kira Road-Jinja Road-24h'!E22,'3.08 Kira Road-Jinja Road-24h'!E22,'4.08.KIIRA-JINJAROAD'!E22)</f>
        <v>32.142857142857146</v>
      </c>
      <c r="F22" s="49">
        <f>AVERAGE('29.07 Kira Road-Jinaj Road'!F22,'30.07 Kira Road-Jinja Road'!F22,'31.07 Kira Road-Jinja Road'!F22,'2.08 Kira Road-Jinja road'!F22,'1.08 Kira Road-Jinja Road-24h'!F22,'3.08 Kira Road-Jinja Road-24h'!F22,'4.08.KIIRA-JINJAROAD'!F22)</f>
        <v>13.142857142857142</v>
      </c>
      <c r="G22" s="49">
        <f>AVERAGE('29.07 Kira Road-Jinaj Road'!G22,'30.07 Kira Road-Jinja Road'!G22,'31.07 Kira Road-Jinja Road'!G22,'2.08 Kira Road-Jinja road'!G22,'1.08 Kira Road-Jinja Road-24h'!G22,'3.08 Kira Road-Jinja Road-24h'!G22,'4.08.KIIRA-JINJAROAD'!G22)</f>
        <v>0.14285714285714285</v>
      </c>
      <c r="H22" s="49">
        <f>AVERAGE('29.07 Kira Road-Jinaj Road'!H22,'30.07 Kira Road-Jinja Road'!H22,'31.07 Kira Road-Jinja Road'!H22,'2.08 Kira Road-Jinja road'!H22,'1.08 Kira Road-Jinja Road-24h'!H22,'3.08 Kira Road-Jinja Road-24h'!H22,'4.08.KIIRA-JINJAROAD'!H22)</f>
        <v>0.14285714285714285</v>
      </c>
      <c r="I22" s="49">
        <f>AVERAGE('29.07 Kira Road-Jinaj Road'!I22,'30.07 Kira Road-Jinja Road'!I22,'31.07 Kira Road-Jinja Road'!I22,'2.08 Kira Road-Jinja road'!I22,'1.08 Kira Road-Jinja Road-24h'!I22,'3.08 Kira Road-Jinja Road-24h'!I22,'4.08.KIIRA-JINJAROAD'!I22)</f>
        <v>6.5714285714285712</v>
      </c>
      <c r="J22" s="49">
        <f>AVERAGE('29.07 Kira Road-Jinaj Road'!J22,'30.07 Kira Road-Jinja Road'!J22,'31.07 Kira Road-Jinja Road'!J22,'2.08 Kira Road-Jinja road'!J22,'1.08 Kira Road-Jinja Road-24h'!J22,'3.08 Kira Road-Jinja Road-24h'!J22,'4.08.KIIRA-JINJAROAD'!J22)</f>
        <v>2.1428571428571428</v>
      </c>
      <c r="K22" s="49">
        <f>AVERAGE('29.07 Kira Road-Jinaj Road'!K22,'30.07 Kira Road-Jinja Road'!K22,'31.07 Kira Road-Jinja Road'!K22,'2.08 Kira Road-Jinja road'!K22,'1.08 Kira Road-Jinja Road-24h'!K22,'3.08 Kira Road-Jinja Road-24h'!K22,'4.08.KIIRA-JINJAROAD'!K22)</f>
        <v>0.5714285714285714</v>
      </c>
      <c r="L22" s="49">
        <f>AVERAGE('29.07 Kira Road-Jinaj Road'!L22,'30.07 Kira Road-Jinja Road'!L22,'31.07 Kira Road-Jinja Road'!L22,'2.08 Kira Road-Jinja road'!L22,'1.08 Kira Road-Jinja Road-24h'!L22,'3.08 Kira Road-Jinja Road-24h'!L22,'4.08.KIIRA-JINJAROAD'!L22)</f>
        <v>0.2857142857142857</v>
      </c>
      <c r="M22" s="49">
        <f>AVERAGE('29.07 Kira Road-Jinaj Road'!M22,'30.07 Kira Road-Jinja Road'!M22,'31.07 Kira Road-Jinja Road'!M22,'2.08 Kira Road-Jinja road'!M22,'1.08 Kira Road-Jinja Road-24h'!M22,'3.08 Kira Road-Jinja Road-24h'!M22,'4.08.KIIRA-JINJAROAD'!M22)</f>
        <v>171.42857142857142</v>
      </c>
      <c r="N22" s="49">
        <f>AVERAGE('29.07 Kira Road-Jinaj Road'!N22,'30.07 Kira Road-Jinja Road'!N22,'31.07 Kira Road-Jinja Road'!N22,'2.08 Kira Road-Jinja road'!N22,'1.08 Kira Road-Jinja Road-24h'!N22,'3.08 Kira Road-Jinja Road-24h'!N22,'4.08.KIIRA-JINJAROAD'!N22)</f>
        <v>0</v>
      </c>
      <c r="O22" s="15">
        <f t="shared" si="0"/>
        <v>239.42857142857142</v>
      </c>
      <c r="P22" s="15">
        <f t="shared" si="1"/>
        <v>410.85714285714283</v>
      </c>
      <c r="R22" s="1" t="s">
        <v>146</v>
      </c>
      <c r="S22" s="34">
        <f>SUM(C58:C61)</f>
        <v>418</v>
      </c>
      <c r="T22" s="34">
        <f t="shared" ref="T22:AF22" si="14">SUM(D58:D61)</f>
        <v>149</v>
      </c>
      <c r="U22" s="34">
        <f t="shared" si="14"/>
        <v>34</v>
      </c>
      <c r="V22" s="34">
        <f t="shared" si="14"/>
        <v>21.5</v>
      </c>
      <c r="W22" s="34">
        <f t="shared" si="14"/>
        <v>0.5</v>
      </c>
      <c r="X22" s="34">
        <f t="shared" si="14"/>
        <v>0</v>
      </c>
      <c r="Y22" s="34">
        <f t="shared" si="14"/>
        <v>8</v>
      </c>
      <c r="Z22" s="34">
        <f t="shared" si="14"/>
        <v>3.5</v>
      </c>
      <c r="AA22" s="34">
        <f t="shared" si="14"/>
        <v>2.5</v>
      </c>
      <c r="AB22" s="34">
        <f t="shared" si="14"/>
        <v>1</v>
      </c>
      <c r="AC22" s="34">
        <f t="shared" si="14"/>
        <v>670</v>
      </c>
      <c r="AD22" s="34">
        <f t="shared" si="14"/>
        <v>0</v>
      </c>
      <c r="AE22" s="31">
        <f t="shared" si="14"/>
        <v>638</v>
      </c>
      <c r="AF22" s="31">
        <f t="shared" si="14"/>
        <v>1308</v>
      </c>
    </row>
    <row r="23" spans="2:32" ht="23.1" customHeight="1" x14ac:dyDescent="0.25">
      <c r="B23" s="23" t="s">
        <v>50</v>
      </c>
      <c r="C23" s="49">
        <f>AVERAGE('29.07 Kira Road-Jinaj Road'!C23,'30.07 Kira Road-Jinja Road'!C23,'31.07 Kira Road-Jinja Road'!C23,'2.08 Kira Road-Jinja road'!C23,'1.08 Kira Road-Jinja Road-24h'!C23,'3.08 Kira Road-Jinja Road-24h'!C23,'4.08.KIIRA-JINJAROAD'!C23)</f>
        <v>119.28571428571429</v>
      </c>
      <c r="D23" s="49">
        <f>AVERAGE('29.07 Kira Road-Jinaj Road'!D23,'30.07 Kira Road-Jinja Road'!D23,'31.07 Kira Road-Jinja Road'!D23,'2.08 Kira Road-Jinja road'!D23,'1.08 Kira Road-Jinja Road-24h'!D23,'3.08 Kira Road-Jinja Road-24h'!D23,'4.08.KIIRA-JINJAROAD'!D23)</f>
        <v>60.285714285714285</v>
      </c>
      <c r="E23" s="49">
        <f>AVERAGE('29.07 Kira Road-Jinaj Road'!E23,'30.07 Kira Road-Jinja Road'!E23,'31.07 Kira Road-Jinja Road'!E23,'2.08 Kira Road-Jinja road'!E23,'1.08 Kira Road-Jinja Road-24h'!E23,'3.08 Kira Road-Jinja Road-24h'!E23,'4.08.KIIRA-JINJAROAD'!E23)</f>
        <v>18.714285714285715</v>
      </c>
      <c r="F23" s="49">
        <f>AVERAGE('29.07 Kira Road-Jinaj Road'!F23,'30.07 Kira Road-Jinja Road'!F23,'31.07 Kira Road-Jinja Road'!F23,'2.08 Kira Road-Jinja road'!F23,'1.08 Kira Road-Jinja Road-24h'!F23,'3.08 Kira Road-Jinja Road-24h'!F23,'4.08.KIIRA-JINJAROAD'!F23)</f>
        <v>5.5714285714285712</v>
      </c>
      <c r="G23" s="49">
        <f>AVERAGE('29.07 Kira Road-Jinaj Road'!G23,'30.07 Kira Road-Jinja Road'!G23,'31.07 Kira Road-Jinja Road'!G23,'2.08 Kira Road-Jinja road'!G23,'1.08 Kira Road-Jinja Road-24h'!G23,'3.08 Kira Road-Jinja Road-24h'!G23,'4.08.KIIRA-JINJAROAD'!G23)</f>
        <v>0.42857142857142855</v>
      </c>
      <c r="H23" s="49">
        <f>AVERAGE('29.07 Kira Road-Jinaj Road'!H23,'30.07 Kira Road-Jinja Road'!H23,'31.07 Kira Road-Jinja Road'!H23,'2.08 Kira Road-Jinja road'!H23,'1.08 Kira Road-Jinja Road-24h'!H23,'3.08 Kira Road-Jinja Road-24h'!H23,'4.08.KIIRA-JINJAROAD'!H23)</f>
        <v>0</v>
      </c>
      <c r="I23" s="49">
        <f>AVERAGE('29.07 Kira Road-Jinaj Road'!I23,'30.07 Kira Road-Jinja Road'!I23,'31.07 Kira Road-Jinja Road'!I23,'2.08 Kira Road-Jinja road'!I23,'1.08 Kira Road-Jinja Road-24h'!I23,'3.08 Kira Road-Jinja Road-24h'!I23,'4.08.KIIRA-JINJAROAD'!I23)</f>
        <v>4.4285714285714288</v>
      </c>
      <c r="J23" s="49">
        <f>AVERAGE('29.07 Kira Road-Jinaj Road'!J23,'30.07 Kira Road-Jinja Road'!J23,'31.07 Kira Road-Jinja Road'!J23,'2.08 Kira Road-Jinja road'!J23,'1.08 Kira Road-Jinja Road-24h'!J23,'3.08 Kira Road-Jinja Road-24h'!J23,'4.08.KIIRA-JINJAROAD'!J23)</f>
        <v>2.4285714285714284</v>
      </c>
      <c r="K23" s="49">
        <f>AVERAGE('29.07 Kira Road-Jinaj Road'!K23,'30.07 Kira Road-Jinja Road'!K23,'31.07 Kira Road-Jinja Road'!K23,'2.08 Kira Road-Jinja road'!K23,'1.08 Kira Road-Jinja Road-24h'!K23,'3.08 Kira Road-Jinja Road-24h'!K23,'4.08.KIIRA-JINJAROAD'!K23)</f>
        <v>0.7142857142857143</v>
      </c>
      <c r="L23" s="49">
        <f>AVERAGE('29.07 Kira Road-Jinaj Road'!L23,'30.07 Kira Road-Jinja Road'!L23,'31.07 Kira Road-Jinja Road'!L23,'2.08 Kira Road-Jinja road'!L23,'1.08 Kira Road-Jinja Road-24h'!L23,'3.08 Kira Road-Jinja Road-24h'!L23,'4.08.KIIRA-JINJAROAD'!L23)</f>
        <v>0.14285714285714285</v>
      </c>
      <c r="M23" s="49">
        <f>AVERAGE('29.07 Kira Road-Jinaj Road'!M23,'30.07 Kira Road-Jinja Road'!M23,'31.07 Kira Road-Jinja Road'!M23,'2.08 Kira Road-Jinja road'!M23,'1.08 Kira Road-Jinja Road-24h'!M23,'3.08 Kira Road-Jinja Road-24h'!M23,'4.08.KIIRA-JINJAROAD'!M23)</f>
        <v>164.85714285714286</v>
      </c>
      <c r="N23" s="49">
        <f>AVERAGE('29.07 Kira Road-Jinaj Road'!N23,'30.07 Kira Road-Jinja Road'!N23,'31.07 Kira Road-Jinja Road'!N23,'2.08 Kira Road-Jinja road'!N23,'1.08 Kira Road-Jinja Road-24h'!N23,'3.08 Kira Road-Jinja Road-24h'!N23,'4.08.KIIRA-JINJAROAD'!N23)</f>
        <v>0</v>
      </c>
      <c r="O23" s="15">
        <f t="shared" si="0"/>
        <v>212</v>
      </c>
      <c r="P23" s="15">
        <f t="shared" si="1"/>
        <v>376.85714285714289</v>
      </c>
      <c r="R23" s="1" t="s">
        <v>147</v>
      </c>
      <c r="S23" s="34">
        <f>SUM(C62:C65)</f>
        <v>474</v>
      </c>
      <c r="T23" s="34">
        <f t="shared" ref="T23:AF23" si="15">SUM(D62:D65)</f>
        <v>138</v>
      </c>
      <c r="U23" s="34">
        <f t="shared" si="15"/>
        <v>45</v>
      </c>
      <c r="V23" s="34">
        <f t="shared" si="15"/>
        <v>17.5</v>
      </c>
      <c r="W23" s="34">
        <f t="shared" si="15"/>
        <v>0.5</v>
      </c>
      <c r="X23" s="34">
        <f t="shared" si="15"/>
        <v>0</v>
      </c>
      <c r="Y23" s="34">
        <f t="shared" si="15"/>
        <v>6.5</v>
      </c>
      <c r="Z23" s="34">
        <f t="shared" si="15"/>
        <v>2</v>
      </c>
      <c r="AA23" s="34">
        <f t="shared" si="15"/>
        <v>2.5</v>
      </c>
      <c r="AB23" s="34">
        <f t="shared" si="15"/>
        <v>0.5</v>
      </c>
      <c r="AC23" s="34">
        <f t="shared" si="15"/>
        <v>545.5</v>
      </c>
      <c r="AD23" s="34">
        <f t="shared" si="15"/>
        <v>0</v>
      </c>
      <c r="AE23" s="31">
        <f t="shared" si="15"/>
        <v>686.5</v>
      </c>
      <c r="AF23" s="31">
        <f t="shared" si="15"/>
        <v>1232</v>
      </c>
    </row>
    <row r="24" spans="2:32" ht="23.1" customHeight="1" x14ac:dyDescent="0.25">
      <c r="B24" s="23" t="s">
        <v>51</v>
      </c>
      <c r="C24" s="49">
        <f>AVERAGE('29.07 Kira Road-Jinaj Road'!C24,'30.07 Kira Road-Jinja Road'!C24,'31.07 Kira Road-Jinja Road'!C24,'2.08 Kira Road-Jinja road'!C24,'1.08 Kira Road-Jinja Road-24h'!C24,'3.08 Kira Road-Jinja Road-24h'!C24,'4.08.KIIRA-JINJAROAD'!C24)</f>
        <v>110.14285714285714</v>
      </c>
      <c r="D24" s="49">
        <f>AVERAGE('29.07 Kira Road-Jinaj Road'!D24,'30.07 Kira Road-Jinja Road'!D24,'31.07 Kira Road-Jinja Road'!D24,'2.08 Kira Road-Jinja road'!D24,'1.08 Kira Road-Jinja Road-24h'!D24,'3.08 Kira Road-Jinja Road-24h'!D24,'4.08.KIIRA-JINJAROAD'!D24)</f>
        <v>49.285714285714285</v>
      </c>
      <c r="E24" s="49">
        <f>AVERAGE('29.07 Kira Road-Jinaj Road'!E24,'30.07 Kira Road-Jinja Road'!E24,'31.07 Kira Road-Jinja Road'!E24,'2.08 Kira Road-Jinja road'!E24,'1.08 Kira Road-Jinja Road-24h'!E24,'3.08 Kira Road-Jinja Road-24h'!E24,'4.08.KIIRA-JINJAROAD'!E24)</f>
        <v>19.285714285714285</v>
      </c>
      <c r="F24" s="49">
        <f>AVERAGE('29.07 Kira Road-Jinaj Road'!F24,'30.07 Kira Road-Jinja Road'!F24,'31.07 Kira Road-Jinja Road'!F24,'2.08 Kira Road-Jinja road'!F24,'1.08 Kira Road-Jinja Road-24h'!F24,'3.08 Kira Road-Jinja Road-24h'!F24,'4.08.KIIRA-JINJAROAD'!F24)</f>
        <v>6.1428571428571432</v>
      </c>
      <c r="G24" s="49">
        <f>AVERAGE('29.07 Kira Road-Jinaj Road'!G24,'30.07 Kira Road-Jinja Road'!G24,'31.07 Kira Road-Jinja Road'!G24,'2.08 Kira Road-Jinja road'!G24,'1.08 Kira Road-Jinja Road-24h'!G24,'3.08 Kira Road-Jinja Road-24h'!G24,'4.08.KIIRA-JINJAROAD'!G24)</f>
        <v>0.42857142857142855</v>
      </c>
      <c r="H24" s="49">
        <f>AVERAGE('29.07 Kira Road-Jinaj Road'!H24,'30.07 Kira Road-Jinja Road'!H24,'31.07 Kira Road-Jinja Road'!H24,'2.08 Kira Road-Jinja road'!H24,'1.08 Kira Road-Jinja Road-24h'!H24,'3.08 Kira Road-Jinja Road-24h'!H24,'4.08.KIIRA-JINJAROAD'!H24)</f>
        <v>0</v>
      </c>
      <c r="I24" s="49">
        <f>AVERAGE('29.07 Kira Road-Jinaj Road'!I24,'30.07 Kira Road-Jinja Road'!I24,'31.07 Kira Road-Jinja Road'!I24,'2.08 Kira Road-Jinja road'!I24,'1.08 Kira Road-Jinja Road-24h'!I24,'3.08 Kira Road-Jinja Road-24h'!I24,'4.08.KIIRA-JINJAROAD'!I24)</f>
        <v>6.4285714285714288</v>
      </c>
      <c r="J24" s="49">
        <f>AVERAGE('29.07 Kira Road-Jinaj Road'!J24,'30.07 Kira Road-Jinja Road'!J24,'31.07 Kira Road-Jinja Road'!J24,'2.08 Kira Road-Jinja road'!J24,'1.08 Kira Road-Jinja Road-24h'!J24,'3.08 Kira Road-Jinja Road-24h'!J24,'4.08.KIIRA-JINJAROAD'!J24)</f>
        <v>2</v>
      </c>
      <c r="K24" s="49">
        <f>AVERAGE('29.07 Kira Road-Jinaj Road'!K24,'30.07 Kira Road-Jinja Road'!K24,'31.07 Kira Road-Jinja Road'!K24,'2.08 Kira Road-Jinja road'!K24,'1.08 Kira Road-Jinja Road-24h'!K24,'3.08 Kira Road-Jinja Road-24h'!K24,'4.08.KIIRA-JINJAROAD'!K24)</f>
        <v>0.7142857142857143</v>
      </c>
      <c r="L24" s="49">
        <f>AVERAGE('29.07 Kira Road-Jinaj Road'!L24,'30.07 Kira Road-Jinja Road'!L24,'31.07 Kira Road-Jinja Road'!L24,'2.08 Kira Road-Jinja road'!L24,'1.08 Kira Road-Jinja Road-24h'!L24,'3.08 Kira Road-Jinja Road-24h'!L24,'4.08.KIIRA-JINJAROAD'!L24)</f>
        <v>0.42857142857142855</v>
      </c>
      <c r="M24" s="49">
        <f>AVERAGE('29.07 Kira Road-Jinaj Road'!M24,'30.07 Kira Road-Jinja Road'!M24,'31.07 Kira Road-Jinja Road'!M24,'2.08 Kira Road-Jinja road'!M24,'1.08 Kira Road-Jinja Road-24h'!M24,'3.08 Kira Road-Jinja Road-24h'!M24,'4.08.KIIRA-JINJAROAD'!M24)</f>
        <v>153.28571428571428</v>
      </c>
      <c r="N24" s="49">
        <f>AVERAGE('29.07 Kira Road-Jinaj Road'!N24,'30.07 Kira Road-Jinja Road'!N24,'31.07 Kira Road-Jinja Road'!N24,'2.08 Kira Road-Jinja road'!N24,'1.08 Kira Road-Jinja Road-24h'!N24,'3.08 Kira Road-Jinja Road-24h'!N24,'4.08.KIIRA-JINJAROAD'!N24)</f>
        <v>0</v>
      </c>
      <c r="O24" s="15">
        <f t="shared" si="0"/>
        <v>194.8571428571428</v>
      </c>
      <c r="P24" s="15">
        <f t="shared" si="1"/>
        <v>348.14285714285711</v>
      </c>
      <c r="R24" s="1" t="s">
        <v>148</v>
      </c>
      <c r="S24" s="34">
        <f>SUM(C66:C69)</f>
        <v>353</v>
      </c>
      <c r="T24" s="34">
        <f t="shared" ref="T24:AF24" si="16">SUM(D66:D69)</f>
        <v>129.5</v>
      </c>
      <c r="U24" s="34">
        <f t="shared" si="16"/>
        <v>35</v>
      </c>
      <c r="V24" s="34">
        <f t="shared" si="16"/>
        <v>13.5</v>
      </c>
      <c r="W24" s="34">
        <f t="shared" si="16"/>
        <v>2</v>
      </c>
      <c r="X24" s="34">
        <f t="shared" si="16"/>
        <v>0</v>
      </c>
      <c r="Y24" s="34">
        <f t="shared" si="16"/>
        <v>6.5</v>
      </c>
      <c r="Z24" s="34">
        <f t="shared" si="16"/>
        <v>2</v>
      </c>
      <c r="AA24" s="34">
        <f t="shared" si="16"/>
        <v>2</v>
      </c>
      <c r="AB24" s="34">
        <f t="shared" si="16"/>
        <v>0.5</v>
      </c>
      <c r="AC24" s="34">
        <f t="shared" si="16"/>
        <v>329</v>
      </c>
      <c r="AD24" s="34">
        <f t="shared" si="16"/>
        <v>0</v>
      </c>
      <c r="AE24" s="31">
        <f t="shared" si="16"/>
        <v>544</v>
      </c>
      <c r="AF24" s="31">
        <f t="shared" si="16"/>
        <v>873</v>
      </c>
    </row>
    <row r="25" spans="2:32" ht="23.1" customHeight="1" x14ac:dyDescent="0.25">
      <c r="B25" s="23" t="s">
        <v>52</v>
      </c>
      <c r="C25" s="49">
        <f>AVERAGE('29.07 Kira Road-Jinaj Road'!C25,'30.07 Kira Road-Jinja Road'!C25,'31.07 Kira Road-Jinja Road'!C25,'2.08 Kira Road-Jinja road'!C25,'1.08 Kira Road-Jinja Road-24h'!C25,'3.08 Kira Road-Jinja Road-24h'!C25,'4.08.KIIRA-JINJAROAD'!C25)</f>
        <v>98.428571428571431</v>
      </c>
      <c r="D25" s="49">
        <f>AVERAGE('29.07 Kira Road-Jinaj Road'!D25,'30.07 Kira Road-Jinja Road'!D25,'31.07 Kira Road-Jinja Road'!D25,'2.08 Kira Road-Jinja road'!D25,'1.08 Kira Road-Jinja Road-24h'!D25,'3.08 Kira Road-Jinja Road-24h'!D25,'4.08.KIIRA-JINJAROAD'!D25)</f>
        <v>43.857142857142854</v>
      </c>
      <c r="E25" s="49">
        <f>AVERAGE('29.07 Kira Road-Jinaj Road'!E25,'30.07 Kira Road-Jinja Road'!E25,'31.07 Kira Road-Jinja Road'!E25,'2.08 Kira Road-Jinja road'!E25,'1.08 Kira Road-Jinja Road-24h'!E25,'3.08 Kira Road-Jinja Road-24h'!E25,'4.08.KIIRA-JINJAROAD'!E25)</f>
        <v>12.714285714285714</v>
      </c>
      <c r="F25" s="49">
        <f>AVERAGE('29.07 Kira Road-Jinaj Road'!F25,'30.07 Kira Road-Jinja Road'!F25,'31.07 Kira Road-Jinja Road'!F25,'2.08 Kira Road-Jinja road'!F25,'1.08 Kira Road-Jinja Road-24h'!F25,'3.08 Kira Road-Jinja Road-24h'!F25,'4.08.KIIRA-JINJAROAD'!F25)</f>
        <v>5.4285714285714288</v>
      </c>
      <c r="G25" s="49">
        <f>AVERAGE('29.07 Kira Road-Jinaj Road'!G25,'30.07 Kira Road-Jinja Road'!G25,'31.07 Kira Road-Jinja Road'!G25,'2.08 Kira Road-Jinja road'!G25,'1.08 Kira Road-Jinja Road-24h'!G25,'3.08 Kira Road-Jinja Road-24h'!G25,'4.08.KIIRA-JINJAROAD'!G25)</f>
        <v>0.14285714285714285</v>
      </c>
      <c r="H25" s="49">
        <f>AVERAGE('29.07 Kira Road-Jinaj Road'!H25,'30.07 Kira Road-Jinja Road'!H25,'31.07 Kira Road-Jinja Road'!H25,'2.08 Kira Road-Jinja road'!H25,'1.08 Kira Road-Jinja Road-24h'!H25,'3.08 Kira Road-Jinja Road-24h'!H25,'4.08.KIIRA-JINJAROAD'!H25)</f>
        <v>0.14285714285714285</v>
      </c>
      <c r="I25" s="49">
        <f>AVERAGE('29.07 Kira Road-Jinaj Road'!I25,'30.07 Kira Road-Jinja Road'!I25,'31.07 Kira Road-Jinja Road'!I25,'2.08 Kira Road-Jinja road'!I25,'1.08 Kira Road-Jinja Road-24h'!I25,'3.08 Kira Road-Jinja Road-24h'!I25,'4.08.KIIRA-JINJAROAD'!I25)</f>
        <v>4.8571428571428568</v>
      </c>
      <c r="J25" s="49">
        <f>AVERAGE('29.07 Kira Road-Jinaj Road'!J25,'30.07 Kira Road-Jinja Road'!J25,'31.07 Kira Road-Jinja Road'!J25,'2.08 Kira Road-Jinja road'!J25,'1.08 Kira Road-Jinja Road-24h'!J25,'3.08 Kira Road-Jinja Road-24h'!J25,'4.08.KIIRA-JINJAROAD'!J25)</f>
        <v>1.4285714285714286</v>
      </c>
      <c r="K25" s="49">
        <f>AVERAGE('29.07 Kira Road-Jinaj Road'!K25,'30.07 Kira Road-Jinja Road'!K25,'31.07 Kira Road-Jinja Road'!K25,'2.08 Kira Road-Jinja road'!K25,'1.08 Kira Road-Jinja Road-24h'!K25,'3.08 Kira Road-Jinja Road-24h'!K25,'4.08.KIIRA-JINJAROAD'!K25)</f>
        <v>0.7142857142857143</v>
      </c>
      <c r="L25" s="49">
        <f>AVERAGE('29.07 Kira Road-Jinaj Road'!L25,'30.07 Kira Road-Jinja Road'!L25,'31.07 Kira Road-Jinja Road'!L25,'2.08 Kira Road-Jinja road'!L25,'1.08 Kira Road-Jinja Road-24h'!L25,'3.08 Kira Road-Jinja Road-24h'!L25,'4.08.KIIRA-JINJAROAD'!L25)</f>
        <v>0</v>
      </c>
      <c r="M25" s="49">
        <f>AVERAGE('29.07 Kira Road-Jinaj Road'!M25,'30.07 Kira Road-Jinja Road'!M25,'31.07 Kira Road-Jinja Road'!M25,'2.08 Kira Road-Jinja road'!M25,'1.08 Kira Road-Jinja Road-24h'!M25,'3.08 Kira Road-Jinja Road-24h'!M25,'4.08.KIIRA-JINJAROAD'!M25)</f>
        <v>193.85714285714286</v>
      </c>
      <c r="N25" s="49">
        <f>AVERAGE('29.07 Kira Road-Jinaj Road'!N25,'30.07 Kira Road-Jinja Road'!N25,'31.07 Kira Road-Jinja Road'!N25,'2.08 Kira Road-Jinja road'!N25,'1.08 Kira Road-Jinja Road-24h'!N25,'3.08 Kira Road-Jinja Road-24h'!N25,'4.08.KIIRA-JINJAROAD'!N25)</f>
        <v>0</v>
      </c>
      <c r="O25" s="15">
        <f t="shared" si="0"/>
        <v>167.71428571428569</v>
      </c>
      <c r="P25" s="15">
        <f t="shared" si="1"/>
        <v>361.57142857142856</v>
      </c>
      <c r="R25" s="1" t="s">
        <v>149</v>
      </c>
      <c r="S25" s="34">
        <f>SUM(C70:C73)</f>
        <v>356</v>
      </c>
      <c r="T25" s="34">
        <f t="shared" ref="T25:AF25" si="17">SUM(D70:D73)</f>
        <v>106.5</v>
      </c>
      <c r="U25" s="34">
        <f t="shared" si="17"/>
        <v>25</v>
      </c>
      <c r="V25" s="34">
        <f t="shared" si="17"/>
        <v>10.5</v>
      </c>
      <c r="W25" s="34">
        <f t="shared" si="17"/>
        <v>0</v>
      </c>
      <c r="X25" s="34">
        <f t="shared" si="17"/>
        <v>0</v>
      </c>
      <c r="Y25" s="34">
        <f t="shared" si="17"/>
        <v>4</v>
      </c>
      <c r="Z25" s="34">
        <f t="shared" si="17"/>
        <v>1.5</v>
      </c>
      <c r="AA25" s="34">
        <f t="shared" si="17"/>
        <v>1</v>
      </c>
      <c r="AB25" s="34">
        <f t="shared" si="17"/>
        <v>0</v>
      </c>
      <c r="AC25" s="34">
        <f t="shared" si="17"/>
        <v>231</v>
      </c>
      <c r="AD25" s="34">
        <f t="shared" si="17"/>
        <v>0</v>
      </c>
      <c r="AE25" s="31">
        <f t="shared" si="17"/>
        <v>504.5</v>
      </c>
      <c r="AF25" s="31">
        <f t="shared" si="17"/>
        <v>735.5</v>
      </c>
    </row>
    <row r="26" spans="2:32" ht="23.1" customHeight="1" x14ac:dyDescent="0.25">
      <c r="B26" s="23" t="s">
        <v>53</v>
      </c>
      <c r="C26" s="49">
        <f>AVERAGE('29.07 Kira Road-Jinaj Road'!C26,'30.07 Kira Road-Jinja Road'!C26,'31.07 Kira Road-Jinja Road'!C26,'2.08 Kira Road-Jinja road'!C26,'1.08 Kira Road-Jinja Road-24h'!C26,'3.08 Kira Road-Jinja Road-24h'!C26,'4.08.KIIRA-JINJAROAD'!C26)</f>
        <v>117.57142857142857</v>
      </c>
      <c r="D26" s="49">
        <f>AVERAGE('29.07 Kira Road-Jinaj Road'!D26,'30.07 Kira Road-Jinja Road'!D26,'31.07 Kira Road-Jinja Road'!D26,'2.08 Kira Road-Jinja road'!D26,'1.08 Kira Road-Jinja Road-24h'!D26,'3.08 Kira Road-Jinja Road-24h'!D26,'4.08.KIIRA-JINJAROAD'!D26)</f>
        <v>61.285714285714285</v>
      </c>
      <c r="E26" s="49">
        <f>AVERAGE('29.07 Kira Road-Jinaj Road'!E26,'30.07 Kira Road-Jinja Road'!E26,'31.07 Kira Road-Jinja Road'!E26,'2.08 Kira Road-Jinja road'!E26,'1.08 Kira Road-Jinja Road-24h'!E26,'3.08 Kira Road-Jinja Road-24h'!E26,'4.08.KIIRA-JINJAROAD'!E26)</f>
        <v>15.142857142857142</v>
      </c>
      <c r="F26" s="49">
        <f>AVERAGE('29.07 Kira Road-Jinaj Road'!F26,'30.07 Kira Road-Jinja Road'!F26,'31.07 Kira Road-Jinja Road'!F26,'2.08 Kira Road-Jinja road'!F26,'1.08 Kira Road-Jinja Road-24h'!F26,'3.08 Kira Road-Jinja Road-24h'!F26,'4.08.KIIRA-JINJAROAD'!F26)</f>
        <v>5.8571428571428568</v>
      </c>
      <c r="G26" s="49">
        <f>AVERAGE('29.07 Kira Road-Jinaj Road'!G26,'30.07 Kira Road-Jinja Road'!G26,'31.07 Kira Road-Jinja Road'!G26,'2.08 Kira Road-Jinja road'!G26,'1.08 Kira Road-Jinja Road-24h'!G26,'3.08 Kira Road-Jinja Road-24h'!G26,'4.08.KIIRA-JINJAROAD'!G26)</f>
        <v>0.42857142857142855</v>
      </c>
      <c r="H26" s="49">
        <f>AVERAGE('29.07 Kira Road-Jinaj Road'!H26,'30.07 Kira Road-Jinja Road'!H26,'31.07 Kira Road-Jinja Road'!H26,'2.08 Kira Road-Jinja road'!H26,'1.08 Kira Road-Jinja Road-24h'!H26,'3.08 Kira Road-Jinja Road-24h'!H26,'4.08.KIIRA-JINJAROAD'!H26)</f>
        <v>0</v>
      </c>
      <c r="I26" s="49">
        <f>AVERAGE('29.07 Kira Road-Jinaj Road'!I26,'30.07 Kira Road-Jinja Road'!I26,'31.07 Kira Road-Jinja Road'!I26,'2.08 Kira Road-Jinja road'!I26,'1.08 Kira Road-Jinja Road-24h'!I26,'3.08 Kira Road-Jinja Road-24h'!I26,'4.08.KIIRA-JINJAROAD'!I26)</f>
        <v>5.7142857142857144</v>
      </c>
      <c r="J26" s="49">
        <f>AVERAGE('29.07 Kira Road-Jinaj Road'!J26,'30.07 Kira Road-Jinja Road'!J26,'31.07 Kira Road-Jinja Road'!J26,'2.08 Kira Road-Jinja road'!J26,'1.08 Kira Road-Jinja Road-24h'!J26,'3.08 Kira Road-Jinja Road-24h'!J26,'4.08.KIIRA-JINJAROAD'!J26)</f>
        <v>2.2857142857142856</v>
      </c>
      <c r="K26" s="49">
        <f>AVERAGE('29.07 Kira Road-Jinaj Road'!K26,'30.07 Kira Road-Jinja Road'!K26,'31.07 Kira Road-Jinja Road'!K26,'2.08 Kira Road-Jinja road'!K26,'1.08 Kira Road-Jinja Road-24h'!K26,'3.08 Kira Road-Jinja Road-24h'!K26,'4.08.KIIRA-JINJAROAD'!K26)</f>
        <v>0.14285714285714285</v>
      </c>
      <c r="L26" s="49">
        <f>AVERAGE('29.07 Kira Road-Jinaj Road'!L26,'30.07 Kira Road-Jinja Road'!L26,'31.07 Kira Road-Jinja Road'!L26,'2.08 Kira Road-Jinja road'!L26,'1.08 Kira Road-Jinja Road-24h'!L26,'3.08 Kira Road-Jinja Road-24h'!L26,'4.08.KIIRA-JINJAROAD'!L26)</f>
        <v>0.42857142857142855</v>
      </c>
      <c r="M26" s="49">
        <f>AVERAGE('29.07 Kira Road-Jinaj Road'!M26,'30.07 Kira Road-Jinja Road'!M26,'31.07 Kira Road-Jinja Road'!M26,'2.08 Kira Road-Jinja road'!M26,'1.08 Kira Road-Jinja Road-24h'!M26,'3.08 Kira Road-Jinja Road-24h'!M26,'4.08.KIIRA-JINJAROAD'!M26)</f>
        <v>171.14285714285714</v>
      </c>
      <c r="N26" s="49">
        <f>AVERAGE('29.07 Kira Road-Jinaj Road'!N26,'30.07 Kira Road-Jinja Road'!N26,'31.07 Kira Road-Jinja Road'!N26,'2.08 Kira Road-Jinja road'!N26,'1.08 Kira Road-Jinja Road-24h'!N26,'3.08 Kira Road-Jinja Road-24h'!N26,'4.08.KIIRA-JINJAROAD'!N26)</f>
        <v>0</v>
      </c>
      <c r="O26" s="15">
        <f t="shared" si="0"/>
        <v>208.85714285714283</v>
      </c>
      <c r="P26" s="15">
        <f t="shared" si="1"/>
        <v>380</v>
      </c>
      <c r="R26" s="1" t="s">
        <v>150</v>
      </c>
      <c r="S26" s="34">
        <f>SUM(C74:C77)</f>
        <v>279</v>
      </c>
      <c r="T26" s="34">
        <f t="shared" ref="T26:AF26" si="18">SUM(D74:D77)</f>
        <v>109.5</v>
      </c>
      <c r="U26" s="34">
        <f t="shared" si="18"/>
        <v>23</v>
      </c>
      <c r="V26" s="34">
        <f t="shared" si="18"/>
        <v>4.5</v>
      </c>
      <c r="W26" s="34">
        <f t="shared" si="18"/>
        <v>1.5</v>
      </c>
      <c r="X26" s="34">
        <f t="shared" si="18"/>
        <v>0</v>
      </c>
      <c r="Y26" s="34">
        <f t="shared" si="18"/>
        <v>2.5</v>
      </c>
      <c r="Z26" s="34">
        <f t="shared" si="18"/>
        <v>2.5</v>
      </c>
      <c r="AA26" s="34">
        <f t="shared" si="18"/>
        <v>0.5</v>
      </c>
      <c r="AB26" s="34">
        <f t="shared" si="18"/>
        <v>0</v>
      </c>
      <c r="AC26" s="34">
        <f t="shared" si="18"/>
        <v>194</v>
      </c>
      <c r="AD26" s="34">
        <f t="shared" si="18"/>
        <v>0</v>
      </c>
      <c r="AE26" s="31">
        <f t="shared" si="18"/>
        <v>423</v>
      </c>
      <c r="AF26" s="31">
        <f t="shared" si="18"/>
        <v>617</v>
      </c>
    </row>
    <row r="27" spans="2:32" ht="23.1" customHeight="1" x14ac:dyDescent="0.25">
      <c r="B27" s="23" t="s">
        <v>54</v>
      </c>
      <c r="C27" s="49">
        <f>AVERAGE('29.07 Kira Road-Jinaj Road'!C27,'30.07 Kira Road-Jinja Road'!C27,'31.07 Kira Road-Jinja Road'!C27,'2.08 Kira Road-Jinja road'!C27,'1.08 Kira Road-Jinja Road-24h'!C27,'3.08 Kira Road-Jinja Road-24h'!C27,'4.08.KIIRA-JINJAROAD'!C27)</f>
        <v>108.28571428571429</v>
      </c>
      <c r="D27" s="49">
        <f>AVERAGE('29.07 Kira Road-Jinaj Road'!D27,'30.07 Kira Road-Jinja Road'!D27,'31.07 Kira Road-Jinja Road'!D27,'2.08 Kira Road-Jinja road'!D27,'1.08 Kira Road-Jinja Road-24h'!D27,'3.08 Kira Road-Jinja Road-24h'!D27,'4.08.KIIRA-JINJAROAD'!D27)</f>
        <v>53.428571428571431</v>
      </c>
      <c r="E27" s="49">
        <f>AVERAGE('29.07 Kira Road-Jinaj Road'!E27,'30.07 Kira Road-Jinja Road'!E27,'31.07 Kira Road-Jinja Road'!E27,'2.08 Kira Road-Jinja road'!E27,'1.08 Kira Road-Jinja Road-24h'!E27,'3.08 Kira Road-Jinja Road-24h'!E27,'4.08.KIIRA-JINJAROAD'!E27)</f>
        <v>22.142857142857142</v>
      </c>
      <c r="F27" s="49">
        <f>AVERAGE('29.07 Kira Road-Jinaj Road'!F27,'30.07 Kira Road-Jinja Road'!F27,'31.07 Kira Road-Jinja Road'!F27,'2.08 Kira Road-Jinja road'!F27,'1.08 Kira Road-Jinja Road-24h'!F27,'3.08 Kira Road-Jinja Road-24h'!F27,'4.08.KIIRA-JINJAROAD'!F27)</f>
        <v>5.8571428571428568</v>
      </c>
      <c r="G27" s="49">
        <f>AVERAGE('29.07 Kira Road-Jinaj Road'!G27,'30.07 Kira Road-Jinja Road'!G27,'31.07 Kira Road-Jinja Road'!G27,'2.08 Kira Road-Jinja road'!G27,'1.08 Kira Road-Jinja Road-24h'!G27,'3.08 Kira Road-Jinja Road-24h'!G27,'4.08.KIIRA-JINJAROAD'!G27)</f>
        <v>0.14285714285714285</v>
      </c>
      <c r="H27" s="49">
        <f>AVERAGE('29.07 Kira Road-Jinaj Road'!H27,'30.07 Kira Road-Jinja Road'!H27,'31.07 Kira Road-Jinja Road'!H27,'2.08 Kira Road-Jinja road'!H27,'1.08 Kira Road-Jinja Road-24h'!H27,'3.08 Kira Road-Jinja Road-24h'!H27,'4.08.KIIRA-JINJAROAD'!H27)</f>
        <v>0</v>
      </c>
      <c r="I27" s="49">
        <f>AVERAGE('29.07 Kira Road-Jinaj Road'!I27,'30.07 Kira Road-Jinja Road'!I27,'31.07 Kira Road-Jinja Road'!I27,'2.08 Kira Road-Jinja road'!I27,'1.08 Kira Road-Jinja Road-24h'!I27,'3.08 Kira Road-Jinja Road-24h'!I27,'4.08.KIIRA-JINJAROAD'!I27)</f>
        <v>5.8571428571428568</v>
      </c>
      <c r="J27" s="49">
        <f>AVERAGE('29.07 Kira Road-Jinaj Road'!J27,'30.07 Kira Road-Jinja Road'!J27,'31.07 Kira Road-Jinja Road'!J27,'2.08 Kira Road-Jinja road'!J27,'1.08 Kira Road-Jinja Road-24h'!J27,'3.08 Kira Road-Jinja Road-24h'!J27,'4.08.KIIRA-JINJAROAD'!J27)</f>
        <v>1.1428571428571428</v>
      </c>
      <c r="K27" s="49">
        <f>AVERAGE('29.07 Kira Road-Jinaj Road'!K27,'30.07 Kira Road-Jinja Road'!K27,'31.07 Kira Road-Jinja Road'!K27,'2.08 Kira Road-Jinja road'!K27,'1.08 Kira Road-Jinja Road-24h'!K27,'3.08 Kira Road-Jinja Road-24h'!K27,'4.08.KIIRA-JINJAROAD'!K27)</f>
        <v>0</v>
      </c>
      <c r="L27" s="49">
        <f>AVERAGE('29.07 Kira Road-Jinaj Road'!L27,'30.07 Kira Road-Jinja Road'!L27,'31.07 Kira Road-Jinja Road'!L27,'2.08 Kira Road-Jinja road'!L27,'1.08 Kira Road-Jinja Road-24h'!L27,'3.08 Kira Road-Jinja Road-24h'!L27,'4.08.KIIRA-JINJAROAD'!L27)</f>
        <v>0.14285714285714285</v>
      </c>
      <c r="M27" s="49">
        <f>AVERAGE('29.07 Kira Road-Jinaj Road'!M27,'30.07 Kira Road-Jinja Road'!M27,'31.07 Kira Road-Jinja Road'!M27,'2.08 Kira Road-Jinja road'!M27,'1.08 Kira Road-Jinja Road-24h'!M27,'3.08 Kira Road-Jinja Road-24h'!M27,'4.08.KIIRA-JINJAROAD'!M27)</f>
        <v>163</v>
      </c>
      <c r="N27" s="49">
        <f>AVERAGE('29.07 Kira Road-Jinaj Road'!N27,'30.07 Kira Road-Jinja Road'!N27,'31.07 Kira Road-Jinja Road'!N27,'2.08 Kira Road-Jinja road'!N27,'1.08 Kira Road-Jinja Road-24h'!N27,'3.08 Kira Road-Jinja Road-24h'!N27,'4.08.KIIRA-JINJAROAD'!N27)</f>
        <v>0</v>
      </c>
      <c r="O27" s="15">
        <f t="shared" si="0"/>
        <v>197</v>
      </c>
      <c r="P27" s="15">
        <f t="shared" si="1"/>
        <v>360</v>
      </c>
      <c r="R27" s="1" t="s">
        <v>151</v>
      </c>
      <c r="S27" s="34">
        <f>SUM(C78:C81)</f>
        <v>188</v>
      </c>
      <c r="T27" s="34">
        <f t="shared" ref="T27:AF27" si="19">SUM(D78:D81)</f>
        <v>64</v>
      </c>
      <c r="U27" s="34">
        <f t="shared" si="19"/>
        <v>12.5</v>
      </c>
      <c r="V27" s="34">
        <f t="shared" si="19"/>
        <v>3.5</v>
      </c>
      <c r="W27" s="34">
        <f t="shared" si="19"/>
        <v>0</v>
      </c>
      <c r="X27" s="34">
        <f t="shared" si="19"/>
        <v>0.5</v>
      </c>
      <c r="Y27" s="34">
        <f t="shared" si="19"/>
        <v>2.5</v>
      </c>
      <c r="Z27" s="34">
        <f t="shared" si="19"/>
        <v>1</v>
      </c>
      <c r="AA27" s="34">
        <f t="shared" si="19"/>
        <v>0</v>
      </c>
      <c r="AB27" s="34">
        <f t="shared" si="19"/>
        <v>0</v>
      </c>
      <c r="AC27" s="34">
        <f t="shared" si="19"/>
        <v>119.5</v>
      </c>
      <c r="AD27" s="34">
        <f t="shared" si="19"/>
        <v>0</v>
      </c>
      <c r="AE27" s="31">
        <f t="shared" si="19"/>
        <v>272</v>
      </c>
      <c r="AF27" s="31">
        <f t="shared" si="19"/>
        <v>391.5</v>
      </c>
    </row>
    <row r="28" spans="2:32" ht="23.1" customHeight="1" x14ac:dyDescent="0.25">
      <c r="B28" s="23" t="s">
        <v>55</v>
      </c>
      <c r="C28" s="49">
        <f>AVERAGE('29.07 Kira Road-Jinaj Road'!C28,'30.07 Kira Road-Jinja Road'!C28,'31.07 Kira Road-Jinja Road'!C28,'2.08 Kira Road-Jinja road'!C28,'1.08 Kira Road-Jinja Road-24h'!C28,'3.08 Kira Road-Jinja Road-24h'!C28,'4.08.KIIRA-JINJAROAD'!C28)</f>
        <v>105.71428571428571</v>
      </c>
      <c r="D28" s="49">
        <f>AVERAGE('29.07 Kira Road-Jinaj Road'!D28,'30.07 Kira Road-Jinja Road'!D28,'31.07 Kira Road-Jinja Road'!D28,'2.08 Kira Road-Jinja road'!D28,'1.08 Kira Road-Jinja Road-24h'!D28,'3.08 Kira Road-Jinja Road-24h'!D28,'4.08.KIIRA-JINJAROAD'!D28)</f>
        <v>49</v>
      </c>
      <c r="E28" s="49">
        <f>AVERAGE('29.07 Kira Road-Jinaj Road'!E28,'30.07 Kira Road-Jinja Road'!E28,'31.07 Kira Road-Jinja Road'!E28,'2.08 Kira Road-Jinja road'!E28,'1.08 Kira Road-Jinja Road-24h'!E28,'3.08 Kira Road-Jinja Road-24h'!E28,'4.08.KIIRA-JINJAROAD'!E28)</f>
        <v>16.714285714285715</v>
      </c>
      <c r="F28" s="49">
        <f>AVERAGE('29.07 Kira Road-Jinaj Road'!F28,'30.07 Kira Road-Jinja Road'!F28,'31.07 Kira Road-Jinja Road'!F28,'2.08 Kira Road-Jinja road'!F28,'1.08 Kira Road-Jinja Road-24h'!F28,'3.08 Kira Road-Jinja Road-24h'!F28,'4.08.KIIRA-JINJAROAD'!F28)</f>
        <v>4.7142857142857144</v>
      </c>
      <c r="G28" s="49">
        <f>AVERAGE('29.07 Kira Road-Jinaj Road'!G28,'30.07 Kira Road-Jinja Road'!G28,'31.07 Kira Road-Jinja Road'!G28,'2.08 Kira Road-Jinja road'!G28,'1.08 Kira Road-Jinja Road-24h'!G28,'3.08 Kira Road-Jinja Road-24h'!G28,'4.08.KIIRA-JINJAROAD'!G28)</f>
        <v>0.2857142857142857</v>
      </c>
      <c r="H28" s="49">
        <f>AVERAGE('29.07 Kira Road-Jinaj Road'!H28,'30.07 Kira Road-Jinja Road'!H28,'31.07 Kira Road-Jinja Road'!H28,'2.08 Kira Road-Jinja road'!H28,'1.08 Kira Road-Jinja Road-24h'!H28,'3.08 Kira Road-Jinja Road-24h'!H28,'4.08.KIIRA-JINJAROAD'!H28)</f>
        <v>0.14285714285714285</v>
      </c>
      <c r="I28" s="49">
        <f>AVERAGE('29.07 Kira Road-Jinaj Road'!I28,'30.07 Kira Road-Jinja Road'!I28,'31.07 Kira Road-Jinja Road'!I28,'2.08 Kira Road-Jinja road'!I28,'1.08 Kira Road-Jinja Road-24h'!I28,'3.08 Kira Road-Jinja Road-24h'!I28,'4.08.KIIRA-JINJAROAD'!I28)</f>
        <v>6.7142857142857144</v>
      </c>
      <c r="J28" s="49">
        <f>AVERAGE('29.07 Kira Road-Jinaj Road'!J28,'30.07 Kira Road-Jinja Road'!J28,'31.07 Kira Road-Jinja Road'!J28,'2.08 Kira Road-Jinja road'!J28,'1.08 Kira Road-Jinja Road-24h'!J28,'3.08 Kira Road-Jinja Road-24h'!J28,'4.08.KIIRA-JINJAROAD'!J28)</f>
        <v>3</v>
      </c>
      <c r="K28" s="49">
        <f>AVERAGE('29.07 Kira Road-Jinaj Road'!K28,'30.07 Kira Road-Jinja Road'!K28,'31.07 Kira Road-Jinja Road'!K28,'2.08 Kira Road-Jinja road'!K28,'1.08 Kira Road-Jinja Road-24h'!K28,'3.08 Kira Road-Jinja Road-24h'!K28,'4.08.KIIRA-JINJAROAD'!K28)</f>
        <v>0.5714285714285714</v>
      </c>
      <c r="L28" s="49">
        <f>AVERAGE('29.07 Kira Road-Jinaj Road'!L28,'30.07 Kira Road-Jinja Road'!L28,'31.07 Kira Road-Jinja Road'!L28,'2.08 Kira Road-Jinja road'!L28,'1.08 Kira Road-Jinja Road-24h'!L28,'3.08 Kira Road-Jinja Road-24h'!L28,'4.08.KIIRA-JINJAROAD'!L28)</f>
        <v>0.14285714285714285</v>
      </c>
      <c r="M28" s="49">
        <f>AVERAGE('29.07 Kira Road-Jinaj Road'!M28,'30.07 Kira Road-Jinja Road'!M28,'31.07 Kira Road-Jinja Road'!M28,'2.08 Kira Road-Jinja road'!M28,'1.08 Kira Road-Jinja Road-24h'!M28,'3.08 Kira Road-Jinja Road-24h'!M28,'4.08.KIIRA-JINJAROAD'!M28)</f>
        <v>187.14285714285714</v>
      </c>
      <c r="N28" s="49">
        <f>AVERAGE('29.07 Kira Road-Jinaj Road'!N28,'30.07 Kira Road-Jinja Road'!N28,'31.07 Kira Road-Jinja Road'!N28,'2.08 Kira Road-Jinja road'!N28,'1.08 Kira Road-Jinja Road-24h'!N28,'3.08 Kira Road-Jinja Road-24h'!N28,'4.08.KIIRA-JINJAROAD'!N28)</f>
        <v>0</v>
      </c>
      <c r="O28" s="15">
        <f t="shared" si="0"/>
        <v>187.00000000000003</v>
      </c>
      <c r="P28" s="15">
        <f t="shared" si="1"/>
        <v>374.14285714285717</v>
      </c>
      <c r="R28" s="1" t="s">
        <v>152</v>
      </c>
      <c r="S28" s="34">
        <f>SUM(C82:C85)</f>
        <v>167</v>
      </c>
      <c r="T28" s="34">
        <f t="shared" ref="T28:AF28" si="20">SUM(D82:D85)</f>
        <v>64</v>
      </c>
      <c r="U28" s="34">
        <f t="shared" si="20"/>
        <v>4.5</v>
      </c>
      <c r="V28" s="34">
        <f t="shared" si="20"/>
        <v>3</v>
      </c>
      <c r="W28" s="34">
        <f t="shared" si="20"/>
        <v>0</v>
      </c>
      <c r="X28" s="34">
        <f t="shared" si="20"/>
        <v>0</v>
      </c>
      <c r="Y28" s="34">
        <f t="shared" si="20"/>
        <v>0.5</v>
      </c>
      <c r="Z28" s="34">
        <f t="shared" si="20"/>
        <v>2</v>
      </c>
      <c r="AA28" s="34">
        <f t="shared" si="20"/>
        <v>0</v>
      </c>
      <c r="AB28" s="34">
        <f t="shared" si="20"/>
        <v>0.5</v>
      </c>
      <c r="AC28" s="34">
        <f t="shared" si="20"/>
        <v>71</v>
      </c>
      <c r="AD28" s="34">
        <f t="shared" si="20"/>
        <v>0</v>
      </c>
      <c r="AE28" s="31">
        <f t="shared" si="20"/>
        <v>241.5</v>
      </c>
      <c r="AF28" s="31">
        <f t="shared" si="20"/>
        <v>312.5</v>
      </c>
    </row>
    <row r="29" spans="2:32" ht="23.1" customHeight="1" x14ac:dyDescent="0.25">
      <c r="B29" s="23" t="s">
        <v>56</v>
      </c>
      <c r="C29" s="49">
        <f>AVERAGE('29.07 Kira Road-Jinaj Road'!C29,'30.07 Kira Road-Jinja Road'!C29,'31.07 Kira Road-Jinja Road'!C29,'2.08 Kira Road-Jinja road'!C29,'1.08 Kira Road-Jinja Road-24h'!C29,'3.08 Kira Road-Jinja Road-24h'!C29,'4.08.KIIRA-JINJAROAD'!C29)</f>
        <v>92.571428571428569</v>
      </c>
      <c r="D29" s="49">
        <f>AVERAGE('29.07 Kira Road-Jinaj Road'!D29,'30.07 Kira Road-Jinja Road'!D29,'31.07 Kira Road-Jinja Road'!D29,'2.08 Kira Road-Jinja road'!D29,'1.08 Kira Road-Jinja Road-24h'!D29,'3.08 Kira Road-Jinja Road-24h'!D29,'4.08.KIIRA-JINJAROAD'!D29)</f>
        <v>57.571428571428569</v>
      </c>
      <c r="E29" s="49">
        <f>AVERAGE('29.07 Kira Road-Jinaj Road'!E29,'30.07 Kira Road-Jinja Road'!E29,'31.07 Kira Road-Jinja Road'!E29,'2.08 Kira Road-Jinja road'!E29,'1.08 Kira Road-Jinja Road-24h'!E29,'3.08 Kira Road-Jinja Road-24h'!E29,'4.08.KIIRA-JINJAROAD'!E29)</f>
        <v>14.142857142857142</v>
      </c>
      <c r="F29" s="49">
        <f>AVERAGE('29.07 Kira Road-Jinaj Road'!F29,'30.07 Kira Road-Jinja Road'!F29,'31.07 Kira Road-Jinja Road'!F29,'2.08 Kira Road-Jinja road'!F29,'1.08 Kira Road-Jinja Road-24h'!F29,'3.08 Kira Road-Jinja Road-24h'!F29,'4.08.KIIRA-JINJAROAD'!F29)</f>
        <v>5.2857142857142856</v>
      </c>
      <c r="G29" s="49">
        <f>AVERAGE('29.07 Kira Road-Jinaj Road'!G29,'30.07 Kira Road-Jinja Road'!G29,'31.07 Kira Road-Jinja Road'!G29,'2.08 Kira Road-Jinja road'!G29,'1.08 Kira Road-Jinja Road-24h'!G29,'3.08 Kira Road-Jinja Road-24h'!G29,'4.08.KIIRA-JINJAROAD'!G29)</f>
        <v>0.14285714285714285</v>
      </c>
      <c r="H29" s="49">
        <f>AVERAGE('29.07 Kira Road-Jinaj Road'!H29,'30.07 Kira Road-Jinja Road'!H29,'31.07 Kira Road-Jinja Road'!H29,'2.08 Kira Road-Jinja road'!H29,'1.08 Kira Road-Jinja Road-24h'!H29,'3.08 Kira Road-Jinja Road-24h'!H29,'4.08.KIIRA-JINJAROAD'!H29)</f>
        <v>0.8571428571428571</v>
      </c>
      <c r="I29" s="49">
        <f>AVERAGE('29.07 Kira Road-Jinaj Road'!I29,'30.07 Kira Road-Jinja Road'!I29,'31.07 Kira Road-Jinja Road'!I29,'2.08 Kira Road-Jinja road'!I29,'1.08 Kira Road-Jinja Road-24h'!I29,'3.08 Kira Road-Jinja Road-24h'!I29,'4.08.KIIRA-JINJAROAD'!I29)</f>
        <v>5</v>
      </c>
      <c r="J29" s="49">
        <f>AVERAGE('29.07 Kira Road-Jinaj Road'!J29,'30.07 Kira Road-Jinja Road'!J29,'31.07 Kira Road-Jinja Road'!J29,'2.08 Kira Road-Jinja road'!J29,'1.08 Kira Road-Jinja Road-24h'!J29,'3.08 Kira Road-Jinja Road-24h'!J29,'4.08.KIIRA-JINJAROAD'!J29)</f>
        <v>1.2857142857142858</v>
      </c>
      <c r="K29" s="49">
        <f>AVERAGE('29.07 Kira Road-Jinaj Road'!K29,'30.07 Kira Road-Jinja Road'!K29,'31.07 Kira Road-Jinja Road'!K29,'2.08 Kira Road-Jinja road'!K29,'1.08 Kira Road-Jinja Road-24h'!K29,'3.08 Kira Road-Jinja Road-24h'!K29,'4.08.KIIRA-JINJAROAD'!K29)</f>
        <v>0</v>
      </c>
      <c r="L29" s="49">
        <f>AVERAGE('29.07 Kira Road-Jinaj Road'!L29,'30.07 Kira Road-Jinja Road'!L29,'31.07 Kira Road-Jinja Road'!L29,'2.08 Kira Road-Jinja road'!L29,'1.08 Kira Road-Jinja Road-24h'!L29,'3.08 Kira Road-Jinja Road-24h'!L29,'4.08.KIIRA-JINJAROAD'!L29)</f>
        <v>0.14285714285714285</v>
      </c>
      <c r="M29" s="49">
        <f>AVERAGE('29.07 Kira Road-Jinaj Road'!M29,'30.07 Kira Road-Jinja Road'!M29,'31.07 Kira Road-Jinja Road'!M29,'2.08 Kira Road-Jinja road'!M29,'1.08 Kira Road-Jinja Road-24h'!M29,'3.08 Kira Road-Jinja Road-24h'!M29,'4.08.KIIRA-JINJAROAD'!M29)</f>
        <v>186.57142857142858</v>
      </c>
      <c r="N29" s="49">
        <f>AVERAGE('29.07 Kira Road-Jinaj Road'!N29,'30.07 Kira Road-Jinja Road'!N29,'31.07 Kira Road-Jinja Road'!N29,'2.08 Kira Road-Jinja road'!N29,'1.08 Kira Road-Jinja Road-24h'!N29,'3.08 Kira Road-Jinja Road-24h'!N29,'4.08.KIIRA-JINJAROAD'!N29)</f>
        <v>0</v>
      </c>
      <c r="O29" s="15">
        <f t="shared" si="0"/>
        <v>176.99999999999997</v>
      </c>
      <c r="P29" s="15">
        <f t="shared" si="1"/>
        <v>363.57142857142856</v>
      </c>
      <c r="R29" s="1" t="s">
        <v>153</v>
      </c>
      <c r="S29" s="34">
        <f>SUM(C86:C89)</f>
        <v>112.5</v>
      </c>
      <c r="T29" s="34">
        <f t="shared" ref="T29:AF29" si="21">SUM(D86:D89)</f>
        <v>43.5</v>
      </c>
      <c r="U29" s="34">
        <f t="shared" si="21"/>
        <v>3.5</v>
      </c>
      <c r="V29" s="34">
        <f t="shared" si="21"/>
        <v>4</v>
      </c>
      <c r="W29" s="34">
        <f t="shared" si="21"/>
        <v>0.5</v>
      </c>
      <c r="X29" s="34">
        <f t="shared" si="21"/>
        <v>0</v>
      </c>
      <c r="Y29" s="34">
        <f t="shared" si="21"/>
        <v>0.5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72</v>
      </c>
      <c r="AD29" s="34">
        <f t="shared" si="21"/>
        <v>0</v>
      </c>
      <c r="AE29" s="31">
        <f t="shared" si="21"/>
        <v>164.5</v>
      </c>
      <c r="AF29" s="31">
        <f t="shared" si="21"/>
        <v>236.5</v>
      </c>
    </row>
    <row r="30" spans="2:32" ht="23.1" customHeight="1" x14ac:dyDescent="0.25">
      <c r="B30" s="23" t="s">
        <v>57</v>
      </c>
      <c r="C30" s="49">
        <f>AVERAGE('29.07 Kira Road-Jinaj Road'!C30,'30.07 Kira Road-Jinja Road'!C30,'31.07 Kira Road-Jinja Road'!C30,'2.08 Kira Road-Jinja road'!C30,'1.08 Kira Road-Jinja Road-24h'!C30,'3.08 Kira Road-Jinja Road-24h'!C30,'4.08.KIIRA-JINJAROAD'!C30)</f>
        <v>120</v>
      </c>
      <c r="D30" s="49">
        <f>AVERAGE('29.07 Kira Road-Jinaj Road'!D30,'30.07 Kira Road-Jinja Road'!D30,'31.07 Kira Road-Jinja Road'!D30,'2.08 Kira Road-Jinja road'!D30,'1.08 Kira Road-Jinja Road-24h'!D30,'3.08 Kira Road-Jinja Road-24h'!D30,'4.08.KIIRA-JINJAROAD'!D30)</f>
        <v>47.714285714285715</v>
      </c>
      <c r="E30" s="49">
        <f>AVERAGE('29.07 Kira Road-Jinaj Road'!E30,'30.07 Kira Road-Jinja Road'!E30,'31.07 Kira Road-Jinja Road'!E30,'2.08 Kira Road-Jinja road'!E30,'1.08 Kira Road-Jinja Road-24h'!E30,'3.08 Kira Road-Jinja Road-24h'!E30,'4.08.KIIRA-JINJAROAD'!E30)</f>
        <v>14.428571428571429</v>
      </c>
      <c r="F30" s="49">
        <f>AVERAGE('29.07 Kira Road-Jinaj Road'!F30,'30.07 Kira Road-Jinja Road'!F30,'31.07 Kira Road-Jinja Road'!F30,'2.08 Kira Road-Jinja road'!F30,'1.08 Kira Road-Jinja Road-24h'!F30,'3.08 Kira Road-Jinja Road-24h'!F30,'4.08.KIIRA-JINJAROAD'!F30)</f>
        <v>3.5714285714285716</v>
      </c>
      <c r="G30" s="49">
        <f>AVERAGE('29.07 Kira Road-Jinaj Road'!G30,'30.07 Kira Road-Jinja Road'!G30,'31.07 Kira Road-Jinja Road'!G30,'2.08 Kira Road-Jinja road'!G30,'1.08 Kira Road-Jinja Road-24h'!G30,'3.08 Kira Road-Jinja Road-24h'!G30,'4.08.KIIRA-JINJAROAD'!G30)</f>
        <v>0.14285714285714285</v>
      </c>
      <c r="H30" s="49">
        <f>AVERAGE('29.07 Kira Road-Jinaj Road'!H30,'30.07 Kira Road-Jinja Road'!H30,'31.07 Kira Road-Jinja Road'!H30,'2.08 Kira Road-Jinja road'!H30,'1.08 Kira Road-Jinja Road-24h'!H30,'3.08 Kira Road-Jinja Road-24h'!H30,'4.08.KIIRA-JINJAROAD'!H30)</f>
        <v>0</v>
      </c>
      <c r="I30" s="49">
        <f>AVERAGE('29.07 Kira Road-Jinaj Road'!I30,'30.07 Kira Road-Jinja Road'!I30,'31.07 Kira Road-Jinja Road'!I30,'2.08 Kira Road-Jinja road'!I30,'1.08 Kira Road-Jinja Road-24h'!I30,'3.08 Kira Road-Jinja Road-24h'!I30,'4.08.KIIRA-JINJAROAD'!I30)</f>
        <v>6.2857142857142856</v>
      </c>
      <c r="J30" s="49">
        <f>AVERAGE('29.07 Kira Road-Jinaj Road'!J30,'30.07 Kira Road-Jinja Road'!J30,'31.07 Kira Road-Jinja Road'!J30,'2.08 Kira Road-Jinja road'!J30,'1.08 Kira Road-Jinja Road-24h'!J30,'3.08 Kira Road-Jinja Road-24h'!J30,'4.08.KIIRA-JINJAROAD'!J30)</f>
        <v>2</v>
      </c>
      <c r="K30" s="49">
        <f>AVERAGE('29.07 Kira Road-Jinaj Road'!K30,'30.07 Kira Road-Jinja Road'!K30,'31.07 Kira Road-Jinja Road'!K30,'2.08 Kira Road-Jinja road'!K30,'1.08 Kira Road-Jinja Road-24h'!K30,'3.08 Kira Road-Jinja Road-24h'!K30,'4.08.KIIRA-JINJAROAD'!K30)</f>
        <v>0.8571428571428571</v>
      </c>
      <c r="L30" s="49">
        <f>AVERAGE('29.07 Kira Road-Jinaj Road'!L30,'30.07 Kira Road-Jinja Road'!L30,'31.07 Kira Road-Jinja Road'!L30,'2.08 Kira Road-Jinja road'!L30,'1.08 Kira Road-Jinja Road-24h'!L30,'3.08 Kira Road-Jinja Road-24h'!L30,'4.08.KIIRA-JINJAROAD'!L30)</f>
        <v>0.14285714285714285</v>
      </c>
      <c r="M30" s="49">
        <f>AVERAGE('29.07 Kira Road-Jinaj Road'!M30,'30.07 Kira Road-Jinja Road'!M30,'31.07 Kira Road-Jinja Road'!M30,'2.08 Kira Road-Jinja road'!M30,'1.08 Kira Road-Jinja Road-24h'!M30,'3.08 Kira Road-Jinja Road-24h'!M30,'4.08.KIIRA-JINJAROAD'!M30)</f>
        <v>189.14285714285714</v>
      </c>
      <c r="N30" s="49">
        <f>AVERAGE('29.07 Kira Road-Jinaj Road'!N30,'30.07 Kira Road-Jinja Road'!N30,'31.07 Kira Road-Jinja Road'!N30,'2.08 Kira Road-Jinja road'!N30,'1.08 Kira Road-Jinja Road-24h'!N30,'3.08 Kira Road-Jinja Road-24h'!N30,'4.08.KIIRA-JINJAROAD'!N30)</f>
        <v>0</v>
      </c>
      <c r="O30" s="15">
        <f t="shared" si="0"/>
        <v>195.14285714285714</v>
      </c>
      <c r="P30" s="15">
        <f t="shared" si="1"/>
        <v>384.28571428571428</v>
      </c>
      <c r="R30" s="1" t="s">
        <v>154</v>
      </c>
      <c r="S30" s="34">
        <f>SUM(C90:C93)</f>
        <v>89</v>
      </c>
      <c r="T30" s="34">
        <f t="shared" ref="T30:AF30" si="22">SUM(D90:D93)</f>
        <v>33</v>
      </c>
      <c r="U30" s="34">
        <f t="shared" si="22"/>
        <v>2</v>
      </c>
      <c r="V30" s="34">
        <f t="shared" si="22"/>
        <v>4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1</v>
      </c>
      <c r="AA30" s="34">
        <f t="shared" si="22"/>
        <v>0</v>
      </c>
      <c r="AB30" s="34">
        <f t="shared" si="22"/>
        <v>0</v>
      </c>
      <c r="AC30" s="34">
        <f t="shared" si="22"/>
        <v>44</v>
      </c>
      <c r="AD30" s="34">
        <f t="shared" si="22"/>
        <v>0</v>
      </c>
      <c r="AE30" s="31">
        <f t="shared" si="22"/>
        <v>129.5</v>
      </c>
      <c r="AF30" s="31">
        <f t="shared" si="22"/>
        <v>173.5</v>
      </c>
    </row>
    <row r="31" spans="2:32" ht="23.1" customHeight="1" x14ac:dyDescent="0.25">
      <c r="B31" s="24" t="s">
        <v>58</v>
      </c>
      <c r="C31" s="49">
        <f>AVERAGE('29.07 Kira Road-Jinaj Road'!C31,'30.07 Kira Road-Jinja Road'!C31,'31.07 Kira Road-Jinja Road'!C31,'2.08 Kira Road-Jinja road'!C31,'1.08 Kira Road-Jinja Road-24h'!C31,'3.08 Kira Road-Jinja Road-24h'!C31,'4.08.KIIRA-JINJAROAD'!C31)</f>
        <v>111.71428571428571</v>
      </c>
      <c r="D31" s="49">
        <f>AVERAGE('29.07 Kira Road-Jinaj Road'!D31,'30.07 Kira Road-Jinja Road'!D31,'31.07 Kira Road-Jinja Road'!D31,'2.08 Kira Road-Jinja road'!D31,'1.08 Kira Road-Jinja Road-24h'!D31,'3.08 Kira Road-Jinja Road-24h'!D31,'4.08.KIIRA-JINJAROAD'!D31)</f>
        <v>39.428571428571431</v>
      </c>
      <c r="E31" s="49">
        <f>AVERAGE('29.07 Kira Road-Jinaj Road'!E31,'30.07 Kira Road-Jinja Road'!E31,'31.07 Kira Road-Jinja Road'!E31,'2.08 Kira Road-Jinja road'!E31,'1.08 Kira Road-Jinja Road-24h'!E31,'3.08 Kira Road-Jinja Road-24h'!E31,'4.08.KIIRA-JINJAROAD'!E31)</f>
        <v>12.285714285714286</v>
      </c>
      <c r="F31" s="49">
        <f>AVERAGE('29.07 Kira Road-Jinaj Road'!F31,'30.07 Kira Road-Jinja Road'!F31,'31.07 Kira Road-Jinja Road'!F31,'2.08 Kira Road-Jinja road'!F31,'1.08 Kira Road-Jinja Road-24h'!F31,'3.08 Kira Road-Jinja Road-24h'!F31,'4.08.KIIRA-JINJAROAD'!F31)</f>
        <v>5.5714285714285712</v>
      </c>
      <c r="G31" s="49">
        <f>AVERAGE('29.07 Kira Road-Jinaj Road'!G31,'30.07 Kira Road-Jinja Road'!G31,'31.07 Kira Road-Jinja Road'!G31,'2.08 Kira Road-Jinja road'!G31,'1.08 Kira Road-Jinja Road-24h'!G31,'3.08 Kira Road-Jinja Road-24h'!G31,'4.08.KIIRA-JINJAROAD'!G31)</f>
        <v>0</v>
      </c>
      <c r="H31" s="49">
        <f>AVERAGE('29.07 Kira Road-Jinaj Road'!H31,'30.07 Kira Road-Jinja Road'!H31,'31.07 Kira Road-Jinja Road'!H31,'2.08 Kira Road-Jinja road'!H31,'1.08 Kira Road-Jinja Road-24h'!H31,'3.08 Kira Road-Jinja Road-24h'!H31,'4.08.KIIRA-JINJAROAD'!H31)</f>
        <v>0</v>
      </c>
      <c r="I31" s="49">
        <f>AVERAGE('29.07 Kira Road-Jinaj Road'!I31,'30.07 Kira Road-Jinja Road'!I31,'31.07 Kira Road-Jinja Road'!I31,'2.08 Kira Road-Jinja road'!I31,'1.08 Kira Road-Jinja Road-24h'!I31,'3.08 Kira Road-Jinja Road-24h'!I31,'4.08.KIIRA-JINJAROAD'!I31)</f>
        <v>5.2857142857142856</v>
      </c>
      <c r="J31" s="49">
        <f>AVERAGE('29.07 Kira Road-Jinaj Road'!J31,'30.07 Kira Road-Jinja Road'!J31,'31.07 Kira Road-Jinja Road'!J31,'2.08 Kira Road-Jinja road'!J31,'1.08 Kira Road-Jinja Road-24h'!J31,'3.08 Kira Road-Jinja Road-24h'!J31,'4.08.KIIRA-JINJAROAD'!J31)</f>
        <v>2.2857142857142856</v>
      </c>
      <c r="K31" s="49">
        <f>AVERAGE('29.07 Kira Road-Jinaj Road'!K31,'30.07 Kira Road-Jinja Road'!K31,'31.07 Kira Road-Jinja Road'!K31,'2.08 Kira Road-Jinja road'!K31,'1.08 Kira Road-Jinja Road-24h'!K31,'3.08 Kira Road-Jinja Road-24h'!K31,'4.08.KIIRA-JINJAROAD'!K31)</f>
        <v>0.5714285714285714</v>
      </c>
      <c r="L31" s="49">
        <f>AVERAGE('29.07 Kira Road-Jinaj Road'!L31,'30.07 Kira Road-Jinja Road'!L31,'31.07 Kira Road-Jinja Road'!L31,'2.08 Kira Road-Jinja road'!L31,'1.08 Kira Road-Jinja Road-24h'!L31,'3.08 Kira Road-Jinja Road-24h'!L31,'4.08.KIIRA-JINJAROAD'!L31)</f>
        <v>0.5714285714285714</v>
      </c>
      <c r="M31" s="49">
        <f>AVERAGE('29.07 Kira Road-Jinaj Road'!M31,'30.07 Kira Road-Jinja Road'!M31,'31.07 Kira Road-Jinja Road'!M31,'2.08 Kira Road-Jinja road'!M31,'1.08 Kira Road-Jinja Road-24h'!M31,'3.08 Kira Road-Jinja Road-24h'!M31,'4.08.KIIRA-JINJAROAD'!M31)</f>
        <v>187.57142857142858</v>
      </c>
      <c r="N31" s="49">
        <f>AVERAGE('29.07 Kira Road-Jinaj Road'!N31,'30.07 Kira Road-Jinja Road'!N31,'31.07 Kira Road-Jinja Road'!N31,'2.08 Kira Road-Jinja road'!N31,'1.08 Kira Road-Jinja Road-24h'!N31,'3.08 Kira Road-Jinja Road-24h'!N31,'4.08.KIIRA-JINJAROAD'!N31)</f>
        <v>0</v>
      </c>
      <c r="O31" s="15">
        <f t="shared" si="0"/>
        <v>177.71428571428572</v>
      </c>
      <c r="P31" s="15">
        <f t="shared" si="1"/>
        <v>365.28571428571433</v>
      </c>
      <c r="R31" s="1" t="s">
        <v>155</v>
      </c>
      <c r="S31" s="34">
        <f>SUM(C94:C97)</f>
        <v>62.5</v>
      </c>
      <c r="T31" s="34">
        <f t="shared" ref="T31:AF31" si="23">SUM(D94:D97)</f>
        <v>33</v>
      </c>
      <c r="U31" s="34">
        <f t="shared" si="23"/>
        <v>5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1</v>
      </c>
      <c r="Z31" s="34">
        <f t="shared" si="23"/>
        <v>1.5</v>
      </c>
      <c r="AA31" s="34">
        <f t="shared" si="23"/>
        <v>0</v>
      </c>
      <c r="AB31" s="34">
        <f t="shared" si="23"/>
        <v>0</v>
      </c>
      <c r="AC31" s="34">
        <f t="shared" si="23"/>
        <v>54</v>
      </c>
      <c r="AD31" s="34">
        <f t="shared" si="23"/>
        <v>0</v>
      </c>
      <c r="AE31" s="31">
        <f t="shared" si="23"/>
        <v>104</v>
      </c>
      <c r="AF31" s="31">
        <f t="shared" si="23"/>
        <v>158</v>
      </c>
    </row>
    <row r="32" spans="2:32" ht="23.1" customHeight="1" x14ac:dyDescent="0.25">
      <c r="B32" s="24" t="s">
        <v>59</v>
      </c>
      <c r="C32" s="49">
        <f>AVERAGE('29.07 Kira Road-Jinaj Road'!C32,'30.07 Kira Road-Jinja Road'!C32,'31.07 Kira Road-Jinja Road'!C32,'2.08 Kira Road-Jinja road'!C32,'1.08 Kira Road-Jinja Road-24h'!C32,'3.08 Kira Road-Jinja Road-24h'!C32,'4.08.KIIRA-JINJAROAD'!C32)</f>
        <v>115.14285714285714</v>
      </c>
      <c r="D32" s="49">
        <f>AVERAGE('29.07 Kira Road-Jinaj Road'!D32,'30.07 Kira Road-Jinja Road'!D32,'31.07 Kira Road-Jinja Road'!D32,'2.08 Kira Road-Jinja road'!D32,'1.08 Kira Road-Jinja Road-24h'!D32,'3.08 Kira Road-Jinja Road-24h'!D32,'4.08.KIIRA-JINJAROAD'!D32)</f>
        <v>40.428571428571431</v>
      </c>
      <c r="E32" s="49">
        <f>AVERAGE('29.07 Kira Road-Jinaj Road'!E32,'30.07 Kira Road-Jinja Road'!E32,'31.07 Kira Road-Jinja Road'!E32,'2.08 Kira Road-Jinja road'!E32,'1.08 Kira Road-Jinja Road-24h'!E32,'3.08 Kira Road-Jinja Road-24h'!E32,'4.08.KIIRA-JINJAROAD'!E32)</f>
        <v>13.142857142857142</v>
      </c>
      <c r="F32" s="49">
        <f>AVERAGE('29.07 Kira Road-Jinaj Road'!F32,'30.07 Kira Road-Jinja Road'!F32,'31.07 Kira Road-Jinja Road'!F32,'2.08 Kira Road-Jinja road'!F32,'1.08 Kira Road-Jinja Road-24h'!F32,'3.08 Kira Road-Jinja Road-24h'!F32,'4.08.KIIRA-JINJAROAD'!F32)</f>
        <v>4.5714285714285712</v>
      </c>
      <c r="G32" s="49">
        <f>AVERAGE('29.07 Kira Road-Jinaj Road'!G32,'30.07 Kira Road-Jinja Road'!G32,'31.07 Kira Road-Jinja Road'!G32,'2.08 Kira Road-Jinja road'!G32,'1.08 Kira Road-Jinja Road-24h'!G32,'3.08 Kira Road-Jinja Road-24h'!G32,'4.08.KIIRA-JINJAROAD'!G32)</f>
        <v>0</v>
      </c>
      <c r="H32" s="49">
        <f>AVERAGE('29.07 Kira Road-Jinaj Road'!H32,'30.07 Kira Road-Jinja Road'!H32,'31.07 Kira Road-Jinja Road'!H32,'2.08 Kira Road-Jinja road'!H32,'1.08 Kira Road-Jinja Road-24h'!H32,'3.08 Kira Road-Jinja Road-24h'!H32,'4.08.KIIRA-JINJAROAD'!H32)</f>
        <v>0.14285714285714285</v>
      </c>
      <c r="I32" s="49">
        <f>AVERAGE('29.07 Kira Road-Jinaj Road'!I32,'30.07 Kira Road-Jinja Road'!I32,'31.07 Kira Road-Jinja Road'!I32,'2.08 Kira Road-Jinja road'!I32,'1.08 Kira Road-Jinja Road-24h'!I32,'3.08 Kira Road-Jinja Road-24h'!I32,'4.08.KIIRA-JINJAROAD'!I32)</f>
        <v>8.5714285714285712</v>
      </c>
      <c r="J32" s="49">
        <f>AVERAGE('29.07 Kira Road-Jinaj Road'!J32,'30.07 Kira Road-Jinja Road'!J32,'31.07 Kira Road-Jinja Road'!J32,'2.08 Kira Road-Jinja road'!J32,'1.08 Kira Road-Jinja Road-24h'!J32,'3.08 Kira Road-Jinja Road-24h'!J32,'4.08.KIIRA-JINJAROAD'!J32)</f>
        <v>2</v>
      </c>
      <c r="K32" s="49">
        <f>AVERAGE('29.07 Kira Road-Jinaj Road'!K32,'30.07 Kira Road-Jinja Road'!K32,'31.07 Kira Road-Jinja Road'!K32,'2.08 Kira Road-Jinja road'!K32,'1.08 Kira Road-Jinja Road-24h'!K32,'3.08 Kira Road-Jinja Road-24h'!K32,'4.08.KIIRA-JINJAROAD'!K32)</f>
        <v>0.5714285714285714</v>
      </c>
      <c r="L32" s="49">
        <f>AVERAGE('29.07 Kira Road-Jinaj Road'!L32,'30.07 Kira Road-Jinja Road'!L32,'31.07 Kira Road-Jinja Road'!L32,'2.08 Kira Road-Jinja road'!L32,'1.08 Kira Road-Jinja Road-24h'!L32,'3.08 Kira Road-Jinja Road-24h'!L32,'4.08.KIIRA-JINJAROAD'!L32)</f>
        <v>0</v>
      </c>
      <c r="M32" s="49">
        <f>AVERAGE('29.07 Kira Road-Jinaj Road'!M32,'30.07 Kira Road-Jinja Road'!M32,'31.07 Kira Road-Jinja Road'!M32,'2.08 Kira Road-Jinja road'!M32,'1.08 Kira Road-Jinja Road-24h'!M32,'3.08 Kira Road-Jinja Road-24h'!M32,'4.08.KIIRA-JINJAROAD'!M32)</f>
        <v>175.28571428571428</v>
      </c>
      <c r="N32" s="49">
        <f>AVERAGE('29.07 Kira Road-Jinaj Road'!N32,'30.07 Kira Road-Jinja Road'!N32,'31.07 Kira Road-Jinja Road'!N32,'2.08 Kira Road-Jinja road'!N32,'1.08 Kira Road-Jinja Road-24h'!N32,'3.08 Kira Road-Jinja Road-24h'!N32,'4.08.KIIRA-JINJAROAD'!N32)</f>
        <v>0</v>
      </c>
      <c r="O32" s="15">
        <f t="shared" si="0"/>
        <v>184.57142857142858</v>
      </c>
      <c r="P32" s="15">
        <f t="shared" si="1"/>
        <v>359.85714285714289</v>
      </c>
      <c r="R32" s="1" t="s">
        <v>156</v>
      </c>
      <c r="S32" s="34">
        <f>SUM(C98:C101)</f>
        <v>60</v>
      </c>
      <c r="T32" s="34">
        <f t="shared" ref="T32:AF32" si="24">SUM(D98:D101)</f>
        <v>30.5</v>
      </c>
      <c r="U32" s="34">
        <f t="shared" si="24"/>
        <v>3</v>
      </c>
      <c r="V32" s="34">
        <f t="shared" si="24"/>
        <v>2</v>
      </c>
      <c r="W32" s="34">
        <f t="shared" si="24"/>
        <v>0.5</v>
      </c>
      <c r="X32" s="34">
        <f t="shared" si="24"/>
        <v>0</v>
      </c>
      <c r="Y32" s="34">
        <f t="shared" si="24"/>
        <v>1</v>
      </c>
      <c r="Z32" s="34">
        <f t="shared" si="24"/>
        <v>0</v>
      </c>
      <c r="AA32" s="34">
        <f t="shared" si="24"/>
        <v>0</v>
      </c>
      <c r="AB32" s="34">
        <f t="shared" si="24"/>
        <v>0</v>
      </c>
      <c r="AC32" s="34">
        <f t="shared" si="24"/>
        <v>64</v>
      </c>
      <c r="AD32" s="34">
        <f t="shared" si="24"/>
        <v>0</v>
      </c>
      <c r="AE32" s="31">
        <f t="shared" si="24"/>
        <v>97</v>
      </c>
      <c r="AF32" s="31">
        <f t="shared" si="24"/>
        <v>161</v>
      </c>
    </row>
    <row r="33" spans="2:32" ht="23.1" customHeight="1" x14ac:dyDescent="0.25">
      <c r="B33" s="23" t="s">
        <v>60</v>
      </c>
      <c r="C33" s="49">
        <f>AVERAGE('29.07 Kira Road-Jinaj Road'!C33,'30.07 Kira Road-Jinja Road'!C33,'31.07 Kira Road-Jinja Road'!C33,'2.08 Kira Road-Jinja road'!C33,'1.08 Kira Road-Jinja Road-24h'!C33,'3.08 Kira Road-Jinja Road-24h'!C33,'4.08.KIIRA-JINJAROAD'!C33)</f>
        <v>107.14285714285714</v>
      </c>
      <c r="D33" s="49">
        <f>AVERAGE('29.07 Kira Road-Jinaj Road'!D33,'30.07 Kira Road-Jinja Road'!D33,'31.07 Kira Road-Jinja Road'!D33,'2.08 Kira Road-Jinja road'!D33,'1.08 Kira Road-Jinja Road-24h'!D33,'3.08 Kira Road-Jinja Road-24h'!D33,'4.08.KIIRA-JINJAROAD'!D33)</f>
        <v>40.714285714285715</v>
      </c>
      <c r="E33" s="49">
        <f>AVERAGE('29.07 Kira Road-Jinaj Road'!E33,'30.07 Kira Road-Jinja Road'!E33,'31.07 Kira Road-Jinja Road'!E33,'2.08 Kira Road-Jinja road'!E33,'1.08 Kira Road-Jinja Road-24h'!E33,'3.08 Kira Road-Jinja Road-24h'!E33,'4.08.KIIRA-JINJAROAD'!E33)</f>
        <v>11.285714285714286</v>
      </c>
      <c r="F33" s="49">
        <f>AVERAGE('29.07 Kira Road-Jinaj Road'!F33,'30.07 Kira Road-Jinja Road'!F33,'31.07 Kira Road-Jinja Road'!F33,'2.08 Kira Road-Jinja road'!F33,'1.08 Kira Road-Jinja Road-24h'!F33,'3.08 Kira Road-Jinja Road-24h'!F33,'4.08.KIIRA-JINJAROAD'!F33)</f>
        <v>7.7142857142857144</v>
      </c>
      <c r="G33" s="49">
        <f>AVERAGE('29.07 Kira Road-Jinaj Road'!G33,'30.07 Kira Road-Jinja Road'!G33,'31.07 Kira Road-Jinja Road'!G33,'2.08 Kira Road-Jinja road'!G33,'1.08 Kira Road-Jinja Road-24h'!G33,'3.08 Kira Road-Jinja Road-24h'!G33,'4.08.KIIRA-JINJAROAD'!G33)</f>
        <v>0</v>
      </c>
      <c r="H33" s="49">
        <f>AVERAGE('29.07 Kira Road-Jinaj Road'!H33,'30.07 Kira Road-Jinja Road'!H33,'31.07 Kira Road-Jinja Road'!H33,'2.08 Kira Road-Jinja road'!H33,'1.08 Kira Road-Jinja Road-24h'!H33,'3.08 Kira Road-Jinja Road-24h'!H33,'4.08.KIIRA-JINJAROAD'!H33)</f>
        <v>0</v>
      </c>
      <c r="I33" s="49">
        <f>AVERAGE('29.07 Kira Road-Jinaj Road'!I33,'30.07 Kira Road-Jinja Road'!I33,'31.07 Kira Road-Jinja Road'!I33,'2.08 Kira Road-Jinja road'!I33,'1.08 Kira Road-Jinja Road-24h'!I33,'3.08 Kira Road-Jinja Road-24h'!I33,'4.08.KIIRA-JINJAROAD'!I33)</f>
        <v>7</v>
      </c>
      <c r="J33" s="49">
        <f>AVERAGE('29.07 Kira Road-Jinaj Road'!J33,'30.07 Kira Road-Jinja Road'!J33,'31.07 Kira Road-Jinja Road'!J33,'2.08 Kira Road-Jinja road'!J33,'1.08 Kira Road-Jinja Road-24h'!J33,'3.08 Kira Road-Jinja Road-24h'!J33,'4.08.KIIRA-JINJAROAD'!J33)</f>
        <v>2.5714285714285716</v>
      </c>
      <c r="K33" s="49">
        <f>AVERAGE('29.07 Kira Road-Jinaj Road'!K33,'30.07 Kira Road-Jinja Road'!K33,'31.07 Kira Road-Jinja Road'!K33,'2.08 Kira Road-Jinja road'!K33,'1.08 Kira Road-Jinja Road-24h'!K33,'3.08 Kira Road-Jinja Road-24h'!K33,'4.08.KIIRA-JINJAROAD'!K33)</f>
        <v>0.2857142857142857</v>
      </c>
      <c r="L33" s="49">
        <f>AVERAGE('29.07 Kira Road-Jinaj Road'!L33,'30.07 Kira Road-Jinja Road'!L33,'31.07 Kira Road-Jinja Road'!L33,'2.08 Kira Road-Jinja road'!L33,'1.08 Kira Road-Jinja Road-24h'!L33,'3.08 Kira Road-Jinja Road-24h'!L33,'4.08.KIIRA-JINJAROAD'!L33)</f>
        <v>0.2857142857142857</v>
      </c>
      <c r="M33" s="49">
        <f>AVERAGE('29.07 Kira Road-Jinaj Road'!M33,'30.07 Kira Road-Jinja Road'!M33,'31.07 Kira Road-Jinja Road'!M33,'2.08 Kira Road-Jinja road'!M33,'1.08 Kira Road-Jinja Road-24h'!M33,'3.08 Kira Road-Jinja Road-24h'!M33,'4.08.KIIRA-JINJAROAD'!M33)</f>
        <v>182.57142857142858</v>
      </c>
      <c r="N33" s="49">
        <f>AVERAGE('29.07 Kira Road-Jinaj Road'!N33,'30.07 Kira Road-Jinja Road'!N33,'31.07 Kira Road-Jinja Road'!N33,'2.08 Kira Road-Jinja road'!N33,'1.08 Kira Road-Jinja Road-24h'!N33,'3.08 Kira Road-Jinja Road-24h'!N33,'4.08.KIIRA-JINJAROAD'!N33)</f>
        <v>0</v>
      </c>
      <c r="O33" s="15">
        <f t="shared" si="0"/>
        <v>177</v>
      </c>
      <c r="P33" s="15">
        <f t="shared" si="1"/>
        <v>359.57142857142856</v>
      </c>
      <c r="R33" s="1" t="s">
        <v>157</v>
      </c>
      <c r="S33" s="34">
        <f>SUM(C102:C105)</f>
        <v>175</v>
      </c>
      <c r="T33" s="34">
        <f t="shared" ref="T33:AF33" si="25">SUM(D102:D105)</f>
        <v>26.5</v>
      </c>
      <c r="U33" s="34">
        <f t="shared" si="25"/>
        <v>14</v>
      </c>
      <c r="V33" s="34">
        <f t="shared" si="25"/>
        <v>3</v>
      </c>
      <c r="W33" s="34">
        <f t="shared" si="25"/>
        <v>0.5</v>
      </c>
      <c r="X33" s="34">
        <f t="shared" si="25"/>
        <v>0.5</v>
      </c>
      <c r="Y33" s="34">
        <f t="shared" si="25"/>
        <v>5</v>
      </c>
      <c r="Z33" s="34">
        <f t="shared" si="25"/>
        <v>1.5</v>
      </c>
      <c r="AA33" s="34">
        <f t="shared" si="25"/>
        <v>0.5</v>
      </c>
      <c r="AB33" s="34">
        <f t="shared" si="25"/>
        <v>0.5</v>
      </c>
      <c r="AC33" s="34">
        <f t="shared" si="25"/>
        <v>176.5</v>
      </c>
      <c r="AD33" s="34">
        <f t="shared" si="25"/>
        <v>0</v>
      </c>
      <c r="AE33" s="31">
        <f t="shared" si="25"/>
        <v>227</v>
      </c>
      <c r="AF33" s="31">
        <f t="shared" si="25"/>
        <v>403.5</v>
      </c>
    </row>
    <row r="34" spans="2:32" ht="23.1" customHeight="1" x14ac:dyDescent="0.25">
      <c r="B34" s="24" t="s">
        <v>61</v>
      </c>
      <c r="C34" s="49">
        <f>AVERAGE('29.07 Kira Road-Jinaj Road'!C34,'30.07 Kira Road-Jinja Road'!C34,'31.07 Kira Road-Jinja Road'!C34,'2.08 Kira Road-Jinja road'!C34,'1.08 Kira Road-Jinja Road-24h'!C34,'3.08 Kira Road-Jinja Road-24h'!C34,'4.08.KIIRA-JINJAROAD'!C34)</f>
        <v>128.71428571428572</v>
      </c>
      <c r="D34" s="49">
        <f>AVERAGE('29.07 Kira Road-Jinaj Road'!D34,'30.07 Kira Road-Jinja Road'!D34,'31.07 Kira Road-Jinja Road'!D34,'2.08 Kira Road-Jinja road'!D34,'1.08 Kira Road-Jinja Road-24h'!D34,'3.08 Kira Road-Jinja Road-24h'!D34,'4.08.KIIRA-JINJAROAD'!D34)</f>
        <v>51.714285714285715</v>
      </c>
      <c r="E34" s="49">
        <f>AVERAGE('29.07 Kira Road-Jinaj Road'!E34,'30.07 Kira Road-Jinja Road'!E34,'31.07 Kira Road-Jinja Road'!E34,'2.08 Kira Road-Jinja road'!E34,'1.08 Kira Road-Jinja Road-24h'!E34,'3.08 Kira Road-Jinja Road-24h'!E34,'4.08.KIIRA-JINJAROAD'!E34)</f>
        <v>14</v>
      </c>
      <c r="F34" s="49">
        <f>AVERAGE('29.07 Kira Road-Jinaj Road'!F34,'30.07 Kira Road-Jinja Road'!F34,'31.07 Kira Road-Jinja Road'!F34,'2.08 Kira Road-Jinja road'!F34,'1.08 Kira Road-Jinja Road-24h'!F34,'3.08 Kira Road-Jinja Road-24h'!F34,'4.08.KIIRA-JINJAROAD'!F34)</f>
        <v>6.7142857142857144</v>
      </c>
      <c r="G34" s="49">
        <f>AVERAGE('29.07 Kira Road-Jinaj Road'!G34,'30.07 Kira Road-Jinja Road'!G34,'31.07 Kira Road-Jinja Road'!G34,'2.08 Kira Road-Jinja road'!G34,'1.08 Kira Road-Jinja Road-24h'!G34,'3.08 Kira Road-Jinja Road-24h'!G34,'4.08.KIIRA-JINJAROAD'!G34)</f>
        <v>0.14285714285714285</v>
      </c>
      <c r="H34" s="49">
        <f>AVERAGE('29.07 Kira Road-Jinaj Road'!H34,'30.07 Kira Road-Jinja Road'!H34,'31.07 Kira Road-Jinja Road'!H34,'2.08 Kira Road-Jinja road'!H34,'1.08 Kira Road-Jinja Road-24h'!H34,'3.08 Kira Road-Jinja Road-24h'!H34,'4.08.KIIRA-JINJAROAD'!H34)</f>
        <v>0</v>
      </c>
      <c r="I34" s="49">
        <f>AVERAGE('29.07 Kira Road-Jinaj Road'!I34,'30.07 Kira Road-Jinja Road'!I34,'31.07 Kira Road-Jinja Road'!I34,'2.08 Kira Road-Jinja road'!I34,'1.08 Kira Road-Jinja Road-24h'!I34,'3.08 Kira Road-Jinja Road-24h'!I34,'4.08.KIIRA-JINJAROAD'!I34)</f>
        <v>4.7142857142857144</v>
      </c>
      <c r="J34" s="49">
        <f>AVERAGE('29.07 Kira Road-Jinaj Road'!J34,'30.07 Kira Road-Jinja Road'!J34,'31.07 Kira Road-Jinja Road'!J34,'2.08 Kira Road-Jinja road'!J34,'1.08 Kira Road-Jinja Road-24h'!J34,'3.08 Kira Road-Jinja Road-24h'!J34,'4.08.KIIRA-JINJAROAD'!J34)</f>
        <v>2.4285714285714284</v>
      </c>
      <c r="K34" s="49">
        <f>AVERAGE('29.07 Kira Road-Jinaj Road'!K34,'30.07 Kira Road-Jinja Road'!K34,'31.07 Kira Road-Jinja Road'!K34,'2.08 Kira Road-Jinja road'!K34,'1.08 Kira Road-Jinja Road-24h'!K34,'3.08 Kira Road-Jinja Road-24h'!K34,'4.08.KIIRA-JINJAROAD'!K34)</f>
        <v>0.5714285714285714</v>
      </c>
      <c r="L34" s="49">
        <f>AVERAGE('29.07 Kira Road-Jinaj Road'!L34,'30.07 Kira Road-Jinja Road'!L34,'31.07 Kira Road-Jinja Road'!L34,'2.08 Kira Road-Jinja road'!L34,'1.08 Kira Road-Jinja Road-24h'!L34,'3.08 Kira Road-Jinja Road-24h'!L34,'4.08.KIIRA-JINJAROAD'!L34)</f>
        <v>0.14285714285714285</v>
      </c>
      <c r="M34" s="49">
        <f>AVERAGE('29.07 Kira Road-Jinaj Road'!M34,'30.07 Kira Road-Jinja Road'!M34,'31.07 Kira Road-Jinja Road'!M34,'2.08 Kira Road-Jinja road'!M34,'1.08 Kira Road-Jinja Road-24h'!M34,'3.08 Kira Road-Jinja Road-24h'!M34,'4.08.KIIRA-JINJAROAD'!M34)</f>
        <v>165.57142857142858</v>
      </c>
      <c r="N34" s="49">
        <f>AVERAGE('29.07 Kira Road-Jinaj Road'!N34,'30.07 Kira Road-Jinja Road'!N34,'31.07 Kira Road-Jinja Road'!N34,'2.08 Kira Road-Jinja road'!N34,'1.08 Kira Road-Jinja Road-24h'!N34,'3.08 Kira Road-Jinja Road-24h'!N34,'4.08.KIIRA-JINJAROAD'!N34)</f>
        <v>0</v>
      </c>
      <c r="O34" s="15">
        <f t="shared" si="0"/>
        <v>209.14285714285717</v>
      </c>
      <c r="P34" s="15">
        <f t="shared" si="1"/>
        <v>374.71428571428578</v>
      </c>
      <c r="R34" s="38" t="s">
        <v>90</v>
      </c>
      <c r="S34" s="39">
        <f t="shared" ref="S34:AF34" si="26">MAX(S10:S12)</f>
        <v>481.71428571428572</v>
      </c>
      <c r="T34" s="39">
        <f t="shared" si="26"/>
        <v>185.71428571428572</v>
      </c>
      <c r="U34" s="39">
        <f t="shared" si="26"/>
        <v>72.285714285714278</v>
      </c>
      <c r="V34" s="39">
        <f t="shared" si="26"/>
        <v>19.142857142857142</v>
      </c>
      <c r="W34" s="39">
        <f t="shared" si="26"/>
        <v>2</v>
      </c>
      <c r="X34" s="39">
        <f t="shared" si="26"/>
        <v>0.71428571428571419</v>
      </c>
      <c r="Y34" s="39">
        <f t="shared" si="26"/>
        <v>21.142857142857146</v>
      </c>
      <c r="Z34" s="39">
        <f t="shared" si="26"/>
        <v>8.2857142857142847</v>
      </c>
      <c r="AA34" s="39">
        <f t="shared" si="26"/>
        <v>2.8571428571428572</v>
      </c>
      <c r="AB34" s="39">
        <f t="shared" si="26"/>
        <v>0.8571428571428571</v>
      </c>
      <c r="AC34" s="39">
        <f t="shared" si="26"/>
        <v>720.57142857142867</v>
      </c>
      <c r="AD34" s="39">
        <f t="shared" si="26"/>
        <v>0</v>
      </c>
      <c r="AE34" s="40">
        <f t="shared" si="26"/>
        <v>794.57142857142856</v>
      </c>
      <c r="AF34" s="40">
        <f t="shared" si="26"/>
        <v>1475.2857142857142</v>
      </c>
    </row>
    <row r="35" spans="2:32" ht="23.1" customHeight="1" x14ac:dyDescent="0.25">
      <c r="B35" s="24" t="s">
        <v>62</v>
      </c>
      <c r="C35" s="49">
        <f>AVERAGE('29.07 Kira Road-Jinaj Road'!C35,'30.07 Kira Road-Jinja Road'!C35,'31.07 Kira Road-Jinja Road'!C35,'2.08 Kira Road-Jinja road'!C35,'1.08 Kira Road-Jinja Road-24h'!C35,'3.08 Kira Road-Jinja Road-24h'!C35,'4.08.KIIRA-JINJAROAD'!C35)</f>
        <v>98.714285714285708</v>
      </c>
      <c r="D35" s="49">
        <f>AVERAGE('29.07 Kira Road-Jinaj Road'!D35,'30.07 Kira Road-Jinja Road'!D35,'31.07 Kira Road-Jinja Road'!D35,'2.08 Kira Road-Jinja road'!D35,'1.08 Kira Road-Jinja Road-24h'!D35,'3.08 Kira Road-Jinja Road-24h'!D35,'4.08.KIIRA-JINJAROAD'!D35)</f>
        <v>41.571428571428569</v>
      </c>
      <c r="E35" s="49">
        <f>AVERAGE('29.07 Kira Road-Jinaj Road'!E35,'30.07 Kira Road-Jinja Road'!E35,'31.07 Kira Road-Jinja Road'!E35,'2.08 Kira Road-Jinja road'!E35,'1.08 Kira Road-Jinja Road-24h'!E35,'3.08 Kira Road-Jinja Road-24h'!E35,'4.08.KIIRA-JINJAROAD'!E35)</f>
        <v>20.714285714285715</v>
      </c>
      <c r="F35" s="49">
        <f>AVERAGE('29.07 Kira Road-Jinaj Road'!F35,'30.07 Kira Road-Jinja Road'!F35,'31.07 Kira Road-Jinja Road'!F35,'2.08 Kira Road-Jinja road'!F35,'1.08 Kira Road-Jinja Road-24h'!F35,'3.08 Kira Road-Jinja Road-24h'!F35,'4.08.KIIRA-JINJAROAD'!F35)</f>
        <v>5.8571428571428568</v>
      </c>
      <c r="G35" s="49">
        <f>AVERAGE('29.07 Kira Road-Jinaj Road'!G35,'30.07 Kira Road-Jinja Road'!G35,'31.07 Kira Road-Jinja Road'!G35,'2.08 Kira Road-Jinja road'!G35,'1.08 Kira Road-Jinja Road-24h'!G35,'3.08 Kira Road-Jinja Road-24h'!G35,'4.08.KIIRA-JINJAROAD'!G35)</f>
        <v>0.2857142857142857</v>
      </c>
      <c r="H35" s="49">
        <f>AVERAGE('29.07 Kira Road-Jinaj Road'!H35,'30.07 Kira Road-Jinja Road'!H35,'31.07 Kira Road-Jinja Road'!H35,'2.08 Kira Road-Jinja road'!H35,'1.08 Kira Road-Jinja Road-24h'!H35,'3.08 Kira Road-Jinja Road-24h'!H35,'4.08.KIIRA-JINJAROAD'!H35)</f>
        <v>0</v>
      </c>
      <c r="I35" s="49">
        <f>AVERAGE('29.07 Kira Road-Jinaj Road'!I35,'30.07 Kira Road-Jinja Road'!I35,'31.07 Kira Road-Jinja Road'!I35,'2.08 Kira Road-Jinja road'!I35,'1.08 Kira Road-Jinja Road-24h'!I35,'3.08 Kira Road-Jinja Road-24h'!I35,'4.08.KIIRA-JINJAROAD'!I35)</f>
        <v>6.5714285714285712</v>
      </c>
      <c r="J35" s="49">
        <f>AVERAGE('29.07 Kira Road-Jinaj Road'!J35,'30.07 Kira Road-Jinja Road'!J35,'31.07 Kira Road-Jinja Road'!J35,'2.08 Kira Road-Jinja road'!J35,'1.08 Kira Road-Jinja Road-24h'!J35,'3.08 Kira Road-Jinja Road-24h'!J35,'4.08.KIIRA-JINJAROAD'!J35)</f>
        <v>1.5714285714285714</v>
      </c>
      <c r="K35" s="49">
        <f>AVERAGE('29.07 Kira Road-Jinaj Road'!K35,'30.07 Kira Road-Jinja Road'!K35,'31.07 Kira Road-Jinja Road'!K35,'2.08 Kira Road-Jinja road'!K35,'1.08 Kira Road-Jinja Road-24h'!K35,'3.08 Kira Road-Jinja Road-24h'!K35,'4.08.KIIRA-JINJAROAD'!K35)</f>
        <v>0.14285714285714285</v>
      </c>
      <c r="L35" s="49">
        <f>AVERAGE('29.07 Kira Road-Jinaj Road'!L35,'30.07 Kira Road-Jinja Road'!L35,'31.07 Kira Road-Jinja Road'!L35,'2.08 Kira Road-Jinja road'!L35,'1.08 Kira Road-Jinja Road-24h'!L35,'3.08 Kira Road-Jinja Road-24h'!L35,'4.08.KIIRA-JINJAROAD'!L35)</f>
        <v>0</v>
      </c>
      <c r="M35" s="49">
        <f>AVERAGE('29.07 Kira Road-Jinaj Road'!M35,'30.07 Kira Road-Jinja Road'!M35,'31.07 Kira Road-Jinja Road'!M35,'2.08 Kira Road-Jinja road'!M35,'1.08 Kira Road-Jinja Road-24h'!M35,'3.08 Kira Road-Jinja Road-24h'!M35,'4.08.KIIRA-JINJAROAD'!M35)</f>
        <v>183.14285714285714</v>
      </c>
      <c r="N35" s="49">
        <f>AVERAGE('29.07 Kira Road-Jinaj Road'!N35,'30.07 Kira Road-Jinja Road'!N35,'31.07 Kira Road-Jinja Road'!N35,'2.08 Kira Road-Jinja road'!N35,'1.08 Kira Road-Jinja Road-24h'!N35,'3.08 Kira Road-Jinja Road-24h'!N35,'4.08.KIIRA-JINJAROAD'!N35)</f>
        <v>0</v>
      </c>
      <c r="O35" s="15">
        <f t="shared" si="0"/>
        <v>175.42857142857144</v>
      </c>
      <c r="P35" s="15">
        <f t="shared" si="1"/>
        <v>358.57142857142856</v>
      </c>
      <c r="R35" s="38" t="s">
        <v>91</v>
      </c>
      <c r="S35" s="39">
        <f t="shared" ref="S35:AF35" si="27">MAX(S13:S18)</f>
        <v>490.42857142857144</v>
      </c>
      <c r="T35" s="39">
        <f t="shared" si="27"/>
        <v>221.28571428571428</v>
      </c>
      <c r="U35" s="39">
        <f t="shared" si="27"/>
        <v>82.857142857142847</v>
      </c>
      <c r="V35" s="39">
        <f t="shared" si="27"/>
        <v>32.428571428571431</v>
      </c>
      <c r="W35" s="39">
        <f t="shared" si="27"/>
        <v>1.1428571428571428</v>
      </c>
      <c r="X35" s="39">
        <f t="shared" si="27"/>
        <v>1</v>
      </c>
      <c r="Y35" s="39">
        <f t="shared" si="27"/>
        <v>30.142857142857146</v>
      </c>
      <c r="Z35" s="39">
        <f t="shared" si="27"/>
        <v>8.8571428571428577</v>
      </c>
      <c r="AA35" s="39">
        <f t="shared" si="27"/>
        <v>2.7142857142857144</v>
      </c>
      <c r="AB35" s="39">
        <f t="shared" si="27"/>
        <v>1</v>
      </c>
      <c r="AC35" s="39">
        <f t="shared" si="27"/>
        <v>753.57142857142856</v>
      </c>
      <c r="AD35" s="39">
        <f t="shared" si="27"/>
        <v>0</v>
      </c>
      <c r="AE35" s="40">
        <f t="shared" si="27"/>
        <v>813.99999999999989</v>
      </c>
      <c r="AF35" s="40">
        <f t="shared" si="27"/>
        <v>1499.5714285714284</v>
      </c>
    </row>
    <row r="36" spans="2:32" ht="23.1" customHeight="1" x14ac:dyDescent="0.25">
      <c r="B36" s="24" t="s">
        <v>63</v>
      </c>
      <c r="C36" s="49">
        <f>AVERAGE('29.07 Kira Road-Jinaj Road'!C36,'30.07 Kira Road-Jinja Road'!C36,'31.07 Kira Road-Jinja Road'!C36,'2.08 Kira Road-Jinja road'!C36,'1.08 Kira Road-Jinja Road-24h'!C36,'3.08 Kira Road-Jinja Road-24h'!C36,'4.08.KIIRA-JINJAROAD'!C36)</f>
        <v>92.142857142857139</v>
      </c>
      <c r="D36" s="49">
        <f>AVERAGE('29.07 Kira Road-Jinaj Road'!D36,'30.07 Kira Road-Jinja Road'!D36,'31.07 Kira Road-Jinja Road'!D36,'2.08 Kira Road-Jinja road'!D36,'1.08 Kira Road-Jinja Road-24h'!D36,'3.08 Kira Road-Jinja Road-24h'!D36,'4.08.KIIRA-JINJAROAD'!D36)</f>
        <v>53.142857142857146</v>
      </c>
      <c r="E36" s="49">
        <f>AVERAGE('29.07 Kira Road-Jinaj Road'!E36,'30.07 Kira Road-Jinja Road'!E36,'31.07 Kira Road-Jinja Road'!E36,'2.08 Kira Road-Jinja road'!E36,'1.08 Kira Road-Jinja Road-24h'!E36,'3.08 Kira Road-Jinja Road-24h'!E36,'4.08.KIIRA-JINJAROAD'!E36)</f>
        <v>14</v>
      </c>
      <c r="F36" s="49">
        <f>AVERAGE('29.07 Kira Road-Jinaj Road'!F36,'30.07 Kira Road-Jinja Road'!F36,'31.07 Kira Road-Jinja Road'!F36,'2.08 Kira Road-Jinja road'!F36,'1.08 Kira Road-Jinja Road-24h'!F36,'3.08 Kira Road-Jinja Road-24h'!F36,'4.08.KIIRA-JINJAROAD'!F36)</f>
        <v>6.2857142857142856</v>
      </c>
      <c r="G36" s="49">
        <f>AVERAGE('29.07 Kira Road-Jinaj Road'!G36,'30.07 Kira Road-Jinja Road'!G36,'31.07 Kira Road-Jinja Road'!G36,'2.08 Kira Road-Jinja road'!G36,'1.08 Kira Road-Jinja Road-24h'!G36,'3.08 Kira Road-Jinja Road-24h'!G36,'4.08.KIIRA-JINJAROAD'!G36)</f>
        <v>0.2857142857142857</v>
      </c>
      <c r="H36" s="49">
        <f>AVERAGE('29.07 Kira Road-Jinaj Road'!H36,'30.07 Kira Road-Jinja Road'!H36,'31.07 Kira Road-Jinja Road'!H36,'2.08 Kira Road-Jinja road'!H36,'1.08 Kira Road-Jinja Road-24h'!H36,'3.08 Kira Road-Jinja Road-24h'!H36,'4.08.KIIRA-JINJAROAD'!H36)</f>
        <v>0</v>
      </c>
      <c r="I36" s="49">
        <f>AVERAGE('29.07 Kira Road-Jinaj Road'!I36,'30.07 Kira Road-Jinja Road'!I36,'31.07 Kira Road-Jinja Road'!I36,'2.08 Kira Road-Jinja road'!I36,'1.08 Kira Road-Jinja Road-24h'!I36,'3.08 Kira Road-Jinja Road-24h'!I36,'4.08.KIIRA-JINJAROAD'!I36)</f>
        <v>5</v>
      </c>
      <c r="J36" s="49">
        <f>AVERAGE('29.07 Kira Road-Jinaj Road'!J36,'30.07 Kira Road-Jinja Road'!J36,'31.07 Kira Road-Jinja Road'!J36,'2.08 Kira Road-Jinja road'!J36,'1.08 Kira Road-Jinja Road-24h'!J36,'3.08 Kira Road-Jinja Road-24h'!J36,'4.08.KIIRA-JINJAROAD'!J36)</f>
        <v>1.5714285714285714</v>
      </c>
      <c r="K36" s="49">
        <f>AVERAGE('29.07 Kira Road-Jinaj Road'!K36,'30.07 Kira Road-Jinja Road'!K36,'31.07 Kira Road-Jinja Road'!K36,'2.08 Kira Road-Jinja road'!K36,'1.08 Kira Road-Jinja Road-24h'!K36,'3.08 Kira Road-Jinja Road-24h'!K36,'4.08.KIIRA-JINJAROAD'!K36)</f>
        <v>0.2857142857142857</v>
      </c>
      <c r="L36" s="49">
        <f>AVERAGE('29.07 Kira Road-Jinaj Road'!L36,'30.07 Kira Road-Jinja Road'!L36,'31.07 Kira Road-Jinja Road'!L36,'2.08 Kira Road-Jinja road'!L36,'1.08 Kira Road-Jinja Road-24h'!L36,'3.08 Kira Road-Jinja Road-24h'!L36,'4.08.KIIRA-JINJAROAD'!L36)</f>
        <v>0.14285714285714285</v>
      </c>
      <c r="M36" s="49">
        <f>AVERAGE('29.07 Kira Road-Jinaj Road'!M36,'30.07 Kira Road-Jinja Road'!M36,'31.07 Kira Road-Jinja Road'!M36,'2.08 Kira Road-Jinja road'!M36,'1.08 Kira Road-Jinja Road-24h'!M36,'3.08 Kira Road-Jinja Road-24h'!M36,'4.08.KIIRA-JINJAROAD'!M36)</f>
        <v>185.28571428571428</v>
      </c>
      <c r="N36" s="49">
        <f>AVERAGE('29.07 Kira Road-Jinaj Road'!N36,'30.07 Kira Road-Jinja Road'!N36,'31.07 Kira Road-Jinja Road'!N36,'2.08 Kira Road-Jinja road'!N36,'1.08 Kira Road-Jinja Road-24h'!N36,'3.08 Kira Road-Jinja Road-24h'!N36,'4.08.KIIRA-JINJAROAD'!N36)</f>
        <v>0</v>
      </c>
      <c r="O36" s="15">
        <f t="shared" si="0"/>
        <v>172.85714285714283</v>
      </c>
      <c r="P36" s="15">
        <f t="shared" si="1"/>
        <v>358.14285714285711</v>
      </c>
      <c r="R36" s="38" t="s">
        <v>92</v>
      </c>
      <c r="S36" s="39">
        <f t="shared" ref="S36:AF36" si="28">MAX(S19:S21)</f>
        <v>1745.1428571428573</v>
      </c>
      <c r="T36" s="39">
        <f t="shared" si="28"/>
        <v>202.14285714285714</v>
      </c>
      <c r="U36" s="39">
        <f t="shared" si="28"/>
        <v>69.142857142857139</v>
      </c>
      <c r="V36" s="39">
        <f t="shared" si="28"/>
        <v>31</v>
      </c>
      <c r="W36" s="39">
        <f t="shared" si="28"/>
        <v>0.8571428571428571</v>
      </c>
      <c r="X36" s="39">
        <f t="shared" si="28"/>
        <v>0.5714285714285714</v>
      </c>
      <c r="Y36" s="39">
        <f t="shared" si="28"/>
        <v>25.428571428571427</v>
      </c>
      <c r="Z36" s="39">
        <f t="shared" si="28"/>
        <v>8.428571428571427</v>
      </c>
      <c r="AA36" s="39">
        <f t="shared" si="28"/>
        <v>2.1428571428571428</v>
      </c>
      <c r="AB36" s="39">
        <f t="shared" si="28"/>
        <v>0.71428571428571419</v>
      </c>
      <c r="AC36" s="39">
        <f t="shared" si="28"/>
        <v>755</v>
      </c>
      <c r="AD36" s="39">
        <f t="shared" si="28"/>
        <v>61.857142857142854</v>
      </c>
      <c r="AE36" s="40">
        <f t="shared" si="28"/>
        <v>2073.5714285714284</v>
      </c>
      <c r="AF36" s="40">
        <f t="shared" si="28"/>
        <v>2828.5714285714284</v>
      </c>
    </row>
    <row r="37" spans="2:32" ht="23.1" customHeight="1" x14ac:dyDescent="0.25">
      <c r="B37" s="23" t="s">
        <v>64</v>
      </c>
      <c r="C37" s="49">
        <f>AVERAGE('29.07 Kira Road-Jinaj Road'!C37,'30.07 Kira Road-Jinja Road'!C37,'31.07 Kira Road-Jinja Road'!C37,'2.08 Kira Road-Jinja road'!C37,'1.08 Kira Road-Jinja Road-24h'!C37,'3.08 Kira Road-Jinja Road-24h'!C37,'4.08.KIIRA-JINJAROAD'!C37)</f>
        <v>125.28571428571429</v>
      </c>
      <c r="D37" s="49">
        <f>AVERAGE('29.07 Kira Road-Jinaj Road'!D37,'30.07 Kira Road-Jinja Road'!D37,'31.07 Kira Road-Jinja Road'!D37,'2.08 Kira Road-Jinja road'!D37,'1.08 Kira Road-Jinja Road-24h'!D37,'3.08 Kira Road-Jinja Road-24h'!D37,'4.08.KIIRA-JINJAROAD'!D37)</f>
        <v>57.714285714285715</v>
      </c>
      <c r="E37" s="49">
        <f>AVERAGE('29.07 Kira Road-Jinaj Road'!E37,'30.07 Kira Road-Jinja Road'!E37,'31.07 Kira Road-Jinja Road'!E37,'2.08 Kira Road-Jinja road'!E37,'1.08 Kira Road-Jinja Road-24h'!E37,'3.08 Kira Road-Jinja Road-24h'!E37,'4.08.KIIRA-JINJAROAD'!E37)</f>
        <v>16.571428571428573</v>
      </c>
      <c r="F37" s="49">
        <f>AVERAGE('29.07 Kira Road-Jinaj Road'!F37,'30.07 Kira Road-Jinja Road'!F37,'31.07 Kira Road-Jinja Road'!F37,'2.08 Kira Road-Jinja road'!F37,'1.08 Kira Road-Jinja Road-24h'!F37,'3.08 Kira Road-Jinja Road-24h'!F37,'4.08.KIIRA-JINJAROAD'!F37)</f>
        <v>4.8571428571428568</v>
      </c>
      <c r="G37" s="49">
        <f>AVERAGE('29.07 Kira Road-Jinaj Road'!G37,'30.07 Kira Road-Jinja Road'!G37,'31.07 Kira Road-Jinja Road'!G37,'2.08 Kira Road-Jinja road'!G37,'1.08 Kira Road-Jinja Road-24h'!G37,'3.08 Kira Road-Jinja Road-24h'!G37,'4.08.KIIRA-JINJAROAD'!G37)</f>
        <v>0.42857142857142855</v>
      </c>
      <c r="H37" s="49">
        <f>AVERAGE('29.07 Kira Road-Jinaj Road'!H37,'30.07 Kira Road-Jinja Road'!H37,'31.07 Kira Road-Jinja Road'!H37,'2.08 Kira Road-Jinja road'!H37,'1.08 Kira Road-Jinja Road-24h'!H37,'3.08 Kira Road-Jinja Road-24h'!H37,'4.08.KIIRA-JINJAROAD'!H37)</f>
        <v>0.2857142857142857</v>
      </c>
      <c r="I37" s="49">
        <f>AVERAGE('29.07 Kira Road-Jinaj Road'!I37,'30.07 Kira Road-Jinja Road'!I37,'31.07 Kira Road-Jinja Road'!I37,'2.08 Kira Road-Jinja road'!I37,'1.08 Kira Road-Jinja Road-24h'!I37,'3.08 Kira Road-Jinja Road-24h'!I37,'4.08.KIIRA-JINJAROAD'!I37)</f>
        <v>5.1428571428571432</v>
      </c>
      <c r="J37" s="49">
        <f>AVERAGE('29.07 Kira Road-Jinaj Road'!J37,'30.07 Kira Road-Jinja Road'!J37,'31.07 Kira Road-Jinja Road'!J37,'2.08 Kira Road-Jinja road'!J37,'1.08 Kira Road-Jinja Road-24h'!J37,'3.08 Kira Road-Jinja Road-24h'!J37,'4.08.KIIRA-JINJAROAD'!J37)</f>
        <v>2</v>
      </c>
      <c r="K37" s="49">
        <f>AVERAGE('29.07 Kira Road-Jinaj Road'!K37,'30.07 Kira Road-Jinja Road'!K37,'31.07 Kira Road-Jinja Road'!K37,'2.08 Kira Road-Jinja road'!K37,'1.08 Kira Road-Jinja Road-24h'!K37,'3.08 Kira Road-Jinja Road-24h'!K37,'4.08.KIIRA-JINJAROAD'!K37)</f>
        <v>0.42857142857142855</v>
      </c>
      <c r="L37" s="49">
        <f>AVERAGE('29.07 Kira Road-Jinaj Road'!L37,'30.07 Kira Road-Jinja Road'!L37,'31.07 Kira Road-Jinja Road'!L37,'2.08 Kira Road-Jinja road'!L37,'1.08 Kira Road-Jinja Road-24h'!L37,'3.08 Kira Road-Jinja Road-24h'!L37,'4.08.KIIRA-JINJAROAD'!L37)</f>
        <v>0</v>
      </c>
      <c r="M37" s="49">
        <f>AVERAGE('29.07 Kira Road-Jinaj Road'!M37,'30.07 Kira Road-Jinja Road'!M37,'31.07 Kira Road-Jinja Road'!M37,'2.08 Kira Road-Jinja road'!M37,'1.08 Kira Road-Jinja Road-24h'!M37,'3.08 Kira Road-Jinja Road-24h'!M37,'4.08.KIIRA-JINJAROAD'!M37)</f>
        <v>166</v>
      </c>
      <c r="N37" s="49">
        <f>AVERAGE('29.07 Kira Road-Jinaj Road'!N37,'30.07 Kira Road-Jinja Road'!N37,'31.07 Kira Road-Jinja Road'!N37,'2.08 Kira Road-Jinja road'!N37,'1.08 Kira Road-Jinja Road-24h'!N37,'3.08 Kira Road-Jinja Road-24h'!N37,'4.08.KIIRA-JINJAROAD'!N37)</f>
        <v>0</v>
      </c>
      <c r="O37" s="15">
        <f t="shared" si="0"/>
        <v>212.71428571428569</v>
      </c>
      <c r="P37" s="15">
        <f t="shared" si="1"/>
        <v>378.71428571428567</v>
      </c>
      <c r="R37" s="37" t="s">
        <v>85</v>
      </c>
      <c r="S37" s="35">
        <f t="shared" ref="S37:AF37" si="29">SUM(S10:S12)</f>
        <v>1245.8571428571429</v>
      </c>
      <c r="T37" s="16">
        <f t="shared" si="29"/>
        <v>452.57142857142861</v>
      </c>
      <c r="U37" s="16">
        <f t="shared" si="29"/>
        <v>176.28571428571428</v>
      </c>
      <c r="V37" s="16">
        <f t="shared" si="29"/>
        <v>55.571428571428569</v>
      </c>
      <c r="W37" s="16">
        <f t="shared" si="29"/>
        <v>4.1428571428571423</v>
      </c>
      <c r="X37" s="16">
        <f t="shared" si="29"/>
        <v>0.71428571428571419</v>
      </c>
      <c r="Y37" s="16">
        <f t="shared" si="29"/>
        <v>43.857142857142861</v>
      </c>
      <c r="Z37" s="16">
        <f t="shared" si="29"/>
        <v>14.142857142857142</v>
      </c>
      <c r="AA37" s="16">
        <f t="shared" si="29"/>
        <v>4.2857142857142856</v>
      </c>
      <c r="AB37" s="16">
        <f t="shared" si="29"/>
        <v>1.4285714285714284</v>
      </c>
      <c r="AC37" s="16">
        <f t="shared" si="29"/>
        <v>1879.4285714285716</v>
      </c>
      <c r="AD37" s="16">
        <f t="shared" si="29"/>
        <v>0</v>
      </c>
      <c r="AE37" s="32">
        <f t="shared" si="29"/>
        <v>1998.8571428571427</v>
      </c>
      <c r="AF37" s="32">
        <f t="shared" si="29"/>
        <v>3878.2857142857142</v>
      </c>
    </row>
    <row r="38" spans="2:32" ht="23.1" customHeight="1" x14ac:dyDescent="0.25">
      <c r="B38" s="24" t="s">
        <v>65</v>
      </c>
      <c r="C38" s="49">
        <f>AVERAGE('29.07 Kira Road-Jinaj Road'!C38,'30.07 Kira Road-Jinja Road'!C38,'31.07 Kira Road-Jinja Road'!C38,'2.08 Kira Road-Jinja road'!C38,'1.08 Kira Road-Jinja Road-24h'!C38,'3.08 Kira Road-Jinja Road-24h'!C38,'4.08.KIIRA-JINJAROAD'!C38)</f>
        <v>119.85714285714286</v>
      </c>
      <c r="D38" s="49">
        <f>AVERAGE('29.07 Kira Road-Jinaj Road'!D38,'30.07 Kira Road-Jinja Road'!D38,'31.07 Kira Road-Jinja Road'!D38,'2.08 Kira Road-Jinja road'!D38,'1.08 Kira Road-Jinja Road-24h'!D38,'3.08 Kira Road-Jinja Road-24h'!D38,'4.08.KIIRA-JINJAROAD'!D38)</f>
        <v>44</v>
      </c>
      <c r="E38" s="49">
        <f>AVERAGE('29.07 Kira Road-Jinaj Road'!E38,'30.07 Kira Road-Jinja Road'!E38,'31.07 Kira Road-Jinja Road'!E38,'2.08 Kira Road-Jinja road'!E38,'1.08 Kira Road-Jinja Road-24h'!E38,'3.08 Kira Road-Jinja Road-24h'!E38,'4.08.KIIRA-JINJAROAD'!E38)</f>
        <v>13.857142857142858</v>
      </c>
      <c r="F38" s="49">
        <f>AVERAGE('29.07 Kira Road-Jinaj Road'!F38,'30.07 Kira Road-Jinja Road'!F38,'31.07 Kira Road-Jinja Road'!F38,'2.08 Kira Road-Jinja road'!F38,'1.08 Kira Road-Jinja Road-24h'!F38,'3.08 Kira Road-Jinja Road-24h'!F38,'4.08.KIIRA-JINJAROAD'!F38)</f>
        <v>7.1428571428571432</v>
      </c>
      <c r="G38" s="49">
        <f>AVERAGE('29.07 Kira Road-Jinaj Road'!G38,'30.07 Kira Road-Jinja Road'!G38,'31.07 Kira Road-Jinja Road'!G38,'2.08 Kira Road-Jinja road'!G38,'1.08 Kira Road-Jinja Road-24h'!G38,'3.08 Kira Road-Jinja Road-24h'!G38,'4.08.KIIRA-JINJAROAD'!G38)</f>
        <v>0</v>
      </c>
      <c r="H38" s="49">
        <f>AVERAGE('29.07 Kira Road-Jinaj Road'!H38,'30.07 Kira Road-Jinja Road'!H38,'31.07 Kira Road-Jinja Road'!H38,'2.08 Kira Road-Jinja road'!H38,'1.08 Kira Road-Jinja Road-24h'!H38,'3.08 Kira Road-Jinja Road-24h'!H38,'4.08.KIIRA-JINJAROAD'!H38)</f>
        <v>0</v>
      </c>
      <c r="I38" s="49">
        <f>AVERAGE('29.07 Kira Road-Jinaj Road'!I38,'30.07 Kira Road-Jinja Road'!I38,'31.07 Kira Road-Jinja Road'!I38,'2.08 Kira Road-Jinja road'!I38,'1.08 Kira Road-Jinja Road-24h'!I38,'3.08 Kira Road-Jinja Road-24h'!I38,'4.08.KIIRA-JINJAROAD'!I38)</f>
        <v>5</v>
      </c>
      <c r="J38" s="49">
        <f>AVERAGE('29.07 Kira Road-Jinaj Road'!J38,'30.07 Kira Road-Jinja Road'!J38,'31.07 Kira Road-Jinja Road'!J38,'2.08 Kira Road-Jinja road'!J38,'1.08 Kira Road-Jinja Road-24h'!J38,'3.08 Kira Road-Jinja Road-24h'!J38,'4.08.KIIRA-JINJAROAD'!J38)</f>
        <v>1.5714285714285714</v>
      </c>
      <c r="K38" s="49">
        <f>AVERAGE('29.07 Kira Road-Jinaj Road'!K38,'30.07 Kira Road-Jinja Road'!K38,'31.07 Kira Road-Jinja Road'!K38,'2.08 Kira Road-Jinja road'!K38,'1.08 Kira Road-Jinja Road-24h'!K38,'3.08 Kira Road-Jinja Road-24h'!K38,'4.08.KIIRA-JINJAROAD'!K38)</f>
        <v>1</v>
      </c>
      <c r="L38" s="49">
        <f>AVERAGE('29.07 Kira Road-Jinaj Road'!L38,'30.07 Kira Road-Jinja Road'!L38,'31.07 Kira Road-Jinja Road'!L38,'2.08 Kira Road-Jinja road'!L38,'1.08 Kira Road-Jinja Road-24h'!L38,'3.08 Kira Road-Jinja Road-24h'!L38,'4.08.KIIRA-JINJAROAD'!L38)</f>
        <v>0.14285714285714285</v>
      </c>
      <c r="M38" s="49">
        <f>AVERAGE('29.07 Kira Road-Jinaj Road'!M38,'30.07 Kira Road-Jinja Road'!M38,'31.07 Kira Road-Jinja Road'!M38,'2.08 Kira Road-Jinja road'!M38,'1.08 Kira Road-Jinja Road-24h'!M38,'3.08 Kira Road-Jinja Road-24h'!M38,'4.08.KIIRA-JINJAROAD'!M38)</f>
        <v>165.14285714285714</v>
      </c>
      <c r="N38" s="49">
        <f>AVERAGE('29.07 Kira Road-Jinaj Road'!N38,'30.07 Kira Road-Jinja Road'!N38,'31.07 Kira Road-Jinja Road'!N38,'2.08 Kira Road-Jinja road'!N38,'1.08 Kira Road-Jinja Road-24h'!N38,'3.08 Kira Road-Jinja Road-24h'!N38,'4.08.KIIRA-JINJAROAD'!N38)</f>
        <v>0</v>
      </c>
      <c r="O38" s="15">
        <f t="shared" si="0"/>
        <v>192.57142857142858</v>
      </c>
      <c r="P38" s="15">
        <f t="shared" si="1"/>
        <v>357.71428571428572</v>
      </c>
      <c r="R38" s="28" t="s">
        <v>86</v>
      </c>
      <c r="S38" s="16">
        <f t="shared" ref="S38:AF38" si="30">SUM(S13:S18)</f>
        <v>2706.2857142857147</v>
      </c>
      <c r="T38" s="16">
        <f t="shared" si="30"/>
        <v>1174.8571428571429</v>
      </c>
      <c r="U38" s="16">
        <f t="shared" si="30"/>
        <v>370.42857142857144</v>
      </c>
      <c r="V38" s="16">
        <f t="shared" si="30"/>
        <v>155.28571428571428</v>
      </c>
      <c r="W38" s="16">
        <f t="shared" si="30"/>
        <v>4.8571428571428568</v>
      </c>
      <c r="X38" s="16">
        <f t="shared" si="30"/>
        <v>2.2857142857142856</v>
      </c>
      <c r="Y38" s="16">
        <f t="shared" si="30"/>
        <v>146.71428571428572</v>
      </c>
      <c r="Z38" s="16">
        <f t="shared" si="30"/>
        <v>46.428571428571431</v>
      </c>
      <c r="AA38" s="16">
        <f t="shared" si="30"/>
        <v>10.714285714285714</v>
      </c>
      <c r="AB38" s="16">
        <f t="shared" si="30"/>
        <v>4.4285714285714279</v>
      </c>
      <c r="AC38" s="16">
        <f t="shared" si="30"/>
        <v>4269.5714285714284</v>
      </c>
      <c r="AD38" s="16">
        <f t="shared" si="30"/>
        <v>0</v>
      </c>
      <c r="AE38" s="32">
        <f t="shared" si="30"/>
        <v>4622.2857142857147</v>
      </c>
      <c r="AF38" s="32">
        <f t="shared" si="30"/>
        <v>8891.8571428571413</v>
      </c>
    </row>
    <row r="39" spans="2:32" ht="23.1" customHeight="1" x14ac:dyDescent="0.25">
      <c r="B39" s="24" t="s">
        <v>66</v>
      </c>
      <c r="C39" s="49">
        <f>AVERAGE('29.07 Kira Road-Jinaj Road'!C39,'30.07 Kira Road-Jinja Road'!C39,'31.07 Kira Road-Jinja Road'!C39,'2.08 Kira Road-Jinja road'!C39,'1.08 Kira Road-Jinja Road-24h'!C39,'3.08 Kira Road-Jinja Road-24h'!C39,'4.08.KIIRA-JINJAROAD'!C39)</f>
        <v>125</v>
      </c>
      <c r="D39" s="49">
        <f>AVERAGE('29.07 Kira Road-Jinaj Road'!D39,'30.07 Kira Road-Jinja Road'!D39,'31.07 Kira Road-Jinja Road'!D39,'2.08 Kira Road-Jinja road'!D39,'1.08 Kira Road-Jinja Road-24h'!D39,'3.08 Kira Road-Jinja Road-24h'!D39,'4.08.KIIRA-JINJAROAD'!D39)</f>
        <v>47.857142857142854</v>
      </c>
      <c r="E39" s="49">
        <f>AVERAGE('29.07 Kira Road-Jinaj Road'!E39,'30.07 Kira Road-Jinja Road'!E39,'31.07 Kira Road-Jinja Road'!E39,'2.08 Kira Road-Jinja road'!E39,'1.08 Kira Road-Jinja Road-24h'!E39,'3.08 Kira Road-Jinja Road-24h'!E39,'4.08.KIIRA-JINJAROAD'!E39)</f>
        <v>10.142857142857142</v>
      </c>
      <c r="F39" s="49">
        <f>AVERAGE('29.07 Kira Road-Jinaj Road'!F39,'30.07 Kira Road-Jinja Road'!F39,'31.07 Kira Road-Jinja Road'!F39,'2.08 Kira Road-Jinja road'!F39,'1.08 Kira Road-Jinja Road-24h'!F39,'3.08 Kira Road-Jinja Road-24h'!F39,'4.08.KIIRA-JINJAROAD'!F39)</f>
        <v>7.5714285714285712</v>
      </c>
      <c r="G39" s="49">
        <f>AVERAGE('29.07 Kira Road-Jinaj Road'!G39,'30.07 Kira Road-Jinja Road'!G39,'31.07 Kira Road-Jinja Road'!G39,'2.08 Kira Road-Jinja road'!G39,'1.08 Kira Road-Jinja Road-24h'!G39,'3.08 Kira Road-Jinja Road-24h'!G39,'4.08.KIIRA-JINJAROAD'!G39)</f>
        <v>0.14285714285714285</v>
      </c>
      <c r="H39" s="49">
        <f>AVERAGE('29.07 Kira Road-Jinaj Road'!H39,'30.07 Kira Road-Jinja Road'!H39,'31.07 Kira Road-Jinja Road'!H39,'2.08 Kira Road-Jinja road'!H39,'1.08 Kira Road-Jinja Road-24h'!H39,'3.08 Kira Road-Jinja Road-24h'!H39,'4.08.KIIRA-JINJAROAD'!H39)</f>
        <v>0.5714285714285714</v>
      </c>
      <c r="I39" s="49">
        <f>AVERAGE('29.07 Kira Road-Jinaj Road'!I39,'30.07 Kira Road-Jinja Road'!I39,'31.07 Kira Road-Jinja Road'!I39,'2.08 Kira Road-Jinja road'!I39,'1.08 Kira Road-Jinja Road-24h'!I39,'3.08 Kira Road-Jinja Road-24h'!I39,'4.08.KIIRA-JINJAROAD'!I39)</f>
        <v>3.8571428571428572</v>
      </c>
      <c r="J39" s="49">
        <f>AVERAGE('29.07 Kira Road-Jinaj Road'!J39,'30.07 Kira Road-Jinja Road'!J39,'31.07 Kira Road-Jinja Road'!J39,'2.08 Kira Road-Jinja road'!J39,'1.08 Kira Road-Jinja Road-24h'!J39,'3.08 Kira Road-Jinja Road-24h'!J39,'4.08.KIIRA-JINJAROAD'!J39)</f>
        <v>2</v>
      </c>
      <c r="K39" s="49">
        <f>AVERAGE('29.07 Kira Road-Jinaj Road'!K39,'30.07 Kira Road-Jinja Road'!K39,'31.07 Kira Road-Jinja Road'!K39,'2.08 Kira Road-Jinja road'!K39,'1.08 Kira Road-Jinja Road-24h'!K39,'3.08 Kira Road-Jinja Road-24h'!K39,'4.08.KIIRA-JINJAROAD'!K39)</f>
        <v>0.2857142857142857</v>
      </c>
      <c r="L39" s="49">
        <f>AVERAGE('29.07 Kira Road-Jinaj Road'!L39,'30.07 Kira Road-Jinja Road'!L39,'31.07 Kira Road-Jinja Road'!L39,'2.08 Kira Road-Jinja road'!L39,'1.08 Kira Road-Jinja Road-24h'!L39,'3.08 Kira Road-Jinja Road-24h'!L39,'4.08.KIIRA-JINJAROAD'!L39)</f>
        <v>0</v>
      </c>
      <c r="M39" s="49">
        <f>AVERAGE('29.07 Kira Road-Jinaj Road'!M39,'30.07 Kira Road-Jinja Road'!M39,'31.07 Kira Road-Jinja Road'!M39,'2.08 Kira Road-Jinja road'!M39,'1.08 Kira Road-Jinja Road-24h'!M39,'3.08 Kira Road-Jinja Road-24h'!M39,'4.08.KIIRA-JINJAROAD'!M39)</f>
        <v>178.85714285714286</v>
      </c>
      <c r="N39" s="49">
        <f>AVERAGE('29.07 Kira Road-Jinaj Road'!N39,'30.07 Kira Road-Jinja Road'!N39,'31.07 Kira Road-Jinja Road'!N39,'2.08 Kira Road-Jinja road'!N39,'1.08 Kira Road-Jinja Road-24h'!N39,'3.08 Kira Road-Jinja Road-24h'!N39,'4.08.KIIRA-JINJAROAD'!N39)</f>
        <v>0</v>
      </c>
      <c r="O39" s="15">
        <f t="shared" si="0"/>
        <v>197.42857142857144</v>
      </c>
      <c r="P39" s="15">
        <f t="shared" si="1"/>
        <v>376.28571428571433</v>
      </c>
      <c r="R39" s="29" t="s">
        <v>87</v>
      </c>
      <c r="S39" s="16">
        <f t="shared" ref="S39:AF39" si="31">SUM(S19:S21)</f>
        <v>2657.4285714285716</v>
      </c>
      <c r="T39" s="16">
        <f t="shared" si="31"/>
        <v>558.71428571428567</v>
      </c>
      <c r="U39" s="16">
        <f t="shared" si="31"/>
        <v>193</v>
      </c>
      <c r="V39" s="16">
        <f t="shared" si="31"/>
        <v>82.857142857142861</v>
      </c>
      <c r="W39" s="16">
        <f t="shared" si="31"/>
        <v>2.4285714285714279</v>
      </c>
      <c r="X39" s="16">
        <f t="shared" si="31"/>
        <v>0.8571428571428571</v>
      </c>
      <c r="Y39" s="16">
        <f t="shared" si="31"/>
        <v>59</v>
      </c>
      <c r="Z39" s="16">
        <f t="shared" si="31"/>
        <v>20.428571428571427</v>
      </c>
      <c r="AA39" s="16">
        <f t="shared" si="31"/>
        <v>5.5714285714285712</v>
      </c>
      <c r="AB39" s="16">
        <f t="shared" si="31"/>
        <v>1.4285714285714284</v>
      </c>
      <c r="AC39" s="16">
        <f t="shared" si="31"/>
        <v>2148.4285714285716</v>
      </c>
      <c r="AD39" s="16">
        <f t="shared" si="31"/>
        <v>61.857142857142854</v>
      </c>
      <c r="AE39" s="32">
        <f t="shared" si="31"/>
        <v>3643.5714285714284</v>
      </c>
      <c r="AF39" s="32">
        <f t="shared" si="31"/>
        <v>5792</v>
      </c>
    </row>
    <row r="40" spans="2:32" ht="23.1" customHeight="1" x14ac:dyDescent="0.25">
      <c r="B40" s="24" t="s">
        <v>67</v>
      </c>
      <c r="C40" s="49">
        <f>AVERAGE('29.07 Kira Road-Jinaj Road'!C40,'30.07 Kira Road-Jinja Road'!C40,'31.07 Kira Road-Jinja Road'!C40,'2.08 Kira Road-Jinja road'!C40,'1.08 Kira Road-Jinja Road-24h'!C40,'3.08 Kira Road-Jinja Road-24h'!C40,'4.08.KIIRA-JINJAROAD'!C40)</f>
        <v>124.14285714285714</v>
      </c>
      <c r="D40" s="49">
        <f>AVERAGE('29.07 Kira Road-Jinaj Road'!D40,'30.07 Kira Road-Jinja Road'!D40,'31.07 Kira Road-Jinja Road'!D40,'2.08 Kira Road-Jinja road'!D40,'1.08 Kira Road-Jinja Road-24h'!D40,'3.08 Kira Road-Jinja Road-24h'!D40,'4.08.KIIRA-JINJAROAD'!D40)</f>
        <v>46.428571428571431</v>
      </c>
      <c r="E40" s="49">
        <f>AVERAGE('29.07 Kira Road-Jinaj Road'!E40,'30.07 Kira Road-Jinja Road'!E40,'31.07 Kira Road-Jinja Road'!E40,'2.08 Kira Road-Jinja road'!E40,'1.08 Kira Road-Jinja Road-24h'!E40,'3.08 Kira Road-Jinja Road-24h'!E40,'4.08.KIIRA-JINJAROAD'!E40)</f>
        <v>10.142857142857142</v>
      </c>
      <c r="F40" s="49">
        <f>AVERAGE('29.07 Kira Road-Jinaj Road'!F40,'30.07 Kira Road-Jinja Road'!F40,'31.07 Kira Road-Jinja Road'!F40,'2.08 Kira Road-Jinja road'!F40,'1.08 Kira Road-Jinja Road-24h'!F40,'3.08 Kira Road-Jinja Road-24h'!F40,'4.08.KIIRA-JINJAROAD'!F40)</f>
        <v>6</v>
      </c>
      <c r="G40" s="49">
        <f>AVERAGE('29.07 Kira Road-Jinaj Road'!G40,'30.07 Kira Road-Jinja Road'!G40,'31.07 Kira Road-Jinja Road'!G40,'2.08 Kira Road-Jinja road'!G40,'1.08 Kira Road-Jinja Road-24h'!G40,'3.08 Kira Road-Jinja Road-24h'!G40,'4.08.KIIRA-JINJAROAD'!G40)</f>
        <v>0.14285714285714285</v>
      </c>
      <c r="H40" s="49">
        <f>AVERAGE('29.07 Kira Road-Jinaj Road'!H40,'30.07 Kira Road-Jinja Road'!H40,'31.07 Kira Road-Jinja Road'!H40,'2.08 Kira Road-Jinja road'!H40,'1.08 Kira Road-Jinja Road-24h'!H40,'3.08 Kira Road-Jinja Road-24h'!H40,'4.08.KIIRA-JINJAROAD'!H40)</f>
        <v>0</v>
      </c>
      <c r="I40" s="49">
        <f>AVERAGE('29.07 Kira Road-Jinaj Road'!I40,'30.07 Kira Road-Jinja Road'!I40,'31.07 Kira Road-Jinja Road'!I40,'2.08 Kira Road-Jinja road'!I40,'1.08 Kira Road-Jinja Road-24h'!I40,'3.08 Kira Road-Jinja Road-24h'!I40,'4.08.KIIRA-JINJAROAD'!I40)</f>
        <v>7.7142857142857144</v>
      </c>
      <c r="J40" s="49">
        <f>AVERAGE('29.07 Kira Road-Jinaj Road'!J40,'30.07 Kira Road-Jinja Road'!J40,'31.07 Kira Road-Jinja Road'!J40,'2.08 Kira Road-Jinja road'!J40,'1.08 Kira Road-Jinja Road-24h'!J40,'3.08 Kira Road-Jinja Road-24h'!J40,'4.08.KIIRA-JINJAROAD'!J40)</f>
        <v>2</v>
      </c>
      <c r="K40" s="49">
        <f>AVERAGE('29.07 Kira Road-Jinaj Road'!K40,'30.07 Kira Road-Jinja Road'!K40,'31.07 Kira Road-Jinja Road'!K40,'2.08 Kira Road-Jinja road'!K40,'1.08 Kira Road-Jinja Road-24h'!K40,'3.08 Kira Road-Jinja Road-24h'!K40,'4.08.KIIRA-JINJAROAD'!K40)</f>
        <v>0.7142857142857143</v>
      </c>
      <c r="L40" s="49">
        <f>AVERAGE('29.07 Kira Road-Jinaj Road'!L40,'30.07 Kira Road-Jinja Road'!L40,'31.07 Kira Road-Jinja Road'!L40,'2.08 Kira Road-Jinja road'!L40,'1.08 Kira Road-Jinja Road-24h'!L40,'3.08 Kira Road-Jinja Road-24h'!L40,'4.08.KIIRA-JINJAROAD'!L40)</f>
        <v>0.2857142857142857</v>
      </c>
      <c r="M40" s="49">
        <f>AVERAGE('29.07 Kira Road-Jinaj Road'!M40,'30.07 Kira Road-Jinja Road'!M40,'31.07 Kira Road-Jinja Road'!M40,'2.08 Kira Road-Jinja road'!M40,'1.08 Kira Road-Jinja Road-24h'!M40,'3.08 Kira Road-Jinja Road-24h'!M40,'4.08.KIIRA-JINJAROAD'!M40)</f>
        <v>163.28571428571428</v>
      </c>
      <c r="N40" s="49">
        <f>AVERAGE('29.07 Kira Road-Jinaj Road'!N40,'30.07 Kira Road-Jinja Road'!N40,'31.07 Kira Road-Jinja Road'!N40,'2.08 Kira Road-Jinja road'!N40,'1.08 Kira Road-Jinja Road-24h'!N40,'3.08 Kira Road-Jinja Road-24h'!N40,'4.08.KIIRA-JINJAROAD'!N40)</f>
        <v>0</v>
      </c>
      <c r="O40" s="15">
        <f t="shared" si="0"/>
        <v>197.57142857142856</v>
      </c>
      <c r="P40" s="15">
        <f t="shared" si="1"/>
        <v>360.85714285714283</v>
      </c>
      <c r="R40" s="5" t="s">
        <v>17</v>
      </c>
      <c r="S40" s="16">
        <f t="shared" ref="S40:AF40" si="32">SUM(S10:S21)</f>
        <v>6609.5714285714284</v>
      </c>
      <c r="T40" s="16">
        <f t="shared" si="32"/>
        <v>2186.1428571428569</v>
      </c>
      <c r="U40" s="16">
        <f t="shared" si="32"/>
        <v>739.71428571428567</v>
      </c>
      <c r="V40" s="16">
        <f t="shared" si="32"/>
        <v>293.71428571428572</v>
      </c>
      <c r="W40" s="16">
        <f t="shared" si="32"/>
        <v>11.428571428571427</v>
      </c>
      <c r="X40" s="16">
        <f t="shared" si="32"/>
        <v>3.8571428571428568</v>
      </c>
      <c r="Y40" s="16">
        <f t="shared" si="32"/>
        <v>249.57142857142858</v>
      </c>
      <c r="Z40" s="16">
        <f t="shared" si="32"/>
        <v>81</v>
      </c>
      <c r="AA40" s="16">
        <f t="shared" si="32"/>
        <v>20.571428571428573</v>
      </c>
      <c r="AB40" s="16">
        <f t="shared" si="32"/>
        <v>7.2857142857142856</v>
      </c>
      <c r="AC40" s="16">
        <f t="shared" si="32"/>
        <v>8297.4285714285706</v>
      </c>
      <c r="AD40" s="16">
        <f t="shared" si="32"/>
        <v>61.857142857142854</v>
      </c>
      <c r="AE40" s="32">
        <f t="shared" si="32"/>
        <v>10264.714285714284</v>
      </c>
      <c r="AF40" s="32">
        <f t="shared" si="32"/>
        <v>18562.142857142859</v>
      </c>
    </row>
    <row r="41" spans="2:32" ht="23.1" customHeight="1" x14ac:dyDescent="0.25">
      <c r="B41" s="23" t="s">
        <v>68</v>
      </c>
      <c r="C41" s="49">
        <f>AVERAGE('29.07 Kira Road-Jinaj Road'!C41,'30.07 Kira Road-Jinja Road'!C41,'31.07 Kira Road-Jinja Road'!C41,'2.08 Kira Road-Jinja road'!C41,'1.08 Kira Road-Jinja Road-24h'!C41,'3.08 Kira Road-Jinja Road-24h'!C41,'4.08.KIIRA-JINJAROAD'!C41)</f>
        <v>121.42857142857143</v>
      </c>
      <c r="D41" s="49">
        <f>AVERAGE('29.07 Kira Road-Jinaj Road'!D41,'30.07 Kira Road-Jinja Road'!D41,'31.07 Kira Road-Jinja Road'!D41,'2.08 Kira Road-Jinja road'!D41,'1.08 Kira Road-Jinja Road-24h'!D41,'3.08 Kira Road-Jinja Road-24h'!D41,'4.08.KIIRA-JINJAROAD'!D41)</f>
        <v>47.142857142857146</v>
      </c>
      <c r="E41" s="49">
        <f>AVERAGE('29.07 Kira Road-Jinaj Road'!E41,'30.07 Kira Road-Jinja Road'!E41,'31.07 Kira Road-Jinja Road'!E41,'2.08 Kira Road-Jinja road'!E41,'1.08 Kira Road-Jinja Road-24h'!E41,'3.08 Kira Road-Jinja Road-24h'!E41,'4.08.KIIRA-JINJAROAD'!E41)</f>
        <v>11.857142857142858</v>
      </c>
      <c r="F41" s="49">
        <f>AVERAGE('29.07 Kira Road-Jinaj Road'!F41,'30.07 Kira Road-Jinja Road'!F41,'31.07 Kira Road-Jinja Road'!F41,'2.08 Kira Road-Jinja road'!F41,'1.08 Kira Road-Jinja Road-24h'!F41,'3.08 Kira Road-Jinja Road-24h'!F41,'4.08.KIIRA-JINJAROAD'!F41)</f>
        <v>11.714285714285714</v>
      </c>
      <c r="G41" s="49">
        <f>AVERAGE('29.07 Kira Road-Jinaj Road'!G41,'30.07 Kira Road-Jinja Road'!G41,'31.07 Kira Road-Jinja Road'!G41,'2.08 Kira Road-Jinja road'!G41,'1.08 Kira Road-Jinja Road-24h'!G41,'3.08 Kira Road-Jinja Road-24h'!G41,'4.08.KIIRA-JINJAROAD'!G41)</f>
        <v>0.42857142857142855</v>
      </c>
      <c r="H41" s="49">
        <f>AVERAGE('29.07 Kira Road-Jinaj Road'!H41,'30.07 Kira Road-Jinja Road'!H41,'31.07 Kira Road-Jinja Road'!H41,'2.08 Kira Road-Jinja road'!H41,'1.08 Kira Road-Jinja Road-24h'!H41,'3.08 Kira Road-Jinja Road-24h'!H41,'4.08.KIIRA-JINJAROAD'!H41)</f>
        <v>0</v>
      </c>
      <c r="I41" s="49">
        <f>AVERAGE('29.07 Kira Road-Jinaj Road'!I41,'30.07 Kira Road-Jinja Road'!I41,'31.07 Kira Road-Jinja Road'!I41,'2.08 Kira Road-Jinja road'!I41,'1.08 Kira Road-Jinja Road-24h'!I41,'3.08 Kira Road-Jinja Road-24h'!I41,'4.08.KIIRA-JINJAROAD'!I41)</f>
        <v>5.8571428571428568</v>
      </c>
      <c r="J41" s="49">
        <f>AVERAGE('29.07 Kira Road-Jinaj Road'!J41,'30.07 Kira Road-Jinja Road'!J41,'31.07 Kira Road-Jinja Road'!J41,'2.08 Kira Road-Jinja road'!J41,'1.08 Kira Road-Jinja Road-24h'!J41,'3.08 Kira Road-Jinja Road-24h'!J41,'4.08.KIIRA-JINJAROAD'!J41)</f>
        <v>1.2857142857142858</v>
      </c>
      <c r="K41" s="49">
        <f>AVERAGE('29.07 Kira Road-Jinaj Road'!K41,'30.07 Kira Road-Jinja Road'!K41,'31.07 Kira Road-Jinja Road'!K41,'2.08 Kira Road-Jinja road'!K41,'1.08 Kira Road-Jinja Road-24h'!K41,'3.08 Kira Road-Jinja Road-24h'!K41,'4.08.KIIRA-JINJAROAD'!K41)</f>
        <v>0.5714285714285714</v>
      </c>
      <c r="L41" s="49">
        <f>AVERAGE('29.07 Kira Road-Jinaj Road'!L41,'30.07 Kira Road-Jinja Road'!L41,'31.07 Kira Road-Jinja Road'!L41,'2.08 Kira Road-Jinja road'!L41,'1.08 Kira Road-Jinja Road-24h'!L41,'3.08 Kira Road-Jinja Road-24h'!L41,'4.08.KIIRA-JINJAROAD'!L41)</f>
        <v>0</v>
      </c>
      <c r="M41" s="49">
        <f>AVERAGE('29.07 Kira Road-Jinaj Road'!M41,'30.07 Kira Road-Jinja Road'!M41,'31.07 Kira Road-Jinja Road'!M41,'2.08 Kira Road-Jinja road'!M41,'1.08 Kira Road-Jinja Road-24h'!M41,'3.08 Kira Road-Jinja Road-24h'!M41,'4.08.KIIRA-JINJAROAD'!M41)</f>
        <v>182.85714285714286</v>
      </c>
      <c r="N41" s="49">
        <f>AVERAGE('29.07 Kira Road-Jinaj Road'!N41,'30.07 Kira Road-Jinja Road'!N41,'31.07 Kira Road-Jinja Road'!N41,'2.08 Kira Road-Jinja road'!N41,'1.08 Kira Road-Jinja Road-24h'!N41,'3.08 Kira Road-Jinja Road-24h'!N41,'4.08.KIIRA-JINJAROAD'!N41)</f>
        <v>0</v>
      </c>
      <c r="O41" s="15">
        <f t="shared" si="0"/>
        <v>200.28571428571431</v>
      </c>
      <c r="P41" s="15">
        <f t="shared" si="1"/>
        <v>383.14285714285717</v>
      </c>
      <c r="R41" s="5" t="s">
        <v>187</v>
      </c>
      <c r="S41" s="52">
        <f>SUM(S10:S33)</f>
        <v>9343.5714285714275</v>
      </c>
      <c r="T41" s="52">
        <f t="shared" ref="T41:AD41" si="33">SUM(T10:T33)</f>
        <v>3113.1428571428569</v>
      </c>
      <c r="U41" s="52">
        <f t="shared" si="33"/>
        <v>946.21428571428567</v>
      </c>
      <c r="V41" s="52">
        <f t="shared" si="33"/>
        <v>381.71428571428572</v>
      </c>
      <c r="W41" s="52">
        <f t="shared" si="33"/>
        <v>17.428571428571427</v>
      </c>
      <c r="X41" s="52">
        <f t="shared" si="33"/>
        <v>4.8571428571428568</v>
      </c>
      <c r="Y41" s="52">
        <f t="shared" si="33"/>
        <v>288.07142857142856</v>
      </c>
      <c r="Z41" s="52">
        <f t="shared" si="33"/>
        <v>99.5</v>
      </c>
      <c r="AA41" s="52">
        <f t="shared" si="33"/>
        <v>29.571428571428573</v>
      </c>
      <c r="AB41" s="52">
        <f t="shared" si="33"/>
        <v>10.285714285714285</v>
      </c>
      <c r="AC41" s="52">
        <f t="shared" si="33"/>
        <v>10867.928571428571</v>
      </c>
      <c r="AD41" s="52">
        <f t="shared" si="33"/>
        <v>61.857142857142854</v>
      </c>
      <c r="AE41" s="53">
        <f>SUM(AE10:AE33)</f>
        <v>14296.214285714284</v>
      </c>
      <c r="AF41" s="53">
        <f>SUM(AF10:AF33)</f>
        <v>25164.142857142859</v>
      </c>
    </row>
    <row r="42" spans="2:32" ht="23.1" customHeight="1" x14ac:dyDescent="0.25">
      <c r="B42" s="24" t="s">
        <v>69</v>
      </c>
      <c r="C42" s="49">
        <f>AVERAGE('29.07 Kira Road-Jinaj Road'!C42,'30.07 Kira Road-Jinja Road'!C42,'31.07 Kira Road-Jinja Road'!C42,'2.08 Kira Road-Jinja road'!C42,'1.08 Kira Road-Jinja Road-24h'!C42,'3.08 Kira Road-Jinja Road-24h'!C42,'4.08.KIIRA-JINJAROAD'!C42)</f>
        <v>113.57142857142857</v>
      </c>
      <c r="D42" s="49">
        <f>AVERAGE('29.07 Kira Road-Jinaj Road'!D42,'30.07 Kira Road-Jinja Road'!D42,'31.07 Kira Road-Jinja Road'!D42,'2.08 Kira Road-Jinja road'!D42,'1.08 Kira Road-Jinja Road-24h'!D42,'3.08 Kira Road-Jinja Road-24h'!D42,'4.08.KIIRA-JINJAROAD'!D42)</f>
        <v>53.285714285714285</v>
      </c>
      <c r="E42" s="49">
        <f>AVERAGE('29.07 Kira Road-Jinaj Road'!E42,'30.07 Kira Road-Jinja Road'!E42,'31.07 Kira Road-Jinja Road'!E42,'2.08 Kira Road-Jinja road'!E42,'1.08 Kira Road-Jinja Road-24h'!E42,'3.08 Kira Road-Jinja Road-24h'!E42,'4.08.KIIRA-JINJAROAD'!E42)</f>
        <v>15.857142857142858</v>
      </c>
      <c r="F42" s="49">
        <f>AVERAGE('29.07 Kira Road-Jinaj Road'!F42,'30.07 Kira Road-Jinja Road'!F42,'31.07 Kira Road-Jinja Road'!F42,'2.08 Kira Road-Jinja road'!F42,'1.08 Kira Road-Jinja Road-24h'!F42,'3.08 Kira Road-Jinja Road-24h'!F42,'4.08.KIIRA-JINJAROAD'!F42)</f>
        <v>7.4285714285714288</v>
      </c>
      <c r="G42" s="49">
        <f>AVERAGE('29.07 Kira Road-Jinaj Road'!G42,'30.07 Kira Road-Jinja Road'!G42,'31.07 Kira Road-Jinja Road'!G42,'2.08 Kira Road-Jinja road'!G42,'1.08 Kira Road-Jinja Road-24h'!G42,'3.08 Kira Road-Jinja Road-24h'!G42,'4.08.KIIRA-JINJAROAD'!G42)</f>
        <v>0</v>
      </c>
      <c r="H42" s="49">
        <f>AVERAGE('29.07 Kira Road-Jinaj Road'!H42,'30.07 Kira Road-Jinja Road'!H42,'31.07 Kira Road-Jinja Road'!H42,'2.08 Kira Road-Jinja road'!H42,'1.08 Kira Road-Jinja Road-24h'!H42,'3.08 Kira Road-Jinja Road-24h'!H42,'4.08.KIIRA-JINJAROAD'!H42)</f>
        <v>0</v>
      </c>
      <c r="I42" s="49">
        <f>AVERAGE('29.07 Kira Road-Jinaj Road'!I42,'30.07 Kira Road-Jinja Road'!I42,'31.07 Kira Road-Jinja Road'!I42,'2.08 Kira Road-Jinja road'!I42,'1.08 Kira Road-Jinja Road-24h'!I42,'3.08 Kira Road-Jinja Road-24h'!I42,'4.08.KIIRA-JINJAROAD'!I42)</f>
        <v>7</v>
      </c>
      <c r="J42" s="49">
        <f>AVERAGE('29.07 Kira Road-Jinaj Road'!J42,'30.07 Kira Road-Jinja Road'!J42,'31.07 Kira Road-Jinja Road'!J42,'2.08 Kira Road-Jinja road'!J42,'1.08 Kira Road-Jinja Road-24h'!J42,'3.08 Kira Road-Jinja Road-24h'!J42,'4.08.KIIRA-JINJAROAD'!J42)</f>
        <v>1</v>
      </c>
      <c r="K42" s="49">
        <f>AVERAGE('29.07 Kira Road-Jinaj Road'!K42,'30.07 Kira Road-Jinja Road'!K42,'31.07 Kira Road-Jinja Road'!K42,'2.08 Kira Road-Jinja road'!K42,'1.08 Kira Road-Jinja Road-24h'!K42,'3.08 Kira Road-Jinja Road-24h'!K42,'4.08.KIIRA-JINJAROAD'!K42)</f>
        <v>0</v>
      </c>
      <c r="L42" s="49">
        <f>AVERAGE('29.07 Kira Road-Jinaj Road'!L42,'30.07 Kira Road-Jinja Road'!L42,'31.07 Kira Road-Jinja Road'!L42,'2.08 Kira Road-Jinja road'!L42,'1.08 Kira Road-Jinja Road-24h'!L42,'3.08 Kira Road-Jinja Road-24h'!L42,'4.08.KIIRA-JINJAROAD'!L42)</f>
        <v>0.2857142857142857</v>
      </c>
      <c r="M42" s="49">
        <f>AVERAGE('29.07 Kira Road-Jinaj Road'!M42,'30.07 Kira Road-Jinja Road'!M42,'31.07 Kira Road-Jinja Road'!M42,'2.08 Kira Road-Jinja road'!M42,'1.08 Kira Road-Jinja Road-24h'!M42,'3.08 Kira Road-Jinja Road-24h'!M42,'4.08.KIIRA-JINJAROAD'!M42)</f>
        <v>190</v>
      </c>
      <c r="N42" s="49">
        <f>AVERAGE('29.07 Kira Road-Jinaj Road'!N42,'30.07 Kira Road-Jinja Road'!N42,'31.07 Kira Road-Jinja Road'!N42,'2.08 Kira Road-Jinja road'!N42,'1.08 Kira Road-Jinja Road-24h'!N42,'3.08 Kira Road-Jinja Road-24h'!N42,'4.08.KIIRA-JINJAROAD'!N42)</f>
        <v>0</v>
      </c>
      <c r="O42" s="15">
        <f t="shared" si="0"/>
        <v>198.42857142857142</v>
      </c>
      <c r="P42" s="15">
        <f t="shared" si="1"/>
        <v>388.42857142857144</v>
      </c>
      <c r="R42" s="5" t="s">
        <v>160</v>
      </c>
      <c r="S42" s="48">
        <f>S41/S40</f>
        <v>1.4136425530075429</v>
      </c>
      <c r="T42" s="48">
        <f t="shared" ref="T42:AF42" si="34">T41/T40</f>
        <v>1.4240345030386199</v>
      </c>
      <c r="U42" s="48">
        <f t="shared" si="34"/>
        <v>1.2791618385477019</v>
      </c>
      <c r="V42" s="48">
        <f t="shared" si="34"/>
        <v>1.2996108949416343</v>
      </c>
      <c r="W42" s="48">
        <f t="shared" si="34"/>
        <v>1.5250000000000001</v>
      </c>
      <c r="X42" s="48">
        <f t="shared" si="34"/>
        <v>1.2592592592592593</v>
      </c>
      <c r="Y42" s="48">
        <f t="shared" si="34"/>
        <v>1.1542644533485975</v>
      </c>
      <c r="Z42" s="48">
        <f t="shared" si="34"/>
        <v>1.228395061728395</v>
      </c>
      <c r="AA42" s="48">
        <f t="shared" si="34"/>
        <v>1.4375</v>
      </c>
      <c r="AB42" s="48">
        <f t="shared" si="34"/>
        <v>1.4117647058823528</v>
      </c>
      <c r="AC42" s="48">
        <f t="shared" si="34"/>
        <v>1.309794772907269</v>
      </c>
      <c r="AD42" s="48">
        <f t="shared" si="34"/>
        <v>1</v>
      </c>
      <c r="AE42" s="51">
        <f t="shared" si="34"/>
        <v>1.3927532601283177</v>
      </c>
      <c r="AF42" s="51">
        <f t="shared" si="34"/>
        <v>1.3556701427636895</v>
      </c>
    </row>
    <row r="43" spans="2:32" ht="23.1" customHeight="1" x14ac:dyDescent="0.25">
      <c r="B43" s="23" t="s">
        <v>70</v>
      </c>
      <c r="C43" s="49">
        <f>AVERAGE('29.07 Kira Road-Jinaj Road'!C43,'30.07 Kira Road-Jinja Road'!C43,'31.07 Kira Road-Jinja Road'!C43,'2.08 Kira Road-Jinja road'!C43,'1.08 Kira Road-Jinja Road-24h'!C43,'3.08 Kira Road-Jinja Road-24h'!C43,'4.08.KIIRA-JINJAROAD'!C43)</f>
        <v>104.42857142857143</v>
      </c>
      <c r="D43" s="49">
        <f>AVERAGE('29.07 Kira Road-Jinaj Road'!D43,'30.07 Kira Road-Jinja Road'!D43,'31.07 Kira Road-Jinja Road'!D43,'2.08 Kira Road-Jinja road'!D43,'1.08 Kira Road-Jinja Road-24h'!D43,'3.08 Kira Road-Jinja Road-24h'!D43,'4.08.KIIRA-JINJAROAD'!D43)</f>
        <v>46.428571428571431</v>
      </c>
      <c r="E43" s="49">
        <f>AVERAGE('29.07 Kira Road-Jinaj Road'!E43,'30.07 Kira Road-Jinja Road'!E43,'31.07 Kira Road-Jinja Road'!E43,'2.08 Kira Road-Jinja road'!E43,'1.08 Kira Road-Jinja Road-24h'!E43,'3.08 Kira Road-Jinja Road-24h'!E43,'4.08.KIIRA-JINJAROAD'!E43)</f>
        <v>14.142857142857142</v>
      </c>
      <c r="F43" s="49">
        <f>AVERAGE('29.07 Kira Road-Jinaj Road'!F43,'30.07 Kira Road-Jinja Road'!F43,'31.07 Kira Road-Jinja Road'!F43,'2.08 Kira Road-Jinja road'!F43,'1.08 Kira Road-Jinja Road-24h'!F43,'3.08 Kira Road-Jinja Road-24h'!F43,'4.08.KIIRA-JINJAROAD'!F43)</f>
        <v>5.5714285714285712</v>
      </c>
      <c r="G43" s="49">
        <f>AVERAGE('29.07 Kira Road-Jinaj Road'!G43,'30.07 Kira Road-Jinja Road'!G43,'31.07 Kira Road-Jinja Road'!G43,'2.08 Kira Road-Jinja road'!G43,'1.08 Kira Road-Jinja Road-24h'!G43,'3.08 Kira Road-Jinja Road-24h'!G43,'4.08.KIIRA-JINJAROAD'!G43)</f>
        <v>0.14285714285714285</v>
      </c>
      <c r="H43" s="49">
        <f>AVERAGE('29.07 Kira Road-Jinaj Road'!H43,'30.07 Kira Road-Jinja Road'!H43,'31.07 Kira Road-Jinja Road'!H43,'2.08 Kira Road-Jinja road'!H43,'1.08 Kira Road-Jinja Road-24h'!H43,'3.08 Kira Road-Jinja Road-24h'!H43,'4.08.KIIRA-JINJAROAD'!H43)</f>
        <v>0</v>
      </c>
      <c r="I43" s="49">
        <f>AVERAGE('29.07 Kira Road-Jinaj Road'!I43,'30.07 Kira Road-Jinja Road'!I43,'31.07 Kira Road-Jinja Road'!I43,'2.08 Kira Road-Jinja road'!I43,'1.08 Kira Road-Jinja Road-24h'!I43,'3.08 Kira Road-Jinja Road-24h'!I43,'4.08.KIIRA-JINJAROAD'!I43)</f>
        <v>7.4285714285714288</v>
      </c>
      <c r="J43" s="49">
        <f>AVERAGE('29.07 Kira Road-Jinaj Road'!J43,'30.07 Kira Road-Jinja Road'!J43,'31.07 Kira Road-Jinja Road'!J43,'2.08 Kira Road-Jinja road'!J43,'1.08 Kira Road-Jinja Road-24h'!J43,'3.08 Kira Road-Jinja Road-24h'!J43,'4.08.KIIRA-JINJAROAD'!J43)</f>
        <v>2.1428571428571428</v>
      </c>
      <c r="K43" s="49">
        <f>AVERAGE('29.07 Kira Road-Jinaj Road'!K43,'30.07 Kira Road-Jinja Road'!K43,'31.07 Kira Road-Jinja Road'!K43,'2.08 Kira Road-Jinja road'!K43,'1.08 Kira Road-Jinja Road-24h'!K43,'3.08 Kira Road-Jinja Road-24h'!K43,'4.08.KIIRA-JINJAROAD'!K43)</f>
        <v>0.14285714285714285</v>
      </c>
      <c r="L43" s="49">
        <f>AVERAGE('29.07 Kira Road-Jinaj Road'!L43,'30.07 Kira Road-Jinja Road'!L43,'31.07 Kira Road-Jinja Road'!L43,'2.08 Kira Road-Jinja road'!L43,'1.08 Kira Road-Jinja Road-24h'!L43,'3.08 Kira Road-Jinja Road-24h'!L43,'4.08.KIIRA-JINJAROAD'!L43)</f>
        <v>0.2857142857142857</v>
      </c>
      <c r="M43" s="49">
        <f>AVERAGE('29.07 Kira Road-Jinaj Road'!M43,'30.07 Kira Road-Jinja Road'!M43,'31.07 Kira Road-Jinja Road'!M43,'2.08 Kira Road-Jinja road'!M43,'1.08 Kira Road-Jinja Road-24h'!M43,'3.08 Kira Road-Jinja Road-24h'!M43,'4.08.KIIRA-JINJAROAD'!M43)</f>
        <v>197.85714285714286</v>
      </c>
      <c r="N43" s="49">
        <f>AVERAGE('29.07 Kira Road-Jinaj Road'!N43,'30.07 Kira Road-Jinja Road'!N43,'31.07 Kira Road-Jinja Road'!N43,'2.08 Kira Road-Jinja road'!N43,'1.08 Kira Road-Jinja Road-24h'!N43,'3.08 Kira Road-Jinja Road-24h'!N43,'4.08.KIIRA-JINJAROAD'!N43)</f>
        <v>0</v>
      </c>
      <c r="O43" s="15">
        <f t="shared" si="0"/>
        <v>180.71428571428569</v>
      </c>
      <c r="P43" s="15">
        <f t="shared" si="1"/>
        <v>378.57142857142856</v>
      </c>
    </row>
    <row r="44" spans="2:32" ht="23.1" customHeight="1" x14ac:dyDescent="0.25">
      <c r="B44" s="25" t="s">
        <v>71</v>
      </c>
      <c r="C44" s="49">
        <f>AVERAGE('29.07 Kira Road-Jinaj Road'!C44,'30.07 Kira Road-Jinja Road'!C44,'31.07 Kira Road-Jinja Road'!C44,'2.08 Kira Road-Jinja road'!C44,'1.08 Kira Road-Jinja Road-24h'!C44,'3.08 Kira Road-Jinja Road-24h'!C44,'4.08.KIIRA-JINJAROAD'!C44)</f>
        <v>107.42857142857143</v>
      </c>
      <c r="D44" s="49">
        <f>AVERAGE('29.07 Kira Road-Jinaj Road'!D44,'30.07 Kira Road-Jinja Road'!D44,'31.07 Kira Road-Jinja Road'!D44,'2.08 Kira Road-Jinja road'!D44,'1.08 Kira Road-Jinja Road-24h'!D44,'3.08 Kira Road-Jinja Road-24h'!D44,'4.08.KIIRA-JINJAROAD'!D44)</f>
        <v>42.285714285714285</v>
      </c>
      <c r="E44" s="49">
        <f>AVERAGE('29.07 Kira Road-Jinaj Road'!E44,'30.07 Kira Road-Jinja Road'!E44,'31.07 Kira Road-Jinja Road'!E44,'2.08 Kira Road-Jinja road'!E44,'1.08 Kira Road-Jinja Road-24h'!E44,'3.08 Kira Road-Jinja Road-24h'!E44,'4.08.KIIRA-JINJAROAD'!E44)</f>
        <v>12.285714285714286</v>
      </c>
      <c r="F44" s="49">
        <f>AVERAGE('29.07 Kira Road-Jinaj Road'!F44,'30.07 Kira Road-Jinja Road'!F44,'31.07 Kira Road-Jinja Road'!F44,'2.08 Kira Road-Jinja road'!F44,'1.08 Kira Road-Jinja Road-24h'!F44,'3.08 Kira Road-Jinja Road-24h'!F44,'4.08.KIIRA-JINJAROAD'!F44)</f>
        <v>6.4285714285714288</v>
      </c>
      <c r="G44" s="49">
        <f>AVERAGE('29.07 Kira Road-Jinaj Road'!G44,'30.07 Kira Road-Jinja Road'!G44,'31.07 Kira Road-Jinja Road'!G44,'2.08 Kira Road-Jinja road'!G44,'1.08 Kira Road-Jinja Road-24h'!G44,'3.08 Kira Road-Jinja Road-24h'!G44,'4.08.KIIRA-JINJAROAD'!G44)</f>
        <v>0.14285714285714285</v>
      </c>
      <c r="H44" s="49">
        <f>AVERAGE('29.07 Kira Road-Jinaj Road'!H44,'30.07 Kira Road-Jinja Road'!H44,'31.07 Kira Road-Jinja Road'!H44,'2.08 Kira Road-Jinja road'!H44,'1.08 Kira Road-Jinja Road-24h'!H44,'3.08 Kira Road-Jinja Road-24h'!H44,'4.08.KIIRA-JINJAROAD'!H44)</f>
        <v>0</v>
      </c>
      <c r="I44" s="49">
        <f>AVERAGE('29.07 Kira Road-Jinaj Road'!I44,'30.07 Kira Road-Jinja Road'!I44,'31.07 Kira Road-Jinja Road'!I44,'2.08 Kira Road-Jinja road'!I44,'1.08 Kira Road-Jinja Road-24h'!I44,'3.08 Kira Road-Jinja Road-24h'!I44,'4.08.KIIRA-JINJAROAD'!I44)</f>
        <v>8.2857142857142865</v>
      </c>
      <c r="J44" s="49">
        <f>AVERAGE('29.07 Kira Road-Jinaj Road'!J44,'30.07 Kira Road-Jinja Road'!J44,'31.07 Kira Road-Jinja Road'!J44,'2.08 Kira Road-Jinja road'!J44,'1.08 Kira Road-Jinja Road-24h'!J44,'3.08 Kira Road-Jinja Road-24h'!J44,'4.08.KIIRA-JINJAROAD'!J44)</f>
        <v>2.5714285714285716</v>
      </c>
      <c r="K44" s="49">
        <f>AVERAGE('29.07 Kira Road-Jinaj Road'!K44,'30.07 Kira Road-Jinja Road'!K44,'31.07 Kira Road-Jinja Road'!K44,'2.08 Kira Road-Jinja road'!K44,'1.08 Kira Road-Jinja Road-24h'!K44,'3.08 Kira Road-Jinja Road-24h'!K44,'4.08.KIIRA-JINJAROAD'!K44)</f>
        <v>0.14285714285714285</v>
      </c>
      <c r="L44" s="49">
        <f>AVERAGE('29.07 Kira Road-Jinaj Road'!L44,'30.07 Kira Road-Jinja Road'!L44,'31.07 Kira Road-Jinja Road'!L44,'2.08 Kira Road-Jinja road'!L44,'1.08 Kira Road-Jinja Road-24h'!L44,'3.08 Kira Road-Jinja Road-24h'!L44,'4.08.KIIRA-JINJAROAD'!L44)</f>
        <v>0.2857142857142857</v>
      </c>
      <c r="M44" s="49">
        <f>AVERAGE('29.07 Kira Road-Jinaj Road'!M44,'30.07 Kira Road-Jinja Road'!M44,'31.07 Kira Road-Jinja Road'!M44,'2.08 Kira Road-Jinja road'!M44,'1.08 Kira Road-Jinja Road-24h'!M44,'3.08 Kira Road-Jinja Road-24h'!M44,'4.08.KIIRA-JINJAROAD'!M44)</f>
        <v>187.14285714285714</v>
      </c>
      <c r="N44" s="49">
        <f>AVERAGE('29.07 Kira Road-Jinaj Road'!N44,'30.07 Kira Road-Jinja Road'!N44,'31.07 Kira Road-Jinja Road'!N44,'2.08 Kira Road-Jinja road'!N44,'1.08 Kira Road-Jinja Road-24h'!N44,'3.08 Kira Road-Jinja Road-24h'!N44,'4.08.KIIRA-JINJAROAD'!N44)</f>
        <v>0</v>
      </c>
      <c r="O44" s="15">
        <f t="shared" si="0"/>
        <v>179.85714285714283</v>
      </c>
      <c r="P44" s="15">
        <f t="shared" si="1"/>
        <v>367</v>
      </c>
    </row>
    <row r="45" spans="2:32" ht="23.1" customHeight="1" x14ac:dyDescent="0.25">
      <c r="B45" s="23" t="s">
        <v>72</v>
      </c>
      <c r="C45" s="49">
        <f>AVERAGE('29.07 Kira Road-Jinaj Road'!C45,'30.07 Kira Road-Jinja Road'!C45,'31.07 Kira Road-Jinja Road'!C45,'2.08 Kira Road-Jinja road'!C45,'1.08 Kira Road-Jinja Road-24h'!C45,'3.08 Kira Road-Jinja Road-24h'!C45,'4.08.KIIRA-JINJAROAD'!C45)</f>
        <v>109.42857142857143</v>
      </c>
      <c r="D45" s="49">
        <f>AVERAGE('29.07 Kira Road-Jinaj Road'!D45,'30.07 Kira Road-Jinja Road'!D45,'31.07 Kira Road-Jinja Road'!D45,'2.08 Kira Road-Jinja road'!D45,'1.08 Kira Road-Jinja Road-24h'!D45,'3.08 Kira Road-Jinja Road-24h'!D45,'4.08.KIIRA-JINJAROAD'!D45)</f>
        <v>46.142857142857146</v>
      </c>
      <c r="E45" s="49">
        <f>AVERAGE('29.07 Kira Road-Jinaj Road'!E45,'30.07 Kira Road-Jinja Road'!E45,'31.07 Kira Road-Jinja Road'!E45,'2.08 Kira Road-Jinja road'!E45,'1.08 Kira Road-Jinja Road-24h'!E45,'3.08 Kira Road-Jinja Road-24h'!E45,'4.08.KIIRA-JINJAROAD'!E45)</f>
        <v>14.714285714285714</v>
      </c>
      <c r="F45" s="49">
        <f>AVERAGE('29.07 Kira Road-Jinaj Road'!F45,'30.07 Kira Road-Jinja Road'!F45,'31.07 Kira Road-Jinja Road'!F45,'2.08 Kira Road-Jinja road'!F45,'1.08 Kira Road-Jinja Road-24h'!F45,'3.08 Kira Road-Jinja Road-24h'!F45,'4.08.KIIRA-JINJAROAD'!F45)</f>
        <v>6.2857142857142856</v>
      </c>
      <c r="G45" s="49">
        <f>AVERAGE('29.07 Kira Road-Jinaj Road'!G45,'30.07 Kira Road-Jinja Road'!G45,'31.07 Kira Road-Jinja Road'!G45,'2.08 Kira Road-Jinja road'!G45,'1.08 Kira Road-Jinja Road-24h'!G45,'3.08 Kira Road-Jinja Road-24h'!G45,'4.08.KIIRA-JINJAROAD'!G45)</f>
        <v>0.42857142857142855</v>
      </c>
      <c r="H45" s="49">
        <f>AVERAGE('29.07 Kira Road-Jinaj Road'!H45,'30.07 Kira Road-Jinja Road'!H45,'31.07 Kira Road-Jinja Road'!H45,'2.08 Kira Road-Jinja road'!H45,'1.08 Kira Road-Jinja Road-24h'!H45,'3.08 Kira Road-Jinja Road-24h'!H45,'4.08.KIIRA-JINJAROAD'!H45)</f>
        <v>0</v>
      </c>
      <c r="I45" s="49">
        <f>AVERAGE('29.07 Kira Road-Jinaj Road'!I45,'30.07 Kira Road-Jinja Road'!I45,'31.07 Kira Road-Jinja Road'!I45,'2.08 Kira Road-Jinja road'!I45,'1.08 Kira Road-Jinja Road-24h'!I45,'3.08 Kira Road-Jinja Road-24h'!I45,'4.08.KIIRA-JINJAROAD'!I45)</f>
        <v>7.4285714285714288</v>
      </c>
      <c r="J45" s="49">
        <f>AVERAGE('29.07 Kira Road-Jinaj Road'!J45,'30.07 Kira Road-Jinja Road'!J45,'31.07 Kira Road-Jinja Road'!J45,'2.08 Kira Road-Jinja road'!J45,'1.08 Kira Road-Jinja Road-24h'!J45,'3.08 Kira Road-Jinja Road-24h'!J45,'4.08.KIIRA-JINJAROAD'!J45)</f>
        <v>1.7142857142857142</v>
      </c>
      <c r="K45" s="49">
        <f>AVERAGE('29.07 Kira Road-Jinaj Road'!K45,'30.07 Kira Road-Jinja Road'!K45,'31.07 Kira Road-Jinja Road'!K45,'2.08 Kira Road-Jinja road'!K45,'1.08 Kira Road-Jinja Road-24h'!K45,'3.08 Kira Road-Jinja Road-24h'!K45,'4.08.KIIRA-JINJAROAD'!K45)</f>
        <v>0.7142857142857143</v>
      </c>
      <c r="L45" s="49">
        <f>AVERAGE('29.07 Kira Road-Jinaj Road'!L45,'30.07 Kira Road-Jinja Road'!L45,'31.07 Kira Road-Jinja Road'!L45,'2.08 Kira Road-Jinja road'!L45,'1.08 Kira Road-Jinja Road-24h'!L45,'3.08 Kira Road-Jinja Road-24h'!L45,'4.08.KIIRA-JINJAROAD'!L45)</f>
        <v>0.14285714285714285</v>
      </c>
      <c r="M45" s="49">
        <f>AVERAGE('29.07 Kira Road-Jinaj Road'!M45,'30.07 Kira Road-Jinja Road'!M45,'31.07 Kira Road-Jinja Road'!M45,'2.08 Kira Road-Jinja road'!M45,'1.08 Kira Road-Jinja Road-24h'!M45,'3.08 Kira Road-Jinja Road-24h'!M45,'4.08.KIIRA-JINJAROAD'!M45)</f>
        <v>178.57142857142858</v>
      </c>
      <c r="N45" s="49">
        <f>AVERAGE('29.07 Kira Road-Jinaj Road'!N45,'30.07 Kira Road-Jinja Road'!N45,'31.07 Kira Road-Jinja Road'!N45,'2.08 Kira Road-Jinja road'!N45,'1.08 Kira Road-Jinja Road-24h'!N45,'3.08 Kira Road-Jinja Road-24h'!N45,'4.08.KIIRA-JINJAROAD'!N45)</f>
        <v>0</v>
      </c>
      <c r="O45" s="15">
        <f t="shared" si="0"/>
        <v>187</v>
      </c>
      <c r="P45" s="15">
        <f t="shared" si="1"/>
        <v>365.57142857142856</v>
      </c>
    </row>
    <row r="46" spans="2:32" ht="23.1" customHeight="1" x14ac:dyDescent="0.25">
      <c r="B46" s="24" t="s">
        <v>73</v>
      </c>
      <c r="C46" s="49">
        <f>AVERAGE('29.07 Kira Road-Jinaj Road'!C46,'30.07 Kira Road-Jinja Road'!C46,'31.07 Kira Road-Jinja Road'!C46,'2.08 Kira Road-Jinja road'!C46,'1.08 Kira Road-Jinja Road-24h'!C46,'3.08 Kira Road-Jinja Road-24h'!C46,'4.08.KIIRA-JINJAROAD'!C46)</f>
        <v>112.14285714285714</v>
      </c>
      <c r="D46" s="49">
        <f>AVERAGE('29.07 Kira Road-Jinaj Road'!D46,'30.07 Kira Road-Jinja Road'!D46,'31.07 Kira Road-Jinja Road'!D46,'2.08 Kira Road-Jinja road'!D46,'1.08 Kira Road-Jinja Road-24h'!D46,'3.08 Kira Road-Jinja Road-24h'!D46,'4.08.KIIRA-JINJAROAD'!D46)</f>
        <v>44.714285714285715</v>
      </c>
      <c r="E46" s="49">
        <f>AVERAGE('29.07 Kira Road-Jinaj Road'!E46,'30.07 Kira Road-Jinja Road'!E46,'31.07 Kira Road-Jinja Road'!E46,'2.08 Kira Road-Jinja road'!E46,'1.08 Kira Road-Jinja Road-24h'!E46,'3.08 Kira Road-Jinja Road-24h'!E46,'4.08.KIIRA-JINJAROAD'!E46)</f>
        <v>16.857142857142858</v>
      </c>
      <c r="F46" s="49">
        <f>AVERAGE('29.07 Kira Road-Jinaj Road'!F46,'30.07 Kira Road-Jinja Road'!F46,'31.07 Kira Road-Jinja Road'!F46,'2.08 Kira Road-Jinja road'!F46,'1.08 Kira Road-Jinja Road-24h'!F46,'3.08 Kira Road-Jinja Road-24h'!F46,'4.08.KIIRA-JINJAROAD'!F46)</f>
        <v>6.4285714285714288</v>
      </c>
      <c r="G46" s="49">
        <f>AVERAGE('29.07 Kira Road-Jinaj Road'!G46,'30.07 Kira Road-Jinja Road'!G46,'31.07 Kira Road-Jinja Road'!G46,'2.08 Kira Road-Jinja road'!G46,'1.08 Kira Road-Jinja Road-24h'!G46,'3.08 Kira Road-Jinja Road-24h'!G46,'4.08.KIIRA-JINJAROAD'!G46)</f>
        <v>0.42857142857142855</v>
      </c>
      <c r="H46" s="49">
        <f>AVERAGE('29.07 Kira Road-Jinaj Road'!H46,'30.07 Kira Road-Jinja Road'!H46,'31.07 Kira Road-Jinja Road'!H46,'2.08 Kira Road-Jinja road'!H46,'1.08 Kira Road-Jinja Road-24h'!H46,'3.08 Kira Road-Jinja Road-24h'!H46,'4.08.KIIRA-JINJAROAD'!H46)</f>
        <v>0</v>
      </c>
      <c r="I46" s="49">
        <f>AVERAGE('29.07 Kira Road-Jinaj Road'!I46,'30.07 Kira Road-Jinja Road'!I46,'31.07 Kira Road-Jinja Road'!I46,'2.08 Kira Road-Jinja road'!I46,'1.08 Kira Road-Jinja Road-24h'!I46,'3.08 Kira Road-Jinja Road-24h'!I46,'4.08.KIIRA-JINJAROAD'!I46)</f>
        <v>7.5714285714285712</v>
      </c>
      <c r="J46" s="49">
        <f>AVERAGE('29.07 Kira Road-Jinaj Road'!J46,'30.07 Kira Road-Jinja Road'!J46,'31.07 Kira Road-Jinja Road'!J46,'2.08 Kira Road-Jinja road'!J46,'1.08 Kira Road-Jinja Road-24h'!J46,'3.08 Kira Road-Jinja Road-24h'!J46,'4.08.KIIRA-JINJAROAD'!J46)</f>
        <v>1.1428571428571428</v>
      </c>
      <c r="K46" s="49">
        <f>AVERAGE('29.07 Kira Road-Jinaj Road'!K46,'30.07 Kira Road-Jinja Road'!K46,'31.07 Kira Road-Jinja Road'!K46,'2.08 Kira Road-Jinja road'!K46,'1.08 Kira Road-Jinja Road-24h'!K46,'3.08 Kira Road-Jinja Road-24h'!K46,'4.08.KIIRA-JINJAROAD'!K46)</f>
        <v>0.14285714285714285</v>
      </c>
      <c r="L46" s="49">
        <f>AVERAGE('29.07 Kira Road-Jinaj Road'!L46,'30.07 Kira Road-Jinja Road'!L46,'31.07 Kira Road-Jinja Road'!L46,'2.08 Kira Road-Jinja road'!L46,'1.08 Kira Road-Jinja Road-24h'!L46,'3.08 Kira Road-Jinja Road-24h'!L46,'4.08.KIIRA-JINJAROAD'!L46)</f>
        <v>0</v>
      </c>
      <c r="M46" s="49">
        <f>AVERAGE('29.07 Kira Road-Jinaj Road'!M46,'30.07 Kira Road-Jinja Road'!M46,'31.07 Kira Road-Jinja Road'!M46,'2.08 Kira Road-Jinja road'!M46,'1.08 Kira Road-Jinja Road-24h'!M46,'3.08 Kira Road-Jinja Road-24h'!M46,'4.08.KIIRA-JINJAROAD'!M46)</f>
        <v>176.85714285714286</v>
      </c>
      <c r="N46" s="49">
        <f>AVERAGE('29.07 Kira Road-Jinaj Road'!N46,'30.07 Kira Road-Jinja Road'!N46,'31.07 Kira Road-Jinja Road'!N46,'2.08 Kira Road-Jinja road'!N46,'1.08 Kira Road-Jinja Road-24h'!N46,'3.08 Kira Road-Jinja Road-24h'!N46,'4.08.KIIRA-JINJAROAD'!N46)</f>
        <v>0</v>
      </c>
      <c r="O46" s="15">
        <f t="shared" si="0"/>
        <v>189.42857142857142</v>
      </c>
      <c r="P46" s="15">
        <f t="shared" si="1"/>
        <v>366.28571428571428</v>
      </c>
      <c r="R46" s="8"/>
      <c r="T46"/>
    </row>
    <row r="47" spans="2:32" ht="23.1" customHeight="1" x14ac:dyDescent="0.25">
      <c r="B47" s="24" t="s">
        <v>74</v>
      </c>
      <c r="C47" s="49">
        <f>AVERAGE('29.07 Kira Road-Jinaj Road'!C47,'30.07 Kira Road-Jinja Road'!C47,'31.07 Kira Road-Jinja Road'!C47,'2.08 Kira Road-Jinja road'!C47,'1.08 Kira Road-Jinja Road-24h'!C47,'3.08 Kira Road-Jinja Road-24h'!C47,'4.08.KIIRA-JINJAROAD'!C47)</f>
        <v>118</v>
      </c>
      <c r="D47" s="49">
        <f>AVERAGE('29.07 Kira Road-Jinaj Road'!D47,'30.07 Kira Road-Jinja Road'!D47,'31.07 Kira Road-Jinja Road'!D47,'2.08 Kira Road-Jinja road'!D47,'1.08 Kira Road-Jinja Road-24h'!D47,'3.08 Kira Road-Jinja Road-24h'!D47,'4.08.KIIRA-JINJAROAD'!D47)</f>
        <v>46.142857142857146</v>
      </c>
      <c r="E47" s="49">
        <f>AVERAGE('29.07 Kira Road-Jinaj Road'!E47,'30.07 Kira Road-Jinja Road'!E47,'31.07 Kira Road-Jinja Road'!E47,'2.08 Kira Road-Jinja road'!E47,'1.08 Kira Road-Jinja Road-24h'!E47,'3.08 Kira Road-Jinja Road-24h'!E47,'4.08.KIIRA-JINJAROAD'!E47)</f>
        <v>14.142857142857142</v>
      </c>
      <c r="F47" s="49">
        <f>AVERAGE('29.07 Kira Road-Jinaj Road'!F47,'30.07 Kira Road-Jinja Road'!F47,'31.07 Kira Road-Jinja Road'!F47,'2.08 Kira Road-Jinja road'!F47,'1.08 Kira Road-Jinja Road-24h'!F47,'3.08 Kira Road-Jinja Road-24h'!F47,'4.08.KIIRA-JINJAROAD'!F47)</f>
        <v>4</v>
      </c>
      <c r="G47" s="49">
        <f>AVERAGE('29.07 Kira Road-Jinaj Road'!G47,'30.07 Kira Road-Jinja Road'!G47,'31.07 Kira Road-Jinja Road'!G47,'2.08 Kira Road-Jinja road'!G47,'1.08 Kira Road-Jinja Road-24h'!G47,'3.08 Kira Road-Jinja Road-24h'!G47,'4.08.KIIRA-JINJAROAD'!G47)</f>
        <v>0.2857142857142857</v>
      </c>
      <c r="H47" s="49">
        <f>AVERAGE('29.07 Kira Road-Jinaj Road'!H47,'30.07 Kira Road-Jinja Road'!H47,'31.07 Kira Road-Jinja Road'!H47,'2.08 Kira Road-Jinja road'!H47,'1.08 Kira Road-Jinja Road-24h'!H47,'3.08 Kira Road-Jinja Road-24h'!H47,'4.08.KIIRA-JINJAROAD'!H47)</f>
        <v>0</v>
      </c>
      <c r="I47" s="49">
        <f>AVERAGE('29.07 Kira Road-Jinaj Road'!I47,'30.07 Kira Road-Jinja Road'!I47,'31.07 Kira Road-Jinja Road'!I47,'2.08 Kira Road-Jinja road'!I47,'1.08 Kira Road-Jinja Road-24h'!I47,'3.08 Kira Road-Jinja Road-24h'!I47,'4.08.KIIRA-JINJAROAD'!I47)</f>
        <v>7.1428571428571432</v>
      </c>
      <c r="J47" s="49">
        <f>AVERAGE('29.07 Kira Road-Jinaj Road'!J47,'30.07 Kira Road-Jinja Road'!J47,'31.07 Kira Road-Jinja Road'!J47,'2.08 Kira Road-Jinja road'!J47,'1.08 Kira Road-Jinja Road-24h'!J47,'3.08 Kira Road-Jinja Road-24h'!J47,'4.08.KIIRA-JINJAROAD'!J47)</f>
        <v>2.1428571428571428</v>
      </c>
      <c r="K47" s="49">
        <f>AVERAGE('29.07 Kira Road-Jinaj Road'!K47,'30.07 Kira Road-Jinja Road'!K47,'31.07 Kira Road-Jinja Road'!K47,'2.08 Kira Road-Jinja road'!K47,'1.08 Kira Road-Jinja Road-24h'!K47,'3.08 Kira Road-Jinja Road-24h'!K47,'4.08.KIIRA-JINJAROAD'!K47)</f>
        <v>0.14285714285714285</v>
      </c>
      <c r="L47" s="49">
        <f>AVERAGE('29.07 Kira Road-Jinaj Road'!L47,'30.07 Kira Road-Jinja Road'!L47,'31.07 Kira Road-Jinja Road'!L47,'2.08 Kira Road-Jinja road'!L47,'1.08 Kira Road-Jinja Road-24h'!L47,'3.08 Kira Road-Jinja Road-24h'!L47,'4.08.KIIRA-JINJAROAD'!L47)</f>
        <v>0</v>
      </c>
      <c r="M47" s="49">
        <f>AVERAGE('29.07 Kira Road-Jinaj Road'!M47,'30.07 Kira Road-Jinja Road'!M47,'31.07 Kira Road-Jinja Road'!M47,'2.08 Kira Road-Jinja road'!M47,'1.08 Kira Road-Jinja Road-24h'!M47,'3.08 Kira Road-Jinja Road-24h'!M47,'4.08.KIIRA-JINJAROAD'!M47)</f>
        <v>172</v>
      </c>
      <c r="N47" s="49">
        <f>AVERAGE('29.07 Kira Road-Jinaj Road'!N47,'30.07 Kira Road-Jinja Road'!N47,'31.07 Kira Road-Jinja Road'!N47,'2.08 Kira Road-Jinja road'!N47,'1.08 Kira Road-Jinja Road-24h'!N47,'3.08 Kira Road-Jinja Road-24h'!N47,'4.08.KIIRA-JINJAROAD'!N47)</f>
        <v>0</v>
      </c>
      <c r="O47" s="15">
        <f t="shared" si="0"/>
        <v>191.99999999999997</v>
      </c>
      <c r="P47" s="15">
        <f t="shared" si="1"/>
        <v>364</v>
      </c>
      <c r="R47" s="8"/>
      <c r="T47"/>
    </row>
    <row r="48" spans="2:32" ht="23.1" customHeight="1" x14ac:dyDescent="0.25">
      <c r="B48" s="24" t="s">
        <v>75</v>
      </c>
      <c r="C48" s="49">
        <f>AVERAGE('29.07 Kira Road-Jinaj Road'!C48,'30.07 Kira Road-Jinja Road'!C48,'31.07 Kira Road-Jinja Road'!C48,'2.08 Kira Road-Jinja road'!C48,'1.08 Kira Road-Jinja Road-24h'!C48,'3.08 Kira Road-Jinja Road-24h'!C48,'4.08.KIIRA-JINJAROAD'!C48)</f>
        <v>117.28571428571429</v>
      </c>
      <c r="D48" s="49">
        <f>AVERAGE('29.07 Kira Road-Jinaj Road'!D48,'30.07 Kira Road-Jinja Road'!D48,'31.07 Kira Road-Jinja Road'!D48,'2.08 Kira Road-Jinja road'!D48,'1.08 Kira Road-Jinja Road-24h'!D48,'3.08 Kira Road-Jinja Road-24h'!D48,'4.08.KIIRA-JINJAROAD'!D48)</f>
        <v>46.285714285714285</v>
      </c>
      <c r="E48" s="49">
        <f>AVERAGE('29.07 Kira Road-Jinaj Road'!E48,'30.07 Kira Road-Jinja Road'!E48,'31.07 Kira Road-Jinja Road'!E48,'2.08 Kira Road-Jinja road'!E48,'1.08 Kira Road-Jinja Road-24h'!E48,'3.08 Kira Road-Jinja Road-24h'!E48,'4.08.KIIRA-JINJAROAD'!E48)</f>
        <v>18.428571428571427</v>
      </c>
      <c r="F48" s="49">
        <f>AVERAGE('29.07 Kira Road-Jinaj Road'!F48,'30.07 Kira Road-Jinja Road'!F48,'31.07 Kira Road-Jinja Road'!F48,'2.08 Kira Road-Jinja road'!F48,'1.08 Kira Road-Jinja Road-24h'!F48,'3.08 Kira Road-Jinja Road-24h'!F48,'4.08.KIIRA-JINJAROAD'!F48)</f>
        <v>15</v>
      </c>
      <c r="G48" s="49">
        <f>AVERAGE('29.07 Kira Road-Jinaj Road'!G48,'30.07 Kira Road-Jinja Road'!G48,'31.07 Kira Road-Jinja Road'!G48,'2.08 Kira Road-Jinja road'!G48,'1.08 Kira Road-Jinja Road-24h'!G48,'3.08 Kira Road-Jinja Road-24h'!G48,'4.08.KIIRA-JINJAROAD'!G48)</f>
        <v>0</v>
      </c>
      <c r="H48" s="49">
        <f>AVERAGE('29.07 Kira Road-Jinaj Road'!H48,'30.07 Kira Road-Jinja Road'!H48,'31.07 Kira Road-Jinja Road'!H48,'2.08 Kira Road-Jinja road'!H48,'1.08 Kira Road-Jinja Road-24h'!H48,'3.08 Kira Road-Jinja Road-24h'!H48,'4.08.KIIRA-JINJAROAD'!H48)</f>
        <v>0.14285714285714285</v>
      </c>
      <c r="I48" s="49">
        <f>AVERAGE('29.07 Kira Road-Jinaj Road'!I48,'30.07 Kira Road-Jinja Road'!I48,'31.07 Kira Road-Jinja Road'!I48,'2.08 Kira Road-Jinja road'!I48,'1.08 Kira Road-Jinja Road-24h'!I48,'3.08 Kira Road-Jinja Road-24h'!I48,'4.08.KIIRA-JINJAROAD'!I48)</f>
        <v>4.5714285714285712</v>
      </c>
      <c r="J48" s="49">
        <f>AVERAGE('29.07 Kira Road-Jinaj Road'!J48,'30.07 Kira Road-Jinja Road'!J48,'31.07 Kira Road-Jinja Road'!J48,'2.08 Kira Road-Jinja road'!J48,'1.08 Kira Road-Jinja Road-24h'!J48,'3.08 Kira Road-Jinja Road-24h'!J48,'4.08.KIIRA-JINJAROAD'!J48)</f>
        <v>3.4285714285714284</v>
      </c>
      <c r="K48" s="49">
        <f>AVERAGE('29.07 Kira Road-Jinaj Road'!K48,'30.07 Kira Road-Jinja Road'!K48,'31.07 Kira Road-Jinja Road'!K48,'2.08 Kira Road-Jinja road'!K48,'1.08 Kira Road-Jinja Road-24h'!K48,'3.08 Kira Road-Jinja Road-24h'!K48,'4.08.KIIRA-JINJAROAD'!K48)</f>
        <v>0.7142857142857143</v>
      </c>
      <c r="L48" s="49">
        <f>AVERAGE('29.07 Kira Road-Jinaj Road'!L48,'30.07 Kira Road-Jinja Road'!L48,'31.07 Kira Road-Jinja Road'!L48,'2.08 Kira Road-Jinja road'!L48,'1.08 Kira Road-Jinja Road-24h'!L48,'3.08 Kira Road-Jinja Road-24h'!L48,'4.08.KIIRA-JINJAROAD'!L48)</f>
        <v>0.14285714285714285</v>
      </c>
      <c r="M48" s="49">
        <f>AVERAGE('29.07 Kira Road-Jinaj Road'!M48,'30.07 Kira Road-Jinja Road'!M48,'31.07 Kira Road-Jinja Road'!M48,'2.08 Kira Road-Jinja road'!M48,'1.08 Kira Road-Jinja Road-24h'!M48,'3.08 Kira Road-Jinja Road-24h'!M48,'4.08.KIIRA-JINJAROAD'!M48)</f>
        <v>186.42857142857142</v>
      </c>
      <c r="N48" s="49">
        <f>AVERAGE('29.07 Kira Road-Jinaj Road'!N48,'30.07 Kira Road-Jinja Road'!N48,'31.07 Kira Road-Jinja Road'!N48,'2.08 Kira Road-Jinja road'!N48,'1.08 Kira Road-Jinja Road-24h'!N48,'3.08 Kira Road-Jinja Road-24h'!N48,'4.08.KIIRA-JINJAROAD'!N48)</f>
        <v>0</v>
      </c>
      <c r="O48" s="15">
        <f t="shared" si="0"/>
        <v>206</v>
      </c>
      <c r="P48" s="15">
        <f t="shared" si="1"/>
        <v>392.42857142857144</v>
      </c>
      <c r="R48" s="8"/>
      <c r="T48"/>
    </row>
    <row r="49" spans="2:20" ht="23.1" customHeight="1" x14ac:dyDescent="0.25">
      <c r="B49" s="23" t="s">
        <v>76</v>
      </c>
      <c r="C49" s="49">
        <f>AVERAGE('29.07 Kira Road-Jinaj Road'!C49,'30.07 Kira Road-Jinja Road'!C49,'31.07 Kira Road-Jinja Road'!C49,'2.08 Kira Road-Jinja road'!C49,'1.08 Kira Road-Jinja Road-24h'!C49,'3.08 Kira Road-Jinja Road-24h'!C49,'4.08.KIIRA-JINJAROAD'!C49)</f>
        <v>109.57142857142857</v>
      </c>
      <c r="D49" s="49">
        <f>AVERAGE('29.07 Kira Road-Jinaj Road'!D49,'30.07 Kira Road-Jinja Road'!D49,'31.07 Kira Road-Jinja Road'!D49,'2.08 Kira Road-Jinja road'!D49,'1.08 Kira Road-Jinja Road-24h'!D49,'3.08 Kira Road-Jinja Road-24h'!D49,'4.08.KIIRA-JINJAROAD'!D49)</f>
        <v>48.285714285714285</v>
      </c>
      <c r="E49" s="49">
        <f>AVERAGE('29.07 Kira Road-Jinaj Road'!E49,'30.07 Kira Road-Jinja Road'!E49,'31.07 Kira Road-Jinja Road'!E49,'2.08 Kira Road-Jinja road'!E49,'1.08 Kira Road-Jinja Road-24h'!E49,'3.08 Kira Road-Jinja Road-24h'!E49,'4.08.KIIRA-JINJAROAD'!E49)</f>
        <v>18.571428571428573</v>
      </c>
      <c r="F49" s="49">
        <f>AVERAGE('29.07 Kira Road-Jinaj Road'!F49,'30.07 Kira Road-Jinja Road'!F49,'31.07 Kira Road-Jinja Road'!F49,'2.08 Kira Road-Jinja road'!F49,'1.08 Kira Road-Jinja Road-24h'!F49,'3.08 Kira Road-Jinja Road-24h'!F49,'4.08.KIIRA-JINJAROAD'!F49)</f>
        <v>5.5714285714285712</v>
      </c>
      <c r="G49" s="49">
        <f>AVERAGE('29.07 Kira Road-Jinaj Road'!G49,'30.07 Kira Road-Jinja Road'!G49,'31.07 Kira Road-Jinja Road'!G49,'2.08 Kira Road-Jinja road'!G49,'1.08 Kira Road-Jinja Road-24h'!G49,'3.08 Kira Road-Jinja Road-24h'!G49,'4.08.KIIRA-JINJAROAD'!G49)</f>
        <v>0.14285714285714285</v>
      </c>
      <c r="H49" s="49">
        <f>AVERAGE('29.07 Kira Road-Jinaj Road'!H49,'30.07 Kira Road-Jinja Road'!H49,'31.07 Kira Road-Jinja Road'!H49,'2.08 Kira Road-Jinja road'!H49,'1.08 Kira Road-Jinja Road-24h'!H49,'3.08 Kira Road-Jinja Road-24h'!H49,'4.08.KIIRA-JINJAROAD'!H49)</f>
        <v>0</v>
      </c>
      <c r="I49" s="49">
        <f>AVERAGE('29.07 Kira Road-Jinaj Road'!I49,'30.07 Kira Road-Jinja Road'!I49,'31.07 Kira Road-Jinja Road'!I49,'2.08 Kira Road-Jinja road'!I49,'1.08 Kira Road-Jinja Road-24h'!I49,'3.08 Kira Road-Jinja Road-24h'!I49,'4.08.KIIRA-JINJAROAD'!I49)</f>
        <v>6.1428571428571432</v>
      </c>
      <c r="J49" s="49">
        <f>AVERAGE('29.07 Kira Road-Jinaj Road'!J49,'30.07 Kira Road-Jinja Road'!J49,'31.07 Kira Road-Jinja Road'!J49,'2.08 Kira Road-Jinja road'!J49,'1.08 Kira Road-Jinja Road-24h'!J49,'3.08 Kira Road-Jinja Road-24h'!J49,'4.08.KIIRA-JINJAROAD'!J49)</f>
        <v>1.7142857142857142</v>
      </c>
      <c r="K49" s="49">
        <f>AVERAGE('29.07 Kira Road-Jinaj Road'!K49,'30.07 Kira Road-Jinja Road'!K49,'31.07 Kira Road-Jinja Road'!K49,'2.08 Kira Road-Jinja road'!K49,'1.08 Kira Road-Jinja Road-24h'!K49,'3.08 Kira Road-Jinja Road-24h'!K49,'4.08.KIIRA-JINJAROAD'!K49)</f>
        <v>1.1428571428571428</v>
      </c>
      <c r="L49" s="49">
        <f>AVERAGE('29.07 Kira Road-Jinaj Road'!L49,'30.07 Kira Road-Jinja Road'!L49,'31.07 Kira Road-Jinja Road'!L49,'2.08 Kira Road-Jinja road'!L49,'1.08 Kira Road-Jinja Road-24h'!L49,'3.08 Kira Road-Jinja Road-24h'!L49,'4.08.KIIRA-JINJAROAD'!L49)</f>
        <v>0.2857142857142857</v>
      </c>
      <c r="M49" s="49">
        <f>AVERAGE('29.07 Kira Road-Jinaj Road'!M49,'30.07 Kira Road-Jinja Road'!M49,'31.07 Kira Road-Jinja Road'!M49,'2.08 Kira Road-Jinja road'!M49,'1.08 Kira Road-Jinja Road-24h'!M49,'3.08 Kira Road-Jinja Road-24h'!M49,'4.08.KIIRA-JINJAROAD'!M49)</f>
        <v>183.71428571428572</v>
      </c>
      <c r="N49" s="49">
        <f>AVERAGE('29.07 Kira Road-Jinaj Road'!N49,'30.07 Kira Road-Jinja Road'!N49,'31.07 Kira Road-Jinja Road'!N49,'2.08 Kira Road-Jinja road'!N49,'1.08 Kira Road-Jinja Road-24h'!N49,'3.08 Kira Road-Jinja Road-24h'!N49,'4.08.KIIRA-JINJAROAD'!N49)</f>
        <v>0</v>
      </c>
      <c r="O49" s="15">
        <f t="shared" si="0"/>
        <v>191.42857142857144</v>
      </c>
      <c r="P49" s="15">
        <f t="shared" si="1"/>
        <v>375.14285714285717</v>
      </c>
      <c r="R49" s="8"/>
      <c r="T49"/>
    </row>
    <row r="50" spans="2:20" ht="23.1" customHeight="1" x14ac:dyDescent="0.25">
      <c r="B50" s="24" t="s">
        <v>77</v>
      </c>
      <c r="C50" s="49">
        <f>AVERAGE('29.07 Kira Road-Jinaj Road'!C50,'30.07 Kira Road-Jinja Road'!C50,'31.07 Kira Road-Jinja Road'!C50,'2.08 Kira Road-Jinja road'!C50,'1.08 Kira Road-Jinja Road-24h'!C50,'3.08 Kira Road-Jinja Road-24h'!C50,'4.08.KIIRA-JINJAROAD'!C50)</f>
        <v>122.28571428571429</v>
      </c>
      <c r="D50" s="49">
        <f>AVERAGE('29.07 Kira Road-Jinaj Road'!D50,'30.07 Kira Road-Jinja Road'!D50,'31.07 Kira Road-Jinja Road'!D50,'2.08 Kira Road-Jinja road'!D50,'1.08 Kira Road-Jinja Road-24h'!D50,'3.08 Kira Road-Jinja Road-24h'!D50,'4.08.KIIRA-JINJAROAD'!D50)</f>
        <v>51</v>
      </c>
      <c r="E50" s="49">
        <f>AVERAGE('29.07 Kira Road-Jinaj Road'!E50,'30.07 Kira Road-Jinja Road'!E50,'31.07 Kira Road-Jinja Road'!E50,'2.08 Kira Road-Jinja road'!E50,'1.08 Kira Road-Jinja Road-24h'!E50,'3.08 Kira Road-Jinja Road-24h'!E50,'4.08.KIIRA-JINJAROAD'!E50)</f>
        <v>17.142857142857142</v>
      </c>
      <c r="F50" s="49">
        <f>AVERAGE('29.07 Kira Road-Jinaj Road'!F50,'30.07 Kira Road-Jinja Road'!F50,'31.07 Kira Road-Jinja Road'!F50,'2.08 Kira Road-Jinja road'!F50,'1.08 Kira Road-Jinja Road-24h'!F50,'3.08 Kira Road-Jinja Road-24h'!F50,'4.08.KIIRA-JINJAROAD'!F50)</f>
        <v>6.2857142857142856</v>
      </c>
      <c r="G50" s="49">
        <f>AVERAGE('29.07 Kira Road-Jinaj Road'!G50,'30.07 Kira Road-Jinja Road'!G50,'31.07 Kira Road-Jinja Road'!G50,'2.08 Kira Road-Jinja road'!G50,'1.08 Kira Road-Jinja Road-24h'!G50,'3.08 Kira Road-Jinja Road-24h'!G50,'4.08.KIIRA-JINJAROAD'!G50)</f>
        <v>0.5714285714285714</v>
      </c>
      <c r="H50" s="49">
        <f>AVERAGE('29.07 Kira Road-Jinaj Road'!H50,'30.07 Kira Road-Jinja Road'!H50,'31.07 Kira Road-Jinja Road'!H50,'2.08 Kira Road-Jinja road'!H50,'1.08 Kira Road-Jinja Road-24h'!H50,'3.08 Kira Road-Jinja Road-24h'!H50,'4.08.KIIRA-JINJAROAD'!H50)</f>
        <v>0.14285714285714285</v>
      </c>
      <c r="I50" s="49">
        <f>AVERAGE('29.07 Kira Road-Jinaj Road'!I50,'30.07 Kira Road-Jinja Road'!I50,'31.07 Kira Road-Jinja Road'!I50,'2.08 Kira Road-Jinja road'!I50,'1.08 Kira Road-Jinja Road-24h'!I50,'3.08 Kira Road-Jinja Road-24h'!I50,'4.08.KIIRA-JINJAROAD'!I50)</f>
        <v>5.8571428571428568</v>
      </c>
      <c r="J50" s="49">
        <f>AVERAGE('29.07 Kira Road-Jinaj Road'!J50,'30.07 Kira Road-Jinja Road'!J50,'31.07 Kira Road-Jinja Road'!J50,'2.08 Kira Road-Jinja road'!J50,'1.08 Kira Road-Jinja Road-24h'!J50,'3.08 Kira Road-Jinja Road-24h'!J50,'4.08.KIIRA-JINJAROAD'!J50)</f>
        <v>2.8571428571428572</v>
      </c>
      <c r="K50" s="49">
        <f>AVERAGE('29.07 Kira Road-Jinaj Road'!K50,'30.07 Kira Road-Jinja Road'!K50,'31.07 Kira Road-Jinja Road'!K50,'2.08 Kira Road-Jinja road'!K50,'1.08 Kira Road-Jinja Road-24h'!K50,'3.08 Kira Road-Jinja Road-24h'!K50,'4.08.KIIRA-JINJAROAD'!K50)</f>
        <v>0.5714285714285714</v>
      </c>
      <c r="L50" s="49">
        <f>AVERAGE('29.07 Kira Road-Jinaj Road'!L50,'30.07 Kira Road-Jinja Road'!L50,'31.07 Kira Road-Jinja Road'!L50,'2.08 Kira Road-Jinja road'!L50,'1.08 Kira Road-Jinja Road-24h'!L50,'3.08 Kira Road-Jinja Road-24h'!L50,'4.08.KIIRA-JINJAROAD'!L50)</f>
        <v>0.14285714285714285</v>
      </c>
      <c r="M50" s="49">
        <f>AVERAGE('29.07 Kira Road-Jinaj Road'!M50,'30.07 Kira Road-Jinja Road'!M50,'31.07 Kira Road-Jinja Road'!M50,'2.08 Kira Road-Jinja road'!M50,'1.08 Kira Road-Jinja Road-24h'!M50,'3.08 Kira Road-Jinja Road-24h'!M50,'4.08.KIIRA-JINJAROAD'!M50)</f>
        <v>187.42857142857142</v>
      </c>
      <c r="N50" s="49">
        <f>AVERAGE('29.07 Kira Road-Jinaj Road'!N50,'30.07 Kira Road-Jinja Road'!N50,'31.07 Kira Road-Jinja Road'!N50,'2.08 Kira Road-Jinja road'!N50,'1.08 Kira Road-Jinja Road-24h'!N50,'3.08 Kira Road-Jinja Road-24h'!N50,'4.08.KIIRA-JINJAROAD'!N50)</f>
        <v>0</v>
      </c>
      <c r="O50" s="15">
        <f t="shared" si="0"/>
        <v>206.85714285714286</v>
      </c>
      <c r="P50" s="15">
        <f t="shared" si="1"/>
        <v>394.28571428571428</v>
      </c>
      <c r="R50" s="8"/>
      <c r="T50"/>
    </row>
    <row r="51" spans="2:20" ht="23.1" customHeight="1" x14ac:dyDescent="0.25">
      <c r="B51" s="24" t="s">
        <v>78</v>
      </c>
      <c r="C51" s="49">
        <f>AVERAGE('29.07 Kira Road-Jinaj Road'!C51,'30.07 Kira Road-Jinja Road'!C51,'31.07 Kira Road-Jinja Road'!C51,'2.08 Kira Road-Jinja road'!C51,'1.08 Kira Road-Jinja Road-24h'!C51,'3.08 Kira Road-Jinja Road-24h'!C51,'4.08.KIIRA-JINJAROAD'!C51)</f>
        <v>102.42857142857143</v>
      </c>
      <c r="D51" s="49">
        <f>AVERAGE('29.07 Kira Road-Jinaj Road'!D51,'30.07 Kira Road-Jinja Road'!D51,'31.07 Kira Road-Jinja Road'!D51,'2.08 Kira Road-Jinja road'!D51,'1.08 Kira Road-Jinja Road-24h'!D51,'3.08 Kira Road-Jinja Road-24h'!D51,'4.08.KIIRA-JINJAROAD'!D51)</f>
        <v>47.285714285714285</v>
      </c>
      <c r="E51" s="49">
        <f>AVERAGE('29.07 Kira Road-Jinaj Road'!E51,'30.07 Kira Road-Jinja Road'!E51,'31.07 Kira Road-Jinja Road'!E51,'2.08 Kira Road-Jinja road'!E51,'1.08 Kira Road-Jinja Road-24h'!E51,'3.08 Kira Road-Jinja Road-24h'!E51,'4.08.KIIRA-JINJAROAD'!E51)</f>
        <v>19.428571428571427</v>
      </c>
      <c r="F51" s="49">
        <f>AVERAGE('29.07 Kira Road-Jinaj Road'!F51,'30.07 Kira Road-Jinja Road'!F51,'31.07 Kira Road-Jinja Road'!F51,'2.08 Kira Road-Jinja road'!F51,'1.08 Kira Road-Jinja Road-24h'!F51,'3.08 Kira Road-Jinja Road-24h'!F51,'4.08.KIIRA-JINJAROAD'!F51)</f>
        <v>8</v>
      </c>
      <c r="G51" s="49">
        <f>AVERAGE('29.07 Kira Road-Jinaj Road'!G51,'30.07 Kira Road-Jinja Road'!G51,'31.07 Kira Road-Jinja Road'!G51,'2.08 Kira Road-Jinja road'!G51,'1.08 Kira Road-Jinja Road-24h'!G51,'3.08 Kira Road-Jinja Road-24h'!G51,'4.08.KIIRA-JINJAROAD'!G51)</f>
        <v>0</v>
      </c>
      <c r="H51" s="49">
        <f>AVERAGE('29.07 Kira Road-Jinaj Road'!H51,'30.07 Kira Road-Jinja Road'!H51,'31.07 Kira Road-Jinja Road'!H51,'2.08 Kira Road-Jinja road'!H51,'1.08 Kira Road-Jinja Road-24h'!H51,'3.08 Kira Road-Jinja Road-24h'!H51,'4.08.KIIRA-JINJAROAD'!H51)</f>
        <v>0</v>
      </c>
      <c r="I51" s="49">
        <f>AVERAGE('29.07 Kira Road-Jinaj Road'!I51,'30.07 Kira Road-Jinja Road'!I51,'31.07 Kira Road-Jinja Road'!I51,'2.08 Kira Road-Jinja road'!I51,'1.08 Kira Road-Jinja Road-24h'!I51,'3.08 Kira Road-Jinja Road-24h'!I51,'4.08.KIIRA-JINJAROAD'!I51)</f>
        <v>5.2857142857142856</v>
      </c>
      <c r="J51" s="49">
        <f>AVERAGE('29.07 Kira Road-Jinaj Road'!J51,'30.07 Kira Road-Jinja Road'!J51,'31.07 Kira Road-Jinja Road'!J51,'2.08 Kira Road-Jinja road'!J51,'1.08 Kira Road-Jinja Road-24h'!J51,'3.08 Kira Road-Jinja Road-24h'!J51,'4.08.KIIRA-JINJAROAD'!J51)</f>
        <v>1.2857142857142858</v>
      </c>
      <c r="K51" s="49">
        <f>AVERAGE('29.07 Kira Road-Jinaj Road'!K51,'30.07 Kira Road-Jinja Road'!K51,'31.07 Kira Road-Jinja Road'!K51,'2.08 Kira Road-Jinja road'!K51,'1.08 Kira Road-Jinja Road-24h'!K51,'3.08 Kira Road-Jinja Road-24h'!K51,'4.08.KIIRA-JINJAROAD'!K51)</f>
        <v>0.5714285714285714</v>
      </c>
      <c r="L51" s="49">
        <f>AVERAGE('29.07 Kira Road-Jinaj Road'!L51,'30.07 Kira Road-Jinja Road'!L51,'31.07 Kira Road-Jinja Road'!L51,'2.08 Kira Road-Jinja road'!L51,'1.08 Kira Road-Jinja Road-24h'!L51,'3.08 Kira Road-Jinja Road-24h'!L51,'4.08.KIIRA-JINJAROAD'!L51)</f>
        <v>0.14285714285714285</v>
      </c>
      <c r="M51" s="49">
        <f>AVERAGE('29.07 Kira Road-Jinaj Road'!M51,'30.07 Kira Road-Jinja Road'!M51,'31.07 Kira Road-Jinja Road'!M51,'2.08 Kira Road-Jinja road'!M51,'1.08 Kira Road-Jinja Road-24h'!M51,'3.08 Kira Road-Jinja Road-24h'!M51,'4.08.KIIRA-JINJAROAD'!M51)</f>
        <v>200.42857142857142</v>
      </c>
      <c r="N51" s="49">
        <f>AVERAGE('29.07 Kira Road-Jinaj Road'!N51,'30.07 Kira Road-Jinja Road'!N51,'31.07 Kira Road-Jinja Road'!N51,'2.08 Kira Road-Jinja road'!N51,'1.08 Kira Road-Jinja Road-24h'!N51,'3.08 Kira Road-Jinja Road-24h'!N51,'4.08.KIIRA-JINJAROAD'!N51)</f>
        <v>0</v>
      </c>
      <c r="O51" s="15">
        <f t="shared" si="0"/>
        <v>184.42857142857142</v>
      </c>
      <c r="P51" s="15">
        <f t="shared" si="1"/>
        <v>384.85714285714283</v>
      </c>
      <c r="R51" s="8"/>
      <c r="T51"/>
    </row>
    <row r="52" spans="2:20" ht="23.1" customHeight="1" x14ac:dyDescent="0.25">
      <c r="B52" s="24" t="s">
        <v>79</v>
      </c>
      <c r="C52" s="49">
        <f>AVERAGE('29.07 Kira Road-Jinaj Road'!C52,'30.07 Kira Road-Jinja Road'!C52,'31.07 Kira Road-Jinja Road'!C52,'2.08 Kira Road-Jinja road'!C52,'1.08 Kira Road-Jinja Road-24h'!C52,'3.08 Kira Road-Jinja Road-24h'!C52,'4.08.KIIRA-JINJAROAD'!C52)</f>
        <v>112.71428571428571</v>
      </c>
      <c r="D52" s="49">
        <f>AVERAGE('29.07 Kira Road-Jinaj Road'!D52,'30.07 Kira Road-Jinja Road'!D52,'31.07 Kira Road-Jinja Road'!D52,'2.08 Kira Road-Jinja road'!D52,'1.08 Kira Road-Jinja Road-24h'!D52,'3.08 Kira Road-Jinja Road-24h'!D52,'4.08.KIIRA-JINJAROAD'!D52)</f>
        <v>52.142857142857146</v>
      </c>
      <c r="E52" s="49">
        <f>AVERAGE('29.07 Kira Road-Jinaj Road'!E52,'30.07 Kira Road-Jinja Road'!E52,'31.07 Kira Road-Jinja Road'!E52,'2.08 Kira Road-Jinja road'!E52,'1.08 Kira Road-Jinja Road-24h'!E52,'3.08 Kira Road-Jinja Road-24h'!E52,'4.08.KIIRA-JINJAROAD'!E52)</f>
        <v>14.428571428571429</v>
      </c>
      <c r="F52" s="49">
        <f>AVERAGE('29.07 Kira Road-Jinaj Road'!F52,'30.07 Kira Road-Jinja Road'!F52,'31.07 Kira Road-Jinja Road'!F52,'2.08 Kira Road-Jinja road'!F52,'1.08 Kira Road-Jinja Road-24h'!F52,'3.08 Kira Road-Jinja Road-24h'!F52,'4.08.KIIRA-JINJAROAD'!F52)</f>
        <v>7.5714285714285712</v>
      </c>
      <c r="G52" s="49">
        <f>AVERAGE('29.07 Kira Road-Jinaj Road'!G52,'30.07 Kira Road-Jinja Road'!G52,'31.07 Kira Road-Jinja Road'!G52,'2.08 Kira Road-Jinja road'!G52,'1.08 Kira Road-Jinja Road-24h'!G52,'3.08 Kira Road-Jinja Road-24h'!G52,'4.08.KIIRA-JINJAROAD'!G52)</f>
        <v>0.2857142857142857</v>
      </c>
      <c r="H52" s="49">
        <f>AVERAGE('29.07 Kira Road-Jinaj Road'!H52,'30.07 Kira Road-Jinja Road'!H52,'31.07 Kira Road-Jinja Road'!H52,'2.08 Kira Road-Jinja road'!H52,'1.08 Kira Road-Jinja Road-24h'!H52,'3.08 Kira Road-Jinja Road-24h'!H52,'4.08.KIIRA-JINJAROAD'!H52)</f>
        <v>0</v>
      </c>
      <c r="I52" s="49">
        <f>AVERAGE('29.07 Kira Road-Jinaj Road'!I52,'30.07 Kira Road-Jinja Road'!I52,'31.07 Kira Road-Jinja Road'!I52,'2.08 Kira Road-Jinja road'!I52,'1.08 Kira Road-Jinja Road-24h'!I52,'3.08 Kira Road-Jinja Road-24h'!I52,'4.08.KIIRA-JINJAROAD'!I52)</f>
        <v>3.7142857142857144</v>
      </c>
      <c r="J52" s="49">
        <f>AVERAGE('29.07 Kira Road-Jinaj Road'!J52,'30.07 Kira Road-Jinja Road'!J52,'31.07 Kira Road-Jinja Road'!J52,'2.08 Kira Road-Jinja road'!J52,'1.08 Kira Road-Jinja Road-24h'!J52,'3.08 Kira Road-Jinja Road-24h'!J52,'4.08.KIIRA-JINJAROAD'!J52)</f>
        <v>1.2857142857142858</v>
      </c>
      <c r="K52" s="49">
        <f>AVERAGE('29.07 Kira Road-Jinaj Road'!K52,'30.07 Kira Road-Jinja Road'!K52,'31.07 Kira Road-Jinja Road'!K52,'2.08 Kira Road-Jinja road'!K52,'1.08 Kira Road-Jinja Road-24h'!K52,'3.08 Kira Road-Jinja Road-24h'!K52,'4.08.KIIRA-JINJAROAD'!K52)</f>
        <v>0.14285714285714285</v>
      </c>
      <c r="L52" s="49">
        <f>AVERAGE('29.07 Kira Road-Jinaj Road'!L52,'30.07 Kira Road-Jinja Road'!L52,'31.07 Kira Road-Jinja Road'!L52,'2.08 Kira Road-Jinja road'!L52,'1.08 Kira Road-Jinja Road-24h'!L52,'3.08 Kira Road-Jinja Road-24h'!L52,'4.08.KIIRA-JINJAROAD'!L52)</f>
        <v>0</v>
      </c>
      <c r="M52" s="49">
        <f>AVERAGE('29.07 Kira Road-Jinaj Road'!M52,'30.07 Kira Road-Jinja Road'!M52,'31.07 Kira Road-Jinja Road'!M52,'2.08 Kira Road-Jinja road'!M52,'1.08 Kira Road-Jinja Road-24h'!M52,'3.08 Kira Road-Jinja Road-24h'!M52,'4.08.KIIRA-JINJAROAD'!M52)</f>
        <v>176.57142857142858</v>
      </c>
      <c r="N52" s="49">
        <f>AVERAGE('29.07 Kira Road-Jinaj Road'!N52,'30.07 Kira Road-Jinja Road'!N52,'31.07 Kira Road-Jinja Road'!N52,'2.08 Kira Road-Jinja road'!N52,'1.08 Kira Road-Jinja Road-24h'!N52,'3.08 Kira Road-Jinja Road-24h'!N52,'4.08.KIIRA-JINJAROAD'!N52)</f>
        <v>0</v>
      </c>
      <c r="O52" s="15">
        <f t="shared" si="0"/>
        <v>192.28571428571428</v>
      </c>
      <c r="P52" s="15">
        <f t="shared" si="1"/>
        <v>368.85714285714289</v>
      </c>
      <c r="R52" s="8"/>
      <c r="T52"/>
    </row>
    <row r="53" spans="2:20" ht="23.1" customHeight="1" x14ac:dyDescent="0.25">
      <c r="B53" s="23" t="s">
        <v>80</v>
      </c>
      <c r="C53" s="49">
        <f>AVERAGE('29.07 Kira Road-Jinaj Road'!C53,'30.07 Kira Road-Jinja Road'!C53,'31.07 Kira Road-Jinja Road'!C53,'2.08 Kira Road-Jinja road'!C53,'1.08 Kira Road-Jinja Road-24h'!C53,'3.08 Kira Road-Jinja Road-24h'!C53,'4.08.KIIRA-JINJAROAD'!C53)</f>
        <v>1407.7142857142858</v>
      </c>
      <c r="D53" s="49">
        <f>AVERAGE('29.07 Kira Road-Jinaj Road'!D53,'30.07 Kira Road-Jinja Road'!D53,'31.07 Kira Road-Jinja Road'!D53,'2.08 Kira Road-Jinja road'!D53,'1.08 Kira Road-Jinja Road-24h'!D53,'3.08 Kira Road-Jinja Road-24h'!D53,'4.08.KIIRA-JINJAROAD'!D53)</f>
        <v>51.714285714285715</v>
      </c>
      <c r="E53" s="49">
        <f>AVERAGE('29.07 Kira Road-Jinaj Road'!E53,'30.07 Kira Road-Jinja Road'!E53,'31.07 Kira Road-Jinja Road'!E53,'2.08 Kira Road-Jinja road'!E53,'1.08 Kira Road-Jinja Road-24h'!E53,'3.08 Kira Road-Jinja Road-24h'!E53,'4.08.KIIRA-JINJAROAD'!E53)</f>
        <v>18.142857142857142</v>
      </c>
      <c r="F53" s="49">
        <f>AVERAGE('29.07 Kira Road-Jinaj Road'!F53,'30.07 Kira Road-Jinja Road'!F53,'31.07 Kira Road-Jinja Road'!F53,'2.08 Kira Road-Jinja road'!F53,'1.08 Kira Road-Jinja Road-24h'!F53,'3.08 Kira Road-Jinja Road-24h'!F53,'4.08.KIIRA-JINJAROAD'!F53)</f>
        <v>6.7142857142857144</v>
      </c>
      <c r="G53" s="49">
        <f>AVERAGE('29.07 Kira Road-Jinaj Road'!G53,'30.07 Kira Road-Jinja Road'!G53,'31.07 Kira Road-Jinja Road'!G53,'2.08 Kira Road-Jinja road'!G53,'1.08 Kira Road-Jinja Road-24h'!G53,'3.08 Kira Road-Jinja Road-24h'!G53,'4.08.KIIRA-JINJAROAD'!G53)</f>
        <v>0</v>
      </c>
      <c r="H53" s="49">
        <f>AVERAGE('29.07 Kira Road-Jinaj Road'!H53,'30.07 Kira Road-Jinja Road'!H53,'31.07 Kira Road-Jinja Road'!H53,'2.08 Kira Road-Jinja road'!H53,'1.08 Kira Road-Jinja Road-24h'!H53,'3.08 Kira Road-Jinja Road-24h'!H53,'4.08.KIIRA-JINJAROAD'!H53)</f>
        <v>0</v>
      </c>
      <c r="I53" s="49">
        <f>AVERAGE('29.07 Kira Road-Jinaj Road'!I53,'30.07 Kira Road-Jinja Road'!I53,'31.07 Kira Road-Jinja Road'!I53,'2.08 Kira Road-Jinja road'!I53,'1.08 Kira Road-Jinja Road-24h'!I53,'3.08 Kira Road-Jinja Road-24h'!I53,'4.08.KIIRA-JINJAROAD'!I53)</f>
        <v>4.1428571428571432</v>
      </c>
      <c r="J53" s="49">
        <f>AVERAGE('29.07 Kira Road-Jinaj Road'!J53,'30.07 Kira Road-Jinja Road'!J53,'31.07 Kira Road-Jinja Road'!J53,'2.08 Kira Road-Jinja road'!J53,'1.08 Kira Road-Jinja Road-24h'!J53,'3.08 Kira Road-Jinja Road-24h'!J53,'4.08.KIIRA-JINJAROAD'!J53)</f>
        <v>1.1428571428571428</v>
      </c>
      <c r="K53" s="49">
        <f>AVERAGE('29.07 Kira Road-Jinaj Road'!K53,'30.07 Kira Road-Jinja Road'!K53,'31.07 Kira Road-Jinja Road'!K53,'2.08 Kira Road-Jinja road'!K53,'1.08 Kira Road-Jinja Road-24h'!K53,'3.08 Kira Road-Jinja Road-24h'!K53,'4.08.KIIRA-JINJAROAD'!K53)</f>
        <v>0.42857142857142855</v>
      </c>
      <c r="L53" s="49">
        <f>AVERAGE('29.07 Kira Road-Jinaj Road'!L53,'30.07 Kira Road-Jinja Road'!L53,'31.07 Kira Road-Jinja Road'!L53,'2.08 Kira Road-Jinja road'!L53,'1.08 Kira Road-Jinja Road-24h'!L53,'3.08 Kira Road-Jinja Road-24h'!L53,'4.08.KIIRA-JINJAROAD'!L53)</f>
        <v>0</v>
      </c>
      <c r="M53" s="49">
        <f>AVERAGE('29.07 Kira Road-Jinaj Road'!M53,'30.07 Kira Road-Jinja Road'!M53,'31.07 Kira Road-Jinja Road'!M53,'2.08 Kira Road-Jinja road'!M53,'1.08 Kira Road-Jinja Road-24h'!M53,'3.08 Kira Road-Jinja Road-24h'!M53,'4.08.KIIRA-JINJAROAD'!M53)</f>
        <v>190.57142857142858</v>
      </c>
      <c r="N53" s="49">
        <f>AVERAGE('29.07 Kira Road-Jinaj Road'!N53,'30.07 Kira Road-Jinja Road'!N53,'31.07 Kira Road-Jinja Road'!N53,'2.08 Kira Road-Jinja road'!N53,'1.08 Kira Road-Jinja Road-24h'!N53,'3.08 Kira Road-Jinja Road-24h'!N53,'4.08.KIIRA-JINJAROAD'!N53)</f>
        <v>0</v>
      </c>
      <c r="O53" s="15">
        <f t="shared" si="0"/>
        <v>1490</v>
      </c>
      <c r="P53" s="15">
        <f t="shared" si="1"/>
        <v>1680.5714285714287</v>
      </c>
      <c r="R53" s="8"/>
      <c r="T53"/>
    </row>
    <row r="54" spans="2:20" ht="23.1" customHeight="1" x14ac:dyDescent="0.25">
      <c r="B54" s="23" t="s">
        <v>81</v>
      </c>
      <c r="C54" s="49">
        <f>AVERAGE('29.07 Kira Road-Jinaj Road'!C54,'30.07 Kira Road-Jinja Road'!C54,'31.07 Kira Road-Jinja Road'!C54,'2.08 Kira Road-Jinja road'!C54,'1.08 Kira Road-Jinja Road-24h'!C54,'3.08 Kira Road-Jinja Road-24h'!C54,'4.08.KIIRA-JINJAROAD'!C54)</f>
        <v>126.14285714285714</v>
      </c>
      <c r="D54" s="49">
        <f>AVERAGE('29.07 Kira Road-Jinaj Road'!D54,'30.07 Kira Road-Jinja Road'!D54,'31.07 Kira Road-Jinja Road'!D54,'2.08 Kira Road-Jinja road'!D54,'1.08 Kira Road-Jinja Road-24h'!D54,'3.08 Kira Road-Jinja Road-24h'!D54,'4.08.KIIRA-JINJAROAD'!D54)</f>
        <v>47.571428571428569</v>
      </c>
      <c r="E54" s="49">
        <f>AVERAGE('29.07 Kira Road-Jinaj Road'!E54,'30.07 Kira Road-Jinja Road'!E54,'31.07 Kira Road-Jinja Road'!E54,'2.08 Kira Road-Jinja road'!E54,'1.08 Kira Road-Jinja Road-24h'!E54,'3.08 Kira Road-Jinja Road-24h'!E54,'4.08.KIIRA-JINJAROAD'!E54)</f>
        <v>17.285714285714285</v>
      </c>
      <c r="F54" s="49">
        <f>AVERAGE('29.07 Kira Road-Jinaj Road'!F54,'30.07 Kira Road-Jinja Road'!F54,'31.07 Kira Road-Jinja Road'!F54,'2.08 Kira Road-Jinja road'!F54,'1.08 Kira Road-Jinja Road-24h'!F54,'3.08 Kira Road-Jinja Road-24h'!F54,'4.08.KIIRA-JINJAROAD'!F54)</f>
        <v>5.7142857142857144</v>
      </c>
      <c r="G54" s="49">
        <f>AVERAGE('29.07 Kira Road-Jinaj Road'!G54,'30.07 Kira Road-Jinja Road'!G54,'31.07 Kira Road-Jinja Road'!G54,'2.08 Kira Road-Jinja road'!G54,'1.08 Kira Road-Jinja Road-24h'!G54,'3.08 Kira Road-Jinja Road-24h'!G54,'4.08.KIIRA-JINJAROAD'!G54)</f>
        <v>0</v>
      </c>
      <c r="H54" s="49">
        <f>AVERAGE('29.07 Kira Road-Jinaj Road'!H54,'30.07 Kira Road-Jinja Road'!H54,'31.07 Kira Road-Jinja Road'!H54,'2.08 Kira Road-Jinja road'!H54,'1.08 Kira Road-Jinja Road-24h'!H54,'3.08 Kira Road-Jinja Road-24h'!H54,'4.08.KIIRA-JINJAROAD'!H54)</f>
        <v>0.14285714285714285</v>
      </c>
      <c r="I54" s="49">
        <f>AVERAGE('29.07 Kira Road-Jinaj Road'!I54,'30.07 Kira Road-Jinja Road'!I54,'31.07 Kira Road-Jinja Road'!I54,'2.08 Kira Road-Jinja road'!I54,'1.08 Kira Road-Jinja Road-24h'!I54,'3.08 Kira Road-Jinja Road-24h'!I54,'4.08.KIIRA-JINJAROAD'!I54)</f>
        <v>4.7142857142857144</v>
      </c>
      <c r="J54" s="49">
        <f>AVERAGE('29.07 Kira Road-Jinaj Road'!J54,'30.07 Kira Road-Jinja Road'!J54,'31.07 Kira Road-Jinja Road'!J54,'2.08 Kira Road-Jinja road'!J54,'1.08 Kira Road-Jinja Road-24h'!J54,'3.08 Kira Road-Jinja Road-24h'!J54,'4.08.KIIRA-JINJAROAD'!J54)</f>
        <v>2.7142857142857144</v>
      </c>
      <c r="K54" s="49">
        <f>AVERAGE('29.07 Kira Road-Jinaj Road'!K54,'30.07 Kira Road-Jinja Road'!K54,'31.07 Kira Road-Jinja Road'!K54,'2.08 Kira Road-Jinja road'!K54,'1.08 Kira Road-Jinja Road-24h'!K54,'3.08 Kira Road-Jinja Road-24h'!K54,'4.08.KIIRA-JINJAROAD'!K54)</f>
        <v>0.14285714285714285</v>
      </c>
      <c r="L54" s="49">
        <f>AVERAGE('29.07 Kira Road-Jinaj Road'!L54,'30.07 Kira Road-Jinja Road'!L54,'31.07 Kira Road-Jinja Road'!L54,'2.08 Kira Road-Jinja road'!L54,'1.08 Kira Road-Jinja Road-24h'!L54,'3.08 Kira Road-Jinja Road-24h'!L54,'4.08.KIIRA-JINJAROAD'!L54)</f>
        <v>0</v>
      </c>
      <c r="M54" s="49">
        <f>AVERAGE('29.07 Kira Road-Jinaj Road'!M54,'30.07 Kira Road-Jinja Road'!M54,'31.07 Kira Road-Jinja Road'!M54,'2.08 Kira Road-Jinja road'!M54,'1.08 Kira Road-Jinja Road-24h'!M54,'3.08 Kira Road-Jinja Road-24h'!M54,'4.08.KIIRA-JINJAROAD'!M54)</f>
        <v>164.71428571428572</v>
      </c>
      <c r="N54" s="49">
        <f>AVERAGE('29.07 Kira Road-Jinaj Road'!N54,'30.07 Kira Road-Jinja Road'!N54,'31.07 Kira Road-Jinja Road'!N54,'2.08 Kira Road-Jinja road'!N54,'1.08 Kira Road-Jinja Road-24h'!N54,'3.08 Kira Road-Jinja Road-24h'!N54,'4.08.KIIRA-JINJAROAD'!N54)</f>
        <v>16.571428571428573</v>
      </c>
      <c r="O54" s="15">
        <f t="shared" si="0"/>
        <v>221.00000000000003</v>
      </c>
      <c r="P54" s="15">
        <f t="shared" si="1"/>
        <v>385.71428571428572</v>
      </c>
      <c r="R54" s="8"/>
      <c r="T54"/>
    </row>
    <row r="55" spans="2:20" ht="23.1" customHeight="1" x14ac:dyDescent="0.25">
      <c r="B55" s="23" t="s">
        <v>82</v>
      </c>
      <c r="C55" s="49">
        <f>AVERAGE('29.07 Kira Road-Jinaj Road'!C55,'30.07 Kira Road-Jinja Road'!C55,'31.07 Kira Road-Jinja Road'!C55,'2.08 Kira Road-Jinja road'!C55,'1.08 Kira Road-Jinja Road-24h'!C55,'3.08 Kira Road-Jinja Road-24h'!C55,'4.08.KIIRA-JINJAROAD'!C55)</f>
        <v>115.14285714285714</v>
      </c>
      <c r="D55" s="49">
        <f>AVERAGE('29.07 Kira Road-Jinaj Road'!D55,'30.07 Kira Road-Jinja Road'!D55,'31.07 Kira Road-Jinja Road'!D55,'2.08 Kira Road-Jinja road'!D55,'1.08 Kira Road-Jinja Road-24h'!D55,'3.08 Kira Road-Jinja Road-24h'!D55,'4.08.KIIRA-JINJAROAD'!D55)</f>
        <v>44.285714285714285</v>
      </c>
      <c r="E55" s="49">
        <f>AVERAGE('29.07 Kira Road-Jinaj Road'!E55,'30.07 Kira Road-Jinja Road'!E55,'31.07 Kira Road-Jinja Road'!E55,'2.08 Kira Road-Jinja road'!E55,'1.08 Kira Road-Jinja Road-24h'!E55,'3.08 Kira Road-Jinja Road-24h'!E55,'4.08.KIIRA-JINJAROAD'!E55)</f>
        <v>12.857142857142858</v>
      </c>
      <c r="F55" s="49">
        <f>AVERAGE('29.07 Kira Road-Jinaj Road'!F55,'30.07 Kira Road-Jinja Road'!F55,'31.07 Kira Road-Jinja Road'!F55,'2.08 Kira Road-Jinja road'!F55,'1.08 Kira Road-Jinja Road-24h'!F55,'3.08 Kira Road-Jinja Road-24h'!F55,'4.08.KIIRA-JINJAROAD'!F55)</f>
        <v>7.4285714285714288</v>
      </c>
      <c r="G55" s="49">
        <f>AVERAGE('29.07 Kira Road-Jinaj Road'!G55,'30.07 Kira Road-Jinja Road'!G55,'31.07 Kira Road-Jinja Road'!G55,'2.08 Kira Road-Jinja road'!G55,'1.08 Kira Road-Jinja Road-24h'!G55,'3.08 Kira Road-Jinja Road-24h'!G55,'4.08.KIIRA-JINJAROAD'!G55)</f>
        <v>0.42857142857142855</v>
      </c>
      <c r="H55" s="49">
        <f>AVERAGE('29.07 Kira Road-Jinaj Road'!H55,'30.07 Kira Road-Jinja Road'!H55,'31.07 Kira Road-Jinja Road'!H55,'2.08 Kira Road-Jinja road'!H55,'1.08 Kira Road-Jinja Road-24h'!H55,'3.08 Kira Road-Jinja Road-24h'!H55,'4.08.KIIRA-JINJAROAD'!H55)</f>
        <v>0.2857142857142857</v>
      </c>
      <c r="I55" s="49">
        <f>AVERAGE('29.07 Kira Road-Jinaj Road'!I55,'30.07 Kira Road-Jinja Road'!I55,'31.07 Kira Road-Jinja Road'!I55,'2.08 Kira Road-Jinja road'!I55,'1.08 Kira Road-Jinja Road-24h'!I55,'3.08 Kira Road-Jinja Road-24h'!I55,'4.08.KIIRA-JINJAROAD'!I55)</f>
        <v>4</v>
      </c>
      <c r="J55" s="49">
        <f>AVERAGE('29.07 Kira Road-Jinaj Road'!J55,'30.07 Kira Road-Jinja Road'!J55,'31.07 Kira Road-Jinja Road'!J55,'2.08 Kira Road-Jinja road'!J55,'1.08 Kira Road-Jinja Road-24h'!J55,'3.08 Kira Road-Jinja Road-24h'!J55,'4.08.KIIRA-JINJAROAD'!J55)</f>
        <v>1.4285714285714286</v>
      </c>
      <c r="K55" s="49">
        <f>AVERAGE('29.07 Kira Road-Jinaj Road'!K55,'30.07 Kira Road-Jinja Road'!K55,'31.07 Kira Road-Jinja Road'!K55,'2.08 Kira Road-Jinja road'!K55,'1.08 Kira Road-Jinja Road-24h'!K55,'3.08 Kira Road-Jinja Road-24h'!K55,'4.08.KIIRA-JINJAROAD'!K55)</f>
        <v>0.7142857142857143</v>
      </c>
      <c r="L55" s="49">
        <f>AVERAGE('29.07 Kira Road-Jinaj Road'!L55,'30.07 Kira Road-Jinja Road'!L55,'31.07 Kira Road-Jinja Road'!L55,'2.08 Kira Road-Jinja road'!L55,'1.08 Kira Road-Jinja Road-24h'!L55,'3.08 Kira Road-Jinja Road-24h'!L55,'4.08.KIIRA-JINJAROAD'!L55)</f>
        <v>0.2857142857142857</v>
      </c>
      <c r="M55" s="49">
        <f>AVERAGE('29.07 Kira Road-Jinaj Road'!M55,'30.07 Kira Road-Jinja Road'!M55,'31.07 Kira Road-Jinja Road'!M55,'2.08 Kira Road-Jinja road'!M55,'1.08 Kira Road-Jinja Road-24h'!M55,'3.08 Kira Road-Jinja Road-24h'!M55,'4.08.KIIRA-JINJAROAD'!M55)</f>
        <v>162.85714285714286</v>
      </c>
      <c r="N55" s="49">
        <f>AVERAGE('29.07 Kira Road-Jinaj Road'!N55,'30.07 Kira Road-Jinja Road'!N55,'31.07 Kira Road-Jinja Road'!N55,'2.08 Kira Road-Jinja road'!N55,'1.08 Kira Road-Jinja Road-24h'!N55,'3.08 Kira Road-Jinja Road-24h'!N55,'4.08.KIIRA-JINJAROAD'!N55)</f>
        <v>14.428571428571429</v>
      </c>
      <c r="O55" s="15">
        <f t="shared" si="0"/>
        <v>201.28571428571422</v>
      </c>
      <c r="P55" s="15">
        <f t="shared" si="1"/>
        <v>364.14285714285711</v>
      </c>
      <c r="R55" s="8"/>
      <c r="T55"/>
    </row>
    <row r="56" spans="2:20" ht="23.1" customHeight="1" x14ac:dyDescent="0.25">
      <c r="B56" s="23" t="s">
        <v>83</v>
      </c>
      <c r="C56" s="49">
        <f>AVERAGE('29.07 Kira Road-Jinaj Road'!C56,'30.07 Kira Road-Jinja Road'!C56,'31.07 Kira Road-Jinja Road'!C56,'2.08 Kira Road-Jinja road'!C56,'1.08 Kira Road-Jinja Road-24h'!C56,'3.08 Kira Road-Jinja Road-24h'!C56,'4.08.KIIRA-JINJAROAD'!C56)</f>
        <v>113</v>
      </c>
      <c r="D56" s="49">
        <f>AVERAGE('29.07 Kira Road-Jinaj Road'!D56,'30.07 Kira Road-Jinja Road'!D56,'31.07 Kira Road-Jinja Road'!D56,'2.08 Kira Road-Jinja road'!D56,'1.08 Kira Road-Jinja Road-24h'!D56,'3.08 Kira Road-Jinja Road-24h'!D56,'4.08.KIIRA-JINJAROAD'!D56)</f>
        <v>41.142857142857146</v>
      </c>
      <c r="E56" s="49">
        <f>AVERAGE('29.07 Kira Road-Jinaj Road'!E56,'30.07 Kira Road-Jinja Road'!E56,'31.07 Kira Road-Jinja Road'!E56,'2.08 Kira Road-Jinja road'!E56,'1.08 Kira Road-Jinja Road-24h'!E56,'3.08 Kira Road-Jinja Road-24h'!E56,'4.08.KIIRA-JINJAROAD'!E56)</f>
        <v>13.714285714285714</v>
      </c>
      <c r="F56" s="49">
        <f>AVERAGE('29.07 Kira Road-Jinaj Road'!F56,'30.07 Kira Road-Jinja Road'!F56,'31.07 Kira Road-Jinja Road'!F56,'2.08 Kira Road-Jinja road'!F56,'1.08 Kira Road-Jinja Road-24h'!F56,'3.08 Kira Road-Jinja Road-24h'!F56,'4.08.KIIRA-JINJAROAD'!F56)</f>
        <v>4.5714285714285712</v>
      </c>
      <c r="G56" s="49">
        <f>AVERAGE('29.07 Kira Road-Jinaj Road'!G56,'30.07 Kira Road-Jinja Road'!G56,'31.07 Kira Road-Jinja Road'!G56,'2.08 Kira Road-Jinja road'!G56,'1.08 Kira Road-Jinja Road-24h'!G56,'3.08 Kira Road-Jinja Road-24h'!G56,'4.08.KIIRA-JINJAROAD'!G56)</f>
        <v>0.14285714285714285</v>
      </c>
      <c r="H56" s="49">
        <f>AVERAGE('29.07 Kira Road-Jinaj Road'!H56,'30.07 Kira Road-Jinja Road'!H56,'31.07 Kira Road-Jinja Road'!H56,'2.08 Kira Road-Jinja road'!H56,'1.08 Kira Road-Jinja Road-24h'!H56,'3.08 Kira Road-Jinja Road-24h'!H56,'4.08.KIIRA-JINJAROAD'!H56)</f>
        <v>0.14285714285714285</v>
      </c>
      <c r="I56" s="49">
        <f>AVERAGE('29.07 Kira Road-Jinaj Road'!I56,'30.07 Kira Road-Jinja Road'!I56,'31.07 Kira Road-Jinja Road'!I56,'2.08 Kira Road-Jinja road'!I56,'1.08 Kira Road-Jinja Road-24h'!I56,'3.08 Kira Road-Jinja Road-24h'!I56,'4.08.KIIRA-JINJAROAD'!I56)</f>
        <v>2.8571428571428572</v>
      </c>
      <c r="J56" s="49">
        <f>AVERAGE('29.07 Kira Road-Jinaj Road'!J56,'30.07 Kira Road-Jinja Road'!J56,'31.07 Kira Road-Jinja Road'!J56,'2.08 Kira Road-Jinja road'!J56,'1.08 Kira Road-Jinja Road-24h'!J56,'3.08 Kira Road-Jinja Road-24h'!J56,'4.08.KIIRA-JINJAROAD'!J56)</f>
        <v>0.7142857142857143</v>
      </c>
      <c r="K56" s="49">
        <f>AVERAGE('29.07 Kira Road-Jinaj Road'!K56,'30.07 Kira Road-Jinja Road'!K56,'31.07 Kira Road-Jinja Road'!K56,'2.08 Kira Road-Jinja road'!K56,'1.08 Kira Road-Jinja Road-24h'!K56,'3.08 Kira Road-Jinja Road-24h'!K56,'4.08.KIIRA-JINJAROAD'!K56)</f>
        <v>0.5714285714285714</v>
      </c>
      <c r="L56" s="49">
        <f>AVERAGE('29.07 Kira Road-Jinaj Road'!L56,'30.07 Kira Road-Jinja Road'!L56,'31.07 Kira Road-Jinja Road'!L56,'2.08 Kira Road-Jinja road'!L56,'1.08 Kira Road-Jinja Road-24h'!L56,'3.08 Kira Road-Jinja Road-24h'!L56,'4.08.KIIRA-JINJAROAD'!L56)</f>
        <v>0.2857142857142857</v>
      </c>
      <c r="M56" s="49">
        <f>AVERAGE('29.07 Kira Road-Jinaj Road'!M56,'30.07 Kira Road-Jinja Road'!M56,'31.07 Kira Road-Jinja Road'!M56,'2.08 Kira Road-Jinja road'!M56,'1.08 Kira Road-Jinja Road-24h'!M56,'3.08 Kira Road-Jinja Road-24h'!M56,'4.08.KIIRA-JINJAROAD'!M56)</f>
        <v>176.85714285714286</v>
      </c>
      <c r="N56" s="49">
        <f>AVERAGE('29.07 Kira Road-Jinaj Road'!N56,'30.07 Kira Road-Jinja Road'!N56,'31.07 Kira Road-Jinja Road'!N56,'2.08 Kira Road-Jinja road'!N56,'1.08 Kira Road-Jinja Road-24h'!N56,'3.08 Kira Road-Jinja Road-24h'!N56,'4.08.KIIRA-JINJAROAD'!N56)</f>
        <v>15.285714285714286</v>
      </c>
      <c r="O56" s="15">
        <f t="shared" si="0"/>
        <v>192.42857142857144</v>
      </c>
      <c r="P56" s="15">
        <f t="shared" si="1"/>
        <v>369.28571428571428</v>
      </c>
      <c r="R56" s="8"/>
      <c r="T56"/>
    </row>
    <row r="57" spans="2:20" ht="23.1" customHeight="1" x14ac:dyDescent="0.25">
      <c r="B57" s="23" t="s">
        <v>84</v>
      </c>
      <c r="C57" s="49">
        <f>AVERAGE('29.07 Kira Road-Jinaj Road'!C57,'30.07 Kira Road-Jinja Road'!C57,'31.07 Kira Road-Jinja Road'!C57,'2.08 Kira Road-Jinja road'!C57,'1.08 Kira Road-Jinja Road-24h'!C57,'3.08 Kira Road-Jinja Road-24h'!C57,'4.08.KIIRA-JINJAROAD'!C57)</f>
        <v>101</v>
      </c>
      <c r="D57" s="49">
        <f>AVERAGE('29.07 Kira Road-Jinaj Road'!D57,'30.07 Kira Road-Jinja Road'!D57,'31.07 Kira Road-Jinja Road'!D57,'2.08 Kira Road-Jinja road'!D57,'1.08 Kira Road-Jinja Road-24h'!D57,'3.08 Kira Road-Jinja Road-24h'!D57,'4.08.KIIRA-JINJAROAD'!D57)</f>
        <v>38.142857142857146</v>
      </c>
      <c r="E57" s="49">
        <f>AVERAGE('29.07 Kira Road-Jinaj Road'!E57,'30.07 Kira Road-Jinja Road'!E57,'31.07 Kira Road-Jinja Road'!E57,'2.08 Kira Road-Jinja road'!E57,'1.08 Kira Road-Jinja Road-24h'!E57,'3.08 Kira Road-Jinja Road-24h'!E57,'4.08.KIIRA-JINJAROAD'!E57)</f>
        <v>12</v>
      </c>
      <c r="F57" s="49">
        <f>AVERAGE('29.07 Kira Road-Jinaj Road'!F57,'30.07 Kira Road-Jinja Road'!F57,'31.07 Kira Road-Jinja Road'!F57,'2.08 Kira Road-Jinja road'!F57,'1.08 Kira Road-Jinja Road-24h'!F57,'3.08 Kira Road-Jinja Road-24h'!F57,'4.08.KIIRA-JINJAROAD'!F57)</f>
        <v>5.5714285714285712</v>
      </c>
      <c r="G57" s="49">
        <f>AVERAGE('29.07 Kira Road-Jinaj Road'!G57,'30.07 Kira Road-Jinja Road'!G57,'31.07 Kira Road-Jinja Road'!G57,'2.08 Kira Road-Jinja road'!G57,'1.08 Kira Road-Jinja Road-24h'!G57,'3.08 Kira Road-Jinja Road-24h'!G57,'4.08.KIIRA-JINJAROAD'!G57)</f>
        <v>0.14285714285714285</v>
      </c>
      <c r="H57" s="49">
        <f>AVERAGE('29.07 Kira Road-Jinaj Road'!H57,'30.07 Kira Road-Jinja Road'!H57,'31.07 Kira Road-Jinja Road'!H57,'2.08 Kira Road-Jinja road'!H57,'1.08 Kira Road-Jinja Road-24h'!H57,'3.08 Kira Road-Jinja Road-24h'!H57,'4.08.KIIRA-JINJAROAD'!H57)</f>
        <v>0</v>
      </c>
      <c r="I57" s="49">
        <f>AVERAGE('29.07 Kira Road-Jinaj Road'!I57,'30.07 Kira Road-Jinja Road'!I57,'31.07 Kira Road-Jinja Road'!I57,'2.08 Kira Road-Jinja road'!I57,'1.08 Kira Road-Jinja Road-24h'!I57,'3.08 Kira Road-Jinja Road-24h'!I57,'4.08.KIIRA-JINJAROAD'!I57)</f>
        <v>3</v>
      </c>
      <c r="J57" s="49">
        <f>AVERAGE('29.07 Kira Road-Jinaj Road'!J57,'30.07 Kira Road-Jinja Road'!J57,'31.07 Kira Road-Jinja Road'!J57,'2.08 Kira Road-Jinja road'!J57,'1.08 Kira Road-Jinja Road-24h'!J57,'3.08 Kira Road-Jinja Road-24h'!J57,'4.08.KIIRA-JINJAROAD'!J57)</f>
        <v>0.5714285714285714</v>
      </c>
      <c r="K57" s="49">
        <f>AVERAGE('29.07 Kira Road-Jinaj Road'!K57,'30.07 Kira Road-Jinja Road'!K57,'31.07 Kira Road-Jinja Road'!K57,'2.08 Kira Road-Jinja road'!K57,'1.08 Kira Road-Jinja Road-24h'!K57,'3.08 Kira Road-Jinja Road-24h'!K57,'4.08.KIIRA-JINJAROAD'!K57)</f>
        <v>0.2857142857142857</v>
      </c>
      <c r="L57" s="49">
        <f>AVERAGE('29.07 Kira Road-Jinaj Road'!L57,'30.07 Kira Road-Jinja Road'!L57,'31.07 Kira Road-Jinja Road'!L57,'2.08 Kira Road-Jinja road'!L57,'1.08 Kira Road-Jinja Road-24h'!L57,'3.08 Kira Road-Jinja Road-24h'!L57,'4.08.KIIRA-JINJAROAD'!L57)</f>
        <v>0.14285714285714285</v>
      </c>
      <c r="M57" s="49">
        <f>AVERAGE('29.07 Kira Road-Jinaj Road'!M57,'30.07 Kira Road-Jinja Road'!M57,'31.07 Kira Road-Jinja Road'!M57,'2.08 Kira Road-Jinja road'!M57,'1.08 Kira Road-Jinja Road-24h'!M57,'3.08 Kira Road-Jinja Road-24h'!M57,'4.08.KIIRA-JINJAROAD'!M57)</f>
        <v>170</v>
      </c>
      <c r="N57" s="49">
        <f>AVERAGE('29.07 Kira Road-Jinaj Road'!N57,'30.07 Kira Road-Jinja Road'!N57,'31.07 Kira Road-Jinja Road'!N57,'2.08 Kira Road-Jinja road'!N57,'1.08 Kira Road-Jinja Road-24h'!N57,'3.08 Kira Road-Jinja Road-24h'!N57,'4.08.KIIRA-JINJAROAD'!N57)</f>
        <v>15.571428571428571</v>
      </c>
      <c r="O57" s="15">
        <f t="shared" si="0"/>
        <v>176.42857142857144</v>
      </c>
      <c r="P57" s="15">
        <f t="shared" si="1"/>
        <v>346.42857142857144</v>
      </c>
      <c r="R57" s="8"/>
      <c r="T57"/>
    </row>
    <row r="58" spans="2:20" ht="23.1" customHeight="1" x14ac:dyDescent="0.25">
      <c r="B58" s="23" t="s">
        <v>99</v>
      </c>
      <c r="C58" s="49">
        <f>AVERAGE('1.08 Kira Road-Jinja Road-24h'!C58,'3.08 Kira Road-Jinja Road-24h'!C58)</f>
        <v>115</v>
      </c>
      <c r="D58" s="49">
        <f>AVERAGE('1.08 Kira Road-Jinja Road-24h'!D58,'3.08 Kira Road-Jinja Road-24h'!D58)</f>
        <v>39.5</v>
      </c>
      <c r="E58" s="49">
        <f>AVERAGE('1.08 Kira Road-Jinja Road-24h'!E58,'3.08 Kira Road-Jinja Road-24h'!E58)</f>
        <v>9</v>
      </c>
      <c r="F58" s="49">
        <f>AVERAGE('1.08 Kira Road-Jinja Road-24h'!F58,'3.08 Kira Road-Jinja Road-24h'!F58)</f>
        <v>5.5</v>
      </c>
      <c r="G58" s="49">
        <f>AVERAGE('1.08 Kira Road-Jinja Road-24h'!G58,'3.08 Kira Road-Jinja Road-24h'!G58)</f>
        <v>0</v>
      </c>
      <c r="H58" s="49">
        <f>AVERAGE('1.08 Kira Road-Jinja Road-24h'!H58,'3.08 Kira Road-Jinja Road-24h'!H58)</f>
        <v>0</v>
      </c>
      <c r="I58" s="49">
        <f>AVERAGE('1.08 Kira Road-Jinja Road-24h'!I58,'3.08 Kira Road-Jinja Road-24h'!I58)</f>
        <v>3</v>
      </c>
      <c r="J58" s="49">
        <f>AVERAGE('1.08 Kira Road-Jinja Road-24h'!J58,'3.08 Kira Road-Jinja Road-24h'!J58)</f>
        <v>0</v>
      </c>
      <c r="K58" s="49">
        <f>AVERAGE('1.08 Kira Road-Jinja Road-24h'!K58,'3.08 Kira Road-Jinja Road-24h'!K58)</f>
        <v>0</v>
      </c>
      <c r="L58" s="49">
        <f>AVERAGE('1.08 Kira Road-Jinja Road-24h'!L58,'3.08 Kira Road-Jinja Road-24h'!L58)</f>
        <v>0</v>
      </c>
      <c r="M58" s="49">
        <f>AVERAGE('1.08 Kira Road-Jinja Road-24h'!M58,'3.08 Kira Road-Jinja Road-24h'!M58)</f>
        <v>176</v>
      </c>
      <c r="N58" s="49">
        <f>AVERAGE('1.08 Kira Road-Jinja Road-24h'!N58,'3.08 Kira Road-Jinja Road-24h'!N58)</f>
        <v>0</v>
      </c>
      <c r="O58" s="15">
        <f t="shared" si="0"/>
        <v>172</v>
      </c>
      <c r="P58" s="15">
        <f t="shared" si="1"/>
        <v>348</v>
      </c>
      <c r="R58" s="8"/>
      <c r="T58"/>
    </row>
    <row r="59" spans="2:20" ht="23.1" customHeight="1" x14ac:dyDescent="0.25">
      <c r="B59" s="23" t="s">
        <v>100</v>
      </c>
      <c r="C59" s="49">
        <f>AVERAGE('1.08 Kira Road-Jinja Road-24h'!C59,'3.08 Kira Road-Jinja Road-24h'!C59)</f>
        <v>104.5</v>
      </c>
      <c r="D59" s="49">
        <f>AVERAGE('1.08 Kira Road-Jinja Road-24h'!D59,'3.08 Kira Road-Jinja Road-24h'!D59)</f>
        <v>26</v>
      </c>
      <c r="E59" s="49">
        <f>AVERAGE('1.08 Kira Road-Jinja Road-24h'!E59,'3.08 Kira Road-Jinja Road-24h'!E59)</f>
        <v>5</v>
      </c>
      <c r="F59" s="49">
        <f>AVERAGE('1.08 Kira Road-Jinja Road-24h'!F59,'3.08 Kira Road-Jinja Road-24h'!F59)</f>
        <v>5</v>
      </c>
      <c r="G59" s="49">
        <f>AVERAGE('1.08 Kira Road-Jinja Road-24h'!G59,'3.08 Kira Road-Jinja Road-24h'!G59)</f>
        <v>0</v>
      </c>
      <c r="H59" s="49">
        <f>AVERAGE('1.08 Kira Road-Jinja Road-24h'!H59,'3.08 Kira Road-Jinja Road-24h'!H59)</f>
        <v>0</v>
      </c>
      <c r="I59" s="49">
        <f>AVERAGE('1.08 Kira Road-Jinja Road-24h'!I59,'3.08 Kira Road-Jinja Road-24h'!I59)</f>
        <v>1.5</v>
      </c>
      <c r="J59" s="49">
        <f>AVERAGE('1.08 Kira Road-Jinja Road-24h'!J59,'3.08 Kira Road-Jinja Road-24h'!J59)</f>
        <v>2.5</v>
      </c>
      <c r="K59" s="49">
        <f>AVERAGE('1.08 Kira Road-Jinja Road-24h'!K59,'3.08 Kira Road-Jinja Road-24h'!K59)</f>
        <v>0</v>
      </c>
      <c r="L59" s="49">
        <f>AVERAGE('1.08 Kira Road-Jinja Road-24h'!L59,'3.08 Kira Road-Jinja Road-24h'!L59)</f>
        <v>1</v>
      </c>
      <c r="M59" s="49">
        <f>AVERAGE('1.08 Kira Road-Jinja Road-24h'!M59,'3.08 Kira Road-Jinja Road-24h'!M59)</f>
        <v>147.5</v>
      </c>
      <c r="N59" s="49">
        <f>AVERAGE('1.08 Kira Road-Jinja Road-24h'!N59,'3.08 Kira Road-Jinja Road-24h'!N59)</f>
        <v>0</v>
      </c>
      <c r="O59" s="15">
        <f t="shared" si="0"/>
        <v>145.5</v>
      </c>
      <c r="P59" s="15">
        <f t="shared" si="1"/>
        <v>293</v>
      </c>
      <c r="R59" s="8"/>
      <c r="T59"/>
    </row>
    <row r="60" spans="2:20" ht="23.1" customHeight="1" x14ac:dyDescent="0.25">
      <c r="B60" s="23" t="s">
        <v>101</v>
      </c>
      <c r="C60" s="49">
        <f>AVERAGE('1.08 Kira Road-Jinja Road-24h'!C60,'3.08 Kira Road-Jinja Road-24h'!C60)</f>
        <v>96</v>
      </c>
      <c r="D60" s="49">
        <f>AVERAGE('1.08 Kira Road-Jinja Road-24h'!D60,'3.08 Kira Road-Jinja Road-24h'!D60)</f>
        <v>46.5</v>
      </c>
      <c r="E60" s="49">
        <f>AVERAGE('1.08 Kira Road-Jinja Road-24h'!E60,'3.08 Kira Road-Jinja Road-24h'!E60)</f>
        <v>8.5</v>
      </c>
      <c r="F60" s="49">
        <f>AVERAGE('1.08 Kira Road-Jinja Road-24h'!F60,'3.08 Kira Road-Jinja Road-24h'!F60)</f>
        <v>3</v>
      </c>
      <c r="G60" s="49">
        <f>AVERAGE('1.08 Kira Road-Jinja Road-24h'!G60,'3.08 Kira Road-Jinja Road-24h'!G60)</f>
        <v>0.5</v>
      </c>
      <c r="H60" s="49">
        <f>AVERAGE('1.08 Kira Road-Jinja Road-24h'!H60,'3.08 Kira Road-Jinja Road-24h'!H60)</f>
        <v>0</v>
      </c>
      <c r="I60" s="49">
        <f>AVERAGE('1.08 Kira Road-Jinja Road-24h'!I60,'3.08 Kira Road-Jinja Road-24h'!I60)</f>
        <v>1.5</v>
      </c>
      <c r="J60" s="49">
        <f>AVERAGE('1.08 Kira Road-Jinja Road-24h'!J60,'3.08 Kira Road-Jinja Road-24h'!J60)</f>
        <v>1</v>
      </c>
      <c r="K60" s="49">
        <f>AVERAGE('1.08 Kira Road-Jinja Road-24h'!K60,'3.08 Kira Road-Jinja Road-24h'!K60)</f>
        <v>0.5</v>
      </c>
      <c r="L60" s="49">
        <f>AVERAGE('1.08 Kira Road-Jinja Road-24h'!L60,'3.08 Kira Road-Jinja Road-24h'!L60)</f>
        <v>0</v>
      </c>
      <c r="M60" s="49">
        <f>AVERAGE('1.08 Kira Road-Jinja Road-24h'!M60,'3.08 Kira Road-Jinja Road-24h'!M60)</f>
        <v>176.5</v>
      </c>
      <c r="N60" s="49">
        <f>AVERAGE('1.08 Kira Road-Jinja Road-24h'!N60,'3.08 Kira Road-Jinja Road-24h'!N60)</f>
        <v>0</v>
      </c>
      <c r="O60" s="15">
        <f t="shared" si="0"/>
        <v>157.5</v>
      </c>
      <c r="P60" s="15">
        <f t="shared" si="1"/>
        <v>334</v>
      </c>
      <c r="R60" s="8"/>
      <c r="T60"/>
    </row>
    <row r="61" spans="2:20" ht="23.1" customHeight="1" x14ac:dyDescent="0.25">
      <c r="B61" s="23" t="s">
        <v>102</v>
      </c>
      <c r="C61" s="49">
        <f>AVERAGE('1.08 Kira Road-Jinja Road-24h'!C61,'3.08 Kira Road-Jinja Road-24h'!C61)</f>
        <v>102.5</v>
      </c>
      <c r="D61" s="49">
        <f>AVERAGE('1.08 Kira Road-Jinja Road-24h'!D61,'3.08 Kira Road-Jinja Road-24h'!D61)</f>
        <v>37</v>
      </c>
      <c r="E61" s="49">
        <f>AVERAGE('1.08 Kira Road-Jinja Road-24h'!E61,'3.08 Kira Road-Jinja Road-24h'!E61)</f>
        <v>11.5</v>
      </c>
      <c r="F61" s="49">
        <f>AVERAGE('1.08 Kira Road-Jinja Road-24h'!F61,'3.08 Kira Road-Jinja Road-24h'!F61)</f>
        <v>8</v>
      </c>
      <c r="G61" s="49">
        <f>AVERAGE('1.08 Kira Road-Jinja Road-24h'!G61,'3.08 Kira Road-Jinja Road-24h'!G61)</f>
        <v>0</v>
      </c>
      <c r="H61" s="49">
        <f>AVERAGE('1.08 Kira Road-Jinja Road-24h'!H61,'3.08 Kira Road-Jinja Road-24h'!H61)</f>
        <v>0</v>
      </c>
      <c r="I61" s="49">
        <f>AVERAGE('1.08 Kira Road-Jinja Road-24h'!I61,'3.08 Kira Road-Jinja Road-24h'!I61)</f>
        <v>2</v>
      </c>
      <c r="J61" s="49">
        <f>AVERAGE('1.08 Kira Road-Jinja Road-24h'!J61,'3.08 Kira Road-Jinja Road-24h'!J61)</f>
        <v>0</v>
      </c>
      <c r="K61" s="49">
        <f>AVERAGE('1.08 Kira Road-Jinja Road-24h'!K61,'3.08 Kira Road-Jinja Road-24h'!K61)</f>
        <v>2</v>
      </c>
      <c r="L61" s="49">
        <f>AVERAGE('1.08 Kira Road-Jinja Road-24h'!L61,'3.08 Kira Road-Jinja Road-24h'!L61)</f>
        <v>0</v>
      </c>
      <c r="M61" s="49">
        <f>AVERAGE('1.08 Kira Road-Jinja Road-24h'!M61,'3.08 Kira Road-Jinja Road-24h'!M61)</f>
        <v>170</v>
      </c>
      <c r="N61" s="49">
        <f>AVERAGE('1.08 Kira Road-Jinja Road-24h'!N61,'3.08 Kira Road-Jinja Road-24h'!N61)</f>
        <v>0</v>
      </c>
      <c r="O61" s="15">
        <f t="shared" si="0"/>
        <v>163</v>
      </c>
      <c r="P61" s="15">
        <f t="shared" si="1"/>
        <v>333</v>
      </c>
      <c r="R61" s="8"/>
      <c r="T61"/>
    </row>
    <row r="62" spans="2:20" ht="23.1" customHeight="1" x14ac:dyDescent="0.25">
      <c r="B62" s="23" t="s">
        <v>107</v>
      </c>
      <c r="C62" s="49">
        <f>AVERAGE('1.08 Kira Road-Jinja Road-24h'!C62,'3.08 Kira Road-Jinja Road-24h'!C62)</f>
        <v>107.5</v>
      </c>
      <c r="D62" s="49">
        <f>AVERAGE('1.08 Kira Road-Jinja Road-24h'!D62,'3.08 Kira Road-Jinja Road-24h'!D62)</f>
        <v>31</v>
      </c>
      <c r="E62" s="49">
        <f>AVERAGE('1.08 Kira Road-Jinja Road-24h'!E62,'3.08 Kira Road-Jinja Road-24h'!E62)</f>
        <v>8</v>
      </c>
      <c r="F62" s="49">
        <f>AVERAGE('1.08 Kira Road-Jinja Road-24h'!F62,'3.08 Kira Road-Jinja Road-24h'!F62)</f>
        <v>6</v>
      </c>
      <c r="G62" s="49">
        <f>AVERAGE('1.08 Kira Road-Jinja Road-24h'!G62,'3.08 Kira Road-Jinja Road-24h'!G62)</f>
        <v>0</v>
      </c>
      <c r="H62" s="49">
        <f>AVERAGE('1.08 Kira Road-Jinja Road-24h'!H62,'3.08 Kira Road-Jinja Road-24h'!H62)</f>
        <v>0</v>
      </c>
      <c r="I62" s="49">
        <f>AVERAGE('1.08 Kira Road-Jinja Road-24h'!I62,'3.08 Kira Road-Jinja Road-24h'!I62)</f>
        <v>0</v>
      </c>
      <c r="J62" s="49">
        <f>AVERAGE('1.08 Kira Road-Jinja Road-24h'!J62,'3.08 Kira Road-Jinja Road-24h'!J62)</f>
        <v>0</v>
      </c>
      <c r="K62" s="49">
        <f>AVERAGE('1.08 Kira Road-Jinja Road-24h'!K62,'3.08 Kira Road-Jinja Road-24h'!K62)</f>
        <v>0</v>
      </c>
      <c r="L62" s="49">
        <f>AVERAGE('1.08 Kira Road-Jinja Road-24h'!L62,'3.08 Kira Road-Jinja Road-24h'!L62)</f>
        <v>0.5</v>
      </c>
      <c r="M62" s="49">
        <f>AVERAGE('1.08 Kira Road-Jinja Road-24h'!M62,'3.08 Kira Road-Jinja Road-24h'!M62)</f>
        <v>150</v>
      </c>
      <c r="N62" s="49">
        <f>AVERAGE('1.08 Kira Road-Jinja Road-24h'!N62,'3.08 Kira Road-Jinja Road-24h'!N62)</f>
        <v>0</v>
      </c>
      <c r="O62" s="15">
        <f t="shared" si="0"/>
        <v>153</v>
      </c>
      <c r="P62" s="15">
        <f t="shared" si="1"/>
        <v>303</v>
      </c>
      <c r="R62" s="8"/>
      <c r="T62"/>
    </row>
    <row r="63" spans="2:20" ht="23.1" customHeight="1" x14ac:dyDescent="0.25">
      <c r="B63" s="23" t="s">
        <v>108</v>
      </c>
      <c r="C63" s="49">
        <f>AVERAGE('1.08 Kira Road-Jinja Road-24h'!C63,'3.08 Kira Road-Jinja Road-24h'!C63)</f>
        <v>112</v>
      </c>
      <c r="D63" s="49">
        <f>AVERAGE('1.08 Kira Road-Jinja Road-24h'!D63,'3.08 Kira Road-Jinja Road-24h'!D63)</f>
        <v>29.5</v>
      </c>
      <c r="E63" s="49">
        <f>AVERAGE('1.08 Kira Road-Jinja Road-24h'!E63,'3.08 Kira Road-Jinja Road-24h'!E63)</f>
        <v>7.5</v>
      </c>
      <c r="F63" s="49">
        <f>AVERAGE('1.08 Kira Road-Jinja Road-24h'!F63,'3.08 Kira Road-Jinja Road-24h'!F63)</f>
        <v>2.5</v>
      </c>
      <c r="G63" s="49">
        <f>AVERAGE('1.08 Kira Road-Jinja Road-24h'!G63,'3.08 Kira Road-Jinja Road-24h'!G63)</f>
        <v>0</v>
      </c>
      <c r="H63" s="49">
        <f>AVERAGE('1.08 Kira Road-Jinja Road-24h'!H63,'3.08 Kira Road-Jinja Road-24h'!H63)</f>
        <v>0</v>
      </c>
      <c r="I63" s="49">
        <f>AVERAGE('1.08 Kira Road-Jinja Road-24h'!I63,'3.08 Kira Road-Jinja Road-24h'!I63)</f>
        <v>2</v>
      </c>
      <c r="J63" s="49">
        <f>AVERAGE('1.08 Kira Road-Jinja Road-24h'!J63,'3.08 Kira Road-Jinja Road-24h'!J63)</f>
        <v>0</v>
      </c>
      <c r="K63" s="49">
        <f>AVERAGE('1.08 Kira Road-Jinja Road-24h'!K63,'3.08 Kira Road-Jinja Road-24h'!K63)</f>
        <v>0</v>
      </c>
      <c r="L63" s="49">
        <f>AVERAGE('1.08 Kira Road-Jinja Road-24h'!L63,'3.08 Kira Road-Jinja Road-24h'!L63)</f>
        <v>0</v>
      </c>
      <c r="M63" s="49">
        <f>AVERAGE('1.08 Kira Road-Jinja Road-24h'!M63,'3.08 Kira Road-Jinja Road-24h'!M63)</f>
        <v>139.5</v>
      </c>
      <c r="N63" s="49">
        <f>AVERAGE('1.08 Kira Road-Jinja Road-24h'!N63,'3.08 Kira Road-Jinja Road-24h'!N63)</f>
        <v>0</v>
      </c>
      <c r="O63" s="15">
        <f t="shared" si="0"/>
        <v>153.5</v>
      </c>
      <c r="P63" s="15">
        <f t="shared" si="1"/>
        <v>293</v>
      </c>
      <c r="R63" s="8"/>
      <c r="T63"/>
    </row>
    <row r="64" spans="2:20" ht="23.1" customHeight="1" x14ac:dyDescent="0.25">
      <c r="B64" s="23" t="s">
        <v>109</v>
      </c>
      <c r="C64" s="49">
        <f>AVERAGE('1.08 Kira Road-Jinja Road-24h'!C64,'3.08 Kira Road-Jinja Road-24h'!C64)</f>
        <v>131.5</v>
      </c>
      <c r="D64" s="49">
        <f>AVERAGE('1.08 Kira Road-Jinja Road-24h'!D64,'3.08 Kira Road-Jinja Road-24h'!D64)</f>
        <v>44.5</v>
      </c>
      <c r="E64" s="49">
        <f>AVERAGE('1.08 Kira Road-Jinja Road-24h'!E64,'3.08 Kira Road-Jinja Road-24h'!E64)</f>
        <v>17.5</v>
      </c>
      <c r="F64" s="49">
        <f>AVERAGE('1.08 Kira Road-Jinja Road-24h'!F64,'3.08 Kira Road-Jinja Road-24h'!F64)</f>
        <v>5</v>
      </c>
      <c r="G64" s="49">
        <f>AVERAGE('1.08 Kira Road-Jinja Road-24h'!G64,'3.08 Kira Road-Jinja Road-24h'!G64)</f>
        <v>0.5</v>
      </c>
      <c r="H64" s="49">
        <f>AVERAGE('1.08 Kira Road-Jinja Road-24h'!H64,'3.08 Kira Road-Jinja Road-24h'!H64)</f>
        <v>0</v>
      </c>
      <c r="I64" s="49">
        <f>AVERAGE('1.08 Kira Road-Jinja Road-24h'!I64,'3.08 Kira Road-Jinja Road-24h'!I64)</f>
        <v>3.5</v>
      </c>
      <c r="J64" s="49">
        <f>AVERAGE('1.08 Kira Road-Jinja Road-24h'!J64,'3.08 Kira Road-Jinja Road-24h'!J64)</f>
        <v>1</v>
      </c>
      <c r="K64" s="49">
        <f>AVERAGE('1.08 Kira Road-Jinja Road-24h'!K64,'3.08 Kira Road-Jinja Road-24h'!K64)</f>
        <v>1.5</v>
      </c>
      <c r="L64" s="49">
        <f>AVERAGE('1.08 Kira Road-Jinja Road-24h'!L64,'3.08 Kira Road-Jinja Road-24h'!L64)</f>
        <v>0</v>
      </c>
      <c r="M64" s="49">
        <f>AVERAGE('1.08 Kira Road-Jinja Road-24h'!M64,'3.08 Kira Road-Jinja Road-24h'!M64)</f>
        <v>139.5</v>
      </c>
      <c r="N64" s="49">
        <f>AVERAGE('1.08 Kira Road-Jinja Road-24h'!N64,'3.08 Kira Road-Jinja Road-24h'!N64)</f>
        <v>0</v>
      </c>
      <c r="O64" s="15">
        <f t="shared" si="0"/>
        <v>205</v>
      </c>
      <c r="P64" s="15">
        <f t="shared" si="1"/>
        <v>344.5</v>
      </c>
      <c r="R64" s="8"/>
      <c r="T64"/>
    </row>
    <row r="65" spans="2:20" ht="23.1" customHeight="1" x14ac:dyDescent="0.25">
      <c r="B65" s="23" t="s">
        <v>158</v>
      </c>
      <c r="C65" s="49">
        <f>AVERAGE('1.08 Kira Road-Jinja Road-24h'!C65,'3.08 Kira Road-Jinja Road-24h'!C65)</f>
        <v>123</v>
      </c>
      <c r="D65" s="49">
        <f>AVERAGE('1.08 Kira Road-Jinja Road-24h'!D65,'3.08 Kira Road-Jinja Road-24h'!D65)</f>
        <v>33</v>
      </c>
      <c r="E65" s="49">
        <f>AVERAGE('1.08 Kira Road-Jinja Road-24h'!E65,'3.08 Kira Road-Jinja Road-24h'!E65)</f>
        <v>12</v>
      </c>
      <c r="F65" s="49">
        <f>AVERAGE('1.08 Kira Road-Jinja Road-24h'!F65,'3.08 Kira Road-Jinja Road-24h'!F65)</f>
        <v>4</v>
      </c>
      <c r="G65" s="49">
        <f>AVERAGE('1.08 Kira Road-Jinja Road-24h'!G65,'3.08 Kira Road-Jinja Road-24h'!G65)</f>
        <v>0</v>
      </c>
      <c r="H65" s="49">
        <f>AVERAGE('1.08 Kira Road-Jinja Road-24h'!H65,'3.08 Kira Road-Jinja Road-24h'!H65)</f>
        <v>0</v>
      </c>
      <c r="I65" s="49">
        <f>AVERAGE('1.08 Kira Road-Jinja Road-24h'!I65,'3.08 Kira Road-Jinja Road-24h'!I65)</f>
        <v>1</v>
      </c>
      <c r="J65" s="49">
        <f>AVERAGE('1.08 Kira Road-Jinja Road-24h'!J65,'3.08 Kira Road-Jinja Road-24h'!J65)</f>
        <v>1</v>
      </c>
      <c r="K65" s="49">
        <f>AVERAGE('1.08 Kira Road-Jinja Road-24h'!K65,'3.08 Kira Road-Jinja Road-24h'!K65)</f>
        <v>1</v>
      </c>
      <c r="L65" s="49">
        <f>AVERAGE('1.08 Kira Road-Jinja Road-24h'!L65,'3.08 Kira Road-Jinja Road-24h'!L65)</f>
        <v>0</v>
      </c>
      <c r="M65" s="49">
        <f>AVERAGE('1.08 Kira Road-Jinja Road-24h'!M65,'3.08 Kira Road-Jinja Road-24h'!M65)</f>
        <v>116.5</v>
      </c>
      <c r="N65" s="49">
        <f>AVERAGE('1.08 Kira Road-Jinja Road-24h'!N65,'3.08 Kira Road-Jinja Road-24h'!N65)</f>
        <v>0</v>
      </c>
      <c r="O65" s="15">
        <f t="shared" si="0"/>
        <v>175</v>
      </c>
      <c r="P65" s="15">
        <f t="shared" si="1"/>
        <v>291.5</v>
      </c>
      <c r="R65" s="8"/>
      <c r="T65"/>
    </row>
    <row r="66" spans="2:20" ht="23.1" customHeight="1" x14ac:dyDescent="0.25">
      <c r="B66" s="23" t="s">
        <v>103</v>
      </c>
      <c r="C66" s="49">
        <f>AVERAGE('1.08 Kira Road-Jinja Road-24h'!C66,'3.08 Kira Road-Jinja Road-24h'!C66)</f>
        <v>92.5</v>
      </c>
      <c r="D66" s="49">
        <f>AVERAGE('1.08 Kira Road-Jinja Road-24h'!D66,'3.08 Kira Road-Jinja Road-24h'!D66)</f>
        <v>38</v>
      </c>
      <c r="E66" s="49">
        <f>AVERAGE('1.08 Kira Road-Jinja Road-24h'!E66,'3.08 Kira Road-Jinja Road-24h'!E66)</f>
        <v>9</v>
      </c>
      <c r="F66" s="49">
        <f>AVERAGE('1.08 Kira Road-Jinja Road-24h'!F66,'3.08 Kira Road-Jinja Road-24h'!F66)</f>
        <v>6</v>
      </c>
      <c r="G66" s="49">
        <f>AVERAGE('1.08 Kira Road-Jinja Road-24h'!G66,'3.08 Kira Road-Jinja Road-24h'!G66)</f>
        <v>0.5</v>
      </c>
      <c r="H66" s="49">
        <f>AVERAGE('1.08 Kira Road-Jinja Road-24h'!H66,'3.08 Kira Road-Jinja Road-24h'!H66)</f>
        <v>0</v>
      </c>
      <c r="I66" s="49">
        <f>AVERAGE('1.08 Kira Road-Jinja Road-24h'!I66,'3.08 Kira Road-Jinja Road-24h'!I66)</f>
        <v>4</v>
      </c>
      <c r="J66" s="49">
        <f>AVERAGE('1.08 Kira Road-Jinja Road-24h'!J66,'3.08 Kira Road-Jinja Road-24h'!J66)</f>
        <v>0.5</v>
      </c>
      <c r="K66" s="49">
        <f>AVERAGE('1.08 Kira Road-Jinja Road-24h'!K66,'3.08 Kira Road-Jinja Road-24h'!K66)</f>
        <v>0</v>
      </c>
      <c r="L66" s="49">
        <f>AVERAGE('1.08 Kira Road-Jinja Road-24h'!L66,'3.08 Kira Road-Jinja Road-24h'!L66)</f>
        <v>0</v>
      </c>
      <c r="M66" s="49">
        <f>AVERAGE('1.08 Kira Road-Jinja Road-24h'!M66,'3.08 Kira Road-Jinja Road-24h'!M66)</f>
        <v>85.5</v>
      </c>
      <c r="N66" s="49">
        <f>AVERAGE('1.08 Kira Road-Jinja Road-24h'!N66,'3.08 Kira Road-Jinja Road-24h'!N66)</f>
        <v>0</v>
      </c>
      <c r="O66" s="15">
        <f t="shared" si="0"/>
        <v>150.5</v>
      </c>
      <c r="P66" s="15">
        <f t="shared" si="1"/>
        <v>236</v>
      </c>
      <c r="R66" s="8"/>
      <c r="T66"/>
    </row>
    <row r="67" spans="2:20" ht="23.1" customHeight="1" x14ac:dyDescent="0.25">
      <c r="B67" s="23" t="s">
        <v>104</v>
      </c>
      <c r="C67" s="49">
        <f>AVERAGE('1.08 Kira Road-Jinja Road-24h'!C67,'3.08 Kira Road-Jinja Road-24h'!C67)</f>
        <v>101.5</v>
      </c>
      <c r="D67" s="49">
        <f>AVERAGE('1.08 Kira Road-Jinja Road-24h'!D67,'3.08 Kira Road-Jinja Road-24h'!D67)</f>
        <v>40</v>
      </c>
      <c r="E67" s="49">
        <f>AVERAGE('1.08 Kira Road-Jinja Road-24h'!E67,'3.08 Kira Road-Jinja Road-24h'!E67)</f>
        <v>9</v>
      </c>
      <c r="F67" s="49">
        <f>AVERAGE('1.08 Kira Road-Jinja Road-24h'!F67,'3.08 Kira Road-Jinja Road-24h'!F67)</f>
        <v>2</v>
      </c>
      <c r="G67" s="49">
        <f>AVERAGE('1.08 Kira Road-Jinja Road-24h'!G67,'3.08 Kira Road-Jinja Road-24h'!G67)</f>
        <v>0</v>
      </c>
      <c r="H67" s="49">
        <f>AVERAGE('1.08 Kira Road-Jinja Road-24h'!H67,'3.08 Kira Road-Jinja Road-24h'!H67)</f>
        <v>0</v>
      </c>
      <c r="I67" s="49">
        <f>AVERAGE('1.08 Kira Road-Jinja Road-24h'!I67,'3.08 Kira Road-Jinja Road-24h'!I67)</f>
        <v>0.5</v>
      </c>
      <c r="J67" s="49">
        <f>AVERAGE('1.08 Kira Road-Jinja Road-24h'!J67,'3.08 Kira Road-Jinja Road-24h'!J67)</f>
        <v>0</v>
      </c>
      <c r="K67" s="49">
        <f>AVERAGE('1.08 Kira Road-Jinja Road-24h'!K67,'3.08 Kira Road-Jinja Road-24h'!K67)</f>
        <v>1</v>
      </c>
      <c r="L67" s="49">
        <f>AVERAGE('1.08 Kira Road-Jinja Road-24h'!L67,'3.08 Kira Road-Jinja Road-24h'!L67)</f>
        <v>0</v>
      </c>
      <c r="M67" s="49">
        <f>AVERAGE('1.08 Kira Road-Jinja Road-24h'!M67,'3.08 Kira Road-Jinja Road-24h'!M67)</f>
        <v>92</v>
      </c>
      <c r="N67" s="49">
        <f>AVERAGE('1.08 Kira Road-Jinja Road-24h'!N67,'3.08 Kira Road-Jinja Road-24h'!N67)</f>
        <v>0</v>
      </c>
      <c r="O67" s="15">
        <f t="shared" si="0"/>
        <v>154</v>
      </c>
      <c r="P67" s="15">
        <f t="shared" si="1"/>
        <v>246</v>
      </c>
      <c r="R67" s="8"/>
      <c r="T67"/>
    </row>
    <row r="68" spans="2:20" ht="23.1" customHeight="1" x14ac:dyDescent="0.25">
      <c r="B68" s="23" t="s">
        <v>105</v>
      </c>
      <c r="C68" s="49">
        <f>AVERAGE('1.08 Kira Road-Jinja Road-24h'!C68,'3.08 Kira Road-Jinja Road-24h'!C68)</f>
        <v>82</v>
      </c>
      <c r="D68" s="49">
        <f>AVERAGE('1.08 Kira Road-Jinja Road-24h'!D68,'3.08 Kira Road-Jinja Road-24h'!D68)</f>
        <v>17.5</v>
      </c>
      <c r="E68" s="49">
        <f>AVERAGE('1.08 Kira Road-Jinja Road-24h'!E68,'3.08 Kira Road-Jinja Road-24h'!E68)</f>
        <v>7</v>
      </c>
      <c r="F68" s="49">
        <f>AVERAGE('1.08 Kira Road-Jinja Road-24h'!F68,'3.08 Kira Road-Jinja Road-24h'!F68)</f>
        <v>2.5</v>
      </c>
      <c r="G68" s="49">
        <f>AVERAGE('1.08 Kira Road-Jinja Road-24h'!G68,'3.08 Kira Road-Jinja Road-24h'!G68)</f>
        <v>1</v>
      </c>
      <c r="H68" s="49">
        <f>AVERAGE('1.08 Kira Road-Jinja Road-24h'!H68,'3.08 Kira Road-Jinja Road-24h'!H68)</f>
        <v>0</v>
      </c>
      <c r="I68" s="49">
        <f>AVERAGE('1.08 Kira Road-Jinja Road-24h'!I68,'3.08 Kira Road-Jinja Road-24h'!I68)</f>
        <v>1.5</v>
      </c>
      <c r="J68" s="49">
        <f>AVERAGE('1.08 Kira Road-Jinja Road-24h'!J68,'3.08 Kira Road-Jinja Road-24h'!J68)</f>
        <v>1</v>
      </c>
      <c r="K68" s="49">
        <f>AVERAGE('1.08 Kira Road-Jinja Road-24h'!K68,'3.08 Kira Road-Jinja Road-24h'!K68)</f>
        <v>0</v>
      </c>
      <c r="L68" s="49">
        <f>AVERAGE('1.08 Kira Road-Jinja Road-24h'!L68,'3.08 Kira Road-Jinja Road-24h'!L68)</f>
        <v>0.5</v>
      </c>
      <c r="M68" s="49">
        <f>AVERAGE('1.08 Kira Road-Jinja Road-24h'!M68,'3.08 Kira Road-Jinja Road-24h'!M68)</f>
        <v>86</v>
      </c>
      <c r="N68" s="49">
        <f>AVERAGE('1.08 Kira Road-Jinja Road-24h'!N68,'3.08 Kira Road-Jinja Road-24h'!N68)</f>
        <v>0</v>
      </c>
      <c r="O68" s="15">
        <f t="shared" si="0"/>
        <v>113</v>
      </c>
      <c r="P68" s="15">
        <f t="shared" si="1"/>
        <v>199</v>
      </c>
      <c r="R68" s="8"/>
      <c r="T68"/>
    </row>
    <row r="69" spans="2:20" ht="23.1" customHeight="1" x14ac:dyDescent="0.25">
      <c r="B69" s="23" t="s">
        <v>106</v>
      </c>
      <c r="C69" s="49">
        <f>AVERAGE('1.08 Kira Road-Jinja Road-24h'!C69,'3.08 Kira Road-Jinja Road-24h'!C69)</f>
        <v>77</v>
      </c>
      <c r="D69" s="49">
        <f>AVERAGE('1.08 Kira Road-Jinja Road-24h'!D69,'3.08 Kira Road-Jinja Road-24h'!D69)</f>
        <v>34</v>
      </c>
      <c r="E69" s="49">
        <f>AVERAGE('1.08 Kira Road-Jinja Road-24h'!E69,'3.08 Kira Road-Jinja Road-24h'!E69)</f>
        <v>10</v>
      </c>
      <c r="F69" s="49">
        <f>AVERAGE('1.08 Kira Road-Jinja Road-24h'!F69,'3.08 Kira Road-Jinja Road-24h'!F69)</f>
        <v>3</v>
      </c>
      <c r="G69" s="49">
        <f>AVERAGE('1.08 Kira Road-Jinja Road-24h'!G69,'3.08 Kira Road-Jinja Road-24h'!G69)</f>
        <v>0.5</v>
      </c>
      <c r="H69" s="49">
        <f>AVERAGE('1.08 Kira Road-Jinja Road-24h'!H69,'3.08 Kira Road-Jinja Road-24h'!H69)</f>
        <v>0</v>
      </c>
      <c r="I69" s="49">
        <f>AVERAGE('1.08 Kira Road-Jinja Road-24h'!I69,'3.08 Kira Road-Jinja Road-24h'!I69)</f>
        <v>0.5</v>
      </c>
      <c r="J69" s="49">
        <f>AVERAGE('1.08 Kira Road-Jinja Road-24h'!J69,'3.08 Kira Road-Jinja Road-24h'!J69)</f>
        <v>0.5</v>
      </c>
      <c r="K69" s="49">
        <f>AVERAGE('1.08 Kira Road-Jinja Road-24h'!K69,'3.08 Kira Road-Jinja Road-24h'!K69)</f>
        <v>1</v>
      </c>
      <c r="L69" s="49">
        <f>AVERAGE('1.08 Kira Road-Jinja Road-24h'!L69,'3.08 Kira Road-Jinja Road-24h'!L69)</f>
        <v>0</v>
      </c>
      <c r="M69" s="49">
        <f>AVERAGE('1.08 Kira Road-Jinja Road-24h'!M69,'3.08 Kira Road-Jinja Road-24h'!M69)</f>
        <v>65.5</v>
      </c>
      <c r="N69" s="49">
        <f>AVERAGE('1.08 Kira Road-Jinja Road-24h'!N69,'3.08 Kira Road-Jinja Road-24h'!N69)</f>
        <v>0</v>
      </c>
      <c r="O69" s="15">
        <f t="shared" si="0"/>
        <v>126.5</v>
      </c>
      <c r="P69" s="15">
        <f t="shared" si="1"/>
        <v>192</v>
      </c>
      <c r="R69" s="8"/>
      <c r="T69"/>
    </row>
    <row r="70" spans="2:20" ht="23.1" customHeight="1" x14ac:dyDescent="0.25">
      <c r="B70" s="23" t="s">
        <v>110</v>
      </c>
      <c r="C70" s="49">
        <f>AVERAGE('1.08 Kira Road-Jinja Road-24h'!C70,'3.08 Kira Road-Jinja Road-24h'!C70)</f>
        <v>92.5</v>
      </c>
      <c r="D70" s="49">
        <f>AVERAGE('1.08 Kira Road-Jinja Road-24h'!D70,'3.08 Kira Road-Jinja Road-24h'!D70)</f>
        <v>26</v>
      </c>
      <c r="E70" s="49">
        <f>AVERAGE('1.08 Kira Road-Jinja Road-24h'!E70,'3.08 Kira Road-Jinja Road-24h'!E70)</f>
        <v>6</v>
      </c>
      <c r="F70" s="49">
        <f>AVERAGE('1.08 Kira Road-Jinja Road-24h'!F70,'3.08 Kira Road-Jinja Road-24h'!F70)</f>
        <v>4</v>
      </c>
      <c r="G70" s="49">
        <f>AVERAGE('1.08 Kira Road-Jinja Road-24h'!G70,'3.08 Kira Road-Jinja Road-24h'!G70)</f>
        <v>0</v>
      </c>
      <c r="H70" s="49">
        <f>AVERAGE('1.08 Kira Road-Jinja Road-24h'!H70,'3.08 Kira Road-Jinja Road-24h'!H70)</f>
        <v>0</v>
      </c>
      <c r="I70" s="49">
        <f>AVERAGE('1.08 Kira Road-Jinja Road-24h'!I70,'3.08 Kira Road-Jinja Road-24h'!I70)</f>
        <v>1.5</v>
      </c>
      <c r="J70" s="49">
        <f>AVERAGE('1.08 Kira Road-Jinja Road-24h'!J70,'3.08 Kira Road-Jinja Road-24h'!J70)</f>
        <v>0</v>
      </c>
      <c r="K70" s="49">
        <f>AVERAGE('1.08 Kira Road-Jinja Road-24h'!K70,'3.08 Kira Road-Jinja Road-24h'!K70)</f>
        <v>0.5</v>
      </c>
      <c r="L70" s="49">
        <f>AVERAGE('1.08 Kira Road-Jinja Road-24h'!L70,'3.08 Kira Road-Jinja Road-24h'!L70)</f>
        <v>0</v>
      </c>
      <c r="M70" s="49">
        <f>AVERAGE('1.08 Kira Road-Jinja Road-24h'!M70,'3.08 Kira Road-Jinja Road-24h'!M70)</f>
        <v>60.5</v>
      </c>
      <c r="N70" s="49">
        <f>AVERAGE('1.08 Kira Road-Jinja Road-24h'!N70,'3.08 Kira Road-Jinja Road-24h'!N70)</f>
        <v>0</v>
      </c>
      <c r="O70" s="15">
        <f t="shared" si="0"/>
        <v>130.5</v>
      </c>
      <c r="P70" s="15">
        <f t="shared" si="1"/>
        <v>191</v>
      </c>
      <c r="R70" s="8"/>
      <c r="T70"/>
    </row>
    <row r="71" spans="2:20" ht="23.1" customHeight="1" x14ac:dyDescent="0.25">
      <c r="B71" s="23" t="s">
        <v>111</v>
      </c>
      <c r="C71" s="49">
        <f>AVERAGE('1.08 Kira Road-Jinja Road-24h'!C71,'3.08 Kira Road-Jinja Road-24h'!C71)</f>
        <v>95</v>
      </c>
      <c r="D71" s="49">
        <f>AVERAGE('1.08 Kira Road-Jinja Road-24h'!D71,'3.08 Kira Road-Jinja Road-24h'!D71)</f>
        <v>31.5</v>
      </c>
      <c r="E71" s="49">
        <f>AVERAGE('1.08 Kira Road-Jinja Road-24h'!E71,'3.08 Kira Road-Jinja Road-24h'!E71)</f>
        <v>6</v>
      </c>
      <c r="F71" s="49">
        <f>AVERAGE('1.08 Kira Road-Jinja Road-24h'!F71,'3.08 Kira Road-Jinja Road-24h'!F71)</f>
        <v>2</v>
      </c>
      <c r="G71" s="49">
        <f>AVERAGE('1.08 Kira Road-Jinja Road-24h'!G71,'3.08 Kira Road-Jinja Road-24h'!G71)</f>
        <v>0</v>
      </c>
      <c r="H71" s="49">
        <f>AVERAGE('1.08 Kira Road-Jinja Road-24h'!H71,'3.08 Kira Road-Jinja Road-24h'!H71)</f>
        <v>0</v>
      </c>
      <c r="I71" s="49">
        <f>AVERAGE('1.08 Kira Road-Jinja Road-24h'!I71,'3.08 Kira Road-Jinja Road-24h'!I71)</f>
        <v>1</v>
      </c>
      <c r="J71" s="49">
        <f>AVERAGE('1.08 Kira Road-Jinja Road-24h'!J71,'3.08 Kira Road-Jinja Road-24h'!J71)</f>
        <v>0</v>
      </c>
      <c r="K71" s="49">
        <f>AVERAGE('1.08 Kira Road-Jinja Road-24h'!K71,'3.08 Kira Road-Jinja Road-24h'!K71)</f>
        <v>0</v>
      </c>
      <c r="L71" s="49">
        <f>AVERAGE('1.08 Kira Road-Jinja Road-24h'!L71,'3.08 Kira Road-Jinja Road-24h'!L71)</f>
        <v>0</v>
      </c>
      <c r="M71" s="49">
        <f>AVERAGE('1.08 Kira Road-Jinja Road-24h'!M71,'3.08 Kira Road-Jinja Road-24h'!M71)</f>
        <v>51</v>
      </c>
      <c r="N71" s="49">
        <f>AVERAGE('1.08 Kira Road-Jinja Road-24h'!N71,'3.08 Kira Road-Jinja Road-24h'!N71)</f>
        <v>0</v>
      </c>
      <c r="O71" s="15">
        <f t="shared" si="0"/>
        <v>135.5</v>
      </c>
      <c r="P71" s="15">
        <f t="shared" si="1"/>
        <v>186.5</v>
      </c>
      <c r="R71" s="8"/>
      <c r="T71"/>
    </row>
    <row r="72" spans="2:20" ht="23.1" customHeight="1" x14ac:dyDescent="0.25">
      <c r="B72" s="23" t="s">
        <v>112</v>
      </c>
      <c r="C72" s="49">
        <f>AVERAGE('1.08 Kira Road-Jinja Road-24h'!C72,'3.08 Kira Road-Jinja Road-24h'!C72)</f>
        <v>91</v>
      </c>
      <c r="D72" s="49">
        <f>AVERAGE('1.08 Kira Road-Jinja Road-24h'!D72,'3.08 Kira Road-Jinja Road-24h'!D72)</f>
        <v>28.5</v>
      </c>
      <c r="E72" s="49">
        <f>AVERAGE('1.08 Kira Road-Jinja Road-24h'!E72,'3.08 Kira Road-Jinja Road-24h'!E72)</f>
        <v>9</v>
      </c>
      <c r="F72" s="49">
        <f>AVERAGE('1.08 Kira Road-Jinja Road-24h'!F72,'3.08 Kira Road-Jinja Road-24h'!F72)</f>
        <v>3.5</v>
      </c>
      <c r="G72" s="49">
        <f>AVERAGE('1.08 Kira Road-Jinja Road-24h'!G72,'3.08 Kira Road-Jinja Road-24h'!G72)</f>
        <v>0</v>
      </c>
      <c r="H72" s="49">
        <f>AVERAGE('1.08 Kira Road-Jinja Road-24h'!H72,'3.08 Kira Road-Jinja Road-24h'!H72)</f>
        <v>0</v>
      </c>
      <c r="I72" s="49">
        <f>AVERAGE('1.08 Kira Road-Jinja Road-24h'!I72,'3.08 Kira Road-Jinja Road-24h'!I72)</f>
        <v>0.5</v>
      </c>
      <c r="J72" s="49">
        <f>AVERAGE('1.08 Kira Road-Jinja Road-24h'!J72,'3.08 Kira Road-Jinja Road-24h'!J72)</f>
        <v>1</v>
      </c>
      <c r="K72" s="49">
        <f>AVERAGE('1.08 Kira Road-Jinja Road-24h'!K72,'3.08 Kira Road-Jinja Road-24h'!K72)</f>
        <v>0.5</v>
      </c>
      <c r="L72" s="49">
        <f>AVERAGE('1.08 Kira Road-Jinja Road-24h'!L72,'3.08 Kira Road-Jinja Road-24h'!L72)</f>
        <v>0</v>
      </c>
      <c r="M72" s="49">
        <f>AVERAGE('1.08 Kira Road-Jinja Road-24h'!M72,'3.08 Kira Road-Jinja Road-24h'!M72)</f>
        <v>74</v>
      </c>
      <c r="N72" s="49">
        <f>AVERAGE('1.08 Kira Road-Jinja Road-24h'!N72,'3.08 Kira Road-Jinja Road-24h'!N72)</f>
        <v>0</v>
      </c>
      <c r="O72" s="15">
        <f t="shared" si="0"/>
        <v>134</v>
      </c>
      <c r="P72" s="15">
        <f t="shared" si="1"/>
        <v>208</v>
      </c>
      <c r="R72" s="8"/>
      <c r="T72"/>
    </row>
    <row r="73" spans="2:20" ht="23.1" customHeight="1" x14ac:dyDescent="0.25">
      <c r="B73" s="23" t="s">
        <v>113</v>
      </c>
      <c r="C73" s="49">
        <f>AVERAGE('1.08 Kira Road-Jinja Road-24h'!C73,'3.08 Kira Road-Jinja Road-24h'!C73)</f>
        <v>77.5</v>
      </c>
      <c r="D73" s="49">
        <f>AVERAGE('1.08 Kira Road-Jinja Road-24h'!D73,'3.08 Kira Road-Jinja Road-24h'!D73)</f>
        <v>20.5</v>
      </c>
      <c r="E73" s="49">
        <f>AVERAGE('1.08 Kira Road-Jinja Road-24h'!E73,'3.08 Kira Road-Jinja Road-24h'!E73)</f>
        <v>4</v>
      </c>
      <c r="F73" s="49">
        <f>AVERAGE('1.08 Kira Road-Jinja Road-24h'!F73,'3.08 Kira Road-Jinja Road-24h'!F73)</f>
        <v>1</v>
      </c>
      <c r="G73" s="49">
        <f>AVERAGE('1.08 Kira Road-Jinja Road-24h'!G73,'3.08 Kira Road-Jinja Road-24h'!G73)</f>
        <v>0</v>
      </c>
      <c r="H73" s="49">
        <f>AVERAGE('1.08 Kira Road-Jinja Road-24h'!H73,'3.08 Kira Road-Jinja Road-24h'!H73)</f>
        <v>0</v>
      </c>
      <c r="I73" s="49">
        <f>AVERAGE('1.08 Kira Road-Jinja Road-24h'!I73,'3.08 Kira Road-Jinja Road-24h'!I73)</f>
        <v>1</v>
      </c>
      <c r="J73" s="49">
        <f>AVERAGE('1.08 Kira Road-Jinja Road-24h'!J73,'3.08 Kira Road-Jinja Road-24h'!J73)</f>
        <v>0.5</v>
      </c>
      <c r="K73" s="49">
        <f>AVERAGE('1.08 Kira Road-Jinja Road-24h'!K73,'3.08 Kira Road-Jinja Road-24h'!K73)</f>
        <v>0</v>
      </c>
      <c r="L73" s="49">
        <f>AVERAGE('1.08 Kira Road-Jinja Road-24h'!L73,'3.08 Kira Road-Jinja Road-24h'!L73)</f>
        <v>0</v>
      </c>
      <c r="M73" s="49">
        <f>AVERAGE('1.08 Kira Road-Jinja Road-24h'!M73,'3.08 Kira Road-Jinja Road-24h'!M73)</f>
        <v>45.5</v>
      </c>
      <c r="N73" s="49">
        <f>AVERAGE('1.08 Kira Road-Jinja Road-24h'!N73,'3.08 Kira Road-Jinja Road-24h'!N73)</f>
        <v>0</v>
      </c>
      <c r="O73" s="15">
        <f t="shared" si="0"/>
        <v>104.5</v>
      </c>
      <c r="P73" s="15">
        <f t="shared" si="1"/>
        <v>150</v>
      </c>
      <c r="R73" s="8"/>
      <c r="T73"/>
    </row>
    <row r="74" spans="2:20" ht="23.1" customHeight="1" x14ac:dyDescent="0.25">
      <c r="B74" s="23" t="s">
        <v>114</v>
      </c>
      <c r="C74" s="49">
        <f>AVERAGE('1.08 Kira Road-Jinja Road-24h'!C74,'3.08 Kira Road-Jinja Road-24h'!C74)</f>
        <v>72</v>
      </c>
      <c r="D74" s="49">
        <f>AVERAGE('1.08 Kira Road-Jinja Road-24h'!D74,'3.08 Kira Road-Jinja Road-24h'!D74)</f>
        <v>35</v>
      </c>
      <c r="E74" s="49">
        <f>AVERAGE('1.08 Kira Road-Jinja Road-24h'!E74,'3.08 Kira Road-Jinja Road-24h'!E74)</f>
        <v>3.5</v>
      </c>
      <c r="F74" s="49">
        <f>AVERAGE('1.08 Kira Road-Jinja Road-24h'!F74,'3.08 Kira Road-Jinja Road-24h'!F74)</f>
        <v>1.5</v>
      </c>
      <c r="G74" s="49">
        <f>AVERAGE('1.08 Kira Road-Jinja Road-24h'!G74,'3.08 Kira Road-Jinja Road-24h'!G74)</f>
        <v>0</v>
      </c>
      <c r="H74" s="49">
        <f>AVERAGE('1.08 Kira Road-Jinja Road-24h'!H74,'3.08 Kira Road-Jinja Road-24h'!H74)</f>
        <v>0</v>
      </c>
      <c r="I74" s="49">
        <f>AVERAGE('1.08 Kira Road-Jinja Road-24h'!I74,'3.08 Kira Road-Jinja Road-24h'!I74)</f>
        <v>0.5</v>
      </c>
      <c r="J74" s="49">
        <f>AVERAGE('1.08 Kira Road-Jinja Road-24h'!J74,'3.08 Kira Road-Jinja Road-24h'!J74)</f>
        <v>1</v>
      </c>
      <c r="K74" s="49">
        <f>AVERAGE('1.08 Kira Road-Jinja Road-24h'!K74,'3.08 Kira Road-Jinja Road-24h'!K74)</f>
        <v>0.5</v>
      </c>
      <c r="L74" s="49">
        <f>AVERAGE('1.08 Kira Road-Jinja Road-24h'!L74,'3.08 Kira Road-Jinja Road-24h'!L74)</f>
        <v>0</v>
      </c>
      <c r="M74" s="49">
        <f>AVERAGE('1.08 Kira Road-Jinja Road-24h'!M74,'3.08 Kira Road-Jinja Road-24h'!M74)</f>
        <v>49.5</v>
      </c>
      <c r="N74" s="49">
        <f>AVERAGE('1.08 Kira Road-Jinja Road-24h'!N74,'3.08 Kira Road-Jinja Road-24h'!N74)</f>
        <v>0</v>
      </c>
      <c r="O74" s="15">
        <f t="shared" ref="O74:O105" si="35">SUM(C74:L74,N74)</f>
        <v>114</v>
      </c>
      <c r="P74" s="15">
        <f t="shared" ref="P74:P105" si="36">SUM(C74:N74)</f>
        <v>163.5</v>
      </c>
      <c r="R74" s="8"/>
      <c r="T74"/>
    </row>
    <row r="75" spans="2:20" ht="23.1" customHeight="1" x14ac:dyDescent="0.25">
      <c r="B75" s="23" t="s">
        <v>115</v>
      </c>
      <c r="C75" s="49">
        <f>AVERAGE('1.08 Kira Road-Jinja Road-24h'!C75,'3.08 Kira Road-Jinja Road-24h'!C75)</f>
        <v>63.5</v>
      </c>
      <c r="D75" s="49">
        <f>AVERAGE('1.08 Kira Road-Jinja Road-24h'!D75,'3.08 Kira Road-Jinja Road-24h'!D75)</f>
        <v>26.5</v>
      </c>
      <c r="E75" s="49">
        <f>AVERAGE('1.08 Kira Road-Jinja Road-24h'!E75,'3.08 Kira Road-Jinja Road-24h'!E75)</f>
        <v>7.5</v>
      </c>
      <c r="F75" s="49">
        <f>AVERAGE('1.08 Kira Road-Jinja Road-24h'!F75,'3.08 Kira Road-Jinja Road-24h'!F75)</f>
        <v>1</v>
      </c>
      <c r="G75" s="49">
        <f>AVERAGE('1.08 Kira Road-Jinja Road-24h'!G75,'3.08 Kira Road-Jinja Road-24h'!G75)</f>
        <v>1</v>
      </c>
      <c r="H75" s="49">
        <f>AVERAGE('1.08 Kira Road-Jinja Road-24h'!H75,'3.08 Kira Road-Jinja Road-24h'!H75)</f>
        <v>0</v>
      </c>
      <c r="I75" s="49">
        <f>AVERAGE('1.08 Kira Road-Jinja Road-24h'!I75,'3.08 Kira Road-Jinja Road-24h'!I75)</f>
        <v>1.5</v>
      </c>
      <c r="J75" s="49">
        <f>AVERAGE('1.08 Kira Road-Jinja Road-24h'!J75,'3.08 Kira Road-Jinja Road-24h'!J75)</f>
        <v>1</v>
      </c>
      <c r="K75" s="49">
        <f>AVERAGE('1.08 Kira Road-Jinja Road-24h'!K75,'3.08 Kira Road-Jinja Road-24h'!K75)</f>
        <v>0</v>
      </c>
      <c r="L75" s="49">
        <f>AVERAGE('1.08 Kira Road-Jinja Road-24h'!L75,'3.08 Kira Road-Jinja Road-24h'!L75)</f>
        <v>0</v>
      </c>
      <c r="M75" s="49">
        <f>AVERAGE('1.08 Kira Road-Jinja Road-24h'!M75,'3.08 Kira Road-Jinja Road-24h'!M75)</f>
        <v>46.5</v>
      </c>
      <c r="N75" s="49">
        <f>AVERAGE('1.08 Kira Road-Jinja Road-24h'!N75,'3.08 Kira Road-Jinja Road-24h'!N75)</f>
        <v>0</v>
      </c>
      <c r="O75" s="15">
        <f t="shared" si="35"/>
        <v>102</v>
      </c>
      <c r="P75" s="15">
        <f t="shared" si="36"/>
        <v>148.5</v>
      </c>
      <c r="R75" s="8"/>
      <c r="T75"/>
    </row>
    <row r="76" spans="2:20" ht="23.1" customHeight="1" x14ac:dyDescent="0.25">
      <c r="B76" s="23" t="s">
        <v>116</v>
      </c>
      <c r="C76" s="49">
        <f>AVERAGE('1.08 Kira Road-Jinja Road-24h'!C76,'3.08 Kira Road-Jinja Road-24h'!C76)</f>
        <v>73</v>
      </c>
      <c r="D76" s="49">
        <f>AVERAGE('1.08 Kira Road-Jinja Road-24h'!D76,'3.08 Kira Road-Jinja Road-24h'!D76)</f>
        <v>31</v>
      </c>
      <c r="E76" s="49">
        <f>AVERAGE('1.08 Kira Road-Jinja Road-24h'!E76,'3.08 Kira Road-Jinja Road-24h'!E76)</f>
        <v>9.5</v>
      </c>
      <c r="F76" s="49">
        <f>AVERAGE('1.08 Kira Road-Jinja Road-24h'!F76,'3.08 Kira Road-Jinja Road-24h'!F76)</f>
        <v>0.5</v>
      </c>
      <c r="G76" s="49">
        <f>AVERAGE('1.08 Kira Road-Jinja Road-24h'!G76,'3.08 Kira Road-Jinja Road-24h'!G76)</f>
        <v>0.5</v>
      </c>
      <c r="H76" s="49">
        <f>AVERAGE('1.08 Kira Road-Jinja Road-24h'!H76,'3.08 Kira Road-Jinja Road-24h'!H76)</f>
        <v>0</v>
      </c>
      <c r="I76" s="49">
        <f>AVERAGE('1.08 Kira Road-Jinja Road-24h'!I76,'3.08 Kira Road-Jinja Road-24h'!I76)</f>
        <v>0.5</v>
      </c>
      <c r="J76" s="49">
        <f>AVERAGE('1.08 Kira Road-Jinja Road-24h'!J76,'3.08 Kira Road-Jinja Road-24h'!J76)</f>
        <v>0.5</v>
      </c>
      <c r="K76" s="49">
        <f>AVERAGE('1.08 Kira Road-Jinja Road-24h'!K76,'3.08 Kira Road-Jinja Road-24h'!K76)</f>
        <v>0</v>
      </c>
      <c r="L76" s="49">
        <f>AVERAGE('1.08 Kira Road-Jinja Road-24h'!L76,'3.08 Kira Road-Jinja Road-24h'!L76)</f>
        <v>0</v>
      </c>
      <c r="M76" s="49">
        <f>AVERAGE('1.08 Kira Road-Jinja Road-24h'!M76,'3.08 Kira Road-Jinja Road-24h'!M76)</f>
        <v>54.5</v>
      </c>
      <c r="N76" s="49">
        <f>AVERAGE('1.08 Kira Road-Jinja Road-24h'!N76,'3.08 Kira Road-Jinja Road-24h'!N76)</f>
        <v>0</v>
      </c>
      <c r="O76" s="15">
        <f t="shared" si="35"/>
        <v>115.5</v>
      </c>
      <c r="P76" s="15">
        <f t="shared" si="36"/>
        <v>170</v>
      </c>
      <c r="R76" s="8"/>
      <c r="T76"/>
    </row>
    <row r="77" spans="2:20" ht="23.1" customHeight="1" x14ac:dyDescent="0.25">
      <c r="B77" s="23" t="s">
        <v>117</v>
      </c>
      <c r="C77" s="49">
        <f>AVERAGE('1.08 Kira Road-Jinja Road-24h'!C77,'3.08 Kira Road-Jinja Road-24h'!C77)</f>
        <v>70.5</v>
      </c>
      <c r="D77" s="49">
        <f>AVERAGE('1.08 Kira Road-Jinja Road-24h'!D77,'3.08 Kira Road-Jinja Road-24h'!D77)</f>
        <v>17</v>
      </c>
      <c r="E77" s="49">
        <f>AVERAGE('1.08 Kira Road-Jinja Road-24h'!E77,'3.08 Kira Road-Jinja Road-24h'!E77)</f>
        <v>2.5</v>
      </c>
      <c r="F77" s="49">
        <f>AVERAGE('1.08 Kira Road-Jinja Road-24h'!F77,'3.08 Kira Road-Jinja Road-24h'!F77)</f>
        <v>1.5</v>
      </c>
      <c r="G77" s="49">
        <f>AVERAGE('1.08 Kira Road-Jinja Road-24h'!G77,'3.08 Kira Road-Jinja Road-24h'!G77)</f>
        <v>0</v>
      </c>
      <c r="H77" s="49">
        <f>AVERAGE('1.08 Kira Road-Jinja Road-24h'!H77,'3.08 Kira Road-Jinja Road-24h'!H77)</f>
        <v>0</v>
      </c>
      <c r="I77" s="49">
        <f>AVERAGE('1.08 Kira Road-Jinja Road-24h'!I77,'3.08 Kira Road-Jinja Road-24h'!I77)</f>
        <v>0</v>
      </c>
      <c r="J77" s="49">
        <f>AVERAGE('1.08 Kira Road-Jinja Road-24h'!J77,'3.08 Kira Road-Jinja Road-24h'!J77)</f>
        <v>0</v>
      </c>
      <c r="K77" s="49">
        <f>AVERAGE('1.08 Kira Road-Jinja Road-24h'!K77,'3.08 Kira Road-Jinja Road-24h'!K77)</f>
        <v>0</v>
      </c>
      <c r="L77" s="49">
        <f>AVERAGE('1.08 Kira Road-Jinja Road-24h'!L77,'3.08 Kira Road-Jinja Road-24h'!L77)</f>
        <v>0</v>
      </c>
      <c r="M77" s="49">
        <f>AVERAGE('1.08 Kira Road-Jinja Road-24h'!M77,'3.08 Kira Road-Jinja Road-24h'!M77)</f>
        <v>43.5</v>
      </c>
      <c r="N77" s="49">
        <f>AVERAGE('1.08 Kira Road-Jinja Road-24h'!N77,'3.08 Kira Road-Jinja Road-24h'!N77)</f>
        <v>0</v>
      </c>
      <c r="O77" s="15">
        <f t="shared" si="35"/>
        <v>91.5</v>
      </c>
      <c r="P77" s="15">
        <f t="shared" si="36"/>
        <v>135</v>
      </c>
      <c r="R77" s="8"/>
      <c r="T77"/>
    </row>
    <row r="78" spans="2:20" ht="23.1" customHeight="1" x14ac:dyDescent="0.25">
      <c r="B78" s="24" t="s">
        <v>118</v>
      </c>
      <c r="C78" s="49">
        <f>AVERAGE('1.08 Kira Road-Jinja Road-24h'!C78,'3.08 Kira Road-Jinja Road-24h'!C78)</f>
        <v>43</v>
      </c>
      <c r="D78" s="49">
        <f>AVERAGE('1.08 Kira Road-Jinja Road-24h'!D78,'3.08 Kira Road-Jinja Road-24h'!D78)</f>
        <v>13.5</v>
      </c>
      <c r="E78" s="49">
        <f>AVERAGE('1.08 Kira Road-Jinja Road-24h'!E78,'3.08 Kira Road-Jinja Road-24h'!E78)</f>
        <v>3.5</v>
      </c>
      <c r="F78" s="49">
        <f>AVERAGE('1.08 Kira Road-Jinja Road-24h'!F78,'3.08 Kira Road-Jinja Road-24h'!F78)</f>
        <v>0.5</v>
      </c>
      <c r="G78" s="49">
        <f>AVERAGE('1.08 Kira Road-Jinja Road-24h'!G78,'3.08 Kira Road-Jinja Road-24h'!G78)</f>
        <v>0</v>
      </c>
      <c r="H78" s="49">
        <f>AVERAGE('1.08 Kira Road-Jinja Road-24h'!H78,'3.08 Kira Road-Jinja Road-24h'!H78)</f>
        <v>0.5</v>
      </c>
      <c r="I78" s="49">
        <f>AVERAGE('1.08 Kira Road-Jinja Road-24h'!I78,'3.08 Kira Road-Jinja Road-24h'!I78)</f>
        <v>0.5</v>
      </c>
      <c r="J78" s="49">
        <f>AVERAGE('1.08 Kira Road-Jinja Road-24h'!J78,'3.08 Kira Road-Jinja Road-24h'!J78)</f>
        <v>0</v>
      </c>
      <c r="K78" s="49">
        <f>AVERAGE('1.08 Kira Road-Jinja Road-24h'!K78,'3.08 Kira Road-Jinja Road-24h'!K78)</f>
        <v>0</v>
      </c>
      <c r="L78" s="49">
        <f>AVERAGE('1.08 Kira Road-Jinja Road-24h'!L78,'3.08 Kira Road-Jinja Road-24h'!L78)</f>
        <v>0</v>
      </c>
      <c r="M78" s="49">
        <f>AVERAGE('1.08 Kira Road-Jinja Road-24h'!M78,'3.08 Kira Road-Jinja Road-24h'!M78)</f>
        <v>37.5</v>
      </c>
      <c r="N78" s="49">
        <f>AVERAGE('1.08 Kira Road-Jinja Road-24h'!N78,'3.08 Kira Road-Jinja Road-24h'!N78)</f>
        <v>0</v>
      </c>
      <c r="O78" s="15">
        <f t="shared" si="35"/>
        <v>61.5</v>
      </c>
      <c r="P78" s="15">
        <f t="shared" si="36"/>
        <v>99</v>
      </c>
      <c r="R78" s="8"/>
      <c r="T78"/>
    </row>
    <row r="79" spans="2:20" ht="23.1" customHeight="1" x14ac:dyDescent="0.25">
      <c r="B79" s="23" t="s">
        <v>119</v>
      </c>
      <c r="C79" s="49">
        <f>AVERAGE('1.08 Kira Road-Jinja Road-24h'!C79,'3.08 Kira Road-Jinja Road-24h'!C79)</f>
        <v>52.5</v>
      </c>
      <c r="D79" s="49">
        <f>AVERAGE('1.08 Kira Road-Jinja Road-24h'!D79,'3.08 Kira Road-Jinja Road-24h'!D79)</f>
        <v>15</v>
      </c>
      <c r="E79" s="49">
        <f>AVERAGE('1.08 Kira Road-Jinja Road-24h'!E79,'3.08 Kira Road-Jinja Road-24h'!E79)</f>
        <v>3.5</v>
      </c>
      <c r="F79" s="49">
        <f>AVERAGE('1.08 Kira Road-Jinja Road-24h'!F79,'3.08 Kira Road-Jinja Road-24h'!F79)</f>
        <v>2</v>
      </c>
      <c r="G79" s="49">
        <f>AVERAGE('1.08 Kira Road-Jinja Road-24h'!G79,'3.08 Kira Road-Jinja Road-24h'!G79)</f>
        <v>0</v>
      </c>
      <c r="H79" s="49">
        <f>AVERAGE('1.08 Kira Road-Jinja Road-24h'!H79,'3.08 Kira Road-Jinja Road-24h'!H79)</f>
        <v>0</v>
      </c>
      <c r="I79" s="49">
        <f>AVERAGE('1.08 Kira Road-Jinja Road-24h'!I79,'3.08 Kira Road-Jinja Road-24h'!I79)</f>
        <v>0.5</v>
      </c>
      <c r="J79" s="49">
        <f>AVERAGE('1.08 Kira Road-Jinja Road-24h'!J79,'3.08 Kira Road-Jinja Road-24h'!J79)</f>
        <v>0</v>
      </c>
      <c r="K79" s="49">
        <f>AVERAGE('1.08 Kira Road-Jinja Road-24h'!K79,'3.08 Kira Road-Jinja Road-24h'!K79)</f>
        <v>0</v>
      </c>
      <c r="L79" s="49">
        <f>AVERAGE('1.08 Kira Road-Jinja Road-24h'!L79,'3.08 Kira Road-Jinja Road-24h'!L79)</f>
        <v>0</v>
      </c>
      <c r="M79" s="49">
        <f>AVERAGE('1.08 Kira Road-Jinja Road-24h'!M79,'3.08 Kira Road-Jinja Road-24h'!M79)</f>
        <v>29.5</v>
      </c>
      <c r="N79" s="49">
        <f>AVERAGE('1.08 Kira Road-Jinja Road-24h'!N79,'3.08 Kira Road-Jinja Road-24h'!N79)</f>
        <v>0</v>
      </c>
      <c r="O79" s="15">
        <f t="shared" si="35"/>
        <v>73.5</v>
      </c>
      <c r="P79" s="15">
        <f t="shared" si="36"/>
        <v>103</v>
      </c>
      <c r="R79" s="8"/>
      <c r="T79"/>
    </row>
    <row r="80" spans="2:20" ht="23.1" customHeight="1" x14ac:dyDescent="0.25">
      <c r="B80" s="25" t="s">
        <v>120</v>
      </c>
      <c r="C80" s="49">
        <f>AVERAGE('1.08 Kira Road-Jinja Road-24h'!C80,'3.08 Kira Road-Jinja Road-24h'!C80)</f>
        <v>52</v>
      </c>
      <c r="D80" s="49">
        <f>AVERAGE('1.08 Kira Road-Jinja Road-24h'!D80,'3.08 Kira Road-Jinja Road-24h'!D80)</f>
        <v>17</v>
      </c>
      <c r="E80" s="49">
        <f>AVERAGE('1.08 Kira Road-Jinja Road-24h'!E80,'3.08 Kira Road-Jinja Road-24h'!E80)</f>
        <v>2</v>
      </c>
      <c r="F80" s="49">
        <f>AVERAGE('1.08 Kira Road-Jinja Road-24h'!F80,'3.08 Kira Road-Jinja Road-24h'!F80)</f>
        <v>1</v>
      </c>
      <c r="G80" s="49">
        <f>AVERAGE('1.08 Kira Road-Jinja Road-24h'!G80,'3.08 Kira Road-Jinja Road-24h'!G80)</f>
        <v>0</v>
      </c>
      <c r="H80" s="49">
        <f>AVERAGE('1.08 Kira Road-Jinja Road-24h'!H80,'3.08 Kira Road-Jinja Road-24h'!H80)</f>
        <v>0</v>
      </c>
      <c r="I80" s="49">
        <f>AVERAGE('1.08 Kira Road-Jinja Road-24h'!I80,'3.08 Kira Road-Jinja Road-24h'!I80)</f>
        <v>0.5</v>
      </c>
      <c r="J80" s="49">
        <f>AVERAGE('1.08 Kira Road-Jinja Road-24h'!J80,'3.08 Kira Road-Jinja Road-24h'!J80)</f>
        <v>0</v>
      </c>
      <c r="K80" s="49">
        <f>AVERAGE('1.08 Kira Road-Jinja Road-24h'!K80,'3.08 Kira Road-Jinja Road-24h'!K80)</f>
        <v>0</v>
      </c>
      <c r="L80" s="49">
        <f>AVERAGE('1.08 Kira Road-Jinja Road-24h'!L80,'3.08 Kira Road-Jinja Road-24h'!L80)</f>
        <v>0</v>
      </c>
      <c r="M80" s="49">
        <f>AVERAGE('1.08 Kira Road-Jinja Road-24h'!M80,'3.08 Kira Road-Jinja Road-24h'!M80)</f>
        <v>24</v>
      </c>
      <c r="N80" s="49">
        <f>AVERAGE('1.08 Kira Road-Jinja Road-24h'!N80,'3.08 Kira Road-Jinja Road-24h'!N80)</f>
        <v>0</v>
      </c>
      <c r="O80" s="15">
        <f t="shared" si="35"/>
        <v>72.5</v>
      </c>
      <c r="P80" s="15">
        <f t="shared" si="36"/>
        <v>96.5</v>
      </c>
      <c r="R80" s="8"/>
      <c r="T80"/>
    </row>
    <row r="81" spans="2:20" ht="23.1" customHeight="1" x14ac:dyDescent="0.25">
      <c r="B81" s="23" t="s">
        <v>121</v>
      </c>
      <c r="C81" s="49">
        <f>AVERAGE('1.08 Kira Road-Jinja Road-24h'!C81,'3.08 Kira Road-Jinja Road-24h'!C81)</f>
        <v>40.5</v>
      </c>
      <c r="D81" s="49">
        <f>AVERAGE('1.08 Kira Road-Jinja Road-24h'!D81,'3.08 Kira Road-Jinja Road-24h'!D81)</f>
        <v>18.5</v>
      </c>
      <c r="E81" s="49">
        <f>AVERAGE('1.08 Kira Road-Jinja Road-24h'!E81,'3.08 Kira Road-Jinja Road-24h'!E81)</f>
        <v>3.5</v>
      </c>
      <c r="F81" s="49">
        <f>AVERAGE('1.08 Kira Road-Jinja Road-24h'!F81,'3.08 Kira Road-Jinja Road-24h'!F81)</f>
        <v>0</v>
      </c>
      <c r="G81" s="49">
        <f>AVERAGE('1.08 Kira Road-Jinja Road-24h'!G81,'3.08 Kira Road-Jinja Road-24h'!G81)</f>
        <v>0</v>
      </c>
      <c r="H81" s="49">
        <f>AVERAGE('1.08 Kira Road-Jinja Road-24h'!H81,'3.08 Kira Road-Jinja Road-24h'!H81)</f>
        <v>0</v>
      </c>
      <c r="I81" s="49">
        <f>AVERAGE('1.08 Kira Road-Jinja Road-24h'!I81,'3.08 Kira Road-Jinja Road-24h'!I81)</f>
        <v>1</v>
      </c>
      <c r="J81" s="49">
        <f>AVERAGE('1.08 Kira Road-Jinja Road-24h'!J81,'3.08 Kira Road-Jinja Road-24h'!J81)</f>
        <v>1</v>
      </c>
      <c r="K81" s="49">
        <f>AVERAGE('1.08 Kira Road-Jinja Road-24h'!K81,'3.08 Kira Road-Jinja Road-24h'!K81)</f>
        <v>0</v>
      </c>
      <c r="L81" s="49">
        <f>AVERAGE('1.08 Kira Road-Jinja Road-24h'!L81,'3.08 Kira Road-Jinja Road-24h'!L81)</f>
        <v>0</v>
      </c>
      <c r="M81" s="49">
        <f>AVERAGE('1.08 Kira Road-Jinja Road-24h'!M81,'3.08 Kira Road-Jinja Road-24h'!M81)</f>
        <v>28.5</v>
      </c>
      <c r="N81" s="49">
        <f>AVERAGE('1.08 Kira Road-Jinja Road-24h'!N81,'3.08 Kira Road-Jinja Road-24h'!N81)</f>
        <v>0</v>
      </c>
      <c r="O81" s="15">
        <f t="shared" si="35"/>
        <v>64.5</v>
      </c>
      <c r="P81" s="15">
        <f t="shared" si="36"/>
        <v>93</v>
      </c>
      <c r="R81" s="8"/>
      <c r="T81"/>
    </row>
    <row r="82" spans="2:20" ht="23.1" customHeight="1" x14ac:dyDescent="0.25">
      <c r="B82" s="24" t="s">
        <v>122</v>
      </c>
      <c r="C82" s="49">
        <f>AVERAGE('1.08 Kira Road-Jinja Road-24h'!C82,'3.08 Kira Road-Jinja Road-24h'!C82)</f>
        <v>44.5</v>
      </c>
      <c r="D82" s="49">
        <f>AVERAGE('1.08 Kira Road-Jinja Road-24h'!D82,'3.08 Kira Road-Jinja Road-24h'!D82)</f>
        <v>12</v>
      </c>
      <c r="E82" s="49">
        <f>AVERAGE('1.08 Kira Road-Jinja Road-24h'!E82,'3.08 Kira Road-Jinja Road-24h'!E82)</f>
        <v>0.5</v>
      </c>
      <c r="F82" s="49">
        <f>AVERAGE('1.08 Kira Road-Jinja Road-24h'!F82,'3.08 Kira Road-Jinja Road-24h'!F82)</f>
        <v>1.5</v>
      </c>
      <c r="G82" s="49">
        <f>AVERAGE('1.08 Kira Road-Jinja Road-24h'!G82,'3.08 Kira Road-Jinja Road-24h'!G82)</f>
        <v>0</v>
      </c>
      <c r="H82" s="49">
        <f>AVERAGE('1.08 Kira Road-Jinja Road-24h'!H82,'3.08 Kira Road-Jinja Road-24h'!H82)</f>
        <v>0</v>
      </c>
      <c r="I82" s="49">
        <f>AVERAGE('1.08 Kira Road-Jinja Road-24h'!I82,'3.08 Kira Road-Jinja Road-24h'!I82)</f>
        <v>0</v>
      </c>
      <c r="J82" s="49">
        <f>AVERAGE('1.08 Kira Road-Jinja Road-24h'!J82,'3.08 Kira Road-Jinja Road-24h'!J82)</f>
        <v>0</v>
      </c>
      <c r="K82" s="49">
        <f>AVERAGE('1.08 Kira Road-Jinja Road-24h'!K82,'3.08 Kira Road-Jinja Road-24h'!K82)</f>
        <v>0</v>
      </c>
      <c r="L82" s="49">
        <f>AVERAGE('1.08 Kira Road-Jinja Road-24h'!L82,'3.08 Kira Road-Jinja Road-24h'!L82)</f>
        <v>0</v>
      </c>
      <c r="M82" s="49">
        <f>AVERAGE('1.08 Kira Road-Jinja Road-24h'!M82,'3.08 Kira Road-Jinja Road-24h'!M82)</f>
        <v>19</v>
      </c>
      <c r="N82" s="49">
        <f>AVERAGE('1.08 Kira Road-Jinja Road-24h'!N82,'3.08 Kira Road-Jinja Road-24h'!N82)</f>
        <v>0</v>
      </c>
      <c r="O82" s="15">
        <f t="shared" si="35"/>
        <v>58.5</v>
      </c>
      <c r="P82" s="15">
        <f t="shared" si="36"/>
        <v>77.5</v>
      </c>
      <c r="R82" s="8"/>
      <c r="T82"/>
    </row>
    <row r="83" spans="2:20" ht="23.1" customHeight="1" x14ac:dyDescent="0.25">
      <c r="B83" s="23" t="s">
        <v>123</v>
      </c>
      <c r="C83" s="49">
        <f>AVERAGE('1.08 Kira Road-Jinja Road-24h'!C83,'3.08 Kira Road-Jinja Road-24h'!C83)</f>
        <v>42</v>
      </c>
      <c r="D83" s="49">
        <f>AVERAGE('1.08 Kira Road-Jinja Road-24h'!D83,'3.08 Kira Road-Jinja Road-24h'!D83)</f>
        <v>18</v>
      </c>
      <c r="E83" s="49">
        <f>AVERAGE('1.08 Kira Road-Jinja Road-24h'!E83,'3.08 Kira Road-Jinja Road-24h'!E83)</f>
        <v>1.5</v>
      </c>
      <c r="F83" s="49">
        <f>AVERAGE('1.08 Kira Road-Jinja Road-24h'!F83,'3.08 Kira Road-Jinja Road-24h'!F83)</f>
        <v>1</v>
      </c>
      <c r="G83" s="49">
        <f>AVERAGE('1.08 Kira Road-Jinja Road-24h'!G83,'3.08 Kira Road-Jinja Road-24h'!G83)</f>
        <v>0</v>
      </c>
      <c r="H83" s="49">
        <f>AVERAGE('1.08 Kira Road-Jinja Road-24h'!H83,'3.08 Kira Road-Jinja Road-24h'!H83)</f>
        <v>0</v>
      </c>
      <c r="I83" s="49">
        <f>AVERAGE('1.08 Kira Road-Jinja Road-24h'!I83,'3.08 Kira Road-Jinja Road-24h'!I83)</f>
        <v>0</v>
      </c>
      <c r="J83" s="49">
        <f>AVERAGE('1.08 Kira Road-Jinja Road-24h'!J83,'3.08 Kira Road-Jinja Road-24h'!J83)</f>
        <v>1</v>
      </c>
      <c r="K83" s="49">
        <f>AVERAGE('1.08 Kira Road-Jinja Road-24h'!K83,'3.08 Kira Road-Jinja Road-24h'!K83)</f>
        <v>0</v>
      </c>
      <c r="L83" s="49">
        <f>AVERAGE('1.08 Kira Road-Jinja Road-24h'!L83,'3.08 Kira Road-Jinja Road-24h'!L83)</f>
        <v>0</v>
      </c>
      <c r="M83" s="49">
        <f>AVERAGE('1.08 Kira Road-Jinja Road-24h'!M83,'3.08 Kira Road-Jinja Road-24h'!M83)</f>
        <v>17</v>
      </c>
      <c r="N83" s="49">
        <f>AVERAGE('1.08 Kira Road-Jinja Road-24h'!N83,'3.08 Kira Road-Jinja Road-24h'!N83)</f>
        <v>0</v>
      </c>
      <c r="O83" s="15">
        <f t="shared" si="35"/>
        <v>63.5</v>
      </c>
      <c r="P83" s="15">
        <f t="shared" si="36"/>
        <v>80.5</v>
      </c>
      <c r="R83" s="8"/>
      <c r="T83"/>
    </row>
    <row r="84" spans="2:20" ht="23.1" customHeight="1" x14ac:dyDescent="0.25">
      <c r="B84" s="25" t="s">
        <v>124</v>
      </c>
      <c r="C84" s="49">
        <f>AVERAGE('1.08 Kira Road-Jinja Road-24h'!C84,'3.08 Kira Road-Jinja Road-24h'!C84)</f>
        <v>45</v>
      </c>
      <c r="D84" s="49">
        <f>AVERAGE('1.08 Kira Road-Jinja Road-24h'!D84,'3.08 Kira Road-Jinja Road-24h'!D84)</f>
        <v>22.5</v>
      </c>
      <c r="E84" s="49">
        <f>AVERAGE('1.08 Kira Road-Jinja Road-24h'!E84,'3.08 Kira Road-Jinja Road-24h'!E84)</f>
        <v>2</v>
      </c>
      <c r="F84" s="49">
        <f>AVERAGE('1.08 Kira Road-Jinja Road-24h'!F84,'3.08 Kira Road-Jinja Road-24h'!F84)</f>
        <v>0</v>
      </c>
      <c r="G84" s="49">
        <f>AVERAGE('1.08 Kira Road-Jinja Road-24h'!G84,'3.08 Kira Road-Jinja Road-24h'!G84)</f>
        <v>0</v>
      </c>
      <c r="H84" s="49">
        <f>AVERAGE('1.08 Kira Road-Jinja Road-24h'!H84,'3.08 Kira Road-Jinja Road-24h'!H84)</f>
        <v>0</v>
      </c>
      <c r="I84" s="49">
        <f>AVERAGE('1.08 Kira Road-Jinja Road-24h'!I84,'3.08 Kira Road-Jinja Road-24h'!I84)</f>
        <v>0</v>
      </c>
      <c r="J84" s="49">
        <f>AVERAGE('1.08 Kira Road-Jinja Road-24h'!J84,'3.08 Kira Road-Jinja Road-24h'!J84)</f>
        <v>0.5</v>
      </c>
      <c r="K84" s="49">
        <f>AVERAGE('1.08 Kira Road-Jinja Road-24h'!K84,'3.08 Kira Road-Jinja Road-24h'!K84)</f>
        <v>0</v>
      </c>
      <c r="L84" s="49">
        <f>AVERAGE('1.08 Kira Road-Jinja Road-24h'!L84,'3.08 Kira Road-Jinja Road-24h'!L84)</f>
        <v>0.5</v>
      </c>
      <c r="M84" s="49">
        <f>AVERAGE('1.08 Kira Road-Jinja Road-24h'!M84,'3.08 Kira Road-Jinja Road-24h'!M84)</f>
        <v>18</v>
      </c>
      <c r="N84" s="49">
        <f>AVERAGE('1.08 Kira Road-Jinja Road-24h'!N84,'3.08 Kira Road-Jinja Road-24h'!N84)</f>
        <v>0</v>
      </c>
      <c r="O84" s="15">
        <f t="shared" si="35"/>
        <v>70.5</v>
      </c>
      <c r="P84" s="15">
        <f t="shared" si="36"/>
        <v>88.5</v>
      </c>
      <c r="R84" s="8"/>
      <c r="T84"/>
    </row>
    <row r="85" spans="2:20" ht="23.1" customHeight="1" x14ac:dyDescent="0.25">
      <c r="B85" s="23" t="s">
        <v>125</v>
      </c>
      <c r="C85" s="49">
        <f>AVERAGE('1.08 Kira Road-Jinja Road-24h'!C85,'3.08 Kira Road-Jinja Road-24h'!C85)</f>
        <v>35.5</v>
      </c>
      <c r="D85" s="49">
        <f>AVERAGE('1.08 Kira Road-Jinja Road-24h'!D85,'3.08 Kira Road-Jinja Road-24h'!D85)</f>
        <v>11.5</v>
      </c>
      <c r="E85" s="49">
        <f>AVERAGE('1.08 Kira Road-Jinja Road-24h'!E85,'3.08 Kira Road-Jinja Road-24h'!E85)</f>
        <v>0.5</v>
      </c>
      <c r="F85" s="49">
        <f>AVERAGE('1.08 Kira Road-Jinja Road-24h'!F85,'3.08 Kira Road-Jinja Road-24h'!F85)</f>
        <v>0.5</v>
      </c>
      <c r="G85" s="49">
        <f>AVERAGE('1.08 Kira Road-Jinja Road-24h'!G85,'3.08 Kira Road-Jinja Road-24h'!G85)</f>
        <v>0</v>
      </c>
      <c r="H85" s="49">
        <f>AVERAGE('1.08 Kira Road-Jinja Road-24h'!H85,'3.08 Kira Road-Jinja Road-24h'!H85)</f>
        <v>0</v>
      </c>
      <c r="I85" s="49">
        <f>AVERAGE('1.08 Kira Road-Jinja Road-24h'!I85,'3.08 Kira Road-Jinja Road-24h'!I85)</f>
        <v>0.5</v>
      </c>
      <c r="J85" s="49">
        <f>AVERAGE('1.08 Kira Road-Jinja Road-24h'!J85,'3.08 Kira Road-Jinja Road-24h'!J85)</f>
        <v>0.5</v>
      </c>
      <c r="K85" s="49">
        <f>AVERAGE('1.08 Kira Road-Jinja Road-24h'!K85,'3.08 Kira Road-Jinja Road-24h'!K85)</f>
        <v>0</v>
      </c>
      <c r="L85" s="49">
        <f>AVERAGE('1.08 Kira Road-Jinja Road-24h'!L85,'3.08 Kira Road-Jinja Road-24h'!L85)</f>
        <v>0</v>
      </c>
      <c r="M85" s="49">
        <f>AVERAGE('1.08 Kira Road-Jinja Road-24h'!M85,'3.08 Kira Road-Jinja Road-24h'!M85)</f>
        <v>17</v>
      </c>
      <c r="N85" s="49">
        <f>AVERAGE('1.08 Kira Road-Jinja Road-24h'!N85,'3.08 Kira Road-Jinja Road-24h'!N85)</f>
        <v>0</v>
      </c>
      <c r="O85" s="15">
        <f t="shared" si="35"/>
        <v>49</v>
      </c>
      <c r="P85" s="15">
        <f t="shared" si="36"/>
        <v>66</v>
      </c>
      <c r="R85" s="8"/>
      <c r="T85"/>
    </row>
    <row r="86" spans="2:20" ht="23.1" customHeight="1" x14ac:dyDescent="0.25">
      <c r="B86" s="24" t="s">
        <v>126</v>
      </c>
      <c r="C86" s="49">
        <f>AVERAGE('1.08 Kira Road-Jinja Road-24h'!C86,'3.08 Kira Road-Jinja Road-24h'!C86)</f>
        <v>32</v>
      </c>
      <c r="D86" s="49">
        <f>AVERAGE('1.08 Kira Road-Jinja Road-24h'!D86,'3.08 Kira Road-Jinja Road-24h'!D86)</f>
        <v>15</v>
      </c>
      <c r="E86" s="49">
        <f>AVERAGE('1.08 Kira Road-Jinja Road-24h'!E86,'3.08 Kira Road-Jinja Road-24h'!E86)</f>
        <v>2</v>
      </c>
      <c r="F86" s="49">
        <f>AVERAGE('1.08 Kira Road-Jinja Road-24h'!F86,'3.08 Kira Road-Jinja Road-24h'!F86)</f>
        <v>3</v>
      </c>
      <c r="G86" s="49">
        <f>AVERAGE('1.08 Kira Road-Jinja Road-24h'!G86,'3.08 Kira Road-Jinja Road-24h'!G86)</f>
        <v>0.5</v>
      </c>
      <c r="H86" s="49">
        <f>AVERAGE('1.08 Kira Road-Jinja Road-24h'!H86,'3.08 Kira Road-Jinja Road-24h'!H86)</f>
        <v>0</v>
      </c>
      <c r="I86" s="49">
        <f>AVERAGE('1.08 Kira Road-Jinja Road-24h'!I86,'3.08 Kira Road-Jinja Road-24h'!I86)</f>
        <v>0</v>
      </c>
      <c r="J86" s="49">
        <f>AVERAGE('1.08 Kira Road-Jinja Road-24h'!J86,'3.08 Kira Road-Jinja Road-24h'!J86)</f>
        <v>0</v>
      </c>
      <c r="K86" s="49">
        <f>AVERAGE('1.08 Kira Road-Jinja Road-24h'!K86,'3.08 Kira Road-Jinja Road-24h'!K86)</f>
        <v>0</v>
      </c>
      <c r="L86" s="49">
        <f>AVERAGE('1.08 Kira Road-Jinja Road-24h'!L86,'3.08 Kira Road-Jinja Road-24h'!L86)</f>
        <v>0</v>
      </c>
      <c r="M86" s="49">
        <f>AVERAGE('1.08 Kira Road-Jinja Road-24h'!M86,'3.08 Kira Road-Jinja Road-24h'!M86)</f>
        <v>17.5</v>
      </c>
      <c r="N86" s="49">
        <f>AVERAGE('1.08 Kira Road-Jinja Road-24h'!N86,'3.08 Kira Road-Jinja Road-24h'!N86)</f>
        <v>0</v>
      </c>
      <c r="O86" s="15">
        <f t="shared" si="35"/>
        <v>52.5</v>
      </c>
      <c r="P86" s="15">
        <f t="shared" si="36"/>
        <v>70</v>
      </c>
      <c r="R86" s="8"/>
      <c r="T86"/>
    </row>
    <row r="87" spans="2:20" ht="23.1" customHeight="1" x14ac:dyDescent="0.25">
      <c r="B87" s="23" t="s">
        <v>127</v>
      </c>
      <c r="C87" s="49">
        <f>AVERAGE('1.08 Kira Road-Jinja Road-24h'!C87,'3.08 Kira Road-Jinja Road-24h'!C87)</f>
        <v>37.5</v>
      </c>
      <c r="D87" s="49">
        <f>AVERAGE('1.08 Kira Road-Jinja Road-24h'!D87,'3.08 Kira Road-Jinja Road-24h'!D87)</f>
        <v>9.5</v>
      </c>
      <c r="E87" s="49">
        <f>AVERAGE('1.08 Kira Road-Jinja Road-24h'!E87,'3.08 Kira Road-Jinja Road-24h'!E87)</f>
        <v>0</v>
      </c>
      <c r="F87" s="49">
        <f>AVERAGE('1.08 Kira Road-Jinja Road-24h'!F87,'3.08 Kira Road-Jinja Road-24h'!F87)</f>
        <v>0</v>
      </c>
      <c r="G87" s="49">
        <f>AVERAGE('1.08 Kira Road-Jinja Road-24h'!G87,'3.08 Kira Road-Jinja Road-24h'!G87)</f>
        <v>0</v>
      </c>
      <c r="H87" s="49">
        <f>AVERAGE('1.08 Kira Road-Jinja Road-24h'!H87,'3.08 Kira Road-Jinja Road-24h'!H87)</f>
        <v>0</v>
      </c>
      <c r="I87" s="49">
        <f>AVERAGE('1.08 Kira Road-Jinja Road-24h'!I87,'3.08 Kira Road-Jinja Road-24h'!I87)</f>
        <v>0</v>
      </c>
      <c r="J87" s="49">
        <f>AVERAGE('1.08 Kira Road-Jinja Road-24h'!J87,'3.08 Kira Road-Jinja Road-24h'!J87)</f>
        <v>0</v>
      </c>
      <c r="K87" s="49">
        <f>AVERAGE('1.08 Kira Road-Jinja Road-24h'!K87,'3.08 Kira Road-Jinja Road-24h'!K87)</f>
        <v>0</v>
      </c>
      <c r="L87" s="49">
        <f>AVERAGE('1.08 Kira Road-Jinja Road-24h'!L87,'3.08 Kira Road-Jinja Road-24h'!L87)</f>
        <v>0</v>
      </c>
      <c r="M87" s="49">
        <f>AVERAGE('1.08 Kira Road-Jinja Road-24h'!M87,'3.08 Kira Road-Jinja Road-24h'!M87)</f>
        <v>21</v>
      </c>
      <c r="N87" s="49">
        <f>AVERAGE('1.08 Kira Road-Jinja Road-24h'!N87,'3.08 Kira Road-Jinja Road-24h'!N87)</f>
        <v>0</v>
      </c>
      <c r="O87" s="15">
        <f t="shared" si="35"/>
        <v>47</v>
      </c>
      <c r="P87" s="15">
        <f t="shared" si="36"/>
        <v>68</v>
      </c>
      <c r="R87" s="8"/>
      <c r="T87"/>
    </row>
    <row r="88" spans="2:20" ht="23.1" customHeight="1" x14ac:dyDescent="0.25">
      <c r="B88" s="25" t="s">
        <v>128</v>
      </c>
      <c r="C88" s="49">
        <f>AVERAGE('1.08 Kira Road-Jinja Road-24h'!C88,'3.08 Kira Road-Jinja Road-24h'!C88)</f>
        <v>22.5</v>
      </c>
      <c r="D88" s="49">
        <f>AVERAGE('1.08 Kira Road-Jinja Road-24h'!D88,'3.08 Kira Road-Jinja Road-24h'!D88)</f>
        <v>10.5</v>
      </c>
      <c r="E88" s="49">
        <f>AVERAGE('1.08 Kira Road-Jinja Road-24h'!E88,'3.08 Kira Road-Jinja Road-24h'!E88)</f>
        <v>0.5</v>
      </c>
      <c r="F88" s="49">
        <f>AVERAGE('1.08 Kira Road-Jinja Road-24h'!F88,'3.08 Kira Road-Jinja Road-24h'!F88)</f>
        <v>1</v>
      </c>
      <c r="G88" s="49">
        <f>AVERAGE('1.08 Kira Road-Jinja Road-24h'!G88,'3.08 Kira Road-Jinja Road-24h'!G88)</f>
        <v>0</v>
      </c>
      <c r="H88" s="49">
        <f>AVERAGE('1.08 Kira Road-Jinja Road-24h'!H88,'3.08 Kira Road-Jinja Road-24h'!H88)</f>
        <v>0</v>
      </c>
      <c r="I88" s="49">
        <f>AVERAGE('1.08 Kira Road-Jinja Road-24h'!I88,'3.08 Kira Road-Jinja Road-24h'!I88)</f>
        <v>0</v>
      </c>
      <c r="J88" s="49">
        <f>AVERAGE('1.08 Kira Road-Jinja Road-24h'!J88,'3.08 Kira Road-Jinja Road-24h'!J88)</f>
        <v>0</v>
      </c>
      <c r="K88" s="49">
        <f>AVERAGE('1.08 Kira Road-Jinja Road-24h'!K88,'3.08 Kira Road-Jinja Road-24h'!K88)</f>
        <v>0</v>
      </c>
      <c r="L88" s="49">
        <f>AVERAGE('1.08 Kira Road-Jinja Road-24h'!L88,'3.08 Kira Road-Jinja Road-24h'!L88)</f>
        <v>0</v>
      </c>
      <c r="M88" s="49">
        <f>AVERAGE('1.08 Kira Road-Jinja Road-24h'!M88,'3.08 Kira Road-Jinja Road-24h'!M88)</f>
        <v>20</v>
      </c>
      <c r="N88" s="49">
        <f>AVERAGE('1.08 Kira Road-Jinja Road-24h'!N88,'3.08 Kira Road-Jinja Road-24h'!N88)</f>
        <v>0</v>
      </c>
      <c r="O88" s="15">
        <f t="shared" si="35"/>
        <v>34.5</v>
      </c>
      <c r="P88" s="15">
        <f t="shared" si="36"/>
        <v>54.5</v>
      </c>
      <c r="R88" s="8"/>
      <c r="T88"/>
    </row>
    <row r="89" spans="2:20" ht="23.1" customHeight="1" x14ac:dyDescent="0.25">
      <c r="B89" s="23" t="s">
        <v>129</v>
      </c>
      <c r="C89" s="49">
        <f>AVERAGE('1.08 Kira Road-Jinja Road-24h'!C89,'3.08 Kira Road-Jinja Road-24h'!C89)</f>
        <v>20.5</v>
      </c>
      <c r="D89" s="49">
        <f>AVERAGE('1.08 Kira Road-Jinja Road-24h'!D89,'3.08 Kira Road-Jinja Road-24h'!D89)</f>
        <v>8.5</v>
      </c>
      <c r="E89" s="49">
        <f>AVERAGE('1.08 Kira Road-Jinja Road-24h'!E89,'3.08 Kira Road-Jinja Road-24h'!E89)</f>
        <v>1</v>
      </c>
      <c r="F89" s="49">
        <f>AVERAGE('1.08 Kira Road-Jinja Road-24h'!F89,'3.08 Kira Road-Jinja Road-24h'!F89)</f>
        <v>0</v>
      </c>
      <c r="G89" s="49">
        <f>AVERAGE('1.08 Kira Road-Jinja Road-24h'!G89,'3.08 Kira Road-Jinja Road-24h'!G89)</f>
        <v>0</v>
      </c>
      <c r="H89" s="49">
        <f>AVERAGE('1.08 Kira Road-Jinja Road-24h'!H89,'3.08 Kira Road-Jinja Road-24h'!H89)</f>
        <v>0</v>
      </c>
      <c r="I89" s="49">
        <f>AVERAGE('1.08 Kira Road-Jinja Road-24h'!I89,'3.08 Kira Road-Jinja Road-24h'!I89)</f>
        <v>0.5</v>
      </c>
      <c r="J89" s="49">
        <f>AVERAGE('1.08 Kira Road-Jinja Road-24h'!J89,'3.08 Kira Road-Jinja Road-24h'!J89)</f>
        <v>0</v>
      </c>
      <c r="K89" s="49">
        <f>AVERAGE('1.08 Kira Road-Jinja Road-24h'!K89,'3.08 Kira Road-Jinja Road-24h'!K89)</f>
        <v>0</v>
      </c>
      <c r="L89" s="49">
        <f>AVERAGE('1.08 Kira Road-Jinja Road-24h'!L89,'3.08 Kira Road-Jinja Road-24h'!L89)</f>
        <v>0</v>
      </c>
      <c r="M89" s="49">
        <f>AVERAGE('1.08 Kira Road-Jinja Road-24h'!M89,'3.08 Kira Road-Jinja Road-24h'!M89)</f>
        <v>13.5</v>
      </c>
      <c r="N89" s="49">
        <f>AVERAGE('1.08 Kira Road-Jinja Road-24h'!N89,'3.08 Kira Road-Jinja Road-24h'!N89)</f>
        <v>0</v>
      </c>
      <c r="O89" s="15">
        <f t="shared" si="35"/>
        <v>30.5</v>
      </c>
      <c r="P89" s="15">
        <f t="shared" si="36"/>
        <v>44</v>
      </c>
      <c r="R89" s="8"/>
      <c r="T89"/>
    </row>
    <row r="90" spans="2:20" ht="23.1" customHeight="1" x14ac:dyDescent="0.25">
      <c r="B90" s="24" t="s">
        <v>130</v>
      </c>
      <c r="C90" s="49">
        <f>AVERAGE('1.08 Kira Road-Jinja Road-24h'!C90,'3.08 Kira Road-Jinja Road-24h'!C90)</f>
        <v>19.5</v>
      </c>
      <c r="D90" s="49">
        <f>AVERAGE('1.08 Kira Road-Jinja Road-24h'!D90,'3.08 Kira Road-Jinja Road-24h'!D90)</f>
        <v>5</v>
      </c>
      <c r="E90" s="49">
        <f>AVERAGE('1.08 Kira Road-Jinja Road-24h'!E90,'3.08 Kira Road-Jinja Road-24h'!E90)</f>
        <v>0</v>
      </c>
      <c r="F90" s="49">
        <f>AVERAGE('1.08 Kira Road-Jinja Road-24h'!F90,'3.08 Kira Road-Jinja Road-24h'!F90)</f>
        <v>0.5</v>
      </c>
      <c r="G90" s="49">
        <f>AVERAGE('1.08 Kira Road-Jinja Road-24h'!G90,'3.08 Kira Road-Jinja Road-24h'!G90)</f>
        <v>0</v>
      </c>
      <c r="H90" s="49">
        <f>AVERAGE('1.08 Kira Road-Jinja Road-24h'!H90,'3.08 Kira Road-Jinja Road-24h'!H90)</f>
        <v>0</v>
      </c>
      <c r="I90" s="49">
        <f>AVERAGE('1.08 Kira Road-Jinja Road-24h'!I90,'3.08 Kira Road-Jinja Road-24h'!I90)</f>
        <v>0.5</v>
      </c>
      <c r="J90" s="49">
        <f>AVERAGE('1.08 Kira Road-Jinja Road-24h'!J90,'3.08 Kira Road-Jinja Road-24h'!J90)</f>
        <v>0.5</v>
      </c>
      <c r="K90" s="49">
        <f>AVERAGE('1.08 Kira Road-Jinja Road-24h'!K90,'3.08 Kira Road-Jinja Road-24h'!K90)</f>
        <v>0</v>
      </c>
      <c r="L90" s="49">
        <f>AVERAGE('1.08 Kira Road-Jinja Road-24h'!L90,'3.08 Kira Road-Jinja Road-24h'!L90)</f>
        <v>0</v>
      </c>
      <c r="M90" s="49">
        <f>AVERAGE('1.08 Kira Road-Jinja Road-24h'!M90,'3.08 Kira Road-Jinja Road-24h'!M90)</f>
        <v>13</v>
      </c>
      <c r="N90" s="49">
        <f>AVERAGE('1.08 Kira Road-Jinja Road-24h'!N90,'3.08 Kira Road-Jinja Road-24h'!N90)</f>
        <v>0</v>
      </c>
      <c r="O90" s="15">
        <f t="shared" si="35"/>
        <v>26</v>
      </c>
      <c r="P90" s="15">
        <f t="shared" si="36"/>
        <v>39</v>
      </c>
      <c r="R90" s="8"/>
      <c r="T90"/>
    </row>
    <row r="91" spans="2:20" ht="23.1" customHeight="1" x14ac:dyDescent="0.25">
      <c r="B91" s="23" t="s">
        <v>131</v>
      </c>
      <c r="C91" s="49">
        <f>AVERAGE('1.08 Kira Road-Jinja Road-24h'!C91,'3.08 Kira Road-Jinja Road-24h'!C91)</f>
        <v>24</v>
      </c>
      <c r="D91" s="49">
        <f>AVERAGE('1.08 Kira Road-Jinja Road-24h'!D91,'3.08 Kira Road-Jinja Road-24h'!D91)</f>
        <v>12</v>
      </c>
      <c r="E91" s="49">
        <f>AVERAGE('1.08 Kira Road-Jinja Road-24h'!E91,'3.08 Kira Road-Jinja Road-24h'!E91)</f>
        <v>0.5</v>
      </c>
      <c r="F91" s="49">
        <f>AVERAGE('1.08 Kira Road-Jinja Road-24h'!F91,'3.08 Kira Road-Jinja Road-24h'!F91)</f>
        <v>1.5</v>
      </c>
      <c r="G91" s="49">
        <f>AVERAGE('1.08 Kira Road-Jinja Road-24h'!G91,'3.08 Kira Road-Jinja Road-24h'!G91)</f>
        <v>0</v>
      </c>
      <c r="H91" s="49">
        <f>AVERAGE('1.08 Kira Road-Jinja Road-24h'!H91,'3.08 Kira Road-Jinja Road-24h'!H91)</f>
        <v>0</v>
      </c>
      <c r="I91" s="49">
        <f>AVERAGE('1.08 Kira Road-Jinja Road-24h'!I91,'3.08 Kira Road-Jinja Road-24h'!I91)</f>
        <v>0</v>
      </c>
      <c r="J91" s="49">
        <f>AVERAGE('1.08 Kira Road-Jinja Road-24h'!J91,'3.08 Kira Road-Jinja Road-24h'!J91)</f>
        <v>0</v>
      </c>
      <c r="K91" s="49">
        <f>AVERAGE('1.08 Kira Road-Jinja Road-24h'!K91,'3.08 Kira Road-Jinja Road-24h'!K91)</f>
        <v>0</v>
      </c>
      <c r="L91" s="49">
        <f>AVERAGE('1.08 Kira Road-Jinja Road-24h'!L91,'3.08 Kira Road-Jinja Road-24h'!L91)</f>
        <v>0</v>
      </c>
      <c r="M91" s="49">
        <f>AVERAGE('1.08 Kira Road-Jinja Road-24h'!M91,'3.08 Kira Road-Jinja Road-24h'!M91)</f>
        <v>8</v>
      </c>
      <c r="N91" s="49">
        <f>AVERAGE('1.08 Kira Road-Jinja Road-24h'!N91,'3.08 Kira Road-Jinja Road-24h'!N91)</f>
        <v>0</v>
      </c>
      <c r="O91" s="15">
        <f t="shared" si="35"/>
        <v>38</v>
      </c>
      <c r="P91" s="15">
        <f t="shared" si="36"/>
        <v>46</v>
      </c>
      <c r="R91" s="8"/>
      <c r="T91"/>
    </row>
    <row r="92" spans="2:20" ht="23.1" customHeight="1" x14ac:dyDescent="0.25">
      <c r="B92" s="25" t="s">
        <v>132</v>
      </c>
      <c r="C92" s="49">
        <f>AVERAGE('1.08 Kira Road-Jinja Road-24h'!C92,'3.08 Kira Road-Jinja Road-24h'!C92)</f>
        <v>23.5</v>
      </c>
      <c r="D92" s="49">
        <f>AVERAGE('1.08 Kira Road-Jinja Road-24h'!D92,'3.08 Kira Road-Jinja Road-24h'!D92)</f>
        <v>9.5</v>
      </c>
      <c r="E92" s="49">
        <f>AVERAGE('1.08 Kira Road-Jinja Road-24h'!E92,'3.08 Kira Road-Jinja Road-24h'!E92)</f>
        <v>1.5</v>
      </c>
      <c r="F92" s="49">
        <f>AVERAGE('1.08 Kira Road-Jinja Road-24h'!F92,'3.08 Kira Road-Jinja Road-24h'!F92)</f>
        <v>1</v>
      </c>
      <c r="G92" s="49">
        <f>AVERAGE('1.08 Kira Road-Jinja Road-24h'!G92,'3.08 Kira Road-Jinja Road-24h'!G92)</f>
        <v>0</v>
      </c>
      <c r="H92" s="49">
        <f>AVERAGE('1.08 Kira Road-Jinja Road-24h'!H92,'3.08 Kira Road-Jinja Road-24h'!H92)</f>
        <v>0</v>
      </c>
      <c r="I92" s="49">
        <f>AVERAGE('1.08 Kira Road-Jinja Road-24h'!I92,'3.08 Kira Road-Jinja Road-24h'!I92)</f>
        <v>0</v>
      </c>
      <c r="J92" s="49">
        <f>AVERAGE('1.08 Kira Road-Jinja Road-24h'!J92,'3.08 Kira Road-Jinja Road-24h'!J92)</f>
        <v>0</v>
      </c>
      <c r="K92" s="49">
        <f>AVERAGE('1.08 Kira Road-Jinja Road-24h'!K92,'3.08 Kira Road-Jinja Road-24h'!K92)</f>
        <v>0</v>
      </c>
      <c r="L92" s="49">
        <f>AVERAGE('1.08 Kira Road-Jinja Road-24h'!L92,'3.08 Kira Road-Jinja Road-24h'!L92)</f>
        <v>0</v>
      </c>
      <c r="M92" s="49">
        <f>AVERAGE('1.08 Kira Road-Jinja Road-24h'!M92,'3.08 Kira Road-Jinja Road-24h'!M92)</f>
        <v>9</v>
      </c>
      <c r="N92" s="49">
        <f>AVERAGE('1.08 Kira Road-Jinja Road-24h'!N92,'3.08 Kira Road-Jinja Road-24h'!N92)</f>
        <v>0</v>
      </c>
      <c r="O92" s="15">
        <f t="shared" si="35"/>
        <v>35.5</v>
      </c>
      <c r="P92" s="15">
        <f t="shared" si="36"/>
        <v>44.5</v>
      </c>
      <c r="R92" s="8"/>
      <c r="T92"/>
    </row>
    <row r="93" spans="2:20" ht="23.1" customHeight="1" x14ac:dyDescent="0.25">
      <c r="B93" s="23" t="s">
        <v>133</v>
      </c>
      <c r="C93" s="49">
        <f>AVERAGE('1.08 Kira Road-Jinja Road-24h'!C93,'3.08 Kira Road-Jinja Road-24h'!C93)</f>
        <v>22</v>
      </c>
      <c r="D93" s="49">
        <f>AVERAGE('1.08 Kira Road-Jinja Road-24h'!D93,'3.08 Kira Road-Jinja Road-24h'!D93)</f>
        <v>6.5</v>
      </c>
      <c r="E93" s="49">
        <f>AVERAGE('1.08 Kira Road-Jinja Road-24h'!E93,'3.08 Kira Road-Jinja Road-24h'!E93)</f>
        <v>0</v>
      </c>
      <c r="F93" s="49">
        <f>AVERAGE('1.08 Kira Road-Jinja Road-24h'!F93,'3.08 Kira Road-Jinja Road-24h'!F93)</f>
        <v>1</v>
      </c>
      <c r="G93" s="49">
        <f>AVERAGE('1.08 Kira Road-Jinja Road-24h'!G93,'3.08 Kira Road-Jinja Road-24h'!G93)</f>
        <v>0</v>
      </c>
      <c r="H93" s="49">
        <f>AVERAGE('1.08 Kira Road-Jinja Road-24h'!H93,'3.08 Kira Road-Jinja Road-24h'!H93)</f>
        <v>0</v>
      </c>
      <c r="I93" s="49">
        <f>AVERAGE('1.08 Kira Road-Jinja Road-24h'!I93,'3.08 Kira Road-Jinja Road-24h'!I93)</f>
        <v>0</v>
      </c>
      <c r="J93" s="49">
        <f>AVERAGE('1.08 Kira Road-Jinja Road-24h'!J93,'3.08 Kira Road-Jinja Road-24h'!J93)</f>
        <v>0.5</v>
      </c>
      <c r="K93" s="49">
        <f>AVERAGE('1.08 Kira Road-Jinja Road-24h'!K93,'3.08 Kira Road-Jinja Road-24h'!K93)</f>
        <v>0</v>
      </c>
      <c r="L93" s="49">
        <f>AVERAGE('1.08 Kira Road-Jinja Road-24h'!L93,'3.08 Kira Road-Jinja Road-24h'!L93)</f>
        <v>0</v>
      </c>
      <c r="M93" s="49">
        <f>AVERAGE('1.08 Kira Road-Jinja Road-24h'!M93,'3.08 Kira Road-Jinja Road-24h'!M93)</f>
        <v>14</v>
      </c>
      <c r="N93" s="49">
        <f>AVERAGE('1.08 Kira Road-Jinja Road-24h'!N93,'3.08 Kira Road-Jinja Road-24h'!N93)</f>
        <v>0</v>
      </c>
      <c r="O93" s="15">
        <f t="shared" si="35"/>
        <v>30</v>
      </c>
      <c r="P93" s="15">
        <f t="shared" si="36"/>
        <v>44</v>
      </c>
      <c r="R93" s="8"/>
      <c r="T93"/>
    </row>
    <row r="94" spans="2:20" ht="23.1" customHeight="1" x14ac:dyDescent="0.25">
      <c r="B94" s="24" t="s">
        <v>134</v>
      </c>
      <c r="C94" s="49">
        <f>AVERAGE('1.08 Kira Road-Jinja Road-24h'!C94,'3.08 Kira Road-Jinja Road-24h'!C94)</f>
        <v>18</v>
      </c>
      <c r="D94" s="49">
        <f>AVERAGE('1.08 Kira Road-Jinja Road-24h'!D94,'3.08 Kira Road-Jinja Road-24h'!D94)</f>
        <v>9.5</v>
      </c>
      <c r="E94" s="49">
        <f>AVERAGE('1.08 Kira Road-Jinja Road-24h'!E94,'3.08 Kira Road-Jinja Road-24h'!E94)</f>
        <v>1.5</v>
      </c>
      <c r="F94" s="49">
        <f>AVERAGE('1.08 Kira Road-Jinja Road-24h'!F94,'3.08 Kira Road-Jinja Road-24h'!F94)</f>
        <v>0.5</v>
      </c>
      <c r="G94" s="49">
        <f>AVERAGE('1.08 Kira Road-Jinja Road-24h'!G94,'3.08 Kira Road-Jinja Road-24h'!G94)</f>
        <v>0</v>
      </c>
      <c r="H94" s="49">
        <f>AVERAGE('1.08 Kira Road-Jinja Road-24h'!H94,'3.08 Kira Road-Jinja Road-24h'!H94)</f>
        <v>0</v>
      </c>
      <c r="I94" s="49">
        <f>AVERAGE('1.08 Kira Road-Jinja Road-24h'!I94,'3.08 Kira Road-Jinja Road-24h'!I94)</f>
        <v>0</v>
      </c>
      <c r="J94" s="49">
        <f>AVERAGE('1.08 Kira Road-Jinja Road-24h'!J94,'3.08 Kira Road-Jinja Road-24h'!J94)</f>
        <v>0</v>
      </c>
      <c r="K94" s="49">
        <f>AVERAGE('1.08 Kira Road-Jinja Road-24h'!K94,'3.08 Kira Road-Jinja Road-24h'!K94)</f>
        <v>0</v>
      </c>
      <c r="L94" s="49">
        <f>AVERAGE('1.08 Kira Road-Jinja Road-24h'!L94,'3.08 Kira Road-Jinja Road-24h'!L94)</f>
        <v>0</v>
      </c>
      <c r="M94" s="49">
        <f>AVERAGE('1.08 Kira Road-Jinja Road-24h'!M94,'3.08 Kira Road-Jinja Road-24h'!M94)</f>
        <v>18</v>
      </c>
      <c r="N94" s="49">
        <f>AVERAGE('1.08 Kira Road-Jinja Road-24h'!N94,'3.08 Kira Road-Jinja Road-24h'!N94)</f>
        <v>0</v>
      </c>
      <c r="O94" s="15">
        <f t="shared" si="35"/>
        <v>29.5</v>
      </c>
      <c r="P94" s="15">
        <f t="shared" si="36"/>
        <v>47.5</v>
      </c>
      <c r="R94" s="8"/>
      <c r="T94"/>
    </row>
    <row r="95" spans="2:20" ht="23.1" customHeight="1" x14ac:dyDescent="0.25">
      <c r="B95" s="23" t="s">
        <v>135</v>
      </c>
      <c r="C95" s="49">
        <f>AVERAGE('1.08 Kira Road-Jinja Road-24h'!C95,'3.08 Kira Road-Jinja Road-24h'!C95)</f>
        <v>14</v>
      </c>
      <c r="D95" s="49">
        <f>AVERAGE('1.08 Kira Road-Jinja Road-24h'!D95,'3.08 Kira Road-Jinja Road-24h'!D95)</f>
        <v>4.5</v>
      </c>
      <c r="E95" s="49">
        <f>AVERAGE('1.08 Kira Road-Jinja Road-24h'!E95,'3.08 Kira Road-Jinja Road-24h'!E95)</f>
        <v>1.5</v>
      </c>
      <c r="F95" s="49">
        <f>AVERAGE('1.08 Kira Road-Jinja Road-24h'!F95,'3.08 Kira Road-Jinja Road-24h'!F95)</f>
        <v>0</v>
      </c>
      <c r="G95" s="49">
        <f>AVERAGE('1.08 Kira Road-Jinja Road-24h'!G95,'3.08 Kira Road-Jinja Road-24h'!G95)</f>
        <v>0</v>
      </c>
      <c r="H95" s="49">
        <f>AVERAGE('1.08 Kira Road-Jinja Road-24h'!H95,'3.08 Kira Road-Jinja Road-24h'!H95)</f>
        <v>0</v>
      </c>
      <c r="I95" s="49">
        <f>AVERAGE('1.08 Kira Road-Jinja Road-24h'!I95,'3.08 Kira Road-Jinja Road-24h'!I95)</f>
        <v>0.5</v>
      </c>
      <c r="J95" s="49">
        <f>AVERAGE('1.08 Kira Road-Jinja Road-24h'!J95,'3.08 Kira Road-Jinja Road-24h'!J95)</f>
        <v>0</v>
      </c>
      <c r="K95" s="49">
        <f>AVERAGE('1.08 Kira Road-Jinja Road-24h'!K95,'3.08 Kira Road-Jinja Road-24h'!K95)</f>
        <v>0</v>
      </c>
      <c r="L95" s="49">
        <f>AVERAGE('1.08 Kira Road-Jinja Road-24h'!L95,'3.08 Kira Road-Jinja Road-24h'!L95)</f>
        <v>0</v>
      </c>
      <c r="M95" s="49">
        <f>AVERAGE('1.08 Kira Road-Jinja Road-24h'!M95,'3.08 Kira Road-Jinja Road-24h'!M95)</f>
        <v>13.5</v>
      </c>
      <c r="N95" s="49">
        <f>AVERAGE('1.08 Kira Road-Jinja Road-24h'!N95,'3.08 Kira Road-Jinja Road-24h'!N95)</f>
        <v>0</v>
      </c>
      <c r="O95" s="15">
        <f t="shared" si="35"/>
        <v>20.5</v>
      </c>
      <c r="P95" s="15">
        <f t="shared" si="36"/>
        <v>34</v>
      </c>
      <c r="R95" s="8"/>
      <c r="T95"/>
    </row>
    <row r="96" spans="2:20" ht="23.1" customHeight="1" x14ac:dyDescent="0.25">
      <c r="B96" s="25" t="s">
        <v>136</v>
      </c>
      <c r="C96" s="49">
        <f>AVERAGE('1.08 Kira Road-Jinja Road-24h'!C96,'3.08 Kira Road-Jinja Road-24h'!C96)</f>
        <v>13</v>
      </c>
      <c r="D96" s="49">
        <f>AVERAGE('1.08 Kira Road-Jinja Road-24h'!D96,'3.08 Kira Road-Jinja Road-24h'!D96)</f>
        <v>6.5</v>
      </c>
      <c r="E96" s="49">
        <f>AVERAGE('1.08 Kira Road-Jinja Road-24h'!E96,'3.08 Kira Road-Jinja Road-24h'!E96)</f>
        <v>0</v>
      </c>
      <c r="F96" s="49">
        <f>AVERAGE('1.08 Kira Road-Jinja Road-24h'!F96,'3.08 Kira Road-Jinja Road-24h'!F96)</f>
        <v>0.5</v>
      </c>
      <c r="G96" s="49">
        <f>AVERAGE('1.08 Kira Road-Jinja Road-24h'!G96,'3.08 Kira Road-Jinja Road-24h'!G96)</f>
        <v>0</v>
      </c>
      <c r="H96" s="49">
        <f>AVERAGE('1.08 Kira Road-Jinja Road-24h'!H96,'3.08 Kira Road-Jinja Road-24h'!H96)</f>
        <v>0</v>
      </c>
      <c r="I96" s="49">
        <f>AVERAGE('1.08 Kira Road-Jinja Road-24h'!I96,'3.08 Kira Road-Jinja Road-24h'!I96)</f>
        <v>0.5</v>
      </c>
      <c r="J96" s="49">
        <f>AVERAGE('1.08 Kira Road-Jinja Road-24h'!J96,'3.08 Kira Road-Jinja Road-24h'!J96)</f>
        <v>0.5</v>
      </c>
      <c r="K96" s="49">
        <f>AVERAGE('1.08 Kira Road-Jinja Road-24h'!K96,'3.08 Kira Road-Jinja Road-24h'!K96)</f>
        <v>0</v>
      </c>
      <c r="L96" s="49">
        <f>AVERAGE('1.08 Kira Road-Jinja Road-24h'!L96,'3.08 Kira Road-Jinja Road-24h'!L96)</f>
        <v>0</v>
      </c>
      <c r="M96" s="49">
        <f>AVERAGE('1.08 Kira Road-Jinja Road-24h'!M96,'3.08 Kira Road-Jinja Road-24h'!M96)</f>
        <v>11.5</v>
      </c>
      <c r="N96" s="49">
        <f>AVERAGE('1.08 Kira Road-Jinja Road-24h'!N96,'3.08 Kira Road-Jinja Road-24h'!N96)</f>
        <v>0</v>
      </c>
      <c r="O96" s="15">
        <f t="shared" si="35"/>
        <v>21</v>
      </c>
      <c r="P96" s="15">
        <f t="shared" si="36"/>
        <v>32.5</v>
      </c>
      <c r="R96" s="8"/>
      <c r="T96"/>
    </row>
    <row r="97" spans="2:20" ht="23.1" customHeight="1" x14ac:dyDescent="0.25">
      <c r="B97" s="23" t="s">
        <v>137</v>
      </c>
      <c r="C97" s="49">
        <f>AVERAGE('1.08 Kira Road-Jinja Road-24h'!C97,'3.08 Kira Road-Jinja Road-24h'!C97)</f>
        <v>17.5</v>
      </c>
      <c r="D97" s="49">
        <f>AVERAGE('1.08 Kira Road-Jinja Road-24h'!D97,'3.08 Kira Road-Jinja Road-24h'!D97)</f>
        <v>12.5</v>
      </c>
      <c r="E97" s="49">
        <f>AVERAGE('1.08 Kira Road-Jinja Road-24h'!E97,'3.08 Kira Road-Jinja Road-24h'!E97)</f>
        <v>2</v>
      </c>
      <c r="F97" s="49">
        <f>AVERAGE('1.08 Kira Road-Jinja Road-24h'!F97,'3.08 Kira Road-Jinja Road-24h'!F97)</f>
        <v>0</v>
      </c>
      <c r="G97" s="49">
        <f>AVERAGE('1.08 Kira Road-Jinja Road-24h'!G97,'3.08 Kira Road-Jinja Road-24h'!G97)</f>
        <v>0</v>
      </c>
      <c r="H97" s="49">
        <f>AVERAGE('1.08 Kira Road-Jinja Road-24h'!H97,'3.08 Kira Road-Jinja Road-24h'!H97)</f>
        <v>0</v>
      </c>
      <c r="I97" s="49">
        <f>AVERAGE('1.08 Kira Road-Jinja Road-24h'!I97,'3.08 Kira Road-Jinja Road-24h'!I97)</f>
        <v>0</v>
      </c>
      <c r="J97" s="49">
        <f>AVERAGE('1.08 Kira Road-Jinja Road-24h'!J97,'3.08 Kira Road-Jinja Road-24h'!J97)</f>
        <v>1</v>
      </c>
      <c r="K97" s="49">
        <f>AVERAGE('1.08 Kira Road-Jinja Road-24h'!K97,'3.08 Kira Road-Jinja Road-24h'!K97)</f>
        <v>0</v>
      </c>
      <c r="L97" s="49">
        <f>AVERAGE('1.08 Kira Road-Jinja Road-24h'!L97,'3.08 Kira Road-Jinja Road-24h'!L97)</f>
        <v>0</v>
      </c>
      <c r="M97" s="49">
        <f>AVERAGE('1.08 Kira Road-Jinja Road-24h'!M97,'3.08 Kira Road-Jinja Road-24h'!M97)</f>
        <v>11</v>
      </c>
      <c r="N97" s="49">
        <f>AVERAGE('1.08 Kira Road-Jinja Road-24h'!N97,'3.08 Kira Road-Jinja Road-24h'!N97)</f>
        <v>0</v>
      </c>
      <c r="O97" s="15">
        <f t="shared" si="35"/>
        <v>33</v>
      </c>
      <c r="P97" s="15">
        <f t="shared" si="36"/>
        <v>44</v>
      </c>
      <c r="R97" s="8"/>
      <c r="T97"/>
    </row>
    <row r="98" spans="2:20" ht="23.1" customHeight="1" x14ac:dyDescent="0.25">
      <c r="B98" s="24" t="s">
        <v>138</v>
      </c>
      <c r="C98" s="49">
        <f>AVERAGE('1.08 Kira Road-Jinja Road-24h'!C98,'3.08 Kira Road-Jinja Road-24h'!C98)</f>
        <v>11</v>
      </c>
      <c r="D98" s="49">
        <f>AVERAGE('1.08 Kira Road-Jinja Road-24h'!D98,'3.08 Kira Road-Jinja Road-24h'!D98)</f>
        <v>9</v>
      </c>
      <c r="E98" s="49">
        <f>AVERAGE('1.08 Kira Road-Jinja Road-24h'!E98,'3.08 Kira Road-Jinja Road-24h'!E98)</f>
        <v>0</v>
      </c>
      <c r="F98" s="49">
        <f>AVERAGE('1.08 Kira Road-Jinja Road-24h'!F98,'3.08 Kira Road-Jinja Road-24h'!F98)</f>
        <v>0</v>
      </c>
      <c r="G98" s="49">
        <f>AVERAGE('1.08 Kira Road-Jinja Road-24h'!G98,'3.08 Kira Road-Jinja Road-24h'!G98)</f>
        <v>0</v>
      </c>
      <c r="H98" s="49">
        <f>AVERAGE('1.08 Kira Road-Jinja Road-24h'!H98,'3.08 Kira Road-Jinja Road-24h'!H98)</f>
        <v>0</v>
      </c>
      <c r="I98" s="49">
        <f>AVERAGE('1.08 Kira Road-Jinja Road-24h'!I98,'3.08 Kira Road-Jinja Road-24h'!I98)</f>
        <v>0</v>
      </c>
      <c r="J98" s="49">
        <f>AVERAGE('1.08 Kira Road-Jinja Road-24h'!J98,'3.08 Kira Road-Jinja Road-24h'!J98)</f>
        <v>0</v>
      </c>
      <c r="K98" s="49">
        <f>AVERAGE('1.08 Kira Road-Jinja Road-24h'!K98,'3.08 Kira Road-Jinja Road-24h'!K98)</f>
        <v>0</v>
      </c>
      <c r="L98" s="49">
        <f>AVERAGE('1.08 Kira Road-Jinja Road-24h'!L98,'3.08 Kira Road-Jinja Road-24h'!L98)</f>
        <v>0</v>
      </c>
      <c r="M98" s="49">
        <f>AVERAGE('1.08 Kira Road-Jinja Road-24h'!M98,'3.08 Kira Road-Jinja Road-24h'!M98)</f>
        <v>17</v>
      </c>
      <c r="N98" s="49">
        <f>AVERAGE('1.08 Kira Road-Jinja Road-24h'!N98,'3.08 Kira Road-Jinja Road-24h'!N98)</f>
        <v>0</v>
      </c>
      <c r="O98" s="15">
        <f t="shared" si="35"/>
        <v>20</v>
      </c>
      <c r="P98" s="15">
        <f t="shared" si="36"/>
        <v>37</v>
      </c>
      <c r="R98" s="8"/>
      <c r="T98"/>
    </row>
    <row r="99" spans="2:20" ht="23.1" customHeight="1" x14ac:dyDescent="0.25">
      <c r="B99" s="23" t="s">
        <v>139</v>
      </c>
      <c r="C99" s="49">
        <f>AVERAGE('1.08 Kira Road-Jinja Road-24h'!C99,'3.08 Kira Road-Jinja Road-24h'!C99)</f>
        <v>11</v>
      </c>
      <c r="D99" s="49">
        <f>AVERAGE('1.08 Kira Road-Jinja Road-24h'!D99,'3.08 Kira Road-Jinja Road-24h'!D99)</f>
        <v>6</v>
      </c>
      <c r="E99" s="49">
        <f>AVERAGE('1.08 Kira Road-Jinja Road-24h'!E99,'3.08 Kira Road-Jinja Road-24h'!E99)</f>
        <v>0.5</v>
      </c>
      <c r="F99" s="49">
        <f>AVERAGE('1.08 Kira Road-Jinja Road-24h'!F99,'3.08 Kira Road-Jinja Road-24h'!F99)</f>
        <v>0</v>
      </c>
      <c r="G99" s="49">
        <f>AVERAGE('1.08 Kira Road-Jinja Road-24h'!G99,'3.08 Kira Road-Jinja Road-24h'!G99)</f>
        <v>0</v>
      </c>
      <c r="H99" s="49">
        <f>AVERAGE('1.08 Kira Road-Jinja Road-24h'!H99,'3.08 Kira Road-Jinja Road-24h'!H99)</f>
        <v>0</v>
      </c>
      <c r="I99" s="49">
        <f>AVERAGE('1.08 Kira Road-Jinja Road-24h'!I99,'3.08 Kira Road-Jinja Road-24h'!I99)</f>
        <v>0</v>
      </c>
      <c r="J99" s="49">
        <f>AVERAGE('1.08 Kira Road-Jinja Road-24h'!J99,'3.08 Kira Road-Jinja Road-24h'!J99)</f>
        <v>0</v>
      </c>
      <c r="K99" s="49">
        <f>AVERAGE('1.08 Kira Road-Jinja Road-24h'!K99,'3.08 Kira Road-Jinja Road-24h'!K99)</f>
        <v>0</v>
      </c>
      <c r="L99" s="49">
        <f>AVERAGE('1.08 Kira Road-Jinja Road-24h'!L99,'3.08 Kira Road-Jinja Road-24h'!L99)</f>
        <v>0</v>
      </c>
      <c r="M99" s="49">
        <f>AVERAGE('1.08 Kira Road-Jinja Road-24h'!M99,'3.08 Kira Road-Jinja Road-24h'!M99)</f>
        <v>21.5</v>
      </c>
      <c r="N99" s="49">
        <f>AVERAGE('1.08 Kira Road-Jinja Road-24h'!N99,'3.08 Kira Road-Jinja Road-24h'!N99)</f>
        <v>0</v>
      </c>
      <c r="O99" s="15">
        <f t="shared" si="35"/>
        <v>17.5</v>
      </c>
      <c r="P99" s="15">
        <f t="shared" si="36"/>
        <v>39</v>
      </c>
      <c r="R99" s="8"/>
      <c r="T99"/>
    </row>
    <row r="100" spans="2:20" ht="23.1" customHeight="1" x14ac:dyDescent="0.25">
      <c r="B100" s="25" t="s">
        <v>140</v>
      </c>
      <c r="C100" s="49">
        <f>AVERAGE('1.08 Kira Road-Jinja Road-24h'!C100,'3.08 Kira Road-Jinja Road-24h'!C100)</f>
        <v>16.5</v>
      </c>
      <c r="D100" s="49">
        <f>AVERAGE('1.08 Kira Road-Jinja Road-24h'!D100,'3.08 Kira Road-Jinja Road-24h'!D100)</f>
        <v>6.5</v>
      </c>
      <c r="E100" s="49">
        <f>AVERAGE('1.08 Kira Road-Jinja Road-24h'!E100,'3.08 Kira Road-Jinja Road-24h'!E100)</f>
        <v>1</v>
      </c>
      <c r="F100" s="49">
        <f>AVERAGE('1.08 Kira Road-Jinja Road-24h'!F100,'3.08 Kira Road-Jinja Road-24h'!F100)</f>
        <v>1.5</v>
      </c>
      <c r="G100" s="49">
        <f>AVERAGE('1.08 Kira Road-Jinja Road-24h'!G100,'3.08 Kira Road-Jinja Road-24h'!G100)</f>
        <v>0</v>
      </c>
      <c r="H100" s="49">
        <f>AVERAGE('1.08 Kira Road-Jinja Road-24h'!H100,'3.08 Kira Road-Jinja Road-24h'!H100)</f>
        <v>0</v>
      </c>
      <c r="I100" s="49">
        <f>AVERAGE('1.08 Kira Road-Jinja Road-24h'!I100,'3.08 Kira Road-Jinja Road-24h'!I100)</f>
        <v>0.5</v>
      </c>
      <c r="J100" s="49">
        <f>AVERAGE('1.08 Kira Road-Jinja Road-24h'!J100,'3.08 Kira Road-Jinja Road-24h'!J100)</f>
        <v>0</v>
      </c>
      <c r="K100" s="49">
        <f>AVERAGE('1.08 Kira Road-Jinja Road-24h'!K100,'3.08 Kira Road-Jinja Road-24h'!K100)</f>
        <v>0</v>
      </c>
      <c r="L100" s="49">
        <f>AVERAGE('1.08 Kira Road-Jinja Road-24h'!L100,'3.08 Kira Road-Jinja Road-24h'!L100)</f>
        <v>0</v>
      </c>
      <c r="M100" s="49">
        <f>AVERAGE('1.08 Kira Road-Jinja Road-24h'!M100,'3.08 Kira Road-Jinja Road-24h'!M100)</f>
        <v>13.5</v>
      </c>
      <c r="N100" s="49">
        <f>AVERAGE('1.08 Kira Road-Jinja Road-24h'!N100,'3.08 Kira Road-Jinja Road-24h'!N100)</f>
        <v>0</v>
      </c>
      <c r="O100" s="15">
        <f t="shared" si="35"/>
        <v>26</v>
      </c>
      <c r="P100" s="15">
        <f t="shared" si="36"/>
        <v>39.5</v>
      </c>
      <c r="R100" s="8"/>
      <c r="T100"/>
    </row>
    <row r="101" spans="2:20" ht="23.1" customHeight="1" x14ac:dyDescent="0.25">
      <c r="B101" s="23" t="s">
        <v>141</v>
      </c>
      <c r="C101" s="49">
        <f>AVERAGE('1.08 Kira Road-Jinja Road-24h'!C101,'3.08 Kira Road-Jinja Road-24h'!C101)</f>
        <v>21.5</v>
      </c>
      <c r="D101" s="49">
        <f>AVERAGE('1.08 Kira Road-Jinja Road-24h'!D101,'3.08 Kira Road-Jinja Road-24h'!D101)</f>
        <v>9</v>
      </c>
      <c r="E101" s="49">
        <f>AVERAGE('1.08 Kira Road-Jinja Road-24h'!E101,'3.08 Kira Road-Jinja Road-24h'!E101)</f>
        <v>1.5</v>
      </c>
      <c r="F101" s="49">
        <f>AVERAGE('1.08 Kira Road-Jinja Road-24h'!F101,'3.08 Kira Road-Jinja Road-24h'!F101)</f>
        <v>0.5</v>
      </c>
      <c r="G101" s="49">
        <f>AVERAGE('1.08 Kira Road-Jinja Road-24h'!G101,'3.08 Kira Road-Jinja Road-24h'!G101)</f>
        <v>0.5</v>
      </c>
      <c r="H101" s="49">
        <f>AVERAGE('1.08 Kira Road-Jinja Road-24h'!H101,'3.08 Kira Road-Jinja Road-24h'!H101)</f>
        <v>0</v>
      </c>
      <c r="I101" s="49">
        <f>AVERAGE('1.08 Kira Road-Jinja Road-24h'!I101,'3.08 Kira Road-Jinja Road-24h'!I101)</f>
        <v>0.5</v>
      </c>
      <c r="J101" s="49">
        <f>AVERAGE('1.08 Kira Road-Jinja Road-24h'!J101,'3.08 Kira Road-Jinja Road-24h'!J101)</f>
        <v>0</v>
      </c>
      <c r="K101" s="49">
        <f>AVERAGE('1.08 Kira Road-Jinja Road-24h'!K101,'3.08 Kira Road-Jinja Road-24h'!K101)</f>
        <v>0</v>
      </c>
      <c r="L101" s="49">
        <f>AVERAGE('1.08 Kira Road-Jinja Road-24h'!L101,'3.08 Kira Road-Jinja Road-24h'!L101)</f>
        <v>0</v>
      </c>
      <c r="M101" s="49">
        <f>AVERAGE('1.08 Kira Road-Jinja Road-24h'!M101,'3.08 Kira Road-Jinja Road-24h'!M101)</f>
        <v>12</v>
      </c>
      <c r="N101" s="49">
        <f>AVERAGE('1.08 Kira Road-Jinja Road-24h'!N101,'3.08 Kira Road-Jinja Road-24h'!N101)</f>
        <v>0</v>
      </c>
      <c r="O101" s="15">
        <f t="shared" si="35"/>
        <v>33.5</v>
      </c>
      <c r="P101" s="15">
        <f t="shared" si="36"/>
        <v>45.5</v>
      </c>
      <c r="R101" s="8"/>
      <c r="T101"/>
    </row>
    <row r="102" spans="2:20" ht="23.1" customHeight="1" x14ac:dyDescent="0.25">
      <c r="B102" s="24" t="s">
        <v>142</v>
      </c>
      <c r="C102" s="49">
        <f>AVERAGE('1.08 Kira Road-Jinja Road-24h'!C102,'3.08 Kira Road-Jinja Road-24h'!C102)</f>
        <v>18</v>
      </c>
      <c r="D102" s="49">
        <f>AVERAGE('1.08 Kira Road-Jinja Road-24h'!D102,'3.08 Kira Road-Jinja Road-24h'!D102)</f>
        <v>6</v>
      </c>
      <c r="E102" s="49">
        <f>AVERAGE('1.08 Kira Road-Jinja Road-24h'!E102,'3.08 Kira Road-Jinja Road-24h'!E102)</f>
        <v>1.5</v>
      </c>
      <c r="F102" s="49">
        <f>AVERAGE('1.08 Kira Road-Jinja Road-24h'!F102,'3.08 Kira Road-Jinja Road-24h'!F102)</f>
        <v>0.5</v>
      </c>
      <c r="G102" s="49">
        <f>AVERAGE('1.08 Kira Road-Jinja Road-24h'!G102,'3.08 Kira Road-Jinja Road-24h'!G102)</f>
        <v>0</v>
      </c>
      <c r="H102" s="49">
        <f>AVERAGE('1.08 Kira Road-Jinja Road-24h'!H102,'3.08 Kira Road-Jinja Road-24h'!H102)</f>
        <v>0</v>
      </c>
      <c r="I102" s="49">
        <f>AVERAGE('1.08 Kira Road-Jinja Road-24h'!I102,'3.08 Kira Road-Jinja Road-24h'!I102)</f>
        <v>1</v>
      </c>
      <c r="J102" s="49">
        <f>AVERAGE('1.08 Kira Road-Jinja Road-24h'!J102,'3.08 Kira Road-Jinja Road-24h'!J102)</f>
        <v>0.5</v>
      </c>
      <c r="K102" s="49">
        <f>AVERAGE('1.08 Kira Road-Jinja Road-24h'!K102,'3.08 Kira Road-Jinja Road-24h'!K102)</f>
        <v>0</v>
      </c>
      <c r="L102" s="49">
        <f>AVERAGE('1.08 Kira Road-Jinja Road-24h'!L102,'3.08 Kira Road-Jinja Road-24h'!L102)</f>
        <v>0</v>
      </c>
      <c r="M102" s="49">
        <f>AVERAGE('1.08 Kira Road-Jinja Road-24h'!M102,'3.08 Kira Road-Jinja Road-24h'!M102)</f>
        <v>25</v>
      </c>
      <c r="N102" s="49">
        <f>AVERAGE('1.08 Kira Road-Jinja Road-24h'!N102,'3.08 Kira Road-Jinja Road-24h'!N102)</f>
        <v>0</v>
      </c>
      <c r="O102" s="15">
        <f t="shared" si="35"/>
        <v>27.5</v>
      </c>
      <c r="P102" s="15">
        <f t="shared" si="36"/>
        <v>52.5</v>
      </c>
      <c r="R102" s="8"/>
      <c r="T102"/>
    </row>
    <row r="103" spans="2:20" ht="23.1" customHeight="1" x14ac:dyDescent="0.25">
      <c r="B103" s="23" t="s">
        <v>143</v>
      </c>
      <c r="C103" s="49">
        <f>AVERAGE('1.08 Kira Road-Jinja Road-24h'!C103,'3.08 Kira Road-Jinja Road-24h'!C103)</f>
        <v>27.5</v>
      </c>
      <c r="D103" s="49">
        <f>AVERAGE('1.08 Kira Road-Jinja Road-24h'!D103,'3.08 Kira Road-Jinja Road-24h'!D103)</f>
        <v>9</v>
      </c>
      <c r="E103" s="49">
        <f>AVERAGE('1.08 Kira Road-Jinja Road-24h'!E103,'3.08 Kira Road-Jinja Road-24h'!E103)</f>
        <v>4</v>
      </c>
      <c r="F103" s="49">
        <f>AVERAGE('1.08 Kira Road-Jinja Road-24h'!F103,'3.08 Kira Road-Jinja Road-24h'!F103)</f>
        <v>1.5</v>
      </c>
      <c r="G103" s="49">
        <f>AVERAGE('1.08 Kira Road-Jinja Road-24h'!G103,'3.08 Kira Road-Jinja Road-24h'!G103)</f>
        <v>0</v>
      </c>
      <c r="H103" s="49">
        <f>AVERAGE('1.08 Kira Road-Jinja Road-24h'!H103,'3.08 Kira Road-Jinja Road-24h'!H103)</f>
        <v>0.5</v>
      </c>
      <c r="I103" s="49">
        <f>AVERAGE('1.08 Kira Road-Jinja Road-24h'!I103,'3.08 Kira Road-Jinja Road-24h'!I103)</f>
        <v>0.5</v>
      </c>
      <c r="J103" s="49">
        <f>AVERAGE('1.08 Kira Road-Jinja Road-24h'!J103,'3.08 Kira Road-Jinja Road-24h'!J103)</f>
        <v>0</v>
      </c>
      <c r="K103" s="49">
        <f>AVERAGE('1.08 Kira Road-Jinja Road-24h'!K103,'3.08 Kira Road-Jinja Road-24h'!K103)</f>
        <v>0.5</v>
      </c>
      <c r="L103" s="49">
        <f>AVERAGE('1.08 Kira Road-Jinja Road-24h'!L103,'3.08 Kira Road-Jinja Road-24h'!L103)</f>
        <v>0.5</v>
      </c>
      <c r="M103" s="49">
        <f>AVERAGE('1.08 Kira Road-Jinja Road-24h'!M103,'3.08 Kira Road-Jinja Road-24h'!M103)</f>
        <v>36.5</v>
      </c>
      <c r="N103" s="49">
        <f>AVERAGE('1.08 Kira Road-Jinja Road-24h'!N103,'3.08 Kira Road-Jinja Road-24h'!N103)</f>
        <v>0</v>
      </c>
      <c r="O103" s="15">
        <f t="shared" si="35"/>
        <v>44</v>
      </c>
      <c r="P103" s="15">
        <f t="shared" si="36"/>
        <v>80.5</v>
      </c>
      <c r="R103" s="8"/>
      <c r="T103"/>
    </row>
    <row r="104" spans="2:20" ht="23.1" customHeight="1" x14ac:dyDescent="0.25">
      <c r="B104" s="25" t="s">
        <v>144</v>
      </c>
      <c r="C104" s="49">
        <f>AVERAGE('1.08 Kira Road-Jinja Road-24h'!C104,'3.08 Kira Road-Jinja Road-24h'!C104)</f>
        <v>52</v>
      </c>
      <c r="D104" s="49">
        <f>AVERAGE('1.08 Kira Road-Jinja Road-24h'!D104,'3.08 Kira Road-Jinja Road-24h'!D104)</f>
        <v>6.5</v>
      </c>
      <c r="E104" s="49">
        <f>AVERAGE('1.08 Kira Road-Jinja Road-24h'!E104,'3.08 Kira Road-Jinja Road-24h'!E104)</f>
        <v>3.5</v>
      </c>
      <c r="F104" s="49">
        <f>AVERAGE('1.08 Kira Road-Jinja Road-24h'!F104,'3.08 Kira Road-Jinja Road-24h'!F104)</f>
        <v>1</v>
      </c>
      <c r="G104" s="49">
        <f>AVERAGE('1.08 Kira Road-Jinja Road-24h'!G104,'3.08 Kira Road-Jinja Road-24h'!G104)</f>
        <v>0</v>
      </c>
      <c r="H104" s="49">
        <f>AVERAGE('1.08 Kira Road-Jinja Road-24h'!H104,'3.08 Kira Road-Jinja Road-24h'!H104)</f>
        <v>0</v>
      </c>
      <c r="I104" s="49">
        <f>AVERAGE('1.08 Kira Road-Jinja Road-24h'!I104,'3.08 Kira Road-Jinja Road-24h'!I104)</f>
        <v>2</v>
      </c>
      <c r="J104" s="49">
        <f>AVERAGE('1.08 Kira Road-Jinja Road-24h'!J104,'3.08 Kira Road-Jinja Road-24h'!J104)</f>
        <v>0</v>
      </c>
      <c r="K104" s="49">
        <f>AVERAGE('1.08 Kira Road-Jinja Road-24h'!K104,'3.08 Kira Road-Jinja Road-24h'!K104)</f>
        <v>0</v>
      </c>
      <c r="L104" s="49">
        <f>AVERAGE('1.08 Kira Road-Jinja Road-24h'!L104,'3.08 Kira Road-Jinja Road-24h'!L104)</f>
        <v>0</v>
      </c>
      <c r="M104" s="49">
        <f>AVERAGE('1.08 Kira Road-Jinja Road-24h'!M104,'3.08 Kira Road-Jinja Road-24h'!M104)</f>
        <v>50</v>
      </c>
      <c r="N104" s="49">
        <f>AVERAGE('1.08 Kira Road-Jinja Road-24h'!N104,'3.08 Kira Road-Jinja Road-24h'!N104)</f>
        <v>0</v>
      </c>
      <c r="O104" s="15">
        <f t="shared" si="35"/>
        <v>65</v>
      </c>
      <c r="P104" s="15">
        <f t="shared" si="36"/>
        <v>115</v>
      </c>
      <c r="R104" s="8"/>
      <c r="T104"/>
    </row>
    <row r="105" spans="2:20" ht="23.1" customHeight="1" x14ac:dyDescent="0.25">
      <c r="B105" s="23" t="s">
        <v>145</v>
      </c>
      <c r="C105" s="49">
        <f>AVERAGE('1.08 Kira Road-Jinja Road-24h'!C105,'3.08 Kira Road-Jinja Road-24h'!C105)</f>
        <v>77.5</v>
      </c>
      <c r="D105" s="49">
        <f>AVERAGE('1.08 Kira Road-Jinja Road-24h'!D105,'3.08 Kira Road-Jinja Road-24h'!D105)</f>
        <v>5</v>
      </c>
      <c r="E105" s="49">
        <f>AVERAGE('1.08 Kira Road-Jinja Road-24h'!E105,'3.08 Kira Road-Jinja Road-24h'!E105)</f>
        <v>5</v>
      </c>
      <c r="F105" s="49">
        <f>AVERAGE('1.08 Kira Road-Jinja Road-24h'!F105,'3.08 Kira Road-Jinja Road-24h'!F105)</f>
        <v>0</v>
      </c>
      <c r="G105" s="49">
        <f>AVERAGE('1.08 Kira Road-Jinja Road-24h'!G105,'3.08 Kira Road-Jinja Road-24h'!G105)</f>
        <v>0.5</v>
      </c>
      <c r="H105" s="49">
        <f>AVERAGE('1.08 Kira Road-Jinja Road-24h'!H105,'3.08 Kira Road-Jinja Road-24h'!H105)</f>
        <v>0</v>
      </c>
      <c r="I105" s="49">
        <f>AVERAGE('1.08 Kira Road-Jinja Road-24h'!I105,'3.08 Kira Road-Jinja Road-24h'!I105)</f>
        <v>1.5</v>
      </c>
      <c r="J105" s="49">
        <f>AVERAGE('1.08 Kira Road-Jinja Road-24h'!J105,'3.08 Kira Road-Jinja Road-24h'!J105)</f>
        <v>1</v>
      </c>
      <c r="K105" s="49">
        <f>AVERAGE('1.08 Kira Road-Jinja Road-24h'!K105,'3.08 Kira Road-Jinja Road-24h'!K105)</f>
        <v>0</v>
      </c>
      <c r="L105" s="49">
        <f>AVERAGE('1.08 Kira Road-Jinja Road-24h'!L105,'3.08 Kira Road-Jinja Road-24h'!L105)</f>
        <v>0</v>
      </c>
      <c r="M105" s="49">
        <f>AVERAGE('1.08 Kira Road-Jinja Road-24h'!M105,'3.08 Kira Road-Jinja Road-24h'!M105)</f>
        <v>65</v>
      </c>
      <c r="N105" s="49">
        <f>AVERAGE('1.08 Kira Road-Jinja Road-24h'!N105,'3.08 Kira Road-Jinja Road-24h'!N105)</f>
        <v>0</v>
      </c>
      <c r="O105" s="15">
        <f t="shared" si="35"/>
        <v>90.5</v>
      </c>
      <c r="P105" s="15">
        <f t="shared" si="36"/>
        <v>155.5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9343.5714285714294</v>
      </c>
      <c r="D106" s="16">
        <f t="shared" ref="D106:P106" si="37">SUM(D10:D105)</f>
        <v>3113.1428571428573</v>
      </c>
      <c r="E106" s="16">
        <f t="shared" si="37"/>
        <v>946.21428571428578</v>
      </c>
      <c r="F106" s="16">
        <f t="shared" si="37"/>
        <v>381.71428571428567</v>
      </c>
      <c r="G106" s="16">
        <f t="shared" si="37"/>
        <v>17.428571428571431</v>
      </c>
      <c r="H106" s="16">
        <f t="shared" si="37"/>
        <v>4.8571428571428559</v>
      </c>
      <c r="I106" s="16">
        <f t="shared" si="37"/>
        <v>288.07142857142856</v>
      </c>
      <c r="J106" s="16">
        <f t="shared" si="37"/>
        <v>99.499999999999986</v>
      </c>
      <c r="K106" s="16">
        <f t="shared" si="37"/>
        <v>29.571428571428569</v>
      </c>
      <c r="L106" s="16">
        <f t="shared" si="37"/>
        <v>10.285714285714288</v>
      </c>
      <c r="M106" s="16">
        <f t="shared" si="37"/>
        <v>10867.928571428572</v>
      </c>
      <c r="N106" s="16">
        <f t="shared" si="37"/>
        <v>61.857142857142854</v>
      </c>
      <c r="O106" s="16">
        <f t="shared" si="37"/>
        <v>14296.214285714284</v>
      </c>
      <c r="P106" s="16">
        <f t="shared" si="37"/>
        <v>25164.142857142862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0.37130497476568131</v>
      </c>
      <c r="D107" s="43">
        <f t="shared" si="38"/>
        <v>0.12371344713850205</v>
      </c>
      <c r="E107" s="43">
        <f t="shared" si="38"/>
        <v>3.7601689478793519E-2</v>
      </c>
      <c r="F107" s="43">
        <f t="shared" si="38"/>
        <v>1.516897626441251E-2</v>
      </c>
      <c r="G107" s="43">
        <f t="shared" si="38"/>
        <v>6.925954731505713E-4</v>
      </c>
      <c r="H107" s="43">
        <f t="shared" si="38"/>
        <v>1.9301841055015915E-4</v>
      </c>
      <c r="I107" s="43">
        <f t="shared" si="38"/>
        <v>1.1447694849246941E-2</v>
      </c>
      <c r="J107" s="43">
        <f t="shared" si="38"/>
        <v>3.9540389102407604E-3</v>
      </c>
      <c r="K107" s="43">
        <f t="shared" si="38"/>
        <v>1.1751414995259692E-3</v>
      </c>
      <c r="L107" s="43">
        <f t="shared" si="38"/>
        <v>4.0874486940033721E-4</v>
      </c>
      <c r="M107" s="43">
        <f t="shared" si="38"/>
        <v>0.43188153211201874</v>
      </c>
      <c r="N107" s="43">
        <f t="shared" si="38"/>
        <v>2.4581462284770273E-3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0.65356962632465154</v>
      </c>
      <c r="D108" s="44">
        <f t="shared" ref="D108:N108" si="39">D106/$O$106</f>
        <v>0.21775994643936711</v>
      </c>
      <c r="E108" s="44">
        <f t="shared" si="39"/>
        <v>6.6186353030522574E-2</v>
      </c>
      <c r="F108" s="44">
        <f t="shared" si="39"/>
        <v>2.6700375224210204E-2</v>
      </c>
      <c r="G108" s="44">
        <f t="shared" si="39"/>
        <v>1.2191039585904362E-3</v>
      </c>
      <c r="H108" s="44">
        <f t="shared" si="39"/>
        <v>3.3975028354159688E-4</v>
      </c>
      <c r="I108" s="44">
        <f t="shared" si="39"/>
        <v>2.0150189610636183E-2</v>
      </c>
      <c r="J108" s="44">
        <f t="shared" si="39"/>
        <v>6.9598844849035951E-3</v>
      </c>
      <c r="K108" s="44">
        <f t="shared" si="39"/>
        <v>2.0684796674444285E-3</v>
      </c>
      <c r="L108" s="44">
        <f t="shared" si="39"/>
        <v>7.1947118867632311E-4</v>
      </c>
      <c r="M108" s="44"/>
      <c r="N108" s="44">
        <f t="shared" si="39"/>
        <v>4.32681978745622E-3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B1:AE1"/>
    <mergeCell ref="B2:AE2"/>
    <mergeCell ref="C3:G3"/>
    <mergeCell ref="G5:H5"/>
    <mergeCell ref="G6:H6"/>
    <mergeCell ref="R8:AF8"/>
    <mergeCell ref="D6:E6"/>
    <mergeCell ref="K5:L5"/>
    <mergeCell ref="K6:L6"/>
    <mergeCell ref="D5:E5"/>
  </mergeCells>
  <pageMargins left="0" right="0" top="0" bottom="0" header="0.15748031496063" footer="0.118110236220472"/>
  <pageSetup paperSize="9" scale="21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B1:AF174"/>
  <sheetViews>
    <sheetView tabSelected="1" view="pageBreakPreview" topLeftCell="K55" zoomScale="60" workbookViewId="0">
      <selection activeCell="X96" sqref="X96"/>
    </sheetView>
  </sheetViews>
  <sheetFormatPr defaultColWidth="15" defaultRowHeight="20.100000000000001" customHeight="1" x14ac:dyDescent="0.25"/>
  <cols>
    <col min="1" max="1" width="4.85546875" customWidth="1"/>
    <col min="2" max="2" width="17.85546875" customWidth="1"/>
    <col min="3" max="3" width="11" customWidth="1"/>
    <col min="4" max="4" width="14.42578125" customWidth="1"/>
    <col min="5" max="5" width="13.5703125" customWidth="1"/>
    <col min="6" max="6" width="12.5703125" customWidth="1"/>
    <col min="7" max="7" width="11" customWidth="1"/>
    <col min="8" max="8" width="13.5703125" customWidth="1"/>
    <col min="9" max="9" width="11" customWidth="1"/>
    <col min="10" max="10" width="13" customWidth="1"/>
    <col min="11" max="14" width="11" customWidth="1"/>
    <col min="15" max="15" width="12.28515625" customWidth="1"/>
    <col min="16" max="16" width="11" customWidth="1"/>
    <col min="17" max="17" width="2.28515625" customWidth="1"/>
    <col min="18" max="18" width="14.42578125" style="7" customWidth="1"/>
    <col min="19" max="20" width="10.7109375" style="8" customWidth="1"/>
    <col min="21" max="31" width="10.7109375" customWidth="1"/>
    <col min="32" max="32" width="11.85546875" bestFit="1" customWidth="1"/>
    <col min="33" max="33" width="10.7109375" customWidth="1"/>
  </cols>
  <sheetData>
    <row r="1" spans="2:32" ht="23.25" customHeight="1" x14ac:dyDescent="0.3">
      <c r="B1" s="57" t="s">
        <v>23</v>
      </c>
      <c r="C1" s="57"/>
      <c r="D1" s="57"/>
      <c r="E1" s="57"/>
      <c r="F1" s="57"/>
      <c r="G1" s="57"/>
      <c r="H1" s="57"/>
      <c r="I1" s="57"/>
      <c r="J1" s="57"/>
      <c r="K1" s="57"/>
      <c r="L1" s="57"/>
      <c r="M1" s="57"/>
      <c r="N1" s="57"/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7"/>
      <c r="AD1" s="57"/>
      <c r="AE1" s="57"/>
    </row>
    <row r="2" spans="2:32" ht="20.100000000000001" customHeight="1" x14ac:dyDescent="0.25">
      <c r="B2" s="58" t="s">
        <v>95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58"/>
      <c r="AC2" s="58"/>
      <c r="AD2" s="58"/>
      <c r="AE2" s="58"/>
    </row>
    <row r="3" spans="2:32" ht="20.100000000000001" customHeight="1" x14ac:dyDescent="0.25">
      <c r="B3" s="22" t="s">
        <v>96</v>
      </c>
      <c r="C3" s="66" t="str">
        <f>'4.08.KIIRA-JINJAROAD'!C3:G3</f>
        <v>MCC - C1 - STN47 - LUGOGO BYPASS ROAD</v>
      </c>
      <c r="D3" s="66"/>
      <c r="E3" s="66"/>
      <c r="F3" s="66"/>
      <c r="G3" s="66"/>
      <c r="H3" s="22"/>
      <c r="I3" s="22"/>
      <c r="J3" s="22"/>
      <c r="K3" s="22"/>
      <c r="L3" s="22"/>
      <c r="M3" s="22"/>
      <c r="N3" s="22"/>
      <c r="O3" s="22"/>
      <c r="P3" s="22"/>
    </row>
    <row r="4" spans="2:32" ht="20.100000000000001" customHeight="1" x14ac:dyDescent="0.25"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</row>
    <row r="5" spans="2:32" ht="20.100000000000001" customHeight="1" x14ac:dyDescent="0.25">
      <c r="C5" s="4" t="s">
        <v>3</v>
      </c>
      <c r="D5" s="64" t="s">
        <v>162</v>
      </c>
      <c r="E5" s="65"/>
      <c r="F5" s="41" t="s">
        <v>1</v>
      </c>
      <c r="G5" s="62" t="str">
        <f>'Avg Week Kiira-JinjaRoad'!G5:H5</f>
        <v>Shell Petrol Station</v>
      </c>
      <c r="H5" s="63"/>
      <c r="I5" s="14"/>
      <c r="J5" s="2" t="s">
        <v>5</v>
      </c>
      <c r="K5" s="62" t="str">
        <f>'Avg Week Kiira-JinjaRoad'!K5:L5</f>
        <v>DANIEL MUNANURA</v>
      </c>
      <c r="L5" s="63"/>
      <c r="M5" s="10"/>
      <c r="N5" s="10"/>
      <c r="O5" s="3"/>
      <c r="P5" s="3"/>
    </row>
    <row r="6" spans="2:32" ht="23.25" customHeight="1" x14ac:dyDescent="0.25">
      <c r="C6" s="2" t="s">
        <v>4</v>
      </c>
      <c r="D6" s="67" t="s">
        <v>161</v>
      </c>
      <c r="E6" s="68"/>
      <c r="F6" s="2" t="s">
        <v>2</v>
      </c>
      <c r="G6" s="67" t="s">
        <v>161</v>
      </c>
      <c r="H6" s="68"/>
      <c r="J6" s="2" t="s">
        <v>21</v>
      </c>
      <c r="K6" s="62" t="str">
        <f>'Avg Week Kiira-JinjaRoad'!K6:L6</f>
        <v>Steven</v>
      </c>
      <c r="L6" s="63"/>
      <c r="M6" s="10"/>
      <c r="N6" s="10"/>
      <c r="O6" s="3"/>
      <c r="P6" s="3"/>
    </row>
    <row r="7" spans="2:32" ht="20.100000000000001" customHeight="1" x14ac:dyDescent="0.25">
      <c r="B7" s="2"/>
      <c r="D7" s="3"/>
      <c r="E7" s="3"/>
      <c r="F7" s="3"/>
      <c r="G7" s="3"/>
      <c r="I7" s="2"/>
      <c r="L7" s="3"/>
      <c r="M7" s="3"/>
      <c r="N7" s="3"/>
    </row>
    <row r="8" spans="2:32" ht="50.25" customHeight="1" x14ac:dyDescent="0.25">
      <c r="B8" s="11" t="s">
        <v>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R8" s="56" t="s">
        <v>88</v>
      </c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</row>
    <row r="9" spans="2:32" ht="51.75" customHeight="1" x14ac:dyDescent="0.25">
      <c r="B9" s="12"/>
      <c r="C9" s="13" t="s">
        <v>24</v>
      </c>
      <c r="D9" s="13" t="s">
        <v>25</v>
      </c>
      <c r="E9" s="13" t="s">
        <v>26</v>
      </c>
      <c r="F9" s="13" t="s">
        <v>27</v>
      </c>
      <c r="G9" s="13" t="s">
        <v>28</v>
      </c>
      <c r="H9" s="13" t="s">
        <v>29</v>
      </c>
      <c r="I9" s="13" t="s">
        <v>30</v>
      </c>
      <c r="J9" s="13" t="s">
        <v>31</v>
      </c>
      <c r="K9" s="13" t="s">
        <v>32</v>
      </c>
      <c r="L9" s="13" t="s">
        <v>33</v>
      </c>
      <c r="M9" s="13" t="s">
        <v>98</v>
      </c>
      <c r="N9" s="13" t="s">
        <v>97</v>
      </c>
      <c r="O9" s="11" t="s">
        <v>36</v>
      </c>
      <c r="P9" s="11" t="s">
        <v>22</v>
      </c>
      <c r="R9" s="9" t="s">
        <v>19</v>
      </c>
      <c r="S9" s="27" t="s">
        <v>24</v>
      </c>
      <c r="T9" s="27" t="s">
        <v>25</v>
      </c>
      <c r="U9" s="27" t="s">
        <v>26</v>
      </c>
      <c r="V9" s="27" t="s">
        <v>27</v>
      </c>
      <c r="W9" s="27" t="s">
        <v>28</v>
      </c>
      <c r="X9" s="27" t="s">
        <v>29</v>
      </c>
      <c r="Y9" s="27" t="s">
        <v>30</v>
      </c>
      <c r="Z9" s="27" t="s">
        <v>31</v>
      </c>
      <c r="AA9" s="27" t="s">
        <v>32</v>
      </c>
      <c r="AB9" s="27" t="s">
        <v>33</v>
      </c>
      <c r="AC9" s="27" t="s">
        <v>34</v>
      </c>
      <c r="AD9" s="27" t="s">
        <v>35</v>
      </c>
      <c r="AE9" s="30" t="s">
        <v>89</v>
      </c>
      <c r="AF9" s="30" t="s">
        <v>22</v>
      </c>
    </row>
    <row r="10" spans="2:32" ht="23.1" customHeight="1" x14ac:dyDescent="0.25">
      <c r="B10" s="23" t="s">
        <v>37</v>
      </c>
      <c r="C10" s="49">
        <f>'Avg Week Jinja Rd-Kiira '!C10+'Avg Week Kiira-JinjaRoad'!C10</f>
        <v>132.42857142857144</v>
      </c>
      <c r="D10" s="49">
        <f>'Avg Week Jinja Rd-Kiira '!D10+'Avg Week Kiira-JinjaRoad'!D10</f>
        <v>45.428571428571431</v>
      </c>
      <c r="E10" s="49">
        <f>'Avg Week Jinja Rd-Kiira '!E10+'Avg Week Kiira-JinjaRoad'!E10</f>
        <v>17.857142857142858</v>
      </c>
      <c r="F10" s="49">
        <f>'Avg Week Jinja Rd-Kiira '!F10+'Avg Week Kiira-JinjaRoad'!F10</f>
        <v>6.2857142857142865</v>
      </c>
      <c r="G10" s="49">
        <f>'Avg Week Jinja Rd-Kiira '!G10+'Avg Week Kiira-JinjaRoad'!G10</f>
        <v>0.5714285714285714</v>
      </c>
      <c r="H10" s="49">
        <f>'Avg Week Jinja Rd-Kiira '!H10+'Avg Week Kiira-JinjaRoad'!H10</f>
        <v>0</v>
      </c>
      <c r="I10" s="49">
        <f>'Avg Week Jinja Rd-Kiira '!I10+'Avg Week Kiira-JinjaRoad'!I10</f>
        <v>2</v>
      </c>
      <c r="J10" s="49">
        <f>'Avg Week Jinja Rd-Kiira '!J10+'Avg Week Kiira-JinjaRoad'!J10</f>
        <v>0.71428571428571419</v>
      </c>
      <c r="K10" s="49">
        <f>'Avg Week Jinja Rd-Kiira '!K10+'Avg Week Kiira-JinjaRoad'!K10</f>
        <v>0.2857142857142857</v>
      </c>
      <c r="L10" s="49">
        <f>'Avg Week Jinja Rd-Kiira '!L10+'Avg Week Kiira-JinjaRoad'!L10</f>
        <v>0</v>
      </c>
      <c r="M10" s="49">
        <f>'Avg Week Jinja Rd-Kiira '!M10+'Avg Week Kiira-JinjaRoad'!M10</f>
        <v>169.85714285714286</v>
      </c>
      <c r="N10" s="49">
        <f>'Avg Week Jinja Rd-Kiira '!N10+'Avg Week Kiira-JinjaRoad'!N10</f>
        <v>0</v>
      </c>
      <c r="O10" s="15">
        <f t="shared" ref="O10:O73" si="0">SUM(C10:L10,N10)</f>
        <v>205.57142857142861</v>
      </c>
      <c r="P10" s="15">
        <f t="shared" ref="P10:P73" si="1">SUM(C10:N10)</f>
        <v>375.42857142857144</v>
      </c>
      <c r="R10" s="1" t="s">
        <v>6</v>
      </c>
      <c r="S10" s="17">
        <f t="shared" ref="S10:AF10" si="2">SUM(C10:C13)</f>
        <v>559.28571428571433</v>
      </c>
      <c r="T10" s="17">
        <f t="shared" si="2"/>
        <v>198.28571428571428</v>
      </c>
      <c r="U10" s="17">
        <f t="shared" si="2"/>
        <v>74.285714285714278</v>
      </c>
      <c r="V10" s="17">
        <f t="shared" si="2"/>
        <v>24.714285714285715</v>
      </c>
      <c r="W10" s="17">
        <f t="shared" si="2"/>
        <v>1.857142857142857</v>
      </c>
      <c r="X10" s="17">
        <f t="shared" si="2"/>
        <v>0.14285714285714285</v>
      </c>
      <c r="Y10" s="17">
        <f t="shared" si="2"/>
        <v>12.571428571428569</v>
      </c>
      <c r="Z10" s="17">
        <f t="shared" si="2"/>
        <v>2.5714285714285712</v>
      </c>
      <c r="AA10" s="17">
        <f t="shared" si="2"/>
        <v>1</v>
      </c>
      <c r="AB10" s="17">
        <f t="shared" si="2"/>
        <v>1</v>
      </c>
      <c r="AC10" s="17">
        <f t="shared" si="2"/>
        <v>961.14285714285711</v>
      </c>
      <c r="AD10" s="17">
        <f t="shared" si="2"/>
        <v>0</v>
      </c>
      <c r="AE10" s="31">
        <f t="shared" si="2"/>
        <v>875.71428571428578</v>
      </c>
      <c r="AF10" s="31">
        <f t="shared" si="2"/>
        <v>1836.8571428571429</v>
      </c>
    </row>
    <row r="11" spans="2:32" s="6" customFormat="1" ht="23.1" customHeight="1" x14ac:dyDescent="0.25">
      <c r="B11" s="23" t="s">
        <v>38</v>
      </c>
      <c r="C11" s="49">
        <f>'Avg Week Jinja Rd-Kiira '!C11+'Avg Week Kiira-JinjaRoad'!C11</f>
        <v>144</v>
      </c>
      <c r="D11" s="49">
        <f>'Avg Week Jinja Rd-Kiira '!D11+'Avg Week Kiira-JinjaRoad'!D11</f>
        <v>46</v>
      </c>
      <c r="E11" s="49">
        <f>'Avg Week Jinja Rd-Kiira '!E11+'Avg Week Kiira-JinjaRoad'!E11</f>
        <v>24.142857142857142</v>
      </c>
      <c r="F11" s="49">
        <f>'Avg Week Jinja Rd-Kiira '!F11+'Avg Week Kiira-JinjaRoad'!F11</f>
        <v>5.7142857142857144</v>
      </c>
      <c r="G11" s="49">
        <f>'Avg Week Jinja Rd-Kiira '!G11+'Avg Week Kiira-JinjaRoad'!G11</f>
        <v>0.2857142857142857</v>
      </c>
      <c r="H11" s="49">
        <f>'Avg Week Jinja Rd-Kiira '!H11+'Avg Week Kiira-JinjaRoad'!H11</f>
        <v>0.14285714285714285</v>
      </c>
      <c r="I11" s="49">
        <f>'Avg Week Jinja Rd-Kiira '!I11+'Avg Week Kiira-JinjaRoad'!I11</f>
        <v>4</v>
      </c>
      <c r="J11" s="49">
        <f>'Avg Week Jinja Rd-Kiira '!J11+'Avg Week Kiira-JinjaRoad'!J11</f>
        <v>0.71428571428571419</v>
      </c>
      <c r="K11" s="49">
        <f>'Avg Week Jinja Rd-Kiira '!K11+'Avg Week Kiira-JinjaRoad'!K11</f>
        <v>0.5714285714285714</v>
      </c>
      <c r="L11" s="49">
        <f>'Avg Week Jinja Rd-Kiira '!L11+'Avg Week Kiira-JinjaRoad'!L11</f>
        <v>0.14285714285714285</v>
      </c>
      <c r="M11" s="49">
        <f>'Avg Week Jinja Rd-Kiira '!M11+'Avg Week Kiira-JinjaRoad'!M11</f>
        <v>220.85714285714286</v>
      </c>
      <c r="N11" s="49">
        <f>'Avg Week Jinja Rd-Kiira '!N11+'Avg Week Kiira-JinjaRoad'!N11</f>
        <v>0</v>
      </c>
      <c r="O11" s="15">
        <f t="shared" si="0"/>
        <v>225.71428571428572</v>
      </c>
      <c r="P11" s="15">
        <f t="shared" si="1"/>
        <v>446.57142857142856</v>
      </c>
      <c r="R11" s="1" t="s">
        <v>7</v>
      </c>
      <c r="S11" s="17">
        <f t="shared" ref="S11:AF11" si="3">SUM(C14:C17)</f>
        <v>607.14285714285711</v>
      </c>
      <c r="T11" s="17">
        <f t="shared" si="3"/>
        <v>243.42857142857142</v>
      </c>
      <c r="U11" s="17">
        <f t="shared" si="3"/>
        <v>78.857142857142861</v>
      </c>
      <c r="V11" s="17">
        <f t="shared" si="3"/>
        <v>30.857142857142858</v>
      </c>
      <c r="W11" s="17">
        <f t="shared" si="3"/>
        <v>1.7142857142857142</v>
      </c>
      <c r="X11" s="17">
        <f t="shared" si="3"/>
        <v>0.42857142857142855</v>
      </c>
      <c r="Y11" s="17">
        <f t="shared" si="3"/>
        <v>25.142857142857142</v>
      </c>
      <c r="Z11" s="17">
        <f t="shared" si="3"/>
        <v>8</v>
      </c>
      <c r="AA11" s="17">
        <f t="shared" si="3"/>
        <v>1.857142857142857</v>
      </c>
      <c r="AB11" s="17">
        <f t="shared" si="3"/>
        <v>1.7142857142857142</v>
      </c>
      <c r="AC11" s="17">
        <f t="shared" si="3"/>
        <v>1346.2857142857142</v>
      </c>
      <c r="AD11" s="17">
        <f t="shared" si="3"/>
        <v>0</v>
      </c>
      <c r="AE11" s="31">
        <f t="shared" si="3"/>
        <v>999.142857142857</v>
      </c>
      <c r="AF11" s="31">
        <f t="shared" si="3"/>
        <v>2345.4285714285716</v>
      </c>
    </row>
    <row r="12" spans="2:32" ht="23.1" customHeight="1" x14ac:dyDescent="0.25">
      <c r="B12" s="23" t="s">
        <v>39</v>
      </c>
      <c r="C12" s="49">
        <f>'Avg Week Jinja Rd-Kiira '!C12+'Avg Week Kiira-JinjaRoad'!C12</f>
        <v>141.85714285714286</v>
      </c>
      <c r="D12" s="49">
        <f>'Avg Week Jinja Rd-Kiira '!D12+'Avg Week Kiira-JinjaRoad'!D12</f>
        <v>53.571428571428569</v>
      </c>
      <c r="E12" s="49">
        <f>'Avg Week Jinja Rd-Kiira '!E12+'Avg Week Kiira-JinjaRoad'!E12</f>
        <v>15.571428571428573</v>
      </c>
      <c r="F12" s="49">
        <f>'Avg Week Jinja Rd-Kiira '!F12+'Avg Week Kiira-JinjaRoad'!F12</f>
        <v>4</v>
      </c>
      <c r="G12" s="49">
        <f>'Avg Week Jinja Rd-Kiira '!G12+'Avg Week Kiira-JinjaRoad'!G12</f>
        <v>0.2857142857142857</v>
      </c>
      <c r="H12" s="49">
        <f>'Avg Week Jinja Rd-Kiira '!H12+'Avg Week Kiira-JinjaRoad'!H12</f>
        <v>0</v>
      </c>
      <c r="I12" s="49">
        <f>'Avg Week Jinja Rd-Kiira '!I12+'Avg Week Kiira-JinjaRoad'!I12</f>
        <v>3.2857142857142856</v>
      </c>
      <c r="J12" s="49">
        <f>'Avg Week Jinja Rd-Kiira '!J12+'Avg Week Kiira-JinjaRoad'!J12</f>
        <v>0.14285714285714285</v>
      </c>
      <c r="K12" s="49">
        <f>'Avg Week Jinja Rd-Kiira '!K12+'Avg Week Kiira-JinjaRoad'!K12</f>
        <v>0</v>
      </c>
      <c r="L12" s="49">
        <f>'Avg Week Jinja Rd-Kiira '!L12+'Avg Week Kiira-JinjaRoad'!L12</f>
        <v>0.7142857142857143</v>
      </c>
      <c r="M12" s="49">
        <f>'Avg Week Jinja Rd-Kiira '!M12+'Avg Week Kiira-JinjaRoad'!M12</f>
        <v>251.42857142857144</v>
      </c>
      <c r="N12" s="49">
        <f>'Avg Week Jinja Rd-Kiira '!N12+'Avg Week Kiira-JinjaRoad'!N12</f>
        <v>0</v>
      </c>
      <c r="O12" s="15">
        <f t="shared" si="0"/>
        <v>219.42857142857144</v>
      </c>
      <c r="P12" s="15">
        <f t="shared" si="1"/>
        <v>470.85714285714289</v>
      </c>
      <c r="R12" s="1" t="s">
        <v>8</v>
      </c>
      <c r="S12" s="17">
        <f t="shared" ref="S12:AF12" si="4">SUM(C18:C21)</f>
        <v>712.42857142857144</v>
      </c>
      <c r="T12" s="17">
        <f t="shared" si="4"/>
        <v>318.85714285714289</v>
      </c>
      <c r="U12" s="17">
        <f t="shared" si="4"/>
        <v>103.14285714285714</v>
      </c>
      <c r="V12" s="17">
        <f t="shared" si="4"/>
        <v>29.571428571428573</v>
      </c>
      <c r="W12" s="17">
        <f t="shared" si="4"/>
        <v>3.1428571428571428</v>
      </c>
      <c r="X12" s="17">
        <f t="shared" si="4"/>
        <v>1.4285714285714284</v>
      </c>
      <c r="Y12" s="17">
        <f t="shared" si="4"/>
        <v>35</v>
      </c>
      <c r="Z12" s="17">
        <f t="shared" si="4"/>
        <v>14.285714285714285</v>
      </c>
      <c r="AA12" s="17">
        <f t="shared" si="4"/>
        <v>4.4285714285714288</v>
      </c>
      <c r="AB12" s="17">
        <f t="shared" si="4"/>
        <v>1.7142857142857142</v>
      </c>
      <c r="AC12" s="17">
        <f t="shared" si="4"/>
        <v>1235.5714285714284</v>
      </c>
      <c r="AD12" s="17">
        <f t="shared" si="4"/>
        <v>0.14285714285714285</v>
      </c>
      <c r="AE12" s="31">
        <f t="shared" si="4"/>
        <v>1224.1428571428571</v>
      </c>
      <c r="AF12" s="31">
        <f t="shared" si="4"/>
        <v>2459.7142857142858</v>
      </c>
    </row>
    <row r="13" spans="2:32" ht="23.1" customHeight="1" x14ac:dyDescent="0.25">
      <c r="B13" s="23" t="s">
        <v>40</v>
      </c>
      <c r="C13" s="49">
        <f>'Avg Week Jinja Rd-Kiira '!C13+'Avg Week Kiira-JinjaRoad'!C13</f>
        <v>141</v>
      </c>
      <c r="D13" s="49">
        <f>'Avg Week Jinja Rd-Kiira '!D13+'Avg Week Kiira-JinjaRoad'!D13</f>
        <v>53.285714285714285</v>
      </c>
      <c r="E13" s="49">
        <f>'Avg Week Jinja Rd-Kiira '!E13+'Avg Week Kiira-JinjaRoad'!E13</f>
        <v>16.714285714285715</v>
      </c>
      <c r="F13" s="49">
        <f>'Avg Week Jinja Rd-Kiira '!F13+'Avg Week Kiira-JinjaRoad'!F13</f>
        <v>8.7142857142857135</v>
      </c>
      <c r="G13" s="49">
        <f>'Avg Week Jinja Rd-Kiira '!G13+'Avg Week Kiira-JinjaRoad'!G13</f>
        <v>0.71428571428571419</v>
      </c>
      <c r="H13" s="49">
        <f>'Avg Week Jinja Rd-Kiira '!H13+'Avg Week Kiira-JinjaRoad'!H13</f>
        <v>0</v>
      </c>
      <c r="I13" s="49">
        <f>'Avg Week Jinja Rd-Kiira '!I13+'Avg Week Kiira-JinjaRoad'!I13</f>
        <v>3.2857142857142856</v>
      </c>
      <c r="J13" s="49">
        <f>'Avg Week Jinja Rd-Kiira '!J13+'Avg Week Kiira-JinjaRoad'!J13</f>
        <v>1</v>
      </c>
      <c r="K13" s="49">
        <f>'Avg Week Jinja Rd-Kiira '!K13+'Avg Week Kiira-JinjaRoad'!K13</f>
        <v>0.14285714285714285</v>
      </c>
      <c r="L13" s="49">
        <f>'Avg Week Jinja Rd-Kiira '!L13+'Avg Week Kiira-JinjaRoad'!L13</f>
        <v>0.14285714285714285</v>
      </c>
      <c r="M13" s="49">
        <f>'Avg Week Jinja Rd-Kiira '!M13+'Avg Week Kiira-JinjaRoad'!M13</f>
        <v>319</v>
      </c>
      <c r="N13" s="49">
        <f>'Avg Week Jinja Rd-Kiira '!N13+'Avg Week Kiira-JinjaRoad'!N13</f>
        <v>0</v>
      </c>
      <c r="O13" s="15">
        <f t="shared" si="0"/>
        <v>225</v>
      </c>
      <c r="P13" s="15">
        <f t="shared" si="1"/>
        <v>544</v>
      </c>
      <c r="R13" s="1" t="s">
        <v>9</v>
      </c>
      <c r="S13" s="17">
        <f t="shared" ref="S13:AF13" si="5">SUM(C22:C25)</f>
        <v>743.28571428571422</v>
      </c>
      <c r="T13" s="17">
        <f t="shared" si="5"/>
        <v>357.71428571428572</v>
      </c>
      <c r="U13" s="17">
        <f t="shared" si="5"/>
        <v>123.14285714285714</v>
      </c>
      <c r="V13" s="17">
        <f t="shared" si="5"/>
        <v>45.142857142857139</v>
      </c>
      <c r="W13" s="17">
        <f t="shared" si="5"/>
        <v>2.4285714285714284</v>
      </c>
      <c r="X13" s="17">
        <f t="shared" si="5"/>
        <v>0.2857142857142857</v>
      </c>
      <c r="Y13" s="17">
        <f t="shared" si="5"/>
        <v>33.714285714285715</v>
      </c>
      <c r="Z13" s="17">
        <f t="shared" si="5"/>
        <v>14.714285714285715</v>
      </c>
      <c r="AA13" s="17">
        <f t="shared" si="5"/>
        <v>4.2857142857142856</v>
      </c>
      <c r="AB13" s="17">
        <f t="shared" si="5"/>
        <v>2.2857142857142856</v>
      </c>
      <c r="AC13" s="17">
        <f t="shared" si="5"/>
        <v>1220.1428571428571</v>
      </c>
      <c r="AD13" s="17">
        <f t="shared" si="5"/>
        <v>0.14285714285714285</v>
      </c>
      <c r="AE13" s="31">
        <f t="shared" si="5"/>
        <v>1327.1428571428573</v>
      </c>
      <c r="AF13" s="31">
        <f t="shared" si="5"/>
        <v>2547.2857142857142</v>
      </c>
    </row>
    <row r="14" spans="2:32" ht="23.1" customHeight="1" x14ac:dyDescent="0.25">
      <c r="B14" s="23" t="s">
        <v>41</v>
      </c>
      <c r="C14" s="49">
        <f>'Avg Week Jinja Rd-Kiira '!C14+'Avg Week Kiira-JinjaRoad'!C14</f>
        <v>153.14285714285714</v>
      </c>
      <c r="D14" s="49">
        <f>'Avg Week Jinja Rd-Kiira '!D14+'Avg Week Kiira-JinjaRoad'!D14</f>
        <v>58.285714285714278</v>
      </c>
      <c r="E14" s="49">
        <f>'Avg Week Jinja Rd-Kiira '!E14+'Avg Week Kiira-JinjaRoad'!E14</f>
        <v>19.571428571428573</v>
      </c>
      <c r="F14" s="49">
        <f>'Avg Week Jinja Rd-Kiira '!F14+'Avg Week Kiira-JinjaRoad'!F14</f>
        <v>9.8571428571428577</v>
      </c>
      <c r="G14" s="49">
        <f>'Avg Week Jinja Rd-Kiira '!G14+'Avg Week Kiira-JinjaRoad'!G14</f>
        <v>0.5714285714285714</v>
      </c>
      <c r="H14" s="49">
        <f>'Avg Week Jinja Rd-Kiira '!H14+'Avg Week Kiira-JinjaRoad'!H14</f>
        <v>0</v>
      </c>
      <c r="I14" s="49">
        <f>'Avg Week Jinja Rd-Kiira '!I14+'Avg Week Kiira-JinjaRoad'!I14</f>
        <v>5</v>
      </c>
      <c r="J14" s="49">
        <f>'Avg Week Jinja Rd-Kiira '!J14+'Avg Week Kiira-JinjaRoad'!J14</f>
        <v>1.8571428571428572</v>
      </c>
      <c r="K14" s="49">
        <f>'Avg Week Jinja Rd-Kiira '!K14+'Avg Week Kiira-JinjaRoad'!K14</f>
        <v>0.42857142857142855</v>
      </c>
      <c r="L14" s="49">
        <f>'Avg Week Jinja Rd-Kiira '!L14+'Avg Week Kiira-JinjaRoad'!L14</f>
        <v>0.5714285714285714</v>
      </c>
      <c r="M14" s="49">
        <f>'Avg Week Jinja Rd-Kiira '!M14+'Avg Week Kiira-JinjaRoad'!M14</f>
        <v>334.28571428571428</v>
      </c>
      <c r="N14" s="49">
        <f>'Avg Week Jinja Rd-Kiira '!N14+'Avg Week Kiira-JinjaRoad'!N14</f>
        <v>0</v>
      </c>
      <c r="O14" s="15">
        <f t="shared" si="0"/>
        <v>249.28571428571431</v>
      </c>
      <c r="P14" s="15">
        <f t="shared" si="1"/>
        <v>583.57142857142856</v>
      </c>
      <c r="R14" s="1" t="s">
        <v>10</v>
      </c>
      <c r="S14" s="17">
        <f t="shared" ref="S14:AF14" si="6">SUM(C26:C29)</f>
        <v>709.57142857142856</v>
      </c>
      <c r="T14" s="17">
        <f t="shared" si="6"/>
        <v>363.14285714285717</v>
      </c>
      <c r="U14" s="17">
        <f t="shared" si="6"/>
        <v>102.57142857142857</v>
      </c>
      <c r="V14" s="17">
        <f t="shared" si="6"/>
        <v>34</v>
      </c>
      <c r="W14" s="17">
        <f t="shared" si="6"/>
        <v>1.5714285714285712</v>
      </c>
      <c r="X14" s="17">
        <f t="shared" si="6"/>
        <v>1.1428571428571428</v>
      </c>
      <c r="Y14" s="17">
        <f t="shared" si="6"/>
        <v>32.428571428571431</v>
      </c>
      <c r="Z14" s="17">
        <f t="shared" si="6"/>
        <v>11.714285714285714</v>
      </c>
      <c r="AA14" s="17">
        <f t="shared" si="6"/>
        <v>3.4285714285714288</v>
      </c>
      <c r="AB14" s="17">
        <f t="shared" si="6"/>
        <v>1.857142857142857</v>
      </c>
      <c r="AC14" s="17">
        <f t="shared" si="6"/>
        <v>1228</v>
      </c>
      <c r="AD14" s="17">
        <f t="shared" si="6"/>
        <v>0</v>
      </c>
      <c r="AE14" s="31">
        <f t="shared" si="6"/>
        <v>1261.4285714285713</v>
      </c>
      <c r="AF14" s="31">
        <f t="shared" si="6"/>
        <v>2489.4285714285716</v>
      </c>
    </row>
    <row r="15" spans="2:32" ht="23.1" customHeight="1" x14ac:dyDescent="0.25">
      <c r="B15" s="23" t="s">
        <v>42</v>
      </c>
      <c r="C15" s="49">
        <f>'Avg Week Jinja Rd-Kiira '!C15+'Avg Week Kiira-JinjaRoad'!C15</f>
        <v>159.85714285714286</v>
      </c>
      <c r="D15" s="49">
        <f>'Avg Week Jinja Rd-Kiira '!D15+'Avg Week Kiira-JinjaRoad'!D15</f>
        <v>63</v>
      </c>
      <c r="E15" s="49">
        <f>'Avg Week Jinja Rd-Kiira '!E15+'Avg Week Kiira-JinjaRoad'!E15</f>
        <v>19.428571428571427</v>
      </c>
      <c r="F15" s="49">
        <f>'Avg Week Jinja Rd-Kiira '!F15+'Avg Week Kiira-JinjaRoad'!F15</f>
        <v>8.1428571428571423</v>
      </c>
      <c r="G15" s="49">
        <f>'Avg Week Jinja Rd-Kiira '!G15+'Avg Week Kiira-JinjaRoad'!G15</f>
        <v>0.2857142857142857</v>
      </c>
      <c r="H15" s="49">
        <f>'Avg Week Jinja Rd-Kiira '!H15+'Avg Week Kiira-JinjaRoad'!H15</f>
        <v>0.42857142857142855</v>
      </c>
      <c r="I15" s="49">
        <f>'Avg Week Jinja Rd-Kiira '!I15+'Avg Week Kiira-JinjaRoad'!I15</f>
        <v>6.8571428571428568</v>
      </c>
      <c r="J15" s="49">
        <f>'Avg Week Jinja Rd-Kiira '!J15+'Avg Week Kiira-JinjaRoad'!J15</f>
        <v>1.5714285714285714</v>
      </c>
      <c r="K15" s="49">
        <f>'Avg Week Jinja Rd-Kiira '!K15+'Avg Week Kiira-JinjaRoad'!K15</f>
        <v>0.2857142857142857</v>
      </c>
      <c r="L15" s="49">
        <f>'Avg Week Jinja Rd-Kiira '!L15+'Avg Week Kiira-JinjaRoad'!L15</f>
        <v>0.5714285714285714</v>
      </c>
      <c r="M15" s="49">
        <f>'Avg Week Jinja Rd-Kiira '!M15+'Avg Week Kiira-JinjaRoad'!M15</f>
        <v>346.71428571428572</v>
      </c>
      <c r="N15" s="49">
        <f>'Avg Week Jinja Rd-Kiira '!N15+'Avg Week Kiira-JinjaRoad'!N15</f>
        <v>0</v>
      </c>
      <c r="O15" s="15">
        <f t="shared" si="0"/>
        <v>260.42857142857133</v>
      </c>
      <c r="P15" s="15">
        <f t="shared" si="1"/>
        <v>607.14285714285711</v>
      </c>
      <c r="R15" s="1" t="s">
        <v>11</v>
      </c>
      <c r="S15" s="17">
        <f t="shared" ref="S15:AF15" si="7">SUM(C30:C33)</f>
        <v>771.57142857142867</v>
      </c>
      <c r="T15" s="17">
        <f t="shared" si="7"/>
        <v>378.85714285714289</v>
      </c>
      <c r="U15" s="17">
        <f t="shared" si="7"/>
        <v>118.42857142857144</v>
      </c>
      <c r="V15" s="17">
        <f t="shared" si="7"/>
        <v>33.571428571428569</v>
      </c>
      <c r="W15" s="17">
        <f t="shared" si="7"/>
        <v>1.1428571428571428</v>
      </c>
      <c r="X15" s="17">
        <f t="shared" si="7"/>
        <v>0.8571428571428571</v>
      </c>
      <c r="Y15" s="17">
        <f t="shared" si="7"/>
        <v>39.428571428571431</v>
      </c>
      <c r="Z15" s="17">
        <f t="shared" si="7"/>
        <v>14.285714285714286</v>
      </c>
      <c r="AA15" s="17">
        <f t="shared" si="7"/>
        <v>4.2857142857142856</v>
      </c>
      <c r="AB15" s="17">
        <f t="shared" si="7"/>
        <v>1.714285714285714</v>
      </c>
      <c r="AC15" s="17">
        <f t="shared" si="7"/>
        <v>1207.8571428571427</v>
      </c>
      <c r="AD15" s="17">
        <f t="shared" si="7"/>
        <v>0</v>
      </c>
      <c r="AE15" s="31">
        <f t="shared" si="7"/>
        <v>1364.1428571428573</v>
      </c>
      <c r="AF15" s="31">
        <f t="shared" si="7"/>
        <v>2572</v>
      </c>
    </row>
    <row r="16" spans="2:32" ht="23.1" customHeight="1" x14ac:dyDescent="0.25">
      <c r="B16" s="23" t="s">
        <v>43</v>
      </c>
      <c r="C16" s="49">
        <f>'Avg Week Jinja Rd-Kiira '!C16+'Avg Week Kiira-JinjaRoad'!C16</f>
        <v>143.42857142857142</v>
      </c>
      <c r="D16" s="49">
        <f>'Avg Week Jinja Rd-Kiira '!D16+'Avg Week Kiira-JinjaRoad'!D16</f>
        <v>63</v>
      </c>
      <c r="E16" s="49">
        <f>'Avg Week Jinja Rd-Kiira '!E16+'Avg Week Kiira-JinjaRoad'!E16</f>
        <v>19.142857142857142</v>
      </c>
      <c r="F16" s="49">
        <f>'Avg Week Jinja Rd-Kiira '!F16+'Avg Week Kiira-JinjaRoad'!F16</f>
        <v>6.7142857142857144</v>
      </c>
      <c r="G16" s="49">
        <f>'Avg Week Jinja Rd-Kiira '!G16+'Avg Week Kiira-JinjaRoad'!G16</f>
        <v>0.42857142857142855</v>
      </c>
      <c r="H16" s="49">
        <f>'Avg Week Jinja Rd-Kiira '!H16+'Avg Week Kiira-JinjaRoad'!H16</f>
        <v>0</v>
      </c>
      <c r="I16" s="49">
        <f>'Avg Week Jinja Rd-Kiira '!I16+'Avg Week Kiira-JinjaRoad'!I16</f>
        <v>6.2857142857142856</v>
      </c>
      <c r="J16" s="49">
        <f>'Avg Week Jinja Rd-Kiira '!J16+'Avg Week Kiira-JinjaRoad'!J16</f>
        <v>2.4285714285714284</v>
      </c>
      <c r="K16" s="49">
        <f>'Avg Week Jinja Rd-Kiira '!K16+'Avg Week Kiira-JinjaRoad'!K16</f>
        <v>0.42857142857142855</v>
      </c>
      <c r="L16" s="49">
        <f>'Avg Week Jinja Rd-Kiira '!L16+'Avg Week Kiira-JinjaRoad'!L16</f>
        <v>0.14285714285714285</v>
      </c>
      <c r="M16" s="49">
        <f>'Avg Week Jinja Rd-Kiira '!M16+'Avg Week Kiira-JinjaRoad'!M16</f>
        <v>330.28571428571433</v>
      </c>
      <c r="N16" s="49">
        <f>'Avg Week Jinja Rd-Kiira '!N16+'Avg Week Kiira-JinjaRoad'!N16</f>
        <v>0</v>
      </c>
      <c r="O16" s="15">
        <f t="shared" si="0"/>
        <v>241.99999999999994</v>
      </c>
      <c r="P16" s="15">
        <f t="shared" si="1"/>
        <v>572.28571428571422</v>
      </c>
      <c r="R16" s="1" t="s">
        <v>12</v>
      </c>
      <c r="S16" s="17">
        <f t="shared" ref="S16:AF16" si="8">SUM(C34:C37)</f>
        <v>788.14285714285711</v>
      </c>
      <c r="T16" s="17">
        <f t="shared" si="8"/>
        <v>412.57142857142856</v>
      </c>
      <c r="U16" s="17">
        <f t="shared" si="8"/>
        <v>130.85714285714286</v>
      </c>
      <c r="V16" s="17">
        <f t="shared" si="8"/>
        <v>38.88095238095238</v>
      </c>
      <c r="W16" s="17">
        <f t="shared" si="8"/>
        <v>3.1428571428571432</v>
      </c>
      <c r="X16" s="17">
        <f t="shared" si="8"/>
        <v>0.5714285714285714</v>
      </c>
      <c r="Y16" s="17">
        <f t="shared" si="8"/>
        <v>33.428571428571431</v>
      </c>
      <c r="Z16" s="17">
        <f t="shared" si="8"/>
        <v>12.428571428571427</v>
      </c>
      <c r="AA16" s="17">
        <f t="shared" si="8"/>
        <v>2.2857142857142856</v>
      </c>
      <c r="AB16" s="17">
        <f t="shared" si="8"/>
        <v>1</v>
      </c>
      <c r="AC16" s="17">
        <f t="shared" si="8"/>
        <v>1179.4285714285716</v>
      </c>
      <c r="AD16" s="17">
        <f t="shared" si="8"/>
        <v>0</v>
      </c>
      <c r="AE16" s="31">
        <f t="shared" si="8"/>
        <v>1423.3095238095239</v>
      </c>
      <c r="AF16" s="31">
        <f t="shared" si="8"/>
        <v>2602.7380952380954</v>
      </c>
    </row>
    <row r="17" spans="2:32" ht="23.1" customHeight="1" x14ac:dyDescent="0.25">
      <c r="B17" s="23" t="s">
        <v>44</v>
      </c>
      <c r="C17" s="49">
        <f>'Avg Week Jinja Rd-Kiira '!C17+'Avg Week Kiira-JinjaRoad'!C17</f>
        <v>150.71428571428572</v>
      </c>
      <c r="D17" s="49">
        <f>'Avg Week Jinja Rd-Kiira '!D17+'Avg Week Kiira-JinjaRoad'!D17</f>
        <v>59.142857142857146</v>
      </c>
      <c r="E17" s="49">
        <f>'Avg Week Jinja Rd-Kiira '!E17+'Avg Week Kiira-JinjaRoad'!E17</f>
        <v>20.714285714285715</v>
      </c>
      <c r="F17" s="49">
        <f>'Avg Week Jinja Rd-Kiira '!F17+'Avg Week Kiira-JinjaRoad'!F17</f>
        <v>6.1428571428571423</v>
      </c>
      <c r="G17" s="49">
        <f>'Avg Week Jinja Rd-Kiira '!G17+'Avg Week Kiira-JinjaRoad'!G17</f>
        <v>0.42857142857142855</v>
      </c>
      <c r="H17" s="49">
        <f>'Avg Week Jinja Rd-Kiira '!H17+'Avg Week Kiira-JinjaRoad'!H17</f>
        <v>0</v>
      </c>
      <c r="I17" s="49">
        <f>'Avg Week Jinja Rd-Kiira '!I17+'Avg Week Kiira-JinjaRoad'!I17</f>
        <v>7</v>
      </c>
      <c r="J17" s="49">
        <f>'Avg Week Jinja Rd-Kiira '!J17+'Avg Week Kiira-JinjaRoad'!J17</f>
        <v>2.1428571428571428</v>
      </c>
      <c r="K17" s="49">
        <f>'Avg Week Jinja Rd-Kiira '!K17+'Avg Week Kiira-JinjaRoad'!K17</f>
        <v>0.71428571428571419</v>
      </c>
      <c r="L17" s="49">
        <f>'Avg Week Jinja Rd-Kiira '!L17+'Avg Week Kiira-JinjaRoad'!L17</f>
        <v>0.42857142857142855</v>
      </c>
      <c r="M17" s="49">
        <f>'Avg Week Jinja Rd-Kiira '!M17+'Avg Week Kiira-JinjaRoad'!M17</f>
        <v>335</v>
      </c>
      <c r="N17" s="49">
        <f>'Avg Week Jinja Rd-Kiira '!N17+'Avg Week Kiira-JinjaRoad'!N17</f>
        <v>0</v>
      </c>
      <c r="O17" s="15">
        <f t="shared" si="0"/>
        <v>247.42857142857142</v>
      </c>
      <c r="P17" s="15">
        <f t="shared" si="1"/>
        <v>582.42857142857144</v>
      </c>
      <c r="R17" s="1" t="s">
        <v>13</v>
      </c>
      <c r="S17" s="17">
        <f t="shared" ref="S17:AF17" si="9">SUM(C38:C41)</f>
        <v>850.57142857142867</v>
      </c>
      <c r="T17" s="17">
        <f t="shared" si="9"/>
        <v>385.28571428571422</v>
      </c>
      <c r="U17" s="17">
        <f t="shared" si="9"/>
        <v>91.142857142857139</v>
      </c>
      <c r="V17" s="17">
        <f t="shared" si="9"/>
        <v>44.428571428571431</v>
      </c>
      <c r="W17" s="17">
        <f t="shared" si="9"/>
        <v>1.1428571428571428</v>
      </c>
      <c r="X17" s="17">
        <f t="shared" si="9"/>
        <v>0.85714285714285698</v>
      </c>
      <c r="Y17" s="17">
        <f t="shared" si="9"/>
        <v>31.142857142857142</v>
      </c>
      <c r="Z17" s="17">
        <f t="shared" si="9"/>
        <v>12.285714285714285</v>
      </c>
      <c r="AA17" s="17">
        <f t="shared" si="9"/>
        <v>3.5714285714285712</v>
      </c>
      <c r="AB17" s="17">
        <f t="shared" si="9"/>
        <v>0.8571428571428571</v>
      </c>
      <c r="AC17" s="17">
        <f t="shared" si="9"/>
        <v>1205.8571428571427</v>
      </c>
      <c r="AD17" s="17">
        <f t="shared" si="9"/>
        <v>0.14285714285714285</v>
      </c>
      <c r="AE17" s="31">
        <f t="shared" si="9"/>
        <v>1421.4285714285716</v>
      </c>
      <c r="AF17" s="31">
        <f t="shared" si="9"/>
        <v>2627.2857142857142</v>
      </c>
    </row>
    <row r="18" spans="2:32" ht="23.1" customHeight="1" x14ac:dyDescent="0.25">
      <c r="B18" s="23" t="s">
        <v>45</v>
      </c>
      <c r="C18" s="49">
        <f>'Avg Week Jinja Rd-Kiira '!C18+'Avg Week Kiira-JinjaRoad'!C18</f>
        <v>172.14285714285714</v>
      </c>
      <c r="D18" s="49">
        <f>'Avg Week Jinja Rd-Kiira '!D18+'Avg Week Kiira-JinjaRoad'!D18</f>
        <v>71.714285714285722</v>
      </c>
      <c r="E18" s="49">
        <f>'Avg Week Jinja Rd-Kiira '!E18+'Avg Week Kiira-JinjaRoad'!E18</f>
        <v>21.428571428571427</v>
      </c>
      <c r="F18" s="49">
        <f>'Avg Week Jinja Rd-Kiira '!F18+'Avg Week Kiira-JinjaRoad'!F18</f>
        <v>6</v>
      </c>
      <c r="G18" s="49">
        <f>'Avg Week Jinja Rd-Kiira '!G18+'Avg Week Kiira-JinjaRoad'!G18</f>
        <v>0.85714285714285721</v>
      </c>
      <c r="H18" s="49">
        <f>'Avg Week Jinja Rd-Kiira '!H18+'Avg Week Kiira-JinjaRoad'!H18</f>
        <v>0</v>
      </c>
      <c r="I18" s="49">
        <f>'Avg Week Jinja Rd-Kiira '!I18+'Avg Week Kiira-JinjaRoad'!I18</f>
        <v>7.2857142857142856</v>
      </c>
      <c r="J18" s="49">
        <f>'Avg Week Jinja Rd-Kiira '!J18+'Avg Week Kiira-JinjaRoad'!J18</f>
        <v>2.7142857142857144</v>
      </c>
      <c r="K18" s="49">
        <f>'Avg Week Jinja Rd-Kiira '!K18+'Avg Week Kiira-JinjaRoad'!K18</f>
        <v>1</v>
      </c>
      <c r="L18" s="49">
        <f>'Avg Week Jinja Rd-Kiira '!L18+'Avg Week Kiira-JinjaRoad'!L18</f>
        <v>0.2857142857142857</v>
      </c>
      <c r="M18" s="49">
        <f>'Avg Week Jinja Rd-Kiira '!M18+'Avg Week Kiira-JinjaRoad'!M18</f>
        <v>309.57142857142856</v>
      </c>
      <c r="N18" s="49">
        <f>'Avg Week Jinja Rd-Kiira '!N18+'Avg Week Kiira-JinjaRoad'!N18</f>
        <v>0</v>
      </c>
      <c r="O18" s="15">
        <f t="shared" si="0"/>
        <v>283.42857142857139</v>
      </c>
      <c r="P18" s="15">
        <f t="shared" si="1"/>
        <v>593</v>
      </c>
      <c r="R18" s="1" t="s">
        <v>14</v>
      </c>
      <c r="S18" s="17">
        <f t="shared" ref="S18:AF18" si="10">SUM(C42:C45)</f>
        <v>788.42857142857144</v>
      </c>
      <c r="T18" s="17">
        <f t="shared" si="10"/>
        <v>385.42857142857144</v>
      </c>
      <c r="U18" s="17">
        <f t="shared" si="10"/>
        <v>96.428571428571431</v>
      </c>
      <c r="V18" s="17">
        <f t="shared" si="10"/>
        <v>38.571428571428569</v>
      </c>
      <c r="W18" s="17">
        <f t="shared" si="10"/>
        <v>1.2857142857142856</v>
      </c>
      <c r="X18" s="17">
        <f t="shared" si="10"/>
        <v>0.42857142857142855</v>
      </c>
      <c r="Y18" s="17">
        <f t="shared" si="10"/>
        <v>38.428571428571431</v>
      </c>
      <c r="Z18" s="17">
        <f t="shared" si="10"/>
        <v>13.285714285714285</v>
      </c>
      <c r="AA18" s="17">
        <f t="shared" si="10"/>
        <v>3.2857142857142856</v>
      </c>
      <c r="AB18" s="17">
        <f t="shared" si="10"/>
        <v>2.2857142857142856</v>
      </c>
      <c r="AC18" s="17">
        <f t="shared" si="10"/>
        <v>1326</v>
      </c>
      <c r="AD18" s="17">
        <f t="shared" si="10"/>
        <v>0</v>
      </c>
      <c r="AE18" s="31">
        <f t="shared" si="10"/>
        <v>1367.8571428571429</v>
      </c>
      <c r="AF18" s="31">
        <f t="shared" si="10"/>
        <v>2693.8571428571431</v>
      </c>
    </row>
    <row r="19" spans="2:32" ht="23.1" customHeight="1" x14ac:dyDescent="0.25">
      <c r="B19" s="23" t="s">
        <v>46</v>
      </c>
      <c r="C19" s="49">
        <f>'Avg Week Jinja Rd-Kiira '!C19+'Avg Week Kiira-JinjaRoad'!C19</f>
        <v>177.71428571428572</v>
      </c>
      <c r="D19" s="49">
        <f>'Avg Week Jinja Rd-Kiira '!D19+'Avg Week Kiira-JinjaRoad'!D19</f>
        <v>75.714285714285708</v>
      </c>
      <c r="E19" s="49">
        <f>'Avg Week Jinja Rd-Kiira '!E19+'Avg Week Kiira-JinjaRoad'!E19</f>
        <v>25.142857142857142</v>
      </c>
      <c r="F19" s="49">
        <f>'Avg Week Jinja Rd-Kiira '!F19+'Avg Week Kiira-JinjaRoad'!F19</f>
        <v>7.4285714285714288</v>
      </c>
      <c r="G19" s="49">
        <f>'Avg Week Jinja Rd-Kiira '!G19+'Avg Week Kiira-JinjaRoad'!G19</f>
        <v>0.42857142857142855</v>
      </c>
      <c r="H19" s="49">
        <f>'Avg Week Jinja Rd-Kiira '!H19+'Avg Week Kiira-JinjaRoad'!H19</f>
        <v>0.5714285714285714</v>
      </c>
      <c r="I19" s="49">
        <f>'Avg Week Jinja Rd-Kiira '!I19+'Avg Week Kiira-JinjaRoad'!I19</f>
        <v>8.1428571428571423</v>
      </c>
      <c r="J19" s="49">
        <f>'Avg Week Jinja Rd-Kiira '!J19+'Avg Week Kiira-JinjaRoad'!J19</f>
        <v>5.1428571428571423</v>
      </c>
      <c r="K19" s="49">
        <f>'Avg Week Jinja Rd-Kiira '!K19+'Avg Week Kiira-JinjaRoad'!K19</f>
        <v>1</v>
      </c>
      <c r="L19" s="49">
        <f>'Avg Week Jinja Rd-Kiira '!L19+'Avg Week Kiira-JinjaRoad'!L19</f>
        <v>0</v>
      </c>
      <c r="M19" s="49">
        <f>'Avg Week Jinja Rd-Kiira '!M19+'Avg Week Kiira-JinjaRoad'!M19</f>
        <v>313.28571428571433</v>
      </c>
      <c r="N19" s="49">
        <f>'Avg Week Jinja Rd-Kiira '!N19+'Avg Week Kiira-JinjaRoad'!N19</f>
        <v>0.14285714285714285</v>
      </c>
      <c r="O19" s="15">
        <f t="shared" si="0"/>
        <v>301.42857142857156</v>
      </c>
      <c r="P19" s="15">
        <f t="shared" si="1"/>
        <v>614.71428571428578</v>
      </c>
      <c r="R19" s="1" t="s">
        <v>15</v>
      </c>
      <c r="S19" s="17">
        <f t="shared" ref="S19:AF19" si="11">SUM(C46:C49)</f>
        <v>816.42857142857133</v>
      </c>
      <c r="T19" s="17">
        <f t="shared" si="11"/>
        <v>390.57142857142856</v>
      </c>
      <c r="U19" s="17">
        <f t="shared" si="11"/>
        <v>124.57142857142857</v>
      </c>
      <c r="V19" s="17">
        <f t="shared" si="11"/>
        <v>49.428571428571431</v>
      </c>
      <c r="W19" s="17">
        <f t="shared" si="11"/>
        <v>1.4285714285714284</v>
      </c>
      <c r="X19" s="17">
        <f t="shared" si="11"/>
        <v>0.14285714285714285</v>
      </c>
      <c r="Y19" s="17">
        <f t="shared" si="11"/>
        <v>33.714285714285715</v>
      </c>
      <c r="Z19" s="17">
        <f t="shared" si="11"/>
        <v>13.142857142857142</v>
      </c>
      <c r="AA19" s="17">
        <f t="shared" si="11"/>
        <v>2.8571428571428568</v>
      </c>
      <c r="AB19" s="17">
        <f t="shared" si="11"/>
        <v>1.5714285714285712</v>
      </c>
      <c r="AC19" s="17">
        <f t="shared" si="11"/>
        <v>1331.7142857142858</v>
      </c>
      <c r="AD19" s="17">
        <f t="shared" si="11"/>
        <v>0</v>
      </c>
      <c r="AE19" s="31">
        <f t="shared" si="11"/>
        <v>1433.8571428571431</v>
      </c>
      <c r="AF19" s="31">
        <f t="shared" si="11"/>
        <v>2765.5714285714284</v>
      </c>
    </row>
    <row r="20" spans="2:32" ht="23.1" customHeight="1" x14ac:dyDescent="0.25">
      <c r="B20" s="23" t="s">
        <v>47</v>
      </c>
      <c r="C20" s="49">
        <f>'Avg Week Jinja Rd-Kiira '!C20+'Avg Week Kiira-JinjaRoad'!C20</f>
        <v>179.57142857142856</v>
      </c>
      <c r="D20" s="49">
        <f>'Avg Week Jinja Rd-Kiira '!D20+'Avg Week Kiira-JinjaRoad'!D20</f>
        <v>97.571428571428584</v>
      </c>
      <c r="E20" s="49">
        <f>'Avg Week Jinja Rd-Kiira '!E20+'Avg Week Kiira-JinjaRoad'!E20</f>
        <v>26</v>
      </c>
      <c r="F20" s="49">
        <f>'Avg Week Jinja Rd-Kiira '!F20+'Avg Week Kiira-JinjaRoad'!F20</f>
        <v>9</v>
      </c>
      <c r="G20" s="49">
        <f>'Avg Week Jinja Rd-Kiira '!G20+'Avg Week Kiira-JinjaRoad'!G20</f>
        <v>1.4285714285714286</v>
      </c>
      <c r="H20" s="49">
        <f>'Avg Week Jinja Rd-Kiira '!H20+'Avg Week Kiira-JinjaRoad'!H20</f>
        <v>0.14285714285714285</v>
      </c>
      <c r="I20" s="49">
        <f>'Avg Week Jinja Rd-Kiira '!I20+'Avg Week Kiira-JinjaRoad'!I20</f>
        <v>10.142857142857142</v>
      </c>
      <c r="J20" s="49">
        <f>'Avg Week Jinja Rd-Kiira '!J20+'Avg Week Kiira-JinjaRoad'!J20</f>
        <v>2.5714285714285712</v>
      </c>
      <c r="K20" s="49">
        <f>'Avg Week Jinja Rd-Kiira '!K20+'Avg Week Kiira-JinjaRoad'!K20</f>
        <v>1.5714285714285716</v>
      </c>
      <c r="L20" s="49">
        <f>'Avg Week Jinja Rd-Kiira '!L20+'Avg Week Kiira-JinjaRoad'!L20</f>
        <v>0.5714285714285714</v>
      </c>
      <c r="M20" s="49">
        <f>'Avg Week Jinja Rd-Kiira '!M20+'Avg Week Kiira-JinjaRoad'!M20</f>
        <v>291.28571428571428</v>
      </c>
      <c r="N20" s="49">
        <f>'Avg Week Jinja Rd-Kiira '!N20+'Avg Week Kiira-JinjaRoad'!N20</f>
        <v>0</v>
      </c>
      <c r="O20" s="15">
        <f t="shared" si="0"/>
        <v>328.57142857142856</v>
      </c>
      <c r="P20" s="15">
        <f t="shared" si="1"/>
        <v>619.85714285714289</v>
      </c>
      <c r="R20" s="1" t="s">
        <v>16</v>
      </c>
      <c r="S20" s="17">
        <f t="shared" ref="S20:AF20" si="12">SUM(C50:C53)</f>
        <v>2170.1428571428569</v>
      </c>
      <c r="T20" s="17">
        <f t="shared" si="12"/>
        <v>416.42857142857144</v>
      </c>
      <c r="U20" s="17">
        <f t="shared" si="12"/>
        <v>121.99999999999999</v>
      </c>
      <c r="V20" s="17">
        <f t="shared" si="12"/>
        <v>41.142857142857139</v>
      </c>
      <c r="W20" s="17">
        <f t="shared" si="12"/>
        <v>2.8571428571428568</v>
      </c>
      <c r="X20" s="17">
        <f t="shared" si="12"/>
        <v>0.2857142857142857</v>
      </c>
      <c r="Y20" s="17">
        <f t="shared" si="12"/>
        <v>26.428571428571427</v>
      </c>
      <c r="Z20" s="17">
        <f t="shared" si="12"/>
        <v>11.285714285714285</v>
      </c>
      <c r="AA20" s="17">
        <f t="shared" si="12"/>
        <v>3.1428571428571428</v>
      </c>
      <c r="AB20" s="17">
        <f t="shared" si="12"/>
        <v>1.1428571428571428</v>
      </c>
      <c r="AC20" s="17">
        <f t="shared" si="12"/>
        <v>1379.4285714285716</v>
      </c>
      <c r="AD20" s="17">
        <f t="shared" si="12"/>
        <v>0</v>
      </c>
      <c r="AE20" s="31">
        <f t="shared" si="12"/>
        <v>2794.8571428571427</v>
      </c>
      <c r="AF20" s="31">
        <f t="shared" si="12"/>
        <v>4174.2857142857138</v>
      </c>
    </row>
    <row r="21" spans="2:32" ht="23.1" customHeight="1" x14ac:dyDescent="0.25">
      <c r="B21" s="23" t="s">
        <v>48</v>
      </c>
      <c r="C21" s="49">
        <f>'Avg Week Jinja Rd-Kiira '!C21+'Avg Week Kiira-JinjaRoad'!C21</f>
        <v>183</v>
      </c>
      <c r="D21" s="49">
        <f>'Avg Week Jinja Rd-Kiira '!D21+'Avg Week Kiira-JinjaRoad'!D21</f>
        <v>73.857142857142861</v>
      </c>
      <c r="E21" s="49">
        <f>'Avg Week Jinja Rd-Kiira '!E21+'Avg Week Kiira-JinjaRoad'!E21</f>
        <v>30.571428571428573</v>
      </c>
      <c r="F21" s="49">
        <f>'Avg Week Jinja Rd-Kiira '!F21+'Avg Week Kiira-JinjaRoad'!F21</f>
        <v>7.1428571428571432</v>
      </c>
      <c r="G21" s="49">
        <f>'Avg Week Jinja Rd-Kiira '!G21+'Avg Week Kiira-JinjaRoad'!G21</f>
        <v>0.42857142857142855</v>
      </c>
      <c r="H21" s="49">
        <f>'Avg Week Jinja Rd-Kiira '!H21+'Avg Week Kiira-JinjaRoad'!H21</f>
        <v>0.7142857142857143</v>
      </c>
      <c r="I21" s="49">
        <f>'Avg Week Jinja Rd-Kiira '!I21+'Avg Week Kiira-JinjaRoad'!I21</f>
        <v>9.4285714285714288</v>
      </c>
      <c r="J21" s="49">
        <f>'Avg Week Jinja Rd-Kiira '!J21+'Avg Week Kiira-JinjaRoad'!J21</f>
        <v>3.8571428571428572</v>
      </c>
      <c r="K21" s="49">
        <f>'Avg Week Jinja Rd-Kiira '!K21+'Avg Week Kiira-JinjaRoad'!K21</f>
        <v>0.8571428571428571</v>
      </c>
      <c r="L21" s="49">
        <f>'Avg Week Jinja Rd-Kiira '!L21+'Avg Week Kiira-JinjaRoad'!L21</f>
        <v>0.8571428571428571</v>
      </c>
      <c r="M21" s="49">
        <f>'Avg Week Jinja Rd-Kiira '!M21+'Avg Week Kiira-JinjaRoad'!M21</f>
        <v>321.42857142857144</v>
      </c>
      <c r="N21" s="49">
        <f>'Avg Week Jinja Rd-Kiira '!N21+'Avg Week Kiira-JinjaRoad'!N21</f>
        <v>0</v>
      </c>
      <c r="O21" s="15">
        <f t="shared" si="0"/>
        <v>310.71428571428572</v>
      </c>
      <c r="P21" s="15">
        <f t="shared" si="1"/>
        <v>632.14285714285711</v>
      </c>
      <c r="R21" s="36" t="s">
        <v>20</v>
      </c>
      <c r="S21" s="34">
        <f t="shared" ref="S21:AF21" si="13">SUM(C54:C57)</f>
        <v>861.57142857142856</v>
      </c>
      <c r="T21" s="17">
        <f t="shared" si="13"/>
        <v>387.57142857142856</v>
      </c>
      <c r="U21" s="17">
        <f t="shared" si="13"/>
        <v>106</v>
      </c>
      <c r="V21" s="17">
        <f t="shared" si="13"/>
        <v>44.714285714285715</v>
      </c>
      <c r="W21" s="17">
        <f t="shared" si="13"/>
        <v>2.8571428571428568</v>
      </c>
      <c r="X21" s="17">
        <f t="shared" si="13"/>
        <v>0.85714285714285698</v>
      </c>
      <c r="Y21" s="17">
        <f t="shared" si="13"/>
        <v>24.285714285714288</v>
      </c>
      <c r="Z21" s="17">
        <f t="shared" si="13"/>
        <v>9</v>
      </c>
      <c r="AA21" s="17">
        <f t="shared" si="13"/>
        <v>2.8571428571428568</v>
      </c>
      <c r="AB21" s="17">
        <f t="shared" si="13"/>
        <v>2.1428571428571423</v>
      </c>
      <c r="AC21" s="17">
        <f t="shared" si="13"/>
        <v>1220.8571428571429</v>
      </c>
      <c r="AD21" s="17">
        <f t="shared" si="13"/>
        <v>61.857142857142854</v>
      </c>
      <c r="AE21" s="31">
        <f t="shared" si="13"/>
        <v>1503.7142857142858</v>
      </c>
      <c r="AF21" s="31">
        <f t="shared" si="13"/>
        <v>2724.5714285714284</v>
      </c>
    </row>
    <row r="22" spans="2:32" ht="23.1" customHeight="1" x14ac:dyDescent="0.25">
      <c r="B22" s="23" t="s">
        <v>49</v>
      </c>
      <c r="C22" s="49">
        <f>'Avg Week Jinja Rd-Kiira '!C22+'Avg Week Kiira-JinjaRoad'!C22</f>
        <v>195.85714285714283</v>
      </c>
      <c r="D22" s="49">
        <f>'Avg Week Jinja Rd-Kiira '!D22+'Avg Week Kiira-JinjaRoad'!D22</f>
        <v>94.142857142857139</v>
      </c>
      <c r="E22" s="49">
        <f>'Avg Week Jinja Rd-Kiira '!E22+'Avg Week Kiira-JinjaRoad'!E22</f>
        <v>46.714285714285715</v>
      </c>
      <c r="F22" s="49">
        <f>'Avg Week Jinja Rd-Kiira '!F22+'Avg Week Kiira-JinjaRoad'!F22</f>
        <v>17.714285714285715</v>
      </c>
      <c r="G22" s="49">
        <f>'Avg Week Jinja Rd-Kiira '!G22+'Avg Week Kiira-JinjaRoad'!G22</f>
        <v>0.42857142857142855</v>
      </c>
      <c r="H22" s="49">
        <f>'Avg Week Jinja Rd-Kiira '!H22+'Avg Week Kiira-JinjaRoad'!H22</f>
        <v>0.14285714285714285</v>
      </c>
      <c r="I22" s="49">
        <f>'Avg Week Jinja Rd-Kiira '!I22+'Avg Week Kiira-JinjaRoad'!I22</f>
        <v>9.5714285714285712</v>
      </c>
      <c r="J22" s="49">
        <f>'Avg Week Jinja Rd-Kiira '!J22+'Avg Week Kiira-JinjaRoad'!J22</f>
        <v>3.4285714285714288</v>
      </c>
      <c r="K22" s="49">
        <f>'Avg Week Jinja Rd-Kiira '!K22+'Avg Week Kiira-JinjaRoad'!K22</f>
        <v>1</v>
      </c>
      <c r="L22" s="49">
        <f>'Avg Week Jinja Rd-Kiira '!L22+'Avg Week Kiira-JinjaRoad'!L22</f>
        <v>0.42857142857142855</v>
      </c>
      <c r="M22" s="49">
        <f>'Avg Week Jinja Rd-Kiira '!M22+'Avg Week Kiira-JinjaRoad'!M22</f>
        <v>290.57142857142856</v>
      </c>
      <c r="N22" s="49">
        <f>'Avg Week Jinja Rd-Kiira '!N22+'Avg Week Kiira-JinjaRoad'!N22</f>
        <v>0</v>
      </c>
      <c r="O22" s="15">
        <f t="shared" si="0"/>
        <v>369.4285714285715</v>
      </c>
      <c r="P22" s="15">
        <f t="shared" si="1"/>
        <v>660</v>
      </c>
      <c r="R22" s="1" t="s">
        <v>146</v>
      </c>
      <c r="S22" s="34">
        <f>SUM(C58:C61)</f>
        <v>687.5</v>
      </c>
      <c r="T22" s="34">
        <f t="shared" ref="T22:AF22" si="14">SUM(D58:D61)</f>
        <v>263</v>
      </c>
      <c r="U22" s="34">
        <f t="shared" si="14"/>
        <v>58</v>
      </c>
      <c r="V22" s="34">
        <f t="shared" si="14"/>
        <v>25</v>
      </c>
      <c r="W22" s="34">
        <f t="shared" si="14"/>
        <v>0.5</v>
      </c>
      <c r="X22" s="34">
        <f t="shared" si="14"/>
        <v>0</v>
      </c>
      <c r="Y22" s="34">
        <f t="shared" si="14"/>
        <v>10.5</v>
      </c>
      <c r="Z22" s="34">
        <f t="shared" si="14"/>
        <v>5.5</v>
      </c>
      <c r="AA22" s="34">
        <f t="shared" si="14"/>
        <v>3.5</v>
      </c>
      <c r="AB22" s="34">
        <f t="shared" si="14"/>
        <v>1</v>
      </c>
      <c r="AC22" s="34">
        <f t="shared" si="14"/>
        <v>1210</v>
      </c>
      <c r="AD22" s="34">
        <f t="shared" si="14"/>
        <v>0</v>
      </c>
      <c r="AE22" s="31">
        <f t="shared" si="14"/>
        <v>1054.5</v>
      </c>
      <c r="AF22" s="31">
        <f t="shared" si="14"/>
        <v>2264.5</v>
      </c>
    </row>
    <row r="23" spans="2:32" ht="23.1" customHeight="1" x14ac:dyDescent="0.25">
      <c r="B23" s="23" t="s">
        <v>50</v>
      </c>
      <c r="C23" s="49">
        <f>'Avg Week Jinja Rd-Kiira '!C23+'Avg Week Kiira-JinjaRoad'!C23</f>
        <v>190.85714285714286</v>
      </c>
      <c r="D23" s="49">
        <f>'Avg Week Jinja Rd-Kiira '!D23+'Avg Week Kiira-JinjaRoad'!D23</f>
        <v>90.714285714285708</v>
      </c>
      <c r="E23" s="49">
        <f>'Avg Week Jinja Rd-Kiira '!E23+'Avg Week Kiira-JinjaRoad'!E23</f>
        <v>25.714285714285715</v>
      </c>
      <c r="F23" s="49">
        <f>'Avg Week Jinja Rd-Kiira '!F23+'Avg Week Kiira-JinjaRoad'!F23</f>
        <v>8</v>
      </c>
      <c r="G23" s="49">
        <f>'Avg Week Jinja Rd-Kiira '!G23+'Avg Week Kiira-JinjaRoad'!G23</f>
        <v>0.5714285714285714</v>
      </c>
      <c r="H23" s="49">
        <f>'Avg Week Jinja Rd-Kiira '!H23+'Avg Week Kiira-JinjaRoad'!H23</f>
        <v>0</v>
      </c>
      <c r="I23" s="49">
        <f>'Avg Week Jinja Rd-Kiira '!I23+'Avg Week Kiira-JinjaRoad'!I23</f>
        <v>7.1428571428571432</v>
      </c>
      <c r="J23" s="49">
        <f>'Avg Week Jinja Rd-Kiira '!J23+'Avg Week Kiira-JinjaRoad'!J23</f>
        <v>3.4285714285714284</v>
      </c>
      <c r="K23" s="49">
        <f>'Avg Week Jinja Rd-Kiira '!K23+'Avg Week Kiira-JinjaRoad'!K23</f>
        <v>1.1428571428571428</v>
      </c>
      <c r="L23" s="49">
        <f>'Avg Week Jinja Rd-Kiira '!L23+'Avg Week Kiira-JinjaRoad'!L23</f>
        <v>0.2857142857142857</v>
      </c>
      <c r="M23" s="49">
        <f>'Avg Week Jinja Rd-Kiira '!M23+'Avg Week Kiira-JinjaRoad'!M23</f>
        <v>293.85714285714289</v>
      </c>
      <c r="N23" s="49">
        <f>'Avg Week Jinja Rd-Kiira '!N23+'Avg Week Kiira-JinjaRoad'!N23</f>
        <v>0.14285714285714285</v>
      </c>
      <c r="O23" s="15">
        <f t="shared" si="0"/>
        <v>328.00000000000006</v>
      </c>
      <c r="P23" s="15">
        <f t="shared" si="1"/>
        <v>621.85714285714289</v>
      </c>
      <c r="R23" s="1" t="s">
        <v>147</v>
      </c>
      <c r="S23" s="34">
        <f>SUM(C62:C65)</f>
        <v>718.5</v>
      </c>
      <c r="T23" s="34">
        <f t="shared" ref="T23:AF23" si="15">SUM(D62:D65)</f>
        <v>209.5</v>
      </c>
      <c r="U23" s="34">
        <f t="shared" si="15"/>
        <v>67</v>
      </c>
      <c r="V23" s="34">
        <f t="shared" si="15"/>
        <v>19</v>
      </c>
      <c r="W23" s="34">
        <f t="shared" si="15"/>
        <v>0.5</v>
      </c>
      <c r="X23" s="34">
        <f t="shared" si="15"/>
        <v>0</v>
      </c>
      <c r="Y23" s="34">
        <f t="shared" si="15"/>
        <v>12.5</v>
      </c>
      <c r="Z23" s="34">
        <f t="shared" si="15"/>
        <v>2.5</v>
      </c>
      <c r="AA23" s="34">
        <f t="shared" si="15"/>
        <v>4.5</v>
      </c>
      <c r="AB23" s="34">
        <f t="shared" si="15"/>
        <v>0.5</v>
      </c>
      <c r="AC23" s="34">
        <f t="shared" si="15"/>
        <v>955.5</v>
      </c>
      <c r="AD23" s="34">
        <f t="shared" si="15"/>
        <v>0</v>
      </c>
      <c r="AE23" s="31">
        <f t="shared" si="15"/>
        <v>1034.5</v>
      </c>
      <c r="AF23" s="31">
        <f t="shared" si="15"/>
        <v>1990</v>
      </c>
    </row>
    <row r="24" spans="2:32" ht="23.1" customHeight="1" x14ac:dyDescent="0.25">
      <c r="B24" s="23" t="s">
        <v>51</v>
      </c>
      <c r="C24" s="49">
        <f>'Avg Week Jinja Rd-Kiira '!C24+'Avg Week Kiira-JinjaRoad'!C24</f>
        <v>186.28571428571428</v>
      </c>
      <c r="D24" s="49">
        <f>'Avg Week Jinja Rd-Kiira '!D24+'Avg Week Kiira-JinjaRoad'!D24</f>
        <v>87.142857142857139</v>
      </c>
      <c r="E24" s="49">
        <f>'Avg Week Jinja Rd-Kiira '!E24+'Avg Week Kiira-JinjaRoad'!E24</f>
        <v>27.571428571428569</v>
      </c>
      <c r="F24" s="49">
        <f>'Avg Week Jinja Rd-Kiira '!F24+'Avg Week Kiira-JinjaRoad'!F24</f>
        <v>10.285714285714286</v>
      </c>
      <c r="G24" s="49">
        <f>'Avg Week Jinja Rd-Kiira '!G24+'Avg Week Kiira-JinjaRoad'!G24</f>
        <v>0.71428571428571419</v>
      </c>
      <c r="H24" s="49">
        <f>'Avg Week Jinja Rd-Kiira '!H24+'Avg Week Kiira-JinjaRoad'!H24</f>
        <v>0</v>
      </c>
      <c r="I24" s="49">
        <f>'Avg Week Jinja Rd-Kiira '!I24+'Avg Week Kiira-JinjaRoad'!I24</f>
        <v>8.4285714285714288</v>
      </c>
      <c r="J24" s="49">
        <f>'Avg Week Jinja Rd-Kiira '!J24+'Avg Week Kiira-JinjaRoad'!J24</f>
        <v>4.7142857142857144</v>
      </c>
      <c r="K24" s="49">
        <f>'Avg Week Jinja Rd-Kiira '!K24+'Avg Week Kiira-JinjaRoad'!K24</f>
        <v>1.1428571428571428</v>
      </c>
      <c r="L24" s="49">
        <f>'Avg Week Jinja Rd-Kiira '!L24+'Avg Week Kiira-JinjaRoad'!L24</f>
        <v>1.2857142857142856</v>
      </c>
      <c r="M24" s="49">
        <f>'Avg Week Jinja Rd-Kiira '!M24+'Avg Week Kiira-JinjaRoad'!M24</f>
        <v>305.57142857142856</v>
      </c>
      <c r="N24" s="49">
        <f>'Avg Week Jinja Rd-Kiira '!N24+'Avg Week Kiira-JinjaRoad'!N24</f>
        <v>0</v>
      </c>
      <c r="O24" s="15">
        <f t="shared" si="0"/>
        <v>327.57142857142861</v>
      </c>
      <c r="P24" s="15">
        <f t="shared" si="1"/>
        <v>633.14285714285711</v>
      </c>
      <c r="R24" s="1" t="s">
        <v>148</v>
      </c>
      <c r="S24" s="34">
        <f>SUM(C66:C69)</f>
        <v>553.5</v>
      </c>
      <c r="T24" s="34">
        <f t="shared" ref="T24:AF24" si="16">SUM(D66:D69)</f>
        <v>200.5</v>
      </c>
      <c r="U24" s="34">
        <f t="shared" si="16"/>
        <v>49</v>
      </c>
      <c r="V24" s="34">
        <f t="shared" si="16"/>
        <v>18</v>
      </c>
      <c r="W24" s="34">
        <f t="shared" si="16"/>
        <v>2</v>
      </c>
      <c r="X24" s="34">
        <f t="shared" si="16"/>
        <v>0.5</v>
      </c>
      <c r="Y24" s="34">
        <f t="shared" si="16"/>
        <v>7</v>
      </c>
      <c r="Z24" s="34">
        <f t="shared" si="16"/>
        <v>3.5</v>
      </c>
      <c r="AA24" s="34">
        <f t="shared" si="16"/>
        <v>2</v>
      </c>
      <c r="AB24" s="34">
        <f t="shared" si="16"/>
        <v>0.5</v>
      </c>
      <c r="AC24" s="34">
        <f t="shared" si="16"/>
        <v>533.5</v>
      </c>
      <c r="AD24" s="34">
        <f t="shared" si="16"/>
        <v>0</v>
      </c>
      <c r="AE24" s="31">
        <f t="shared" si="16"/>
        <v>836.5</v>
      </c>
      <c r="AF24" s="31">
        <f t="shared" si="16"/>
        <v>1370</v>
      </c>
    </row>
    <row r="25" spans="2:32" ht="23.1" customHeight="1" x14ac:dyDescent="0.25">
      <c r="B25" s="23" t="s">
        <v>52</v>
      </c>
      <c r="C25" s="49">
        <f>'Avg Week Jinja Rd-Kiira '!C25+'Avg Week Kiira-JinjaRoad'!C25</f>
        <v>170.28571428571428</v>
      </c>
      <c r="D25" s="49">
        <f>'Avg Week Jinja Rd-Kiira '!D25+'Avg Week Kiira-JinjaRoad'!D25</f>
        <v>85.714285714285708</v>
      </c>
      <c r="E25" s="49">
        <f>'Avg Week Jinja Rd-Kiira '!E25+'Avg Week Kiira-JinjaRoad'!E25</f>
        <v>23.142857142857142</v>
      </c>
      <c r="F25" s="49">
        <f>'Avg Week Jinja Rd-Kiira '!F25+'Avg Week Kiira-JinjaRoad'!F25</f>
        <v>9.1428571428571423</v>
      </c>
      <c r="G25" s="49">
        <f>'Avg Week Jinja Rd-Kiira '!G25+'Avg Week Kiira-JinjaRoad'!G25</f>
        <v>0.71428571428571419</v>
      </c>
      <c r="H25" s="49">
        <f>'Avg Week Jinja Rd-Kiira '!H25+'Avg Week Kiira-JinjaRoad'!H25</f>
        <v>0.14285714285714285</v>
      </c>
      <c r="I25" s="49">
        <f>'Avg Week Jinja Rd-Kiira '!I25+'Avg Week Kiira-JinjaRoad'!I25</f>
        <v>8.5714285714285712</v>
      </c>
      <c r="J25" s="49">
        <f>'Avg Week Jinja Rd-Kiira '!J25+'Avg Week Kiira-JinjaRoad'!J25</f>
        <v>3.1428571428571428</v>
      </c>
      <c r="K25" s="49">
        <f>'Avg Week Jinja Rd-Kiira '!K25+'Avg Week Kiira-JinjaRoad'!K25</f>
        <v>1</v>
      </c>
      <c r="L25" s="49">
        <f>'Avg Week Jinja Rd-Kiira '!L25+'Avg Week Kiira-JinjaRoad'!L25</f>
        <v>0.2857142857142857</v>
      </c>
      <c r="M25" s="49">
        <f>'Avg Week Jinja Rd-Kiira '!M25+'Avg Week Kiira-JinjaRoad'!M25</f>
        <v>330.14285714285711</v>
      </c>
      <c r="N25" s="49">
        <f>'Avg Week Jinja Rd-Kiira '!N25+'Avg Week Kiira-JinjaRoad'!N25</f>
        <v>0</v>
      </c>
      <c r="O25" s="15">
        <f t="shared" si="0"/>
        <v>302.14285714285722</v>
      </c>
      <c r="P25" s="15">
        <f t="shared" si="1"/>
        <v>632.28571428571433</v>
      </c>
      <c r="R25" s="1" t="s">
        <v>149</v>
      </c>
      <c r="S25" s="34">
        <f>SUM(C70:C73)</f>
        <v>523</v>
      </c>
      <c r="T25" s="34">
        <f t="shared" ref="T25:AF25" si="17">SUM(D70:D73)</f>
        <v>148</v>
      </c>
      <c r="U25" s="34">
        <f t="shared" si="17"/>
        <v>36.5</v>
      </c>
      <c r="V25" s="34">
        <f t="shared" si="17"/>
        <v>15.5</v>
      </c>
      <c r="W25" s="34">
        <f t="shared" si="17"/>
        <v>0</v>
      </c>
      <c r="X25" s="34">
        <f t="shared" si="17"/>
        <v>0</v>
      </c>
      <c r="Y25" s="34">
        <f t="shared" si="17"/>
        <v>5</v>
      </c>
      <c r="Z25" s="34">
        <f t="shared" si="17"/>
        <v>2</v>
      </c>
      <c r="AA25" s="34">
        <f t="shared" si="17"/>
        <v>1</v>
      </c>
      <c r="AB25" s="34">
        <f t="shared" si="17"/>
        <v>0.5</v>
      </c>
      <c r="AC25" s="34">
        <f t="shared" si="17"/>
        <v>423.5</v>
      </c>
      <c r="AD25" s="34">
        <f t="shared" si="17"/>
        <v>0</v>
      </c>
      <c r="AE25" s="31">
        <f t="shared" si="17"/>
        <v>731.5</v>
      </c>
      <c r="AF25" s="31">
        <f t="shared" si="17"/>
        <v>1155</v>
      </c>
    </row>
    <row r="26" spans="2:32" ht="23.1" customHeight="1" x14ac:dyDescent="0.25">
      <c r="B26" s="23" t="s">
        <v>53</v>
      </c>
      <c r="C26" s="49">
        <f>'Avg Week Jinja Rd-Kiira '!C26+'Avg Week Kiira-JinjaRoad'!C26</f>
        <v>190.71428571428572</v>
      </c>
      <c r="D26" s="49">
        <f>'Avg Week Jinja Rd-Kiira '!D26+'Avg Week Kiira-JinjaRoad'!D26</f>
        <v>97.285714285714278</v>
      </c>
      <c r="E26" s="49">
        <f>'Avg Week Jinja Rd-Kiira '!E26+'Avg Week Kiira-JinjaRoad'!E26</f>
        <v>25.285714285714285</v>
      </c>
      <c r="F26" s="49">
        <f>'Avg Week Jinja Rd-Kiira '!F26+'Avg Week Kiira-JinjaRoad'!F26</f>
        <v>9.2857142857142847</v>
      </c>
      <c r="G26" s="49">
        <f>'Avg Week Jinja Rd-Kiira '!G26+'Avg Week Kiira-JinjaRoad'!G26</f>
        <v>0.5714285714285714</v>
      </c>
      <c r="H26" s="49">
        <f>'Avg Week Jinja Rd-Kiira '!H26+'Avg Week Kiira-JinjaRoad'!H26</f>
        <v>0</v>
      </c>
      <c r="I26" s="49">
        <f>'Avg Week Jinja Rd-Kiira '!I26+'Avg Week Kiira-JinjaRoad'!I26</f>
        <v>8.7142857142857153</v>
      </c>
      <c r="J26" s="49">
        <f>'Avg Week Jinja Rd-Kiira '!J26+'Avg Week Kiira-JinjaRoad'!J26</f>
        <v>3.1428571428571428</v>
      </c>
      <c r="K26" s="49">
        <f>'Avg Week Jinja Rd-Kiira '!K26+'Avg Week Kiira-JinjaRoad'!K26</f>
        <v>1</v>
      </c>
      <c r="L26" s="49">
        <f>'Avg Week Jinja Rd-Kiira '!L26+'Avg Week Kiira-JinjaRoad'!L26</f>
        <v>0.71428571428571419</v>
      </c>
      <c r="M26" s="49">
        <f>'Avg Week Jinja Rd-Kiira '!M26+'Avg Week Kiira-JinjaRoad'!M26</f>
        <v>304.14285714285711</v>
      </c>
      <c r="N26" s="49">
        <f>'Avg Week Jinja Rd-Kiira '!N26+'Avg Week Kiira-JinjaRoad'!N26</f>
        <v>0</v>
      </c>
      <c r="O26" s="15">
        <f t="shared" si="0"/>
        <v>336.71428571428572</v>
      </c>
      <c r="P26" s="15">
        <f t="shared" si="1"/>
        <v>640.85714285714289</v>
      </c>
      <c r="R26" s="1" t="s">
        <v>150</v>
      </c>
      <c r="S26" s="34">
        <f>SUM(C74:C77)</f>
        <v>418.5</v>
      </c>
      <c r="T26" s="34">
        <f t="shared" ref="T26:AF26" si="18">SUM(D74:D77)</f>
        <v>136</v>
      </c>
      <c r="U26" s="34">
        <f t="shared" si="18"/>
        <v>34.5</v>
      </c>
      <c r="V26" s="34">
        <f t="shared" si="18"/>
        <v>6.5</v>
      </c>
      <c r="W26" s="34">
        <f t="shared" si="18"/>
        <v>1.5</v>
      </c>
      <c r="X26" s="34">
        <f t="shared" si="18"/>
        <v>0</v>
      </c>
      <c r="Y26" s="34">
        <f t="shared" si="18"/>
        <v>2.5</v>
      </c>
      <c r="Z26" s="34">
        <f t="shared" si="18"/>
        <v>2.5</v>
      </c>
      <c r="AA26" s="34">
        <f t="shared" si="18"/>
        <v>0.5</v>
      </c>
      <c r="AB26" s="34">
        <f t="shared" si="18"/>
        <v>0</v>
      </c>
      <c r="AC26" s="34">
        <f t="shared" si="18"/>
        <v>379.5</v>
      </c>
      <c r="AD26" s="34">
        <f t="shared" si="18"/>
        <v>0</v>
      </c>
      <c r="AE26" s="31">
        <f t="shared" si="18"/>
        <v>602.5</v>
      </c>
      <c r="AF26" s="31">
        <f t="shared" si="18"/>
        <v>982</v>
      </c>
    </row>
    <row r="27" spans="2:32" ht="23.1" customHeight="1" x14ac:dyDescent="0.25">
      <c r="B27" s="23" t="s">
        <v>54</v>
      </c>
      <c r="C27" s="49">
        <f>'Avg Week Jinja Rd-Kiira '!C27+'Avg Week Kiira-JinjaRoad'!C27</f>
        <v>179.71428571428572</v>
      </c>
      <c r="D27" s="49">
        <f>'Avg Week Jinja Rd-Kiira '!D27+'Avg Week Kiira-JinjaRoad'!D27</f>
        <v>83.714285714285722</v>
      </c>
      <c r="E27" s="49">
        <f>'Avg Week Jinja Rd-Kiira '!E27+'Avg Week Kiira-JinjaRoad'!E27</f>
        <v>28.142857142857142</v>
      </c>
      <c r="F27" s="49">
        <f>'Avg Week Jinja Rd-Kiira '!F27+'Avg Week Kiira-JinjaRoad'!F27</f>
        <v>9.1428571428571423</v>
      </c>
      <c r="G27" s="49">
        <f>'Avg Week Jinja Rd-Kiira '!G27+'Avg Week Kiira-JinjaRoad'!G27</f>
        <v>0.2857142857142857</v>
      </c>
      <c r="H27" s="49">
        <f>'Avg Week Jinja Rd-Kiira '!H27+'Avg Week Kiira-JinjaRoad'!H27</f>
        <v>0</v>
      </c>
      <c r="I27" s="49">
        <f>'Avg Week Jinja Rd-Kiira '!I27+'Avg Week Kiira-JinjaRoad'!I27</f>
        <v>8.8571428571428577</v>
      </c>
      <c r="J27" s="49">
        <f>'Avg Week Jinja Rd-Kiira '!J27+'Avg Week Kiira-JinjaRoad'!J27</f>
        <v>2.4285714285714288</v>
      </c>
      <c r="K27" s="49">
        <f>'Avg Week Jinja Rd-Kiira '!K27+'Avg Week Kiira-JinjaRoad'!K27</f>
        <v>0</v>
      </c>
      <c r="L27" s="49">
        <f>'Avg Week Jinja Rd-Kiira '!L27+'Avg Week Kiira-JinjaRoad'!L27</f>
        <v>0.2857142857142857</v>
      </c>
      <c r="M27" s="49">
        <f>'Avg Week Jinja Rd-Kiira '!M27+'Avg Week Kiira-JinjaRoad'!M27</f>
        <v>291.71428571428572</v>
      </c>
      <c r="N27" s="49">
        <f>'Avg Week Jinja Rd-Kiira '!N27+'Avg Week Kiira-JinjaRoad'!N27</f>
        <v>0</v>
      </c>
      <c r="O27" s="15">
        <f t="shared" si="0"/>
        <v>312.57142857142861</v>
      </c>
      <c r="P27" s="15">
        <f t="shared" si="1"/>
        <v>604.28571428571433</v>
      </c>
      <c r="R27" s="1" t="s">
        <v>151</v>
      </c>
      <c r="S27" s="34">
        <f>SUM(C78:C81)</f>
        <v>296</v>
      </c>
      <c r="T27" s="34">
        <f t="shared" ref="T27:AF27" si="19">SUM(D78:D81)</f>
        <v>86.5</v>
      </c>
      <c r="U27" s="34">
        <f t="shared" si="19"/>
        <v>14</v>
      </c>
      <c r="V27" s="34">
        <f t="shared" si="19"/>
        <v>6</v>
      </c>
      <c r="W27" s="34">
        <f t="shared" si="19"/>
        <v>0</v>
      </c>
      <c r="X27" s="34">
        <f t="shared" si="19"/>
        <v>0.5</v>
      </c>
      <c r="Y27" s="34">
        <f t="shared" si="19"/>
        <v>3</v>
      </c>
      <c r="Z27" s="34">
        <f t="shared" si="19"/>
        <v>2.5</v>
      </c>
      <c r="AA27" s="34">
        <f t="shared" si="19"/>
        <v>0</v>
      </c>
      <c r="AB27" s="34">
        <f t="shared" si="19"/>
        <v>0</v>
      </c>
      <c r="AC27" s="34">
        <f t="shared" si="19"/>
        <v>242</v>
      </c>
      <c r="AD27" s="34">
        <f t="shared" si="19"/>
        <v>0</v>
      </c>
      <c r="AE27" s="31">
        <f t="shared" si="19"/>
        <v>408.5</v>
      </c>
      <c r="AF27" s="31">
        <f t="shared" si="19"/>
        <v>650.5</v>
      </c>
    </row>
    <row r="28" spans="2:32" ht="23.1" customHeight="1" x14ac:dyDescent="0.25">
      <c r="B28" s="23" t="s">
        <v>55</v>
      </c>
      <c r="C28" s="49">
        <f>'Avg Week Jinja Rd-Kiira '!C28+'Avg Week Kiira-JinjaRoad'!C28</f>
        <v>175.71428571428572</v>
      </c>
      <c r="D28" s="49">
        <f>'Avg Week Jinja Rd-Kiira '!D28+'Avg Week Kiira-JinjaRoad'!D28</f>
        <v>88.428571428571431</v>
      </c>
      <c r="E28" s="49">
        <f>'Avg Week Jinja Rd-Kiira '!E28+'Avg Week Kiira-JinjaRoad'!E28</f>
        <v>27.714285714285715</v>
      </c>
      <c r="F28" s="49">
        <f>'Avg Week Jinja Rd-Kiira '!F28+'Avg Week Kiira-JinjaRoad'!F28</f>
        <v>7.5714285714285712</v>
      </c>
      <c r="G28" s="49">
        <f>'Avg Week Jinja Rd-Kiira '!G28+'Avg Week Kiira-JinjaRoad'!G28</f>
        <v>0.5714285714285714</v>
      </c>
      <c r="H28" s="49">
        <f>'Avg Week Jinja Rd-Kiira '!H28+'Avg Week Kiira-JinjaRoad'!H28</f>
        <v>0.14285714285714285</v>
      </c>
      <c r="I28" s="49">
        <f>'Avg Week Jinja Rd-Kiira '!I28+'Avg Week Kiira-JinjaRoad'!I28</f>
        <v>8</v>
      </c>
      <c r="J28" s="49">
        <f>'Avg Week Jinja Rd-Kiira '!J28+'Avg Week Kiira-JinjaRoad'!J28</f>
        <v>3.5714285714285712</v>
      </c>
      <c r="K28" s="49">
        <f>'Avg Week Jinja Rd-Kiira '!K28+'Avg Week Kiira-JinjaRoad'!K28</f>
        <v>1.8571428571428572</v>
      </c>
      <c r="L28" s="49">
        <f>'Avg Week Jinja Rd-Kiira '!L28+'Avg Week Kiira-JinjaRoad'!L28</f>
        <v>0.2857142857142857</v>
      </c>
      <c r="M28" s="49">
        <f>'Avg Week Jinja Rd-Kiira '!M28+'Avg Week Kiira-JinjaRoad'!M28</f>
        <v>327.14285714285711</v>
      </c>
      <c r="N28" s="49">
        <f>'Avg Week Jinja Rd-Kiira '!N28+'Avg Week Kiira-JinjaRoad'!N28</f>
        <v>0</v>
      </c>
      <c r="O28" s="15">
        <f t="shared" si="0"/>
        <v>313.85714285714283</v>
      </c>
      <c r="P28" s="15">
        <f t="shared" si="1"/>
        <v>641</v>
      </c>
      <c r="R28" s="1" t="s">
        <v>152</v>
      </c>
      <c r="S28" s="34">
        <f>SUM(C82:C85)</f>
        <v>229.5</v>
      </c>
      <c r="T28" s="34">
        <f t="shared" ref="T28:AF28" si="20">SUM(D82:D85)</f>
        <v>76</v>
      </c>
      <c r="U28" s="34">
        <f t="shared" si="20"/>
        <v>6</v>
      </c>
      <c r="V28" s="34">
        <f t="shared" si="20"/>
        <v>3.5</v>
      </c>
      <c r="W28" s="34">
        <f t="shared" si="20"/>
        <v>0</v>
      </c>
      <c r="X28" s="34">
        <f t="shared" si="20"/>
        <v>0</v>
      </c>
      <c r="Y28" s="34">
        <f t="shared" si="20"/>
        <v>1</v>
      </c>
      <c r="Z28" s="34">
        <f t="shared" si="20"/>
        <v>2</v>
      </c>
      <c r="AA28" s="34">
        <f t="shared" si="20"/>
        <v>0</v>
      </c>
      <c r="AB28" s="34">
        <f t="shared" si="20"/>
        <v>0.5</v>
      </c>
      <c r="AC28" s="34">
        <f t="shared" si="20"/>
        <v>153.5</v>
      </c>
      <c r="AD28" s="34">
        <f t="shared" si="20"/>
        <v>0</v>
      </c>
      <c r="AE28" s="31">
        <f t="shared" si="20"/>
        <v>318.5</v>
      </c>
      <c r="AF28" s="31">
        <f t="shared" si="20"/>
        <v>472</v>
      </c>
    </row>
    <row r="29" spans="2:32" ht="23.1" customHeight="1" x14ac:dyDescent="0.25">
      <c r="B29" s="23" t="s">
        <v>56</v>
      </c>
      <c r="C29" s="49">
        <f>'Avg Week Jinja Rd-Kiira '!C29+'Avg Week Kiira-JinjaRoad'!C29</f>
        <v>163.42857142857144</v>
      </c>
      <c r="D29" s="49">
        <f>'Avg Week Jinja Rd-Kiira '!D29+'Avg Week Kiira-JinjaRoad'!D29</f>
        <v>93.714285714285722</v>
      </c>
      <c r="E29" s="49">
        <f>'Avg Week Jinja Rd-Kiira '!E29+'Avg Week Kiira-JinjaRoad'!E29</f>
        <v>21.428571428571427</v>
      </c>
      <c r="F29" s="49">
        <f>'Avg Week Jinja Rd-Kiira '!F29+'Avg Week Kiira-JinjaRoad'!F29</f>
        <v>8</v>
      </c>
      <c r="G29" s="49">
        <f>'Avg Week Jinja Rd-Kiira '!G29+'Avg Week Kiira-JinjaRoad'!G29</f>
        <v>0.14285714285714285</v>
      </c>
      <c r="H29" s="49">
        <f>'Avg Week Jinja Rd-Kiira '!H29+'Avg Week Kiira-JinjaRoad'!H29</f>
        <v>1</v>
      </c>
      <c r="I29" s="49">
        <f>'Avg Week Jinja Rd-Kiira '!I29+'Avg Week Kiira-JinjaRoad'!I29</f>
        <v>6.8571428571428577</v>
      </c>
      <c r="J29" s="49">
        <f>'Avg Week Jinja Rd-Kiira '!J29+'Avg Week Kiira-JinjaRoad'!J29</f>
        <v>2.5714285714285716</v>
      </c>
      <c r="K29" s="49">
        <f>'Avg Week Jinja Rd-Kiira '!K29+'Avg Week Kiira-JinjaRoad'!K29</f>
        <v>0.5714285714285714</v>
      </c>
      <c r="L29" s="49">
        <f>'Avg Week Jinja Rd-Kiira '!L29+'Avg Week Kiira-JinjaRoad'!L29</f>
        <v>0.5714285714285714</v>
      </c>
      <c r="M29" s="49">
        <f>'Avg Week Jinja Rd-Kiira '!M29+'Avg Week Kiira-JinjaRoad'!M29</f>
        <v>305</v>
      </c>
      <c r="N29" s="49">
        <f>'Avg Week Jinja Rd-Kiira '!N29+'Avg Week Kiira-JinjaRoad'!N29</f>
        <v>0</v>
      </c>
      <c r="O29" s="15">
        <f t="shared" si="0"/>
        <v>298.28571428571428</v>
      </c>
      <c r="P29" s="15">
        <f t="shared" si="1"/>
        <v>603.28571428571422</v>
      </c>
      <c r="R29" s="1" t="s">
        <v>153</v>
      </c>
      <c r="S29" s="34">
        <f>SUM(C86:C89)</f>
        <v>166.5</v>
      </c>
      <c r="T29" s="34">
        <f t="shared" ref="T29:AF29" si="21">SUM(D86:D89)</f>
        <v>51</v>
      </c>
      <c r="U29" s="34">
        <f t="shared" si="21"/>
        <v>5.5</v>
      </c>
      <c r="V29" s="34">
        <f t="shared" si="21"/>
        <v>4</v>
      </c>
      <c r="W29" s="34">
        <f t="shared" si="21"/>
        <v>0.5</v>
      </c>
      <c r="X29" s="34">
        <f t="shared" si="21"/>
        <v>0</v>
      </c>
      <c r="Y29" s="34">
        <f t="shared" si="21"/>
        <v>0.5</v>
      </c>
      <c r="Z29" s="34">
        <f t="shared" si="21"/>
        <v>0</v>
      </c>
      <c r="AA29" s="34">
        <f t="shared" si="21"/>
        <v>0</v>
      </c>
      <c r="AB29" s="34">
        <f t="shared" si="21"/>
        <v>0</v>
      </c>
      <c r="AC29" s="34">
        <f t="shared" si="21"/>
        <v>111.5</v>
      </c>
      <c r="AD29" s="34">
        <f t="shared" si="21"/>
        <v>0</v>
      </c>
      <c r="AE29" s="31">
        <f t="shared" si="21"/>
        <v>228</v>
      </c>
      <c r="AF29" s="31">
        <f t="shared" si="21"/>
        <v>339.5</v>
      </c>
    </row>
    <row r="30" spans="2:32" ht="23.1" customHeight="1" x14ac:dyDescent="0.25">
      <c r="B30" s="23" t="s">
        <v>57</v>
      </c>
      <c r="C30" s="49">
        <f>'Avg Week Jinja Rd-Kiira '!C30+'Avg Week Kiira-JinjaRoad'!C30</f>
        <v>197.42857142857144</v>
      </c>
      <c r="D30" s="49">
        <f>'Avg Week Jinja Rd-Kiira '!D30+'Avg Week Kiira-JinjaRoad'!D30</f>
        <v>97.428571428571431</v>
      </c>
      <c r="E30" s="49">
        <f>'Avg Week Jinja Rd-Kiira '!E30+'Avg Week Kiira-JinjaRoad'!E30</f>
        <v>32.142857142857146</v>
      </c>
      <c r="F30" s="49">
        <f>'Avg Week Jinja Rd-Kiira '!F30+'Avg Week Kiira-JinjaRoad'!F30</f>
        <v>7.1428571428571432</v>
      </c>
      <c r="G30" s="49">
        <f>'Avg Week Jinja Rd-Kiira '!G30+'Avg Week Kiira-JinjaRoad'!G30</f>
        <v>0.42857142857142855</v>
      </c>
      <c r="H30" s="49">
        <f>'Avg Week Jinja Rd-Kiira '!H30+'Avg Week Kiira-JinjaRoad'!H30</f>
        <v>0.2857142857142857</v>
      </c>
      <c r="I30" s="49">
        <f>'Avg Week Jinja Rd-Kiira '!I30+'Avg Week Kiira-JinjaRoad'!I30</f>
        <v>9.5714285714285712</v>
      </c>
      <c r="J30" s="49">
        <f>'Avg Week Jinja Rd-Kiira '!J30+'Avg Week Kiira-JinjaRoad'!J30</f>
        <v>3.4285714285714288</v>
      </c>
      <c r="K30" s="49">
        <f>'Avg Week Jinja Rd-Kiira '!K30+'Avg Week Kiira-JinjaRoad'!K30</f>
        <v>1</v>
      </c>
      <c r="L30" s="49">
        <f>'Avg Week Jinja Rd-Kiira '!L30+'Avg Week Kiira-JinjaRoad'!L30</f>
        <v>0.42857142857142855</v>
      </c>
      <c r="M30" s="49">
        <f>'Avg Week Jinja Rd-Kiira '!M30+'Avg Week Kiira-JinjaRoad'!M30</f>
        <v>312.57142857142856</v>
      </c>
      <c r="N30" s="49">
        <f>'Avg Week Jinja Rd-Kiira '!N30+'Avg Week Kiira-JinjaRoad'!N30</f>
        <v>0</v>
      </c>
      <c r="O30" s="15">
        <f t="shared" si="0"/>
        <v>349.28571428571439</v>
      </c>
      <c r="P30" s="15">
        <f t="shared" si="1"/>
        <v>661.85714285714289</v>
      </c>
      <c r="R30" s="1" t="s">
        <v>154</v>
      </c>
      <c r="S30" s="34">
        <f>SUM(C90:C93)</f>
        <v>125</v>
      </c>
      <c r="T30" s="34">
        <f t="shared" ref="T30:AF30" si="22">SUM(D90:D93)</f>
        <v>36.5</v>
      </c>
      <c r="U30" s="34">
        <f t="shared" si="22"/>
        <v>3.5</v>
      </c>
      <c r="V30" s="34">
        <f t="shared" si="22"/>
        <v>5.5</v>
      </c>
      <c r="W30" s="34">
        <f t="shared" si="22"/>
        <v>0</v>
      </c>
      <c r="X30" s="34">
        <f t="shared" si="22"/>
        <v>0</v>
      </c>
      <c r="Y30" s="34">
        <f t="shared" si="22"/>
        <v>0.5</v>
      </c>
      <c r="Z30" s="34">
        <f t="shared" si="22"/>
        <v>2</v>
      </c>
      <c r="AA30" s="34">
        <f t="shared" si="22"/>
        <v>0</v>
      </c>
      <c r="AB30" s="34">
        <f t="shared" si="22"/>
        <v>0</v>
      </c>
      <c r="AC30" s="34">
        <f t="shared" si="22"/>
        <v>72.5</v>
      </c>
      <c r="AD30" s="34">
        <f t="shared" si="22"/>
        <v>0</v>
      </c>
      <c r="AE30" s="31">
        <f t="shared" si="22"/>
        <v>173</v>
      </c>
      <c r="AF30" s="31">
        <f t="shared" si="22"/>
        <v>245.5</v>
      </c>
    </row>
    <row r="31" spans="2:32" ht="23.1" customHeight="1" x14ac:dyDescent="0.25">
      <c r="B31" s="24" t="s">
        <v>58</v>
      </c>
      <c r="C31" s="49">
        <f>'Avg Week Jinja Rd-Kiira '!C31+'Avg Week Kiira-JinjaRoad'!C31</f>
        <v>190.85714285714283</v>
      </c>
      <c r="D31" s="49">
        <f>'Avg Week Jinja Rd-Kiira '!D31+'Avg Week Kiira-JinjaRoad'!D31</f>
        <v>89.285714285714278</v>
      </c>
      <c r="E31" s="49">
        <f>'Avg Week Jinja Rd-Kiira '!E31+'Avg Week Kiira-JinjaRoad'!E31</f>
        <v>26.571428571428573</v>
      </c>
      <c r="F31" s="49">
        <f>'Avg Week Jinja Rd-Kiira '!F31+'Avg Week Kiira-JinjaRoad'!F31</f>
        <v>8.2857142857142847</v>
      </c>
      <c r="G31" s="49">
        <f>'Avg Week Jinja Rd-Kiira '!G31+'Avg Week Kiira-JinjaRoad'!G31</f>
        <v>0.14285714285714285</v>
      </c>
      <c r="H31" s="49">
        <f>'Avg Week Jinja Rd-Kiira '!H31+'Avg Week Kiira-JinjaRoad'!H31</f>
        <v>0.14285714285714285</v>
      </c>
      <c r="I31" s="49">
        <f>'Avg Week Jinja Rd-Kiira '!I31+'Avg Week Kiira-JinjaRoad'!I31</f>
        <v>8.1428571428571423</v>
      </c>
      <c r="J31" s="49">
        <f>'Avg Week Jinja Rd-Kiira '!J31+'Avg Week Kiira-JinjaRoad'!J31</f>
        <v>3.8571428571428568</v>
      </c>
      <c r="K31" s="49">
        <f>'Avg Week Jinja Rd-Kiira '!K31+'Avg Week Kiira-JinjaRoad'!K31</f>
        <v>1</v>
      </c>
      <c r="L31" s="49">
        <f>'Avg Week Jinja Rd-Kiira '!L31+'Avg Week Kiira-JinjaRoad'!L31</f>
        <v>0.8571428571428571</v>
      </c>
      <c r="M31" s="49">
        <f>'Avg Week Jinja Rd-Kiira '!M31+'Avg Week Kiira-JinjaRoad'!M31</f>
        <v>311.71428571428572</v>
      </c>
      <c r="N31" s="49">
        <f>'Avg Week Jinja Rd-Kiira '!N31+'Avg Week Kiira-JinjaRoad'!N31</f>
        <v>0</v>
      </c>
      <c r="O31" s="15">
        <f t="shared" si="0"/>
        <v>329.14285714285711</v>
      </c>
      <c r="P31" s="15">
        <f t="shared" si="1"/>
        <v>640.85714285714289</v>
      </c>
      <c r="R31" s="1" t="s">
        <v>155</v>
      </c>
      <c r="S31" s="34">
        <f>SUM(C94:C97)</f>
        <v>95.5</v>
      </c>
      <c r="T31" s="34">
        <f t="shared" ref="T31:AF31" si="23">SUM(D94:D97)</f>
        <v>36</v>
      </c>
      <c r="U31" s="34">
        <f t="shared" si="23"/>
        <v>6</v>
      </c>
      <c r="V31" s="34">
        <f t="shared" si="23"/>
        <v>1</v>
      </c>
      <c r="W31" s="34">
        <f t="shared" si="23"/>
        <v>0</v>
      </c>
      <c r="X31" s="34">
        <f t="shared" si="23"/>
        <v>0</v>
      </c>
      <c r="Y31" s="34">
        <f t="shared" si="23"/>
        <v>2</v>
      </c>
      <c r="Z31" s="34">
        <f t="shared" si="23"/>
        <v>2</v>
      </c>
      <c r="AA31" s="34">
        <f t="shared" si="23"/>
        <v>0.5</v>
      </c>
      <c r="AB31" s="34">
        <f t="shared" si="23"/>
        <v>0</v>
      </c>
      <c r="AC31" s="34">
        <f t="shared" si="23"/>
        <v>93</v>
      </c>
      <c r="AD31" s="34">
        <f t="shared" si="23"/>
        <v>0</v>
      </c>
      <c r="AE31" s="31">
        <f t="shared" si="23"/>
        <v>143</v>
      </c>
      <c r="AF31" s="31">
        <f t="shared" si="23"/>
        <v>236</v>
      </c>
    </row>
    <row r="32" spans="2:32" ht="23.1" customHeight="1" x14ac:dyDescent="0.25">
      <c r="B32" s="24" t="s">
        <v>59</v>
      </c>
      <c r="C32" s="49">
        <f>'Avg Week Jinja Rd-Kiira '!C32+'Avg Week Kiira-JinjaRoad'!C32</f>
        <v>196.57142857142856</v>
      </c>
      <c r="D32" s="49">
        <f>'Avg Week Jinja Rd-Kiira '!D32+'Avg Week Kiira-JinjaRoad'!D32</f>
        <v>97.428571428571431</v>
      </c>
      <c r="E32" s="49">
        <f>'Avg Week Jinja Rd-Kiira '!E32+'Avg Week Kiira-JinjaRoad'!E32</f>
        <v>30.714285714285715</v>
      </c>
      <c r="F32" s="49">
        <f>'Avg Week Jinja Rd-Kiira '!F32+'Avg Week Kiira-JinjaRoad'!F32</f>
        <v>7.1428571428571423</v>
      </c>
      <c r="G32" s="49">
        <f>'Avg Week Jinja Rd-Kiira '!G32+'Avg Week Kiira-JinjaRoad'!G32</f>
        <v>0</v>
      </c>
      <c r="H32" s="49">
        <f>'Avg Week Jinja Rd-Kiira '!H32+'Avg Week Kiira-JinjaRoad'!H32</f>
        <v>0.14285714285714285</v>
      </c>
      <c r="I32" s="49">
        <f>'Avg Week Jinja Rd-Kiira '!I32+'Avg Week Kiira-JinjaRoad'!I32</f>
        <v>12.428571428571429</v>
      </c>
      <c r="J32" s="49">
        <f>'Avg Week Jinja Rd-Kiira '!J32+'Avg Week Kiira-JinjaRoad'!J32</f>
        <v>3.1428571428571428</v>
      </c>
      <c r="K32" s="49">
        <f>'Avg Week Jinja Rd-Kiira '!K32+'Avg Week Kiira-JinjaRoad'!K32</f>
        <v>1.2857142857142856</v>
      </c>
      <c r="L32" s="49">
        <f>'Avg Week Jinja Rd-Kiira '!L32+'Avg Week Kiira-JinjaRoad'!L32</f>
        <v>0.14285714285714285</v>
      </c>
      <c r="M32" s="49">
        <f>'Avg Week Jinja Rd-Kiira '!M32+'Avg Week Kiira-JinjaRoad'!M32</f>
        <v>296.14285714285711</v>
      </c>
      <c r="N32" s="49">
        <f>'Avg Week Jinja Rd-Kiira '!N32+'Avg Week Kiira-JinjaRoad'!N32</f>
        <v>0</v>
      </c>
      <c r="O32" s="15">
        <f t="shared" si="0"/>
        <v>349.00000000000011</v>
      </c>
      <c r="P32" s="15">
        <f t="shared" si="1"/>
        <v>645.14285714285722</v>
      </c>
      <c r="R32" s="1" t="s">
        <v>156</v>
      </c>
      <c r="S32" s="34">
        <f>SUM(C98:C101)</f>
        <v>84.5</v>
      </c>
      <c r="T32" s="34">
        <f t="shared" ref="T32:AF32" si="24">SUM(D98:D101)</f>
        <v>35</v>
      </c>
      <c r="U32" s="34">
        <f t="shared" si="24"/>
        <v>5</v>
      </c>
      <c r="V32" s="34">
        <f t="shared" si="24"/>
        <v>2.5</v>
      </c>
      <c r="W32" s="34">
        <f t="shared" si="24"/>
        <v>0.5</v>
      </c>
      <c r="X32" s="34">
        <f t="shared" si="24"/>
        <v>0</v>
      </c>
      <c r="Y32" s="34">
        <f t="shared" si="24"/>
        <v>1</v>
      </c>
      <c r="Z32" s="34">
        <f t="shared" si="24"/>
        <v>1</v>
      </c>
      <c r="AA32" s="34">
        <f t="shared" si="24"/>
        <v>0</v>
      </c>
      <c r="AB32" s="34">
        <f t="shared" si="24"/>
        <v>0</v>
      </c>
      <c r="AC32" s="34">
        <f t="shared" si="24"/>
        <v>133</v>
      </c>
      <c r="AD32" s="34">
        <f t="shared" si="24"/>
        <v>0</v>
      </c>
      <c r="AE32" s="31">
        <f t="shared" si="24"/>
        <v>129.5</v>
      </c>
      <c r="AF32" s="31">
        <f t="shared" si="24"/>
        <v>262.5</v>
      </c>
    </row>
    <row r="33" spans="2:32" ht="23.1" customHeight="1" x14ac:dyDescent="0.25">
      <c r="B33" s="23" t="s">
        <v>60</v>
      </c>
      <c r="C33" s="49">
        <f>'Avg Week Jinja Rd-Kiira '!C33+'Avg Week Kiira-JinjaRoad'!C33</f>
        <v>186.71428571428572</v>
      </c>
      <c r="D33" s="49">
        <f>'Avg Week Jinja Rd-Kiira '!D33+'Avg Week Kiira-JinjaRoad'!D33</f>
        <v>94.714285714285722</v>
      </c>
      <c r="E33" s="49">
        <f>'Avg Week Jinja Rd-Kiira '!E33+'Avg Week Kiira-JinjaRoad'!E33</f>
        <v>29</v>
      </c>
      <c r="F33" s="49">
        <f>'Avg Week Jinja Rd-Kiira '!F33+'Avg Week Kiira-JinjaRoad'!F33</f>
        <v>11</v>
      </c>
      <c r="G33" s="49">
        <f>'Avg Week Jinja Rd-Kiira '!G33+'Avg Week Kiira-JinjaRoad'!G33</f>
        <v>0.5714285714285714</v>
      </c>
      <c r="H33" s="49">
        <f>'Avg Week Jinja Rd-Kiira '!H33+'Avg Week Kiira-JinjaRoad'!H33</f>
        <v>0.2857142857142857</v>
      </c>
      <c r="I33" s="49">
        <f>'Avg Week Jinja Rd-Kiira '!I33+'Avg Week Kiira-JinjaRoad'!I33</f>
        <v>9.2857142857142847</v>
      </c>
      <c r="J33" s="49">
        <f>'Avg Week Jinja Rd-Kiira '!J33+'Avg Week Kiira-JinjaRoad'!J33</f>
        <v>3.8571428571428577</v>
      </c>
      <c r="K33" s="49">
        <f>'Avg Week Jinja Rd-Kiira '!K33+'Avg Week Kiira-JinjaRoad'!K33</f>
        <v>1</v>
      </c>
      <c r="L33" s="49">
        <f>'Avg Week Jinja Rd-Kiira '!L33+'Avg Week Kiira-JinjaRoad'!L33</f>
        <v>0.2857142857142857</v>
      </c>
      <c r="M33" s="49">
        <f>'Avg Week Jinja Rd-Kiira '!M33+'Avg Week Kiira-JinjaRoad'!M33</f>
        <v>287.42857142857144</v>
      </c>
      <c r="N33" s="49">
        <f>'Avg Week Jinja Rd-Kiira '!N33+'Avg Week Kiira-JinjaRoad'!N33</f>
        <v>0</v>
      </c>
      <c r="O33" s="15">
        <f t="shared" si="0"/>
        <v>336.71428571428567</v>
      </c>
      <c r="P33" s="15">
        <f t="shared" si="1"/>
        <v>624.14285714285711</v>
      </c>
      <c r="R33" s="1" t="s">
        <v>157</v>
      </c>
      <c r="S33" s="34">
        <f>SUM(C102:C105)</f>
        <v>256.5</v>
      </c>
      <c r="T33" s="34">
        <f t="shared" ref="T33:AF33" si="25">SUM(D102:D105)</f>
        <v>64</v>
      </c>
      <c r="U33" s="34">
        <f t="shared" si="25"/>
        <v>22</v>
      </c>
      <c r="V33" s="34">
        <f t="shared" si="25"/>
        <v>5.5</v>
      </c>
      <c r="W33" s="34">
        <f t="shared" si="25"/>
        <v>0.5</v>
      </c>
      <c r="X33" s="34">
        <f t="shared" si="25"/>
        <v>0.5</v>
      </c>
      <c r="Y33" s="34">
        <f t="shared" si="25"/>
        <v>6.5</v>
      </c>
      <c r="Z33" s="34">
        <f t="shared" si="25"/>
        <v>3.5</v>
      </c>
      <c r="AA33" s="34">
        <f t="shared" si="25"/>
        <v>0.5</v>
      </c>
      <c r="AB33" s="34">
        <f t="shared" si="25"/>
        <v>0.5</v>
      </c>
      <c r="AC33" s="34">
        <f t="shared" si="25"/>
        <v>311.5</v>
      </c>
      <c r="AD33" s="34">
        <f t="shared" si="25"/>
        <v>0</v>
      </c>
      <c r="AE33" s="31">
        <f t="shared" si="25"/>
        <v>360</v>
      </c>
      <c r="AF33" s="31">
        <f t="shared" si="25"/>
        <v>671.5</v>
      </c>
    </row>
    <row r="34" spans="2:32" ht="23.1" customHeight="1" x14ac:dyDescent="0.25">
      <c r="B34" s="24" t="s">
        <v>61</v>
      </c>
      <c r="C34" s="49">
        <f>'Avg Week Jinja Rd-Kiira '!C34+'Avg Week Kiira-JinjaRoad'!C34</f>
        <v>221.85714285714286</v>
      </c>
      <c r="D34" s="49">
        <f>'Avg Week Jinja Rd-Kiira '!D34+'Avg Week Kiira-JinjaRoad'!D34</f>
        <v>104.57142857142857</v>
      </c>
      <c r="E34" s="49">
        <f>'Avg Week Jinja Rd-Kiira '!E34+'Avg Week Kiira-JinjaRoad'!E34</f>
        <v>31.428571428571427</v>
      </c>
      <c r="F34" s="49">
        <f>'Avg Week Jinja Rd-Kiira '!F34+'Avg Week Kiira-JinjaRoad'!F34</f>
        <v>13.428571428571429</v>
      </c>
      <c r="G34" s="49">
        <f>'Avg Week Jinja Rd-Kiira '!G34+'Avg Week Kiira-JinjaRoad'!G34</f>
        <v>0.85714285714285721</v>
      </c>
      <c r="H34" s="49">
        <f>'Avg Week Jinja Rd-Kiira '!H34+'Avg Week Kiira-JinjaRoad'!H34</f>
        <v>0.14285714285714285</v>
      </c>
      <c r="I34" s="49">
        <f>'Avg Week Jinja Rd-Kiira '!I34+'Avg Week Kiira-JinjaRoad'!I34</f>
        <v>6</v>
      </c>
      <c r="J34" s="49">
        <f>'Avg Week Jinja Rd-Kiira '!J34+'Avg Week Kiira-JinjaRoad'!J34</f>
        <v>4</v>
      </c>
      <c r="K34" s="49">
        <f>'Avg Week Jinja Rd-Kiira '!K34+'Avg Week Kiira-JinjaRoad'!K34</f>
        <v>0.5714285714285714</v>
      </c>
      <c r="L34" s="49">
        <f>'Avg Week Jinja Rd-Kiira '!L34+'Avg Week Kiira-JinjaRoad'!L34</f>
        <v>0.2857142857142857</v>
      </c>
      <c r="M34" s="49">
        <f>'Avg Week Jinja Rd-Kiira '!M34+'Avg Week Kiira-JinjaRoad'!M34</f>
        <v>257.42857142857144</v>
      </c>
      <c r="N34" s="49">
        <f>'Avg Week Jinja Rd-Kiira '!N34+'Avg Week Kiira-JinjaRoad'!N34</f>
        <v>0</v>
      </c>
      <c r="O34" s="15">
        <f t="shared" si="0"/>
        <v>383.14285714285717</v>
      </c>
      <c r="P34" s="15">
        <f t="shared" si="1"/>
        <v>640.57142857142867</v>
      </c>
      <c r="R34" s="38" t="s">
        <v>90</v>
      </c>
      <c r="S34" s="39">
        <f t="shared" ref="S34:AF34" si="26">MAX(S10:S12)</f>
        <v>712.42857142857144</v>
      </c>
      <c r="T34" s="39">
        <f t="shared" si="26"/>
        <v>318.85714285714289</v>
      </c>
      <c r="U34" s="39">
        <f t="shared" si="26"/>
        <v>103.14285714285714</v>
      </c>
      <c r="V34" s="39">
        <f t="shared" si="26"/>
        <v>30.857142857142858</v>
      </c>
      <c r="W34" s="39">
        <f t="shared" si="26"/>
        <v>3.1428571428571428</v>
      </c>
      <c r="X34" s="39">
        <f t="shared" si="26"/>
        <v>1.4285714285714284</v>
      </c>
      <c r="Y34" s="39">
        <f t="shared" si="26"/>
        <v>35</v>
      </c>
      <c r="Z34" s="39">
        <f t="shared" si="26"/>
        <v>14.285714285714285</v>
      </c>
      <c r="AA34" s="39">
        <f t="shared" si="26"/>
        <v>4.4285714285714288</v>
      </c>
      <c r="AB34" s="39">
        <f t="shared" si="26"/>
        <v>1.7142857142857142</v>
      </c>
      <c r="AC34" s="39">
        <f t="shared" si="26"/>
        <v>1346.2857142857142</v>
      </c>
      <c r="AD34" s="39">
        <f t="shared" si="26"/>
        <v>0.14285714285714285</v>
      </c>
      <c r="AE34" s="40">
        <f t="shared" si="26"/>
        <v>1224.1428571428571</v>
      </c>
      <c r="AF34" s="40">
        <f t="shared" si="26"/>
        <v>2459.7142857142858</v>
      </c>
    </row>
    <row r="35" spans="2:32" ht="23.1" customHeight="1" x14ac:dyDescent="0.25">
      <c r="B35" s="24" t="s">
        <v>62</v>
      </c>
      <c r="C35" s="49">
        <f>'Avg Week Jinja Rd-Kiira '!C35+'Avg Week Kiira-JinjaRoad'!C35</f>
        <v>186.28571428571428</v>
      </c>
      <c r="D35" s="49">
        <f>'Avg Week Jinja Rd-Kiira '!D35+'Avg Week Kiira-JinjaRoad'!D35</f>
        <v>94</v>
      </c>
      <c r="E35" s="49">
        <f>'Avg Week Jinja Rd-Kiira '!E35+'Avg Week Kiira-JinjaRoad'!E35</f>
        <v>38.857142857142861</v>
      </c>
      <c r="F35" s="49">
        <f>'Avg Week Jinja Rd-Kiira '!F35+'Avg Week Kiira-JinjaRoad'!F35</f>
        <v>10.142857142857142</v>
      </c>
      <c r="G35" s="49">
        <f>'Avg Week Jinja Rd-Kiira '!G35+'Avg Week Kiira-JinjaRoad'!G35</f>
        <v>0.42857142857142855</v>
      </c>
      <c r="H35" s="49">
        <f>'Avg Week Jinja Rd-Kiira '!H35+'Avg Week Kiira-JinjaRoad'!H35</f>
        <v>0</v>
      </c>
      <c r="I35" s="49">
        <f>'Avg Week Jinja Rd-Kiira '!I35+'Avg Week Kiira-JinjaRoad'!I35</f>
        <v>9.8571428571428577</v>
      </c>
      <c r="J35" s="49">
        <f>'Avg Week Jinja Rd-Kiira '!J35+'Avg Week Kiira-JinjaRoad'!J35</f>
        <v>3</v>
      </c>
      <c r="K35" s="49">
        <f>'Avg Week Jinja Rd-Kiira '!K35+'Avg Week Kiira-JinjaRoad'!K35</f>
        <v>0.42857142857142855</v>
      </c>
      <c r="L35" s="49">
        <f>'Avg Week Jinja Rd-Kiira '!L35+'Avg Week Kiira-JinjaRoad'!L35</f>
        <v>0.2857142857142857</v>
      </c>
      <c r="M35" s="49">
        <f>'Avg Week Jinja Rd-Kiira '!M35+'Avg Week Kiira-JinjaRoad'!M35</f>
        <v>309.57142857142856</v>
      </c>
      <c r="N35" s="49">
        <f>'Avg Week Jinja Rd-Kiira '!N35+'Avg Week Kiira-JinjaRoad'!N35</f>
        <v>0</v>
      </c>
      <c r="O35" s="15">
        <f t="shared" si="0"/>
        <v>343.28571428571428</v>
      </c>
      <c r="P35" s="15">
        <f t="shared" si="1"/>
        <v>652.85714285714289</v>
      </c>
      <c r="R35" s="38" t="s">
        <v>91</v>
      </c>
      <c r="S35" s="39">
        <f t="shared" ref="S35:AF35" si="27">MAX(S13:S18)</f>
        <v>850.57142857142867</v>
      </c>
      <c r="T35" s="39">
        <f t="shared" si="27"/>
        <v>412.57142857142856</v>
      </c>
      <c r="U35" s="39">
        <f t="shared" si="27"/>
        <v>130.85714285714286</v>
      </c>
      <c r="V35" s="39">
        <f t="shared" si="27"/>
        <v>45.142857142857139</v>
      </c>
      <c r="W35" s="39">
        <f t="shared" si="27"/>
        <v>3.1428571428571432</v>
      </c>
      <c r="X35" s="39">
        <f t="shared" si="27"/>
        <v>1.1428571428571428</v>
      </c>
      <c r="Y35" s="39">
        <f t="shared" si="27"/>
        <v>39.428571428571431</v>
      </c>
      <c r="Z35" s="39">
        <f t="shared" si="27"/>
        <v>14.714285714285715</v>
      </c>
      <c r="AA35" s="39">
        <f t="shared" si="27"/>
        <v>4.2857142857142856</v>
      </c>
      <c r="AB35" s="39">
        <f t="shared" si="27"/>
        <v>2.2857142857142856</v>
      </c>
      <c r="AC35" s="39">
        <f t="shared" si="27"/>
        <v>1326</v>
      </c>
      <c r="AD35" s="39">
        <f t="shared" si="27"/>
        <v>0.14285714285714285</v>
      </c>
      <c r="AE35" s="40">
        <f t="shared" si="27"/>
        <v>1423.3095238095239</v>
      </c>
      <c r="AF35" s="40">
        <f t="shared" si="27"/>
        <v>2693.8571428571431</v>
      </c>
    </row>
    <row r="36" spans="2:32" ht="23.1" customHeight="1" x14ac:dyDescent="0.25">
      <c r="B36" s="24" t="s">
        <v>63</v>
      </c>
      <c r="C36" s="49">
        <f>'Avg Week Jinja Rd-Kiira '!C36+'Avg Week Kiira-JinjaRoad'!C36</f>
        <v>178</v>
      </c>
      <c r="D36" s="49">
        <f>'Avg Week Jinja Rd-Kiira '!D36+'Avg Week Kiira-JinjaRoad'!D36</f>
        <v>111.57142857142858</v>
      </c>
      <c r="E36" s="49">
        <f>'Avg Week Jinja Rd-Kiira '!E36+'Avg Week Kiira-JinjaRoad'!E36</f>
        <v>31.571428571428573</v>
      </c>
      <c r="F36" s="49">
        <f>'Avg Week Jinja Rd-Kiira '!F36+'Avg Week Kiira-JinjaRoad'!F36</f>
        <v>8.2857142857142847</v>
      </c>
      <c r="G36" s="49">
        <f>'Avg Week Jinja Rd-Kiira '!G36+'Avg Week Kiira-JinjaRoad'!G36</f>
        <v>1.1428571428571428</v>
      </c>
      <c r="H36" s="49">
        <f>'Avg Week Jinja Rd-Kiira '!H36+'Avg Week Kiira-JinjaRoad'!H36</f>
        <v>0.14285714285714285</v>
      </c>
      <c r="I36" s="49">
        <f>'Avg Week Jinja Rd-Kiira '!I36+'Avg Week Kiira-JinjaRoad'!I36</f>
        <v>8.1428571428571423</v>
      </c>
      <c r="J36" s="49">
        <f>'Avg Week Jinja Rd-Kiira '!J36+'Avg Week Kiira-JinjaRoad'!J36</f>
        <v>2.2857142857142856</v>
      </c>
      <c r="K36" s="49">
        <f>'Avg Week Jinja Rd-Kiira '!K36+'Avg Week Kiira-JinjaRoad'!K36</f>
        <v>0.71428571428571419</v>
      </c>
      <c r="L36" s="49">
        <f>'Avg Week Jinja Rd-Kiira '!L36+'Avg Week Kiira-JinjaRoad'!L36</f>
        <v>0.42857142857142855</v>
      </c>
      <c r="M36" s="49">
        <f>'Avg Week Jinja Rd-Kiira '!M36+'Avg Week Kiira-JinjaRoad'!M36</f>
        <v>312.57142857142856</v>
      </c>
      <c r="N36" s="49">
        <f>'Avg Week Jinja Rd-Kiira '!N36+'Avg Week Kiira-JinjaRoad'!N36</f>
        <v>0</v>
      </c>
      <c r="O36" s="15">
        <f t="shared" si="0"/>
        <v>342.28571428571433</v>
      </c>
      <c r="P36" s="15">
        <f t="shared" si="1"/>
        <v>654.85714285714289</v>
      </c>
      <c r="R36" s="38" t="s">
        <v>92</v>
      </c>
      <c r="S36" s="39">
        <f t="shared" ref="S36:AF36" si="28">MAX(S19:S21)</f>
        <v>2170.1428571428569</v>
      </c>
      <c r="T36" s="39">
        <f t="shared" si="28"/>
        <v>416.42857142857144</v>
      </c>
      <c r="U36" s="39">
        <f t="shared" si="28"/>
        <v>124.57142857142857</v>
      </c>
      <c r="V36" s="39">
        <f t="shared" si="28"/>
        <v>49.428571428571431</v>
      </c>
      <c r="W36" s="39">
        <f t="shared" si="28"/>
        <v>2.8571428571428568</v>
      </c>
      <c r="X36" s="39">
        <f t="shared" si="28"/>
        <v>0.85714285714285698</v>
      </c>
      <c r="Y36" s="39">
        <f t="shared" si="28"/>
        <v>33.714285714285715</v>
      </c>
      <c r="Z36" s="39">
        <f t="shared" si="28"/>
        <v>13.142857142857142</v>
      </c>
      <c r="AA36" s="39">
        <f t="shared" si="28"/>
        <v>3.1428571428571428</v>
      </c>
      <c r="AB36" s="39">
        <f t="shared" si="28"/>
        <v>2.1428571428571423</v>
      </c>
      <c r="AC36" s="39">
        <f t="shared" si="28"/>
        <v>1379.4285714285716</v>
      </c>
      <c r="AD36" s="39">
        <f t="shared" si="28"/>
        <v>61.857142857142854</v>
      </c>
      <c r="AE36" s="40">
        <f t="shared" si="28"/>
        <v>2794.8571428571427</v>
      </c>
      <c r="AF36" s="40">
        <f t="shared" si="28"/>
        <v>4174.2857142857138</v>
      </c>
    </row>
    <row r="37" spans="2:32" ht="23.1" customHeight="1" x14ac:dyDescent="0.25">
      <c r="B37" s="23" t="s">
        <v>64</v>
      </c>
      <c r="C37" s="49">
        <f>'Avg Week Jinja Rd-Kiira '!C37+'Avg Week Kiira-JinjaRoad'!C37</f>
        <v>202</v>
      </c>
      <c r="D37" s="49">
        <f>'Avg Week Jinja Rd-Kiira '!D37+'Avg Week Kiira-JinjaRoad'!D37</f>
        <v>102.42857142857143</v>
      </c>
      <c r="E37" s="49">
        <f>'Avg Week Jinja Rd-Kiira '!E37+'Avg Week Kiira-JinjaRoad'!E37</f>
        <v>29</v>
      </c>
      <c r="F37" s="49">
        <f>'Avg Week Jinja Rd-Kiira '!F37+'Avg Week Kiira-JinjaRoad'!F37</f>
        <v>7.0238095238095237</v>
      </c>
      <c r="G37" s="49">
        <f>'Avg Week Jinja Rd-Kiira '!G37+'Avg Week Kiira-JinjaRoad'!G37</f>
        <v>0.71428571428571419</v>
      </c>
      <c r="H37" s="49">
        <f>'Avg Week Jinja Rd-Kiira '!H37+'Avg Week Kiira-JinjaRoad'!H37</f>
        <v>0.2857142857142857</v>
      </c>
      <c r="I37" s="49">
        <f>'Avg Week Jinja Rd-Kiira '!I37+'Avg Week Kiira-JinjaRoad'!I37</f>
        <v>9.4285714285714288</v>
      </c>
      <c r="J37" s="49">
        <f>'Avg Week Jinja Rd-Kiira '!J37+'Avg Week Kiira-JinjaRoad'!J37</f>
        <v>3.1428571428571428</v>
      </c>
      <c r="K37" s="49">
        <f>'Avg Week Jinja Rd-Kiira '!K37+'Avg Week Kiira-JinjaRoad'!K37</f>
        <v>0.5714285714285714</v>
      </c>
      <c r="L37" s="49">
        <f>'Avg Week Jinja Rd-Kiira '!L37+'Avg Week Kiira-JinjaRoad'!L37</f>
        <v>0</v>
      </c>
      <c r="M37" s="49">
        <f>'Avg Week Jinja Rd-Kiira '!M37+'Avg Week Kiira-JinjaRoad'!M37</f>
        <v>299.85714285714289</v>
      </c>
      <c r="N37" s="49">
        <f>'Avg Week Jinja Rd-Kiira '!N37+'Avg Week Kiira-JinjaRoad'!N37</f>
        <v>0</v>
      </c>
      <c r="O37" s="15">
        <f t="shared" si="0"/>
        <v>354.59523809523813</v>
      </c>
      <c r="P37" s="15">
        <f t="shared" si="1"/>
        <v>654.45238095238096</v>
      </c>
      <c r="R37" s="37" t="s">
        <v>85</v>
      </c>
      <c r="S37" s="35">
        <f t="shared" ref="S37:AF37" si="29">SUM(S10:S12)</f>
        <v>1878.8571428571431</v>
      </c>
      <c r="T37" s="16">
        <f t="shared" si="29"/>
        <v>760.57142857142856</v>
      </c>
      <c r="U37" s="16">
        <f t="shared" si="29"/>
        <v>256.28571428571428</v>
      </c>
      <c r="V37" s="16">
        <f t="shared" si="29"/>
        <v>85.142857142857139</v>
      </c>
      <c r="W37" s="16">
        <f t="shared" si="29"/>
        <v>6.7142857142857135</v>
      </c>
      <c r="X37" s="16">
        <f t="shared" si="29"/>
        <v>1.9999999999999998</v>
      </c>
      <c r="Y37" s="16">
        <f t="shared" si="29"/>
        <v>72.714285714285708</v>
      </c>
      <c r="Z37" s="16">
        <f t="shared" si="29"/>
        <v>24.857142857142854</v>
      </c>
      <c r="AA37" s="16">
        <f t="shared" si="29"/>
        <v>7.2857142857142856</v>
      </c>
      <c r="AB37" s="16">
        <f t="shared" si="29"/>
        <v>4.4285714285714288</v>
      </c>
      <c r="AC37" s="16">
        <f t="shared" si="29"/>
        <v>3543</v>
      </c>
      <c r="AD37" s="16">
        <f t="shared" si="29"/>
        <v>0.14285714285714285</v>
      </c>
      <c r="AE37" s="32">
        <f t="shared" si="29"/>
        <v>3099</v>
      </c>
      <c r="AF37" s="32">
        <f t="shared" si="29"/>
        <v>6642</v>
      </c>
    </row>
    <row r="38" spans="2:32" ht="23.1" customHeight="1" x14ac:dyDescent="0.25">
      <c r="B38" s="24" t="s">
        <v>65</v>
      </c>
      <c r="C38" s="49">
        <f>'Avg Week Jinja Rd-Kiira '!C38+'Avg Week Kiira-JinjaRoad'!C38</f>
        <v>204.42857142857144</v>
      </c>
      <c r="D38" s="49">
        <f>'Avg Week Jinja Rd-Kiira '!D38+'Avg Week Kiira-JinjaRoad'!D38</f>
        <v>89.142857142857139</v>
      </c>
      <c r="E38" s="49">
        <f>'Avg Week Jinja Rd-Kiira '!E38+'Avg Week Kiira-JinjaRoad'!E38</f>
        <v>26.571428571428569</v>
      </c>
      <c r="F38" s="49">
        <f>'Avg Week Jinja Rd-Kiira '!F38+'Avg Week Kiira-JinjaRoad'!F38</f>
        <v>9.7142857142857153</v>
      </c>
      <c r="G38" s="49">
        <f>'Avg Week Jinja Rd-Kiira '!G38+'Avg Week Kiira-JinjaRoad'!G38</f>
        <v>0.14285714285714285</v>
      </c>
      <c r="H38" s="49">
        <f>'Avg Week Jinja Rd-Kiira '!H38+'Avg Week Kiira-JinjaRoad'!H38</f>
        <v>0.14285714285714285</v>
      </c>
      <c r="I38" s="49">
        <f>'Avg Week Jinja Rd-Kiira '!I38+'Avg Week Kiira-JinjaRoad'!I38</f>
        <v>7.7142857142857144</v>
      </c>
      <c r="J38" s="49">
        <f>'Avg Week Jinja Rd-Kiira '!J38+'Avg Week Kiira-JinjaRoad'!J38</f>
        <v>3.8571428571428568</v>
      </c>
      <c r="K38" s="49">
        <f>'Avg Week Jinja Rd-Kiira '!K38+'Avg Week Kiira-JinjaRoad'!K38</f>
        <v>1.2857142857142856</v>
      </c>
      <c r="L38" s="49">
        <f>'Avg Week Jinja Rd-Kiira '!L38+'Avg Week Kiira-JinjaRoad'!L38</f>
        <v>0.2857142857142857</v>
      </c>
      <c r="M38" s="49">
        <f>'Avg Week Jinja Rd-Kiira '!M38+'Avg Week Kiira-JinjaRoad'!M38</f>
        <v>277.14285714285711</v>
      </c>
      <c r="N38" s="49">
        <f>'Avg Week Jinja Rd-Kiira '!N38+'Avg Week Kiira-JinjaRoad'!N38</f>
        <v>0</v>
      </c>
      <c r="O38" s="15">
        <f t="shared" si="0"/>
        <v>343.28571428571428</v>
      </c>
      <c r="P38" s="15">
        <f t="shared" si="1"/>
        <v>620.42857142857133</v>
      </c>
      <c r="R38" s="28" t="s">
        <v>86</v>
      </c>
      <c r="S38" s="16">
        <f t="shared" ref="S38:AF38" si="30">SUM(S13:S18)</f>
        <v>4651.5714285714284</v>
      </c>
      <c r="T38" s="16">
        <f t="shared" si="30"/>
        <v>2283</v>
      </c>
      <c r="U38" s="16">
        <f t="shared" si="30"/>
        <v>662.57142857142856</v>
      </c>
      <c r="V38" s="16">
        <f t="shared" si="30"/>
        <v>234.59523809523807</v>
      </c>
      <c r="W38" s="16">
        <f t="shared" si="30"/>
        <v>10.714285714285712</v>
      </c>
      <c r="X38" s="16">
        <f t="shared" si="30"/>
        <v>4.1428571428571423</v>
      </c>
      <c r="Y38" s="16">
        <f t="shared" si="30"/>
        <v>208.57142857142856</v>
      </c>
      <c r="Z38" s="16">
        <f t="shared" si="30"/>
        <v>78.714285714285694</v>
      </c>
      <c r="AA38" s="16">
        <f t="shared" si="30"/>
        <v>21.142857142857139</v>
      </c>
      <c r="AB38" s="16">
        <f t="shared" si="30"/>
        <v>9.9999999999999982</v>
      </c>
      <c r="AC38" s="16">
        <f t="shared" si="30"/>
        <v>7367.2857142857138</v>
      </c>
      <c r="AD38" s="16">
        <f t="shared" si="30"/>
        <v>0.2857142857142857</v>
      </c>
      <c r="AE38" s="32">
        <f t="shared" si="30"/>
        <v>8165.3095238095239</v>
      </c>
      <c r="AF38" s="32">
        <f t="shared" si="30"/>
        <v>15532.595238095239</v>
      </c>
    </row>
    <row r="39" spans="2:32" ht="23.1" customHeight="1" x14ac:dyDescent="0.25">
      <c r="B39" s="24" t="s">
        <v>66</v>
      </c>
      <c r="C39" s="49">
        <f>'Avg Week Jinja Rd-Kiira '!C39+'Avg Week Kiira-JinjaRoad'!C39</f>
        <v>219.71428571428572</v>
      </c>
      <c r="D39" s="49">
        <f>'Avg Week Jinja Rd-Kiira '!D39+'Avg Week Kiira-JinjaRoad'!D39</f>
        <v>101.71428571428571</v>
      </c>
      <c r="E39" s="49">
        <f>'Avg Week Jinja Rd-Kiira '!E39+'Avg Week Kiira-JinjaRoad'!E39</f>
        <v>22.285714285714285</v>
      </c>
      <c r="F39" s="49">
        <f>'Avg Week Jinja Rd-Kiira '!F39+'Avg Week Kiira-JinjaRoad'!F39</f>
        <v>10.285714285714285</v>
      </c>
      <c r="G39" s="49">
        <f>'Avg Week Jinja Rd-Kiira '!G39+'Avg Week Kiira-JinjaRoad'!G39</f>
        <v>0.2857142857142857</v>
      </c>
      <c r="H39" s="49">
        <f>'Avg Week Jinja Rd-Kiira '!H39+'Avg Week Kiira-JinjaRoad'!H39</f>
        <v>0.71428571428571419</v>
      </c>
      <c r="I39" s="49">
        <f>'Avg Week Jinja Rd-Kiira '!I39+'Avg Week Kiira-JinjaRoad'!I39</f>
        <v>7</v>
      </c>
      <c r="J39" s="49">
        <f>'Avg Week Jinja Rd-Kiira '!J39+'Avg Week Kiira-JinjaRoad'!J39</f>
        <v>2.5714285714285712</v>
      </c>
      <c r="K39" s="49">
        <f>'Avg Week Jinja Rd-Kiira '!K39+'Avg Week Kiira-JinjaRoad'!K39</f>
        <v>0.42857142857142855</v>
      </c>
      <c r="L39" s="49">
        <f>'Avg Week Jinja Rd-Kiira '!L39+'Avg Week Kiira-JinjaRoad'!L39</f>
        <v>0</v>
      </c>
      <c r="M39" s="49">
        <f>'Avg Week Jinja Rd-Kiira '!M39+'Avg Week Kiira-JinjaRoad'!M39</f>
        <v>300.14285714285717</v>
      </c>
      <c r="N39" s="49">
        <f>'Avg Week Jinja Rd-Kiira '!N39+'Avg Week Kiira-JinjaRoad'!N39</f>
        <v>0</v>
      </c>
      <c r="O39" s="15">
        <f t="shared" si="0"/>
        <v>365</v>
      </c>
      <c r="P39" s="15">
        <f t="shared" si="1"/>
        <v>665.14285714285711</v>
      </c>
      <c r="R39" s="29" t="s">
        <v>87</v>
      </c>
      <c r="S39" s="16">
        <f t="shared" ref="S39:AF39" si="31">SUM(S19:S21)</f>
        <v>3848.1428571428569</v>
      </c>
      <c r="T39" s="16">
        <f t="shared" si="31"/>
        <v>1194.5714285714284</v>
      </c>
      <c r="U39" s="16">
        <f t="shared" si="31"/>
        <v>352.57142857142856</v>
      </c>
      <c r="V39" s="16">
        <f t="shared" si="31"/>
        <v>135.28571428571428</v>
      </c>
      <c r="W39" s="16">
        <f t="shared" si="31"/>
        <v>7.1428571428571415</v>
      </c>
      <c r="X39" s="16">
        <f t="shared" si="31"/>
        <v>1.2857142857142856</v>
      </c>
      <c r="Y39" s="16">
        <f t="shared" si="31"/>
        <v>84.428571428571431</v>
      </c>
      <c r="Z39" s="16">
        <f t="shared" si="31"/>
        <v>33.428571428571431</v>
      </c>
      <c r="AA39" s="16">
        <f t="shared" si="31"/>
        <v>8.8571428571428577</v>
      </c>
      <c r="AB39" s="16">
        <f t="shared" si="31"/>
        <v>4.8571428571428559</v>
      </c>
      <c r="AC39" s="16">
        <f t="shared" si="31"/>
        <v>3932</v>
      </c>
      <c r="AD39" s="16">
        <f t="shared" si="31"/>
        <v>61.857142857142854</v>
      </c>
      <c r="AE39" s="32">
        <f t="shared" si="31"/>
        <v>5732.4285714285725</v>
      </c>
      <c r="AF39" s="32">
        <f t="shared" si="31"/>
        <v>9664.4285714285706</v>
      </c>
    </row>
    <row r="40" spans="2:32" ht="23.1" customHeight="1" x14ac:dyDescent="0.25">
      <c r="B40" s="24" t="s">
        <v>67</v>
      </c>
      <c r="C40" s="49">
        <f>'Avg Week Jinja Rd-Kiira '!C40+'Avg Week Kiira-JinjaRoad'!C40</f>
        <v>216.14285714285714</v>
      </c>
      <c r="D40" s="49">
        <f>'Avg Week Jinja Rd-Kiira '!D40+'Avg Week Kiira-JinjaRoad'!D40</f>
        <v>94.857142857142861</v>
      </c>
      <c r="E40" s="49">
        <f>'Avg Week Jinja Rd-Kiira '!E40+'Avg Week Kiira-JinjaRoad'!E40</f>
        <v>21.142857142857142</v>
      </c>
      <c r="F40" s="49">
        <f>'Avg Week Jinja Rd-Kiira '!F40+'Avg Week Kiira-JinjaRoad'!F40</f>
        <v>10.285714285714285</v>
      </c>
      <c r="G40" s="49">
        <f>'Avg Week Jinja Rd-Kiira '!G40+'Avg Week Kiira-JinjaRoad'!G40</f>
        <v>0.14285714285714285</v>
      </c>
      <c r="H40" s="49">
        <f>'Avg Week Jinja Rd-Kiira '!H40+'Avg Week Kiira-JinjaRoad'!H40</f>
        <v>0</v>
      </c>
      <c r="I40" s="49">
        <f>'Avg Week Jinja Rd-Kiira '!I40+'Avg Week Kiira-JinjaRoad'!I40</f>
        <v>9.2857142857142865</v>
      </c>
      <c r="J40" s="49">
        <f>'Avg Week Jinja Rd-Kiira '!J40+'Avg Week Kiira-JinjaRoad'!J40</f>
        <v>2.7142857142857144</v>
      </c>
      <c r="K40" s="49">
        <f>'Avg Week Jinja Rd-Kiira '!K40+'Avg Week Kiira-JinjaRoad'!K40</f>
        <v>1.1428571428571428</v>
      </c>
      <c r="L40" s="49">
        <f>'Avg Week Jinja Rd-Kiira '!L40+'Avg Week Kiira-JinjaRoad'!L40</f>
        <v>0.5714285714285714</v>
      </c>
      <c r="M40" s="49">
        <f>'Avg Week Jinja Rd-Kiira '!M40+'Avg Week Kiira-JinjaRoad'!M40</f>
        <v>312</v>
      </c>
      <c r="N40" s="49">
        <f>'Avg Week Jinja Rd-Kiira '!N40+'Avg Week Kiira-JinjaRoad'!N40</f>
        <v>0</v>
      </c>
      <c r="O40" s="15">
        <f t="shared" si="0"/>
        <v>356.28571428571433</v>
      </c>
      <c r="P40" s="15">
        <f t="shared" si="1"/>
        <v>668.28571428571433</v>
      </c>
      <c r="R40" s="5" t="s">
        <v>17</v>
      </c>
      <c r="S40" s="16">
        <f t="shared" ref="S40:AF40" si="32">SUM(S10:S21)</f>
        <v>10378.571428571429</v>
      </c>
      <c r="T40" s="16">
        <f t="shared" si="32"/>
        <v>4238.1428571428569</v>
      </c>
      <c r="U40" s="16">
        <f t="shared" si="32"/>
        <v>1271.4285714285716</v>
      </c>
      <c r="V40" s="16">
        <f t="shared" si="32"/>
        <v>455.02380952380946</v>
      </c>
      <c r="W40" s="16">
        <f t="shared" si="32"/>
        <v>24.571428571428569</v>
      </c>
      <c r="X40" s="16">
        <f t="shared" si="32"/>
        <v>7.4285714285714279</v>
      </c>
      <c r="Y40" s="16">
        <f t="shared" si="32"/>
        <v>365.71428571428572</v>
      </c>
      <c r="Z40" s="16">
        <f t="shared" si="32"/>
        <v>136.99999999999997</v>
      </c>
      <c r="AA40" s="16">
        <f t="shared" si="32"/>
        <v>37.285714285714278</v>
      </c>
      <c r="AB40" s="16">
        <f t="shared" si="32"/>
        <v>19.285714285714285</v>
      </c>
      <c r="AC40" s="16">
        <f t="shared" si="32"/>
        <v>14842.285714285716</v>
      </c>
      <c r="AD40" s="16">
        <f t="shared" si="32"/>
        <v>62.285714285714285</v>
      </c>
      <c r="AE40" s="32">
        <f t="shared" si="32"/>
        <v>16996.738095238095</v>
      </c>
      <c r="AF40" s="32">
        <f t="shared" si="32"/>
        <v>31839.023809523806</v>
      </c>
    </row>
    <row r="41" spans="2:32" ht="23.1" customHeight="1" x14ac:dyDescent="0.25">
      <c r="B41" s="23" t="s">
        <v>68</v>
      </c>
      <c r="C41" s="49">
        <f>'Avg Week Jinja Rd-Kiira '!C41+'Avg Week Kiira-JinjaRoad'!C41</f>
        <v>210.28571428571428</v>
      </c>
      <c r="D41" s="49">
        <f>'Avg Week Jinja Rd-Kiira '!D41+'Avg Week Kiira-JinjaRoad'!D41</f>
        <v>99.571428571428584</v>
      </c>
      <c r="E41" s="49">
        <f>'Avg Week Jinja Rd-Kiira '!E41+'Avg Week Kiira-JinjaRoad'!E41</f>
        <v>21.142857142857146</v>
      </c>
      <c r="F41" s="49">
        <f>'Avg Week Jinja Rd-Kiira '!F41+'Avg Week Kiira-JinjaRoad'!F41</f>
        <v>14.142857142857142</v>
      </c>
      <c r="G41" s="49">
        <f>'Avg Week Jinja Rd-Kiira '!G41+'Avg Week Kiira-JinjaRoad'!G41</f>
        <v>0.5714285714285714</v>
      </c>
      <c r="H41" s="49">
        <f>'Avg Week Jinja Rd-Kiira '!H41+'Avg Week Kiira-JinjaRoad'!H41</f>
        <v>0</v>
      </c>
      <c r="I41" s="49">
        <f>'Avg Week Jinja Rd-Kiira '!I41+'Avg Week Kiira-JinjaRoad'!I41</f>
        <v>7.1428571428571423</v>
      </c>
      <c r="J41" s="49">
        <f>'Avg Week Jinja Rd-Kiira '!J41+'Avg Week Kiira-JinjaRoad'!J41</f>
        <v>3.1428571428571432</v>
      </c>
      <c r="K41" s="49">
        <f>'Avg Week Jinja Rd-Kiira '!K41+'Avg Week Kiira-JinjaRoad'!K41</f>
        <v>0.71428571428571419</v>
      </c>
      <c r="L41" s="49">
        <f>'Avg Week Jinja Rd-Kiira '!L41+'Avg Week Kiira-JinjaRoad'!L41</f>
        <v>0</v>
      </c>
      <c r="M41" s="49">
        <f>'Avg Week Jinja Rd-Kiira '!M41+'Avg Week Kiira-JinjaRoad'!M41</f>
        <v>316.57142857142856</v>
      </c>
      <c r="N41" s="49">
        <f>'Avg Week Jinja Rd-Kiira '!N41+'Avg Week Kiira-JinjaRoad'!N41</f>
        <v>0.14285714285714285</v>
      </c>
      <c r="O41" s="15">
        <f t="shared" si="0"/>
        <v>356.857142857143</v>
      </c>
      <c r="P41" s="15">
        <f t="shared" si="1"/>
        <v>673.42857142857156</v>
      </c>
      <c r="R41" s="5" t="s">
        <v>187</v>
      </c>
      <c r="S41" s="52">
        <f>SUM(S10:S33)</f>
        <v>14533.071428571429</v>
      </c>
      <c r="T41" s="52">
        <f t="shared" ref="T41:AD41" si="33">SUM(T10:T33)</f>
        <v>5580.1428571428569</v>
      </c>
      <c r="U41" s="52">
        <f t="shared" si="33"/>
        <v>1578.4285714285716</v>
      </c>
      <c r="V41" s="52">
        <f t="shared" si="33"/>
        <v>567.0238095238094</v>
      </c>
      <c r="W41" s="52">
        <f t="shared" si="33"/>
        <v>30.571428571428569</v>
      </c>
      <c r="X41" s="52">
        <f t="shared" si="33"/>
        <v>8.928571428571427</v>
      </c>
      <c r="Y41" s="52">
        <f t="shared" si="33"/>
        <v>417.71428571428572</v>
      </c>
      <c r="Z41" s="52">
        <f t="shared" si="33"/>
        <v>165.99999999999997</v>
      </c>
      <c r="AA41" s="52">
        <f t="shared" si="33"/>
        <v>49.785714285714278</v>
      </c>
      <c r="AB41" s="52">
        <f t="shared" si="33"/>
        <v>22.785714285714285</v>
      </c>
      <c r="AC41" s="52">
        <f t="shared" si="33"/>
        <v>19461.285714285717</v>
      </c>
      <c r="AD41" s="52">
        <f t="shared" si="33"/>
        <v>62.285714285714285</v>
      </c>
      <c r="AE41" s="53">
        <f>SUM(AE10:AE33)</f>
        <v>23016.738095238095</v>
      </c>
      <c r="AF41" s="53">
        <f>SUM(AF10:AF33)</f>
        <v>42478.023809523802</v>
      </c>
    </row>
    <row r="42" spans="2:32" ht="23.1" customHeight="1" x14ac:dyDescent="0.25">
      <c r="B42" s="24" t="s">
        <v>69</v>
      </c>
      <c r="C42" s="49">
        <f>'Avg Week Jinja Rd-Kiira '!C42+'Avg Week Kiira-JinjaRoad'!C42</f>
        <v>207.71428571428572</v>
      </c>
      <c r="D42" s="49">
        <f>'Avg Week Jinja Rd-Kiira '!D42+'Avg Week Kiira-JinjaRoad'!D42</f>
        <v>99.857142857142861</v>
      </c>
      <c r="E42" s="49">
        <f>'Avg Week Jinja Rd-Kiira '!E42+'Avg Week Kiira-JinjaRoad'!E42</f>
        <v>24</v>
      </c>
      <c r="F42" s="49">
        <f>'Avg Week Jinja Rd-Kiira '!F42+'Avg Week Kiira-JinjaRoad'!F42</f>
        <v>11.428571428571429</v>
      </c>
      <c r="G42" s="49">
        <f>'Avg Week Jinja Rd-Kiira '!G42+'Avg Week Kiira-JinjaRoad'!G42</f>
        <v>0.14285714285714285</v>
      </c>
      <c r="H42" s="49">
        <f>'Avg Week Jinja Rd-Kiira '!H42+'Avg Week Kiira-JinjaRoad'!H42</f>
        <v>0.14285714285714285</v>
      </c>
      <c r="I42" s="49">
        <f>'Avg Week Jinja Rd-Kiira '!I42+'Avg Week Kiira-JinjaRoad'!I42</f>
        <v>9.8571428571428577</v>
      </c>
      <c r="J42" s="49">
        <f>'Avg Week Jinja Rd-Kiira '!J42+'Avg Week Kiira-JinjaRoad'!J42</f>
        <v>2.8571428571428572</v>
      </c>
      <c r="K42" s="49">
        <f>'Avg Week Jinja Rd-Kiira '!K42+'Avg Week Kiira-JinjaRoad'!K42</f>
        <v>0.8571428571428571</v>
      </c>
      <c r="L42" s="49">
        <f>'Avg Week Jinja Rd-Kiira '!L42+'Avg Week Kiira-JinjaRoad'!L42</f>
        <v>0.5714285714285714</v>
      </c>
      <c r="M42" s="49">
        <f>'Avg Week Jinja Rd-Kiira '!M42+'Avg Week Kiira-JinjaRoad'!M42</f>
        <v>319.71428571428572</v>
      </c>
      <c r="N42" s="49">
        <f>'Avg Week Jinja Rd-Kiira '!N42+'Avg Week Kiira-JinjaRoad'!N42</f>
        <v>0</v>
      </c>
      <c r="O42" s="15">
        <f t="shared" si="0"/>
        <v>357.42857142857139</v>
      </c>
      <c r="P42" s="15">
        <f t="shared" si="1"/>
        <v>677.14285714285711</v>
      </c>
      <c r="R42" s="5" t="s">
        <v>160</v>
      </c>
      <c r="S42" s="48">
        <f>S41/S40</f>
        <v>1.4002959394356504</v>
      </c>
      <c r="T42" s="48">
        <f t="shared" ref="T42:AF42" si="34">T41/T40</f>
        <v>1.3166481275491286</v>
      </c>
      <c r="U42" s="48">
        <f t="shared" si="34"/>
        <v>1.2414606741573033</v>
      </c>
      <c r="V42" s="48">
        <f t="shared" si="34"/>
        <v>1.2461409659358484</v>
      </c>
      <c r="W42" s="48">
        <f t="shared" si="34"/>
        <v>1.2441860465116279</v>
      </c>
      <c r="X42" s="48">
        <f t="shared" si="34"/>
        <v>1.2019230769230769</v>
      </c>
      <c r="Y42" s="48">
        <f t="shared" si="34"/>
        <v>1.1421874999999999</v>
      </c>
      <c r="Z42" s="48">
        <f t="shared" si="34"/>
        <v>1.2116788321167884</v>
      </c>
      <c r="AA42" s="48">
        <f t="shared" si="34"/>
        <v>1.335249042145594</v>
      </c>
      <c r="AB42" s="48">
        <f t="shared" si="34"/>
        <v>1.1814814814814816</v>
      </c>
      <c r="AC42" s="48">
        <f t="shared" si="34"/>
        <v>1.3112054362054364</v>
      </c>
      <c r="AD42" s="48">
        <f t="shared" si="34"/>
        <v>1</v>
      </c>
      <c r="AE42" s="51">
        <f t="shared" si="34"/>
        <v>1.3541856070422476</v>
      </c>
      <c r="AF42" s="51">
        <f t="shared" si="34"/>
        <v>1.334149692014666</v>
      </c>
    </row>
    <row r="43" spans="2:32" ht="23.1" customHeight="1" x14ac:dyDescent="0.25">
      <c r="B43" s="23" t="s">
        <v>70</v>
      </c>
      <c r="C43" s="49">
        <f>'Avg Week Jinja Rd-Kiira '!C43+'Avg Week Kiira-JinjaRoad'!C43</f>
        <v>196.14285714285714</v>
      </c>
      <c r="D43" s="49">
        <f>'Avg Week Jinja Rd-Kiira '!D43+'Avg Week Kiira-JinjaRoad'!D43</f>
        <v>98.857142857142861</v>
      </c>
      <c r="E43" s="49">
        <f>'Avg Week Jinja Rd-Kiira '!E43+'Avg Week Kiira-JinjaRoad'!E43</f>
        <v>25.142857142857142</v>
      </c>
      <c r="F43" s="49">
        <f>'Avg Week Jinja Rd-Kiira '!F43+'Avg Week Kiira-JinjaRoad'!F43</f>
        <v>7.8571428571428568</v>
      </c>
      <c r="G43" s="49">
        <f>'Avg Week Jinja Rd-Kiira '!G43+'Avg Week Kiira-JinjaRoad'!G43</f>
        <v>0.42857142857142855</v>
      </c>
      <c r="H43" s="49">
        <f>'Avg Week Jinja Rd-Kiira '!H43+'Avg Week Kiira-JinjaRoad'!H43</f>
        <v>0</v>
      </c>
      <c r="I43" s="49">
        <f>'Avg Week Jinja Rd-Kiira '!I43+'Avg Week Kiira-JinjaRoad'!I43</f>
        <v>9.2857142857142865</v>
      </c>
      <c r="J43" s="49">
        <f>'Avg Week Jinja Rd-Kiira '!J43+'Avg Week Kiira-JinjaRoad'!J43</f>
        <v>3.2857142857142856</v>
      </c>
      <c r="K43" s="49">
        <f>'Avg Week Jinja Rd-Kiira '!K43+'Avg Week Kiira-JinjaRoad'!K43</f>
        <v>0.2857142857142857</v>
      </c>
      <c r="L43" s="49">
        <f>'Avg Week Jinja Rd-Kiira '!L43+'Avg Week Kiira-JinjaRoad'!L43</f>
        <v>0.5714285714285714</v>
      </c>
      <c r="M43" s="49">
        <f>'Avg Week Jinja Rd-Kiira '!M43+'Avg Week Kiira-JinjaRoad'!M43</f>
        <v>319.71428571428572</v>
      </c>
      <c r="N43" s="49">
        <f>'Avg Week Jinja Rd-Kiira '!N43+'Avg Week Kiira-JinjaRoad'!N43</f>
        <v>0</v>
      </c>
      <c r="O43" s="15">
        <f t="shared" si="0"/>
        <v>341.85714285714283</v>
      </c>
      <c r="P43" s="15">
        <f t="shared" si="1"/>
        <v>661.57142857142856</v>
      </c>
    </row>
    <row r="44" spans="2:32" ht="23.1" customHeight="1" x14ac:dyDescent="0.25">
      <c r="B44" s="25" t="s">
        <v>71</v>
      </c>
      <c r="C44" s="49">
        <f>'Avg Week Jinja Rd-Kiira '!C44+'Avg Week Kiira-JinjaRoad'!C44</f>
        <v>198.57142857142856</v>
      </c>
      <c r="D44" s="49">
        <f>'Avg Week Jinja Rd-Kiira '!D44+'Avg Week Kiira-JinjaRoad'!D44</f>
        <v>91.714285714285722</v>
      </c>
      <c r="E44" s="49">
        <f>'Avg Week Jinja Rd-Kiira '!E44+'Avg Week Kiira-JinjaRoad'!E44</f>
        <v>22.714285714285715</v>
      </c>
      <c r="F44" s="49">
        <f>'Avg Week Jinja Rd-Kiira '!F44+'Avg Week Kiira-JinjaRoad'!F44</f>
        <v>9.5714285714285712</v>
      </c>
      <c r="G44" s="49">
        <f>'Avg Week Jinja Rd-Kiira '!G44+'Avg Week Kiira-JinjaRoad'!G44</f>
        <v>0.2857142857142857</v>
      </c>
      <c r="H44" s="49">
        <f>'Avg Week Jinja Rd-Kiira '!H44+'Avg Week Kiira-JinjaRoad'!H44</f>
        <v>0</v>
      </c>
      <c r="I44" s="49">
        <f>'Avg Week Jinja Rd-Kiira '!I44+'Avg Week Kiira-JinjaRoad'!I44</f>
        <v>10.142857142857144</v>
      </c>
      <c r="J44" s="49">
        <f>'Avg Week Jinja Rd-Kiira '!J44+'Avg Week Kiira-JinjaRoad'!J44</f>
        <v>3.4285714285714288</v>
      </c>
      <c r="K44" s="49">
        <f>'Avg Week Jinja Rd-Kiira '!K44+'Avg Week Kiira-JinjaRoad'!K44</f>
        <v>0.5714285714285714</v>
      </c>
      <c r="L44" s="49">
        <f>'Avg Week Jinja Rd-Kiira '!L44+'Avg Week Kiira-JinjaRoad'!L44</f>
        <v>0.8571428571428571</v>
      </c>
      <c r="M44" s="49">
        <f>'Avg Week Jinja Rd-Kiira '!M44+'Avg Week Kiira-JinjaRoad'!M44</f>
        <v>355.14285714285711</v>
      </c>
      <c r="N44" s="49">
        <f>'Avg Week Jinja Rd-Kiira '!N44+'Avg Week Kiira-JinjaRoad'!N44</f>
        <v>0</v>
      </c>
      <c r="O44" s="15">
        <f t="shared" si="0"/>
        <v>337.85714285714283</v>
      </c>
      <c r="P44" s="15">
        <f t="shared" si="1"/>
        <v>693</v>
      </c>
    </row>
    <row r="45" spans="2:32" ht="23.1" customHeight="1" x14ac:dyDescent="0.25">
      <c r="B45" s="23" t="s">
        <v>72</v>
      </c>
      <c r="C45" s="49">
        <f>'Avg Week Jinja Rd-Kiira '!C45+'Avg Week Kiira-JinjaRoad'!C45</f>
        <v>186</v>
      </c>
      <c r="D45" s="49">
        <f>'Avg Week Jinja Rd-Kiira '!D45+'Avg Week Kiira-JinjaRoad'!D45</f>
        <v>95</v>
      </c>
      <c r="E45" s="49">
        <f>'Avg Week Jinja Rd-Kiira '!E45+'Avg Week Kiira-JinjaRoad'!E45</f>
        <v>24.571428571428569</v>
      </c>
      <c r="F45" s="49">
        <f>'Avg Week Jinja Rd-Kiira '!F45+'Avg Week Kiira-JinjaRoad'!F45</f>
        <v>9.7142857142857135</v>
      </c>
      <c r="G45" s="49">
        <f>'Avg Week Jinja Rd-Kiira '!G45+'Avg Week Kiira-JinjaRoad'!G45</f>
        <v>0.42857142857142855</v>
      </c>
      <c r="H45" s="49">
        <f>'Avg Week Jinja Rd-Kiira '!H45+'Avg Week Kiira-JinjaRoad'!H45</f>
        <v>0.2857142857142857</v>
      </c>
      <c r="I45" s="49">
        <f>'Avg Week Jinja Rd-Kiira '!I45+'Avg Week Kiira-JinjaRoad'!I45</f>
        <v>9.1428571428571423</v>
      </c>
      <c r="J45" s="49">
        <f>'Avg Week Jinja Rd-Kiira '!J45+'Avg Week Kiira-JinjaRoad'!J45</f>
        <v>3.7142857142857144</v>
      </c>
      <c r="K45" s="49">
        <f>'Avg Week Jinja Rd-Kiira '!K45+'Avg Week Kiira-JinjaRoad'!K45</f>
        <v>1.5714285714285714</v>
      </c>
      <c r="L45" s="49">
        <f>'Avg Week Jinja Rd-Kiira '!L45+'Avg Week Kiira-JinjaRoad'!L45</f>
        <v>0.2857142857142857</v>
      </c>
      <c r="M45" s="49">
        <f>'Avg Week Jinja Rd-Kiira '!M45+'Avg Week Kiira-JinjaRoad'!M45</f>
        <v>331.42857142857144</v>
      </c>
      <c r="N45" s="49">
        <f>'Avg Week Jinja Rd-Kiira '!N45+'Avg Week Kiira-JinjaRoad'!N45</f>
        <v>0</v>
      </c>
      <c r="O45" s="15">
        <f t="shared" si="0"/>
        <v>330.71428571428572</v>
      </c>
      <c r="P45" s="15">
        <f t="shared" si="1"/>
        <v>662.14285714285711</v>
      </c>
    </row>
    <row r="46" spans="2:32" ht="23.1" customHeight="1" x14ac:dyDescent="0.25">
      <c r="B46" s="24" t="s">
        <v>73</v>
      </c>
      <c r="C46" s="49">
        <f>'Avg Week Jinja Rd-Kiira '!C46+'Avg Week Kiira-JinjaRoad'!C46</f>
        <v>204</v>
      </c>
      <c r="D46" s="49">
        <f>'Avg Week Jinja Rd-Kiira '!D46+'Avg Week Kiira-JinjaRoad'!D46</f>
        <v>91.285714285714278</v>
      </c>
      <c r="E46" s="49">
        <f>'Avg Week Jinja Rd-Kiira '!E46+'Avg Week Kiira-JinjaRoad'!E46</f>
        <v>30.285714285714285</v>
      </c>
      <c r="F46" s="49">
        <f>'Avg Week Jinja Rd-Kiira '!F46+'Avg Week Kiira-JinjaRoad'!F46</f>
        <v>10.285714285714286</v>
      </c>
      <c r="G46" s="49">
        <f>'Avg Week Jinja Rd-Kiira '!G46+'Avg Week Kiira-JinjaRoad'!G46</f>
        <v>0.42857142857142855</v>
      </c>
      <c r="H46" s="49">
        <f>'Avg Week Jinja Rd-Kiira '!H46+'Avg Week Kiira-JinjaRoad'!H46</f>
        <v>0</v>
      </c>
      <c r="I46" s="49">
        <f>'Avg Week Jinja Rd-Kiira '!I46+'Avg Week Kiira-JinjaRoad'!I46</f>
        <v>10.142857142857142</v>
      </c>
      <c r="J46" s="49">
        <f>'Avg Week Jinja Rd-Kiira '!J46+'Avg Week Kiira-JinjaRoad'!J46</f>
        <v>3.1428571428571428</v>
      </c>
      <c r="K46" s="49">
        <f>'Avg Week Jinja Rd-Kiira '!K46+'Avg Week Kiira-JinjaRoad'!K46</f>
        <v>0.2857142857142857</v>
      </c>
      <c r="L46" s="49">
        <f>'Avg Week Jinja Rd-Kiira '!L46+'Avg Week Kiira-JinjaRoad'!L46</f>
        <v>0</v>
      </c>
      <c r="M46" s="49">
        <f>'Avg Week Jinja Rd-Kiira '!M46+'Avg Week Kiira-JinjaRoad'!M46</f>
        <v>331.71428571428572</v>
      </c>
      <c r="N46" s="49">
        <f>'Avg Week Jinja Rd-Kiira '!N46+'Avg Week Kiira-JinjaRoad'!N46</f>
        <v>0</v>
      </c>
      <c r="O46" s="15">
        <f t="shared" si="0"/>
        <v>349.85714285714289</v>
      </c>
      <c r="P46" s="15">
        <f t="shared" si="1"/>
        <v>681.57142857142867</v>
      </c>
      <c r="R46" s="8"/>
      <c r="T46"/>
    </row>
    <row r="47" spans="2:32" ht="23.1" customHeight="1" x14ac:dyDescent="0.25">
      <c r="B47" s="24" t="s">
        <v>74</v>
      </c>
      <c r="C47" s="49">
        <f>'Avg Week Jinja Rd-Kiira '!C47+'Avg Week Kiira-JinjaRoad'!C47</f>
        <v>210.14285714285714</v>
      </c>
      <c r="D47" s="49">
        <f>'Avg Week Jinja Rd-Kiira '!D47+'Avg Week Kiira-JinjaRoad'!D47</f>
        <v>93.714285714285722</v>
      </c>
      <c r="E47" s="49">
        <f>'Avg Week Jinja Rd-Kiira '!E47+'Avg Week Kiira-JinjaRoad'!E47</f>
        <v>30.142857142857142</v>
      </c>
      <c r="F47" s="49">
        <f>'Avg Week Jinja Rd-Kiira '!F47+'Avg Week Kiira-JinjaRoad'!F47</f>
        <v>9.7142857142857153</v>
      </c>
      <c r="G47" s="49">
        <f>'Avg Week Jinja Rd-Kiira '!G47+'Avg Week Kiira-JinjaRoad'!G47</f>
        <v>0.71428571428571419</v>
      </c>
      <c r="H47" s="49">
        <f>'Avg Week Jinja Rd-Kiira '!H47+'Avg Week Kiira-JinjaRoad'!H47</f>
        <v>0</v>
      </c>
      <c r="I47" s="49">
        <f>'Avg Week Jinja Rd-Kiira '!I47+'Avg Week Kiira-JinjaRoad'!I47</f>
        <v>9</v>
      </c>
      <c r="J47" s="49">
        <f>'Avg Week Jinja Rd-Kiira '!J47+'Avg Week Kiira-JinjaRoad'!J47</f>
        <v>3.2857142857142856</v>
      </c>
      <c r="K47" s="49">
        <f>'Avg Week Jinja Rd-Kiira '!K47+'Avg Week Kiira-JinjaRoad'!K47</f>
        <v>0.42857142857142855</v>
      </c>
      <c r="L47" s="49">
        <f>'Avg Week Jinja Rd-Kiira '!L47+'Avg Week Kiira-JinjaRoad'!L47</f>
        <v>0.2857142857142857</v>
      </c>
      <c r="M47" s="49">
        <f>'Avg Week Jinja Rd-Kiira '!M47+'Avg Week Kiira-JinjaRoad'!M47</f>
        <v>318.71428571428572</v>
      </c>
      <c r="N47" s="49">
        <f>'Avg Week Jinja Rd-Kiira '!N47+'Avg Week Kiira-JinjaRoad'!N47</f>
        <v>0</v>
      </c>
      <c r="O47" s="15">
        <f t="shared" si="0"/>
        <v>357.4285714285715</v>
      </c>
      <c r="P47" s="15">
        <f t="shared" si="1"/>
        <v>676.14285714285722</v>
      </c>
      <c r="R47" s="8"/>
      <c r="T47"/>
    </row>
    <row r="48" spans="2:32" ht="23.1" customHeight="1" x14ac:dyDescent="0.25">
      <c r="B48" s="24" t="s">
        <v>75</v>
      </c>
      <c r="C48" s="49">
        <f>'Avg Week Jinja Rd-Kiira '!C48+'Avg Week Kiira-JinjaRoad'!C48</f>
        <v>196.14285714285717</v>
      </c>
      <c r="D48" s="49">
        <f>'Avg Week Jinja Rd-Kiira '!D48+'Avg Week Kiira-JinjaRoad'!D48</f>
        <v>98</v>
      </c>
      <c r="E48" s="49">
        <f>'Avg Week Jinja Rd-Kiira '!E48+'Avg Week Kiira-JinjaRoad'!E48</f>
        <v>29.714285714285715</v>
      </c>
      <c r="F48" s="49">
        <f>'Avg Week Jinja Rd-Kiira '!F48+'Avg Week Kiira-JinjaRoad'!F48</f>
        <v>19.714285714285715</v>
      </c>
      <c r="G48" s="49">
        <f>'Avg Week Jinja Rd-Kiira '!G48+'Avg Week Kiira-JinjaRoad'!G48</f>
        <v>0.14285714285714285</v>
      </c>
      <c r="H48" s="49">
        <f>'Avg Week Jinja Rd-Kiira '!H48+'Avg Week Kiira-JinjaRoad'!H48</f>
        <v>0.14285714285714285</v>
      </c>
      <c r="I48" s="49">
        <f>'Avg Week Jinja Rd-Kiira '!I48+'Avg Week Kiira-JinjaRoad'!I48</f>
        <v>6.8571428571428568</v>
      </c>
      <c r="J48" s="49">
        <f>'Avg Week Jinja Rd-Kiira '!J48+'Avg Week Kiira-JinjaRoad'!J48</f>
        <v>4</v>
      </c>
      <c r="K48" s="49">
        <f>'Avg Week Jinja Rd-Kiira '!K48+'Avg Week Kiira-JinjaRoad'!K48</f>
        <v>0.85714285714285721</v>
      </c>
      <c r="L48" s="49">
        <f>'Avg Week Jinja Rd-Kiira '!L48+'Avg Week Kiira-JinjaRoad'!L48</f>
        <v>0.42857142857142855</v>
      </c>
      <c r="M48" s="49">
        <f>'Avg Week Jinja Rd-Kiira '!M48+'Avg Week Kiira-JinjaRoad'!M48</f>
        <v>328.71428571428567</v>
      </c>
      <c r="N48" s="49">
        <f>'Avg Week Jinja Rd-Kiira '!N48+'Avg Week Kiira-JinjaRoad'!N48</f>
        <v>0</v>
      </c>
      <c r="O48" s="15">
        <f t="shared" si="0"/>
        <v>356.00000000000006</v>
      </c>
      <c r="P48" s="15">
        <f t="shared" si="1"/>
        <v>684.71428571428578</v>
      </c>
      <c r="R48" s="8"/>
      <c r="T48"/>
    </row>
    <row r="49" spans="2:20" ht="23.1" customHeight="1" x14ac:dyDescent="0.25">
      <c r="B49" s="23" t="s">
        <v>76</v>
      </c>
      <c r="C49" s="49">
        <f>'Avg Week Jinja Rd-Kiira '!C49+'Avg Week Kiira-JinjaRoad'!C49</f>
        <v>206.14285714285714</v>
      </c>
      <c r="D49" s="49">
        <f>'Avg Week Jinja Rd-Kiira '!D49+'Avg Week Kiira-JinjaRoad'!D49</f>
        <v>107.57142857142857</v>
      </c>
      <c r="E49" s="49">
        <f>'Avg Week Jinja Rd-Kiira '!E49+'Avg Week Kiira-JinjaRoad'!E49</f>
        <v>34.428571428571431</v>
      </c>
      <c r="F49" s="49">
        <f>'Avg Week Jinja Rd-Kiira '!F49+'Avg Week Kiira-JinjaRoad'!F49</f>
        <v>9.7142857142857153</v>
      </c>
      <c r="G49" s="49">
        <f>'Avg Week Jinja Rd-Kiira '!G49+'Avg Week Kiira-JinjaRoad'!G49</f>
        <v>0.14285714285714285</v>
      </c>
      <c r="H49" s="49">
        <f>'Avg Week Jinja Rd-Kiira '!H49+'Avg Week Kiira-JinjaRoad'!H49</f>
        <v>0</v>
      </c>
      <c r="I49" s="49">
        <f>'Avg Week Jinja Rd-Kiira '!I49+'Avg Week Kiira-JinjaRoad'!I49</f>
        <v>7.7142857142857144</v>
      </c>
      <c r="J49" s="49">
        <f>'Avg Week Jinja Rd-Kiira '!J49+'Avg Week Kiira-JinjaRoad'!J49</f>
        <v>2.7142857142857144</v>
      </c>
      <c r="K49" s="49">
        <f>'Avg Week Jinja Rd-Kiira '!K49+'Avg Week Kiira-JinjaRoad'!K49</f>
        <v>1.2857142857142856</v>
      </c>
      <c r="L49" s="49">
        <f>'Avg Week Jinja Rd-Kiira '!L49+'Avg Week Kiira-JinjaRoad'!L49</f>
        <v>0.8571428571428571</v>
      </c>
      <c r="M49" s="49">
        <f>'Avg Week Jinja Rd-Kiira '!M49+'Avg Week Kiira-JinjaRoad'!M49</f>
        <v>352.57142857142856</v>
      </c>
      <c r="N49" s="49">
        <f>'Avg Week Jinja Rd-Kiira '!N49+'Avg Week Kiira-JinjaRoad'!N49</f>
        <v>0</v>
      </c>
      <c r="O49" s="15">
        <f t="shared" si="0"/>
        <v>370.57142857142861</v>
      </c>
      <c r="P49" s="15">
        <f t="shared" si="1"/>
        <v>723.14285714285711</v>
      </c>
      <c r="R49" s="8"/>
      <c r="T49"/>
    </row>
    <row r="50" spans="2:20" ht="23.1" customHeight="1" x14ac:dyDescent="0.25">
      <c r="B50" s="24" t="s">
        <v>77</v>
      </c>
      <c r="C50" s="49">
        <f>'Avg Week Jinja Rd-Kiira '!C50+'Avg Week Kiira-JinjaRoad'!C50</f>
        <v>238.42857142857144</v>
      </c>
      <c r="D50" s="49">
        <f>'Avg Week Jinja Rd-Kiira '!D50+'Avg Week Kiira-JinjaRoad'!D50</f>
        <v>103.14285714285714</v>
      </c>
      <c r="E50" s="49">
        <f>'Avg Week Jinja Rd-Kiira '!E50+'Avg Week Kiira-JinjaRoad'!E50</f>
        <v>30.857142857142854</v>
      </c>
      <c r="F50" s="49">
        <f>'Avg Week Jinja Rd-Kiira '!F50+'Avg Week Kiira-JinjaRoad'!F50</f>
        <v>8</v>
      </c>
      <c r="G50" s="49">
        <f>'Avg Week Jinja Rd-Kiira '!G50+'Avg Week Kiira-JinjaRoad'!G50</f>
        <v>0.8571428571428571</v>
      </c>
      <c r="H50" s="49">
        <f>'Avg Week Jinja Rd-Kiira '!H50+'Avg Week Kiira-JinjaRoad'!H50</f>
        <v>0.14285714285714285</v>
      </c>
      <c r="I50" s="49">
        <f>'Avg Week Jinja Rd-Kiira '!I50+'Avg Week Kiira-JinjaRoad'!I50</f>
        <v>7.4285714285714279</v>
      </c>
      <c r="J50" s="49">
        <f>'Avg Week Jinja Rd-Kiira '!J50+'Avg Week Kiira-JinjaRoad'!J50</f>
        <v>4.1428571428571432</v>
      </c>
      <c r="K50" s="49">
        <f>'Avg Week Jinja Rd-Kiira '!K50+'Avg Week Kiira-JinjaRoad'!K50</f>
        <v>0.8571428571428571</v>
      </c>
      <c r="L50" s="49">
        <f>'Avg Week Jinja Rd-Kiira '!L50+'Avg Week Kiira-JinjaRoad'!L50</f>
        <v>0.42857142857142855</v>
      </c>
      <c r="M50" s="49">
        <f>'Avg Week Jinja Rd-Kiira '!M50+'Avg Week Kiira-JinjaRoad'!M50</f>
        <v>365.14285714285711</v>
      </c>
      <c r="N50" s="49">
        <f>'Avg Week Jinja Rd-Kiira '!N50+'Avg Week Kiira-JinjaRoad'!N50</f>
        <v>0</v>
      </c>
      <c r="O50" s="15">
        <f t="shared" si="0"/>
        <v>394.28571428571428</v>
      </c>
      <c r="P50" s="15">
        <f t="shared" si="1"/>
        <v>759.42857142857133</v>
      </c>
      <c r="R50" s="8"/>
      <c r="T50"/>
    </row>
    <row r="51" spans="2:20" ht="23.1" customHeight="1" x14ac:dyDescent="0.25">
      <c r="B51" s="24" t="s">
        <v>78</v>
      </c>
      <c r="C51" s="49">
        <f>'Avg Week Jinja Rd-Kiira '!C51+'Avg Week Kiira-JinjaRoad'!C51</f>
        <v>209.42857142857144</v>
      </c>
      <c r="D51" s="49">
        <f>'Avg Week Jinja Rd-Kiira '!D51+'Avg Week Kiira-JinjaRoad'!D51</f>
        <v>100.57142857142857</v>
      </c>
      <c r="E51" s="49">
        <f>'Avg Week Jinja Rd-Kiira '!E51+'Avg Week Kiira-JinjaRoad'!E51</f>
        <v>32.857142857142854</v>
      </c>
      <c r="F51" s="49">
        <f>'Avg Week Jinja Rd-Kiira '!F51+'Avg Week Kiira-JinjaRoad'!F51</f>
        <v>11.571428571428571</v>
      </c>
      <c r="G51" s="49">
        <f>'Avg Week Jinja Rd-Kiira '!G51+'Avg Week Kiira-JinjaRoad'!G51</f>
        <v>0.8571428571428571</v>
      </c>
      <c r="H51" s="49">
        <f>'Avg Week Jinja Rd-Kiira '!H51+'Avg Week Kiira-JinjaRoad'!H51</f>
        <v>0.14285714285714285</v>
      </c>
      <c r="I51" s="49">
        <f>'Avg Week Jinja Rd-Kiira '!I51+'Avg Week Kiira-JinjaRoad'!I51</f>
        <v>7.2857142857142856</v>
      </c>
      <c r="J51" s="49">
        <f>'Avg Week Jinja Rd-Kiira '!J51+'Avg Week Kiira-JinjaRoad'!J51</f>
        <v>3</v>
      </c>
      <c r="K51" s="49">
        <f>'Avg Week Jinja Rd-Kiira '!K51+'Avg Week Kiira-JinjaRoad'!K51</f>
        <v>0.8571428571428571</v>
      </c>
      <c r="L51" s="49">
        <f>'Avg Week Jinja Rd-Kiira '!L51+'Avg Week Kiira-JinjaRoad'!L51</f>
        <v>0.14285714285714285</v>
      </c>
      <c r="M51" s="49">
        <f>'Avg Week Jinja Rd-Kiira '!M51+'Avg Week Kiira-JinjaRoad'!M51</f>
        <v>364.28571428571428</v>
      </c>
      <c r="N51" s="49">
        <f>'Avg Week Jinja Rd-Kiira '!N51+'Avg Week Kiira-JinjaRoad'!N51</f>
        <v>0</v>
      </c>
      <c r="O51" s="15">
        <f t="shared" si="0"/>
        <v>366.71428571428567</v>
      </c>
      <c r="P51" s="15">
        <f t="shared" si="1"/>
        <v>731</v>
      </c>
      <c r="R51" s="8"/>
      <c r="T51"/>
    </row>
    <row r="52" spans="2:20" ht="23.1" customHeight="1" x14ac:dyDescent="0.25">
      <c r="B52" s="24" t="s">
        <v>79</v>
      </c>
      <c r="C52" s="49">
        <f>'Avg Week Jinja Rd-Kiira '!C52+'Avg Week Kiira-JinjaRoad'!C52</f>
        <v>208.28571428571428</v>
      </c>
      <c r="D52" s="49">
        <f>'Avg Week Jinja Rd-Kiira '!D52+'Avg Week Kiira-JinjaRoad'!D52</f>
        <v>98.857142857142861</v>
      </c>
      <c r="E52" s="49">
        <f>'Avg Week Jinja Rd-Kiira '!E52+'Avg Week Kiira-JinjaRoad'!E52</f>
        <v>27.142857142857142</v>
      </c>
      <c r="F52" s="49">
        <f>'Avg Week Jinja Rd-Kiira '!F52+'Avg Week Kiira-JinjaRoad'!F52</f>
        <v>10.857142857142858</v>
      </c>
      <c r="G52" s="49">
        <f>'Avg Week Jinja Rd-Kiira '!G52+'Avg Week Kiira-JinjaRoad'!G52</f>
        <v>0.71428571428571419</v>
      </c>
      <c r="H52" s="49">
        <f>'Avg Week Jinja Rd-Kiira '!H52+'Avg Week Kiira-JinjaRoad'!H52</f>
        <v>0</v>
      </c>
      <c r="I52" s="49">
        <f>'Avg Week Jinja Rd-Kiira '!I52+'Avg Week Kiira-JinjaRoad'!I52</f>
        <v>5.8571428571428577</v>
      </c>
      <c r="J52" s="49">
        <f>'Avg Week Jinja Rd-Kiira '!J52+'Avg Week Kiira-JinjaRoad'!J52</f>
        <v>1.8571428571428572</v>
      </c>
      <c r="K52" s="49">
        <f>'Avg Week Jinja Rd-Kiira '!K52+'Avg Week Kiira-JinjaRoad'!K52</f>
        <v>0.5714285714285714</v>
      </c>
      <c r="L52" s="49">
        <f>'Avg Week Jinja Rd-Kiira '!L52+'Avg Week Kiira-JinjaRoad'!L52</f>
        <v>0.2857142857142857</v>
      </c>
      <c r="M52" s="49">
        <f>'Avg Week Jinja Rd-Kiira '!M52+'Avg Week Kiira-JinjaRoad'!M52</f>
        <v>313.28571428571433</v>
      </c>
      <c r="N52" s="49">
        <f>'Avg Week Jinja Rd-Kiira '!N52+'Avg Week Kiira-JinjaRoad'!N52</f>
        <v>0</v>
      </c>
      <c r="O52" s="15">
        <f t="shared" si="0"/>
        <v>354.42857142857133</v>
      </c>
      <c r="P52" s="15">
        <f t="shared" si="1"/>
        <v>667.71428571428567</v>
      </c>
      <c r="R52" s="8"/>
      <c r="T52"/>
    </row>
    <row r="53" spans="2:20" ht="23.1" customHeight="1" x14ac:dyDescent="0.25">
      <c r="B53" s="23" t="s">
        <v>80</v>
      </c>
      <c r="C53" s="49">
        <f>'Avg Week Jinja Rd-Kiira '!C53+'Avg Week Kiira-JinjaRoad'!C53</f>
        <v>1514</v>
      </c>
      <c r="D53" s="49">
        <f>'Avg Week Jinja Rd-Kiira '!D53+'Avg Week Kiira-JinjaRoad'!D53</f>
        <v>113.85714285714286</v>
      </c>
      <c r="E53" s="49">
        <f>'Avg Week Jinja Rd-Kiira '!E53+'Avg Week Kiira-JinjaRoad'!E53</f>
        <v>31.142857142857142</v>
      </c>
      <c r="F53" s="49">
        <f>'Avg Week Jinja Rd-Kiira '!F53+'Avg Week Kiira-JinjaRoad'!F53</f>
        <v>10.714285714285715</v>
      </c>
      <c r="G53" s="49">
        <f>'Avg Week Jinja Rd-Kiira '!G53+'Avg Week Kiira-JinjaRoad'!G53</f>
        <v>0.42857142857142855</v>
      </c>
      <c r="H53" s="49">
        <f>'Avg Week Jinja Rd-Kiira '!H53+'Avg Week Kiira-JinjaRoad'!H53</f>
        <v>0</v>
      </c>
      <c r="I53" s="49">
        <f>'Avg Week Jinja Rd-Kiira '!I53+'Avg Week Kiira-JinjaRoad'!I53</f>
        <v>5.8571428571428577</v>
      </c>
      <c r="J53" s="49">
        <f>'Avg Week Jinja Rd-Kiira '!J53+'Avg Week Kiira-JinjaRoad'!J53</f>
        <v>2.2857142857142856</v>
      </c>
      <c r="K53" s="49">
        <f>'Avg Week Jinja Rd-Kiira '!K53+'Avg Week Kiira-JinjaRoad'!K53</f>
        <v>0.8571428571428571</v>
      </c>
      <c r="L53" s="49">
        <f>'Avg Week Jinja Rd-Kiira '!L53+'Avg Week Kiira-JinjaRoad'!L53</f>
        <v>0.2857142857142857</v>
      </c>
      <c r="M53" s="49">
        <f>'Avg Week Jinja Rd-Kiira '!M53+'Avg Week Kiira-JinjaRoad'!M53</f>
        <v>336.71428571428572</v>
      </c>
      <c r="N53" s="49">
        <f>'Avg Week Jinja Rd-Kiira '!N53+'Avg Week Kiira-JinjaRoad'!N53</f>
        <v>0</v>
      </c>
      <c r="O53" s="15">
        <f t="shared" si="0"/>
        <v>1679.4285714285713</v>
      </c>
      <c r="P53" s="15">
        <f t="shared" si="1"/>
        <v>2016.1428571428571</v>
      </c>
      <c r="R53" s="8"/>
      <c r="T53"/>
    </row>
    <row r="54" spans="2:20" ht="23.1" customHeight="1" x14ac:dyDescent="0.25">
      <c r="B54" s="23" t="s">
        <v>81</v>
      </c>
      <c r="C54" s="49">
        <f>'Avg Week Jinja Rd-Kiira '!C54+'Avg Week Kiira-JinjaRoad'!C54</f>
        <v>234.42857142857144</v>
      </c>
      <c r="D54" s="49">
        <f>'Avg Week Jinja Rd-Kiira '!D54+'Avg Week Kiira-JinjaRoad'!D54</f>
        <v>119.57142857142857</v>
      </c>
      <c r="E54" s="49">
        <f>'Avg Week Jinja Rd-Kiira '!E54+'Avg Week Kiira-JinjaRoad'!E54</f>
        <v>30.142857142857142</v>
      </c>
      <c r="F54" s="49">
        <f>'Avg Week Jinja Rd-Kiira '!F54+'Avg Week Kiira-JinjaRoad'!F54</f>
        <v>11.857142857142858</v>
      </c>
      <c r="G54" s="49">
        <f>'Avg Week Jinja Rd-Kiira '!G54+'Avg Week Kiira-JinjaRoad'!G54</f>
        <v>0</v>
      </c>
      <c r="H54" s="49">
        <f>'Avg Week Jinja Rd-Kiira '!H54+'Avg Week Kiira-JinjaRoad'!H54</f>
        <v>0.14285714285714285</v>
      </c>
      <c r="I54" s="49">
        <f>'Avg Week Jinja Rd-Kiira '!I54+'Avg Week Kiira-JinjaRoad'!I54</f>
        <v>8.2857142857142865</v>
      </c>
      <c r="J54" s="49">
        <f>'Avg Week Jinja Rd-Kiira '!J54+'Avg Week Kiira-JinjaRoad'!J54</f>
        <v>3.4285714285714288</v>
      </c>
      <c r="K54" s="49">
        <f>'Avg Week Jinja Rd-Kiira '!K54+'Avg Week Kiira-JinjaRoad'!K54</f>
        <v>0.71428571428571419</v>
      </c>
      <c r="L54" s="49">
        <f>'Avg Week Jinja Rd-Kiira '!L54+'Avg Week Kiira-JinjaRoad'!L54</f>
        <v>0.14285714285714285</v>
      </c>
      <c r="M54" s="49">
        <f>'Avg Week Jinja Rd-Kiira '!M54+'Avg Week Kiira-JinjaRoad'!M54</f>
        <v>350.14285714285711</v>
      </c>
      <c r="N54" s="49">
        <f>'Avg Week Jinja Rd-Kiira '!N54+'Avg Week Kiira-JinjaRoad'!N54</f>
        <v>16.571428571428573</v>
      </c>
      <c r="O54" s="15">
        <f t="shared" si="0"/>
        <v>425.28571428571433</v>
      </c>
      <c r="P54" s="15">
        <f t="shared" si="1"/>
        <v>775.42857142857144</v>
      </c>
      <c r="R54" s="8"/>
      <c r="T54"/>
    </row>
    <row r="55" spans="2:20" ht="23.1" customHeight="1" x14ac:dyDescent="0.25">
      <c r="B55" s="23" t="s">
        <v>82</v>
      </c>
      <c r="C55" s="49">
        <f>'Avg Week Jinja Rd-Kiira '!C55+'Avg Week Kiira-JinjaRoad'!C55</f>
        <v>209.85714285714283</v>
      </c>
      <c r="D55" s="49">
        <f>'Avg Week Jinja Rd-Kiira '!D55+'Avg Week Kiira-JinjaRoad'!D55</f>
        <v>95.142857142857139</v>
      </c>
      <c r="E55" s="49">
        <f>'Avg Week Jinja Rd-Kiira '!E55+'Avg Week Kiira-JinjaRoad'!E55</f>
        <v>21.857142857142858</v>
      </c>
      <c r="F55" s="49">
        <f>'Avg Week Jinja Rd-Kiira '!F55+'Avg Week Kiira-JinjaRoad'!F55</f>
        <v>10.857142857142858</v>
      </c>
      <c r="G55" s="49">
        <f>'Avg Week Jinja Rd-Kiira '!G55+'Avg Week Kiira-JinjaRoad'!G55</f>
        <v>1.1428571428571428</v>
      </c>
      <c r="H55" s="49">
        <f>'Avg Week Jinja Rd-Kiira '!H55+'Avg Week Kiira-JinjaRoad'!H55</f>
        <v>0.42857142857142855</v>
      </c>
      <c r="I55" s="49">
        <f>'Avg Week Jinja Rd-Kiira '!I55+'Avg Week Kiira-JinjaRoad'!I55</f>
        <v>6</v>
      </c>
      <c r="J55" s="49">
        <f>'Avg Week Jinja Rd-Kiira '!J55+'Avg Week Kiira-JinjaRoad'!J55</f>
        <v>2.2857142857142856</v>
      </c>
      <c r="K55" s="49">
        <f>'Avg Week Jinja Rd-Kiira '!K55+'Avg Week Kiira-JinjaRoad'!K55</f>
        <v>0.7142857142857143</v>
      </c>
      <c r="L55" s="49">
        <f>'Avg Week Jinja Rd-Kiira '!L55+'Avg Week Kiira-JinjaRoad'!L55</f>
        <v>0.5714285714285714</v>
      </c>
      <c r="M55" s="49">
        <f>'Avg Week Jinja Rd-Kiira '!M55+'Avg Week Kiira-JinjaRoad'!M55</f>
        <v>294.85714285714289</v>
      </c>
      <c r="N55" s="49">
        <f>'Avg Week Jinja Rd-Kiira '!N55+'Avg Week Kiira-JinjaRoad'!N55</f>
        <v>14.428571428571429</v>
      </c>
      <c r="O55" s="15">
        <f t="shared" si="0"/>
        <v>363.28571428571428</v>
      </c>
      <c r="P55" s="15">
        <f t="shared" si="1"/>
        <v>658.14285714285722</v>
      </c>
      <c r="R55" s="8"/>
      <c r="T55"/>
    </row>
    <row r="56" spans="2:20" ht="23.1" customHeight="1" x14ac:dyDescent="0.25">
      <c r="B56" s="23" t="s">
        <v>83</v>
      </c>
      <c r="C56" s="49">
        <f>'Avg Week Jinja Rd-Kiira '!C56+'Avg Week Kiira-JinjaRoad'!C56</f>
        <v>209.28571428571428</v>
      </c>
      <c r="D56" s="49">
        <f>'Avg Week Jinja Rd-Kiira '!D56+'Avg Week Kiira-JinjaRoad'!D56</f>
        <v>83.285714285714292</v>
      </c>
      <c r="E56" s="49">
        <f>'Avg Week Jinja Rd-Kiira '!E56+'Avg Week Kiira-JinjaRoad'!E56</f>
        <v>24.857142857142854</v>
      </c>
      <c r="F56" s="49">
        <f>'Avg Week Jinja Rd-Kiira '!F56+'Avg Week Kiira-JinjaRoad'!F56</f>
        <v>8.7142857142857153</v>
      </c>
      <c r="G56" s="49">
        <f>'Avg Week Jinja Rd-Kiira '!G56+'Avg Week Kiira-JinjaRoad'!G56</f>
        <v>1.1428571428571428</v>
      </c>
      <c r="H56" s="49">
        <f>'Avg Week Jinja Rd-Kiira '!H56+'Avg Week Kiira-JinjaRoad'!H56</f>
        <v>0.14285714285714285</v>
      </c>
      <c r="I56" s="49">
        <f>'Avg Week Jinja Rd-Kiira '!I56+'Avg Week Kiira-JinjaRoad'!I56</f>
        <v>4.8571428571428577</v>
      </c>
      <c r="J56" s="49">
        <f>'Avg Week Jinja Rd-Kiira '!J56+'Avg Week Kiira-JinjaRoad'!J56</f>
        <v>1</v>
      </c>
      <c r="K56" s="49">
        <f>'Avg Week Jinja Rd-Kiira '!K56+'Avg Week Kiira-JinjaRoad'!K56</f>
        <v>0.8571428571428571</v>
      </c>
      <c r="L56" s="49">
        <f>'Avg Week Jinja Rd-Kiira '!L56+'Avg Week Kiira-JinjaRoad'!L56</f>
        <v>0.8571428571428571</v>
      </c>
      <c r="M56" s="49">
        <f>'Avg Week Jinja Rd-Kiira '!M56+'Avg Week Kiira-JinjaRoad'!M56</f>
        <v>302.42857142857144</v>
      </c>
      <c r="N56" s="49">
        <f>'Avg Week Jinja Rd-Kiira '!N56+'Avg Week Kiira-JinjaRoad'!N56</f>
        <v>15.285714285714286</v>
      </c>
      <c r="O56" s="15">
        <f t="shared" si="0"/>
        <v>350.28571428571422</v>
      </c>
      <c r="P56" s="15">
        <f t="shared" si="1"/>
        <v>652.71428571428567</v>
      </c>
      <c r="R56" s="8"/>
      <c r="T56"/>
    </row>
    <row r="57" spans="2:20" ht="23.1" customHeight="1" x14ac:dyDescent="0.25">
      <c r="B57" s="23" t="s">
        <v>84</v>
      </c>
      <c r="C57" s="49">
        <f>'Avg Week Jinja Rd-Kiira '!C57+'Avg Week Kiira-JinjaRoad'!C57</f>
        <v>208</v>
      </c>
      <c r="D57" s="49">
        <f>'Avg Week Jinja Rd-Kiira '!D57+'Avg Week Kiira-JinjaRoad'!D57</f>
        <v>89.571428571428584</v>
      </c>
      <c r="E57" s="49">
        <f>'Avg Week Jinja Rd-Kiira '!E57+'Avg Week Kiira-JinjaRoad'!E57</f>
        <v>29.142857142857142</v>
      </c>
      <c r="F57" s="49">
        <f>'Avg Week Jinja Rd-Kiira '!F57+'Avg Week Kiira-JinjaRoad'!F57</f>
        <v>13.285714285714285</v>
      </c>
      <c r="G57" s="49">
        <f>'Avg Week Jinja Rd-Kiira '!G57+'Avg Week Kiira-JinjaRoad'!G57</f>
        <v>0.5714285714285714</v>
      </c>
      <c r="H57" s="49">
        <f>'Avg Week Jinja Rd-Kiira '!H57+'Avg Week Kiira-JinjaRoad'!H57</f>
        <v>0.14285714285714285</v>
      </c>
      <c r="I57" s="49">
        <f>'Avg Week Jinja Rd-Kiira '!I57+'Avg Week Kiira-JinjaRoad'!I57</f>
        <v>5.1428571428571423</v>
      </c>
      <c r="J57" s="49">
        <f>'Avg Week Jinja Rd-Kiira '!J57+'Avg Week Kiira-JinjaRoad'!J57</f>
        <v>2.2857142857142856</v>
      </c>
      <c r="K57" s="49">
        <f>'Avg Week Jinja Rd-Kiira '!K57+'Avg Week Kiira-JinjaRoad'!K57</f>
        <v>0.5714285714285714</v>
      </c>
      <c r="L57" s="49">
        <f>'Avg Week Jinja Rd-Kiira '!L57+'Avg Week Kiira-JinjaRoad'!L57</f>
        <v>0.5714285714285714</v>
      </c>
      <c r="M57" s="49">
        <f>'Avg Week Jinja Rd-Kiira '!M57+'Avg Week Kiira-JinjaRoad'!M57</f>
        <v>273.42857142857144</v>
      </c>
      <c r="N57" s="49">
        <f>'Avg Week Jinja Rd-Kiira '!N57+'Avg Week Kiira-JinjaRoad'!N57</f>
        <v>15.571428571428571</v>
      </c>
      <c r="O57" s="15">
        <f t="shared" si="0"/>
        <v>364.85714285714283</v>
      </c>
      <c r="P57" s="15">
        <f t="shared" si="1"/>
        <v>638.28571428571433</v>
      </c>
      <c r="R57" s="8"/>
      <c r="T57"/>
    </row>
    <row r="58" spans="2:20" ht="23.1" customHeight="1" x14ac:dyDescent="0.25">
      <c r="B58" s="23" t="s">
        <v>99</v>
      </c>
      <c r="C58" s="49">
        <f>'Avg Week Jinja Rd-Kiira '!C58+'Avg Week Kiira-JinjaRoad'!C58</f>
        <v>194.5</v>
      </c>
      <c r="D58" s="49">
        <f>'Avg Week Jinja Rd-Kiira '!D58+'Avg Week Kiira-JinjaRoad'!D58</f>
        <v>76</v>
      </c>
      <c r="E58" s="49">
        <f>'Avg Week Jinja Rd-Kiira '!E58+'Avg Week Kiira-JinjaRoad'!E58</f>
        <v>15</v>
      </c>
      <c r="F58" s="49">
        <f>'Avg Week Jinja Rd-Kiira '!F58+'Avg Week Kiira-JinjaRoad'!F58</f>
        <v>7</v>
      </c>
      <c r="G58" s="49">
        <f>'Avg Week Jinja Rd-Kiira '!G58+'Avg Week Kiira-JinjaRoad'!G58</f>
        <v>0</v>
      </c>
      <c r="H58" s="49">
        <f>'Avg Week Jinja Rd-Kiira '!H58+'Avg Week Kiira-JinjaRoad'!H58</f>
        <v>0</v>
      </c>
      <c r="I58" s="49">
        <f>'Avg Week Jinja Rd-Kiira '!I58+'Avg Week Kiira-JinjaRoad'!I58</f>
        <v>4</v>
      </c>
      <c r="J58" s="49">
        <f>'Avg Week Jinja Rd-Kiira '!J58+'Avg Week Kiira-JinjaRoad'!J58</f>
        <v>1</v>
      </c>
      <c r="K58" s="49">
        <f>'Avg Week Jinja Rd-Kiira '!K58+'Avg Week Kiira-JinjaRoad'!K58</f>
        <v>0.5</v>
      </c>
      <c r="L58" s="49">
        <f>'Avg Week Jinja Rd-Kiira '!L58+'Avg Week Kiira-JinjaRoad'!L58</f>
        <v>0</v>
      </c>
      <c r="M58" s="49">
        <f>'Avg Week Jinja Rd-Kiira '!M58+'Avg Week Kiira-JinjaRoad'!M58</f>
        <v>295.5</v>
      </c>
      <c r="N58" s="49">
        <f>'Avg Week Jinja Rd-Kiira '!N58+'Avg Week Kiira-JinjaRoad'!N58</f>
        <v>0</v>
      </c>
      <c r="O58" s="15">
        <f t="shared" si="0"/>
        <v>298</v>
      </c>
      <c r="P58" s="15">
        <f t="shared" si="1"/>
        <v>593.5</v>
      </c>
      <c r="R58" s="8"/>
      <c r="T58"/>
    </row>
    <row r="59" spans="2:20" ht="23.1" customHeight="1" x14ac:dyDescent="0.25">
      <c r="B59" s="23" t="s">
        <v>100</v>
      </c>
      <c r="C59" s="49">
        <f>'Avg Week Jinja Rd-Kiira '!C59+'Avg Week Kiira-JinjaRoad'!C59</f>
        <v>157.5</v>
      </c>
      <c r="D59" s="49">
        <f>'Avg Week Jinja Rd-Kiira '!D59+'Avg Week Kiira-JinjaRoad'!D59</f>
        <v>49.5</v>
      </c>
      <c r="E59" s="49">
        <f>'Avg Week Jinja Rd-Kiira '!E59+'Avg Week Kiira-JinjaRoad'!E59</f>
        <v>8.5</v>
      </c>
      <c r="F59" s="49">
        <f>'Avg Week Jinja Rd-Kiira '!F59+'Avg Week Kiira-JinjaRoad'!F59</f>
        <v>6</v>
      </c>
      <c r="G59" s="49">
        <f>'Avg Week Jinja Rd-Kiira '!G59+'Avg Week Kiira-JinjaRoad'!G59</f>
        <v>0</v>
      </c>
      <c r="H59" s="49">
        <f>'Avg Week Jinja Rd-Kiira '!H59+'Avg Week Kiira-JinjaRoad'!H59</f>
        <v>0</v>
      </c>
      <c r="I59" s="49">
        <f>'Avg Week Jinja Rd-Kiira '!I59+'Avg Week Kiira-JinjaRoad'!I59</f>
        <v>2</v>
      </c>
      <c r="J59" s="49">
        <f>'Avg Week Jinja Rd-Kiira '!J59+'Avg Week Kiira-JinjaRoad'!J59</f>
        <v>2.5</v>
      </c>
      <c r="K59" s="49">
        <f>'Avg Week Jinja Rd-Kiira '!K59+'Avg Week Kiira-JinjaRoad'!K59</f>
        <v>0</v>
      </c>
      <c r="L59" s="49">
        <f>'Avg Week Jinja Rd-Kiira '!L59+'Avg Week Kiira-JinjaRoad'!L59</f>
        <v>1</v>
      </c>
      <c r="M59" s="49">
        <f>'Avg Week Jinja Rd-Kiira '!M59+'Avg Week Kiira-JinjaRoad'!M59</f>
        <v>248.5</v>
      </c>
      <c r="N59" s="49">
        <f>'Avg Week Jinja Rd-Kiira '!N59+'Avg Week Kiira-JinjaRoad'!N59</f>
        <v>0</v>
      </c>
      <c r="O59" s="15">
        <f t="shared" si="0"/>
        <v>227</v>
      </c>
      <c r="P59" s="15">
        <f t="shared" si="1"/>
        <v>475.5</v>
      </c>
      <c r="R59" s="8"/>
      <c r="T59"/>
    </row>
    <row r="60" spans="2:20" ht="23.1" customHeight="1" x14ac:dyDescent="0.25">
      <c r="B60" s="23" t="s">
        <v>101</v>
      </c>
      <c r="C60" s="49">
        <f>'Avg Week Jinja Rd-Kiira '!C60+'Avg Week Kiira-JinjaRoad'!C60</f>
        <v>161.5</v>
      </c>
      <c r="D60" s="49">
        <f>'Avg Week Jinja Rd-Kiira '!D60+'Avg Week Kiira-JinjaRoad'!D60</f>
        <v>73</v>
      </c>
      <c r="E60" s="49">
        <f>'Avg Week Jinja Rd-Kiira '!E60+'Avg Week Kiira-JinjaRoad'!E60</f>
        <v>13.5</v>
      </c>
      <c r="F60" s="49">
        <f>'Avg Week Jinja Rd-Kiira '!F60+'Avg Week Kiira-JinjaRoad'!F60</f>
        <v>3</v>
      </c>
      <c r="G60" s="49">
        <f>'Avg Week Jinja Rd-Kiira '!G60+'Avg Week Kiira-JinjaRoad'!G60</f>
        <v>0.5</v>
      </c>
      <c r="H60" s="49">
        <f>'Avg Week Jinja Rd-Kiira '!H60+'Avg Week Kiira-JinjaRoad'!H60</f>
        <v>0</v>
      </c>
      <c r="I60" s="49">
        <f>'Avg Week Jinja Rd-Kiira '!I60+'Avg Week Kiira-JinjaRoad'!I60</f>
        <v>1.5</v>
      </c>
      <c r="J60" s="49">
        <f>'Avg Week Jinja Rd-Kiira '!J60+'Avg Week Kiira-JinjaRoad'!J60</f>
        <v>2</v>
      </c>
      <c r="K60" s="49">
        <f>'Avg Week Jinja Rd-Kiira '!K60+'Avg Week Kiira-JinjaRoad'!K60</f>
        <v>0.5</v>
      </c>
      <c r="L60" s="49">
        <f>'Avg Week Jinja Rd-Kiira '!L60+'Avg Week Kiira-JinjaRoad'!L60</f>
        <v>0</v>
      </c>
      <c r="M60" s="49">
        <f>'Avg Week Jinja Rd-Kiira '!M60+'Avg Week Kiira-JinjaRoad'!M60</f>
        <v>289.5</v>
      </c>
      <c r="N60" s="49">
        <f>'Avg Week Jinja Rd-Kiira '!N60+'Avg Week Kiira-JinjaRoad'!N60</f>
        <v>0</v>
      </c>
      <c r="O60" s="15">
        <f t="shared" si="0"/>
        <v>255.5</v>
      </c>
      <c r="P60" s="15">
        <f t="shared" si="1"/>
        <v>545</v>
      </c>
      <c r="R60" s="8"/>
      <c r="T60"/>
    </row>
    <row r="61" spans="2:20" ht="23.1" customHeight="1" x14ac:dyDescent="0.25">
      <c r="B61" s="23" t="s">
        <v>102</v>
      </c>
      <c r="C61" s="49">
        <f>'Avg Week Jinja Rd-Kiira '!C61+'Avg Week Kiira-JinjaRoad'!C61</f>
        <v>174</v>
      </c>
      <c r="D61" s="49">
        <f>'Avg Week Jinja Rd-Kiira '!D61+'Avg Week Kiira-JinjaRoad'!D61</f>
        <v>64.5</v>
      </c>
      <c r="E61" s="49">
        <f>'Avg Week Jinja Rd-Kiira '!E61+'Avg Week Kiira-JinjaRoad'!E61</f>
        <v>21</v>
      </c>
      <c r="F61" s="49">
        <f>'Avg Week Jinja Rd-Kiira '!F61+'Avg Week Kiira-JinjaRoad'!F61</f>
        <v>9</v>
      </c>
      <c r="G61" s="49">
        <f>'Avg Week Jinja Rd-Kiira '!G61+'Avg Week Kiira-JinjaRoad'!G61</f>
        <v>0</v>
      </c>
      <c r="H61" s="49">
        <f>'Avg Week Jinja Rd-Kiira '!H61+'Avg Week Kiira-JinjaRoad'!H61</f>
        <v>0</v>
      </c>
      <c r="I61" s="49">
        <f>'Avg Week Jinja Rd-Kiira '!I61+'Avg Week Kiira-JinjaRoad'!I61</f>
        <v>3</v>
      </c>
      <c r="J61" s="49">
        <f>'Avg Week Jinja Rd-Kiira '!J61+'Avg Week Kiira-JinjaRoad'!J61</f>
        <v>0</v>
      </c>
      <c r="K61" s="49">
        <f>'Avg Week Jinja Rd-Kiira '!K61+'Avg Week Kiira-JinjaRoad'!K61</f>
        <v>2.5</v>
      </c>
      <c r="L61" s="49">
        <f>'Avg Week Jinja Rd-Kiira '!L61+'Avg Week Kiira-JinjaRoad'!L61</f>
        <v>0</v>
      </c>
      <c r="M61" s="49">
        <f>'Avg Week Jinja Rd-Kiira '!M61+'Avg Week Kiira-JinjaRoad'!M61</f>
        <v>376.5</v>
      </c>
      <c r="N61" s="49">
        <f>'Avg Week Jinja Rd-Kiira '!N61+'Avg Week Kiira-JinjaRoad'!N61</f>
        <v>0</v>
      </c>
      <c r="O61" s="15">
        <f t="shared" si="0"/>
        <v>274</v>
      </c>
      <c r="P61" s="15">
        <f t="shared" si="1"/>
        <v>650.5</v>
      </c>
      <c r="R61" s="8"/>
      <c r="T61"/>
    </row>
    <row r="62" spans="2:20" ht="23.1" customHeight="1" x14ac:dyDescent="0.25">
      <c r="B62" s="23" t="s">
        <v>107</v>
      </c>
      <c r="C62" s="49">
        <f>'Avg Week Jinja Rd-Kiira '!C62+'Avg Week Kiira-JinjaRoad'!C62</f>
        <v>175.5</v>
      </c>
      <c r="D62" s="49">
        <f>'Avg Week Jinja Rd-Kiira '!D62+'Avg Week Kiira-JinjaRoad'!D62</f>
        <v>45.5</v>
      </c>
      <c r="E62" s="49">
        <f>'Avg Week Jinja Rd-Kiira '!E62+'Avg Week Kiira-JinjaRoad'!E62</f>
        <v>15.5</v>
      </c>
      <c r="F62" s="49">
        <f>'Avg Week Jinja Rd-Kiira '!F62+'Avg Week Kiira-JinjaRoad'!F62</f>
        <v>6.5</v>
      </c>
      <c r="G62" s="49">
        <f>'Avg Week Jinja Rd-Kiira '!G62+'Avg Week Kiira-JinjaRoad'!G62</f>
        <v>0</v>
      </c>
      <c r="H62" s="49">
        <f>'Avg Week Jinja Rd-Kiira '!H62+'Avg Week Kiira-JinjaRoad'!H62</f>
        <v>0</v>
      </c>
      <c r="I62" s="49">
        <f>'Avg Week Jinja Rd-Kiira '!I62+'Avg Week Kiira-JinjaRoad'!I62</f>
        <v>2.5</v>
      </c>
      <c r="J62" s="49">
        <f>'Avg Week Jinja Rd-Kiira '!J62+'Avg Week Kiira-JinjaRoad'!J62</f>
        <v>0.5</v>
      </c>
      <c r="K62" s="49">
        <f>'Avg Week Jinja Rd-Kiira '!K62+'Avg Week Kiira-JinjaRoad'!K62</f>
        <v>1.5</v>
      </c>
      <c r="L62" s="49">
        <f>'Avg Week Jinja Rd-Kiira '!L62+'Avg Week Kiira-JinjaRoad'!L62</f>
        <v>0.5</v>
      </c>
      <c r="M62" s="49">
        <f>'Avg Week Jinja Rd-Kiira '!M62+'Avg Week Kiira-JinjaRoad'!M62</f>
        <v>271</v>
      </c>
      <c r="N62" s="49">
        <f>'Avg Week Jinja Rd-Kiira '!N62+'Avg Week Kiira-JinjaRoad'!N62</f>
        <v>0</v>
      </c>
      <c r="O62" s="15">
        <f t="shared" si="0"/>
        <v>248</v>
      </c>
      <c r="P62" s="15">
        <f t="shared" si="1"/>
        <v>519</v>
      </c>
      <c r="R62" s="8"/>
      <c r="T62"/>
    </row>
    <row r="63" spans="2:20" ht="23.1" customHeight="1" x14ac:dyDescent="0.25">
      <c r="B63" s="23" t="s">
        <v>108</v>
      </c>
      <c r="C63" s="49">
        <f>'Avg Week Jinja Rd-Kiira '!C63+'Avg Week Kiira-JinjaRoad'!C63</f>
        <v>176.5</v>
      </c>
      <c r="D63" s="49">
        <f>'Avg Week Jinja Rd-Kiira '!D63+'Avg Week Kiira-JinjaRoad'!D63</f>
        <v>52.5</v>
      </c>
      <c r="E63" s="49">
        <f>'Avg Week Jinja Rd-Kiira '!E63+'Avg Week Kiira-JinjaRoad'!E63</f>
        <v>12.5</v>
      </c>
      <c r="F63" s="49">
        <f>'Avg Week Jinja Rd-Kiira '!F63+'Avg Week Kiira-JinjaRoad'!F63</f>
        <v>2.5</v>
      </c>
      <c r="G63" s="49">
        <f>'Avg Week Jinja Rd-Kiira '!G63+'Avg Week Kiira-JinjaRoad'!G63</f>
        <v>0</v>
      </c>
      <c r="H63" s="49">
        <f>'Avg Week Jinja Rd-Kiira '!H63+'Avg Week Kiira-JinjaRoad'!H63</f>
        <v>0</v>
      </c>
      <c r="I63" s="49">
        <f>'Avg Week Jinja Rd-Kiira '!I63+'Avg Week Kiira-JinjaRoad'!I63</f>
        <v>3</v>
      </c>
      <c r="J63" s="49">
        <f>'Avg Week Jinja Rd-Kiira '!J63+'Avg Week Kiira-JinjaRoad'!J63</f>
        <v>0</v>
      </c>
      <c r="K63" s="49">
        <f>'Avg Week Jinja Rd-Kiira '!K63+'Avg Week Kiira-JinjaRoad'!K63</f>
        <v>0</v>
      </c>
      <c r="L63" s="49">
        <f>'Avg Week Jinja Rd-Kiira '!L63+'Avg Week Kiira-JinjaRoad'!L63</f>
        <v>0</v>
      </c>
      <c r="M63" s="49">
        <f>'Avg Week Jinja Rd-Kiira '!M63+'Avg Week Kiira-JinjaRoad'!M63</f>
        <v>247</v>
      </c>
      <c r="N63" s="49">
        <f>'Avg Week Jinja Rd-Kiira '!N63+'Avg Week Kiira-JinjaRoad'!N63</f>
        <v>0</v>
      </c>
      <c r="O63" s="15">
        <f t="shared" si="0"/>
        <v>247</v>
      </c>
      <c r="P63" s="15">
        <f t="shared" si="1"/>
        <v>494</v>
      </c>
      <c r="R63" s="8"/>
      <c r="T63"/>
    </row>
    <row r="64" spans="2:20" ht="23.1" customHeight="1" x14ac:dyDescent="0.25">
      <c r="B64" s="23" t="s">
        <v>109</v>
      </c>
      <c r="C64" s="49">
        <f>'Avg Week Jinja Rd-Kiira '!C64+'Avg Week Kiira-JinjaRoad'!C64</f>
        <v>190</v>
      </c>
      <c r="D64" s="49">
        <f>'Avg Week Jinja Rd-Kiira '!D64+'Avg Week Kiira-JinjaRoad'!D64</f>
        <v>62.5</v>
      </c>
      <c r="E64" s="49">
        <f>'Avg Week Jinja Rd-Kiira '!E64+'Avg Week Kiira-JinjaRoad'!E64</f>
        <v>23</v>
      </c>
      <c r="F64" s="49">
        <f>'Avg Week Jinja Rd-Kiira '!F64+'Avg Week Kiira-JinjaRoad'!F64</f>
        <v>5.5</v>
      </c>
      <c r="G64" s="49">
        <f>'Avg Week Jinja Rd-Kiira '!G64+'Avg Week Kiira-JinjaRoad'!G64</f>
        <v>0.5</v>
      </c>
      <c r="H64" s="49">
        <f>'Avg Week Jinja Rd-Kiira '!H64+'Avg Week Kiira-JinjaRoad'!H64</f>
        <v>0</v>
      </c>
      <c r="I64" s="49">
        <f>'Avg Week Jinja Rd-Kiira '!I64+'Avg Week Kiira-JinjaRoad'!I64</f>
        <v>4</v>
      </c>
      <c r="J64" s="49">
        <f>'Avg Week Jinja Rd-Kiira '!J64+'Avg Week Kiira-JinjaRoad'!J64</f>
        <v>1</v>
      </c>
      <c r="K64" s="49">
        <f>'Avg Week Jinja Rd-Kiira '!K64+'Avg Week Kiira-JinjaRoad'!K64</f>
        <v>2</v>
      </c>
      <c r="L64" s="49">
        <f>'Avg Week Jinja Rd-Kiira '!L64+'Avg Week Kiira-JinjaRoad'!L64</f>
        <v>0</v>
      </c>
      <c r="M64" s="49">
        <f>'Avg Week Jinja Rd-Kiira '!M64+'Avg Week Kiira-JinjaRoad'!M64</f>
        <v>229.5</v>
      </c>
      <c r="N64" s="49">
        <f>'Avg Week Jinja Rd-Kiira '!N64+'Avg Week Kiira-JinjaRoad'!N64</f>
        <v>0</v>
      </c>
      <c r="O64" s="15">
        <f t="shared" si="0"/>
        <v>288.5</v>
      </c>
      <c r="P64" s="15">
        <f t="shared" si="1"/>
        <v>518</v>
      </c>
      <c r="R64" s="8"/>
      <c r="T64"/>
    </row>
    <row r="65" spans="2:20" ht="23.1" customHeight="1" x14ac:dyDescent="0.25">
      <c r="B65" s="23" t="s">
        <v>158</v>
      </c>
      <c r="C65" s="49">
        <f>'Avg Week Jinja Rd-Kiira '!C65+'Avg Week Kiira-JinjaRoad'!C65</f>
        <v>176.5</v>
      </c>
      <c r="D65" s="49">
        <f>'Avg Week Jinja Rd-Kiira '!D65+'Avg Week Kiira-JinjaRoad'!D65</f>
        <v>49</v>
      </c>
      <c r="E65" s="49">
        <f>'Avg Week Jinja Rd-Kiira '!E65+'Avg Week Kiira-JinjaRoad'!E65</f>
        <v>16</v>
      </c>
      <c r="F65" s="49">
        <f>'Avg Week Jinja Rd-Kiira '!F65+'Avg Week Kiira-JinjaRoad'!F65</f>
        <v>4.5</v>
      </c>
      <c r="G65" s="49">
        <f>'Avg Week Jinja Rd-Kiira '!G65+'Avg Week Kiira-JinjaRoad'!G65</f>
        <v>0</v>
      </c>
      <c r="H65" s="49">
        <f>'Avg Week Jinja Rd-Kiira '!H65+'Avg Week Kiira-JinjaRoad'!H65</f>
        <v>0</v>
      </c>
      <c r="I65" s="49">
        <f>'Avg Week Jinja Rd-Kiira '!I65+'Avg Week Kiira-JinjaRoad'!I65</f>
        <v>3</v>
      </c>
      <c r="J65" s="49">
        <f>'Avg Week Jinja Rd-Kiira '!J65+'Avg Week Kiira-JinjaRoad'!J65</f>
        <v>1</v>
      </c>
      <c r="K65" s="49">
        <f>'Avg Week Jinja Rd-Kiira '!K65+'Avg Week Kiira-JinjaRoad'!K65</f>
        <v>1</v>
      </c>
      <c r="L65" s="49">
        <f>'Avg Week Jinja Rd-Kiira '!L65+'Avg Week Kiira-JinjaRoad'!L65</f>
        <v>0</v>
      </c>
      <c r="M65" s="49">
        <f>'Avg Week Jinja Rd-Kiira '!M65+'Avg Week Kiira-JinjaRoad'!M65</f>
        <v>208</v>
      </c>
      <c r="N65" s="49">
        <f>'Avg Week Jinja Rd-Kiira '!N65+'Avg Week Kiira-JinjaRoad'!N65</f>
        <v>0</v>
      </c>
      <c r="O65" s="15">
        <f t="shared" si="0"/>
        <v>251</v>
      </c>
      <c r="P65" s="15">
        <f t="shared" si="1"/>
        <v>459</v>
      </c>
      <c r="R65" s="8"/>
      <c r="T65"/>
    </row>
    <row r="66" spans="2:20" ht="23.1" customHeight="1" x14ac:dyDescent="0.25">
      <c r="B66" s="23" t="s">
        <v>103</v>
      </c>
      <c r="C66" s="49">
        <f>'Avg Week Jinja Rd-Kiira '!C66+'Avg Week Kiira-JinjaRoad'!C66</f>
        <v>151</v>
      </c>
      <c r="D66" s="49">
        <f>'Avg Week Jinja Rd-Kiira '!D66+'Avg Week Kiira-JinjaRoad'!D66</f>
        <v>56.5</v>
      </c>
      <c r="E66" s="49">
        <f>'Avg Week Jinja Rd-Kiira '!E66+'Avg Week Kiira-JinjaRoad'!E66</f>
        <v>13.5</v>
      </c>
      <c r="F66" s="49">
        <f>'Avg Week Jinja Rd-Kiira '!F66+'Avg Week Kiira-JinjaRoad'!F66</f>
        <v>6.5</v>
      </c>
      <c r="G66" s="49">
        <f>'Avg Week Jinja Rd-Kiira '!G66+'Avg Week Kiira-JinjaRoad'!G66</f>
        <v>0.5</v>
      </c>
      <c r="H66" s="49">
        <f>'Avg Week Jinja Rd-Kiira '!H66+'Avg Week Kiira-JinjaRoad'!H66</f>
        <v>0</v>
      </c>
      <c r="I66" s="49">
        <f>'Avg Week Jinja Rd-Kiira '!I66+'Avg Week Kiira-JinjaRoad'!I66</f>
        <v>4</v>
      </c>
      <c r="J66" s="49">
        <f>'Avg Week Jinja Rd-Kiira '!J66+'Avg Week Kiira-JinjaRoad'!J66</f>
        <v>1.5</v>
      </c>
      <c r="K66" s="49">
        <f>'Avg Week Jinja Rd-Kiira '!K66+'Avg Week Kiira-JinjaRoad'!K66</f>
        <v>0</v>
      </c>
      <c r="L66" s="49">
        <f>'Avg Week Jinja Rd-Kiira '!L66+'Avg Week Kiira-JinjaRoad'!L66</f>
        <v>0</v>
      </c>
      <c r="M66" s="49">
        <f>'Avg Week Jinja Rd-Kiira '!M66+'Avg Week Kiira-JinjaRoad'!M66</f>
        <v>134</v>
      </c>
      <c r="N66" s="49">
        <f>'Avg Week Jinja Rd-Kiira '!N66+'Avg Week Kiira-JinjaRoad'!N66</f>
        <v>0</v>
      </c>
      <c r="O66" s="15">
        <f t="shared" si="0"/>
        <v>233.5</v>
      </c>
      <c r="P66" s="15">
        <f t="shared" si="1"/>
        <v>367.5</v>
      </c>
      <c r="R66" s="8"/>
      <c r="T66"/>
    </row>
    <row r="67" spans="2:20" ht="23.1" customHeight="1" x14ac:dyDescent="0.25">
      <c r="B67" s="23" t="s">
        <v>104</v>
      </c>
      <c r="C67" s="49">
        <f>'Avg Week Jinja Rd-Kiira '!C67+'Avg Week Kiira-JinjaRoad'!C67</f>
        <v>155.5</v>
      </c>
      <c r="D67" s="49">
        <f>'Avg Week Jinja Rd-Kiira '!D67+'Avg Week Kiira-JinjaRoad'!D67</f>
        <v>64.5</v>
      </c>
      <c r="E67" s="49">
        <f>'Avg Week Jinja Rd-Kiira '!E67+'Avg Week Kiira-JinjaRoad'!E67</f>
        <v>12.5</v>
      </c>
      <c r="F67" s="49">
        <f>'Avg Week Jinja Rd-Kiira '!F67+'Avg Week Kiira-JinjaRoad'!F67</f>
        <v>2</v>
      </c>
      <c r="G67" s="49">
        <f>'Avg Week Jinja Rd-Kiira '!G67+'Avg Week Kiira-JinjaRoad'!G67</f>
        <v>0</v>
      </c>
      <c r="H67" s="49">
        <f>'Avg Week Jinja Rd-Kiira '!H67+'Avg Week Kiira-JinjaRoad'!H67</f>
        <v>0</v>
      </c>
      <c r="I67" s="49">
        <f>'Avg Week Jinja Rd-Kiira '!I67+'Avg Week Kiira-JinjaRoad'!I67</f>
        <v>1</v>
      </c>
      <c r="J67" s="49">
        <f>'Avg Week Jinja Rd-Kiira '!J67+'Avg Week Kiira-JinjaRoad'!J67</f>
        <v>0.5</v>
      </c>
      <c r="K67" s="49">
        <f>'Avg Week Jinja Rd-Kiira '!K67+'Avg Week Kiira-JinjaRoad'!K67</f>
        <v>1</v>
      </c>
      <c r="L67" s="49">
        <f>'Avg Week Jinja Rd-Kiira '!L67+'Avg Week Kiira-JinjaRoad'!L67</f>
        <v>0</v>
      </c>
      <c r="M67" s="49">
        <f>'Avg Week Jinja Rd-Kiira '!M67+'Avg Week Kiira-JinjaRoad'!M67</f>
        <v>133.5</v>
      </c>
      <c r="N67" s="49">
        <f>'Avg Week Jinja Rd-Kiira '!N67+'Avg Week Kiira-JinjaRoad'!N67</f>
        <v>0</v>
      </c>
      <c r="O67" s="15">
        <f t="shared" si="0"/>
        <v>237</v>
      </c>
      <c r="P67" s="15">
        <f t="shared" si="1"/>
        <v>370.5</v>
      </c>
      <c r="R67" s="8"/>
      <c r="T67"/>
    </row>
    <row r="68" spans="2:20" ht="23.1" customHeight="1" x14ac:dyDescent="0.25">
      <c r="B68" s="23" t="s">
        <v>105</v>
      </c>
      <c r="C68" s="49">
        <f>'Avg Week Jinja Rd-Kiira '!C68+'Avg Week Kiira-JinjaRoad'!C68</f>
        <v>125</v>
      </c>
      <c r="D68" s="49">
        <f>'Avg Week Jinja Rd-Kiira '!D68+'Avg Week Kiira-JinjaRoad'!D68</f>
        <v>29</v>
      </c>
      <c r="E68" s="49">
        <f>'Avg Week Jinja Rd-Kiira '!E68+'Avg Week Kiira-JinjaRoad'!E68</f>
        <v>9.5</v>
      </c>
      <c r="F68" s="49">
        <f>'Avg Week Jinja Rd-Kiira '!F68+'Avg Week Kiira-JinjaRoad'!F68</f>
        <v>4.5</v>
      </c>
      <c r="G68" s="49">
        <f>'Avg Week Jinja Rd-Kiira '!G68+'Avg Week Kiira-JinjaRoad'!G68</f>
        <v>1</v>
      </c>
      <c r="H68" s="49">
        <f>'Avg Week Jinja Rd-Kiira '!H68+'Avg Week Kiira-JinjaRoad'!H68</f>
        <v>0.5</v>
      </c>
      <c r="I68" s="49">
        <f>'Avg Week Jinja Rd-Kiira '!I68+'Avg Week Kiira-JinjaRoad'!I68</f>
        <v>1.5</v>
      </c>
      <c r="J68" s="49">
        <f>'Avg Week Jinja Rd-Kiira '!J68+'Avg Week Kiira-JinjaRoad'!J68</f>
        <v>1</v>
      </c>
      <c r="K68" s="49">
        <f>'Avg Week Jinja Rd-Kiira '!K68+'Avg Week Kiira-JinjaRoad'!K68</f>
        <v>0</v>
      </c>
      <c r="L68" s="49">
        <f>'Avg Week Jinja Rd-Kiira '!L68+'Avg Week Kiira-JinjaRoad'!L68</f>
        <v>0.5</v>
      </c>
      <c r="M68" s="49">
        <f>'Avg Week Jinja Rd-Kiira '!M68+'Avg Week Kiira-JinjaRoad'!M68</f>
        <v>150.5</v>
      </c>
      <c r="N68" s="49">
        <f>'Avg Week Jinja Rd-Kiira '!N68+'Avg Week Kiira-JinjaRoad'!N68</f>
        <v>0</v>
      </c>
      <c r="O68" s="15">
        <f t="shared" si="0"/>
        <v>172.5</v>
      </c>
      <c r="P68" s="15">
        <f t="shared" si="1"/>
        <v>323</v>
      </c>
      <c r="R68" s="8"/>
      <c r="T68"/>
    </row>
    <row r="69" spans="2:20" ht="23.1" customHeight="1" x14ac:dyDescent="0.25">
      <c r="B69" s="23" t="s">
        <v>106</v>
      </c>
      <c r="C69" s="49">
        <f>'Avg Week Jinja Rd-Kiira '!C69+'Avg Week Kiira-JinjaRoad'!C69</f>
        <v>122</v>
      </c>
      <c r="D69" s="49">
        <f>'Avg Week Jinja Rd-Kiira '!D69+'Avg Week Kiira-JinjaRoad'!D69</f>
        <v>50.5</v>
      </c>
      <c r="E69" s="49">
        <f>'Avg Week Jinja Rd-Kiira '!E69+'Avg Week Kiira-JinjaRoad'!E69</f>
        <v>13.5</v>
      </c>
      <c r="F69" s="49">
        <f>'Avg Week Jinja Rd-Kiira '!F69+'Avg Week Kiira-JinjaRoad'!F69</f>
        <v>5</v>
      </c>
      <c r="G69" s="49">
        <f>'Avg Week Jinja Rd-Kiira '!G69+'Avg Week Kiira-JinjaRoad'!G69</f>
        <v>0.5</v>
      </c>
      <c r="H69" s="49">
        <f>'Avg Week Jinja Rd-Kiira '!H69+'Avg Week Kiira-JinjaRoad'!H69</f>
        <v>0</v>
      </c>
      <c r="I69" s="49">
        <f>'Avg Week Jinja Rd-Kiira '!I69+'Avg Week Kiira-JinjaRoad'!I69</f>
        <v>0.5</v>
      </c>
      <c r="J69" s="49">
        <f>'Avg Week Jinja Rd-Kiira '!J69+'Avg Week Kiira-JinjaRoad'!J69</f>
        <v>0.5</v>
      </c>
      <c r="K69" s="49">
        <f>'Avg Week Jinja Rd-Kiira '!K69+'Avg Week Kiira-JinjaRoad'!K69</f>
        <v>1</v>
      </c>
      <c r="L69" s="49">
        <f>'Avg Week Jinja Rd-Kiira '!L69+'Avg Week Kiira-JinjaRoad'!L69</f>
        <v>0</v>
      </c>
      <c r="M69" s="49">
        <f>'Avg Week Jinja Rd-Kiira '!M69+'Avg Week Kiira-JinjaRoad'!M69</f>
        <v>115.5</v>
      </c>
      <c r="N69" s="49">
        <f>'Avg Week Jinja Rd-Kiira '!N69+'Avg Week Kiira-JinjaRoad'!N69</f>
        <v>0</v>
      </c>
      <c r="O69" s="15">
        <f t="shared" si="0"/>
        <v>193.5</v>
      </c>
      <c r="P69" s="15">
        <f t="shared" si="1"/>
        <v>309</v>
      </c>
      <c r="R69" s="8"/>
      <c r="T69"/>
    </row>
    <row r="70" spans="2:20" ht="23.1" customHeight="1" x14ac:dyDescent="0.25">
      <c r="B70" s="23" t="s">
        <v>110</v>
      </c>
      <c r="C70" s="49">
        <f>'Avg Week Jinja Rd-Kiira '!C70+'Avg Week Kiira-JinjaRoad'!C70</f>
        <v>133.5</v>
      </c>
      <c r="D70" s="49">
        <f>'Avg Week Jinja Rd-Kiira '!D70+'Avg Week Kiira-JinjaRoad'!D70</f>
        <v>36</v>
      </c>
      <c r="E70" s="49">
        <f>'Avg Week Jinja Rd-Kiira '!E70+'Avg Week Kiira-JinjaRoad'!E70</f>
        <v>10.5</v>
      </c>
      <c r="F70" s="49">
        <f>'Avg Week Jinja Rd-Kiira '!F70+'Avg Week Kiira-JinjaRoad'!F70</f>
        <v>6</v>
      </c>
      <c r="G70" s="49">
        <f>'Avg Week Jinja Rd-Kiira '!G70+'Avg Week Kiira-JinjaRoad'!G70</f>
        <v>0</v>
      </c>
      <c r="H70" s="49">
        <f>'Avg Week Jinja Rd-Kiira '!H70+'Avg Week Kiira-JinjaRoad'!H70</f>
        <v>0</v>
      </c>
      <c r="I70" s="49">
        <f>'Avg Week Jinja Rd-Kiira '!I70+'Avg Week Kiira-JinjaRoad'!I70</f>
        <v>2</v>
      </c>
      <c r="J70" s="49">
        <f>'Avg Week Jinja Rd-Kiira '!J70+'Avg Week Kiira-JinjaRoad'!J70</f>
        <v>0.5</v>
      </c>
      <c r="K70" s="49">
        <f>'Avg Week Jinja Rd-Kiira '!K70+'Avg Week Kiira-JinjaRoad'!K70</f>
        <v>0.5</v>
      </c>
      <c r="L70" s="49">
        <f>'Avg Week Jinja Rd-Kiira '!L70+'Avg Week Kiira-JinjaRoad'!L70</f>
        <v>0</v>
      </c>
      <c r="M70" s="49">
        <f>'Avg Week Jinja Rd-Kiira '!M70+'Avg Week Kiira-JinjaRoad'!M70</f>
        <v>102</v>
      </c>
      <c r="N70" s="49">
        <f>'Avg Week Jinja Rd-Kiira '!N70+'Avg Week Kiira-JinjaRoad'!N70</f>
        <v>0</v>
      </c>
      <c r="O70" s="15">
        <f t="shared" si="0"/>
        <v>189</v>
      </c>
      <c r="P70" s="15">
        <f t="shared" si="1"/>
        <v>291</v>
      </c>
      <c r="R70" s="8"/>
      <c r="T70"/>
    </row>
    <row r="71" spans="2:20" ht="23.1" customHeight="1" x14ac:dyDescent="0.25">
      <c r="B71" s="23" t="s">
        <v>111</v>
      </c>
      <c r="C71" s="49">
        <f>'Avg Week Jinja Rd-Kiira '!C71+'Avg Week Kiira-JinjaRoad'!C71</f>
        <v>135.5</v>
      </c>
      <c r="D71" s="49">
        <f>'Avg Week Jinja Rd-Kiira '!D71+'Avg Week Kiira-JinjaRoad'!D71</f>
        <v>39</v>
      </c>
      <c r="E71" s="49">
        <f>'Avg Week Jinja Rd-Kiira '!E71+'Avg Week Kiira-JinjaRoad'!E71</f>
        <v>8.5</v>
      </c>
      <c r="F71" s="49">
        <f>'Avg Week Jinja Rd-Kiira '!F71+'Avg Week Kiira-JinjaRoad'!F71</f>
        <v>3</v>
      </c>
      <c r="G71" s="49">
        <f>'Avg Week Jinja Rd-Kiira '!G71+'Avg Week Kiira-JinjaRoad'!G71</f>
        <v>0</v>
      </c>
      <c r="H71" s="49">
        <f>'Avg Week Jinja Rd-Kiira '!H71+'Avg Week Kiira-JinjaRoad'!H71</f>
        <v>0</v>
      </c>
      <c r="I71" s="49">
        <f>'Avg Week Jinja Rd-Kiira '!I71+'Avg Week Kiira-JinjaRoad'!I71</f>
        <v>1</v>
      </c>
      <c r="J71" s="49">
        <f>'Avg Week Jinja Rd-Kiira '!J71+'Avg Week Kiira-JinjaRoad'!J71</f>
        <v>0</v>
      </c>
      <c r="K71" s="49">
        <f>'Avg Week Jinja Rd-Kiira '!K71+'Avg Week Kiira-JinjaRoad'!K71</f>
        <v>0</v>
      </c>
      <c r="L71" s="49">
        <f>'Avg Week Jinja Rd-Kiira '!L71+'Avg Week Kiira-JinjaRoad'!L71</f>
        <v>0.5</v>
      </c>
      <c r="M71" s="49">
        <f>'Avg Week Jinja Rd-Kiira '!M71+'Avg Week Kiira-JinjaRoad'!M71</f>
        <v>90.5</v>
      </c>
      <c r="N71" s="49">
        <f>'Avg Week Jinja Rd-Kiira '!N71+'Avg Week Kiira-JinjaRoad'!N71</f>
        <v>0</v>
      </c>
      <c r="O71" s="15">
        <f t="shared" si="0"/>
        <v>187.5</v>
      </c>
      <c r="P71" s="15">
        <f t="shared" si="1"/>
        <v>278</v>
      </c>
      <c r="R71" s="8"/>
      <c r="T71"/>
    </row>
    <row r="72" spans="2:20" ht="23.1" customHeight="1" x14ac:dyDescent="0.25">
      <c r="B72" s="23" t="s">
        <v>112</v>
      </c>
      <c r="C72" s="49">
        <f>'Avg Week Jinja Rd-Kiira '!C72+'Avg Week Kiira-JinjaRoad'!C72</f>
        <v>139</v>
      </c>
      <c r="D72" s="49">
        <f>'Avg Week Jinja Rd-Kiira '!D72+'Avg Week Kiira-JinjaRoad'!D72</f>
        <v>40.5</v>
      </c>
      <c r="E72" s="49">
        <f>'Avg Week Jinja Rd-Kiira '!E72+'Avg Week Kiira-JinjaRoad'!E72</f>
        <v>12.5</v>
      </c>
      <c r="F72" s="49">
        <f>'Avg Week Jinja Rd-Kiira '!F72+'Avg Week Kiira-JinjaRoad'!F72</f>
        <v>4</v>
      </c>
      <c r="G72" s="49">
        <f>'Avg Week Jinja Rd-Kiira '!G72+'Avg Week Kiira-JinjaRoad'!G72</f>
        <v>0</v>
      </c>
      <c r="H72" s="49">
        <f>'Avg Week Jinja Rd-Kiira '!H72+'Avg Week Kiira-JinjaRoad'!H72</f>
        <v>0</v>
      </c>
      <c r="I72" s="49">
        <f>'Avg Week Jinja Rd-Kiira '!I72+'Avg Week Kiira-JinjaRoad'!I72</f>
        <v>1</v>
      </c>
      <c r="J72" s="49">
        <f>'Avg Week Jinja Rd-Kiira '!J72+'Avg Week Kiira-JinjaRoad'!J72</f>
        <v>1</v>
      </c>
      <c r="K72" s="49">
        <f>'Avg Week Jinja Rd-Kiira '!K72+'Avg Week Kiira-JinjaRoad'!K72</f>
        <v>0.5</v>
      </c>
      <c r="L72" s="49">
        <f>'Avg Week Jinja Rd-Kiira '!L72+'Avg Week Kiira-JinjaRoad'!L72</f>
        <v>0</v>
      </c>
      <c r="M72" s="49">
        <f>'Avg Week Jinja Rd-Kiira '!M72+'Avg Week Kiira-JinjaRoad'!M72</f>
        <v>131</v>
      </c>
      <c r="N72" s="49">
        <f>'Avg Week Jinja Rd-Kiira '!N72+'Avg Week Kiira-JinjaRoad'!N72</f>
        <v>0</v>
      </c>
      <c r="O72" s="15">
        <f t="shared" si="0"/>
        <v>198.5</v>
      </c>
      <c r="P72" s="15">
        <f t="shared" si="1"/>
        <v>329.5</v>
      </c>
      <c r="R72" s="8"/>
      <c r="T72"/>
    </row>
    <row r="73" spans="2:20" ht="23.1" customHeight="1" x14ac:dyDescent="0.25">
      <c r="B73" s="23" t="s">
        <v>113</v>
      </c>
      <c r="C73" s="49">
        <f>'Avg Week Jinja Rd-Kiira '!C73+'Avg Week Kiira-JinjaRoad'!C73</f>
        <v>115</v>
      </c>
      <c r="D73" s="49">
        <f>'Avg Week Jinja Rd-Kiira '!D73+'Avg Week Kiira-JinjaRoad'!D73</f>
        <v>32.5</v>
      </c>
      <c r="E73" s="49">
        <f>'Avg Week Jinja Rd-Kiira '!E73+'Avg Week Kiira-JinjaRoad'!E73</f>
        <v>5</v>
      </c>
      <c r="F73" s="49">
        <f>'Avg Week Jinja Rd-Kiira '!F73+'Avg Week Kiira-JinjaRoad'!F73</f>
        <v>2.5</v>
      </c>
      <c r="G73" s="49">
        <f>'Avg Week Jinja Rd-Kiira '!G73+'Avg Week Kiira-JinjaRoad'!G73</f>
        <v>0</v>
      </c>
      <c r="H73" s="49">
        <f>'Avg Week Jinja Rd-Kiira '!H73+'Avg Week Kiira-JinjaRoad'!H73</f>
        <v>0</v>
      </c>
      <c r="I73" s="49">
        <f>'Avg Week Jinja Rd-Kiira '!I73+'Avg Week Kiira-JinjaRoad'!I73</f>
        <v>1</v>
      </c>
      <c r="J73" s="49">
        <f>'Avg Week Jinja Rd-Kiira '!J73+'Avg Week Kiira-JinjaRoad'!J73</f>
        <v>0.5</v>
      </c>
      <c r="K73" s="49">
        <f>'Avg Week Jinja Rd-Kiira '!K73+'Avg Week Kiira-JinjaRoad'!K73</f>
        <v>0</v>
      </c>
      <c r="L73" s="49">
        <f>'Avg Week Jinja Rd-Kiira '!L73+'Avg Week Kiira-JinjaRoad'!L73</f>
        <v>0</v>
      </c>
      <c r="M73" s="49">
        <f>'Avg Week Jinja Rd-Kiira '!M73+'Avg Week Kiira-JinjaRoad'!M73</f>
        <v>100</v>
      </c>
      <c r="N73" s="49">
        <f>'Avg Week Jinja Rd-Kiira '!N73+'Avg Week Kiira-JinjaRoad'!N73</f>
        <v>0</v>
      </c>
      <c r="O73" s="15">
        <f t="shared" si="0"/>
        <v>156.5</v>
      </c>
      <c r="P73" s="15">
        <f t="shared" si="1"/>
        <v>256.5</v>
      </c>
      <c r="R73" s="8"/>
      <c r="T73"/>
    </row>
    <row r="74" spans="2:20" ht="23.1" customHeight="1" x14ac:dyDescent="0.25">
      <c r="B74" s="23" t="s">
        <v>114</v>
      </c>
      <c r="C74" s="49">
        <f>'Avg Week Jinja Rd-Kiira '!C74+'Avg Week Kiira-JinjaRoad'!C74</f>
        <v>116</v>
      </c>
      <c r="D74" s="49">
        <f>'Avg Week Jinja Rd-Kiira '!D74+'Avg Week Kiira-JinjaRoad'!D74</f>
        <v>42</v>
      </c>
      <c r="E74" s="49">
        <f>'Avg Week Jinja Rd-Kiira '!E74+'Avg Week Kiira-JinjaRoad'!E74</f>
        <v>7</v>
      </c>
      <c r="F74" s="49">
        <f>'Avg Week Jinja Rd-Kiira '!F74+'Avg Week Kiira-JinjaRoad'!F74</f>
        <v>1.5</v>
      </c>
      <c r="G74" s="49">
        <f>'Avg Week Jinja Rd-Kiira '!G74+'Avg Week Kiira-JinjaRoad'!G74</f>
        <v>0</v>
      </c>
      <c r="H74" s="49">
        <f>'Avg Week Jinja Rd-Kiira '!H74+'Avg Week Kiira-JinjaRoad'!H74</f>
        <v>0</v>
      </c>
      <c r="I74" s="49">
        <f>'Avg Week Jinja Rd-Kiira '!I74+'Avg Week Kiira-JinjaRoad'!I74</f>
        <v>0.5</v>
      </c>
      <c r="J74" s="49">
        <f>'Avg Week Jinja Rd-Kiira '!J74+'Avg Week Kiira-JinjaRoad'!J74</f>
        <v>1</v>
      </c>
      <c r="K74" s="49">
        <f>'Avg Week Jinja Rd-Kiira '!K74+'Avg Week Kiira-JinjaRoad'!K74</f>
        <v>0.5</v>
      </c>
      <c r="L74" s="49">
        <f>'Avg Week Jinja Rd-Kiira '!L74+'Avg Week Kiira-JinjaRoad'!L74</f>
        <v>0</v>
      </c>
      <c r="M74" s="49">
        <f>'Avg Week Jinja Rd-Kiira '!M74+'Avg Week Kiira-JinjaRoad'!M74</f>
        <v>115</v>
      </c>
      <c r="N74" s="49">
        <f>'Avg Week Jinja Rd-Kiira '!N74+'Avg Week Kiira-JinjaRoad'!N74</f>
        <v>0</v>
      </c>
      <c r="O74" s="15">
        <f t="shared" ref="O74:O105" si="35">SUM(C74:L74,N74)</f>
        <v>168.5</v>
      </c>
      <c r="P74" s="15">
        <f t="shared" ref="P74:P105" si="36">SUM(C74:N74)</f>
        <v>283.5</v>
      </c>
      <c r="R74" s="8"/>
      <c r="T74"/>
    </row>
    <row r="75" spans="2:20" ht="23.1" customHeight="1" x14ac:dyDescent="0.25">
      <c r="B75" s="23" t="s">
        <v>115</v>
      </c>
      <c r="C75" s="49">
        <f>'Avg Week Jinja Rd-Kiira '!C75+'Avg Week Kiira-JinjaRoad'!C75</f>
        <v>94.5</v>
      </c>
      <c r="D75" s="49">
        <f>'Avg Week Jinja Rd-Kiira '!D75+'Avg Week Kiira-JinjaRoad'!D75</f>
        <v>35</v>
      </c>
      <c r="E75" s="49">
        <f>'Avg Week Jinja Rd-Kiira '!E75+'Avg Week Kiira-JinjaRoad'!E75</f>
        <v>9</v>
      </c>
      <c r="F75" s="49">
        <f>'Avg Week Jinja Rd-Kiira '!F75+'Avg Week Kiira-JinjaRoad'!F75</f>
        <v>1.5</v>
      </c>
      <c r="G75" s="49">
        <f>'Avg Week Jinja Rd-Kiira '!G75+'Avg Week Kiira-JinjaRoad'!G75</f>
        <v>1</v>
      </c>
      <c r="H75" s="49">
        <f>'Avg Week Jinja Rd-Kiira '!H75+'Avg Week Kiira-JinjaRoad'!H75</f>
        <v>0</v>
      </c>
      <c r="I75" s="49">
        <f>'Avg Week Jinja Rd-Kiira '!I75+'Avg Week Kiira-JinjaRoad'!I75</f>
        <v>1.5</v>
      </c>
      <c r="J75" s="49">
        <f>'Avg Week Jinja Rd-Kiira '!J75+'Avg Week Kiira-JinjaRoad'!J75</f>
        <v>1</v>
      </c>
      <c r="K75" s="49">
        <f>'Avg Week Jinja Rd-Kiira '!K75+'Avg Week Kiira-JinjaRoad'!K75</f>
        <v>0</v>
      </c>
      <c r="L75" s="49">
        <f>'Avg Week Jinja Rd-Kiira '!L75+'Avg Week Kiira-JinjaRoad'!L75</f>
        <v>0</v>
      </c>
      <c r="M75" s="49">
        <f>'Avg Week Jinja Rd-Kiira '!M75+'Avg Week Kiira-JinjaRoad'!M75</f>
        <v>75</v>
      </c>
      <c r="N75" s="49">
        <f>'Avg Week Jinja Rd-Kiira '!N75+'Avg Week Kiira-JinjaRoad'!N75</f>
        <v>0</v>
      </c>
      <c r="O75" s="15">
        <f t="shared" si="35"/>
        <v>143.5</v>
      </c>
      <c r="P75" s="15">
        <f t="shared" si="36"/>
        <v>218.5</v>
      </c>
      <c r="R75" s="8"/>
      <c r="T75"/>
    </row>
    <row r="76" spans="2:20" ht="23.1" customHeight="1" x14ac:dyDescent="0.25">
      <c r="B76" s="23" t="s">
        <v>116</v>
      </c>
      <c r="C76" s="49">
        <f>'Avg Week Jinja Rd-Kiira '!C76+'Avg Week Kiira-JinjaRoad'!C76</f>
        <v>113.5</v>
      </c>
      <c r="D76" s="49">
        <f>'Avg Week Jinja Rd-Kiira '!D76+'Avg Week Kiira-JinjaRoad'!D76</f>
        <v>38</v>
      </c>
      <c r="E76" s="49">
        <f>'Avg Week Jinja Rd-Kiira '!E76+'Avg Week Kiira-JinjaRoad'!E76</f>
        <v>11</v>
      </c>
      <c r="F76" s="49">
        <f>'Avg Week Jinja Rd-Kiira '!F76+'Avg Week Kiira-JinjaRoad'!F76</f>
        <v>1</v>
      </c>
      <c r="G76" s="49">
        <f>'Avg Week Jinja Rd-Kiira '!G76+'Avg Week Kiira-JinjaRoad'!G76</f>
        <v>0.5</v>
      </c>
      <c r="H76" s="49">
        <f>'Avg Week Jinja Rd-Kiira '!H76+'Avg Week Kiira-JinjaRoad'!H76</f>
        <v>0</v>
      </c>
      <c r="I76" s="49">
        <f>'Avg Week Jinja Rd-Kiira '!I76+'Avg Week Kiira-JinjaRoad'!I76</f>
        <v>0.5</v>
      </c>
      <c r="J76" s="49">
        <f>'Avg Week Jinja Rd-Kiira '!J76+'Avg Week Kiira-JinjaRoad'!J76</f>
        <v>0.5</v>
      </c>
      <c r="K76" s="49">
        <f>'Avg Week Jinja Rd-Kiira '!K76+'Avg Week Kiira-JinjaRoad'!K76</f>
        <v>0</v>
      </c>
      <c r="L76" s="49">
        <f>'Avg Week Jinja Rd-Kiira '!L76+'Avg Week Kiira-JinjaRoad'!L76</f>
        <v>0</v>
      </c>
      <c r="M76" s="49">
        <f>'Avg Week Jinja Rd-Kiira '!M76+'Avg Week Kiira-JinjaRoad'!M76</f>
        <v>105.5</v>
      </c>
      <c r="N76" s="49">
        <f>'Avg Week Jinja Rd-Kiira '!N76+'Avg Week Kiira-JinjaRoad'!N76</f>
        <v>0</v>
      </c>
      <c r="O76" s="15">
        <f t="shared" si="35"/>
        <v>165</v>
      </c>
      <c r="P76" s="15">
        <f t="shared" si="36"/>
        <v>270.5</v>
      </c>
      <c r="R76" s="8"/>
      <c r="T76"/>
    </row>
    <row r="77" spans="2:20" ht="23.1" customHeight="1" x14ac:dyDescent="0.25">
      <c r="B77" s="23" t="s">
        <v>117</v>
      </c>
      <c r="C77" s="49">
        <f>'Avg Week Jinja Rd-Kiira '!C77+'Avg Week Kiira-JinjaRoad'!C77</f>
        <v>94.5</v>
      </c>
      <c r="D77" s="49">
        <f>'Avg Week Jinja Rd-Kiira '!D77+'Avg Week Kiira-JinjaRoad'!D77</f>
        <v>21</v>
      </c>
      <c r="E77" s="49">
        <f>'Avg Week Jinja Rd-Kiira '!E77+'Avg Week Kiira-JinjaRoad'!E77</f>
        <v>7.5</v>
      </c>
      <c r="F77" s="49">
        <f>'Avg Week Jinja Rd-Kiira '!F77+'Avg Week Kiira-JinjaRoad'!F77</f>
        <v>2.5</v>
      </c>
      <c r="G77" s="49">
        <f>'Avg Week Jinja Rd-Kiira '!G77+'Avg Week Kiira-JinjaRoad'!G77</f>
        <v>0</v>
      </c>
      <c r="H77" s="49">
        <f>'Avg Week Jinja Rd-Kiira '!H77+'Avg Week Kiira-JinjaRoad'!H77</f>
        <v>0</v>
      </c>
      <c r="I77" s="49">
        <f>'Avg Week Jinja Rd-Kiira '!I77+'Avg Week Kiira-JinjaRoad'!I77</f>
        <v>0</v>
      </c>
      <c r="J77" s="49">
        <f>'Avg Week Jinja Rd-Kiira '!J77+'Avg Week Kiira-JinjaRoad'!J77</f>
        <v>0</v>
      </c>
      <c r="K77" s="49">
        <f>'Avg Week Jinja Rd-Kiira '!K77+'Avg Week Kiira-JinjaRoad'!K77</f>
        <v>0</v>
      </c>
      <c r="L77" s="49">
        <f>'Avg Week Jinja Rd-Kiira '!L77+'Avg Week Kiira-JinjaRoad'!L77</f>
        <v>0</v>
      </c>
      <c r="M77" s="49">
        <f>'Avg Week Jinja Rd-Kiira '!M77+'Avg Week Kiira-JinjaRoad'!M77</f>
        <v>84</v>
      </c>
      <c r="N77" s="49">
        <f>'Avg Week Jinja Rd-Kiira '!N77+'Avg Week Kiira-JinjaRoad'!N77</f>
        <v>0</v>
      </c>
      <c r="O77" s="15">
        <f t="shared" si="35"/>
        <v>125.5</v>
      </c>
      <c r="P77" s="15">
        <f t="shared" si="36"/>
        <v>209.5</v>
      </c>
      <c r="R77" s="8"/>
      <c r="T77"/>
    </row>
    <row r="78" spans="2:20" ht="23.1" customHeight="1" x14ac:dyDescent="0.25">
      <c r="B78" s="24" t="s">
        <v>118</v>
      </c>
      <c r="C78" s="49">
        <f>'Avg Week Jinja Rd-Kiira '!C78+'Avg Week Kiira-JinjaRoad'!C78</f>
        <v>65</v>
      </c>
      <c r="D78" s="49">
        <f>'Avg Week Jinja Rd-Kiira '!D78+'Avg Week Kiira-JinjaRoad'!D78</f>
        <v>20</v>
      </c>
      <c r="E78" s="49">
        <f>'Avg Week Jinja Rd-Kiira '!E78+'Avg Week Kiira-JinjaRoad'!E78</f>
        <v>4</v>
      </c>
      <c r="F78" s="49">
        <f>'Avg Week Jinja Rd-Kiira '!F78+'Avg Week Kiira-JinjaRoad'!F78</f>
        <v>1</v>
      </c>
      <c r="G78" s="49">
        <f>'Avg Week Jinja Rd-Kiira '!G78+'Avg Week Kiira-JinjaRoad'!G78</f>
        <v>0</v>
      </c>
      <c r="H78" s="49">
        <f>'Avg Week Jinja Rd-Kiira '!H78+'Avg Week Kiira-JinjaRoad'!H78</f>
        <v>0.5</v>
      </c>
      <c r="I78" s="49">
        <f>'Avg Week Jinja Rd-Kiira '!I78+'Avg Week Kiira-JinjaRoad'!I78</f>
        <v>0.5</v>
      </c>
      <c r="J78" s="49">
        <f>'Avg Week Jinja Rd-Kiira '!J78+'Avg Week Kiira-JinjaRoad'!J78</f>
        <v>0</v>
      </c>
      <c r="K78" s="49">
        <f>'Avg Week Jinja Rd-Kiira '!K78+'Avg Week Kiira-JinjaRoad'!K78</f>
        <v>0</v>
      </c>
      <c r="L78" s="49">
        <f>'Avg Week Jinja Rd-Kiira '!L78+'Avg Week Kiira-JinjaRoad'!L78</f>
        <v>0</v>
      </c>
      <c r="M78" s="49">
        <f>'Avg Week Jinja Rd-Kiira '!M78+'Avg Week Kiira-JinjaRoad'!M78</f>
        <v>70</v>
      </c>
      <c r="N78" s="49">
        <f>'Avg Week Jinja Rd-Kiira '!N78+'Avg Week Kiira-JinjaRoad'!N78</f>
        <v>0</v>
      </c>
      <c r="O78" s="15">
        <f t="shared" si="35"/>
        <v>91</v>
      </c>
      <c r="P78" s="15">
        <f t="shared" si="36"/>
        <v>161</v>
      </c>
      <c r="R78" s="8"/>
      <c r="T78"/>
    </row>
    <row r="79" spans="2:20" ht="23.1" customHeight="1" x14ac:dyDescent="0.25">
      <c r="B79" s="23" t="s">
        <v>119</v>
      </c>
      <c r="C79" s="49">
        <f>'Avg Week Jinja Rd-Kiira '!C79+'Avg Week Kiira-JinjaRoad'!C79</f>
        <v>87</v>
      </c>
      <c r="D79" s="49">
        <f>'Avg Week Jinja Rd-Kiira '!D79+'Avg Week Kiira-JinjaRoad'!D79</f>
        <v>20</v>
      </c>
      <c r="E79" s="49">
        <f>'Avg Week Jinja Rd-Kiira '!E79+'Avg Week Kiira-JinjaRoad'!E79</f>
        <v>3.5</v>
      </c>
      <c r="F79" s="49">
        <f>'Avg Week Jinja Rd-Kiira '!F79+'Avg Week Kiira-JinjaRoad'!F79</f>
        <v>3</v>
      </c>
      <c r="G79" s="49">
        <f>'Avg Week Jinja Rd-Kiira '!G79+'Avg Week Kiira-JinjaRoad'!G79</f>
        <v>0</v>
      </c>
      <c r="H79" s="49">
        <f>'Avg Week Jinja Rd-Kiira '!H79+'Avg Week Kiira-JinjaRoad'!H79</f>
        <v>0</v>
      </c>
      <c r="I79" s="49">
        <f>'Avg Week Jinja Rd-Kiira '!I79+'Avg Week Kiira-JinjaRoad'!I79</f>
        <v>0.5</v>
      </c>
      <c r="J79" s="49">
        <f>'Avg Week Jinja Rd-Kiira '!J79+'Avg Week Kiira-JinjaRoad'!J79</f>
        <v>0.5</v>
      </c>
      <c r="K79" s="49">
        <f>'Avg Week Jinja Rd-Kiira '!K79+'Avg Week Kiira-JinjaRoad'!K79</f>
        <v>0</v>
      </c>
      <c r="L79" s="49">
        <f>'Avg Week Jinja Rd-Kiira '!L79+'Avg Week Kiira-JinjaRoad'!L79</f>
        <v>0</v>
      </c>
      <c r="M79" s="49">
        <f>'Avg Week Jinja Rd-Kiira '!M79+'Avg Week Kiira-JinjaRoad'!M79</f>
        <v>54.5</v>
      </c>
      <c r="N79" s="49">
        <f>'Avg Week Jinja Rd-Kiira '!N79+'Avg Week Kiira-JinjaRoad'!N79</f>
        <v>0</v>
      </c>
      <c r="O79" s="15">
        <f t="shared" si="35"/>
        <v>114.5</v>
      </c>
      <c r="P79" s="15">
        <f t="shared" si="36"/>
        <v>169</v>
      </c>
      <c r="R79" s="8"/>
      <c r="T79"/>
    </row>
    <row r="80" spans="2:20" ht="23.1" customHeight="1" x14ac:dyDescent="0.25">
      <c r="B80" s="25" t="s">
        <v>120</v>
      </c>
      <c r="C80" s="49">
        <f>'Avg Week Jinja Rd-Kiira '!C80+'Avg Week Kiira-JinjaRoad'!C80</f>
        <v>80</v>
      </c>
      <c r="D80" s="49">
        <f>'Avg Week Jinja Rd-Kiira '!D80+'Avg Week Kiira-JinjaRoad'!D80</f>
        <v>22</v>
      </c>
      <c r="E80" s="49">
        <f>'Avg Week Jinja Rd-Kiira '!E80+'Avg Week Kiira-JinjaRoad'!E80</f>
        <v>3</v>
      </c>
      <c r="F80" s="49">
        <f>'Avg Week Jinja Rd-Kiira '!F80+'Avg Week Kiira-JinjaRoad'!F80</f>
        <v>1.5</v>
      </c>
      <c r="G80" s="49">
        <f>'Avg Week Jinja Rd-Kiira '!G80+'Avg Week Kiira-JinjaRoad'!G80</f>
        <v>0</v>
      </c>
      <c r="H80" s="49">
        <f>'Avg Week Jinja Rd-Kiira '!H80+'Avg Week Kiira-JinjaRoad'!H80</f>
        <v>0</v>
      </c>
      <c r="I80" s="49">
        <f>'Avg Week Jinja Rd-Kiira '!I80+'Avg Week Kiira-JinjaRoad'!I80</f>
        <v>1</v>
      </c>
      <c r="J80" s="49">
        <f>'Avg Week Jinja Rd-Kiira '!J80+'Avg Week Kiira-JinjaRoad'!J80</f>
        <v>1</v>
      </c>
      <c r="K80" s="49">
        <f>'Avg Week Jinja Rd-Kiira '!K80+'Avg Week Kiira-JinjaRoad'!K80</f>
        <v>0</v>
      </c>
      <c r="L80" s="49">
        <f>'Avg Week Jinja Rd-Kiira '!L80+'Avg Week Kiira-JinjaRoad'!L80</f>
        <v>0</v>
      </c>
      <c r="M80" s="49">
        <f>'Avg Week Jinja Rd-Kiira '!M80+'Avg Week Kiira-JinjaRoad'!M80</f>
        <v>63.5</v>
      </c>
      <c r="N80" s="49">
        <f>'Avg Week Jinja Rd-Kiira '!N80+'Avg Week Kiira-JinjaRoad'!N80</f>
        <v>0</v>
      </c>
      <c r="O80" s="15">
        <f t="shared" si="35"/>
        <v>108.5</v>
      </c>
      <c r="P80" s="15">
        <f t="shared" si="36"/>
        <v>172</v>
      </c>
      <c r="R80" s="8"/>
      <c r="T80"/>
    </row>
    <row r="81" spans="2:20" ht="23.1" customHeight="1" x14ac:dyDescent="0.25">
      <c r="B81" s="23" t="s">
        <v>121</v>
      </c>
      <c r="C81" s="49">
        <f>'Avg Week Jinja Rd-Kiira '!C81+'Avg Week Kiira-JinjaRoad'!C81</f>
        <v>64</v>
      </c>
      <c r="D81" s="49">
        <f>'Avg Week Jinja Rd-Kiira '!D81+'Avg Week Kiira-JinjaRoad'!D81</f>
        <v>24.5</v>
      </c>
      <c r="E81" s="49">
        <f>'Avg Week Jinja Rd-Kiira '!E81+'Avg Week Kiira-JinjaRoad'!E81</f>
        <v>3.5</v>
      </c>
      <c r="F81" s="49">
        <f>'Avg Week Jinja Rd-Kiira '!F81+'Avg Week Kiira-JinjaRoad'!F81</f>
        <v>0.5</v>
      </c>
      <c r="G81" s="49">
        <f>'Avg Week Jinja Rd-Kiira '!G81+'Avg Week Kiira-JinjaRoad'!G81</f>
        <v>0</v>
      </c>
      <c r="H81" s="49">
        <f>'Avg Week Jinja Rd-Kiira '!H81+'Avg Week Kiira-JinjaRoad'!H81</f>
        <v>0</v>
      </c>
      <c r="I81" s="49">
        <f>'Avg Week Jinja Rd-Kiira '!I81+'Avg Week Kiira-JinjaRoad'!I81</f>
        <v>1</v>
      </c>
      <c r="J81" s="49">
        <f>'Avg Week Jinja Rd-Kiira '!J81+'Avg Week Kiira-JinjaRoad'!J81</f>
        <v>1</v>
      </c>
      <c r="K81" s="49">
        <f>'Avg Week Jinja Rd-Kiira '!K81+'Avg Week Kiira-JinjaRoad'!K81</f>
        <v>0</v>
      </c>
      <c r="L81" s="49">
        <f>'Avg Week Jinja Rd-Kiira '!L81+'Avg Week Kiira-JinjaRoad'!L81</f>
        <v>0</v>
      </c>
      <c r="M81" s="49">
        <f>'Avg Week Jinja Rd-Kiira '!M81+'Avg Week Kiira-JinjaRoad'!M81</f>
        <v>54</v>
      </c>
      <c r="N81" s="49">
        <f>'Avg Week Jinja Rd-Kiira '!N81+'Avg Week Kiira-JinjaRoad'!N81</f>
        <v>0</v>
      </c>
      <c r="O81" s="15">
        <f t="shared" si="35"/>
        <v>94.5</v>
      </c>
      <c r="P81" s="15">
        <f t="shared" si="36"/>
        <v>148.5</v>
      </c>
      <c r="R81" s="8"/>
      <c r="T81"/>
    </row>
    <row r="82" spans="2:20" ht="23.1" customHeight="1" x14ac:dyDescent="0.25">
      <c r="B82" s="24" t="s">
        <v>122</v>
      </c>
      <c r="C82" s="49">
        <f>'Avg Week Jinja Rd-Kiira '!C82+'Avg Week Kiira-JinjaRoad'!C82</f>
        <v>55.5</v>
      </c>
      <c r="D82" s="49">
        <f>'Avg Week Jinja Rd-Kiira '!D82+'Avg Week Kiira-JinjaRoad'!D82</f>
        <v>13.5</v>
      </c>
      <c r="E82" s="49">
        <f>'Avg Week Jinja Rd-Kiira '!E82+'Avg Week Kiira-JinjaRoad'!E82</f>
        <v>0.5</v>
      </c>
      <c r="F82" s="49">
        <f>'Avg Week Jinja Rd-Kiira '!F82+'Avg Week Kiira-JinjaRoad'!F82</f>
        <v>1.5</v>
      </c>
      <c r="G82" s="49">
        <f>'Avg Week Jinja Rd-Kiira '!G82+'Avg Week Kiira-JinjaRoad'!G82</f>
        <v>0</v>
      </c>
      <c r="H82" s="49">
        <f>'Avg Week Jinja Rd-Kiira '!H82+'Avg Week Kiira-JinjaRoad'!H82</f>
        <v>0</v>
      </c>
      <c r="I82" s="49">
        <f>'Avg Week Jinja Rd-Kiira '!I82+'Avg Week Kiira-JinjaRoad'!I82</f>
        <v>0.5</v>
      </c>
      <c r="J82" s="49">
        <f>'Avg Week Jinja Rd-Kiira '!J82+'Avg Week Kiira-JinjaRoad'!J82</f>
        <v>0</v>
      </c>
      <c r="K82" s="49">
        <f>'Avg Week Jinja Rd-Kiira '!K82+'Avg Week Kiira-JinjaRoad'!K82</f>
        <v>0</v>
      </c>
      <c r="L82" s="49">
        <f>'Avg Week Jinja Rd-Kiira '!L82+'Avg Week Kiira-JinjaRoad'!L82</f>
        <v>0</v>
      </c>
      <c r="M82" s="49">
        <f>'Avg Week Jinja Rd-Kiira '!M82+'Avg Week Kiira-JinjaRoad'!M82</f>
        <v>37</v>
      </c>
      <c r="N82" s="49">
        <f>'Avg Week Jinja Rd-Kiira '!N82+'Avg Week Kiira-JinjaRoad'!N82</f>
        <v>0</v>
      </c>
      <c r="O82" s="15">
        <f t="shared" si="35"/>
        <v>71.5</v>
      </c>
      <c r="P82" s="15">
        <f t="shared" si="36"/>
        <v>108.5</v>
      </c>
      <c r="R82" s="8"/>
      <c r="T82"/>
    </row>
    <row r="83" spans="2:20" ht="23.1" customHeight="1" x14ac:dyDescent="0.25">
      <c r="B83" s="23" t="s">
        <v>123</v>
      </c>
      <c r="C83" s="49">
        <f>'Avg Week Jinja Rd-Kiira '!C83+'Avg Week Kiira-JinjaRoad'!C83</f>
        <v>55.5</v>
      </c>
      <c r="D83" s="49">
        <f>'Avg Week Jinja Rd-Kiira '!D83+'Avg Week Kiira-JinjaRoad'!D83</f>
        <v>22</v>
      </c>
      <c r="E83" s="49">
        <f>'Avg Week Jinja Rd-Kiira '!E83+'Avg Week Kiira-JinjaRoad'!E83</f>
        <v>2</v>
      </c>
      <c r="F83" s="49">
        <f>'Avg Week Jinja Rd-Kiira '!F83+'Avg Week Kiira-JinjaRoad'!F83</f>
        <v>1</v>
      </c>
      <c r="G83" s="49">
        <f>'Avg Week Jinja Rd-Kiira '!G83+'Avg Week Kiira-JinjaRoad'!G83</f>
        <v>0</v>
      </c>
      <c r="H83" s="49">
        <f>'Avg Week Jinja Rd-Kiira '!H83+'Avg Week Kiira-JinjaRoad'!H83</f>
        <v>0</v>
      </c>
      <c r="I83" s="49">
        <f>'Avg Week Jinja Rd-Kiira '!I83+'Avg Week Kiira-JinjaRoad'!I83</f>
        <v>0</v>
      </c>
      <c r="J83" s="49">
        <f>'Avg Week Jinja Rd-Kiira '!J83+'Avg Week Kiira-JinjaRoad'!J83</f>
        <v>1</v>
      </c>
      <c r="K83" s="49">
        <f>'Avg Week Jinja Rd-Kiira '!K83+'Avg Week Kiira-JinjaRoad'!K83</f>
        <v>0</v>
      </c>
      <c r="L83" s="49">
        <f>'Avg Week Jinja Rd-Kiira '!L83+'Avg Week Kiira-JinjaRoad'!L83</f>
        <v>0</v>
      </c>
      <c r="M83" s="49">
        <f>'Avg Week Jinja Rd-Kiira '!M83+'Avg Week Kiira-JinjaRoad'!M83</f>
        <v>42</v>
      </c>
      <c r="N83" s="49">
        <f>'Avg Week Jinja Rd-Kiira '!N83+'Avg Week Kiira-JinjaRoad'!N83</f>
        <v>0</v>
      </c>
      <c r="O83" s="15">
        <f t="shared" si="35"/>
        <v>81.5</v>
      </c>
      <c r="P83" s="15">
        <f t="shared" si="36"/>
        <v>123.5</v>
      </c>
      <c r="R83" s="8"/>
      <c r="T83"/>
    </row>
    <row r="84" spans="2:20" ht="23.1" customHeight="1" x14ac:dyDescent="0.25">
      <c r="B84" s="25" t="s">
        <v>124</v>
      </c>
      <c r="C84" s="49">
        <f>'Avg Week Jinja Rd-Kiira '!C84+'Avg Week Kiira-JinjaRoad'!C84</f>
        <v>67.5</v>
      </c>
      <c r="D84" s="49">
        <f>'Avg Week Jinja Rd-Kiira '!D84+'Avg Week Kiira-JinjaRoad'!D84</f>
        <v>25.5</v>
      </c>
      <c r="E84" s="49">
        <f>'Avg Week Jinja Rd-Kiira '!E84+'Avg Week Kiira-JinjaRoad'!E84</f>
        <v>3</v>
      </c>
      <c r="F84" s="49">
        <f>'Avg Week Jinja Rd-Kiira '!F84+'Avg Week Kiira-JinjaRoad'!F84</f>
        <v>0.5</v>
      </c>
      <c r="G84" s="49">
        <f>'Avg Week Jinja Rd-Kiira '!G84+'Avg Week Kiira-JinjaRoad'!G84</f>
        <v>0</v>
      </c>
      <c r="H84" s="49">
        <f>'Avg Week Jinja Rd-Kiira '!H84+'Avg Week Kiira-JinjaRoad'!H84</f>
        <v>0</v>
      </c>
      <c r="I84" s="49">
        <f>'Avg Week Jinja Rd-Kiira '!I84+'Avg Week Kiira-JinjaRoad'!I84</f>
        <v>0</v>
      </c>
      <c r="J84" s="49">
        <f>'Avg Week Jinja Rd-Kiira '!J84+'Avg Week Kiira-JinjaRoad'!J84</f>
        <v>0.5</v>
      </c>
      <c r="K84" s="49">
        <f>'Avg Week Jinja Rd-Kiira '!K84+'Avg Week Kiira-JinjaRoad'!K84</f>
        <v>0</v>
      </c>
      <c r="L84" s="49">
        <f>'Avg Week Jinja Rd-Kiira '!L84+'Avg Week Kiira-JinjaRoad'!L84</f>
        <v>0.5</v>
      </c>
      <c r="M84" s="49">
        <f>'Avg Week Jinja Rd-Kiira '!M84+'Avg Week Kiira-JinjaRoad'!M84</f>
        <v>36.5</v>
      </c>
      <c r="N84" s="49">
        <f>'Avg Week Jinja Rd-Kiira '!N84+'Avg Week Kiira-JinjaRoad'!N84</f>
        <v>0</v>
      </c>
      <c r="O84" s="15">
        <f t="shared" si="35"/>
        <v>97.5</v>
      </c>
      <c r="P84" s="15">
        <f t="shared" si="36"/>
        <v>134</v>
      </c>
      <c r="R84" s="8"/>
      <c r="T84"/>
    </row>
    <row r="85" spans="2:20" ht="23.1" customHeight="1" x14ac:dyDescent="0.25">
      <c r="B85" s="23" t="s">
        <v>125</v>
      </c>
      <c r="C85" s="49">
        <f>'Avg Week Jinja Rd-Kiira '!C85+'Avg Week Kiira-JinjaRoad'!C85</f>
        <v>51</v>
      </c>
      <c r="D85" s="49">
        <f>'Avg Week Jinja Rd-Kiira '!D85+'Avg Week Kiira-JinjaRoad'!D85</f>
        <v>15</v>
      </c>
      <c r="E85" s="49">
        <f>'Avg Week Jinja Rd-Kiira '!E85+'Avg Week Kiira-JinjaRoad'!E85</f>
        <v>0.5</v>
      </c>
      <c r="F85" s="49">
        <f>'Avg Week Jinja Rd-Kiira '!F85+'Avg Week Kiira-JinjaRoad'!F85</f>
        <v>0.5</v>
      </c>
      <c r="G85" s="49">
        <f>'Avg Week Jinja Rd-Kiira '!G85+'Avg Week Kiira-JinjaRoad'!G85</f>
        <v>0</v>
      </c>
      <c r="H85" s="49">
        <f>'Avg Week Jinja Rd-Kiira '!H85+'Avg Week Kiira-JinjaRoad'!H85</f>
        <v>0</v>
      </c>
      <c r="I85" s="49">
        <f>'Avg Week Jinja Rd-Kiira '!I85+'Avg Week Kiira-JinjaRoad'!I85</f>
        <v>0.5</v>
      </c>
      <c r="J85" s="49">
        <f>'Avg Week Jinja Rd-Kiira '!J85+'Avg Week Kiira-JinjaRoad'!J85</f>
        <v>0.5</v>
      </c>
      <c r="K85" s="49">
        <f>'Avg Week Jinja Rd-Kiira '!K85+'Avg Week Kiira-JinjaRoad'!K85</f>
        <v>0</v>
      </c>
      <c r="L85" s="49">
        <f>'Avg Week Jinja Rd-Kiira '!L85+'Avg Week Kiira-JinjaRoad'!L85</f>
        <v>0</v>
      </c>
      <c r="M85" s="49">
        <f>'Avg Week Jinja Rd-Kiira '!M85+'Avg Week Kiira-JinjaRoad'!M85</f>
        <v>38</v>
      </c>
      <c r="N85" s="49">
        <f>'Avg Week Jinja Rd-Kiira '!N85+'Avg Week Kiira-JinjaRoad'!N85</f>
        <v>0</v>
      </c>
      <c r="O85" s="15">
        <f t="shared" si="35"/>
        <v>68</v>
      </c>
      <c r="P85" s="15">
        <f t="shared" si="36"/>
        <v>106</v>
      </c>
      <c r="R85" s="8"/>
      <c r="T85"/>
    </row>
    <row r="86" spans="2:20" ht="23.1" customHeight="1" x14ac:dyDescent="0.25">
      <c r="B86" s="24" t="s">
        <v>126</v>
      </c>
      <c r="C86" s="49">
        <f>'Avg Week Jinja Rd-Kiira '!C86+'Avg Week Kiira-JinjaRoad'!C86</f>
        <v>49.5</v>
      </c>
      <c r="D86" s="49">
        <f>'Avg Week Jinja Rd-Kiira '!D86+'Avg Week Kiira-JinjaRoad'!D86</f>
        <v>18</v>
      </c>
      <c r="E86" s="49">
        <f>'Avg Week Jinja Rd-Kiira '!E86+'Avg Week Kiira-JinjaRoad'!E86</f>
        <v>3.5</v>
      </c>
      <c r="F86" s="49">
        <f>'Avg Week Jinja Rd-Kiira '!F86+'Avg Week Kiira-JinjaRoad'!F86</f>
        <v>3</v>
      </c>
      <c r="G86" s="49">
        <f>'Avg Week Jinja Rd-Kiira '!G86+'Avg Week Kiira-JinjaRoad'!G86</f>
        <v>0.5</v>
      </c>
      <c r="H86" s="49">
        <f>'Avg Week Jinja Rd-Kiira '!H86+'Avg Week Kiira-JinjaRoad'!H86</f>
        <v>0</v>
      </c>
      <c r="I86" s="49">
        <f>'Avg Week Jinja Rd-Kiira '!I86+'Avg Week Kiira-JinjaRoad'!I86</f>
        <v>0</v>
      </c>
      <c r="J86" s="49">
        <f>'Avg Week Jinja Rd-Kiira '!J86+'Avg Week Kiira-JinjaRoad'!J86</f>
        <v>0</v>
      </c>
      <c r="K86" s="49">
        <f>'Avg Week Jinja Rd-Kiira '!K86+'Avg Week Kiira-JinjaRoad'!K86</f>
        <v>0</v>
      </c>
      <c r="L86" s="49">
        <f>'Avg Week Jinja Rd-Kiira '!L86+'Avg Week Kiira-JinjaRoad'!L86</f>
        <v>0</v>
      </c>
      <c r="M86" s="49">
        <f>'Avg Week Jinja Rd-Kiira '!M86+'Avg Week Kiira-JinjaRoad'!M86</f>
        <v>26</v>
      </c>
      <c r="N86" s="49">
        <f>'Avg Week Jinja Rd-Kiira '!N86+'Avg Week Kiira-JinjaRoad'!N86</f>
        <v>0</v>
      </c>
      <c r="O86" s="15">
        <f t="shared" si="35"/>
        <v>74.5</v>
      </c>
      <c r="P86" s="15">
        <f t="shared" si="36"/>
        <v>100.5</v>
      </c>
      <c r="R86" s="8"/>
      <c r="T86"/>
    </row>
    <row r="87" spans="2:20" ht="23.1" customHeight="1" x14ac:dyDescent="0.25">
      <c r="B87" s="23" t="s">
        <v>127</v>
      </c>
      <c r="C87" s="49">
        <f>'Avg Week Jinja Rd-Kiira '!C87+'Avg Week Kiira-JinjaRoad'!C87</f>
        <v>57</v>
      </c>
      <c r="D87" s="49">
        <f>'Avg Week Jinja Rd-Kiira '!D87+'Avg Week Kiira-JinjaRoad'!D87</f>
        <v>12</v>
      </c>
      <c r="E87" s="49">
        <f>'Avg Week Jinja Rd-Kiira '!E87+'Avg Week Kiira-JinjaRoad'!E87</f>
        <v>0.5</v>
      </c>
      <c r="F87" s="49">
        <f>'Avg Week Jinja Rd-Kiira '!F87+'Avg Week Kiira-JinjaRoad'!F87</f>
        <v>0</v>
      </c>
      <c r="G87" s="49">
        <f>'Avg Week Jinja Rd-Kiira '!G87+'Avg Week Kiira-JinjaRoad'!G87</f>
        <v>0</v>
      </c>
      <c r="H87" s="49">
        <f>'Avg Week Jinja Rd-Kiira '!H87+'Avg Week Kiira-JinjaRoad'!H87</f>
        <v>0</v>
      </c>
      <c r="I87" s="49">
        <f>'Avg Week Jinja Rd-Kiira '!I87+'Avg Week Kiira-JinjaRoad'!I87</f>
        <v>0</v>
      </c>
      <c r="J87" s="49">
        <f>'Avg Week Jinja Rd-Kiira '!J87+'Avg Week Kiira-JinjaRoad'!J87</f>
        <v>0</v>
      </c>
      <c r="K87" s="49">
        <f>'Avg Week Jinja Rd-Kiira '!K87+'Avg Week Kiira-JinjaRoad'!K87</f>
        <v>0</v>
      </c>
      <c r="L87" s="49">
        <f>'Avg Week Jinja Rd-Kiira '!L87+'Avg Week Kiira-JinjaRoad'!L87</f>
        <v>0</v>
      </c>
      <c r="M87" s="49">
        <f>'Avg Week Jinja Rd-Kiira '!M87+'Avg Week Kiira-JinjaRoad'!M87</f>
        <v>38</v>
      </c>
      <c r="N87" s="49">
        <f>'Avg Week Jinja Rd-Kiira '!N87+'Avg Week Kiira-JinjaRoad'!N87</f>
        <v>0</v>
      </c>
      <c r="O87" s="15">
        <f t="shared" si="35"/>
        <v>69.5</v>
      </c>
      <c r="P87" s="15">
        <f t="shared" si="36"/>
        <v>107.5</v>
      </c>
      <c r="R87" s="8"/>
      <c r="T87"/>
    </row>
    <row r="88" spans="2:20" ht="23.1" customHeight="1" x14ac:dyDescent="0.25">
      <c r="B88" s="25" t="s">
        <v>128</v>
      </c>
      <c r="C88" s="49">
        <f>'Avg Week Jinja Rd-Kiira '!C88+'Avg Week Kiira-JinjaRoad'!C88</f>
        <v>31</v>
      </c>
      <c r="D88" s="49">
        <f>'Avg Week Jinja Rd-Kiira '!D88+'Avg Week Kiira-JinjaRoad'!D88</f>
        <v>12</v>
      </c>
      <c r="E88" s="49">
        <f>'Avg Week Jinja Rd-Kiira '!E88+'Avg Week Kiira-JinjaRoad'!E88</f>
        <v>0.5</v>
      </c>
      <c r="F88" s="49">
        <f>'Avg Week Jinja Rd-Kiira '!F88+'Avg Week Kiira-JinjaRoad'!F88</f>
        <v>1</v>
      </c>
      <c r="G88" s="49">
        <f>'Avg Week Jinja Rd-Kiira '!G88+'Avg Week Kiira-JinjaRoad'!G88</f>
        <v>0</v>
      </c>
      <c r="H88" s="49">
        <f>'Avg Week Jinja Rd-Kiira '!H88+'Avg Week Kiira-JinjaRoad'!H88</f>
        <v>0</v>
      </c>
      <c r="I88" s="49">
        <f>'Avg Week Jinja Rd-Kiira '!I88+'Avg Week Kiira-JinjaRoad'!I88</f>
        <v>0</v>
      </c>
      <c r="J88" s="49">
        <f>'Avg Week Jinja Rd-Kiira '!J88+'Avg Week Kiira-JinjaRoad'!J88</f>
        <v>0</v>
      </c>
      <c r="K88" s="49">
        <f>'Avg Week Jinja Rd-Kiira '!K88+'Avg Week Kiira-JinjaRoad'!K88</f>
        <v>0</v>
      </c>
      <c r="L88" s="49">
        <f>'Avg Week Jinja Rd-Kiira '!L88+'Avg Week Kiira-JinjaRoad'!L88</f>
        <v>0</v>
      </c>
      <c r="M88" s="49">
        <f>'Avg Week Jinja Rd-Kiira '!M88+'Avg Week Kiira-JinjaRoad'!M88</f>
        <v>27.5</v>
      </c>
      <c r="N88" s="49">
        <f>'Avg Week Jinja Rd-Kiira '!N88+'Avg Week Kiira-JinjaRoad'!N88</f>
        <v>0</v>
      </c>
      <c r="O88" s="15">
        <f t="shared" si="35"/>
        <v>44.5</v>
      </c>
      <c r="P88" s="15">
        <f t="shared" si="36"/>
        <v>72</v>
      </c>
      <c r="R88" s="8"/>
      <c r="T88"/>
    </row>
    <row r="89" spans="2:20" ht="23.1" customHeight="1" x14ac:dyDescent="0.25">
      <c r="B89" s="23" t="s">
        <v>129</v>
      </c>
      <c r="C89" s="49">
        <f>'Avg Week Jinja Rd-Kiira '!C89+'Avg Week Kiira-JinjaRoad'!C89</f>
        <v>29</v>
      </c>
      <c r="D89" s="49">
        <f>'Avg Week Jinja Rd-Kiira '!D89+'Avg Week Kiira-JinjaRoad'!D89</f>
        <v>9</v>
      </c>
      <c r="E89" s="49">
        <f>'Avg Week Jinja Rd-Kiira '!E89+'Avg Week Kiira-JinjaRoad'!E89</f>
        <v>1</v>
      </c>
      <c r="F89" s="49">
        <f>'Avg Week Jinja Rd-Kiira '!F89+'Avg Week Kiira-JinjaRoad'!F89</f>
        <v>0</v>
      </c>
      <c r="G89" s="49">
        <f>'Avg Week Jinja Rd-Kiira '!G89+'Avg Week Kiira-JinjaRoad'!G89</f>
        <v>0</v>
      </c>
      <c r="H89" s="49">
        <f>'Avg Week Jinja Rd-Kiira '!H89+'Avg Week Kiira-JinjaRoad'!H89</f>
        <v>0</v>
      </c>
      <c r="I89" s="49">
        <f>'Avg Week Jinja Rd-Kiira '!I89+'Avg Week Kiira-JinjaRoad'!I89</f>
        <v>0.5</v>
      </c>
      <c r="J89" s="49">
        <f>'Avg Week Jinja Rd-Kiira '!J89+'Avg Week Kiira-JinjaRoad'!J89</f>
        <v>0</v>
      </c>
      <c r="K89" s="49">
        <f>'Avg Week Jinja Rd-Kiira '!K89+'Avg Week Kiira-JinjaRoad'!K89</f>
        <v>0</v>
      </c>
      <c r="L89" s="49">
        <f>'Avg Week Jinja Rd-Kiira '!L89+'Avg Week Kiira-JinjaRoad'!L89</f>
        <v>0</v>
      </c>
      <c r="M89" s="49">
        <f>'Avg Week Jinja Rd-Kiira '!M89+'Avg Week Kiira-JinjaRoad'!M89</f>
        <v>20</v>
      </c>
      <c r="N89" s="49">
        <f>'Avg Week Jinja Rd-Kiira '!N89+'Avg Week Kiira-JinjaRoad'!N89</f>
        <v>0</v>
      </c>
      <c r="O89" s="15">
        <f t="shared" si="35"/>
        <v>39.5</v>
      </c>
      <c r="P89" s="15">
        <f t="shared" si="36"/>
        <v>59.5</v>
      </c>
      <c r="R89" s="8"/>
      <c r="T89"/>
    </row>
    <row r="90" spans="2:20" ht="23.1" customHeight="1" x14ac:dyDescent="0.25">
      <c r="B90" s="24" t="s">
        <v>130</v>
      </c>
      <c r="C90" s="49">
        <f>'Avg Week Jinja Rd-Kiira '!C90+'Avg Week Kiira-JinjaRoad'!C90</f>
        <v>30.5</v>
      </c>
      <c r="D90" s="49">
        <f>'Avg Week Jinja Rd-Kiira '!D90+'Avg Week Kiira-JinjaRoad'!D90</f>
        <v>6.5</v>
      </c>
      <c r="E90" s="49">
        <f>'Avg Week Jinja Rd-Kiira '!E90+'Avg Week Kiira-JinjaRoad'!E90</f>
        <v>0.5</v>
      </c>
      <c r="F90" s="49">
        <f>'Avg Week Jinja Rd-Kiira '!F90+'Avg Week Kiira-JinjaRoad'!F90</f>
        <v>1</v>
      </c>
      <c r="G90" s="49">
        <f>'Avg Week Jinja Rd-Kiira '!G90+'Avg Week Kiira-JinjaRoad'!G90</f>
        <v>0</v>
      </c>
      <c r="H90" s="49">
        <f>'Avg Week Jinja Rd-Kiira '!H90+'Avg Week Kiira-JinjaRoad'!H90</f>
        <v>0</v>
      </c>
      <c r="I90" s="49">
        <f>'Avg Week Jinja Rd-Kiira '!I90+'Avg Week Kiira-JinjaRoad'!I90</f>
        <v>0.5</v>
      </c>
      <c r="J90" s="49">
        <f>'Avg Week Jinja Rd-Kiira '!J90+'Avg Week Kiira-JinjaRoad'!J90</f>
        <v>1</v>
      </c>
      <c r="K90" s="49">
        <f>'Avg Week Jinja Rd-Kiira '!K90+'Avg Week Kiira-JinjaRoad'!K90</f>
        <v>0</v>
      </c>
      <c r="L90" s="49">
        <f>'Avg Week Jinja Rd-Kiira '!L90+'Avg Week Kiira-JinjaRoad'!L90</f>
        <v>0</v>
      </c>
      <c r="M90" s="49">
        <f>'Avg Week Jinja Rd-Kiira '!M90+'Avg Week Kiira-JinjaRoad'!M90</f>
        <v>20.5</v>
      </c>
      <c r="N90" s="49">
        <f>'Avg Week Jinja Rd-Kiira '!N90+'Avg Week Kiira-JinjaRoad'!N90</f>
        <v>0</v>
      </c>
      <c r="O90" s="15">
        <f t="shared" si="35"/>
        <v>40</v>
      </c>
      <c r="P90" s="15">
        <f t="shared" si="36"/>
        <v>60.5</v>
      </c>
      <c r="R90" s="8"/>
      <c r="T90"/>
    </row>
    <row r="91" spans="2:20" ht="23.1" customHeight="1" x14ac:dyDescent="0.25">
      <c r="B91" s="23" t="s">
        <v>131</v>
      </c>
      <c r="C91" s="49">
        <f>'Avg Week Jinja Rd-Kiira '!C91+'Avg Week Kiira-JinjaRoad'!C91</f>
        <v>33</v>
      </c>
      <c r="D91" s="49">
        <f>'Avg Week Jinja Rd-Kiira '!D91+'Avg Week Kiira-JinjaRoad'!D91</f>
        <v>13</v>
      </c>
      <c r="E91" s="49">
        <f>'Avg Week Jinja Rd-Kiira '!E91+'Avg Week Kiira-JinjaRoad'!E91</f>
        <v>0.5</v>
      </c>
      <c r="F91" s="49">
        <f>'Avg Week Jinja Rd-Kiira '!F91+'Avg Week Kiira-JinjaRoad'!F91</f>
        <v>1.5</v>
      </c>
      <c r="G91" s="49">
        <f>'Avg Week Jinja Rd-Kiira '!G91+'Avg Week Kiira-JinjaRoad'!G91</f>
        <v>0</v>
      </c>
      <c r="H91" s="49">
        <f>'Avg Week Jinja Rd-Kiira '!H91+'Avg Week Kiira-JinjaRoad'!H91</f>
        <v>0</v>
      </c>
      <c r="I91" s="49">
        <f>'Avg Week Jinja Rd-Kiira '!I91+'Avg Week Kiira-JinjaRoad'!I91</f>
        <v>0</v>
      </c>
      <c r="J91" s="49">
        <f>'Avg Week Jinja Rd-Kiira '!J91+'Avg Week Kiira-JinjaRoad'!J91</f>
        <v>0</v>
      </c>
      <c r="K91" s="49">
        <f>'Avg Week Jinja Rd-Kiira '!K91+'Avg Week Kiira-JinjaRoad'!K91</f>
        <v>0</v>
      </c>
      <c r="L91" s="49">
        <f>'Avg Week Jinja Rd-Kiira '!L91+'Avg Week Kiira-JinjaRoad'!L91</f>
        <v>0</v>
      </c>
      <c r="M91" s="49">
        <f>'Avg Week Jinja Rd-Kiira '!M91+'Avg Week Kiira-JinjaRoad'!M91</f>
        <v>17</v>
      </c>
      <c r="N91" s="49">
        <f>'Avg Week Jinja Rd-Kiira '!N91+'Avg Week Kiira-JinjaRoad'!N91</f>
        <v>0</v>
      </c>
      <c r="O91" s="15">
        <f t="shared" si="35"/>
        <v>48</v>
      </c>
      <c r="P91" s="15">
        <f t="shared" si="36"/>
        <v>65</v>
      </c>
      <c r="R91" s="8"/>
      <c r="T91"/>
    </row>
    <row r="92" spans="2:20" ht="23.1" customHeight="1" x14ac:dyDescent="0.25">
      <c r="B92" s="25" t="s">
        <v>132</v>
      </c>
      <c r="C92" s="49">
        <f>'Avg Week Jinja Rd-Kiira '!C92+'Avg Week Kiira-JinjaRoad'!C92</f>
        <v>29.5</v>
      </c>
      <c r="D92" s="49">
        <f>'Avg Week Jinja Rd-Kiira '!D92+'Avg Week Kiira-JinjaRoad'!D92</f>
        <v>10</v>
      </c>
      <c r="E92" s="49">
        <f>'Avg Week Jinja Rd-Kiira '!E92+'Avg Week Kiira-JinjaRoad'!E92</f>
        <v>2.5</v>
      </c>
      <c r="F92" s="49">
        <f>'Avg Week Jinja Rd-Kiira '!F92+'Avg Week Kiira-JinjaRoad'!F92</f>
        <v>1.5</v>
      </c>
      <c r="G92" s="49">
        <f>'Avg Week Jinja Rd-Kiira '!G92+'Avg Week Kiira-JinjaRoad'!G92</f>
        <v>0</v>
      </c>
      <c r="H92" s="49">
        <f>'Avg Week Jinja Rd-Kiira '!H92+'Avg Week Kiira-JinjaRoad'!H92</f>
        <v>0</v>
      </c>
      <c r="I92" s="49">
        <f>'Avg Week Jinja Rd-Kiira '!I92+'Avg Week Kiira-JinjaRoad'!I92</f>
        <v>0</v>
      </c>
      <c r="J92" s="49">
        <f>'Avg Week Jinja Rd-Kiira '!J92+'Avg Week Kiira-JinjaRoad'!J92</f>
        <v>0.5</v>
      </c>
      <c r="K92" s="49">
        <f>'Avg Week Jinja Rd-Kiira '!K92+'Avg Week Kiira-JinjaRoad'!K92</f>
        <v>0</v>
      </c>
      <c r="L92" s="49">
        <f>'Avg Week Jinja Rd-Kiira '!L92+'Avg Week Kiira-JinjaRoad'!L92</f>
        <v>0</v>
      </c>
      <c r="M92" s="49">
        <f>'Avg Week Jinja Rd-Kiira '!M92+'Avg Week Kiira-JinjaRoad'!M92</f>
        <v>13.5</v>
      </c>
      <c r="N92" s="49">
        <f>'Avg Week Jinja Rd-Kiira '!N92+'Avg Week Kiira-JinjaRoad'!N92</f>
        <v>0</v>
      </c>
      <c r="O92" s="15">
        <f t="shared" si="35"/>
        <v>44</v>
      </c>
      <c r="P92" s="15">
        <f t="shared" si="36"/>
        <v>57.5</v>
      </c>
      <c r="R92" s="8"/>
      <c r="T92"/>
    </row>
    <row r="93" spans="2:20" ht="23.1" customHeight="1" x14ac:dyDescent="0.25">
      <c r="B93" s="23" t="s">
        <v>133</v>
      </c>
      <c r="C93" s="49">
        <f>'Avg Week Jinja Rd-Kiira '!C93+'Avg Week Kiira-JinjaRoad'!C93</f>
        <v>32</v>
      </c>
      <c r="D93" s="49">
        <f>'Avg Week Jinja Rd-Kiira '!D93+'Avg Week Kiira-JinjaRoad'!D93</f>
        <v>7</v>
      </c>
      <c r="E93" s="49">
        <f>'Avg Week Jinja Rd-Kiira '!E93+'Avg Week Kiira-JinjaRoad'!E93</f>
        <v>0</v>
      </c>
      <c r="F93" s="49">
        <f>'Avg Week Jinja Rd-Kiira '!F93+'Avg Week Kiira-JinjaRoad'!F93</f>
        <v>1.5</v>
      </c>
      <c r="G93" s="49">
        <f>'Avg Week Jinja Rd-Kiira '!G93+'Avg Week Kiira-JinjaRoad'!G93</f>
        <v>0</v>
      </c>
      <c r="H93" s="49">
        <f>'Avg Week Jinja Rd-Kiira '!H93+'Avg Week Kiira-JinjaRoad'!H93</f>
        <v>0</v>
      </c>
      <c r="I93" s="49">
        <f>'Avg Week Jinja Rd-Kiira '!I93+'Avg Week Kiira-JinjaRoad'!I93</f>
        <v>0</v>
      </c>
      <c r="J93" s="49">
        <f>'Avg Week Jinja Rd-Kiira '!J93+'Avg Week Kiira-JinjaRoad'!J93</f>
        <v>0.5</v>
      </c>
      <c r="K93" s="49">
        <f>'Avg Week Jinja Rd-Kiira '!K93+'Avg Week Kiira-JinjaRoad'!K93</f>
        <v>0</v>
      </c>
      <c r="L93" s="49">
        <f>'Avg Week Jinja Rd-Kiira '!L93+'Avg Week Kiira-JinjaRoad'!L93</f>
        <v>0</v>
      </c>
      <c r="M93" s="49">
        <f>'Avg Week Jinja Rd-Kiira '!M93+'Avg Week Kiira-JinjaRoad'!M93</f>
        <v>21.5</v>
      </c>
      <c r="N93" s="49">
        <f>'Avg Week Jinja Rd-Kiira '!N93+'Avg Week Kiira-JinjaRoad'!N93</f>
        <v>0</v>
      </c>
      <c r="O93" s="15">
        <f t="shared" si="35"/>
        <v>41</v>
      </c>
      <c r="P93" s="15">
        <f t="shared" si="36"/>
        <v>62.5</v>
      </c>
      <c r="R93" s="8"/>
      <c r="T93"/>
    </row>
    <row r="94" spans="2:20" ht="23.1" customHeight="1" x14ac:dyDescent="0.25">
      <c r="B94" s="24" t="s">
        <v>134</v>
      </c>
      <c r="C94" s="49">
        <f>'Avg Week Jinja Rd-Kiira '!C94+'Avg Week Kiira-JinjaRoad'!C94</f>
        <v>30.5</v>
      </c>
      <c r="D94" s="49">
        <f>'Avg Week Jinja Rd-Kiira '!D94+'Avg Week Kiira-JinjaRoad'!D94</f>
        <v>11.5</v>
      </c>
      <c r="E94" s="49">
        <f>'Avg Week Jinja Rd-Kiira '!E94+'Avg Week Kiira-JinjaRoad'!E94</f>
        <v>1.5</v>
      </c>
      <c r="F94" s="49">
        <f>'Avg Week Jinja Rd-Kiira '!F94+'Avg Week Kiira-JinjaRoad'!F94</f>
        <v>0.5</v>
      </c>
      <c r="G94" s="49">
        <f>'Avg Week Jinja Rd-Kiira '!G94+'Avg Week Kiira-JinjaRoad'!G94</f>
        <v>0</v>
      </c>
      <c r="H94" s="49">
        <f>'Avg Week Jinja Rd-Kiira '!H94+'Avg Week Kiira-JinjaRoad'!H94</f>
        <v>0</v>
      </c>
      <c r="I94" s="49">
        <f>'Avg Week Jinja Rd-Kiira '!I94+'Avg Week Kiira-JinjaRoad'!I94</f>
        <v>0</v>
      </c>
      <c r="J94" s="49">
        <f>'Avg Week Jinja Rd-Kiira '!J94+'Avg Week Kiira-JinjaRoad'!J94</f>
        <v>0</v>
      </c>
      <c r="K94" s="49">
        <f>'Avg Week Jinja Rd-Kiira '!K94+'Avg Week Kiira-JinjaRoad'!K94</f>
        <v>0</v>
      </c>
      <c r="L94" s="49">
        <f>'Avg Week Jinja Rd-Kiira '!L94+'Avg Week Kiira-JinjaRoad'!L94</f>
        <v>0</v>
      </c>
      <c r="M94" s="49">
        <f>'Avg Week Jinja Rd-Kiira '!M94+'Avg Week Kiira-JinjaRoad'!M94</f>
        <v>28</v>
      </c>
      <c r="N94" s="49">
        <f>'Avg Week Jinja Rd-Kiira '!N94+'Avg Week Kiira-JinjaRoad'!N94</f>
        <v>0</v>
      </c>
      <c r="O94" s="15">
        <f t="shared" si="35"/>
        <v>44</v>
      </c>
      <c r="P94" s="15">
        <f t="shared" si="36"/>
        <v>72</v>
      </c>
      <c r="R94" s="8"/>
      <c r="T94"/>
    </row>
    <row r="95" spans="2:20" ht="23.1" customHeight="1" x14ac:dyDescent="0.25">
      <c r="B95" s="23" t="s">
        <v>135</v>
      </c>
      <c r="C95" s="49">
        <f>'Avg Week Jinja Rd-Kiira '!C95+'Avg Week Kiira-JinjaRoad'!C95</f>
        <v>22</v>
      </c>
      <c r="D95" s="49">
        <f>'Avg Week Jinja Rd-Kiira '!D95+'Avg Week Kiira-JinjaRoad'!D95</f>
        <v>5</v>
      </c>
      <c r="E95" s="49">
        <f>'Avg Week Jinja Rd-Kiira '!E95+'Avg Week Kiira-JinjaRoad'!E95</f>
        <v>1.5</v>
      </c>
      <c r="F95" s="49">
        <f>'Avg Week Jinja Rd-Kiira '!F95+'Avg Week Kiira-JinjaRoad'!F95</f>
        <v>0</v>
      </c>
      <c r="G95" s="49">
        <f>'Avg Week Jinja Rd-Kiira '!G95+'Avg Week Kiira-JinjaRoad'!G95</f>
        <v>0</v>
      </c>
      <c r="H95" s="49">
        <f>'Avg Week Jinja Rd-Kiira '!H95+'Avg Week Kiira-JinjaRoad'!H95</f>
        <v>0</v>
      </c>
      <c r="I95" s="49">
        <f>'Avg Week Jinja Rd-Kiira '!I95+'Avg Week Kiira-JinjaRoad'!I95</f>
        <v>1</v>
      </c>
      <c r="J95" s="49">
        <f>'Avg Week Jinja Rd-Kiira '!J95+'Avg Week Kiira-JinjaRoad'!J95</f>
        <v>0</v>
      </c>
      <c r="K95" s="49">
        <f>'Avg Week Jinja Rd-Kiira '!K95+'Avg Week Kiira-JinjaRoad'!K95</f>
        <v>0</v>
      </c>
      <c r="L95" s="49">
        <f>'Avg Week Jinja Rd-Kiira '!L95+'Avg Week Kiira-JinjaRoad'!L95</f>
        <v>0</v>
      </c>
      <c r="M95" s="49">
        <f>'Avg Week Jinja Rd-Kiira '!M95+'Avg Week Kiira-JinjaRoad'!M95</f>
        <v>24.5</v>
      </c>
      <c r="N95" s="49">
        <f>'Avg Week Jinja Rd-Kiira '!N95+'Avg Week Kiira-JinjaRoad'!N95</f>
        <v>0</v>
      </c>
      <c r="O95" s="15">
        <f t="shared" si="35"/>
        <v>29.5</v>
      </c>
      <c r="P95" s="15">
        <f t="shared" si="36"/>
        <v>54</v>
      </c>
      <c r="R95" s="8"/>
      <c r="T95"/>
    </row>
    <row r="96" spans="2:20" ht="23.1" customHeight="1" x14ac:dyDescent="0.25">
      <c r="B96" s="25" t="s">
        <v>136</v>
      </c>
      <c r="C96" s="49">
        <f>'Avg Week Jinja Rd-Kiira '!C96+'Avg Week Kiira-JinjaRoad'!C96</f>
        <v>20.5</v>
      </c>
      <c r="D96" s="49">
        <f>'Avg Week Jinja Rd-Kiira '!D96+'Avg Week Kiira-JinjaRoad'!D96</f>
        <v>6.5</v>
      </c>
      <c r="E96" s="49">
        <f>'Avg Week Jinja Rd-Kiira '!E96+'Avg Week Kiira-JinjaRoad'!E96</f>
        <v>0</v>
      </c>
      <c r="F96" s="49">
        <f>'Avg Week Jinja Rd-Kiira '!F96+'Avg Week Kiira-JinjaRoad'!F96</f>
        <v>0.5</v>
      </c>
      <c r="G96" s="49">
        <f>'Avg Week Jinja Rd-Kiira '!G96+'Avg Week Kiira-JinjaRoad'!G96</f>
        <v>0</v>
      </c>
      <c r="H96" s="49">
        <f>'Avg Week Jinja Rd-Kiira '!H96+'Avg Week Kiira-JinjaRoad'!H96</f>
        <v>0</v>
      </c>
      <c r="I96" s="49">
        <f>'Avg Week Jinja Rd-Kiira '!I96+'Avg Week Kiira-JinjaRoad'!I96</f>
        <v>1</v>
      </c>
      <c r="J96" s="49">
        <f>'Avg Week Jinja Rd-Kiira '!J96+'Avg Week Kiira-JinjaRoad'!J96</f>
        <v>1</v>
      </c>
      <c r="K96" s="49">
        <f>'Avg Week Jinja Rd-Kiira '!K96+'Avg Week Kiira-JinjaRoad'!K96</f>
        <v>0</v>
      </c>
      <c r="L96" s="49">
        <f>'Avg Week Jinja Rd-Kiira '!L96+'Avg Week Kiira-JinjaRoad'!L96</f>
        <v>0</v>
      </c>
      <c r="M96" s="49">
        <f>'Avg Week Jinja Rd-Kiira '!M96+'Avg Week Kiira-JinjaRoad'!M96</f>
        <v>22.5</v>
      </c>
      <c r="N96" s="49">
        <f>'Avg Week Jinja Rd-Kiira '!N96+'Avg Week Kiira-JinjaRoad'!N96</f>
        <v>0</v>
      </c>
      <c r="O96" s="15">
        <f t="shared" si="35"/>
        <v>29.5</v>
      </c>
      <c r="P96" s="15">
        <f t="shared" si="36"/>
        <v>52</v>
      </c>
      <c r="R96" s="8"/>
      <c r="T96"/>
    </row>
    <row r="97" spans="2:20" ht="23.1" customHeight="1" x14ac:dyDescent="0.25">
      <c r="B97" s="23" t="s">
        <v>137</v>
      </c>
      <c r="C97" s="49">
        <f>'Avg Week Jinja Rd-Kiira '!C97+'Avg Week Kiira-JinjaRoad'!C97</f>
        <v>22.5</v>
      </c>
      <c r="D97" s="49">
        <f>'Avg Week Jinja Rd-Kiira '!D97+'Avg Week Kiira-JinjaRoad'!D97</f>
        <v>13</v>
      </c>
      <c r="E97" s="49">
        <f>'Avg Week Jinja Rd-Kiira '!E97+'Avg Week Kiira-JinjaRoad'!E97</f>
        <v>3</v>
      </c>
      <c r="F97" s="49">
        <f>'Avg Week Jinja Rd-Kiira '!F97+'Avg Week Kiira-JinjaRoad'!F97</f>
        <v>0</v>
      </c>
      <c r="G97" s="49">
        <f>'Avg Week Jinja Rd-Kiira '!G97+'Avg Week Kiira-JinjaRoad'!G97</f>
        <v>0</v>
      </c>
      <c r="H97" s="49">
        <f>'Avg Week Jinja Rd-Kiira '!H97+'Avg Week Kiira-JinjaRoad'!H97</f>
        <v>0</v>
      </c>
      <c r="I97" s="49">
        <f>'Avg Week Jinja Rd-Kiira '!I97+'Avg Week Kiira-JinjaRoad'!I97</f>
        <v>0</v>
      </c>
      <c r="J97" s="49">
        <f>'Avg Week Jinja Rd-Kiira '!J97+'Avg Week Kiira-JinjaRoad'!J97</f>
        <v>1</v>
      </c>
      <c r="K97" s="49">
        <f>'Avg Week Jinja Rd-Kiira '!K97+'Avg Week Kiira-JinjaRoad'!K97</f>
        <v>0.5</v>
      </c>
      <c r="L97" s="49">
        <f>'Avg Week Jinja Rd-Kiira '!L97+'Avg Week Kiira-JinjaRoad'!L97</f>
        <v>0</v>
      </c>
      <c r="M97" s="49">
        <f>'Avg Week Jinja Rd-Kiira '!M97+'Avg Week Kiira-JinjaRoad'!M97</f>
        <v>18</v>
      </c>
      <c r="N97" s="49">
        <f>'Avg Week Jinja Rd-Kiira '!N97+'Avg Week Kiira-JinjaRoad'!N97</f>
        <v>0</v>
      </c>
      <c r="O97" s="15">
        <f t="shared" si="35"/>
        <v>40</v>
      </c>
      <c r="P97" s="15">
        <f t="shared" si="36"/>
        <v>58</v>
      </c>
      <c r="R97" s="8"/>
      <c r="T97"/>
    </row>
    <row r="98" spans="2:20" ht="23.1" customHeight="1" x14ac:dyDescent="0.25">
      <c r="B98" s="24" t="s">
        <v>138</v>
      </c>
      <c r="C98" s="49">
        <f>'Avg Week Jinja Rd-Kiira '!C98+'Avg Week Kiira-JinjaRoad'!C98</f>
        <v>17.5</v>
      </c>
      <c r="D98" s="49">
        <f>'Avg Week Jinja Rd-Kiira '!D98+'Avg Week Kiira-JinjaRoad'!D98</f>
        <v>9.5</v>
      </c>
      <c r="E98" s="49">
        <f>'Avg Week Jinja Rd-Kiira '!E98+'Avg Week Kiira-JinjaRoad'!E98</f>
        <v>0</v>
      </c>
      <c r="F98" s="49">
        <f>'Avg Week Jinja Rd-Kiira '!F98+'Avg Week Kiira-JinjaRoad'!F98</f>
        <v>0.5</v>
      </c>
      <c r="G98" s="49">
        <f>'Avg Week Jinja Rd-Kiira '!G98+'Avg Week Kiira-JinjaRoad'!G98</f>
        <v>0</v>
      </c>
      <c r="H98" s="49">
        <f>'Avg Week Jinja Rd-Kiira '!H98+'Avg Week Kiira-JinjaRoad'!H98</f>
        <v>0</v>
      </c>
      <c r="I98" s="49">
        <f>'Avg Week Jinja Rd-Kiira '!I98+'Avg Week Kiira-JinjaRoad'!I98</f>
        <v>0</v>
      </c>
      <c r="J98" s="49">
        <f>'Avg Week Jinja Rd-Kiira '!J98+'Avg Week Kiira-JinjaRoad'!J98</f>
        <v>0</v>
      </c>
      <c r="K98" s="49">
        <f>'Avg Week Jinja Rd-Kiira '!K98+'Avg Week Kiira-JinjaRoad'!K98</f>
        <v>0</v>
      </c>
      <c r="L98" s="49">
        <f>'Avg Week Jinja Rd-Kiira '!L98+'Avg Week Kiira-JinjaRoad'!L98</f>
        <v>0</v>
      </c>
      <c r="M98" s="49">
        <f>'Avg Week Jinja Rd-Kiira '!M98+'Avg Week Kiira-JinjaRoad'!M98</f>
        <v>34.5</v>
      </c>
      <c r="N98" s="49">
        <f>'Avg Week Jinja Rd-Kiira '!N98+'Avg Week Kiira-JinjaRoad'!N98</f>
        <v>0</v>
      </c>
      <c r="O98" s="15">
        <f t="shared" si="35"/>
        <v>27.5</v>
      </c>
      <c r="P98" s="15">
        <f t="shared" si="36"/>
        <v>62</v>
      </c>
      <c r="R98" s="8"/>
      <c r="T98"/>
    </row>
    <row r="99" spans="2:20" ht="23.1" customHeight="1" x14ac:dyDescent="0.25">
      <c r="B99" s="23" t="s">
        <v>139</v>
      </c>
      <c r="C99" s="49">
        <f>'Avg Week Jinja Rd-Kiira '!C99+'Avg Week Kiira-JinjaRoad'!C99</f>
        <v>16.5</v>
      </c>
      <c r="D99" s="49">
        <f>'Avg Week Jinja Rd-Kiira '!D99+'Avg Week Kiira-JinjaRoad'!D99</f>
        <v>6</v>
      </c>
      <c r="E99" s="49">
        <f>'Avg Week Jinja Rd-Kiira '!E99+'Avg Week Kiira-JinjaRoad'!E99</f>
        <v>0.5</v>
      </c>
      <c r="F99" s="49">
        <f>'Avg Week Jinja Rd-Kiira '!F99+'Avg Week Kiira-JinjaRoad'!F99</f>
        <v>0</v>
      </c>
      <c r="G99" s="49">
        <f>'Avg Week Jinja Rd-Kiira '!G99+'Avg Week Kiira-JinjaRoad'!G99</f>
        <v>0</v>
      </c>
      <c r="H99" s="49">
        <f>'Avg Week Jinja Rd-Kiira '!H99+'Avg Week Kiira-JinjaRoad'!H99</f>
        <v>0</v>
      </c>
      <c r="I99" s="49">
        <f>'Avg Week Jinja Rd-Kiira '!I99+'Avg Week Kiira-JinjaRoad'!I99</f>
        <v>0</v>
      </c>
      <c r="J99" s="49">
        <f>'Avg Week Jinja Rd-Kiira '!J99+'Avg Week Kiira-JinjaRoad'!J99</f>
        <v>0.5</v>
      </c>
      <c r="K99" s="49">
        <f>'Avg Week Jinja Rd-Kiira '!K99+'Avg Week Kiira-JinjaRoad'!K99</f>
        <v>0</v>
      </c>
      <c r="L99" s="49">
        <f>'Avg Week Jinja Rd-Kiira '!L99+'Avg Week Kiira-JinjaRoad'!L99</f>
        <v>0</v>
      </c>
      <c r="M99" s="49">
        <f>'Avg Week Jinja Rd-Kiira '!M99+'Avg Week Kiira-JinjaRoad'!M99</f>
        <v>42.5</v>
      </c>
      <c r="N99" s="49">
        <f>'Avg Week Jinja Rd-Kiira '!N99+'Avg Week Kiira-JinjaRoad'!N99</f>
        <v>0</v>
      </c>
      <c r="O99" s="15">
        <f t="shared" si="35"/>
        <v>23.5</v>
      </c>
      <c r="P99" s="15">
        <f t="shared" si="36"/>
        <v>66</v>
      </c>
      <c r="R99" s="8"/>
      <c r="T99"/>
    </row>
    <row r="100" spans="2:20" ht="23.1" customHeight="1" x14ac:dyDescent="0.25">
      <c r="B100" s="25" t="s">
        <v>140</v>
      </c>
      <c r="C100" s="49">
        <f>'Avg Week Jinja Rd-Kiira '!C100+'Avg Week Kiira-JinjaRoad'!C100</f>
        <v>23</v>
      </c>
      <c r="D100" s="49">
        <f>'Avg Week Jinja Rd-Kiira '!D100+'Avg Week Kiira-JinjaRoad'!D100</f>
        <v>9</v>
      </c>
      <c r="E100" s="49">
        <f>'Avg Week Jinja Rd-Kiira '!E100+'Avg Week Kiira-JinjaRoad'!E100</f>
        <v>2</v>
      </c>
      <c r="F100" s="49">
        <f>'Avg Week Jinja Rd-Kiira '!F100+'Avg Week Kiira-JinjaRoad'!F100</f>
        <v>1.5</v>
      </c>
      <c r="G100" s="49">
        <f>'Avg Week Jinja Rd-Kiira '!G100+'Avg Week Kiira-JinjaRoad'!G100</f>
        <v>0</v>
      </c>
      <c r="H100" s="49">
        <f>'Avg Week Jinja Rd-Kiira '!H100+'Avg Week Kiira-JinjaRoad'!H100</f>
        <v>0</v>
      </c>
      <c r="I100" s="49">
        <f>'Avg Week Jinja Rd-Kiira '!I100+'Avg Week Kiira-JinjaRoad'!I100</f>
        <v>0.5</v>
      </c>
      <c r="J100" s="49">
        <f>'Avg Week Jinja Rd-Kiira '!J100+'Avg Week Kiira-JinjaRoad'!J100</f>
        <v>0.5</v>
      </c>
      <c r="K100" s="49">
        <f>'Avg Week Jinja Rd-Kiira '!K100+'Avg Week Kiira-JinjaRoad'!K100</f>
        <v>0</v>
      </c>
      <c r="L100" s="49">
        <f>'Avg Week Jinja Rd-Kiira '!L100+'Avg Week Kiira-JinjaRoad'!L100</f>
        <v>0</v>
      </c>
      <c r="M100" s="49">
        <f>'Avg Week Jinja Rd-Kiira '!M100+'Avg Week Kiira-JinjaRoad'!M100</f>
        <v>29</v>
      </c>
      <c r="N100" s="49">
        <f>'Avg Week Jinja Rd-Kiira '!N100+'Avg Week Kiira-JinjaRoad'!N100</f>
        <v>0</v>
      </c>
      <c r="O100" s="15">
        <f t="shared" si="35"/>
        <v>36.5</v>
      </c>
      <c r="P100" s="15">
        <f t="shared" si="36"/>
        <v>65.5</v>
      </c>
      <c r="R100" s="8"/>
      <c r="T100"/>
    </row>
    <row r="101" spans="2:20" ht="23.1" customHeight="1" x14ac:dyDescent="0.25">
      <c r="B101" s="23" t="s">
        <v>141</v>
      </c>
      <c r="C101" s="49">
        <f>'Avg Week Jinja Rd-Kiira '!C101+'Avg Week Kiira-JinjaRoad'!C101</f>
        <v>27.5</v>
      </c>
      <c r="D101" s="49">
        <f>'Avg Week Jinja Rd-Kiira '!D101+'Avg Week Kiira-JinjaRoad'!D101</f>
        <v>10.5</v>
      </c>
      <c r="E101" s="49">
        <f>'Avg Week Jinja Rd-Kiira '!E101+'Avg Week Kiira-JinjaRoad'!E101</f>
        <v>2.5</v>
      </c>
      <c r="F101" s="49">
        <f>'Avg Week Jinja Rd-Kiira '!F101+'Avg Week Kiira-JinjaRoad'!F101</f>
        <v>0.5</v>
      </c>
      <c r="G101" s="49">
        <f>'Avg Week Jinja Rd-Kiira '!G101+'Avg Week Kiira-JinjaRoad'!G101</f>
        <v>0.5</v>
      </c>
      <c r="H101" s="49">
        <f>'Avg Week Jinja Rd-Kiira '!H101+'Avg Week Kiira-JinjaRoad'!H101</f>
        <v>0</v>
      </c>
      <c r="I101" s="49">
        <f>'Avg Week Jinja Rd-Kiira '!I101+'Avg Week Kiira-JinjaRoad'!I101</f>
        <v>0.5</v>
      </c>
      <c r="J101" s="49">
        <f>'Avg Week Jinja Rd-Kiira '!J101+'Avg Week Kiira-JinjaRoad'!J101</f>
        <v>0</v>
      </c>
      <c r="K101" s="49">
        <f>'Avg Week Jinja Rd-Kiira '!K101+'Avg Week Kiira-JinjaRoad'!K101</f>
        <v>0</v>
      </c>
      <c r="L101" s="49">
        <f>'Avg Week Jinja Rd-Kiira '!L101+'Avg Week Kiira-JinjaRoad'!L101</f>
        <v>0</v>
      </c>
      <c r="M101" s="49">
        <f>'Avg Week Jinja Rd-Kiira '!M101+'Avg Week Kiira-JinjaRoad'!M101</f>
        <v>27</v>
      </c>
      <c r="N101" s="49">
        <f>'Avg Week Jinja Rd-Kiira '!N101+'Avg Week Kiira-JinjaRoad'!N101</f>
        <v>0</v>
      </c>
      <c r="O101" s="15">
        <f t="shared" si="35"/>
        <v>42</v>
      </c>
      <c r="P101" s="15">
        <f t="shared" si="36"/>
        <v>69</v>
      </c>
      <c r="R101" s="8"/>
      <c r="T101"/>
    </row>
    <row r="102" spans="2:20" ht="23.1" customHeight="1" x14ac:dyDescent="0.25">
      <c r="B102" s="24" t="s">
        <v>142</v>
      </c>
      <c r="C102" s="49">
        <f>'Avg Week Jinja Rd-Kiira '!C102+'Avg Week Kiira-JinjaRoad'!C102</f>
        <v>24.5</v>
      </c>
      <c r="D102" s="49">
        <f>'Avg Week Jinja Rd-Kiira '!D102+'Avg Week Kiira-JinjaRoad'!D102</f>
        <v>9.5</v>
      </c>
      <c r="E102" s="49">
        <f>'Avg Week Jinja Rd-Kiira '!E102+'Avg Week Kiira-JinjaRoad'!E102</f>
        <v>2</v>
      </c>
      <c r="F102" s="49">
        <f>'Avg Week Jinja Rd-Kiira '!F102+'Avg Week Kiira-JinjaRoad'!F102</f>
        <v>1</v>
      </c>
      <c r="G102" s="49">
        <f>'Avg Week Jinja Rd-Kiira '!G102+'Avg Week Kiira-JinjaRoad'!G102</f>
        <v>0</v>
      </c>
      <c r="H102" s="49">
        <f>'Avg Week Jinja Rd-Kiira '!H102+'Avg Week Kiira-JinjaRoad'!H102</f>
        <v>0</v>
      </c>
      <c r="I102" s="49">
        <f>'Avg Week Jinja Rd-Kiira '!I102+'Avg Week Kiira-JinjaRoad'!I102</f>
        <v>1</v>
      </c>
      <c r="J102" s="49">
        <f>'Avg Week Jinja Rd-Kiira '!J102+'Avg Week Kiira-JinjaRoad'!J102</f>
        <v>0.5</v>
      </c>
      <c r="K102" s="49">
        <f>'Avg Week Jinja Rd-Kiira '!K102+'Avg Week Kiira-JinjaRoad'!K102</f>
        <v>0</v>
      </c>
      <c r="L102" s="49">
        <f>'Avg Week Jinja Rd-Kiira '!L102+'Avg Week Kiira-JinjaRoad'!L102</f>
        <v>0</v>
      </c>
      <c r="M102" s="49">
        <f>'Avg Week Jinja Rd-Kiira '!M102+'Avg Week Kiira-JinjaRoad'!M102</f>
        <v>48.5</v>
      </c>
      <c r="N102" s="49">
        <f>'Avg Week Jinja Rd-Kiira '!N102+'Avg Week Kiira-JinjaRoad'!N102</f>
        <v>0</v>
      </c>
      <c r="O102" s="15">
        <f t="shared" si="35"/>
        <v>38.5</v>
      </c>
      <c r="P102" s="15">
        <f t="shared" si="36"/>
        <v>87</v>
      </c>
      <c r="R102" s="8"/>
      <c r="T102"/>
    </row>
    <row r="103" spans="2:20" ht="23.1" customHeight="1" x14ac:dyDescent="0.25">
      <c r="B103" s="23" t="s">
        <v>143</v>
      </c>
      <c r="C103" s="49">
        <f>'Avg Week Jinja Rd-Kiira '!C103+'Avg Week Kiira-JinjaRoad'!C103</f>
        <v>46</v>
      </c>
      <c r="D103" s="49">
        <f>'Avg Week Jinja Rd-Kiira '!D103+'Avg Week Kiira-JinjaRoad'!D103</f>
        <v>18.5</v>
      </c>
      <c r="E103" s="49">
        <f>'Avg Week Jinja Rd-Kiira '!E103+'Avg Week Kiira-JinjaRoad'!E103</f>
        <v>6.5</v>
      </c>
      <c r="F103" s="49">
        <f>'Avg Week Jinja Rd-Kiira '!F103+'Avg Week Kiira-JinjaRoad'!F103</f>
        <v>1.5</v>
      </c>
      <c r="G103" s="49">
        <f>'Avg Week Jinja Rd-Kiira '!G103+'Avg Week Kiira-JinjaRoad'!G103</f>
        <v>0</v>
      </c>
      <c r="H103" s="49">
        <f>'Avg Week Jinja Rd-Kiira '!H103+'Avg Week Kiira-JinjaRoad'!H103</f>
        <v>0.5</v>
      </c>
      <c r="I103" s="49">
        <f>'Avg Week Jinja Rd-Kiira '!I103+'Avg Week Kiira-JinjaRoad'!I103</f>
        <v>1</v>
      </c>
      <c r="J103" s="49">
        <f>'Avg Week Jinja Rd-Kiira '!J103+'Avg Week Kiira-JinjaRoad'!J103</f>
        <v>1</v>
      </c>
      <c r="K103" s="49">
        <f>'Avg Week Jinja Rd-Kiira '!K103+'Avg Week Kiira-JinjaRoad'!K103</f>
        <v>0.5</v>
      </c>
      <c r="L103" s="49">
        <f>'Avg Week Jinja Rd-Kiira '!L103+'Avg Week Kiira-JinjaRoad'!L103</f>
        <v>0.5</v>
      </c>
      <c r="M103" s="49">
        <f>'Avg Week Jinja Rd-Kiira '!M103+'Avg Week Kiira-JinjaRoad'!M103</f>
        <v>65</v>
      </c>
      <c r="N103" s="49">
        <f>'Avg Week Jinja Rd-Kiira '!N103+'Avg Week Kiira-JinjaRoad'!N103</f>
        <v>0</v>
      </c>
      <c r="O103" s="15">
        <f t="shared" si="35"/>
        <v>76</v>
      </c>
      <c r="P103" s="15">
        <f t="shared" si="36"/>
        <v>141</v>
      </c>
      <c r="R103" s="8"/>
      <c r="T103"/>
    </row>
    <row r="104" spans="2:20" ht="23.1" customHeight="1" x14ac:dyDescent="0.25">
      <c r="B104" s="25" t="s">
        <v>144</v>
      </c>
      <c r="C104" s="49">
        <f>'Avg Week Jinja Rd-Kiira '!C104+'Avg Week Kiira-JinjaRoad'!C104</f>
        <v>76</v>
      </c>
      <c r="D104" s="49">
        <f>'Avg Week Jinja Rd-Kiira '!D104+'Avg Week Kiira-JinjaRoad'!D104</f>
        <v>15.5</v>
      </c>
      <c r="E104" s="49">
        <f>'Avg Week Jinja Rd-Kiira '!E104+'Avg Week Kiira-JinjaRoad'!E104</f>
        <v>6.5</v>
      </c>
      <c r="F104" s="49">
        <f>'Avg Week Jinja Rd-Kiira '!F104+'Avg Week Kiira-JinjaRoad'!F104</f>
        <v>1.5</v>
      </c>
      <c r="G104" s="49">
        <f>'Avg Week Jinja Rd-Kiira '!G104+'Avg Week Kiira-JinjaRoad'!G104</f>
        <v>0</v>
      </c>
      <c r="H104" s="49">
        <f>'Avg Week Jinja Rd-Kiira '!H104+'Avg Week Kiira-JinjaRoad'!H104</f>
        <v>0</v>
      </c>
      <c r="I104" s="49">
        <f>'Avg Week Jinja Rd-Kiira '!I104+'Avg Week Kiira-JinjaRoad'!I104</f>
        <v>2.5</v>
      </c>
      <c r="J104" s="49">
        <f>'Avg Week Jinja Rd-Kiira '!J104+'Avg Week Kiira-JinjaRoad'!J104</f>
        <v>0.5</v>
      </c>
      <c r="K104" s="49">
        <f>'Avg Week Jinja Rd-Kiira '!K104+'Avg Week Kiira-JinjaRoad'!K104</f>
        <v>0</v>
      </c>
      <c r="L104" s="49">
        <f>'Avg Week Jinja Rd-Kiira '!L104+'Avg Week Kiira-JinjaRoad'!L104</f>
        <v>0</v>
      </c>
      <c r="M104" s="49">
        <f>'Avg Week Jinja Rd-Kiira '!M104+'Avg Week Kiira-JinjaRoad'!M104</f>
        <v>97</v>
      </c>
      <c r="N104" s="49">
        <f>'Avg Week Jinja Rd-Kiira '!N104+'Avg Week Kiira-JinjaRoad'!N104</f>
        <v>0</v>
      </c>
      <c r="O104" s="15">
        <f t="shared" si="35"/>
        <v>102.5</v>
      </c>
      <c r="P104" s="15">
        <f t="shared" si="36"/>
        <v>199.5</v>
      </c>
      <c r="R104" s="8"/>
      <c r="T104"/>
    </row>
    <row r="105" spans="2:20" ht="23.1" customHeight="1" x14ac:dyDescent="0.25">
      <c r="B105" s="23" t="s">
        <v>145</v>
      </c>
      <c r="C105" s="49">
        <f>'Avg Week Jinja Rd-Kiira '!C105+'Avg Week Kiira-JinjaRoad'!C105</f>
        <v>110</v>
      </c>
      <c r="D105" s="49">
        <f>'Avg Week Jinja Rd-Kiira '!D105+'Avg Week Kiira-JinjaRoad'!D105</f>
        <v>20.5</v>
      </c>
      <c r="E105" s="49">
        <f>'Avg Week Jinja Rd-Kiira '!E105+'Avg Week Kiira-JinjaRoad'!E105</f>
        <v>7</v>
      </c>
      <c r="F105" s="49">
        <f>'Avg Week Jinja Rd-Kiira '!F105+'Avg Week Kiira-JinjaRoad'!F105</f>
        <v>1.5</v>
      </c>
      <c r="G105" s="49">
        <f>'Avg Week Jinja Rd-Kiira '!G105+'Avg Week Kiira-JinjaRoad'!G105</f>
        <v>0.5</v>
      </c>
      <c r="H105" s="49">
        <f>'Avg Week Jinja Rd-Kiira '!H105+'Avg Week Kiira-JinjaRoad'!H105</f>
        <v>0</v>
      </c>
      <c r="I105" s="49">
        <f>'Avg Week Jinja Rd-Kiira '!I105+'Avg Week Kiira-JinjaRoad'!I105</f>
        <v>2</v>
      </c>
      <c r="J105" s="49">
        <f>'Avg Week Jinja Rd-Kiira '!J105+'Avg Week Kiira-JinjaRoad'!J105</f>
        <v>1.5</v>
      </c>
      <c r="K105" s="49">
        <f>'Avg Week Jinja Rd-Kiira '!K105+'Avg Week Kiira-JinjaRoad'!K105</f>
        <v>0</v>
      </c>
      <c r="L105" s="49">
        <f>'Avg Week Jinja Rd-Kiira '!L105+'Avg Week Kiira-JinjaRoad'!L105</f>
        <v>0</v>
      </c>
      <c r="M105" s="49">
        <f>'Avg Week Jinja Rd-Kiira '!M105+'Avg Week Kiira-JinjaRoad'!M105</f>
        <v>101</v>
      </c>
      <c r="N105" s="49">
        <f>'Avg Week Jinja Rd-Kiira '!N105+'Avg Week Kiira-JinjaRoad'!N105</f>
        <v>0</v>
      </c>
      <c r="O105" s="15">
        <f t="shared" si="35"/>
        <v>143</v>
      </c>
      <c r="P105" s="15">
        <f t="shared" si="36"/>
        <v>244</v>
      </c>
      <c r="R105" s="8"/>
      <c r="T105"/>
    </row>
    <row r="106" spans="2:20" ht="23.1" customHeight="1" x14ac:dyDescent="0.25">
      <c r="B106" s="26" t="s">
        <v>18</v>
      </c>
      <c r="C106" s="16">
        <f>SUM(C10:C105)</f>
        <v>14533.071428571428</v>
      </c>
      <c r="D106" s="16">
        <f t="shared" ref="D106:P106" si="37">SUM(D10:D105)</f>
        <v>5580.142857142856</v>
      </c>
      <c r="E106" s="16">
        <f t="shared" si="37"/>
        <v>1578.4285714285713</v>
      </c>
      <c r="F106" s="16">
        <f t="shared" si="37"/>
        <v>567.0238095238094</v>
      </c>
      <c r="G106" s="16">
        <f t="shared" si="37"/>
        <v>30.571428571428566</v>
      </c>
      <c r="H106" s="16">
        <f t="shared" si="37"/>
        <v>8.9285714285714324</v>
      </c>
      <c r="I106" s="16">
        <f t="shared" si="37"/>
        <v>417.71428571428572</v>
      </c>
      <c r="J106" s="16">
        <f t="shared" si="37"/>
        <v>165.99999999999997</v>
      </c>
      <c r="K106" s="16">
        <f t="shared" si="37"/>
        <v>49.78571428571427</v>
      </c>
      <c r="L106" s="16">
        <f t="shared" si="37"/>
        <v>22.785714285714288</v>
      </c>
      <c r="M106" s="16">
        <f t="shared" si="37"/>
        <v>19461.28571428571</v>
      </c>
      <c r="N106" s="16">
        <f t="shared" si="37"/>
        <v>62.285714285714285</v>
      </c>
      <c r="O106" s="16">
        <f t="shared" si="37"/>
        <v>23016.738095238092</v>
      </c>
      <c r="P106" s="16">
        <f t="shared" si="37"/>
        <v>42478.023809523824</v>
      </c>
      <c r="R106" s="8"/>
      <c r="T106"/>
    </row>
    <row r="107" spans="2:20" ht="23.1" customHeight="1" x14ac:dyDescent="0.25">
      <c r="B107" s="26" t="s">
        <v>93</v>
      </c>
      <c r="C107" s="43">
        <f t="shared" ref="C107:N107" si="38">C106/$P$106</f>
        <v>0.34213153356049081</v>
      </c>
      <c r="D107" s="43">
        <f t="shared" si="38"/>
        <v>0.13136540631374088</v>
      </c>
      <c r="E107" s="43">
        <f t="shared" si="38"/>
        <v>3.7158710078096388E-2</v>
      </c>
      <c r="F107" s="43">
        <f t="shared" si="38"/>
        <v>1.3348639100218201E-2</v>
      </c>
      <c r="G107" s="43">
        <f t="shared" si="38"/>
        <v>7.1969987842452948E-4</v>
      </c>
      <c r="H107" s="43">
        <f t="shared" si="38"/>
        <v>2.1019272150249121E-4</v>
      </c>
      <c r="I107" s="43">
        <f t="shared" si="38"/>
        <v>9.8336562827725446E-3</v>
      </c>
      <c r="J107" s="43">
        <f t="shared" si="38"/>
        <v>3.9079030781743141E-3</v>
      </c>
      <c r="K107" s="43">
        <f t="shared" si="38"/>
        <v>1.1720346150978901E-3</v>
      </c>
      <c r="L107" s="43">
        <f t="shared" si="38"/>
        <v>5.3641182527435741E-4</v>
      </c>
      <c r="M107" s="43">
        <f t="shared" si="38"/>
        <v>0.45814950812100574</v>
      </c>
      <c r="N107" s="43">
        <f t="shared" si="38"/>
        <v>1.4663044252013781E-3</v>
      </c>
      <c r="R107" s="8"/>
      <c r="T107"/>
    </row>
    <row r="108" spans="2:20" ht="23.1" customHeight="1" x14ac:dyDescent="0.25">
      <c r="B108" s="42" t="s">
        <v>94</v>
      </c>
      <c r="C108" s="44">
        <f>C106/$O$106</f>
        <v>0.63141316412590009</v>
      </c>
      <c r="D108" s="44">
        <f t="shared" ref="D108:N108" si="39">D106/$O$106</f>
        <v>0.24243847386425818</v>
      </c>
      <c r="E108" s="44">
        <f t="shared" si="39"/>
        <v>6.8577422434811935E-2</v>
      </c>
      <c r="F108" s="44">
        <f t="shared" si="39"/>
        <v>2.4635280949784989E-2</v>
      </c>
      <c r="G108" s="44">
        <f t="shared" si="39"/>
        <v>1.3282259390940134E-3</v>
      </c>
      <c r="H108" s="44">
        <f t="shared" si="39"/>
        <v>3.8791645417465365E-4</v>
      </c>
      <c r="I108" s="44">
        <f t="shared" si="39"/>
        <v>1.814828339210699E-2</v>
      </c>
      <c r="J108" s="44">
        <f t="shared" si="39"/>
        <v>7.2121427160151564E-3</v>
      </c>
      <c r="K108" s="44">
        <f t="shared" si="39"/>
        <v>2.1630221484778673E-3</v>
      </c>
      <c r="L108" s="44">
        <f t="shared" si="39"/>
        <v>9.8996279105371585E-4</v>
      </c>
      <c r="M108" s="44"/>
      <c r="N108" s="44">
        <f t="shared" si="39"/>
        <v>2.7061051843223828E-3</v>
      </c>
      <c r="Q108" s="7"/>
      <c r="R108" s="8"/>
      <c r="T108"/>
    </row>
    <row r="109" spans="2:20" ht="20.100000000000001" customHeight="1" x14ac:dyDescent="0.25">
      <c r="B109" s="3"/>
      <c r="C109" s="18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Q109" s="7"/>
      <c r="R109" s="8"/>
      <c r="T109"/>
    </row>
    <row r="110" spans="2:20" ht="20.100000000000001" customHeight="1" x14ac:dyDescent="0.25">
      <c r="B110" s="3"/>
      <c r="C110" s="18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Q110" s="7"/>
      <c r="R110" s="8"/>
      <c r="T110"/>
    </row>
    <row r="111" spans="2:20" ht="20.100000000000001" customHeight="1" x14ac:dyDescent="0.25">
      <c r="B111" s="3"/>
      <c r="C111" s="18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Q111" s="7"/>
    </row>
    <row r="112" spans="2:20" ht="20.100000000000001" customHeight="1" x14ac:dyDescent="0.25">
      <c r="B112" s="3"/>
      <c r="C112" s="18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Q112" s="7"/>
    </row>
    <row r="113" spans="2:20" s="7" customFormat="1" ht="20.100000000000001" customHeight="1" x14ac:dyDescent="0.25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/>
      <c r="P113"/>
      <c r="S113" s="8"/>
      <c r="T113" s="8"/>
    </row>
    <row r="114" spans="2:20" s="7" customFormat="1" ht="20.100000000000001" customHeight="1" x14ac:dyDescent="0.25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/>
      <c r="P114"/>
      <c r="S114" s="8"/>
      <c r="T114" s="8"/>
    </row>
    <row r="115" spans="2:20" s="7" customFormat="1" ht="20.100000000000001" customHeight="1" x14ac:dyDescent="0.25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/>
      <c r="P115"/>
      <c r="S115" s="8"/>
      <c r="T115" s="8"/>
    </row>
    <row r="116" spans="2:20" s="7" customFormat="1" ht="20.100000000000001" customHeight="1" x14ac:dyDescent="0.25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/>
      <c r="P116"/>
      <c r="S116" s="8"/>
      <c r="T116" s="8"/>
    </row>
    <row r="117" spans="2:20" s="7" customFormat="1" ht="20.100000000000001" customHeight="1" x14ac:dyDescent="0.25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/>
      <c r="P117"/>
      <c r="S117" s="8"/>
      <c r="T117" s="8"/>
    </row>
    <row r="118" spans="2:20" s="7" customFormat="1" ht="20.100000000000001" customHeight="1" x14ac:dyDescent="0.25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/>
      <c r="P118"/>
      <c r="S118" s="8"/>
      <c r="T118" s="8"/>
    </row>
    <row r="119" spans="2:20" s="7" customFormat="1" ht="20.100000000000001" customHeight="1" x14ac:dyDescent="0.25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/>
      <c r="P119"/>
      <c r="S119" s="8"/>
      <c r="T119" s="8"/>
    </row>
    <row r="120" spans="2:20" s="7" customFormat="1" ht="20.100000000000001" customHeight="1" x14ac:dyDescent="0.25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/>
      <c r="P120"/>
      <c r="S120" s="8"/>
      <c r="T120" s="8"/>
    </row>
    <row r="121" spans="2:20" s="7" customFormat="1" ht="20.100000000000001" customHeight="1" x14ac:dyDescent="0.25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/>
      <c r="P121"/>
      <c r="S121" s="8"/>
      <c r="T121" s="8"/>
    </row>
    <row r="122" spans="2:20" s="7" customFormat="1" ht="20.100000000000001" customHeight="1" x14ac:dyDescent="0.25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/>
      <c r="P122"/>
      <c r="S122" s="8"/>
      <c r="T122" s="8"/>
    </row>
    <row r="123" spans="2:20" s="7" customFormat="1" ht="20.100000000000001" customHeight="1" x14ac:dyDescent="0.25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/>
      <c r="P123"/>
      <c r="S123" s="8"/>
      <c r="T123" s="8"/>
    </row>
    <row r="124" spans="2:20" s="7" customFormat="1" ht="20.100000000000001" customHeight="1" x14ac:dyDescent="0.25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/>
      <c r="P124"/>
      <c r="S124" s="8"/>
      <c r="T124" s="8"/>
    </row>
    <row r="125" spans="2:20" s="7" customFormat="1" ht="20.100000000000001" customHeight="1" x14ac:dyDescent="0.25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/>
      <c r="P125"/>
      <c r="Q125"/>
      <c r="S125" s="8"/>
      <c r="T125" s="8"/>
    </row>
    <row r="126" spans="2:20" s="7" customFormat="1" ht="20.100000000000001" customHeight="1" x14ac:dyDescent="0.25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/>
      <c r="P126"/>
      <c r="Q126"/>
      <c r="S126" s="8"/>
      <c r="T126" s="8"/>
    </row>
    <row r="127" spans="2:20" s="7" customFormat="1" ht="20.100000000000001" customHeight="1" x14ac:dyDescent="0.25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/>
      <c r="P127"/>
      <c r="Q127"/>
      <c r="S127" s="8"/>
      <c r="T127" s="8"/>
    </row>
    <row r="128" spans="2:20" s="7" customFormat="1" ht="20.100000000000001" customHeight="1" x14ac:dyDescent="0.25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/>
      <c r="P128"/>
      <c r="Q128"/>
      <c r="S128" s="8"/>
      <c r="T128" s="8"/>
    </row>
    <row r="129" spans="2:14" ht="20.100000000000001" customHeight="1" x14ac:dyDescent="0.25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</row>
    <row r="130" spans="2:14" ht="20.100000000000001" customHeight="1" x14ac:dyDescent="0.25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</row>
    <row r="131" spans="2:14" ht="20.100000000000001" customHeight="1" x14ac:dyDescent="0.25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</row>
    <row r="132" spans="2:14" ht="20.100000000000001" customHeight="1" x14ac:dyDescent="0.25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</row>
    <row r="133" spans="2:14" ht="20.100000000000001" customHeight="1" x14ac:dyDescent="0.25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</row>
    <row r="134" spans="2:14" ht="20.100000000000001" customHeight="1" x14ac:dyDescent="0.25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</row>
    <row r="135" spans="2:14" ht="20.100000000000001" customHeight="1" x14ac:dyDescent="0.25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</row>
    <row r="136" spans="2:14" ht="20.100000000000001" customHeight="1" x14ac:dyDescent="0.25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</row>
    <row r="137" spans="2:14" ht="20.100000000000001" customHeight="1" x14ac:dyDescent="0.25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</row>
    <row r="138" spans="2:14" ht="20.100000000000001" customHeight="1" x14ac:dyDescent="0.25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</row>
    <row r="139" spans="2:14" ht="20.100000000000001" customHeight="1" x14ac:dyDescent="0.25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</row>
    <row r="140" spans="2:14" ht="20.100000000000001" customHeight="1" x14ac:dyDescent="0.25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</row>
    <row r="141" spans="2:14" ht="20.100000000000001" customHeight="1" x14ac:dyDescent="0.25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</row>
    <row r="142" spans="2:14" ht="20.100000000000001" customHeight="1" x14ac:dyDescent="0.25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</row>
    <row r="143" spans="2:14" ht="20.100000000000001" customHeight="1" x14ac:dyDescent="0.25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</row>
    <row r="144" spans="2:14" ht="20.100000000000001" customHeight="1" x14ac:dyDescent="0.25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</row>
    <row r="145" spans="2:14" ht="20.100000000000001" customHeight="1" x14ac:dyDescent="0.25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</row>
    <row r="146" spans="2:14" ht="20.100000000000001" customHeight="1" x14ac:dyDescent="0.25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</row>
    <row r="147" spans="2:14" ht="20.100000000000001" customHeight="1" x14ac:dyDescent="0.25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</row>
    <row r="148" spans="2:14" ht="20.100000000000001" customHeight="1" x14ac:dyDescent="0.25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</row>
    <row r="149" spans="2:14" ht="20.100000000000001" customHeight="1" x14ac:dyDescent="0.25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</row>
    <row r="150" spans="2:14" ht="20.100000000000001" customHeight="1" x14ac:dyDescent="0.25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</row>
    <row r="151" spans="2:14" ht="20.100000000000001" customHeight="1" x14ac:dyDescent="0.25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</row>
    <row r="152" spans="2:14" ht="22.5" customHeight="1" x14ac:dyDescent="0.25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</row>
    <row r="153" spans="2:14" ht="20.100000000000001" customHeight="1" x14ac:dyDescent="0.25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</row>
    <row r="154" spans="2:14" ht="20.100000000000001" customHeight="1" x14ac:dyDescent="0.25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</row>
    <row r="155" spans="2:14" ht="20.100000000000001" customHeight="1" x14ac:dyDescent="0.25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</row>
    <row r="156" spans="2:14" ht="20.100000000000001" customHeight="1" x14ac:dyDescent="0.25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</row>
    <row r="157" spans="2:14" ht="20.100000000000001" customHeight="1" x14ac:dyDescent="0.25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</row>
    <row r="158" spans="2:14" ht="20.100000000000001" customHeight="1" x14ac:dyDescent="0.25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</row>
    <row r="159" spans="2:14" ht="20.100000000000001" customHeight="1" x14ac:dyDescent="0.25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</row>
    <row r="160" spans="2:14" ht="20.100000000000001" customHeight="1" x14ac:dyDescent="0.25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</row>
    <row r="161" spans="2:14" ht="20.100000000000001" customHeight="1" x14ac:dyDescent="0.25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</row>
    <row r="162" spans="2:14" ht="20.100000000000001" customHeight="1" x14ac:dyDescent="0.25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</row>
    <row r="163" spans="2:14" ht="20.100000000000001" customHeight="1" x14ac:dyDescent="0.25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</row>
    <row r="164" spans="2:14" ht="20.100000000000001" customHeight="1" x14ac:dyDescent="0.25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</row>
    <row r="165" spans="2:14" ht="20.100000000000001" customHeight="1" x14ac:dyDescent="0.25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</row>
    <row r="166" spans="2:14" ht="20.100000000000001" customHeight="1" x14ac:dyDescent="0.25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</row>
    <row r="167" spans="2:14" ht="20.100000000000001" customHeight="1" x14ac:dyDescent="0.25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</row>
    <row r="168" spans="2:14" ht="20.100000000000001" customHeight="1" x14ac:dyDescent="0.25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</row>
    <row r="169" spans="2:14" ht="20.100000000000001" customHeight="1" x14ac:dyDescent="0.25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</row>
    <row r="170" spans="2:14" ht="20.100000000000001" customHeight="1" x14ac:dyDescent="0.25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</row>
    <row r="171" spans="2:14" ht="20.100000000000001" customHeight="1" x14ac:dyDescent="0.25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</row>
    <row r="172" spans="2:14" ht="20.100000000000001" customHeight="1" x14ac:dyDescent="0.25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</row>
    <row r="173" spans="2:14" ht="20.100000000000001" customHeight="1" x14ac:dyDescent="0.25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</row>
    <row r="174" spans="2:14" ht="20.100000000000001" customHeight="1" x14ac:dyDescent="0.25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</row>
  </sheetData>
  <mergeCells count="10">
    <mergeCell ref="R8:AF8"/>
    <mergeCell ref="D6:E6"/>
    <mergeCell ref="K5:L5"/>
    <mergeCell ref="K6:L6"/>
    <mergeCell ref="D5:E5"/>
    <mergeCell ref="B1:AE1"/>
    <mergeCell ref="B2:AE2"/>
    <mergeCell ref="C3:G3"/>
    <mergeCell ref="G5:H5"/>
    <mergeCell ref="G6:H6"/>
  </mergeCells>
  <pageMargins left="0" right="0" top="0" bottom="0" header="0.15748031496063" footer="0.118110236220472"/>
  <pageSetup paperSize="9" scale="2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17</vt:i4>
      </vt:variant>
      <vt:variant>
        <vt:lpstr>Named Ranges</vt:lpstr>
      </vt:variant>
      <vt:variant>
        <vt:i4>34</vt:i4>
      </vt:variant>
    </vt:vector>
  </HeadingPairs>
  <TitlesOfParts>
    <vt:vector size="51" baseType="lpstr">
      <vt:lpstr>29.07 JinjaRoad-Kira Road</vt:lpstr>
      <vt:lpstr>29.07 Kira Road-Jinaj Road</vt:lpstr>
      <vt:lpstr>30.07 Jinja Road-Kira Road</vt:lpstr>
      <vt:lpstr>30.07 Kira Road-Jinja Road</vt:lpstr>
      <vt:lpstr>31.07 Jinja Road-Kira Road</vt:lpstr>
      <vt:lpstr>31.07 Kira Road-Jinja Road</vt:lpstr>
      <vt:lpstr>1.08 Jinja Road-Kira Road-24h</vt:lpstr>
      <vt:lpstr>1.08 Kira Road-Jinja Road-24h</vt:lpstr>
      <vt:lpstr>2.08 Jinja road-Kira road</vt:lpstr>
      <vt:lpstr>2.08 Kira Road-Jinja road</vt:lpstr>
      <vt:lpstr>3.08 Jinja Road-KiraRoad-24h</vt:lpstr>
      <vt:lpstr>3.08 Kira Road-Jinja Road-24h</vt:lpstr>
      <vt:lpstr>4.08.JINJA ROAD-KIIRA</vt:lpstr>
      <vt:lpstr>4.08.KIIRA-JINJAROAD</vt:lpstr>
      <vt:lpstr>Avg Week Jinja Rd-Kiira </vt:lpstr>
      <vt:lpstr>Avg Week Kiira-JinjaRoad</vt:lpstr>
      <vt:lpstr>Avg Week Jinja RD-Kiira-2Dir</vt:lpstr>
      <vt:lpstr>'1.08 Jinja Road-Kira Road-24h'!Print_Area</vt:lpstr>
      <vt:lpstr>'1.08 Kira Road-Jinja Road-24h'!Print_Area</vt:lpstr>
      <vt:lpstr>'2.08 Jinja road-Kira road'!Print_Area</vt:lpstr>
      <vt:lpstr>'2.08 Kira Road-Jinja road'!Print_Area</vt:lpstr>
      <vt:lpstr>'29.07 JinjaRoad-Kira Road'!Print_Area</vt:lpstr>
      <vt:lpstr>'29.07 Kira Road-Jinaj Road'!Print_Area</vt:lpstr>
      <vt:lpstr>'3.08 Jinja Road-KiraRoad-24h'!Print_Area</vt:lpstr>
      <vt:lpstr>'3.08 Kira Road-Jinja Road-24h'!Print_Area</vt:lpstr>
      <vt:lpstr>'30.07 Jinja Road-Kira Road'!Print_Area</vt:lpstr>
      <vt:lpstr>'30.07 Kira Road-Jinja Road'!Print_Area</vt:lpstr>
      <vt:lpstr>'31.07 Jinja Road-Kira Road'!Print_Area</vt:lpstr>
      <vt:lpstr>'31.07 Kira Road-Jinja Road'!Print_Area</vt:lpstr>
      <vt:lpstr>'4.08.JINJA ROAD-KIIRA'!Print_Area</vt:lpstr>
      <vt:lpstr>'4.08.KIIRA-JINJAROAD'!Print_Area</vt:lpstr>
      <vt:lpstr>'Avg Week Jinja Rd-Kiira '!Print_Area</vt:lpstr>
      <vt:lpstr>'Avg Week Jinja RD-Kiira-2Dir'!Print_Area</vt:lpstr>
      <vt:lpstr>'Avg Week Kiira-JinjaRoad'!Print_Area</vt:lpstr>
      <vt:lpstr>'1.08 Jinja Road-Kira Road-24h'!Print_Titles</vt:lpstr>
      <vt:lpstr>'1.08 Kira Road-Jinja Road-24h'!Print_Titles</vt:lpstr>
      <vt:lpstr>'2.08 Jinja road-Kira road'!Print_Titles</vt:lpstr>
      <vt:lpstr>'2.08 Kira Road-Jinja road'!Print_Titles</vt:lpstr>
      <vt:lpstr>'29.07 JinjaRoad-Kira Road'!Print_Titles</vt:lpstr>
      <vt:lpstr>'29.07 Kira Road-Jinaj Road'!Print_Titles</vt:lpstr>
      <vt:lpstr>'3.08 Jinja Road-KiraRoad-24h'!Print_Titles</vt:lpstr>
      <vt:lpstr>'3.08 Kira Road-Jinja Road-24h'!Print_Titles</vt:lpstr>
      <vt:lpstr>'30.07 Jinja Road-Kira Road'!Print_Titles</vt:lpstr>
      <vt:lpstr>'30.07 Kira Road-Jinja Road'!Print_Titles</vt:lpstr>
      <vt:lpstr>'31.07 Jinja Road-Kira Road'!Print_Titles</vt:lpstr>
      <vt:lpstr>'31.07 Kira Road-Jinja Road'!Print_Titles</vt:lpstr>
      <vt:lpstr>'4.08.JINJA ROAD-KIIRA'!Print_Titles</vt:lpstr>
      <vt:lpstr>'4.08.KIIRA-JINJAROAD'!Print_Titles</vt:lpstr>
      <vt:lpstr>'Avg Week Jinja Rd-Kiira '!Print_Titles</vt:lpstr>
      <vt:lpstr>'Avg Week Jinja RD-Kiira-2Dir'!Print_Titles</vt:lpstr>
      <vt:lpstr>'Avg Week Kiira-JinjaRoad'!Print_Titles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steward consultancy</dc:creator>
  <cp:lastModifiedBy>ALLAN</cp:lastModifiedBy>
  <cp:lastPrinted>2019-07-25T18:18:41Z</cp:lastPrinted>
  <dcterms:created xsi:type="dcterms:W3CDTF">2010-07-06T07:39:49Z</dcterms:created>
  <dcterms:modified xsi:type="dcterms:W3CDTF">2020-01-15T18:17:12Z</dcterms:modified>
</cp:coreProperties>
</file>