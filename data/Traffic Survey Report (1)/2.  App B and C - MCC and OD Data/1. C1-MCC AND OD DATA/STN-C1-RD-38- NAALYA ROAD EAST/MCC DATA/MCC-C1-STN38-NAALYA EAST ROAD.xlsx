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8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9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0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1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2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LAN\Desktop\C-1 Analysis Complete\STN-C1-RD-38- NAALYA ROAD EAST\MCC DATA\"/>
    </mc:Choice>
  </mc:AlternateContent>
  <bookViews>
    <workbookView xWindow="0" yWindow="0" windowWidth="15600" windowHeight="10920" tabRatio="940" firstSheet="12" activeTab="16"/>
  </bookViews>
  <sheets>
    <sheet name="29.07 Ntinda-Naalya" sheetId="93" r:id="rId1"/>
    <sheet name="29.07 Naalya-Ntinda" sheetId="94" r:id="rId2"/>
    <sheet name="30.07 Ntinda-Naalya" sheetId="95" r:id="rId3"/>
    <sheet name="30.07 Naalya-Ntinda" sheetId="96" r:id="rId4"/>
    <sheet name="31.07 Ntinda-Naalya" sheetId="97" r:id="rId5"/>
    <sheet name="31.07 Naalya-Ntinda" sheetId="98" r:id="rId6"/>
    <sheet name="01.08 Ntinda-Naalya 24h" sheetId="101" r:id="rId7"/>
    <sheet name="01.08 Naalya-Ntinda 24h" sheetId="109" r:id="rId8"/>
    <sheet name="02.08 Ntinda-Naalya" sheetId="99" r:id="rId9"/>
    <sheet name="02.08 Naalya-Ntinda" sheetId="100" r:id="rId10"/>
    <sheet name="03.08 Ntinda-Naalya 24h" sheetId="105" r:id="rId11"/>
    <sheet name="03.08 Naalya-Ntinda-24h" sheetId="110" r:id="rId12"/>
    <sheet name="04.08 Ntinda-Naalya" sheetId="103" r:id="rId13"/>
    <sheet name="04.08 Naalya-Ntinda" sheetId="104" r:id="rId14"/>
    <sheet name="Avg Week Ntinda-Naalya" sheetId="107" r:id="rId15"/>
    <sheet name="Avg Week Naalya-Ntinda" sheetId="108" r:id="rId16"/>
    <sheet name="Avg Week Ntinda-Naalya-2Dir" sheetId="111" r:id="rId17"/>
  </sheets>
  <definedNames>
    <definedName name="_xlnm.Print_Area" localSheetId="7">'01.08 Naalya-Ntinda 24h'!$A$1:$AF$108</definedName>
    <definedName name="_xlnm.Print_Area" localSheetId="6">'01.08 Ntinda-Naalya 24h'!$A$1:$AF$108</definedName>
    <definedName name="_xlnm.Print_Area" localSheetId="9">'02.08 Naalya-Ntinda'!$A$1:$AF$60</definedName>
    <definedName name="_xlnm.Print_Area" localSheetId="8">'02.08 Ntinda-Naalya'!$A$1:$AF$60</definedName>
    <definedName name="_xlnm.Print_Area" localSheetId="11">'03.08 Naalya-Ntinda-24h'!$A$1:$AF$108</definedName>
    <definedName name="_xlnm.Print_Area" localSheetId="10">'03.08 Ntinda-Naalya 24h'!$A$1:$AF$108</definedName>
    <definedName name="_xlnm.Print_Area" localSheetId="13">'04.08 Naalya-Ntinda'!$A$1:$AF$60</definedName>
    <definedName name="_xlnm.Print_Area" localSheetId="12">'04.08 Ntinda-Naalya'!$A$1:$AF$60</definedName>
    <definedName name="_xlnm.Print_Area" localSheetId="1">'29.07 Naalya-Ntinda'!$A$1:$AF$60</definedName>
    <definedName name="_xlnm.Print_Area" localSheetId="0">'29.07 Ntinda-Naalya'!$A$1:$AF$60</definedName>
    <definedName name="_xlnm.Print_Area" localSheetId="3">'30.07 Naalya-Ntinda'!$A$1:$AF$60</definedName>
    <definedName name="_xlnm.Print_Area" localSheetId="2">'30.07 Ntinda-Naalya'!$A$1:$AF$60</definedName>
    <definedName name="_xlnm.Print_Area" localSheetId="5">'31.07 Naalya-Ntinda'!$A$1:$AF$60</definedName>
    <definedName name="_xlnm.Print_Area" localSheetId="4">'31.07 Ntinda-Naalya'!$A$1:$AF$60</definedName>
    <definedName name="_xlnm.Print_Area" localSheetId="15">'Avg Week Naalya-Ntinda'!$A$1:$AF$108</definedName>
    <definedName name="_xlnm.Print_Area" localSheetId="14">'Avg Week Ntinda-Naalya'!$A$1:$AF$108</definedName>
    <definedName name="_xlnm.Print_Area" localSheetId="16">'Avg Week Ntinda-Naalya-2Dir'!$A$1:$AF$108</definedName>
    <definedName name="_xlnm.Print_Titles" localSheetId="7">'01.08 Naalya-Ntinda 24h'!$1:$8</definedName>
    <definedName name="_xlnm.Print_Titles" localSheetId="6">'01.08 Ntinda-Naalya 24h'!$1:$8</definedName>
    <definedName name="_xlnm.Print_Titles" localSheetId="9">'02.08 Naalya-Ntinda'!$1:$8</definedName>
    <definedName name="_xlnm.Print_Titles" localSheetId="8">'02.08 Ntinda-Naalya'!$1:$8</definedName>
    <definedName name="_xlnm.Print_Titles" localSheetId="11">'03.08 Naalya-Ntinda-24h'!$1:$8</definedName>
    <definedName name="_xlnm.Print_Titles" localSheetId="10">'03.08 Ntinda-Naalya 24h'!$1:$8</definedName>
    <definedName name="_xlnm.Print_Titles" localSheetId="13">'04.08 Naalya-Ntinda'!$1:$8</definedName>
    <definedName name="_xlnm.Print_Titles" localSheetId="12">'04.08 Ntinda-Naalya'!$1:$8</definedName>
    <definedName name="_xlnm.Print_Titles" localSheetId="1">'29.07 Naalya-Ntinda'!$1:$8</definedName>
    <definedName name="_xlnm.Print_Titles" localSheetId="0">'29.07 Ntinda-Naalya'!$1:$8</definedName>
    <definedName name="_xlnm.Print_Titles" localSheetId="3">'30.07 Naalya-Ntinda'!$1:$8</definedName>
    <definedName name="_xlnm.Print_Titles" localSheetId="2">'30.07 Ntinda-Naalya'!$1:$8</definedName>
    <definedName name="_xlnm.Print_Titles" localSheetId="5">'31.07 Naalya-Ntinda'!$1:$8</definedName>
    <definedName name="_xlnm.Print_Titles" localSheetId="4">'31.07 Ntinda-Naalya'!$1:$8</definedName>
    <definedName name="_xlnm.Print_Titles" localSheetId="15">'Avg Week Naalya-Ntinda'!$1:$8</definedName>
    <definedName name="_xlnm.Print_Titles" localSheetId="14">'Avg Week Ntinda-Naalya'!$1:$8</definedName>
    <definedName name="_xlnm.Print_Titles" localSheetId="16">'Avg Week Ntinda-Naalya-2Dir'!$1:$8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72" i="111" l="1"/>
  <c r="I72" i="111"/>
  <c r="D95" i="111"/>
  <c r="F95" i="111"/>
  <c r="C66" i="111"/>
  <c r="C68" i="111"/>
  <c r="V25" i="108"/>
  <c r="AB27" i="108"/>
  <c r="AD27" i="108"/>
  <c r="O74" i="108"/>
  <c r="P75" i="108"/>
  <c r="O100" i="108"/>
  <c r="P100" i="108"/>
  <c r="D58" i="108"/>
  <c r="E58" i="108"/>
  <c r="F58" i="108"/>
  <c r="G58" i="108"/>
  <c r="W22" i="108" s="1"/>
  <c r="H58" i="108"/>
  <c r="I58" i="108"/>
  <c r="J58" i="108"/>
  <c r="K58" i="108"/>
  <c r="L58" i="108"/>
  <c r="M58" i="108"/>
  <c r="N58" i="108"/>
  <c r="D59" i="108"/>
  <c r="P59" i="108" s="1"/>
  <c r="E59" i="108"/>
  <c r="F59" i="108"/>
  <c r="G59" i="108"/>
  <c r="H59" i="108"/>
  <c r="I59" i="108"/>
  <c r="J59" i="108"/>
  <c r="K59" i="108"/>
  <c r="L59" i="108"/>
  <c r="M59" i="108"/>
  <c r="N59" i="108"/>
  <c r="D60" i="108"/>
  <c r="E60" i="108"/>
  <c r="F60" i="108"/>
  <c r="G60" i="108"/>
  <c r="H60" i="108"/>
  <c r="P60" i="108" s="1"/>
  <c r="I60" i="108"/>
  <c r="J60" i="108"/>
  <c r="K60" i="108"/>
  <c r="L60" i="108"/>
  <c r="M60" i="108"/>
  <c r="N60" i="108"/>
  <c r="D61" i="108"/>
  <c r="E61" i="108"/>
  <c r="F61" i="108"/>
  <c r="G61" i="108"/>
  <c r="H61" i="108"/>
  <c r="I61" i="108"/>
  <c r="J61" i="108"/>
  <c r="K61" i="108"/>
  <c r="L61" i="108"/>
  <c r="M61" i="108"/>
  <c r="AC22" i="108" s="1"/>
  <c r="N61" i="108"/>
  <c r="D62" i="108"/>
  <c r="E62" i="108"/>
  <c r="F62" i="108"/>
  <c r="G62" i="108"/>
  <c r="H62" i="108"/>
  <c r="I62" i="108"/>
  <c r="J62" i="108"/>
  <c r="K62" i="108"/>
  <c r="AA23" i="108" s="1"/>
  <c r="L62" i="108"/>
  <c r="M62" i="108"/>
  <c r="N62" i="108"/>
  <c r="D63" i="108"/>
  <c r="E63" i="108"/>
  <c r="F63" i="108"/>
  <c r="G63" i="108"/>
  <c r="H63" i="108"/>
  <c r="I63" i="108"/>
  <c r="J63" i="108"/>
  <c r="K63" i="108"/>
  <c r="L63" i="108"/>
  <c r="M63" i="108"/>
  <c r="N63" i="108"/>
  <c r="D64" i="108"/>
  <c r="E64" i="108"/>
  <c r="F64" i="108"/>
  <c r="G64" i="108"/>
  <c r="H64" i="108"/>
  <c r="I64" i="108"/>
  <c r="J64" i="108"/>
  <c r="K64" i="108"/>
  <c r="L64" i="108"/>
  <c r="M64" i="108"/>
  <c r="N64" i="108"/>
  <c r="D65" i="108"/>
  <c r="E65" i="108"/>
  <c r="F65" i="108"/>
  <c r="G65" i="108"/>
  <c r="H65" i="108"/>
  <c r="I65" i="108"/>
  <c r="J65" i="108"/>
  <c r="K65" i="108"/>
  <c r="L65" i="108"/>
  <c r="M65" i="108"/>
  <c r="N65" i="108"/>
  <c r="D66" i="108"/>
  <c r="E66" i="108"/>
  <c r="F66" i="108"/>
  <c r="G66" i="108"/>
  <c r="W24" i="108" s="1"/>
  <c r="H66" i="108"/>
  <c r="I66" i="108"/>
  <c r="J66" i="108"/>
  <c r="K66" i="108"/>
  <c r="L66" i="108"/>
  <c r="M66" i="108"/>
  <c r="N66" i="108"/>
  <c r="D67" i="108"/>
  <c r="E67" i="108"/>
  <c r="F67" i="108"/>
  <c r="G67" i="108"/>
  <c r="H67" i="108"/>
  <c r="I67" i="108"/>
  <c r="J67" i="108"/>
  <c r="K67" i="108"/>
  <c r="L67" i="108"/>
  <c r="M67" i="108"/>
  <c r="N67" i="108"/>
  <c r="D68" i="108"/>
  <c r="E68" i="108"/>
  <c r="F68" i="108"/>
  <c r="G68" i="108"/>
  <c r="H68" i="108"/>
  <c r="I68" i="108"/>
  <c r="J68" i="108"/>
  <c r="K68" i="108"/>
  <c r="L68" i="108"/>
  <c r="M68" i="108"/>
  <c r="N68" i="108"/>
  <c r="D69" i="108"/>
  <c r="E69" i="108"/>
  <c r="F69" i="108"/>
  <c r="G69" i="108"/>
  <c r="H69" i="108"/>
  <c r="I69" i="108"/>
  <c r="J69" i="108"/>
  <c r="K69" i="108"/>
  <c r="L69" i="108"/>
  <c r="M69" i="108"/>
  <c r="N69" i="108"/>
  <c r="D70" i="108"/>
  <c r="E70" i="108"/>
  <c r="F70" i="108"/>
  <c r="G70" i="108"/>
  <c r="H70" i="108"/>
  <c r="I70" i="108"/>
  <c r="J70" i="108"/>
  <c r="K70" i="108"/>
  <c r="AA25" i="108" s="1"/>
  <c r="L70" i="108"/>
  <c r="M70" i="108"/>
  <c r="N70" i="108"/>
  <c r="AD25" i="108" s="1"/>
  <c r="D71" i="108"/>
  <c r="E71" i="108"/>
  <c r="F71" i="108"/>
  <c r="G71" i="108"/>
  <c r="H71" i="108"/>
  <c r="X25" i="108" s="1"/>
  <c r="I71" i="108"/>
  <c r="J71" i="108"/>
  <c r="K71" i="108"/>
  <c r="L71" i="108"/>
  <c r="M71" i="108"/>
  <c r="N71" i="108"/>
  <c r="D72" i="108"/>
  <c r="E72" i="108"/>
  <c r="F72" i="108"/>
  <c r="G72" i="108"/>
  <c r="H72" i="108"/>
  <c r="I72" i="108"/>
  <c r="J72" i="108"/>
  <c r="K72" i="108"/>
  <c r="L72" i="108"/>
  <c r="M72" i="108"/>
  <c r="N72" i="108"/>
  <c r="D73" i="108"/>
  <c r="E73" i="108"/>
  <c r="F73" i="108"/>
  <c r="G73" i="108"/>
  <c r="H73" i="108"/>
  <c r="I73" i="108"/>
  <c r="J73" i="108"/>
  <c r="K73" i="108"/>
  <c r="L73" i="108"/>
  <c r="M73" i="108"/>
  <c r="N73" i="108"/>
  <c r="D74" i="108"/>
  <c r="E74" i="108"/>
  <c r="F74" i="108"/>
  <c r="G74" i="108"/>
  <c r="W26" i="108" s="1"/>
  <c r="H74" i="108"/>
  <c r="I74" i="108"/>
  <c r="Y26" i="108" s="1"/>
  <c r="J74" i="108"/>
  <c r="K74" i="108"/>
  <c r="L74" i="108"/>
  <c r="M74" i="108"/>
  <c r="N74" i="108"/>
  <c r="D75" i="108"/>
  <c r="E75" i="108"/>
  <c r="F75" i="108"/>
  <c r="G75" i="108"/>
  <c r="H75" i="108"/>
  <c r="I75" i="108"/>
  <c r="J75" i="108"/>
  <c r="K75" i="108"/>
  <c r="L75" i="108"/>
  <c r="M75" i="108"/>
  <c r="N75" i="108"/>
  <c r="D76" i="108"/>
  <c r="E76" i="108"/>
  <c r="F76" i="108"/>
  <c r="G76" i="108"/>
  <c r="H76" i="108"/>
  <c r="I76" i="108"/>
  <c r="J76" i="108"/>
  <c r="K76" i="108"/>
  <c r="L76" i="108"/>
  <c r="M76" i="108"/>
  <c r="N76" i="108"/>
  <c r="D77" i="108"/>
  <c r="E77" i="108"/>
  <c r="F77" i="108"/>
  <c r="G77" i="108"/>
  <c r="H77" i="108"/>
  <c r="I77" i="108"/>
  <c r="J77" i="108"/>
  <c r="K77" i="108"/>
  <c r="L77" i="108"/>
  <c r="M77" i="108"/>
  <c r="N77" i="108"/>
  <c r="D78" i="108"/>
  <c r="T27" i="108" s="1"/>
  <c r="E78" i="108"/>
  <c r="F78" i="108"/>
  <c r="V27" i="108" s="1"/>
  <c r="G78" i="108"/>
  <c r="H78" i="108"/>
  <c r="I78" i="108"/>
  <c r="J78" i="108"/>
  <c r="K78" i="108"/>
  <c r="AA27" i="108" s="1"/>
  <c r="L78" i="108"/>
  <c r="M78" i="108"/>
  <c r="N78" i="108"/>
  <c r="D79" i="108"/>
  <c r="E79" i="108"/>
  <c r="F79" i="108"/>
  <c r="G79" i="108"/>
  <c r="H79" i="108"/>
  <c r="I79" i="108"/>
  <c r="J79" i="108"/>
  <c r="K79" i="108"/>
  <c r="L79" i="108"/>
  <c r="M79" i="108"/>
  <c r="N79" i="108"/>
  <c r="D80" i="108"/>
  <c r="E80" i="108"/>
  <c r="F80" i="108"/>
  <c r="G80" i="108"/>
  <c r="H80" i="108"/>
  <c r="I80" i="108"/>
  <c r="J80" i="108"/>
  <c r="K80" i="108"/>
  <c r="L80" i="108"/>
  <c r="M80" i="108"/>
  <c r="N80" i="108"/>
  <c r="D81" i="108"/>
  <c r="E81" i="108"/>
  <c r="F81" i="108"/>
  <c r="G81" i="108"/>
  <c r="H81" i="108"/>
  <c r="I81" i="108"/>
  <c r="J81" i="108"/>
  <c r="K81" i="108"/>
  <c r="L81" i="108"/>
  <c r="M81" i="108"/>
  <c r="N81" i="108"/>
  <c r="D82" i="108"/>
  <c r="E82" i="108"/>
  <c r="F82" i="108"/>
  <c r="G82" i="108"/>
  <c r="W28" i="108" s="1"/>
  <c r="H82" i="108"/>
  <c r="I82" i="108"/>
  <c r="Y28" i="108" s="1"/>
  <c r="J82" i="108"/>
  <c r="K82" i="108"/>
  <c r="L82" i="108"/>
  <c r="M82" i="108"/>
  <c r="N82" i="108"/>
  <c r="D83" i="108"/>
  <c r="P83" i="108" s="1"/>
  <c r="E83" i="108"/>
  <c r="F83" i="108"/>
  <c r="G83" i="108"/>
  <c r="H83" i="108"/>
  <c r="I83" i="108"/>
  <c r="J83" i="108"/>
  <c r="K83" i="108"/>
  <c r="L83" i="108"/>
  <c r="M83" i="108"/>
  <c r="N83" i="108"/>
  <c r="D84" i="108"/>
  <c r="E84" i="108"/>
  <c r="F84" i="108"/>
  <c r="G84" i="108"/>
  <c r="H84" i="108"/>
  <c r="I84" i="108"/>
  <c r="J84" i="108"/>
  <c r="K84" i="108"/>
  <c r="L84" i="108"/>
  <c r="M84" i="108"/>
  <c r="N84" i="108"/>
  <c r="D85" i="108"/>
  <c r="E85" i="108"/>
  <c r="F85" i="108"/>
  <c r="G85" i="108"/>
  <c r="H85" i="108"/>
  <c r="I85" i="108"/>
  <c r="J85" i="108"/>
  <c r="K85" i="108"/>
  <c r="L85" i="108"/>
  <c r="M85" i="108"/>
  <c r="N85" i="108"/>
  <c r="D86" i="108"/>
  <c r="T29" i="108" s="1"/>
  <c r="E86" i="108"/>
  <c r="F86" i="108"/>
  <c r="G86" i="108"/>
  <c r="H86" i="108"/>
  <c r="I86" i="108"/>
  <c r="J86" i="108"/>
  <c r="K86" i="108"/>
  <c r="AA29" i="108" s="1"/>
  <c r="L86" i="108"/>
  <c r="AB29" i="108" s="1"/>
  <c r="M86" i="108"/>
  <c r="N86" i="108"/>
  <c r="D87" i="108"/>
  <c r="E87" i="108"/>
  <c r="F87" i="108"/>
  <c r="G87" i="108"/>
  <c r="H87" i="108"/>
  <c r="I87" i="108"/>
  <c r="J87" i="108"/>
  <c r="K87" i="108"/>
  <c r="L87" i="108"/>
  <c r="M87" i="108"/>
  <c r="N87" i="108"/>
  <c r="D88" i="108"/>
  <c r="P88" i="108" s="1"/>
  <c r="E88" i="108"/>
  <c r="F88" i="108"/>
  <c r="G88" i="108"/>
  <c r="H88" i="108"/>
  <c r="I88" i="108"/>
  <c r="J88" i="108"/>
  <c r="K88" i="108"/>
  <c r="L88" i="108"/>
  <c r="M88" i="108"/>
  <c r="N88" i="108"/>
  <c r="D89" i="108"/>
  <c r="E89" i="108"/>
  <c r="F89" i="108"/>
  <c r="G89" i="108"/>
  <c r="H89" i="108"/>
  <c r="I89" i="108"/>
  <c r="J89" i="108"/>
  <c r="K89" i="108"/>
  <c r="L89" i="108"/>
  <c r="M89" i="108"/>
  <c r="N89" i="108"/>
  <c r="D90" i="108"/>
  <c r="E90" i="108"/>
  <c r="F90" i="108"/>
  <c r="G90" i="108"/>
  <c r="W30" i="108" s="1"/>
  <c r="H90" i="108"/>
  <c r="I90" i="108"/>
  <c r="J90" i="108"/>
  <c r="K90" i="108"/>
  <c r="L90" i="108"/>
  <c r="M90" i="108"/>
  <c r="N90" i="108"/>
  <c r="D91" i="108"/>
  <c r="E91" i="108"/>
  <c r="F91" i="108"/>
  <c r="G91" i="108"/>
  <c r="H91" i="108"/>
  <c r="I91" i="108"/>
  <c r="J91" i="108"/>
  <c r="K91" i="108"/>
  <c r="L91" i="108"/>
  <c r="M91" i="108"/>
  <c r="N91" i="108"/>
  <c r="D92" i="108"/>
  <c r="E92" i="108"/>
  <c r="F92" i="108"/>
  <c r="G92" i="108"/>
  <c r="H92" i="108"/>
  <c r="I92" i="108"/>
  <c r="J92" i="108"/>
  <c r="K92" i="108"/>
  <c r="L92" i="108"/>
  <c r="M92" i="108"/>
  <c r="N92" i="108"/>
  <c r="D93" i="108"/>
  <c r="E93" i="108"/>
  <c r="U30" i="108" s="1"/>
  <c r="F93" i="108"/>
  <c r="G93" i="108"/>
  <c r="H93" i="108"/>
  <c r="I93" i="108"/>
  <c r="J93" i="108"/>
  <c r="K93" i="108"/>
  <c r="L93" i="108"/>
  <c r="M93" i="108"/>
  <c r="N93" i="108"/>
  <c r="D94" i="108"/>
  <c r="E94" i="108"/>
  <c r="F94" i="108"/>
  <c r="G94" i="108"/>
  <c r="H94" i="108"/>
  <c r="I94" i="108"/>
  <c r="J94" i="108"/>
  <c r="K94" i="108"/>
  <c r="AA31" i="108" s="1"/>
  <c r="L94" i="108"/>
  <c r="M94" i="108"/>
  <c r="N94" i="108"/>
  <c r="D95" i="108"/>
  <c r="E95" i="108"/>
  <c r="F95" i="108"/>
  <c r="G95" i="108"/>
  <c r="P95" i="108" s="1"/>
  <c r="H95" i="108"/>
  <c r="I95" i="108"/>
  <c r="J95" i="108"/>
  <c r="K95" i="108"/>
  <c r="L95" i="108"/>
  <c r="M95" i="108"/>
  <c r="N95" i="108"/>
  <c r="D96" i="108"/>
  <c r="O96" i="108" s="1"/>
  <c r="E96" i="108"/>
  <c r="F96" i="108"/>
  <c r="G96" i="108"/>
  <c r="H96" i="108"/>
  <c r="I96" i="108"/>
  <c r="J96" i="108"/>
  <c r="K96" i="108"/>
  <c r="L96" i="108"/>
  <c r="M96" i="108"/>
  <c r="N96" i="108"/>
  <c r="D97" i="108"/>
  <c r="E97" i="108"/>
  <c r="F97" i="108"/>
  <c r="G97" i="108"/>
  <c r="H97" i="108"/>
  <c r="I97" i="108"/>
  <c r="J97" i="108"/>
  <c r="K97" i="108"/>
  <c r="L97" i="108"/>
  <c r="M97" i="108"/>
  <c r="N97" i="108"/>
  <c r="D98" i="108"/>
  <c r="E98" i="108"/>
  <c r="F98" i="108"/>
  <c r="G98" i="108"/>
  <c r="W32" i="108" s="1"/>
  <c r="H98" i="108"/>
  <c r="I98" i="108"/>
  <c r="J98" i="108"/>
  <c r="K98" i="108"/>
  <c r="L98" i="108"/>
  <c r="M98" i="108"/>
  <c r="N98" i="108"/>
  <c r="D99" i="108"/>
  <c r="E99" i="108"/>
  <c r="F99" i="108"/>
  <c r="G99" i="108"/>
  <c r="H99" i="108"/>
  <c r="I99" i="108"/>
  <c r="J99" i="108"/>
  <c r="K99" i="108"/>
  <c r="AA32" i="108" s="1"/>
  <c r="L99" i="108"/>
  <c r="M99" i="108"/>
  <c r="N99" i="108"/>
  <c r="D100" i="108"/>
  <c r="E100" i="108"/>
  <c r="F100" i="108"/>
  <c r="G100" i="108"/>
  <c r="H100" i="108"/>
  <c r="I100" i="108"/>
  <c r="J100" i="108"/>
  <c r="K100" i="108"/>
  <c r="L100" i="108"/>
  <c r="M100" i="108"/>
  <c r="N100" i="108"/>
  <c r="D101" i="108"/>
  <c r="E101" i="108"/>
  <c r="F101" i="108"/>
  <c r="G101" i="108"/>
  <c r="H101" i="108"/>
  <c r="I101" i="108"/>
  <c r="J101" i="108"/>
  <c r="K101" i="108"/>
  <c r="L101" i="108"/>
  <c r="M101" i="108"/>
  <c r="AC32" i="108" s="1"/>
  <c r="N101" i="108"/>
  <c r="D102" i="108"/>
  <c r="E102" i="108"/>
  <c r="F102" i="108"/>
  <c r="V33" i="108" s="1"/>
  <c r="G102" i="108"/>
  <c r="H102" i="108"/>
  <c r="I102" i="108"/>
  <c r="J102" i="108"/>
  <c r="K102" i="108"/>
  <c r="AA33" i="108" s="1"/>
  <c r="L102" i="108"/>
  <c r="M102" i="108"/>
  <c r="N102" i="108"/>
  <c r="AD33" i="108" s="1"/>
  <c r="D103" i="108"/>
  <c r="E103" i="108"/>
  <c r="F103" i="108"/>
  <c r="G103" i="108"/>
  <c r="H103" i="108"/>
  <c r="I103" i="108"/>
  <c r="J103" i="108"/>
  <c r="K103" i="108"/>
  <c r="L103" i="108"/>
  <c r="M103" i="108"/>
  <c r="N103" i="108"/>
  <c r="D104" i="108"/>
  <c r="O104" i="108" s="1"/>
  <c r="E104" i="108"/>
  <c r="F104" i="108"/>
  <c r="G104" i="108"/>
  <c r="H104" i="108"/>
  <c r="I104" i="108"/>
  <c r="J104" i="108"/>
  <c r="K104" i="108"/>
  <c r="L104" i="108"/>
  <c r="M104" i="108"/>
  <c r="N104" i="108"/>
  <c r="D105" i="108"/>
  <c r="E105" i="108"/>
  <c r="F105" i="108"/>
  <c r="G105" i="108"/>
  <c r="H105" i="108"/>
  <c r="I105" i="108"/>
  <c r="J105" i="108"/>
  <c r="K105" i="108"/>
  <c r="L105" i="108"/>
  <c r="M105" i="108"/>
  <c r="N105" i="108"/>
  <c r="C59" i="108"/>
  <c r="C60" i="108"/>
  <c r="C61" i="108"/>
  <c r="C62" i="108"/>
  <c r="C63" i="108"/>
  <c r="C64" i="108"/>
  <c r="C65" i="108"/>
  <c r="C66" i="108"/>
  <c r="C67" i="108"/>
  <c r="C68" i="108"/>
  <c r="C69" i="108"/>
  <c r="C70" i="108"/>
  <c r="C71" i="108"/>
  <c r="P71" i="108" s="1"/>
  <c r="C72" i="108"/>
  <c r="P72" i="108" s="1"/>
  <c r="C73" i="108"/>
  <c r="C74" i="108"/>
  <c r="C75" i="108"/>
  <c r="C76" i="108"/>
  <c r="C77" i="108"/>
  <c r="C78" i="108"/>
  <c r="C79" i="108"/>
  <c r="P79" i="108" s="1"/>
  <c r="C80" i="108"/>
  <c r="P80" i="108" s="1"/>
  <c r="C81" i="108"/>
  <c r="C82" i="108"/>
  <c r="C83" i="108"/>
  <c r="C84" i="108"/>
  <c r="C85" i="108"/>
  <c r="C86" i="108"/>
  <c r="C87" i="108"/>
  <c r="P87" i="108" s="1"/>
  <c r="C88" i="108"/>
  <c r="O88" i="108" s="1"/>
  <c r="C89" i="108"/>
  <c r="C90" i="108"/>
  <c r="C91" i="108"/>
  <c r="C92" i="108"/>
  <c r="C93" i="108"/>
  <c r="C94" i="108"/>
  <c r="C95" i="108"/>
  <c r="C96" i="108"/>
  <c r="P96" i="108" s="1"/>
  <c r="C97" i="108"/>
  <c r="C98" i="108"/>
  <c r="C99" i="108"/>
  <c r="C100" i="108"/>
  <c r="C101" i="108"/>
  <c r="C102" i="108"/>
  <c r="C103" i="108"/>
  <c r="O103" i="108" s="1"/>
  <c r="C104" i="108"/>
  <c r="C105" i="108"/>
  <c r="C58" i="108"/>
  <c r="X25" i="107"/>
  <c r="S24" i="107"/>
  <c r="D58" i="107"/>
  <c r="E58" i="107"/>
  <c r="F58" i="107"/>
  <c r="G58" i="107"/>
  <c r="G58" i="111" s="1"/>
  <c r="H58" i="107"/>
  <c r="H58" i="111" s="1"/>
  <c r="I58" i="107"/>
  <c r="I58" i="111" s="1"/>
  <c r="J58" i="107"/>
  <c r="K58" i="107"/>
  <c r="K58" i="111" s="1"/>
  <c r="L58" i="107"/>
  <c r="M58" i="107"/>
  <c r="N58" i="107"/>
  <c r="D59" i="107"/>
  <c r="D59" i="111" s="1"/>
  <c r="E59" i="107"/>
  <c r="E59" i="111" s="1"/>
  <c r="F59" i="107"/>
  <c r="F59" i="111" s="1"/>
  <c r="G59" i="107"/>
  <c r="G59" i="111" s="1"/>
  <c r="H59" i="107"/>
  <c r="H59" i="111" s="1"/>
  <c r="I59" i="107"/>
  <c r="I59" i="111" s="1"/>
  <c r="J59" i="107"/>
  <c r="J59" i="111" s="1"/>
  <c r="K59" i="107"/>
  <c r="L59" i="107"/>
  <c r="L59" i="111" s="1"/>
  <c r="M59" i="107"/>
  <c r="M59" i="111" s="1"/>
  <c r="N59" i="107"/>
  <c r="N59" i="111" s="1"/>
  <c r="D60" i="107"/>
  <c r="D60" i="111" s="1"/>
  <c r="E60" i="107"/>
  <c r="E60" i="111" s="1"/>
  <c r="F60" i="107"/>
  <c r="F60" i="111" s="1"/>
  <c r="G60" i="107"/>
  <c r="G60" i="111" s="1"/>
  <c r="H60" i="107"/>
  <c r="I60" i="107"/>
  <c r="I60" i="111" s="1"/>
  <c r="J60" i="107"/>
  <c r="J60" i="111" s="1"/>
  <c r="K60" i="107"/>
  <c r="K60" i="111" s="1"/>
  <c r="L60" i="107"/>
  <c r="L60" i="111" s="1"/>
  <c r="M60" i="107"/>
  <c r="M60" i="111" s="1"/>
  <c r="N60" i="107"/>
  <c r="N60" i="111" s="1"/>
  <c r="D61" i="107"/>
  <c r="D61" i="111" s="1"/>
  <c r="E61" i="107"/>
  <c r="F61" i="107"/>
  <c r="F61" i="111" s="1"/>
  <c r="G61" i="107"/>
  <c r="G61" i="111" s="1"/>
  <c r="H61" i="107"/>
  <c r="H61" i="111" s="1"/>
  <c r="I61" i="107"/>
  <c r="I61" i="111" s="1"/>
  <c r="J61" i="107"/>
  <c r="J61" i="111" s="1"/>
  <c r="K61" i="107"/>
  <c r="K61" i="111" s="1"/>
  <c r="L61" i="107"/>
  <c r="L61" i="111" s="1"/>
  <c r="M61" i="107"/>
  <c r="N61" i="107"/>
  <c r="N61" i="111" s="1"/>
  <c r="D62" i="107"/>
  <c r="D62" i="111" s="1"/>
  <c r="E62" i="107"/>
  <c r="F62" i="107"/>
  <c r="G62" i="107"/>
  <c r="G62" i="111" s="1"/>
  <c r="H62" i="107"/>
  <c r="I62" i="107"/>
  <c r="J62" i="107"/>
  <c r="J62" i="111" s="1"/>
  <c r="K62" i="107"/>
  <c r="K62" i="111" s="1"/>
  <c r="L62" i="107"/>
  <c r="L62" i="111" s="1"/>
  <c r="M62" i="107"/>
  <c r="N62" i="107"/>
  <c r="D63" i="107"/>
  <c r="D63" i="111" s="1"/>
  <c r="E63" i="107"/>
  <c r="E63" i="111" s="1"/>
  <c r="F63" i="107"/>
  <c r="F63" i="111" s="1"/>
  <c r="G63" i="107"/>
  <c r="G63" i="111" s="1"/>
  <c r="H63" i="107"/>
  <c r="H63" i="111" s="1"/>
  <c r="I63" i="107"/>
  <c r="I63" i="111" s="1"/>
  <c r="J63" i="107"/>
  <c r="J63" i="111" s="1"/>
  <c r="K63" i="107"/>
  <c r="K63" i="111" s="1"/>
  <c r="L63" i="107"/>
  <c r="L63" i="111" s="1"/>
  <c r="M63" i="107"/>
  <c r="M63" i="111" s="1"/>
  <c r="N63" i="107"/>
  <c r="N63" i="111" s="1"/>
  <c r="D64" i="107"/>
  <c r="D64" i="111" s="1"/>
  <c r="E64" i="107"/>
  <c r="E64" i="111" s="1"/>
  <c r="F64" i="107"/>
  <c r="F64" i="111" s="1"/>
  <c r="G64" i="107"/>
  <c r="G64" i="111" s="1"/>
  <c r="H64" i="107"/>
  <c r="H64" i="111" s="1"/>
  <c r="I64" i="107"/>
  <c r="I64" i="111" s="1"/>
  <c r="J64" i="107"/>
  <c r="J64" i="111" s="1"/>
  <c r="K64" i="107"/>
  <c r="K64" i="111" s="1"/>
  <c r="L64" i="107"/>
  <c r="L64" i="111" s="1"/>
  <c r="M64" i="107"/>
  <c r="M64" i="111" s="1"/>
  <c r="N64" i="107"/>
  <c r="N64" i="111" s="1"/>
  <c r="D65" i="107"/>
  <c r="D65" i="111" s="1"/>
  <c r="E65" i="107"/>
  <c r="E65" i="111" s="1"/>
  <c r="F65" i="107"/>
  <c r="F65" i="111" s="1"/>
  <c r="G65" i="107"/>
  <c r="G65" i="111" s="1"/>
  <c r="H65" i="107"/>
  <c r="H65" i="111" s="1"/>
  <c r="I65" i="107"/>
  <c r="I65" i="111" s="1"/>
  <c r="J65" i="107"/>
  <c r="J65" i="111" s="1"/>
  <c r="K65" i="107"/>
  <c r="K65" i="111" s="1"/>
  <c r="L65" i="107"/>
  <c r="L65" i="111" s="1"/>
  <c r="M65" i="107"/>
  <c r="M65" i="111" s="1"/>
  <c r="N65" i="107"/>
  <c r="N65" i="111" s="1"/>
  <c r="D66" i="107"/>
  <c r="E66" i="107"/>
  <c r="E66" i="111" s="1"/>
  <c r="F66" i="107"/>
  <c r="F66" i="111" s="1"/>
  <c r="G66" i="107"/>
  <c r="G66" i="111" s="1"/>
  <c r="H66" i="107"/>
  <c r="I66" i="107"/>
  <c r="J66" i="107"/>
  <c r="K66" i="107"/>
  <c r="L66" i="107"/>
  <c r="M66" i="107"/>
  <c r="M66" i="111" s="1"/>
  <c r="N66" i="107"/>
  <c r="N66" i="111" s="1"/>
  <c r="D67" i="107"/>
  <c r="D67" i="111" s="1"/>
  <c r="E67" i="107"/>
  <c r="E67" i="111" s="1"/>
  <c r="F67" i="107"/>
  <c r="F67" i="111" s="1"/>
  <c r="G67" i="107"/>
  <c r="G67" i="111" s="1"/>
  <c r="H67" i="107"/>
  <c r="H67" i="111" s="1"/>
  <c r="I67" i="107"/>
  <c r="I67" i="111" s="1"/>
  <c r="J67" i="107"/>
  <c r="J67" i="111" s="1"/>
  <c r="K67" i="107"/>
  <c r="K67" i="111" s="1"/>
  <c r="L67" i="107"/>
  <c r="L67" i="111" s="1"/>
  <c r="M67" i="107"/>
  <c r="M67" i="111" s="1"/>
  <c r="N67" i="107"/>
  <c r="N67" i="111" s="1"/>
  <c r="D68" i="107"/>
  <c r="D68" i="111" s="1"/>
  <c r="E68" i="107"/>
  <c r="E68" i="111" s="1"/>
  <c r="F68" i="107"/>
  <c r="F68" i="111" s="1"/>
  <c r="G68" i="107"/>
  <c r="G68" i="111" s="1"/>
  <c r="H68" i="107"/>
  <c r="H68" i="111" s="1"/>
  <c r="I68" i="107"/>
  <c r="I68" i="111" s="1"/>
  <c r="J68" i="107"/>
  <c r="J68" i="111" s="1"/>
  <c r="K68" i="107"/>
  <c r="K68" i="111" s="1"/>
  <c r="L68" i="107"/>
  <c r="L68" i="111" s="1"/>
  <c r="M68" i="107"/>
  <c r="M68" i="111" s="1"/>
  <c r="N68" i="107"/>
  <c r="N68" i="111" s="1"/>
  <c r="D69" i="107"/>
  <c r="D69" i="111" s="1"/>
  <c r="E69" i="107"/>
  <c r="E69" i="111" s="1"/>
  <c r="F69" i="107"/>
  <c r="F69" i="111" s="1"/>
  <c r="G69" i="107"/>
  <c r="G69" i="111" s="1"/>
  <c r="H69" i="107"/>
  <c r="H69" i="111" s="1"/>
  <c r="I69" i="107"/>
  <c r="I69" i="111" s="1"/>
  <c r="J69" i="107"/>
  <c r="J69" i="111" s="1"/>
  <c r="K69" i="107"/>
  <c r="K69" i="111" s="1"/>
  <c r="L69" i="107"/>
  <c r="L69" i="111" s="1"/>
  <c r="M69" i="107"/>
  <c r="M69" i="111" s="1"/>
  <c r="N69" i="107"/>
  <c r="N69" i="111" s="1"/>
  <c r="D70" i="107"/>
  <c r="E70" i="107"/>
  <c r="F70" i="107"/>
  <c r="G70" i="107"/>
  <c r="H70" i="107"/>
  <c r="H70" i="111" s="1"/>
  <c r="I70" i="107"/>
  <c r="I70" i="111" s="1"/>
  <c r="J70" i="107"/>
  <c r="J70" i="111" s="1"/>
  <c r="K70" i="107"/>
  <c r="L70" i="107"/>
  <c r="M70" i="107"/>
  <c r="N70" i="107"/>
  <c r="D71" i="107"/>
  <c r="D71" i="111" s="1"/>
  <c r="E71" i="107"/>
  <c r="E71" i="111" s="1"/>
  <c r="F71" i="107"/>
  <c r="F71" i="111" s="1"/>
  <c r="G71" i="107"/>
  <c r="G71" i="111" s="1"/>
  <c r="H71" i="107"/>
  <c r="H71" i="111" s="1"/>
  <c r="I71" i="107"/>
  <c r="I71" i="111" s="1"/>
  <c r="J71" i="107"/>
  <c r="J71" i="111" s="1"/>
  <c r="K71" i="107"/>
  <c r="K71" i="111" s="1"/>
  <c r="L71" i="107"/>
  <c r="L71" i="111" s="1"/>
  <c r="M71" i="107"/>
  <c r="M71" i="111" s="1"/>
  <c r="N71" i="107"/>
  <c r="N71" i="111" s="1"/>
  <c r="D72" i="107"/>
  <c r="E72" i="107"/>
  <c r="E72" i="111" s="1"/>
  <c r="F72" i="107"/>
  <c r="F72" i="111" s="1"/>
  <c r="G72" i="107"/>
  <c r="G72" i="111" s="1"/>
  <c r="H72" i="107"/>
  <c r="H72" i="111" s="1"/>
  <c r="I72" i="107"/>
  <c r="J72" i="107"/>
  <c r="J72" i="111" s="1"/>
  <c r="K72" i="107"/>
  <c r="K72" i="111" s="1"/>
  <c r="L72" i="107"/>
  <c r="L72" i="111" s="1"/>
  <c r="M72" i="107"/>
  <c r="M72" i="111" s="1"/>
  <c r="N72" i="107"/>
  <c r="N72" i="111" s="1"/>
  <c r="D73" i="107"/>
  <c r="D73" i="111" s="1"/>
  <c r="E73" i="107"/>
  <c r="E73" i="111" s="1"/>
  <c r="F73" i="107"/>
  <c r="F73" i="111" s="1"/>
  <c r="G73" i="107"/>
  <c r="G73" i="111" s="1"/>
  <c r="H73" i="107"/>
  <c r="H73" i="111" s="1"/>
  <c r="I73" i="107"/>
  <c r="I73" i="111" s="1"/>
  <c r="J73" i="107"/>
  <c r="J73" i="111" s="1"/>
  <c r="K73" i="107"/>
  <c r="K73" i="111" s="1"/>
  <c r="L73" i="107"/>
  <c r="L73" i="111" s="1"/>
  <c r="M73" i="107"/>
  <c r="M73" i="111" s="1"/>
  <c r="N73" i="107"/>
  <c r="N73" i="111" s="1"/>
  <c r="D74" i="107"/>
  <c r="D74" i="111" s="1"/>
  <c r="E74" i="107"/>
  <c r="E74" i="111" s="1"/>
  <c r="F74" i="107"/>
  <c r="G74" i="107"/>
  <c r="H74" i="107"/>
  <c r="I74" i="107"/>
  <c r="J74" i="107"/>
  <c r="K74" i="107"/>
  <c r="K74" i="111" s="1"/>
  <c r="L74" i="107"/>
  <c r="L74" i="111" s="1"/>
  <c r="M74" i="107"/>
  <c r="M74" i="111" s="1"/>
  <c r="N74" i="107"/>
  <c r="D75" i="107"/>
  <c r="D75" i="111" s="1"/>
  <c r="E75" i="107"/>
  <c r="E75" i="111" s="1"/>
  <c r="F75" i="107"/>
  <c r="F75" i="111" s="1"/>
  <c r="G75" i="107"/>
  <c r="G75" i="111" s="1"/>
  <c r="H75" i="107"/>
  <c r="H75" i="111" s="1"/>
  <c r="I75" i="107"/>
  <c r="I75" i="111" s="1"/>
  <c r="J75" i="107"/>
  <c r="J75" i="111" s="1"/>
  <c r="K75" i="107"/>
  <c r="K75" i="111" s="1"/>
  <c r="L75" i="107"/>
  <c r="L75" i="111" s="1"/>
  <c r="M75" i="107"/>
  <c r="M75" i="111" s="1"/>
  <c r="N75" i="107"/>
  <c r="N75" i="111" s="1"/>
  <c r="D76" i="107"/>
  <c r="D76" i="111" s="1"/>
  <c r="E76" i="107"/>
  <c r="E76" i="111" s="1"/>
  <c r="F76" i="107"/>
  <c r="F76" i="111" s="1"/>
  <c r="G76" i="107"/>
  <c r="G76" i="111" s="1"/>
  <c r="H76" i="107"/>
  <c r="H76" i="111" s="1"/>
  <c r="I76" i="107"/>
  <c r="I76" i="111" s="1"/>
  <c r="J76" i="107"/>
  <c r="J76" i="111" s="1"/>
  <c r="K76" i="107"/>
  <c r="K76" i="111" s="1"/>
  <c r="L76" i="107"/>
  <c r="L76" i="111" s="1"/>
  <c r="M76" i="107"/>
  <c r="M76" i="111" s="1"/>
  <c r="N76" i="107"/>
  <c r="N76" i="111" s="1"/>
  <c r="D77" i="107"/>
  <c r="D77" i="111" s="1"/>
  <c r="E77" i="107"/>
  <c r="E77" i="111" s="1"/>
  <c r="F77" i="107"/>
  <c r="F77" i="111" s="1"/>
  <c r="G77" i="107"/>
  <c r="G77" i="111" s="1"/>
  <c r="H77" i="107"/>
  <c r="H77" i="111" s="1"/>
  <c r="I77" i="107"/>
  <c r="I77" i="111" s="1"/>
  <c r="J77" i="107"/>
  <c r="J77" i="111" s="1"/>
  <c r="K77" i="107"/>
  <c r="K77" i="111" s="1"/>
  <c r="L77" i="107"/>
  <c r="L77" i="111" s="1"/>
  <c r="M77" i="107"/>
  <c r="M77" i="111" s="1"/>
  <c r="N77" i="107"/>
  <c r="N77" i="111" s="1"/>
  <c r="D78" i="107"/>
  <c r="E78" i="107"/>
  <c r="F78" i="107"/>
  <c r="F78" i="111" s="1"/>
  <c r="G78" i="107"/>
  <c r="G78" i="111" s="1"/>
  <c r="H78" i="107"/>
  <c r="H78" i="111" s="1"/>
  <c r="I78" i="107"/>
  <c r="J78" i="107"/>
  <c r="K78" i="107"/>
  <c r="L78" i="107"/>
  <c r="M78" i="107"/>
  <c r="N78" i="107"/>
  <c r="N78" i="111" s="1"/>
  <c r="D79" i="107"/>
  <c r="D79" i="111" s="1"/>
  <c r="E79" i="107"/>
  <c r="E79" i="111" s="1"/>
  <c r="F79" i="107"/>
  <c r="F79" i="111" s="1"/>
  <c r="G79" i="107"/>
  <c r="G79" i="111" s="1"/>
  <c r="H79" i="107"/>
  <c r="H79" i="111" s="1"/>
  <c r="I79" i="107"/>
  <c r="I79" i="111" s="1"/>
  <c r="J79" i="107"/>
  <c r="J79" i="111" s="1"/>
  <c r="K79" i="107"/>
  <c r="K79" i="111" s="1"/>
  <c r="L79" i="107"/>
  <c r="L79" i="111" s="1"/>
  <c r="M79" i="107"/>
  <c r="M79" i="111" s="1"/>
  <c r="N79" i="107"/>
  <c r="N79" i="111" s="1"/>
  <c r="D80" i="107"/>
  <c r="D80" i="111" s="1"/>
  <c r="E80" i="107"/>
  <c r="E80" i="111" s="1"/>
  <c r="F80" i="107"/>
  <c r="F80" i="111" s="1"/>
  <c r="G80" i="107"/>
  <c r="G80" i="111" s="1"/>
  <c r="H80" i="107"/>
  <c r="H80" i="111" s="1"/>
  <c r="I80" i="107"/>
  <c r="I80" i="111" s="1"/>
  <c r="J80" i="107"/>
  <c r="J80" i="111" s="1"/>
  <c r="K80" i="107"/>
  <c r="K80" i="111" s="1"/>
  <c r="L80" i="107"/>
  <c r="L80" i="111" s="1"/>
  <c r="M80" i="107"/>
  <c r="M80" i="111" s="1"/>
  <c r="N80" i="107"/>
  <c r="N80" i="111" s="1"/>
  <c r="D81" i="107"/>
  <c r="D81" i="111" s="1"/>
  <c r="E81" i="107"/>
  <c r="E81" i="111" s="1"/>
  <c r="F81" i="107"/>
  <c r="F81" i="111" s="1"/>
  <c r="G81" i="107"/>
  <c r="G81" i="111" s="1"/>
  <c r="H81" i="107"/>
  <c r="H81" i="111" s="1"/>
  <c r="I81" i="107"/>
  <c r="I81" i="111" s="1"/>
  <c r="J81" i="107"/>
  <c r="J81" i="111" s="1"/>
  <c r="K81" i="107"/>
  <c r="K81" i="111" s="1"/>
  <c r="L81" i="107"/>
  <c r="L81" i="111" s="1"/>
  <c r="M81" i="107"/>
  <c r="M81" i="111" s="1"/>
  <c r="N81" i="107"/>
  <c r="N81" i="111" s="1"/>
  <c r="D82" i="107"/>
  <c r="E82" i="107"/>
  <c r="F82" i="107"/>
  <c r="G82" i="107"/>
  <c r="H82" i="107"/>
  <c r="I82" i="107"/>
  <c r="I82" i="111" s="1"/>
  <c r="J82" i="107"/>
  <c r="J82" i="111" s="1"/>
  <c r="K82" i="107"/>
  <c r="K82" i="111" s="1"/>
  <c r="L82" i="107"/>
  <c r="M82" i="107"/>
  <c r="N82" i="107"/>
  <c r="D83" i="107"/>
  <c r="D83" i="111" s="1"/>
  <c r="E83" i="107"/>
  <c r="E83" i="111" s="1"/>
  <c r="F83" i="107"/>
  <c r="F83" i="111" s="1"/>
  <c r="G83" i="107"/>
  <c r="G83" i="111" s="1"/>
  <c r="H83" i="107"/>
  <c r="H83" i="111" s="1"/>
  <c r="I83" i="107"/>
  <c r="I83" i="111" s="1"/>
  <c r="J83" i="107"/>
  <c r="J83" i="111" s="1"/>
  <c r="K83" i="107"/>
  <c r="K83" i="111" s="1"/>
  <c r="L83" i="107"/>
  <c r="L83" i="111" s="1"/>
  <c r="M83" i="107"/>
  <c r="M83" i="111" s="1"/>
  <c r="N83" i="107"/>
  <c r="N83" i="111" s="1"/>
  <c r="D84" i="107"/>
  <c r="D84" i="111" s="1"/>
  <c r="E84" i="107"/>
  <c r="E84" i="111" s="1"/>
  <c r="F84" i="107"/>
  <c r="F84" i="111" s="1"/>
  <c r="G84" i="107"/>
  <c r="G84" i="111" s="1"/>
  <c r="H84" i="107"/>
  <c r="H84" i="111" s="1"/>
  <c r="I84" i="107"/>
  <c r="I84" i="111" s="1"/>
  <c r="J84" i="107"/>
  <c r="J84" i="111" s="1"/>
  <c r="K84" i="107"/>
  <c r="K84" i="111" s="1"/>
  <c r="L84" i="107"/>
  <c r="L84" i="111" s="1"/>
  <c r="M84" i="107"/>
  <c r="M84" i="111" s="1"/>
  <c r="N84" i="107"/>
  <c r="N84" i="111" s="1"/>
  <c r="D85" i="107"/>
  <c r="D85" i="111" s="1"/>
  <c r="E85" i="107"/>
  <c r="E85" i="111" s="1"/>
  <c r="F85" i="107"/>
  <c r="F85" i="111" s="1"/>
  <c r="G85" i="107"/>
  <c r="G85" i="111" s="1"/>
  <c r="H85" i="107"/>
  <c r="H85" i="111" s="1"/>
  <c r="I85" i="107"/>
  <c r="I85" i="111" s="1"/>
  <c r="J85" i="107"/>
  <c r="J85" i="111" s="1"/>
  <c r="K85" i="107"/>
  <c r="K85" i="111" s="1"/>
  <c r="L85" i="107"/>
  <c r="L85" i="111" s="1"/>
  <c r="M85" i="107"/>
  <c r="M85" i="111" s="1"/>
  <c r="N85" i="107"/>
  <c r="N85" i="111" s="1"/>
  <c r="D86" i="107"/>
  <c r="D86" i="111" s="1"/>
  <c r="E86" i="107"/>
  <c r="E86" i="111" s="1"/>
  <c r="F86" i="107"/>
  <c r="F86" i="111" s="1"/>
  <c r="G86" i="107"/>
  <c r="H86" i="107"/>
  <c r="I86" i="107"/>
  <c r="J86" i="107"/>
  <c r="K86" i="107"/>
  <c r="L86" i="107"/>
  <c r="L86" i="111" s="1"/>
  <c r="AB29" i="111" s="1"/>
  <c r="M86" i="107"/>
  <c r="M86" i="111" s="1"/>
  <c r="N86" i="107"/>
  <c r="N86" i="111" s="1"/>
  <c r="D87" i="107"/>
  <c r="D87" i="111" s="1"/>
  <c r="E87" i="107"/>
  <c r="E87" i="111" s="1"/>
  <c r="F87" i="107"/>
  <c r="F87" i="111" s="1"/>
  <c r="G87" i="107"/>
  <c r="G87" i="111" s="1"/>
  <c r="H87" i="107"/>
  <c r="H87" i="111" s="1"/>
  <c r="I87" i="107"/>
  <c r="I87" i="111" s="1"/>
  <c r="J87" i="107"/>
  <c r="J87" i="111" s="1"/>
  <c r="K87" i="107"/>
  <c r="K87" i="111" s="1"/>
  <c r="L87" i="107"/>
  <c r="L87" i="111" s="1"/>
  <c r="M87" i="107"/>
  <c r="M87" i="111" s="1"/>
  <c r="N87" i="107"/>
  <c r="N87" i="111" s="1"/>
  <c r="D88" i="107"/>
  <c r="D88" i="111" s="1"/>
  <c r="E88" i="107"/>
  <c r="E88" i="111" s="1"/>
  <c r="F88" i="107"/>
  <c r="F88" i="111" s="1"/>
  <c r="G88" i="107"/>
  <c r="G88" i="111" s="1"/>
  <c r="H88" i="107"/>
  <c r="H88" i="111" s="1"/>
  <c r="I88" i="107"/>
  <c r="I88" i="111" s="1"/>
  <c r="J88" i="107"/>
  <c r="J88" i="111" s="1"/>
  <c r="K88" i="107"/>
  <c r="K88" i="111" s="1"/>
  <c r="L88" i="107"/>
  <c r="L88" i="111" s="1"/>
  <c r="M88" i="107"/>
  <c r="M88" i="111" s="1"/>
  <c r="N88" i="107"/>
  <c r="N88" i="111" s="1"/>
  <c r="D89" i="107"/>
  <c r="D89" i="111" s="1"/>
  <c r="E89" i="107"/>
  <c r="E89" i="111" s="1"/>
  <c r="F89" i="107"/>
  <c r="F89" i="111" s="1"/>
  <c r="G89" i="107"/>
  <c r="G89" i="111" s="1"/>
  <c r="H89" i="107"/>
  <c r="H89" i="111" s="1"/>
  <c r="I89" i="107"/>
  <c r="I89" i="111" s="1"/>
  <c r="J89" i="107"/>
  <c r="J89" i="111" s="1"/>
  <c r="K89" i="107"/>
  <c r="K89" i="111" s="1"/>
  <c r="L89" i="107"/>
  <c r="L89" i="111" s="1"/>
  <c r="M89" i="107"/>
  <c r="M89" i="111" s="1"/>
  <c r="N89" i="107"/>
  <c r="N89" i="111" s="1"/>
  <c r="D90" i="107"/>
  <c r="E90" i="107"/>
  <c r="F90" i="107"/>
  <c r="G90" i="107"/>
  <c r="G90" i="111" s="1"/>
  <c r="H90" i="107"/>
  <c r="H90" i="111" s="1"/>
  <c r="X30" i="111" s="1"/>
  <c r="I90" i="107"/>
  <c r="I90" i="111" s="1"/>
  <c r="J90" i="107"/>
  <c r="K90" i="107"/>
  <c r="L90" i="107"/>
  <c r="M90" i="107"/>
  <c r="N90" i="107"/>
  <c r="D91" i="107"/>
  <c r="D91" i="111" s="1"/>
  <c r="E91" i="107"/>
  <c r="E91" i="111" s="1"/>
  <c r="F91" i="107"/>
  <c r="F91" i="111" s="1"/>
  <c r="G91" i="107"/>
  <c r="G91" i="111" s="1"/>
  <c r="H91" i="107"/>
  <c r="H91" i="111" s="1"/>
  <c r="I91" i="107"/>
  <c r="I91" i="111" s="1"/>
  <c r="J91" i="107"/>
  <c r="J91" i="111" s="1"/>
  <c r="K91" i="107"/>
  <c r="K91" i="111" s="1"/>
  <c r="L91" i="107"/>
  <c r="L91" i="111" s="1"/>
  <c r="M91" i="107"/>
  <c r="M91" i="111" s="1"/>
  <c r="N91" i="107"/>
  <c r="N91" i="111" s="1"/>
  <c r="D92" i="107"/>
  <c r="D92" i="111" s="1"/>
  <c r="E92" i="107"/>
  <c r="E92" i="111" s="1"/>
  <c r="F92" i="107"/>
  <c r="F92" i="111" s="1"/>
  <c r="G92" i="107"/>
  <c r="G92" i="111" s="1"/>
  <c r="H92" i="107"/>
  <c r="H92" i="111" s="1"/>
  <c r="I92" i="107"/>
  <c r="I92" i="111" s="1"/>
  <c r="J92" i="107"/>
  <c r="J92" i="111" s="1"/>
  <c r="K92" i="107"/>
  <c r="K92" i="111" s="1"/>
  <c r="L92" i="107"/>
  <c r="L92" i="111" s="1"/>
  <c r="M92" i="107"/>
  <c r="M92" i="111" s="1"/>
  <c r="N92" i="107"/>
  <c r="N92" i="111" s="1"/>
  <c r="D93" i="107"/>
  <c r="D93" i="111" s="1"/>
  <c r="E93" i="107"/>
  <c r="E93" i="111" s="1"/>
  <c r="F93" i="107"/>
  <c r="F93" i="111" s="1"/>
  <c r="G93" i="107"/>
  <c r="G93" i="111" s="1"/>
  <c r="H93" i="107"/>
  <c r="H93" i="111" s="1"/>
  <c r="I93" i="107"/>
  <c r="I93" i="111" s="1"/>
  <c r="J93" i="107"/>
  <c r="J93" i="111" s="1"/>
  <c r="K93" i="107"/>
  <c r="K93" i="111" s="1"/>
  <c r="L93" i="107"/>
  <c r="L93" i="111" s="1"/>
  <c r="M93" i="107"/>
  <c r="M93" i="111" s="1"/>
  <c r="N93" i="107"/>
  <c r="N93" i="111" s="1"/>
  <c r="D94" i="107"/>
  <c r="D94" i="111" s="1"/>
  <c r="T31" i="111" s="1"/>
  <c r="E94" i="107"/>
  <c r="F94" i="107"/>
  <c r="G94" i="107"/>
  <c r="H94" i="107"/>
  <c r="I94" i="107"/>
  <c r="J94" i="107"/>
  <c r="J94" i="111" s="1"/>
  <c r="K94" i="107"/>
  <c r="K94" i="111" s="1"/>
  <c r="L94" i="107"/>
  <c r="L94" i="111" s="1"/>
  <c r="AB31" i="111" s="1"/>
  <c r="M94" i="107"/>
  <c r="N94" i="107"/>
  <c r="D95" i="107"/>
  <c r="E95" i="107"/>
  <c r="E95" i="111" s="1"/>
  <c r="F95" i="107"/>
  <c r="G95" i="107"/>
  <c r="G95" i="111" s="1"/>
  <c r="H95" i="107"/>
  <c r="H95" i="111" s="1"/>
  <c r="I95" i="107"/>
  <c r="I95" i="111" s="1"/>
  <c r="J95" i="107"/>
  <c r="J95" i="111" s="1"/>
  <c r="K95" i="107"/>
  <c r="K95" i="111" s="1"/>
  <c r="L95" i="107"/>
  <c r="L95" i="111" s="1"/>
  <c r="M95" i="107"/>
  <c r="M95" i="111" s="1"/>
  <c r="N95" i="107"/>
  <c r="N95" i="111" s="1"/>
  <c r="D96" i="107"/>
  <c r="D96" i="111" s="1"/>
  <c r="E96" i="107"/>
  <c r="E96" i="111" s="1"/>
  <c r="F96" i="107"/>
  <c r="F96" i="111" s="1"/>
  <c r="G96" i="107"/>
  <c r="G96" i="111" s="1"/>
  <c r="H96" i="107"/>
  <c r="H96" i="111" s="1"/>
  <c r="I96" i="107"/>
  <c r="I96" i="111" s="1"/>
  <c r="J96" i="107"/>
  <c r="J96" i="111" s="1"/>
  <c r="K96" i="107"/>
  <c r="K96" i="111" s="1"/>
  <c r="L96" i="107"/>
  <c r="L96" i="111" s="1"/>
  <c r="M96" i="107"/>
  <c r="M96" i="111" s="1"/>
  <c r="N96" i="107"/>
  <c r="N96" i="111" s="1"/>
  <c r="D97" i="107"/>
  <c r="D97" i="111" s="1"/>
  <c r="E97" i="107"/>
  <c r="E97" i="111" s="1"/>
  <c r="F97" i="107"/>
  <c r="F97" i="111" s="1"/>
  <c r="G97" i="107"/>
  <c r="G97" i="111" s="1"/>
  <c r="H97" i="107"/>
  <c r="H97" i="111" s="1"/>
  <c r="I97" i="107"/>
  <c r="I97" i="111" s="1"/>
  <c r="J97" i="107"/>
  <c r="J97" i="111" s="1"/>
  <c r="K97" i="107"/>
  <c r="K97" i="111" s="1"/>
  <c r="L97" i="107"/>
  <c r="L97" i="111" s="1"/>
  <c r="M97" i="107"/>
  <c r="M97" i="111" s="1"/>
  <c r="N97" i="107"/>
  <c r="N97" i="111" s="1"/>
  <c r="D98" i="107"/>
  <c r="E98" i="107"/>
  <c r="U32" i="107" s="1"/>
  <c r="F98" i="107"/>
  <c r="F98" i="111" s="1"/>
  <c r="G98" i="107"/>
  <c r="G98" i="111" s="1"/>
  <c r="H98" i="107"/>
  <c r="I98" i="107"/>
  <c r="J98" i="107"/>
  <c r="K98" i="107"/>
  <c r="L98" i="107"/>
  <c r="M98" i="107"/>
  <c r="M98" i="111" s="1"/>
  <c r="N98" i="107"/>
  <c r="N98" i="111" s="1"/>
  <c r="D99" i="107"/>
  <c r="D99" i="111" s="1"/>
  <c r="E99" i="107"/>
  <c r="E99" i="111" s="1"/>
  <c r="F99" i="107"/>
  <c r="F99" i="111" s="1"/>
  <c r="G99" i="107"/>
  <c r="G99" i="111" s="1"/>
  <c r="H99" i="107"/>
  <c r="H99" i="111" s="1"/>
  <c r="I99" i="107"/>
  <c r="I99" i="111" s="1"/>
  <c r="J99" i="107"/>
  <c r="J99" i="111" s="1"/>
  <c r="K99" i="107"/>
  <c r="K99" i="111" s="1"/>
  <c r="L99" i="107"/>
  <c r="L99" i="111" s="1"/>
  <c r="M99" i="107"/>
  <c r="M99" i="111" s="1"/>
  <c r="N99" i="107"/>
  <c r="N99" i="111" s="1"/>
  <c r="D100" i="107"/>
  <c r="D100" i="111" s="1"/>
  <c r="E100" i="107"/>
  <c r="E100" i="111" s="1"/>
  <c r="F100" i="107"/>
  <c r="F100" i="111" s="1"/>
  <c r="G100" i="107"/>
  <c r="G100" i="111" s="1"/>
  <c r="H100" i="107"/>
  <c r="H100" i="111" s="1"/>
  <c r="I100" i="107"/>
  <c r="I100" i="111" s="1"/>
  <c r="J100" i="107"/>
  <c r="J100" i="111" s="1"/>
  <c r="K100" i="107"/>
  <c r="K100" i="111" s="1"/>
  <c r="L100" i="107"/>
  <c r="L100" i="111" s="1"/>
  <c r="M100" i="107"/>
  <c r="M100" i="111" s="1"/>
  <c r="N100" i="107"/>
  <c r="N100" i="111" s="1"/>
  <c r="D101" i="107"/>
  <c r="D101" i="111" s="1"/>
  <c r="E101" i="107"/>
  <c r="E101" i="111" s="1"/>
  <c r="F101" i="107"/>
  <c r="F101" i="111" s="1"/>
  <c r="G101" i="107"/>
  <c r="G101" i="111" s="1"/>
  <c r="H101" i="107"/>
  <c r="H101" i="111" s="1"/>
  <c r="I101" i="107"/>
  <c r="I101" i="111" s="1"/>
  <c r="J101" i="107"/>
  <c r="J101" i="111" s="1"/>
  <c r="K101" i="107"/>
  <c r="K101" i="111" s="1"/>
  <c r="L101" i="107"/>
  <c r="L101" i="111" s="1"/>
  <c r="M101" i="107"/>
  <c r="M101" i="111" s="1"/>
  <c r="N101" i="107"/>
  <c r="N101" i="111" s="1"/>
  <c r="D102" i="107"/>
  <c r="E102" i="107"/>
  <c r="F102" i="107"/>
  <c r="G102" i="107"/>
  <c r="H102" i="107"/>
  <c r="H102" i="111" s="1"/>
  <c r="I102" i="107"/>
  <c r="I102" i="111" s="1"/>
  <c r="J102" i="107"/>
  <c r="J102" i="111" s="1"/>
  <c r="K102" i="107"/>
  <c r="L102" i="107"/>
  <c r="M102" i="107"/>
  <c r="N102" i="107"/>
  <c r="D103" i="107"/>
  <c r="D103" i="111" s="1"/>
  <c r="E103" i="107"/>
  <c r="E103" i="111" s="1"/>
  <c r="F103" i="107"/>
  <c r="F103" i="111" s="1"/>
  <c r="G103" i="107"/>
  <c r="G103" i="111" s="1"/>
  <c r="H103" i="107"/>
  <c r="H103" i="111" s="1"/>
  <c r="I103" i="107"/>
  <c r="I103" i="111" s="1"/>
  <c r="J103" i="107"/>
  <c r="J103" i="111" s="1"/>
  <c r="K103" i="107"/>
  <c r="K103" i="111" s="1"/>
  <c r="L103" i="107"/>
  <c r="L103" i="111" s="1"/>
  <c r="M103" i="107"/>
  <c r="M103" i="111" s="1"/>
  <c r="N103" i="107"/>
  <c r="N103" i="111" s="1"/>
  <c r="D104" i="107"/>
  <c r="D104" i="111" s="1"/>
  <c r="E104" i="107"/>
  <c r="E104" i="111" s="1"/>
  <c r="F104" i="107"/>
  <c r="F104" i="111" s="1"/>
  <c r="G104" i="107"/>
  <c r="G104" i="111" s="1"/>
  <c r="H104" i="107"/>
  <c r="H104" i="111" s="1"/>
  <c r="I104" i="107"/>
  <c r="I104" i="111" s="1"/>
  <c r="J104" i="107"/>
  <c r="J104" i="111" s="1"/>
  <c r="K104" i="107"/>
  <c r="K104" i="111" s="1"/>
  <c r="L104" i="107"/>
  <c r="L104" i="111" s="1"/>
  <c r="M104" i="107"/>
  <c r="M104" i="111" s="1"/>
  <c r="N104" i="107"/>
  <c r="N104" i="111" s="1"/>
  <c r="D105" i="107"/>
  <c r="D105" i="111" s="1"/>
  <c r="E105" i="107"/>
  <c r="E105" i="111" s="1"/>
  <c r="F105" i="107"/>
  <c r="F105" i="111" s="1"/>
  <c r="G105" i="107"/>
  <c r="G105" i="111" s="1"/>
  <c r="H105" i="107"/>
  <c r="H105" i="111" s="1"/>
  <c r="I105" i="107"/>
  <c r="I105" i="111" s="1"/>
  <c r="J105" i="107"/>
  <c r="J105" i="111" s="1"/>
  <c r="K105" i="107"/>
  <c r="K105" i="111" s="1"/>
  <c r="L105" i="107"/>
  <c r="L105" i="111" s="1"/>
  <c r="M105" i="107"/>
  <c r="M105" i="111" s="1"/>
  <c r="N105" i="107"/>
  <c r="N105" i="111" s="1"/>
  <c r="C59" i="107"/>
  <c r="C60" i="107"/>
  <c r="C61" i="107"/>
  <c r="C61" i="111" s="1"/>
  <c r="C62" i="107"/>
  <c r="C63" i="107"/>
  <c r="C64" i="107"/>
  <c r="P64" i="107" s="1"/>
  <c r="C65" i="107"/>
  <c r="C65" i="111" s="1"/>
  <c r="C66" i="107"/>
  <c r="C67" i="107"/>
  <c r="O67" i="107" s="1"/>
  <c r="C68" i="107"/>
  <c r="C69" i="107"/>
  <c r="C69" i="111" s="1"/>
  <c r="C70" i="107"/>
  <c r="S25" i="107" s="1"/>
  <c r="C71" i="107"/>
  <c r="C72" i="107"/>
  <c r="P72" i="107" s="1"/>
  <c r="C73" i="107"/>
  <c r="C73" i="111" s="1"/>
  <c r="C74" i="107"/>
  <c r="S26" i="107" s="1"/>
  <c r="C75" i="107"/>
  <c r="C76" i="107"/>
  <c r="C77" i="107"/>
  <c r="C77" i="111" s="1"/>
  <c r="C78" i="107"/>
  <c r="C79" i="107"/>
  <c r="O79" i="107" s="1"/>
  <c r="C80" i="107"/>
  <c r="P80" i="107" s="1"/>
  <c r="C81" i="107"/>
  <c r="C81" i="111" s="1"/>
  <c r="C82" i="107"/>
  <c r="C83" i="107"/>
  <c r="C84" i="107"/>
  <c r="C85" i="107"/>
  <c r="C85" i="111" s="1"/>
  <c r="C86" i="107"/>
  <c r="C87" i="107"/>
  <c r="C87" i="111" s="1"/>
  <c r="C88" i="107"/>
  <c r="C89" i="107"/>
  <c r="C89" i="111" s="1"/>
  <c r="C90" i="107"/>
  <c r="O90" i="107" s="1"/>
  <c r="C91" i="107"/>
  <c r="C91" i="111" s="1"/>
  <c r="C92" i="107"/>
  <c r="P92" i="107" s="1"/>
  <c r="C93" i="107"/>
  <c r="C93" i="111" s="1"/>
  <c r="C94" i="107"/>
  <c r="C95" i="107"/>
  <c r="C95" i="111" s="1"/>
  <c r="C96" i="107"/>
  <c r="P96" i="107" s="1"/>
  <c r="C97" i="107"/>
  <c r="C97" i="111" s="1"/>
  <c r="C98" i="107"/>
  <c r="S32" i="107" s="1"/>
  <c r="C99" i="107"/>
  <c r="C99" i="111" s="1"/>
  <c r="C100" i="107"/>
  <c r="C101" i="107"/>
  <c r="C101" i="111" s="1"/>
  <c r="C102" i="107"/>
  <c r="O102" i="107" s="1"/>
  <c r="C103" i="107"/>
  <c r="C103" i="111" s="1"/>
  <c r="C104" i="107"/>
  <c r="C105" i="107"/>
  <c r="C105" i="111" s="1"/>
  <c r="C58" i="107"/>
  <c r="P58" i="107" s="1"/>
  <c r="J106" i="105"/>
  <c r="K106" i="105"/>
  <c r="L106" i="105"/>
  <c r="M106" i="105"/>
  <c r="N106" i="105"/>
  <c r="I106" i="105"/>
  <c r="M106" i="109"/>
  <c r="K106" i="109"/>
  <c r="N58" i="98"/>
  <c r="C3" i="94"/>
  <c r="O87" i="111" l="1"/>
  <c r="P87" i="111"/>
  <c r="C71" i="111"/>
  <c r="P71" i="107"/>
  <c r="H82" i="111"/>
  <c r="X28" i="111" s="1"/>
  <c r="X28" i="107"/>
  <c r="L78" i="111"/>
  <c r="AB27" i="111" s="1"/>
  <c r="AB27" i="107"/>
  <c r="O99" i="107"/>
  <c r="P60" i="107"/>
  <c r="AC26" i="107"/>
  <c r="O68" i="111"/>
  <c r="P68" i="111"/>
  <c r="C86" i="111"/>
  <c r="P86" i="107"/>
  <c r="S29" i="107"/>
  <c r="W22" i="111"/>
  <c r="O75" i="107"/>
  <c r="Y28" i="107"/>
  <c r="S24" i="111"/>
  <c r="O66" i="111"/>
  <c r="O77" i="111"/>
  <c r="P77" i="111"/>
  <c r="Z33" i="111"/>
  <c r="N90" i="111"/>
  <c r="AD30" i="111" s="1"/>
  <c r="AD30" i="107"/>
  <c r="J86" i="111"/>
  <c r="Z29" i="111" s="1"/>
  <c r="Z29" i="107"/>
  <c r="N82" i="111"/>
  <c r="AD28" i="111" s="1"/>
  <c r="AD28" i="107"/>
  <c r="F82" i="111"/>
  <c r="V28" i="111" s="1"/>
  <c r="V28" i="107"/>
  <c r="J78" i="111"/>
  <c r="Z27" i="111" s="1"/>
  <c r="Z27" i="107"/>
  <c r="N74" i="111"/>
  <c r="AD26" i="111" s="1"/>
  <c r="AD26" i="107"/>
  <c r="F74" i="111"/>
  <c r="V26" i="111" s="1"/>
  <c r="V26" i="107"/>
  <c r="Z25" i="111"/>
  <c r="AD24" i="111"/>
  <c r="V24" i="111"/>
  <c r="Z23" i="111"/>
  <c r="O103" i="107"/>
  <c r="AE33" i="107" s="1"/>
  <c r="P97" i="107"/>
  <c r="O87" i="107"/>
  <c r="O81" i="107"/>
  <c r="O74" i="107"/>
  <c r="Z31" i="107"/>
  <c r="AC29" i="107"/>
  <c r="AA26" i="107"/>
  <c r="AD24" i="107"/>
  <c r="T23" i="107"/>
  <c r="S33" i="108"/>
  <c r="O102" i="108"/>
  <c r="P102" i="108"/>
  <c r="S31" i="108"/>
  <c r="O94" i="108"/>
  <c r="P94" i="108"/>
  <c r="S29" i="108"/>
  <c r="O86" i="108"/>
  <c r="P86" i="108"/>
  <c r="S27" i="108"/>
  <c r="O78" i="108"/>
  <c r="P78" i="108"/>
  <c r="S25" i="108"/>
  <c r="O70" i="108"/>
  <c r="P70" i="108"/>
  <c r="AF25" i="108" s="1"/>
  <c r="S23" i="108"/>
  <c r="O62" i="108"/>
  <c r="P62" i="108"/>
  <c r="D102" i="111"/>
  <c r="T33" i="111" s="1"/>
  <c r="T33" i="107"/>
  <c r="AB23" i="111"/>
  <c r="O82" i="107"/>
  <c r="Y33" i="107"/>
  <c r="C78" i="111"/>
  <c r="P78" i="107"/>
  <c r="S27" i="107"/>
  <c r="W32" i="111"/>
  <c r="G74" i="111"/>
  <c r="W26" i="111" s="1"/>
  <c r="W26" i="107"/>
  <c r="K70" i="111"/>
  <c r="AA25" i="111" s="1"/>
  <c r="AA25" i="107"/>
  <c r="P103" i="107"/>
  <c r="P81" i="107"/>
  <c r="AD29" i="107"/>
  <c r="O69" i="111"/>
  <c r="P69" i="111"/>
  <c r="Z31" i="111"/>
  <c r="O100" i="107"/>
  <c r="M90" i="111"/>
  <c r="AC30" i="111" s="1"/>
  <c r="AC30" i="107"/>
  <c r="I78" i="111"/>
  <c r="Y27" i="111" s="1"/>
  <c r="Y27" i="107"/>
  <c r="AC26" i="111"/>
  <c r="U26" i="111"/>
  <c r="Y25" i="111"/>
  <c r="AC24" i="111"/>
  <c r="U24" i="111"/>
  <c r="I62" i="111"/>
  <c r="Y23" i="111" s="1"/>
  <c r="Y23" i="107"/>
  <c r="M58" i="111"/>
  <c r="AC22" i="107"/>
  <c r="E58" i="111"/>
  <c r="U22" i="107"/>
  <c r="O97" i="107"/>
  <c r="P91" i="107"/>
  <c r="O86" i="107"/>
  <c r="P73" i="107"/>
  <c r="P65" i="107"/>
  <c r="AD32" i="107"/>
  <c r="T31" i="107"/>
  <c r="AB29" i="107"/>
  <c r="U26" i="107"/>
  <c r="AC24" i="107"/>
  <c r="O101" i="108"/>
  <c r="P101" i="108"/>
  <c r="O93" i="108"/>
  <c r="P93" i="108"/>
  <c r="O85" i="108"/>
  <c r="P85" i="108"/>
  <c r="O77" i="108"/>
  <c r="P77" i="108"/>
  <c r="O69" i="108"/>
  <c r="P69" i="108"/>
  <c r="O61" i="108"/>
  <c r="P61" i="108"/>
  <c r="Z33" i="108"/>
  <c r="AD32" i="108"/>
  <c r="V32" i="108"/>
  <c r="Z31" i="108"/>
  <c r="AD30" i="108"/>
  <c r="V30" i="108"/>
  <c r="Z29" i="108"/>
  <c r="AD28" i="108"/>
  <c r="V28" i="108"/>
  <c r="Z27" i="108"/>
  <c r="AD26" i="108"/>
  <c r="V26" i="108"/>
  <c r="Z25" i="108"/>
  <c r="AD24" i="108"/>
  <c r="V24" i="108"/>
  <c r="Z23" i="108"/>
  <c r="AD22" i="108"/>
  <c r="V22" i="108"/>
  <c r="D70" i="111"/>
  <c r="T25" i="111" s="1"/>
  <c r="T25" i="107"/>
  <c r="P93" i="107"/>
  <c r="W30" i="107"/>
  <c r="C102" i="111"/>
  <c r="P102" i="107"/>
  <c r="O101" i="111"/>
  <c r="P101" i="111"/>
  <c r="V32" i="111"/>
  <c r="C76" i="111"/>
  <c r="O76" i="107"/>
  <c r="Y33" i="111"/>
  <c r="Y31" i="107"/>
  <c r="I94" i="111"/>
  <c r="Y31" i="111" s="1"/>
  <c r="E90" i="111"/>
  <c r="U30" i="111" s="1"/>
  <c r="U30" i="107"/>
  <c r="O91" i="111"/>
  <c r="P91" i="111"/>
  <c r="C83" i="111"/>
  <c r="P83" i="107"/>
  <c r="C75" i="111"/>
  <c r="P75" i="107"/>
  <c r="C67" i="111"/>
  <c r="P67" i="107"/>
  <c r="C59" i="111"/>
  <c r="O59" i="107"/>
  <c r="P59" i="107"/>
  <c r="AF22" i="107" s="1"/>
  <c r="X33" i="111"/>
  <c r="L98" i="111"/>
  <c r="AB32" i="111" s="1"/>
  <c r="AB32" i="107"/>
  <c r="D98" i="111"/>
  <c r="T32" i="111" s="1"/>
  <c r="T32" i="107"/>
  <c r="H94" i="111"/>
  <c r="X31" i="111" s="1"/>
  <c r="X31" i="107"/>
  <c r="L90" i="111"/>
  <c r="AB30" i="111" s="1"/>
  <c r="AB30" i="107"/>
  <c r="D90" i="111"/>
  <c r="T30" i="111" s="1"/>
  <c r="T30" i="107"/>
  <c r="H86" i="111"/>
  <c r="X29" i="111" s="1"/>
  <c r="X29" i="107"/>
  <c r="L82" i="111"/>
  <c r="AB28" i="111" s="1"/>
  <c r="AB28" i="107"/>
  <c r="D82" i="111"/>
  <c r="T28" i="111" s="1"/>
  <c r="T28" i="107"/>
  <c r="X27" i="111"/>
  <c r="AB26" i="111"/>
  <c r="T26" i="111"/>
  <c r="X25" i="111"/>
  <c r="L66" i="111"/>
  <c r="AB24" i="111" s="1"/>
  <c r="AB24" i="107"/>
  <c r="D66" i="111"/>
  <c r="T24" i="111" s="1"/>
  <c r="T24" i="107"/>
  <c r="H62" i="111"/>
  <c r="X23" i="111" s="1"/>
  <c r="X23" i="107"/>
  <c r="L58" i="111"/>
  <c r="AB22" i="111" s="1"/>
  <c r="AB22" i="107"/>
  <c r="D58" i="111"/>
  <c r="T22" i="111" s="1"/>
  <c r="T22" i="107"/>
  <c r="P101" i="107"/>
  <c r="O91" i="107"/>
  <c r="AE30" i="107" s="1"/>
  <c r="P85" i="107"/>
  <c r="O73" i="107"/>
  <c r="O65" i="107"/>
  <c r="AC32" i="107"/>
  <c r="V29" i="107"/>
  <c r="AD27" i="107"/>
  <c r="T26" i="107"/>
  <c r="W24" i="107"/>
  <c r="O92" i="108"/>
  <c r="P92" i="108"/>
  <c r="O84" i="108"/>
  <c r="P84" i="108"/>
  <c r="U32" i="108"/>
  <c r="AC30" i="108"/>
  <c r="AC24" i="108"/>
  <c r="U24" i="108"/>
  <c r="U22" i="108"/>
  <c r="O90" i="108"/>
  <c r="C79" i="111"/>
  <c r="P79" i="107"/>
  <c r="C63" i="111"/>
  <c r="O63" i="107"/>
  <c r="P63" i="107"/>
  <c r="L102" i="111"/>
  <c r="AB33" i="111" s="1"/>
  <c r="AB33" i="107"/>
  <c r="T29" i="111"/>
  <c r="T23" i="111"/>
  <c r="P88" i="107"/>
  <c r="C70" i="111"/>
  <c r="O70" i="107"/>
  <c r="AE25" i="107" s="1"/>
  <c r="P70" i="107"/>
  <c r="AA31" i="111"/>
  <c r="G82" i="111"/>
  <c r="W28" i="111" s="1"/>
  <c r="W28" i="107"/>
  <c r="K78" i="111"/>
  <c r="AA27" i="111" s="1"/>
  <c r="AA27" i="107"/>
  <c r="O98" i="107"/>
  <c r="AE32" i="107" s="1"/>
  <c r="AB26" i="107"/>
  <c r="AD32" i="111"/>
  <c r="F90" i="111"/>
  <c r="V30" i="111" s="1"/>
  <c r="V30" i="107"/>
  <c r="O92" i="107"/>
  <c r="C92" i="111"/>
  <c r="P98" i="107"/>
  <c r="AF32" i="107" s="1"/>
  <c r="P82" i="107"/>
  <c r="C82" i="111"/>
  <c r="S28" i="107"/>
  <c r="C74" i="111"/>
  <c r="P74" i="107"/>
  <c r="O66" i="107"/>
  <c r="P66" i="107"/>
  <c r="G102" i="111"/>
  <c r="W33" i="111" s="1"/>
  <c r="W33" i="107"/>
  <c r="K98" i="111"/>
  <c r="AA32" i="111" s="1"/>
  <c r="AA32" i="107"/>
  <c r="W31" i="107"/>
  <c r="G94" i="111"/>
  <c r="W31" i="111" s="1"/>
  <c r="AA30" i="107"/>
  <c r="K90" i="111"/>
  <c r="AA30" i="111" s="1"/>
  <c r="G86" i="111"/>
  <c r="W29" i="111" s="1"/>
  <c r="W29" i="107"/>
  <c r="AA28" i="111"/>
  <c r="W27" i="111"/>
  <c r="AA26" i="111"/>
  <c r="G70" i="111"/>
  <c r="W25" i="111" s="1"/>
  <c r="W25" i="107"/>
  <c r="K66" i="111"/>
  <c r="AA24" i="111" s="1"/>
  <c r="AA24" i="107"/>
  <c r="W23" i="111"/>
  <c r="O101" i="107"/>
  <c r="P95" i="107"/>
  <c r="O85" i="107"/>
  <c r="O78" i="107"/>
  <c r="S33" i="107"/>
  <c r="W32" i="107"/>
  <c r="U29" i="107"/>
  <c r="X27" i="107"/>
  <c r="V24" i="107"/>
  <c r="Y22" i="107"/>
  <c r="O99" i="108"/>
  <c r="X33" i="108"/>
  <c r="X31" i="108"/>
  <c r="X23" i="108"/>
  <c r="O95" i="111"/>
  <c r="P95" i="111"/>
  <c r="H98" i="111"/>
  <c r="X32" i="111" s="1"/>
  <c r="X32" i="107"/>
  <c r="H74" i="111"/>
  <c r="X26" i="111" s="1"/>
  <c r="X26" i="107"/>
  <c r="L70" i="111"/>
  <c r="AB25" i="111" s="1"/>
  <c r="AB25" i="107"/>
  <c r="H66" i="111"/>
  <c r="X24" i="111" s="1"/>
  <c r="X24" i="107"/>
  <c r="P104" i="107"/>
  <c r="O69" i="107"/>
  <c r="Z28" i="107"/>
  <c r="C94" i="111"/>
  <c r="S31" i="107"/>
  <c r="P94" i="107"/>
  <c r="AF31" i="107" s="1"/>
  <c r="C62" i="111"/>
  <c r="S23" i="107"/>
  <c r="O62" i="107"/>
  <c r="P62" i="107"/>
  <c r="AF23" i="107" s="1"/>
  <c r="K102" i="111"/>
  <c r="AA33" i="111" s="1"/>
  <c r="AA33" i="107"/>
  <c r="W30" i="111"/>
  <c r="AA23" i="111"/>
  <c r="P87" i="107"/>
  <c r="X33" i="107"/>
  <c r="Z23" i="107"/>
  <c r="O85" i="111"/>
  <c r="P85" i="111"/>
  <c r="C84" i="111"/>
  <c r="O84" i="107"/>
  <c r="O60" i="107"/>
  <c r="C60" i="111"/>
  <c r="AC32" i="111"/>
  <c r="M82" i="111"/>
  <c r="AC28" i="111" s="1"/>
  <c r="AC28" i="107"/>
  <c r="C58" i="111"/>
  <c r="S22" i="107"/>
  <c r="O58" i="107"/>
  <c r="S30" i="107"/>
  <c r="P90" i="107"/>
  <c r="C90" i="111"/>
  <c r="O105" i="111"/>
  <c r="P105" i="111"/>
  <c r="O97" i="111"/>
  <c r="P97" i="111"/>
  <c r="O89" i="111"/>
  <c r="P89" i="111"/>
  <c r="O81" i="111"/>
  <c r="P81" i="111"/>
  <c r="O73" i="111"/>
  <c r="P73" i="111"/>
  <c r="O65" i="111"/>
  <c r="P65" i="111"/>
  <c r="N102" i="111"/>
  <c r="AD33" i="111" s="1"/>
  <c r="AD33" i="107"/>
  <c r="F102" i="111"/>
  <c r="V33" i="111" s="1"/>
  <c r="V33" i="107"/>
  <c r="J98" i="111"/>
  <c r="Z32" i="111" s="1"/>
  <c r="Z32" i="107"/>
  <c r="N94" i="111"/>
  <c r="AD31" i="111" s="1"/>
  <c r="AD31" i="107"/>
  <c r="F94" i="111"/>
  <c r="V31" i="111" s="1"/>
  <c r="V31" i="107"/>
  <c r="J90" i="111"/>
  <c r="Z30" i="111" s="1"/>
  <c r="Z30" i="107"/>
  <c r="AD29" i="111"/>
  <c r="V29" i="111"/>
  <c r="Z28" i="111"/>
  <c r="AD27" i="111"/>
  <c r="V27" i="111"/>
  <c r="J74" i="111"/>
  <c r="Z26" i="111" s="1"/>
  <c r="Z26" i="107"/>
  <c r="N70" i="111"/>
  <c r="AD25" i="111" s="1"/>
  <c r="AD25" i="107"/>
  <c r="V25" i="107"/>
  <c r="F70" i="111"/>
  <c r="V25" i="111" s="1"/>
  <c r="J66" i="111"/>
  <c r="Z24" i="111" s="1"/>
  <c r="Z24" i="107"/>
  <c r="N62" i="111"/>
  <c r="AD23" i="111" s="1"/>
  <c r="AD23" i="107"/>
  <c r="F62" i="111"/>
  <c r="V23" i="111" s="1"/>
  <c r="V23" i="107"/>
  <c r="J58" i="111"/>
  <c r="Z22" i="111" s="1"/>
  <c r="Z22" i="107"/>
  <c r="P105" i="107"/>
  <c r="P100" i="107"/>
  <c r="O95" i="107"/>
  <c r="P89" i="107"/>
  <c r="P84" i="107"/>
  <c r="P77" i="107"/>
  <c r="O71" i="107"/>
  <c r="P61" i="107"/>
  <c r="V32" i="107"/>
  <c r="Y30" i="107"/>
  <c r="T29" i="107"/>
  <c r="W27" i="107"/>
  <c r="Z25" i="107"/>
  <c r="U24" i="107"/>
  <c r="X22" i="107"/>
  <c r="S28" i="108"/>
  <c r="S26" i="108"/>
  <c r="AA26" i="108"/>
  <c r="AA24" i="108"/>
  <c r="P104" i="108"/>
  <c r="C100" i="111"/>
  <c r="E98" i="111"/>
  <c r="U32" i="111" s="1"/>
  <c r="O103" i="111"/>
  <c r="P103" i="111"/>
  <c r="D78" i="111"/>
  <c r="T27" i="111" s="1"/>
  <c r="T27" i="107"/>
  <c r="X22" i="111"/>
  <c r="P76" i="107"/>
  <c r="AB31" i="107"/>
  <c r="AA23" i="107"/>
  <c r="K86" i="111"/>
  <c r="AA29" i="111" s="1"/>
  <c r="AA29" i="107"/>
  <c r="W24" i="111"/>
  <c r="O93" i="107"/>
  <c r="P68" i="107"/>
  <c r="AA31" i="107"/>
  <c r="O93" i="111"/>
  <c r="P93" i="111"/>
  <c r="O68" i="107"/>
  <c r="I86" i="111"/>
  <c r="Y29" i="111" s="1"/>
  <c r="Y29" i="107"/>
  <c r="E82" i="111"/>
  <c r="U28" i="111" s="1"/>
  <c r="U28" i="107"/>
  <c r="O99" i="111"/>
  <c r="P99" i="111"/>
  <c r="C104" i="111"/>
  <c r="O104" i="107"/>
  <c r="C96" i="111"/>
  <c r="O96" i="107"/>
  <c r="C88" i="111"/>
  <c r="O88" i="107"/>
  <c r="C80" i="111"/>
  <c r="O80" i="107"/>
  <c r="C72" i="111"/>
  <c r="O72" i="107"/>
  <c r="C64" i="111"/>
  <c r="O64" i="107"/>
  <c r="M102" i="111"/>
  <c r="AC33" i="111" s="1"/>
  <c r="AC33" i="107"/>
  <c r="E102" i="111"/>
  <c r="U33" i="111" s="1"/>
  <c r="U33" i="107"/>
  <c r="I98" i="111"/>
  <c r="Y32" i="111" s="1"/>
  <c r="Y32" i="107"/>
  <c r="M94" i="111"/>
  <c r="AC31" i="111" s="1"/>
  <c r="AC31" i="107"/>
  <c r="E94" i="111"/>
  <c r="U31" i="111" s="1"/>
  <c r="U31" i="107"/>
  <c r="Y30" i="111"/>
  <c r="AC29" i="111"/>
  <c r="U29" i="111"/>
  <c r="Y28" i="111"/>
  <c r="M78" i="111"/>
  <c r="AC27" i="111" s="1"/>
  <c r="AC27" i="107"/>
  <c r="E78" i="111"/>
  <c r="U27" i="111" s="1"/>
  <c r="U27" i="107"/>
  <c r="I74" i="111"/>
  <c r="Y26" i="111" s="1"/>
  <c r="Y26" i="107"/>
  <c r="M70" i="111"/>
  <c r="AC25" i="111" s="1"/>
  <c r="AC25" i="107"/>
  <c r="E70" i="111"/>
  <c r="U25" i="111" s="1"/>
  <c r="U25" i="107"/>
  <c r="I66" i="111"/>
  <c r="Y24" i="111" s="1"/>
  <c r="Y24" i="107"/>
  <c r="M62" i="111"/>
  <c r="AC23" i="111" s="1"/>
  <c r="AC23" i="107"/>
  <c r="E62" i="111"/>
  <c r="U23" i="111" s="1"/>
  <c r="U23" i="107"/>
  <c r="Y22" i="111"/>
  <c r="O105" i="107"/>
  <c r="P99" i="107"/>
  <c r="O94" i="107"/>
  <c r="AE31" i="107" s="1"/>
  <c r="O89" i="107"/>
  <c r="O83" i="107"/>
  <c r="O77" i="107"/>
  <c r="P69" i="107"/>
  <c r="O61" i="107"/>
  <c r="Z33" i="107"/>
  <c r="X30" i="107"/>
  <c r="AA28" i="107"/>
  <c r="V27" i="107"/>
  <c r="Y25" i="107"/>
  <c r="AB23" i="107"/>
  <c r="W22" i="107"/>
  <c r="O105" i="108"/>
  <c r="P82" i="108"/>
  <c r="AF28" i="108" s="1"/>
  <c r="C98" i="111"/>
  <c r="O76" i="108"/>
  <c r="O68" i="108"/>
  <c r="O60" i="108"/>
  <c r="Y33" i="108"/>
  <c r="Y31" i="108"/>
  <c r="Y29" i="108"/>
  <c r="AC28" i="108"/>
  <c r="U28" i="108"/>
  <c r="Y27" i="108"/>
  <c r="AC26" i="108"/>
  <c r="U26" i="108"/>
  <c r="Y25" i="108"/>
  <c r="Y23" i="108"/>
  <c r="P103" i="108"/>
  <c r="P99" i="108"/>
  <c r="O82" i="108"/>
  <c r="AE28" i="108" s="1"/>
  <c r="M61" i="111"/>
  <c r="E61" i="111"/>
  <c r="O61" i="111" s="1"/>
  <c r="H60" i="111"/>
  <c r="K59" i="111"/>
  <c r="AA22" i="111" s="1"/>
  <c r="N58" i="111"/>
  <c r="AD22" i="111" s="1"/>
  <c r="F58" i="111"/>
  <c r="V22" i="111" s="1"/>
  <c r="AD22" i="107"/>
  <c r="V22" i="107"/>
  <c r="O91" i="108"/>
  <c r="O83" i="108"/>
  <c r="O75" i="108"/>
  <c r="AE26" i="108" s="1"/>
  <c r="O67" i="108"/>
  <c r="O59" i="108"/>
  <c r="AB32" i="108"/>
  <c r="T32" i="108"/>
  <c r="AB30" i="108"/>
  <c r="T30" i="108"/>
  <c r="X29" i="108"/>
  <c r="AB28" i="108"/>
  <c r="T28" i="108"/>
  <c r="X27" i="108"/>
  <c r="AB26" i="108"/>
  <c r="T26" i="108"/>
  <c r="AB24" i="108"/>
  <c r="T24" i="108"/>
  <c r="AB22" i="108"/>
  <c r="T22" i="108"/>
  <c r="S22" i="108"/>
  <c r="S32" i="108"/>
  <c r="S30" i="108"/>
  <c r="P74" i="108"/>
  <c r="S24" i="108"/>
  <c r="O66" i="108"/>
  <c r="AE24" i="108" s="1"/>
  <c r="P66" i="108"/>
  <c r="W33" i="108"/>
  <c r="W31" i="108"/>
  <c r="AA30" i="108"/>
  <c r="W29" i="108"/>
  <c r="AA28" i="108"/>
  <c r="W27" i="108"/>
  <c r="W25" i="108"/>
  <c r="W23" i="108"/>
  <c r="AA22" i="108"/>
  <c r="O58" i="108"/>
  <c r="AE22" i="108" s="1"/>
  <c r="P98" i="108"/>
  <c r="AF32" i="108" s="1"/>
  <c r="P68" i="108"/>
  <c r="W23" i="107"/>
  <c r="O97" i="108"/>
  <c r="O89" i="108"/>
  <c r="P89" i="108"/>
  <c r="O81" i="108"/>
  <c r="P81" i="108"/>
  <c r="O73" i="108"/>
  <c r="P73" i="108"/>
  <c r="O65" i="108"/>
  <c r="P65" i="108"/>
  <c r="Z32" i="108"/>
  <c r="AD31" i="108"/>
  <c r="V31" i="108"/>
  <c r="Z30" i="108"/>
  <c r="AD29" i="108"/>
  <c r="V29" i="108"/>
  <c r="Z28" i="108"/>
  <c r="Z26" i="108"/>
  <c r="Z24" i="108"/>
  <c r="AD23" i="108"/>
  <c r="V23" i="108"/>
  <c r="Z22" i="108"/>
  <c r="P58" i="108"/>
  <c r="AF22" i="108" s="1"/>
  <c r="O98" i="108"/>
  <c r="P67" i="108"/>
  <c r="AA22" i="107"/>
  <c r="O80" i="108"/>
  <c r="O72" i="108"/>
  <c r="O64" i="108"/>
  <c r="AC33" i="108"/>
  <c r="U33" i="108"/>
  <c r="Y32" i="108"/>
  <c r="AC31" i="108"/>
  <c r="U31" i="108"/>
  <c r="Y30" i="108"/>
  <c r="AC29" i="108"/>
  <c r="U29" i="108"/>
  <c r="AC27" i="108"/>
  <c r="U27" i="108"/>
  <c r="AC25" i="108"/>
  <c r="U25" i="108"/>
  <c r="Y24" i="108"/>
  <c r="AC23" i="108"/>
  <c r="U23" i="108"/>
  <c r="Y22" i="108"/>
  <c r="P105" i="108"/>
  <c r="P97" i="108"/>
  <c r="P91" i="108"/>
  <c r="P64" i="108"/>
  <c r="O95" i="108"/>
  <c r="O87" i="108"/>
  <c r="O79" i="108"/>
  <c r="O71" i="108"/>
  <c r="O63" i="108"/>
  <c r="AB33" i="108"/>
  <c r="T33" i="108"/>
  <c r="X32" i="108"/>
  <c r="AB31" i="108"/>
  <c r="T31" i="108"/>
  <c r="X30" i="108"/>
  <c r="X28" i="108"/>
  <c r="X26" i="108"/>
  <c r="AB25" i="108"/>
  <c r="T25" i="108"/>
  <c r="X24" i="108"/>
  <c r="AB23" i="108"/>
  <c r="T23" i="108"/>
  <c r="X22" i="108"/>
  <c r="P90" i="108"/>
  <c r="P76" i="108"/>
  <c r="P63" i="108"/>
  <c r="K6" i="98"/>
  <c r="K6" i="99" s="1"/>
  <c r="K6" i="100" s="1"/>
  <c r="K6" i="101" s="1"/>
  <c r="K6" i="109" s="1"/>
  <c r="K6" i="105" s="1"/>
  <c r="K6" i="110" s="1"/>
  <c r="K6" i="103" s="1"/>
  <c r="K5" i="98"/>
  <c r="K5" i="99" s="1"/>
  <c r="K5" i="100" s="1"/>
  <c r="K5" i="101" s="1"/>
  <c r="K5" i="109" s="1"/>
  <c r="K5" i="105" s="1"/>
  <c r="K5" i="110" s="1"/>
  <c r="K5" i="103" s="1"/>
  <c r="G5" i="98"/>
  <c r="G5" i="99" s="1"/>
  <c r="G5" i="100" s="1"/>
  <c r="G5" i="101" s="1"/>
  <c r="G5" i="109" s="1"/>
  <c r="G5" i="105" s="1"/>
  <c r="G5" i="110" s="1"/>
  <c r="G5" i="103" s="1"/>
  <c r="K6" i="97"/>
  <c r="K5" i="97"/>
  <c r="G5" i="97"/>
  <c r="K6" i="96"/>
  <c r="K5" i="96"/>
  <c r="G5" i="96"/>
  <c r="K6" i="95"/>
  <c r="K5" i="95"/>
  <c r="G5" i="95"/>
  <c r="K6" i="94"/>
  <c r="K5" i="94"/>
  <c r="G5" i="94"/>
  <c r="G6" i="104"/>
  <c r="G6" i="108" s="1"/>
  <c r="G6" i="110"/>
  <c r="G6" i="100"/>
  <c r="G6" i="98"/>
  <c r="G6" i="96"/>
  <c r="G6" i="109" s="1"/>
  <c r="G6" i="103"/>
  <c r="G6" i="107" s="1"/>
  <c r="G6" i="105"/>
  <c r="G6" i="101"/>
  <c r="G6" i="99"/>
  <c r="G6" i="97"/>
  <c r="G6" i="95"/>
  <c r="D6" i="104"/>
  <c r="D6" i="108" s="1"/>
  <c r="D6" i="110"/>
  <c r="D6" i="109"/>
  <c r="D6" i="100"/>
  <c r="D6" i="98"/>
  <c r="D6" i="96"/>
  <c r="D6" i="103"/>
  <c r="D6" i="107" s="1"/>
  <c r="D6" i="105"/>
  <c r="D6" i="101"/>
  <c r="D6" i="99"/>
  <c r="D6" i="97"/>
  <c r="D6" i="95"/>
  <c r="D5" i="104"/>
  <c r="D5" i="110"/>
  <c r="D5" i="109"/>
  <c r="D5" i="100"/>
  <c r="D5" i="98"/>
  <c r="D5" i="96"/>
  <c r="D5" i="94"/>
  <c r="O88" i="111" l="1"/>
  <c r="P88" i="111"/>
  <c r="O63" i="111"/>
  <c r="P63" i="111"/>
  <c r="AF26" i="108"/>
  <c r="O84" i="111"/>
  <c r="P84" i="111"/>
  <c r="O94" i="111"/>
  <c r="AE31" i="111" s="1"/>
  <c r="P94" i="111"/>
  <c r="S31" i="111"/>
  <c r="AE27" i="107"/>
  <c r="AE24" i="107"/>
  <c r="AE28" i="107"/>
  <c r="AE25" i="108"/>
  <c r="AF31" i="108"/>
  <c r="O71" i="111"/>
  <c r="P71" i="111"/>
  <c r="AE29" i="107"/>
  <c r="O92" i="111"/>
  <c r="P92" i="111"/>
  <c r="O59" i="111"/>
  <c r="P59" i="111"/>
  <c r="AE32" i="108"/>
  <c r="O64" i="111"/>
  <c r="P64" i="111"/>
  <c r="O96" i="111"/>
  <c r="P96" i="111"/>
  <c r="P58" i="111"/>
  <c r="O58" i="111"/>
  <c r="AE22" i="111" s="1"/>
  <c r="S22" i="111"/>
  <c r="AF26" i="107"/>
  <c r="O79" i="111"/>
  <c r="P79" i="111"/>
  <c r="O67" i="111"/>
  <c r="P67" i="111"/>
  <c r="AE31" i="108"/>
  <c r="AE22" i="107"/>
  <c r="S26" i="111"/>
  <c r="O74" i="111"/>
  <c r="P74" i="111"/>
  <c r="AF26" i="111" s="1"/>
  <c r="AE30" i="108"/>
  <c r="U22" i="111"/>
  <c r="AF27" i="108"/>
  <c r="AF24" i="107"/>
  <c r="O72" i="111"/>
  <c r="P72" i="111"/>
  <c r="O104" i="111"/>
  <c r="P104" i="111"/>
  <c r="AE23" i="107"/>
  <c r="O75" i="111"/>
  <c r="P75" i="111"/>
  <c r="AF33" i="107"/>
  <c r="AE27" i="108"/>
  <c r="AF33" i="108"/>
  <c r="AE26" i="107"/>
  <c r="O76" i="111"/>
  <c r="P76" i="111"/>
  <c r="AE29" i="108"/>
  <c r="S25" i="111"/>
  <c r="O70" i="111"/>
  <c r="P70" i="111"/>
  <c r="AF25" i="111" s="1"/>
  <c r="AF30" i="108"/>
  <c r="O100" i="111"/>
  <c r="P100" i="111"/>
  <c r="O90" i="111"/>
  <c r="AE30" i="111" s="1"/>
  <c r="P90" i="111"/>
  <c r="S30" i="111"/>
  <c r="S28" i="111"/>
  <c r="O82" i="111"/>
  <c r="AE28" i="111" s="1"/>
  <c r="P82" i="111"/>
  <c r="P61" i="111"/>
  <c r="S33" i="111"/>
  <c r="O102" i="111"/>
  <c r="P102" i="111"/>
  <c r="AC22" i="111"/>
  <c r="AF23" i="108"/>
  <c r="AE33" i="108"/>
  <c r="AF29" i="107"/>
  <c r="S27" i="111"/>
  <c r="O78" i="111"/>
  <c r="AE27" i="111" s="1"/>
  <c r="P78" i="111"/>
  <c r="AE24" i="111"/>
  <c r="S32" i="111"/>
  <c r="O98" i="111"/>
  <c r="P98" i="111"/>
  <c r="AF24" i="108"/>
  <c r="O80" i="111"/>
  <c r="P80" i="111"/>
  <c r="AF30" i="107"/>
  <c r="O60" i="111"/>
  <c r="P60" i="111"/>
  <c r="O62" i="111"/>
  <c r="P62" i="111"/>
  <c r="AF23" i="111" s="1"/>
  <c r="S23" i="111"/>
  <c r="AF28" i="107"/>
  <c r="AF25" i="107"/>
  <c r="O83" i="111"/>
  <c r="P83" i="111"/>
  <c r="AF27" i="107"/>
  <c r="AE23" i="108"/>
  <c r="AF29" i="108"/>
  <c r="P66" i="111"/>
  <c r="AF24" i="111" s="1"/>
  <c r="S29" i="111"/>
  <c r="O86" i="111"/>
  <c r="AE29" i="111" s="1"/>
  <c r="P86" i="111"/>
  <c r="AF29" i="111" s="1"/>
  <c r="K6" i="104"/>
  <c r="K6" i="108" s="1"/>
  <c r="K6" i="111" s="1"/>
  <c r="K6" i="107"/>
  <c r="K5" i="107"/>
  <c r="K5" i="104"/>
  <c r="K5" i="108" s="1"/>
  <c r="K5" i="111" s="1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C39" i="109" s="1"/>
  <c r="AA19" i="109"/>
  <c r="Y19" i="109"/>
  <c r="W19" i="109"/>
  <c r="U19" i="109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1"/>
  <c r="C3" i="100"/>
  <c r="C3" i="99"/>
  <c r="C3" i="98"/>
  <c r="C3" i="97"/>
  <c r="C3" i="96"/>
  <c r="C3" i="95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C19" i="105"/>
  <c r="AB19" i="105"/>
  <c r="AA19" i="105"/>
  <c r="Z19" i="105"/>
  <c r="Z39" i="105" s="1"/>
  <c r="Y19" i="105"/>
  <c r="X19" i="105"/>
  <c r="X39" i="105" s="1"/>
  <c r="W19" i="105"/>
  <c r="W39" i="105" s="1"/>
  <c r="V19" i="105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D27" i="103" s="1"/>
  <c r="AC19" i="103"/>
  <c r="AB19" i="103"/>
  <c r="AB27" i="103" s="1"/>
  <c r="AA19" i="103"/>
  <c r="AA27" i="103" s="1"/>
  <c r="Z19" i="103"/>
  <c r="Y19" i="103"/>
  <c r="Y27" i="103" s="1"/>
  <c r="X19" i="103"/>
  <c r="W19" i="103"/>
  <c r="V19" i="103"/>
  <c r="V27" i="103" s="1"/>
  <c r="U19" i="103"/>
  <c r="U24" i="103" s="1"/>
  <c r="T19" i="103"/>
  <c r="T27" i="103" s="1"/>
  <c r="S19" i="103"/>
  <c r="S27" i="103" s="1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V19" i="10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C19" i="99"/>
  <c r="AB19" i="99"/>
  <c r="AA19" i="99"/>
  <c r="AA27" i="99" s="1"/>
  <c r="Z19" i="99"/>
  <c r="Y19" i="99"/>
  <c r="X19" i="99"/>
  <c r="W19" i="99"/>
  <c r="V19" i="99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X26" i="98" s="1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Z27" i="97" s="1"/>
  <c r="Y19" i="97"/>
  <c r="X19" i="97"/>
  <c r="W19" i="97"/>
  <c r="V19" i="97"/>
  <c r="V27" i="97" s="1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AE26" i="111" l="1"/>
  <c r="AF28" i="111"/>
  <c r="AF32" i="111"/>
  <c r="V39" i="101"/>
  <c r="W27" i="103"/>
  <c r="AA39" i="105"/>
  <c r="U39" i="109"/>
  <c r="AE23" i="111"/>
  <c r="AE32" i="111"/>
  <c r="AE25" i="111"/>
  <c r="AF22" i="111"/>
  <c r="X27" i="97"/>
  <c r="AD27" i="99"/>
  <c r="W27" i="99"/>
  <c r="W39" i="101"/>
  <c r="X27" i="103"/>
  <c r="V27" i="99"/>
  <c r="AD38" i="101"/>
  <c r="Y39" i="109"/>
  <c r="AF33" i="111"/>
  <c r="AF30" i="111"/>
  <c r="Z27" i="103"/>
  <c r="V39" i="105"/>
  <c r="AD39" i="105"/>
  <c r="AF27" i="111"/>
  <c r="AE33" i="111"/>
  <c r="AF31" i="111"/>
  <c r="AA26" i="95"/>
  <c r="AA39" i="101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B26" i="98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AB15" i="95"/>
  <c r="U17" i="97"/>
  <c r="U26" i="97" s="1"/>
  <c r="J21" i="108"/>
  <c r="N21" i="108"/>
  <c r="J22" i="108"/>
  <c r="N22" i="108"/>
  <c r="F23" i="108"/>
  <c r="N23" i="108"/>
  <c r="J24" i="108"/>
  <c r="H46" i="108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G34" i="108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P23" i="110"/>
  <c r="S13" i="110"/>
  <c r="P31" i="110"/>
  <c r="S15" i="110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G42" i="108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X10" i="110"/>
  <c r="P13" i="110"/>
  <c r="P15" i="110"/>
  <c r="W11" i="110"/>
  <c r="AA14" i="94"/>
  <c r="K26" i="108"/>
  <c r="AA15" i="94"/>
  <c r="K30" i="108"/>
  <c r="AA16" i="94"/>
  <c r="K34" i="108"/>
  <c r="AA18" i="94"/>
  <c r="K42" i="108"/>
  <c r="M54" i="108"/>
  <c r="M50" i="108"/>
  <c r="M46" i="108"/>
  <c r="C42" i="108"/>
  <c r="C34" i="108"/>
  <c r="C26" i="108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P19" i="110"/>
  <c r="S12" i="110"/>
  <c r="E54" i="108"/>
  <c r="E50" i="108"/>
  <c r="C46" i="108"/>
  <c r="C38" i="108"/>
  <c r="C30" i="108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G57" i="108"/>
  <c r="K57" i="108"/>
  <c r="N12" i="108"/>
  <c r="F14" i="108"/>
  <c r="J15" i="108"/>
  <c r="N16" i="108"/>
  <c r="F18" i="108"/>
  <c r="J19" i="108"/>
  <c r="N20" i="108"/>
  <c r="J23" i="108"/>
  <c r="N24" i="108"/>
  <c r="F24" i="108"/>
  <c r="Z13" i="109"/>
  <c r="P12" i="110"/>
  <c r="F16" i="108"/>
  <c r="J17" i="108"/>
  <c r="I54" i="108"/>
  <c r="I50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E22" i="108"/>
  <c r="G22" i="108"/>
  <c r="I22" i="108"/>
  <c r="K22" i="108"/>
  <c r="M22" i="108"/>
  <c r="C23" i="108"/>
  <c r="E23" i="108"/>
  <c r="G23" i="108"/>
  <c r="I23" i="108"/>
  <c r="K23" i="108"/>
  <c r="M23" i="108"/>
  <c r="D106" i="110"/>
  <c r="L106" i="110"/>
  <c r="P27" i="110"/>
  <c r="S14" i="110"/>
  <c r="G54" i="108"/>
  <c r="C54" i="108"/>
  <c r="K50" i="108"/>
  <c r="G50" i="108"/>
  <c r="C50" i="108"/>
  <c r="K46" i="108"/>
  <c r="G46" i="108"/>
  <c r="G38" i="108"/>
  <c r="G30" i="108"/>
  <c r="G26" i="108"/>
  <c r="F22" i="108"/>
  <c r="H12" i="108"/>
  <c r="L12" i="108"/>
  <c r="D13" i="108"/>
  <c r="H13" i="108"/>
  <c r="L13" i="108"/>
  <c r="D14" i="108"/>
  <c r="H14" i="108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L22" i="108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T19" i="108" s="1"/>
  <c r="F46" i="108"/>
  <c r="V19" i="108" s="1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L10" i="108"/>
  <c r="H10" i="108"/>
  <c r="H106" i="108" s="1"/>
  <c r="D10" i="108"/>
  <c r="V13" i="109"/>
  <c r="AD13" i="109"/>
  <c r="V15" i="109"/>
  <c r="AD15" i="109"/>
  <c r="C10" i="108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S35" i="110" s="1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S38" i="110"/>
  <c r="U38" i="110"/>
  <c r="W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V39" i="109" s="1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Y38" i="105" s="1"/>
  <c r="AC15" i="105"/>
  <c r="P12" i="105"/>
  <c r="S12" i="105"/>
  <c r="P13" i="105"/>
  <c r="S13" i="105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T36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AF33" i="101" s="1"/>
  <c r="O101" i="101"/>
  <c r="P100" i="101"/>
  <c r="O99" i="101"/>
  <c r="P98" i="10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Z26" i="95" s="1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X13" i="103"/>
  <c r="X23" i="103" s="1"/>
  <c r="AB13" i="103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X26" i="103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X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L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E10" i="107"/>
  <c r="F10" i="107"/>
  <c r="F106" i="107" s="1"/>
  <c r="G10" i="107"/>
  <c r="H10" i="107"/>
  <c r="H106" i="107" s="1"/>
  <c r="I10" i="107"/>
  <c r="J10" i="107"/>
  <c r="J106" i="107" s="1"/>
  <c r="K10" i="107"/>
  <c r="L10" i="107"/>
  <c r="M10" i="107"/>
  <c r="N10" i="107"/>
  <c r="N106" i="107" s="1"/>
  <c r="C10" i="107"/>
  <c r="AF25" i="101" l="1"/>
  <c r="F106" i="108"/>
  <c r="M106" i="108"/>
  <c r="I106" i="107"/>
  <c r="X26" i="96"/>
  <c r="AB26" i="103"/>
  <c r="D106" i="108"/>
  <c r="K106" i="108"/>
  <c r="I106" i="108"/>
  <c r="C106" i="107"/>
  <c r="G106" i="107"/>
  <c r="T26" i="103"/>
  <c r="L106" i="108"/>
  <c r="G106" i="108"/>
  <c r="AF28" i="101"/>
  <c r="C106" i="108"/>
  <c r="E106" i="108"/>
  <c r="M106" i="107"/>
  <c r="L106" i="107"/>
  <c r="AF32" i="101"/>
  <c r="S38" i="105"/>
  <c r="N106" i="108"/>
  <c r="E106" i="107"/>
  <c r="D106" i="107"/>
  <c r="K106" i="107"/>
  <c r="U38" i="109"/>
  <c r="J106" i="108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AD21" i="108"/>
  <c r="Z20" i="108"/>
  <c r="W27" i="95"/>
  <c r="W24" i="95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C14" i="111"/>
  <c r="K13" i="111"/>
  <c r="G13" i="111"/>
  <c r="C13" i="111"/>
  <c r="K12" i="111"/>
  <c r="G12" i="111"/>
  <c r="C12" i="111"/>
  <c r="K11" i="111"/>
  <c r="G11" i="111"/>
  <c r="C11" i="111"/>
  <c r="AB24" i="98"/>
  <c r="W26" i="96"/>
  <c r="V21" i="108"/>
  <c r="AD19" i="108"/>
  <c r="Z21" i="108"/>
  <c r="AD20" i="108"/>
  <c r="V20" i="108"/>
  <c r="Z19" i="108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J22" i="111"/>
  <c r="F22" i="111"/>
  <c r="D22" i="111"/>
  <c r="J21" i="111"/>
  <c r="H21" i="111"/>
  <c r="N20" i="111"/>
  <c r="L20" i="111"/>
  <c r="J20" i="111"/>
  <c r="D20" i="111"/>
  <c r="N19" i="111"/>
  <c r="H19" i="111"/>
  <c r="N18" i="111"/>
  <c r="L18" i="111"/>
  <c r="F18" i="111"/>
  <c r="D18" i="111"/>
  <c r="T12" i="111" s="1"/>
  <c r="N17" i="111"/>
  <c r="H17" i="111"/>
  <c r="L16" i="111"/>
  <c r="J16" i="111"/>
  <c r="F16" i="111"/>
  <c r="D16" i="111"/>
  <c r="J15" i="111"/>
  <c r="H15" i="111"/>
  <c r="F15" i="111"/>
  <c r="L14" i="111"/>
  <c r="J14" i="111"/>
  <c r="D14" i="11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AA38" i="110"/>
  <c r="W24" i="94"/>
  <c r="N10" i="111"/>
  <c r="N106" i="111" s="1"/>
  <c r="H10" i="111"/>
  <c r="F10" i="111"/>
  <c r="K57" i="111"/>
  <c r="E57" i="111"/>
  <c r="C57" i="111"/>
  <c r="G56" i="111"/>
  <c r="E56" i="111"/>
  <c r="M55" i="111"/>
  <c r="K55" i="111"/>
  <c r="I55" i="111"/>
  <c r="C55" i="111"/>
  <c r="M54" i="111"/>
  <c r="E54" i="111"/>
  <c r="C54" i="11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G49" i="111"/>
  <c r="E49" i="111"/>
  <c r="K48" i="111"/>
  <c r="E48" i="111"/>
  <c r="C48" i="111"/>
  <c r="M47" i="111"/>
  <c r="I47" i="111"/>
  <c r="G47" i="111"/>
  <c r="M46" i="111"/>
  <c r="K46" i="111"/>
  <c r="I46" i="111"/>
  <c r="C46" i="111"/>
  <c r="M45" i="111"/>
  <c r="I45" i="111"/>
  <c r="E45" i="111"/>
  <c r="M44" i="111"/>
  <c r="I44" i="111"/>
  <c r="E44" i="111"/>
  <c r="M43" i="111"/>
  <c r="I43" i="111"/>
  <c r="E43" i="111"/>
  <c r="M42" i="111"/>
  <c r="G42" i="11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M37" i="111"/>
  <c r="W27" i="94"/>
  <c r="S26" i="94"/>
  <c r="U23" i="97"/>
  <c r="AA27" i="94"/>
  <c r="U27" i="95"/>
  <c r="U24" i="95"/>
  <c r="I37" i="111"/>
  <c r="E37" i="111"/>
  <c r="M36" i="111"/>
  <c r="I36" i="111"/>
  <c r="E36" i="111"/>
  <c r="M35" i="111"/>
  <c r="I35" i="111"/>
  <c r="E35" i="111"/>
  <c r="M34" i="111"/>
  <c r="G34" i="111"/>
  <c r="C34" i="111"/>
  <c r="M33" i="111"/>
  <c r="I33" i="111"/>
  <c r="E33" i="111"/>
  <c r="M32" i="111"/>
  <c r="I32" i="111"/>
  <c r="E32" i="111"/>
  <c r="M31" i="111"/>
  <c r="I31" i="111"/>
  <c r="E31" i="111"/>
  <c r="M30" i="111"/>
  <c r="E30" i="111"/>
  <c r="C30" i="111"/>
  <c r="K29" i="111"/>
  <c r="G29" i="111"/>
  <c r="C29" i="111"/>
  <c r="K28" i="111"/>
  <c r="G28" i="111"/>
  <c r="C28" i="111"/>
  <c r="K27" i="111"/>
  <c r="G27" i="111"/>
  <c r="C27" i="111"/>
  <c r="I26" i="111"/>
  <c r="G26" i="11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M13" i="111"/>
  <c r="I13" i="111"/>
  <c r="E13" i="111"/>
  <c r="M12" i="111"/>
  <c r="I12" i="111"/>
  <c r="E12" i="111"/>
  <c r="M11" i="111"/>
  <c r="I11" i="111"/>
  <c r="E11" i="111"/>
  <c r="X22" i="100"/>
  <c r="AC26" i="96"/>
  <c r="V10" i="108"/>
  <c r="AB21" i="108"/>
  <c r="X21" i="108"/>
  <c r="T21" i="108"/>
  <c r="AB20" i="108"/>
  <c r="X20" i="108"/>
  <c r="T20" i="108"/>
  <c r="AB19" i="108"/>
  <c r="X19" i="108"/>
  <c r="AA35" i="110"/>
  <c r="W35" i="110"/>
  <c r="Z39" i="110"/>
  <c r="AD38" i="110"/>
  <c r="Z38" i="110"/>
  <c r="V38" i="110"/>
  <c r="X37" i="110"/>
  <c r="V12" i="108"/>
  <c r="V11" i="108"/>
  <c r="AD10" i="108"/>
  <c r="AD41" i="108" s="1"/>
  <c r="AD36" i="110"/>
  <c r="V36" i="110"/>
  <c r="AC35" i="109"/>
  <c r="AD11" i="108"/>
  <c r="AC38" i="110"/>
  <c r="K10" i="111"/>
  <c r="G10" i="111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Z11" i="108"/>
  <c r="AA35" i="109"/>
  <c r="U36" i="110"/>
  <c r="V35" i="109"/>
  <c r="X11" i="108"/>
  <c r="S41" i="110"/>
  <c r="Z10" i="108"/>
  <c r="W12" i="108"/>
  <c r="AF32" i="110"/>
  <c r="S35" i="109"/>
  <c r="T11" i="108"/>
  <c r="AA12" i="108"/>
  <c r="V24" i="98"/>
  <c r="X23" i="97"/>
  <c r="AD23" i="99"/>
  <c r="AB38" i="109"/>
  <c r="AD35" i="110"/>
  <c r="V35" i="110"/>
  <c r="AA40" i="110"/>
  <c r="Y36" i="110"/>
  <c r="S37" i="110"/>
  <c r="X10" i="108"/>
  <c r="W40" i="110"/>
  <c r="AD36" i="109"/>
  <c r="Z39" i="109"/>
  <c r="S26" i="97"/>
  <c r="AF33" i="110"/>
  <c r="AF31" i="110"/>
  <c r="AB35" i="110"/>
  <c r="X38" i="110"/>
  <c r="AA41" i="110"/>
  <c r="W41" i="110"/>
  <c r="T10" i="108"/>
  <c r="AB10" i="108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S42" i="110" s="1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X42" i="109" s="1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D13" i="108"/>
  <c r="AA24" i="94"/>
  <c r="AC23" i="96"/>
  <c r="AB36" i="105"/>
  <c r="P16" i="108"/>
  <c r="Z13" i="108"/>
  <c r="O56" i="108"/>
  <c r="S15" i="108"/>
  <c r="T17" i="108"/>
  <c r="O11" i="108"/>
  <c r="X18" i="108"/>
  <c r="AB15" i="108"/>
  <c r="O57" i="108"/>
  <c r="P40" i="108"/>
  <c r="AB17" i="108"/>
  <c r="O35" i="108"/>
  <c r="X16" i="108"/>
  <c r="T15" i="108"/>
  <c r="O10" i="108"/>
  <c r="AA26" i="94"/>
  <c r="AB18" i="108"/>
  <c r="T18" i="108"/>
  <c r="X17" i="108"/>
  <c r="AB16" i="108"/>
  <c r="T16" i="108"/>
  <c r="X15" i="108"/>
  <c r="P29" i="108"/>
  <c r="T13" i="108"/>
  <c r="AC11" i="108"/>
  <c r="Y12" i="108"/>
  <c r="O16" i="108"/>
  <c r="Y10" i="108"/>
  <c r="P49" i="108"/>
  <c r="P22" i="108"/>
  <c r="O49" i="108"/>
  <c r="P43" i="108"/>
  <c r="AD18" i="108"/>
  <c r="Z18" i="108"/>
  <c r="V18" i="108"/>
  <c r="AD16" i="108"/>
  <c r="Z16" i="108"/>
  <c r="V16" i="108"/>
  <c r="O28" i="108"/>
  <c r="W15" i="108"/>
  <c r="W19" i="108"/>
  <c r="S20" i="108"/>
  <c r="AA20" i="108"/>
  <c r="W21" i="108"/>
  <c r="O36" i="108"/>
  <c r="S13" i="108"/>
  <c r="O20" i="108"/>
  <c r="AA15" i="108"/>
  <c r="AA17" i="108"/>
  <c r="Y19" i="108"/>
  <c r="U20" i="108"/>
  <c r="AC20" i="108"/>
  <c r="Y21" i="108"/>
  <c r="P57" i="108"/>
  <c r="P55" i="108"/>
  <c r="P52" i="108"/>
  <c r="P35" i="108"/>
  <c r="P21" i="108"/>
  <c r="O13" i="108"/>
  <c r="P12" i="108"/>
  <c r="AA10" i="108"/>
  <c r="O53" i="108"/>
  <c r="O48" i="108"/>
  <c r="P46" i="108"/>
  <c r="O38" i="108"/>
  <c r="P45" i="108"/>
  <c r="P38" i="108"/>
  <c r="P32" i="108"/>
  <c r="O30" i="108"/>
  <c r="AB13" i="108"/>
  <c r="X13" i="108"/>
  <c r="O31" i="108"/>
  <c r="P24" i="108"/>
  <c r="P17" i="108"/>
  <c r="O14" i="108"/>
  <c r="O43" i="108"/>
  <c r="S11" i="108"/>
  <c r="P56" i="108"/>
  <c r="O55" i="108"/>
  <c r="P53" i="108"/>
  <c r="P51" i="108"/>
  <c r="P48" i="108"/>
  <c r="W18" i="108"/>
  <c r="O39" i="108"/>
  <c r="P37" i="108"/>
  <c r="W16" i="108"/>
  <c r="P27" i="108"/>
  <c r="AC12" i="108"/>
  <c r="U12" i="108"/>
  <c r="Y11" i="108"/>
  <c r="P13" i="108"/>
  <c r="O12" i="108"/>
  <c r="P11" i="108"/>
  <c r="AC10" i="108"/>
  <c r="P10" i="108"/>
  <c r="O52" i="108"/>
  <c r="P47" i="108"/>
  <c r="P26" i="108"/>
  <c r="U24" i="94"/>
  <c r="AC26" i="94"/>
  <c r="O51" i="108"/>
  <c r="O47" i="108"/>
  <c r="O26" i="108"/>
  <c r="O22" i="108"/>
  <c r="O18" i="108"/>
  <c r="U10" i="108"/>
  <c r="P54" i="108"/>
  <c r="O50" i="108"/>
  <c r="W14" i="108"/>
  <c r="W17" i="108"/>
  <c r="AA19" i="108"/>
  <c r="W20" i="108"/>
  <c r="S21" i="108"/>
  <c r="U19" i="108"/>
  <c r="AA14" i="108"/>
  <c r="AA16" i="108"/>
  <c r="AA18" i="108"/>
  <c r="AC19" i="108"/>
  <c r="Y20" i="108"/>
  <c r="U21" i="108"/>
  <c r="AC21" i="108"/>
  <c r="Z12" i="108"/>
  <c r="O44" i="108"/>
  <c r="AB14" i="108"/>
  <c r="X14" i="108"/>
  <c r="T14" i="108"/>
  <c r="V13" i="108"/>
  <c r="AA13" i="108"/>
  <c r="O46" i="108"/>
  <c r="S18" i="108"/>
  <c r="S16" i="108"/>
  <c r="S14" i="108"/>
  <c r="O45" i="108"/>
  <c r="P41" i="108"/>
  <c r="P39" i="108"/>
  <c r="AD17" i="108"/>
  <c r="Z17" i="108"/>
  <c r="V17" i="108"/>
  <c r="O37" i="108"/>
  <c r="O32" i="108"/>
  <c r="AD15" i="108"/>
  <c r="Z15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W13" i="108"/>
  <c r="P20" i="108"/>
  <c r="O17" i="108"/>
  <c r="P15" i="108"/>
  <c r="AA11" i="108"/>
  <c r="P14" i="108"/>
  <c r="AA21" i="108"/>
  <c r="W10" i="108"/>
  <c r="S10" i="108"/>
  <c r="S19" i="108"/>
  <c r="S17" i="108"/>
  <c r="AD12" i="108"/>
  <c r="AD14" i="108"/>
  <c r="Z14" i="108"/>
  <c r="V14" i="108"/>
  <c r="X12" i="108"/>
  <c r="AC18" i="108"/>
  <c r="Y18" i="108"/>
  <c r="U18" i="108"/>
  <c r="AC17" i="108"/>
  <c r="Y17" i="108"/>
  <c r="AC16" i="108"/>
  <c r="Y16" i="108"/>
  <c r="U16" i="108"/>
  <c r="Y14" i="108"/>
  <c r="AC13" i="108"/>
  <c r="Y13" i="108"/>
  <c r="U13" i="108"/>
  <c r="W11" i="108"/>
  <c r="AB11" i="108"/>
  <c r="O41" i="108"/>
  <c r="O33" i="108"/>
  <c r="O25" i="108"/>
  <c r="V15" i="108"/>
  <c r="O23" i="108"/>
  <c r="O19" i="108"/>
  <c r="O15" i="108"/>
  <c r="P50" i="108"/>
  <c r="P42" i="108"/>
  <c r="P34" i="108"/>
  <c r="S12" i="108"/>
  <c r="O54" i="108"/>
  <c r="O42" i="108"/>
  <c r="O34" i="108"/>
  <c r="P18" i="108"/>
  <c r="AB12" i="108"/>
  <c r="T12" i="108"/>
  <c r="U17" i="108"/>
  <c r="AC15" i="108"/>
  <c r="Y15" i="108"/>
  <c r="U15" i="108"/>
  <c r="AC14" i="108"/>
  <c r="U14" i="108"/>
  <c r="U11" i="108"/>
  <c r="Z38" i="105"/>
  <c r="V38" i="105"/>
  <c r="AC15" i="107"/>
  <c r="W15" i="107"/>
  <c r="U15" i="107"/>
  <c r="AC10" i="107"/>
  <c r="W10" i="107"/>
  <c r="U10" i="107"/>
  <c r="X38" i="105"/>
  <c r="O57" i="107"/>
  <c r="Y15" i="107"/>
  <c r="Z11" i="107"/>
  <c r="AC35" i="105"/>
  <c r="U38" i="105"/>
  <c r="AD21" i="107"/>
  <c r="AB21" i="107"/>
  <c r="Z21" i="107"/>
  <c r="X21" i="107"/>
  <c r="V21" i="107"/>
  <c r="T21" i="107"/>
  <c r="AD20" i="107"/>
  <c r="Z20" i="107"/>
  <c r="V20" i="107"/>
  <c r="AB19" i="107"/>
  <c r="X19" i="107"/>
  <c r="T19" i="107"/>
  <c r="AB18" i="107"/>
  <c r="X18" i="107"/>
  <c r="V18" i="107"/>
  <c r="AD17" i="107"/>
  <c r="Z17" i="107"/>
  <c r="V17" i="107"/>
  <c r="O37" i="107"/>
  <c r="P36" i="107"/>
  <c r="P35" i="107"/>
  <c r="AB16" i="107"/>
  <c r="X16" i="107"/>
  <c r="T16" i="107"/>
  <c r="O32" i="107"/>
  <c r="P31" i="107"/>
  <c r="AB15" i="107"/>
  <c r="X15" i="107"/>
  <c r="T15" i="107"/>
  <c r="P28" i="107"/>
  <c r="AD14" i="107"/>
  <c r="Z14" i="107"/>
  <c r="V14" i="107"/>
  <c r="O25" i="107"/>
  <c r="AD13" i="107"/>
  <c r="Z13" i="107"/>
  <c r="V13" i="107"/>
  <c r="O19" i="107"/>
  <c r="AB12" i="107"/>
  <c r="Z12" i="107"/>
  <c r="V12" i="107"/>
  <c r="T12" i="107"/>
  <c r="P18" i="107"/>
  <c r="O17" i="107"/>
  <c r="O15" i="107"/>
  <c r="AD11" i="107"/>
  <c r="AB11" i="107"/>
  <c r="T11" i="107"/>
  <c r="P14" i="107"/>
  <c r="AB20" i="107"/>
  <c r="X20" i="107"/>
  <c r="T20" i="107"/>
  <c r="AD19" i="107"/>
  <c r="Z19" i="107"/>
  <c r="V19" i="107"/>
  <c r="AD18" i="107"/>
  <c r="Z18" i="107"/>
  <c r="T18" i="107"/>
  <c r="AB17" i="107"/>
  <c r="X17" i="107"/>
  <c r="T17" i="107"/>
  <c r="AD16" i="107"/>
  <c r="Z16" i="107"/>
  <c r="V16" i="107"/>
  <c r="P33" i="107"/>
  <c r="O33" i="107"/>
  <c r="AD15" i="107"/>
  <c r="Z15" i="107"/>
  <c r="V15" i="107"/>
  <c r="O29" i="107"/>
  <c r="O27" i="107"/>
  <c r="AB14" i="107"/>
  <c r="X14" i="107"/>
  <c r="T14" i="107"/>
  <c r="P24" i="107"/>
  <c r="AB13" i="107"/>
  <c r="X13" i="107"/>
  <c r="P22" i="107"/>
  <c r="T13" i="107"/>
  <c r="O22" i="107"/>
  <c r="O20" i="107"/>
  <c r="AD12" i="107"/>
  <c r="X12" i="107"/>
  <c r="X11" i="107"/>
  <c r="V11" i="107"/>
  <c r="O13" i="107"/>
  <c r="O11" i="107"/>
  <c r="AB10" i="107"/>
  <c r="Z10" i="107"/>
  <c r="X10" i="107"/>
  <c r="T10" i="107"/>
  <c r="P57" i="107"/>
  <c r="P56" i="107"/>
  <c r="O56" i="107"/>
  <c r="P55" i="107"/>
  <c r="O55" i="107"/>
  <c r="AC21" i="107"/>
  <c r="AA21" i="107"/>
  <c r="Y21" i="107"/>
  <c r="W21" i="107"/>
  <c r="U21" i="107"/>
  <c r="S21" i="107"/>
  <c r="P54" i="107"/>
  <c r="O54" i="107"/>
  <c r="P53" i="107"/>
  <c r="O53" i="107"/>
  <c r="O52" i="107"/>
  <c r="P52" i="107"/>
  <c r="O51" i="107"/>
  <c r="P51" i="107"/>
  <c r="AC20" i="107"/>
  <c r="AA20" i="107"/>
  <c r="Y20" i="107"/>
  <c r="W20" i="107"/>
  <c r="U20" i="107"/>
  <c r="O50" i="107"/>
  <c r="P50" i="107"/>
  <c r="S20" i="107"/>
  <c r="P49" i="107"/>
  <c r="O49" i="107"/>
  <c r="P48" i="107"/>
  <c r="O48" i="107"/>
  <c r="P47" i="107"/>
  <c r="O47" i="107"/>
  <c r="AC19" i="107"/>
  <c r="AA19" i="107"/>
  <c r="Y19" i="107"/>
  <c r="W19" i="107"/>
  <c r="U19" i="107"/>
  <c r="S19" i="107"/>
  <c r="O46" i="107"/>
  <c r="P46" i="107"/>
  <c r="P45" i="107"/>
  <c r="O45" i="107"/>
  <c r="O44" i="107"/>
  <c r="P44" i="107"/>
  <c r="O43" i="107"/>
  <c r="P43" i="107"/>
  <c r="AC18" i="107"/>
  <c r="AA18" i="107"/>
  <c r="Y18" i="107"/>
  <c r="W18" i="107"/>
  <c r="U18" i="107"/>
  <c r="O42" i="107"/>
  <c r="P42" i="107"/>
  <c r="S18" i="107"/>
  <c r="P41" i="107"/>
  <c r="O41" i="107"/>
  <c r="P40" i="107"/>
  <c r="P39" i="107"/>
  <c r="AC17" i="107"/>
  <c r="Y17" i="107"/>
  <c r="W17" i="107"/>
  <c r="U17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AA17" i="107"/>
  <c r="S17" i="107"/>
  <c r="AC16" i="107"/>
  <c r="AA16" i="107"/>
  <c r="Y16" i="107"/>
  <c r="W16" i="107"/>
  <c r="U16" i="107"/>
  <c r="AA15" i="107"/>
  <c r="S15" i="107"/>
  <c r="AC14" i="107"/>
  <c r="AA14" i="107"/>
  <c r="Y14" i="107"/>
  <c r="W14" i="107"/>
  <c r="U14" i="107"/>
  <c r="S14" i="107"/>
  <c r="AC13" i="107"/>
  <c r="AA13" i="107"/>
  <c r="Y13" i="107"/>
  <c r="W13" i="107"/>
  <c r="U13" i="107"/>
  <c r="S13" i="107"/>
  <c r="P20" i="107"/>
  <c r="P19" i="107"/>
  <c r="AC12" i="107"/>
  <c r="AA12" i="107"/>
  <c r="Y12" i="107"/>
  <c r="W12" i="107"/>
  <c r="U12" i="107"/>
  <c r="S12" i="107"/>
  <c r="P16" i="107"/>
  <c r="P15" i="107"/>
  <c r="AC11" i="107"/>
  <c r="AA11" i="107"/>
  <c r="Y11" i="107"/>
  <c r="W11" i="107"/>
  <c r="U11" i="107"/>
  <c r="S11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S16" i="107"/>
  <c r="P34" i="107"/>
  <c r="O30" i="107"/>
  <c r="Y10" i="107"/>
  <c r="AB38" i="105"/>
  <c r="T38" i="105"/>
  <c r="AD10" i="107"/>
  <c r="V10" i="107"/>
  <c r="AA10" i="107"/>
  <c r="AA41" i="107" s="1"/>
  <c r="P10" i="107"/>
  <c r="S10" i="107"/>
  <c r="O10" i="107"/>
  <c r="X35" i="105"/>
  <c r="U39" i="107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E106" i="111" l="1"/>
  <c r="V41" i="107"/>
  <c r="AD39" i="107"/>
  <c r="S41" i="108"/>
  <c r="AA41" i="108"/>
  <c r="G106" i="111"/>
  <c r="I106" i="111"/>
  <c r="K106" i="111"/>
  <c r="V41" i="108"/>
  <c r="M106" i="111"/>
  <c r="D106" i="111"/>
  <c r="AB41" i="108"/>
  <c r="C106" i="111"/>
  <c r="J106" i="111"/>
  <c r="Y41" i="108"/>
  <c r="Y42" i="108" s="1"/>
  <c r="T41" i="107"/>
  <c r="V22" i="93"/>
  <c r="AE24" i="98"/>
  <c r="S36" i="107"/>
  <c r="X41" i="107"/>
  <c r="U41" i="107"/>
  <c r="U41" i="108"/>
  <c r="U42" i="108" s="1"/>
  <c r="Y34" i="108"/>
  <c r="T41" i="108"/>
  <c r="L106" i="111"/>
  <c r="O106" i="107"/>
  <c r="Y41" i="107"/>
  <c r="U36" i="107"/>
  <c r="Z41" i="107"/>
  <c r="W41" i="107"/>
  <c r="W42" i="107" s="1"/>
  <c r="AC41" i="108"/>
  <c r="W41" i="108"/>
  <c r="S41" i="107"/>
  <c r="AB41" i="107"/>
  <c r="AC41" i="107"/>
  <c r="AA42" i="110"/>
  <c r="Z41" i="108"/>
  <c r="Z42" i="108" s="1"/>
  <c r="F106" i="111"/>
  <c r="AD12" i="111"/>
  <c r="AD41" i="107"/>
  <c r="P106" i="107"/>
  <c r="V39" i="107"/>
  <c r="P106" i="108"/>
  <c r="O106" i="108"/>
  <c r="X41" i="108"/>
  <c r="H106" i="111"/>
  <c r="T13" i="111"/>
  <c r="V36" i="108"/>
  <c r="AF10" i="108"/>
  <c r="T11" i="111"/>
  <c r="V17" i="111"/>
  <c r="AA12" i="111"/>
  <c r="X14" i="111"/>
  <c r="AD11" i="111"/>
  <c r="T17" i="111"/>
  <c r="AB19" i="111"/>
  <c r="AA15" i="111"/>
  <c r="O47" i="111"/>
  <c r="Z14" i="111"/>
  <c r="AD19" i="111"/>
  <c r="W11" i="111"/>
  <c r="U14" i="111"/>
  <c r="AB15" i="111"/>
  <c r="X18" i="111"/>
  <c r="T21" i="111"/>
  <c r="AA18" i="111"/>
  <c r="AD36" i="108"/>
  <c r="AB12" i="111"/>
  <c r="S18" i="111"/>
  <c r="Y14" i="111"/>
  <c r="S15" i="111"/>
  <c r="W17" i="111"/>
  <c r="W18" i="111"/>
  <c r="Y19" i="111"/>
  <c r="O52" i="111"/>
  <c r="AC20" i="111"/>
  <c r="AA21" i="111"/>
  <c r="X11" i="111"/>
  <c r="V13" i="111"/>
  <c r="AD13" i="111"/>
  <c r="V15" i="111"/>
  <c r="AD15" i="111"/>
  <c r="Z16" i="111"/>
  <c r="AD17" i="111"/>
  <c r="Z18" i="111"/>
  <c r="V19" i="111"/>
  <c r="Z20" i="111"/>
  <c r="V21" i="111"/>
  <c r="AD21" i="111"/>
  <c r="Z36" i="108"/>
  <c r="S11" i="111"/>
  <c r="AA11" i="111"/>
  <c r="S12" i="111"/>
  <c r="W12" i="111"/>
  <c r="S13" i="111"/>
  <c r="AA13" i="111"/>
  <c r="T14" i="111"/>
  <c r="AB14" i="111"/>
  <c r="X15" i="111"/>
  <c r="T15" i="111"/>
  <c r="X16" i="111"/>
  <c r="T16" i="111"/>
  <c r="AB16" i="111"/>
  <c r="X17" i="111"/>
  <c r="AB17" i="111"/>
  <c r="T18" i="111"/>
  <c r="AB18" i="111"/>
  <c r="T19" i="111"/>
  <c r="X20" i="111"/>
  <c r="T20" i="111"/>
  <c r="AB20" i="111"/>
  <c r="X21" i="111"/>
  <c r="S17" i="111"/>
  <c r="AA17" i="111"/>
  <c r="W13" i="111"/>
  <c r="AC14" i="111"/>
  <c r="X13" i="111"/>
  <c r="AB21" i="111"/>
  <c r="Z10" i="111"/>
  <c r="V39" i="108"/>
  <c r="U19" i="111"/>
  <c r="AC21" i="111"/>
  <c r="Y21" i="111"/>
  <c r="W15" i="111"/>
  <c r="AA16" i="111"/>
  <c r="O12" i="111"/>
  <c r="P26" i="111"/>
  <c r="V11" i="111"/>
  <c r="X12" i="111"/>
  <c r="Z12" i="111"/>
  <c r="P46" i="111"/>
  <c r="S10" i="111"/>
  <c r="AB36" i="108"/>
  <c r="AD37" i="108"/>
  <c r="P10" i="111"/>
  <c r="X19" i="111"/>
  <c r="W10" i="111"/>
  <c r="O22" i="111"/>
  <c r="P31" i="111"/>
  <c r="W16" i="111"/>
  <c r="V10" i="111"/>
  <c r="T10" i="111"/>
  <c r="T41" i="111" s="1"/>
  <c r="AB10" i="111"/>
  <c r="Z11" i="111"/>
  <c r="AB11" i="111"/>
  <c r="V12" i="111"/>
  <c r="AB13" i="111"/>
  <c r="Z13" i="111"/>
  <c r="V14" i="111"/>
  <c r="AD14" i="111"/>
  <c r="Z15" i="111"/>
  <c r="V16" i="111"/>
  <c r="AD16" i="111"/>
  <c r="Z17" i="111"/>
  <c r="V18" i="111"/>
  <c r="AD18" i="111"/>
  <c r="Z19" i="111"/>
  <c r="V20" i="111"/>
  <c r="AD20" i="111"/>
  <c r="Z21" i="111"/>
  <c r="AD39" i="108"/>
  <c r="Z39" i="108"/>
  <c r="O34" i="111"/>
  <c r="P17" i="111"/>
  <c r="O21" i="111"/>
  <c r="O37" i="111"/>
  <c r="P41" i="111"/>
  <c r="O42" i="111"/>
  <c r="U20" i="111"/>
  <c r="P53" i="111"/>
  <c r="X10" i="111"/>
  <c r="T39" i="108"/>
  <c r="U10" i="111"/>
  <c r="AC10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U16" i="111"/>
  <c r="AC16" i="111"/>
  <c r="Y16" i="111"/>
  <c r="P38" i="111"/>
  <c r="P39" i="111"/>
  <c r="O40" i="111"/>
  <c r="P44" i="111"/>
  <c r="S19" i="111"/>
  <c r="AA19" i="111"/>
  <c r="P47" i="111"/>
  <c r="P50" i="111"/>
  <c r="P51" i="111"/>
  <c r="Y20" i="111"/>
  <c r="P54" i="111"/>
  <c r="O55" i="111"/>
  <c r="U21" i="111"/>
  <c r="P23" i="111"/>
  <c r="O23" i="111"/>
  <c r="Y18" i="111"/>
  <c r="O43" i="111"/>
  <c r="O49" i="111"/>
  <c r="P49" i="111"/>
  <c r="W21" i="111"/>
  <c r="P56" i="111"/>
  <c r="O10" i="111"/>
  <c r="C108" i="110"/>
  <c r="P15" i="111"/>
  <c r="O28" i="111"/>
  <c r="O35" i="111"/>
  <c r="O25" i="111"/>
  <c r="O44" i="111"/>
  <c r="O54" i="111"/>
  <c r="AD10" i="111"/>
  <c r="P36" i="111"/>
  <c r="O57" i="111"/>
  <c r="X36" i="108"/>
  <c r="V34" i="108"/>
  <c r="O11" i="111"/>
  <c r="Y10" i="111"/>
  <c r="O13" i="111"/>
  <c r="Y11" i="111"/>
  <c r="U11" i="111"/>
  <c r="AC11" i="111"/>
  <c r="O16" i="111"/>
  <c r="Y12" i="111"/>
  <c r="U12" i="111"/>
  <c r="AC12" i="111"/>
  <c r="O20" i="111"/>
  <c r="P21" i="111"/>
  <c r="Y13" i="111"/>
  <c r="U13" i="111"/>
  <c r="AC13" i="111"/>
  <c r="P24" i="111"/>
  <c r="W14" i="111"/>
  <c r="AA14" i="111"/>
  <c r="P29" i="111"/>
  <c r="O30" i="111"/>
  <c r="AC15" i="111"/>
  <c r="Y15" i="111"/>
  <c r="U15" i="111"/>
  <c r="O33" i="111"/>
  <c r="P34" i="111"/>
  <c r="P35" i="111"/>
  <c r="O36" i="111"/>
  <c r="P37" i="111"/>
  <c r="O38" i="111"/>
  <c r="AC17" i="111"/>
  <c r="Y17" i="111"/>
  <c r="U17" i="111"/>
  <c r="O41" i="111"/>
  <c r="P42" i="111"/>
  <c r="U18" i="111"/>
  <c r="AC18" i="111"/>
  <c r="P45" i="111"/>
  <c r="O46" i="111"/>
  <c r="AC19" i="111"/>
  <c r="O48" i="111"/>
  <c r="W19" i="111"/>
  <c r="O50" i="111"/>
  <c r="O51" i="111"/>
  <c r="AA20" i="111"/>
  <c r="W20" i="111"/>
  <c r="O53" i="111"/>
  <c r="P55" i="111"/>
  <c r="O56" i="111"/>
  <c r="P57" i="111"/>
  <c r="P14" i="111"/>
  <c r="P16" i="111"/>
  <c r="O18" i="111"/>
  <c r="S14" i="111"/>
  <c r="O27" i="111"/>
  <c r="O29" i="111"/>
  <c r="S16" i="111"/>
  <c r="O39" i="111"/>
  <c r="P48" i="111"/>
  <c r="S20" i="111"/>
  <c r="P52" i="111"/>
  <c r="P12" i="111"/>
  <c r="P19" i="111"/>
  <c r="O24" i="111"/>
  <c r="O31" i="111"/>
  <c r="O45" i="111"/>
  <c r="S21" i="111"/>
  <c r="P11" i="111"/>
  <c r="P18" i="111"/>
  <c r="P22" i="111"/>
  <c r="P27" i="111"/>
  <c r="P32" i="111"/>
  <c r="P40" i="111"/>
  <c r="P43" i="111"/>
  <c r="X39" i="108"/>
  <c r="T36" i="108"/>
  <c r="AB39" i="108"/>
  <c r="V37" i="108"/>
  <c r="T34" i="108"/>
  <c r="F108" i="110"/>
  <c r="AA10" i="111"/>
  <c r="H108" i="110"/>
  <c r="N108" i="110"/>
  <c r="X34" i="108"/>
  <c r="AE39" i="110"/>
  <c r="W42" i="110"/>
  <c r="Z34" i="108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AE21" i="108"/>
  <c r="AD38" i="108"/>
  <c r="AE20" i="107"/>
  <c r="T39" i="107"/>
  <c r="AB39" i="107"/>
  <c r="Z37" i="108"/>
  <c r="Z38" i="108"/>
  <c r="AF11" i="108"/>
  <c r="AC36" i="108"/>
  <c r="Y39" i="108"/>
  <c r="AF21" i="108"/>
  <c r="AC34" i="108"/>
  <c r="AE10" i="108"/>
  <c r="AF19" i="108"/>
  <c r="U39" i="108"/>
  <c r="W36" i="108"/>
  <c r="T38" i="108"/>
  <c r="Y37" i="108"/>
  <c r="AD34" i="107"/>
  <c r="S38" i="107"/>
  <c r="AC34" i="107"/>
  <c r="V34" i="107"/>
  <c r="AD40" i="108"/>
  <c r="AD42" i="108" s="1"/>
  <c r="AA39" i="108"/>
  <c r="AA35" i="108"/>
  <c r="T35" i="108"/>
  <c r="AB35" i="108"/>
  <c r="AE12" i="108"/>
  <c r="X38" i="108"/>
  <c r="AC37" i="108"/>
  <c r="X40" i="108"/>
  <c r="AE18" i="108"/>
  <c r="S37" i="108"/>
  <c r="AE19" i="108"/>
  <c r="W39" i="108"/>
  <c r="AD38" i="107"/>
  <c r="X35" i="108"/>
  <c r="AF20" i="108"/>
  <c r="AE17" i="108"/>
  <c r="AC40" i="108"/>
  <c r="AA40" i="108"/>
  <c r="AE14" i="108"/>
  <c r="AF14" i="108"/>
  <c r="AE15" i="108"/>
  <c r="V38" i="108"/>
  <c r="AF17" i="108"/>
  <c r="S35" i="108"/>
  <c r="Y36" i="108"/>
  <c r="AC39" i="108"/>
  <c r="AE20" i="108"/>
  <c r="AE13" i="108"/>
  <c r="H108" i="108"/>
  <c r="U36" i="108"/>
  <c r="V36" i="107"/>
  <c r="AD37" i="107"/>
  <c r="AD35" i="107"/>
  <c r="C107" i="107"/>
  <c r="V37" i="107"/>
  <c r="Y37" i="107"/>
  <c r="W34" i="107"/>
  <c r="U40" i="108"/>
  <c r="AF12" i="108"/>
  <c r="AF18" i="108"/>
  <c r="AA38" i="108"/>
  <c r="AE11" i="108"/>
  <c r="AD36" i="107"/>
  <c r="Y34" i="107"/>
  <c r="Z40" i="107"/>
  <c r="AB35" i="107"/>
  <c r="Z36" i="107"/>
  <c r="AD34" i="108"/>
  <c r="U37" i="108"/>
  <c r="AB38" i="108"/>
  <c r="AB40" i="108"/>
  <c r="S38" i="108"/>
  <c r="S40" i="108"/>
  <c r="AA34" i="108"/>
  <c r="Y40" i="108"/>
  <c r="V35" i="108"/>
  <c r="AD35" i="108"/>
  <c r="AF13" i="108"/>
  <c r="AF15" i="108"/>
  <c r="AE16" i="108"/>
  <c r="Z40" i="108"/>
  <c r="F107" i="105"/>
  <c r="AE12" i="107"/>
  <c r="AE16" i="107"/>
  <c r="AF18" i="107"/>
  <c r="S39" i="108"/>
  <c r="S36" i="108"/>
  <c r="W38" i="108"/>
  <c r="W35" i="108"/>
  <c r="H107" i="108"/>
  <c r="V40" i="108"/>
  <c r="Z35" i="108"/>
  <c r="U34" i="108"/>
  <c r="T40" i="108"/>
  <c r="S34" i="108"/>
  <c r="AF16" i="108"/>
  <c r="AA37" i="108"/>
  <c r="AA36" i="108"/>
  <c r="AB34" i="108"/>
  <c r="AB37" i="108"/>
  <c r="W40" i="108"/>
  <c r="W37" i="108"/>
  <c r="W34" i="108"/>
  <c r="Y38" i="108"/>
  <c r="Y35" i="108"/>
  <c r="T37" i="108"/>
  <c r="X37" i="108"/>
  <c r="Y40" i="107"/>
  <c r="AE14" i="107"/>
  <c r="AE18" i="107"/>
  <c r="T38" i="107"/>
  <c r="V38" i="107"/>
  <c r="X36" i="107"/>
  <c r="U37" i="107"/>
  <c r="U38" i="108"/>
  <c r="U35" i="108"/>
  <c r="AC38" i="108"/>
  <c r="AC35" i="108"/>
  <c r="X35" i="107"/>
  <c r="T36" i="107"/>
  <c r="AB36" i="107"/>
  <c r="AC40" i="107"/>
  <c r="E107" i="105"/>
  <c r="V40" i="107"/>
  <c r="Z37" i="107"/>
  <c r="AE10" i="107"/>
  <c r="AF10" i="107"/>
  <c r="AC38" i="107"/>
  <c r="D107" i="105"/>
  <c r="C107" i="105"/>
  <c r="Z34" i="107"/>
  <c r="AE15" i="107"/>
  <c r="S35" i="107"/>
  <c r="U40" i="107"/>
  <c r="AC37" i="107"/>
  <c r="U35" i="107"/>
  <c r="Y35" i="107"/>
  <c r="AC35" i="107"/>
  <c r="AE19" i="107"/>
  <c r="AE21" i="107"/>
  <c r="X40" i="107"/>
  <c r="AB40" i="107"/>
  <c r="X38" i="107"/>
  <c r="Z35" i="107"/>
  <c r="AF35" i="105"/>
  <c r="AE17" i="107"/>
  <c r="AE13" i="107"/>
  <c r="AF15" i="107"/>
  <c r="H108" i="107"/>
  <c r="T40" i="107"/>
  <c r="AE11" i="107"/>
  <c r="V35" i="107"/>
  <c r="AD40" i="107"/>
  <c r="AB38" i="107"/>
  <c r="X39" i="107"/>
  <c r="Z39" i="107"/>
  <c r="W40" i="107"/>
  <c r="D108" i="105"/>
  <c r="F108" i="105"/>
  <c r="C108" i="105"/>
  <c r="E108" i="105"/>
  <c r="U34" i="107"/>
  <c r="T35" i="107"/>
  <c r="Z38" i="107"/>
  <c r="U38" i="107"/>
  <c r="Y38" i="107"/>
  <c r="W37" i="107"/>
  <c r="AF16" i="107"/>
  <c r="AF14" i="107"/>
  <c r="W38" i="107"/>
  <c r="W35" i="107"/>
  <c r="AA35" i="107"/>
  <c r="AA38" i="107"/>
  <c r="Y39" i="107"/>
  <c r="Y36" i="107"/>
  <c r="AC39" i="107"/>
  <c r="AC36" i="107"/>
  <c r="AF19" i="107"/>
  <c r="AF21" i="107"/>
  <c r="T37" i="107"/>
  <c r="T34" i="107"/>
  <c r="AF13" i="107"/>
  <c r="AF17" i="107"/>
  <c r="W39" i="107"/>
  <c r="W36" i="107"/>
  <c r="AA36" i="107"/>
  <c r="AA39" i="107"/>
  <c r="S39" i="107"/>
  <c r="AF20" i="107"/>
  <c r="X37" i="107"/>
  <c r="X34" i="107"/>
  <c r="AB34" i="107"/>
  <c r="AB37" i="107"/>
  <c r="AF11" i="107"/>
  <c r="AF12" i="107"/>
  <c r="AA40" i="107"/>
  <c r="AA42" i="107" s="1"/>
  <c r="AA37" i="107"/>
  <c r="AA34" i="107"/>
  <c r="S37" i="107"/>
  <c r="S40" i="107"/>
  <c r="S34" i="107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AE41" i="108" l="1"/>
  <c r="S41" i="111"/>
  <c r="Z42" i="107"/>
  <c r="U42" i="107"/>
  <c r="AA42" i="108"/>
  <c r="T42" i="111"/>
  <c r="U41" i="111"/>
  <c r="V41" i="111"/>
  <c r="AD41" i="111"/>
  <c r="O106" i="111"/>
  <c r="X41" i="111"/>
  <c r="AC42" i="107"/>
  <c r="X42" i="107"/>
  <c r="AB42" i="108"/>
  <c r="S42" i="108"/>
  <c r="AC41" i="111"/>
  <c r="AB42" i="107"/>
  <c r="Y42" i="107"/>
  <c r="X42" i="108"/>
  <c r="AF41" i="107"/>
  <c r="Y41" i="111"/>
  <c r="Y42" i="111" s="1"/>
  <c r="W41" i="111"/>
  <c r="W42" i="111" s="1"/>
  <c r="AF41" i="108"/>
  <c r="S42" i="107"/>
  <c r="V42" i="107"/>
  <c r="AE41" i="107"/>
  <c r="AD42" i="107"/>
  <c r="W42" i="108"/>
  <c r="V42" i="108"/>
  <c r="AA41" i="111"/>
  <c r="AA42" i="111" s="1"/>
  <c r="AB41" i="111"/>
  <c r="P106" i="111"/>
  <c r="Z41" i="111"/>
  <c r="AC42" i="108"/>
  <c r="T42" i="108"/>
  <c r="T42" i="107"/>
  <c r="AD37" i="111"/>
  <c r="X34" i="111"/>
  <c r="AD39" i="111"/>
  <c r="T34" i="111"/>
  <c r="W37" i="111"/>
  <c r="X36" i="111"/>
  <c r="Z39" i="111"/>
  <c r="AD38" i="111"/>
  <c r="V40" i="111"/>
  <c r="AA35" i="111"/>
  <c r="AF12" i="111"/>
  <c r="S34" i="111"/>
  <c r="T39" i="111"/>
  <c r="AC34" i="111"/>
  <c r="AD34" i="111"/>
  <c r="T37" i="111"/>
  <c r="AE15" i="111"/>
  <c r="AF19" i="111"/>
  <c r="AE12" i="111"/>
  <c r="AA36" i="111"/>
  <c r="AF14" i="111"/>
  <c r="AE14" i="111"/>
  <c r="AF11" i="111"/>
  <c r="AE18" i="111"/>
  <c r="Z37" i="111"/>
  <c r="T38" i="111"/>
  <c r="AF10" i="111"/>
  <c r="W36" i="111"/>
  <c r="Y40" i="111"/>
  <c r="U36" i="111"/>
  <c r="Z36" i="111"/>
  <c r="V35" i="111"/>
  <c r="AB40" i="111"/>
  <c r="X39" i="111"/>
  <c r="S37" i="111"/>
  <c r="AB36" i="111"/>
  <c r="AE20" i="111"/>
  <c r="AE10" i="111"/>
  <c r="X35" i="111"/>
  <c r="S40" i="111"/>
  <c r="Z38" i="111"/>
  <c r="AE13" i="111"/>
  <c r="V34" i="111"/>
  <c r="W35" i="111"/>
  <c r="AC35" i="111"/>
  <c r="AB38" i="111"/>
  <c r="W40" i="111"/>
  <c r="V39" i="111"/>
  <c r="AD40" i="111"/>
  <c r="X40" i="111"/>
  <c r="V38" i="111"/>
  <c r="AB39" i="111"/>
  <c r="AB37" i="111"/>
  <c r="W34" i="111"/>
  <c r="AF15" i="111"/>
  <c r="AF13" i="111"/>
  <c r="AE21" i="111"/>
  <c r="W38" i="111"/>
  <c r="X38" i="111"/>
  <c r="AF20" i="111"/>
  <c r="S36" i="111"/>
  <c r="AE11" i="111"/>
  <c r="U39" i="111"/>
  <c r="Z35" i="111"/>
  <c r="Z40" i="111"/>
  <c r="V37" i="111"/>
  <c r="T36" i="111"/>
  <c r="T40" i="111"/>
  <c r="AB35" i="111"/>
  <c r="AA38" i="111"/>
  <c r="V36" i="111"/>
  <c r="AD35" i="111"/>
  <c r="X37" i="111"/>
  <c r="AC39" i="111"/>
  <c r="Y39" i="111"/>
  <c r="U35" i="111"/>
  <c r="AD36" i="111"/>
  <c r="AE19" i="111"/>
  <c r="U40" i="111"/>
  <c r="Z34" i="111"/>
  <c r="T35" i="111"/>
  <c r="AB34" i="111"/>
  <c r="U34" i="111"/>
  <c r="AF17" i="111"/>
  <c r="AC36" i="111"/>
  <c r="Y36" i="111"/>
  <c r="U37" i="111"/>
  <c r="AA39" i="111"/>
  <c r="S39" i="111"/>
  <c r="S38" i="111"/>
  <c r="Y38" i="111"/>
  <c r="AF16" i="111"/>
  <c r="K108" i="111"/>
  <c r="N107" i="111"/>
  <c r="AF21" i="111"/>
  <c r="W39" i="111"/>
  <c r="AE17" i="111"/>
  <c r="AC38" i="111"/>
  <c r="U38" i="111"/>
  <c r="AC40" i="111"/>
  <c r="Y37" i="111"/>
  <c r="AE16" i="111"/>
  <c r="Y35" i="111"/>
  <c r="S35" i="111"/>
  <c r="AF18" i="111"/>
  <c r="Y34" i="111"/>
  <c r="AC37" i="111"/>
  <c r="K107" i="111"/>
  <c r="AA37" i="111"/>
  <c r="AA40" i="111"/>
  <c r="AA34" i="111"/>
  <c r="M107" i="107"/>
  <c r="AF37" i="111"/>
  <c r="AF39" i="108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AE39" i="108"/>
  <c r="AE37" i="108"/>
  <c r="F108" i="108"/>
  <c r="AE36" i="108"/>
  <c r="AF36" i="108"/>
  <c r="AF34" i="108"/>
  <c r="C108" i="108"/>
  <c r="K108" i="108"/>
  <c r="N108" i="108"/>
  <c r="AF40" i="108"/>
  <c r="K108" i="107"/>
  <c r="L108" i="108"/>
  <c r="D108" i="108"/>
  <c r="I108" i="108"/>
  <c r="E108" i="108"/>
  <c r="J108" i="108"/>
  <c r="AF37" i="108"/>
  <c r="AE38" i="108"/>
  <c r="AE39" i="107"/>
  <c r="AF35" i="108"/>
  <c r="AE35" i="108"/>
  <c r="D107" i="107"/>
  <c r="G107" i="107"/>
  <c r="J107" i="107"/>
  <c r="N108" i="107"/>
  <c r="G108" i="107"/>
  <c r="D107" i="108"/>
  <c r="M107" i="108"/>
  <c r="K107" i="108"/>
  <c r="L108" i="107"/>
  <c r="AE40" i="108"/>
  <c r="AF40" i="107"/>
  <c r="F107" i="107"/>
  <c r="I107" i="107"/>
  <c r="E107" i="107"/>
  <c r="N107" i="107"/>
  <c r="C107" i="108"/>
  <c r="AE34" i="108"/>
  <c r="N107" i="108"/>
  <c r="F107" i="108"/>
  <c r="I107" i="108"/>
  <c r="E107" i="108"/>
  <c r="H107" i="107"/>
  <c r="AF38" i="108"/>
  <c r="AE37" i="107"/>
  <c r="AE35" i="107"/>
  <c r="AF34" i="107"/>
  <c r="AE40" i="107"/>
  <c r="AE38" i="107"/>
  <c r="AE36" i="107"/>
  <c r="AE34" i="107"/>
  <c r="D108" i="107"/>
  <c r="J108" i="107"/>
  <c r="I108" i="107"/>
  <c r="E108" i="107"/>
  <c r="AF37" i="107"/>
  <c r="AF35" i="107"/>
  <c r="AF38" i="107"/>
  <c r="AF36" i="107"/>
  <c r="AF39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AC42" i="111" l="1"/>
  <c r="V42" i="111"/>
  <c r="AF34" i="111"/>
  <c r="AF41" i="111"/>
  <c r="AF42" i="111" s="1"/>
  <c r="AB42" i="111"/>
  <c r="AF42" i="108"/>
  <c r="U42" i="111"/>
  <c r="AF42" i="107"/>
  <c r="X42" i="111"/>
  <c r="AE41" i="111"/>
  <c r="AE42" i="107"/>
  <c r="S42" i="111"/>
  <c r="Z42" i="111"/>
  <c r="AD42" i="111"/>
  <c r="AE42" i="108"/>
  <c r="E108" i="111"/>
  <c r="AE34" i="111"/>
  <c r="F108" i="111"/>
  <c r="AE39" i="111"/>
  <c r="AE37" i="111"/>
  <c r="H107" i="111"/>
  <c r="F107" i="111"/>
  <c r="E107" i="111"/>
  <c r="C107" i="111"/>
  <c r="I107" i="111"/>
  <c r="AE40" i="111"/>
  <c r="AF40" i="111"/>
  <c r="N108" i="111"/>
  <c r="H108" i="111"/>
  <c r="C108" i="111"/>
  <c r="AE35" i="111"/>
  <c r="AE36" i="111"/>
  <c r="AF36" i="111"/>
  <c r="M107" i="111"/>
  <c r="D107" i="111"/>
  <c r="L107" i="111"/>
  <c r="G107" i="111"/>
  <c r="J107" i="111"/>
  <c r="AF38" i="111"/>
  <c r="AF39" i="111"/>
  <c r="AE38" i="111"/>
  <c r="J108" i="111"/>
  <c r="I108" i="111"/>
  <c r="D108" i="111"/>
  <c r="L108" i="111"/>
  <c r="G108" i="111"/>
  <c r="AF35" i="111"/>
  <c r="AE42" i="111" l="1"/>
</calcChain>
</file>

<file path=xl/sharedStrings.xml><?xml version="1.0" encoding="utf-8"?>
<sst xmlns="http://schemas.openxmlformats.org/spreadsheetml/2006/main" count="2325" uniqueCount="178">
  <si>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</si>
  <si>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</si>
  <si>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</si>
  <si>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</si>
  <si>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</si>
  <si>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</si>
  <si>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</si>
  <si>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</si>
  <si>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</si>
  <si>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</si>
  <si>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</si>
  <si>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</si>
  <si>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</si>
  <si>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</si>
  <si>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</si>
  <si>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</si>
  <si>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</si>
  <si>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</si>
  <si>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</si>
  <si>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</si>
  <si>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</si>
  <si>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</si>
  <si>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</si>
  <si>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</si>
  <si>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</si>
  <si>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</si>
  <si>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</si>
  <si>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</si>
  <si>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</si>
  <si>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</si>
  <si>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</si>
  <si>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</si>
  <si>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</si>
  <si>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</si>
  <si>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</si>
  <si>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</si>
  <si>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</si>
  <si>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</si>
  <si>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</si>
  <si>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</si>
  <si>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</si>
  <si>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</si>
  <si>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</si>
  <si>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</si>
  <si>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</si>
  <si>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</si>
  <si>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</si>
  <si>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</si>
  <si>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</si>
  <si>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</si>
  <si>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</si>
  <si>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</si>
  <si>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</si>
  <si>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</si>
  <si>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</si>
  <si>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</si>
  <si>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</si>
  <si>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</si>
  <si>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</si>
  <si>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</si>
  <si>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</si>
  <si>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</si>
  <si>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</si>
  <si>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</si>
  <si>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</si>
  <si>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</si>
  <si>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</si>
  <si>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</si>
  <si>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</si>
  <si>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</si>
  <si>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</si>
  <si>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</si>
  <si>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</si>
  <si>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</si>
  <si>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</si>
  <si>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</si>
  <si>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</si>
  <si>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</si>
  <si>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</si>
  <si>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</si>
  <si>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</si>
  <si>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</si>
  <si>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</si>
  <si>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</si>
  <si>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</si>
  <si>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</si>
  <si>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</si>
  <si>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</si>
  <si>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</si>
  <si>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</si>
  <si>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</si>
  <si>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</si>
  <si>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</si>
  <si>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</si>
  <si>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</si>
  <si>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</si>
  <si>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</si>
  <si>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</si>
  <si>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</si>
  <si>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</si>
  <si>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</si>
  <si>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</si>
  <si>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</si>
  <si>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</si>
  <si>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</si>
  <si>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</si>
  <si>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</si>
  <si>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</si>
  <si>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</si>
  <si>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</si>
  <si>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</si>
  <si>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</si>
  <si>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</si>
  <si>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</si>
  <si>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</si>
  <si>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</si>
  <si>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</si>
  <si>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</si>
  <si>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</si>
  <si>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</si>
  <si>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</si>
  <si>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</si>
  <si>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</si>
  <si>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</si>
  <si>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</si>
  <si>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</si>
  <si>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</si>
  <si>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</si>
  <si>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</si>
  <si>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</si>
  <si>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</si>
  <si>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</si>
  <si>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</si>
  <si>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</si>
  <si>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</si>
  <si>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</si>
  <si>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</si>
  <si>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</si>
  <si>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</si>
  <si>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</si>
  <si>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</si>
  <si>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</si>
  <si>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</si>
  <si>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</si>
  <si>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</si>
  <si>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</si>
  <si>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</si>
  <si>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</si>
  <si>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</si>
  <si>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</si>
  <si>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</si>
  <si>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</si>
  <si>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</si>
  <si>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</si>
  <si>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</si>
  <si>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</si>
  <si>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</si>
  <si>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</si>
  <si>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</si>
  <si>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</si>
  <si>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</si>
  <si>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</si>
  <si>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AVERAGE WEEK</t>
  </si>
  <si>
    <t>MCC - C1 - STN38 - NAALYA EAST ROAD</t>
  </si>
  <si>
    <t>NTINDA</t>
  </si>
  <si>
    <t>NAALYA</t>
  </si>
  <si>
    <t>NAALYA ROUND ABOUT</t>
  </si>
  <si>
    <t>STEVEN</t>
  </si>
  <si>
    <t>29.07.19</t>
  </si>
  <si>
    <t>30.07.19</t>
  </si>
  <si>
    <t>31.07.19</t>
  </si>
  <si>
    <t>01.08.19</t>
  </si>
  <si>
    <t>02.08.19</t>
  </si>
  <si>
    <t>03.08.19</t>
  </si>
  <si>
    <t>04.08.19</t>
  </si>
  <si>
    <t>HARRIET N/NASSIWA A/MUTE C/PHOEBY/KAZIBWE J/NAKAYE J.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</si>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</sst>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164" formatCode="0.0%"/>
    <numFmt numFmtId="165" formatCode="0.000"/>
    <numFmt numFmtId="166" formatCode="_-* #,##0_-;\-* #,##0_-;_-* &quot;-&quot;_-;_-@_-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71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" fontId="0" fillId="3" borderId="4" xfId="0" applyNumberForma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166" fontId="1" fillId="0" borderId="1" xfId="2" applyNumberFormat="1" applyFont="1" applyBorder="1" applyAlignment="1">
      <alignment horizontal="center"/>
    </xf>
    <xf numFmtId="166" fontId="1" fillId="3" borderId="1" xfId="2" applyNumberFormat="1" applyFont="1" applyFill="1" applyBorder="1" applyAlignment="1">
      <alignment horizontal="center"/>
    </xf>
    <xf numFmtId="0" fontId="0" fillId="0" borderId="0" xfId="0" applyFont="1" applyFill="1" applyAlignment="1"/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37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'29.07 Ntinda-Naalya'!$AE$9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'29.07 Ntinda-Naalya'!$R$10:$R$21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Ntinda-Naalya'!$AE$10:$AE$21</c:f>
              <c:numCache>
                <c:formatCode>0</c:formatCode>
                <c:ptCount val="12"/>
                <c:pt idx="0">
                  <c:v>459</c:v>
                </c:pt>
                <c:pt idx="1">
                  <c:v>447</c:v>
                </c:pt>
                <c:pt idx="2">
                  <c:v>393</c:v>
                </c:pt>
                <c:pt idx="3">
                  <c:v>423</c:v>
                </c:pt>
                <c:pt idx="4">
                  <c:v>385</c:v>
                </c:pt>
                <c:pt idx="5">
                  <c:v>355</c:v>
                </c:pt>
                <c:pt idx="6">
                  <c:v>432</c:v>
                </c:pt>
                <c:pt idx="7">
                  <c:v>378</c:v>
                </c:pt>
                <c:pt idx="8">
                  <c:v>599</c:v>
                </c:pt>
                <c:pt idx="9">
                  <c:v>727</c:v>
                </c:pt>
                <c:pt idx="10">
                  <c:v>811</c:v>
                </c:pt>
                <c:pt idx="11">
                  <c:v>751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'29.07 Ntinda-Naalya'!$AF$9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'29.07 Ntinda-Naalya'!$R$10:$R$21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Ntinda-Naalya'!$AF$10:$AF$21</c:f>
              <c:numCache>
                <c:formatCode>0</c:formatCode>
                <c:ptCount val="12"/>
                <c:pt idx="0">
                  <c:v>644</c:v>
                </c:pt>
                <c:pt idx="1">
                  <c:v>759</c:v>
                </c:pt>
                <c:pt idx="2">
                  <c:v>762</c:v>
                </c:pt>
                <c:pt idx="3">
                  <c:v>746</c:v>
                </c:pt>
                <c:pt idx="4">
                  <c:v>690</c:v>
                </c:pt>
                <c:pt idx="5">
                  <c:v>637</c:v>
                </c:pt>
                <c:pt idx="6">
                  <c:v>682</c:v>
                </c:pt>
                <c:pt idx="7">
                  <c:v>643</c:v>
                </c:pt>
                <c:pt idx="8">
                  <c:v>890</c:v>
                </c:pt>
                <c:pt idx="9">
                  <c:v>994</c:v>
                </c:pt>
                <c:pt idx="10">
                  <c:v>1124</c:v>
                </c:pt>
                <c:pt idx="11">
                  <c:v>989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101888"/>
        <c:axId val="121881728"/>
      </c:lineChart>
      <c:catAx>
        <c:axId val="1201018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1881728"/>
        <c:crosses val="autoZero"/>
        <c:auto val="1"/>
        <c:lblAlgn val="ctr"/>
        <c:lblOffset val="100"/>
        <c:noMultiLvlLbl val="0"/>
      </c:catAx>
      <c:valAx>
        <c:axId val="1218817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010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732E-2"/>
                  <c:y val="-3.243408000329518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Ntinda-Naalya'!$C$9:$N$9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Ntinda-Naalya'!$C$59:$N$59</c:f>
              <c:numCache>
                <c:formatCode>0.0%</c:formatCode>
                <c:ptCount val="12"/>
                <c:pt idx="0">
                  <c:v>0.45041841004184102</c:v>
                </c:pt>
                <c:pt idx="1">
                  <c:v>9.8744769874476987E-2</c:v>
                </c:pt>
                <c:pt idx="2">
                  <c:v>2.5836820083682009E-2</c:v>
                </c:pt>
                <c:pt idx="3">
                  <c:v>3.776150627615063E-2</c:v>
                </c:pt>
                <c:pt idx="4">
                  <c:v>2.3012552301255231E-3</c:v>
                </c:pt>
                <c:pt idx="5">
                  <c:v>6.2761506276150627E-4</c:v>
                </c:pt>
                <c:pt idx="6">
                  <c:v>2.0606694560669457E-2</c:v>
                </c:pt>
                <c:pt idx="7">
                  <c:v>6.0669456066945607E-3</c:v>
                </c:pt>
                <c:pt idx="8">
                  <c:v>1.4644351464435147E-3</c:v>
                </c:pt>
                <c:pt idx="9">
                  <c:v>5.2301255230125519E-4</c:v>
                </c:pt>
                <c:pt idx="10">
                  <c:v>0.35564853556485354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732E-2"/>
                  <c:y val="-3.243408000329518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Ntinda-Naalya'!$C$9:$N$9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Ntinda-Naalya'!$C$60:$N$60</c:f>
              <c:numCache>
                <c:formatCode>0.00%</c:formatCode>
                <c:ptCount val="12"/>
                <c:pt idx="0">
                  <c:v>0.699025974025974</c:v>
                </c:pt>
                <c:pt idx="1">
                  <c:v>0.15324675324675324</c:v>
                </c:pt>
                <c:pt idx="2">
                  <c:v>4.0097402597402597E-2</c:v>
                </c:pt>
                <c:pt idx="3">
                  <c:v>5.8603896103896103E-2</c:v>
                </c:pt>
                <c:pt idx="4">
                  <c:v>3.5714285714285713E-3</c:v>
                </c:pt>
                <c:pt idx="5">
                  <c:v>9.7402597402597403E-4</c:v>
                </c:pt>
                <c:pt idx="6">
                  <c:v>3.1980519480519477E-2</c:v>
                </c:pt>
                <c:pt idx="7">
                  <c:v>9.4155844155844153E-3</c:v>
                </c:pt>
                <c:pt idx="8">
                  <c:v>2.2727272727272726E-3</c:v>
                </c:pt>
                <c:pt idx="9">
                  <c:v>8.1168831168831174E-4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37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'29.07 Naalya-Ntinda'!$AE$9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'29.07 Naalya-Ntinda'!$R$10:$R$21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Naalya-Ntinda'!$AE$10:$AE$21</c:f>
              <c:numCache>
                <c:formatCode>0</c:formatCode>
                <c:ptCount val="12"/>
                <c:pt idx="0">
                  <c:v>902</c:v>
                </c:pt>
                <c:pt idx="1">
                  <c:v>747</c:v>
                </c:pt>
                <c:pt idx="2">
                  <c:v>618</c:v>
                </c:pt>
                <c:pt idx="3">
                  <c:v>565</c:v>
                </c:pt>
                <c:pt idx="4">
                  <c:v>564</c:v>
                </c:pt>
                <c:pt idx="5">
                  <c:v>279</c:v>
                </c:pt>
                <c:pt idx="6">
                  <c:v>536</c:v>
                </c:pt>
                <c:pt idx="7">
                  <c:v>390</c:v>
                </c:pt>
                <c:pt idx="8">
                  <c:v>362</c:v>
                </c:pt>
                <c:pt idx="9">
                  <c:v>487</c:v>
                </c:pt>
                <c:pt idx="10">
                  <c:v>588</c:v>
                </c:pt>
                <c:pt idx="11">
                  <c:v>397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'29.07 Naalya-Ntinda'!$AF$9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'29.07 Naalya-Ntinda'!$R$10:$R$21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Naalya-Ntinda'!$AF$10:$AF$21</c:f>
              <c:numCache>
                <c:formatCode>0</c:formatCode>
                <c:ptCount val="12"/>
                <c:pt idx="0">
                  <c:v>1232</c:v>
                </c:pt>
                <c:pt idx="1">
                  <c:v>1276</c:v>
                </c:pt>
                <c:pt idx="2">
                  <c:v>1004</c:v>
                </c:pt>
                <c:pt idx="3">
                  <c:v>861</c:v>
                </c:pt>
                <c:pt idx="4">
                  <c:v>887</c:v>
                </c:pt>
                <c:pt idx="5">
                  <c:v>584</c:v>
                </c:pt>
                <c:pt idx="6">
                  <c:v>775</c:v>
                </c:pt>
                <c:pt idx="7">
                  <c:v>599</c:v>
                </c:pt>
                <c:pt idx="8">
                  <c:v>668</c:v>
                </c:pt>
                <c:pt idx="9">
                  <c:v>746</c:v>
                </c:pt>
                <c:pt idx="10">
                  <c:v>847</c:v>
                </c:pt>
                <c:pt idx="11">
                  <c:v>679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524416"/>
        <c:axId val="122526336"/>
      </c:lineChart>
      <c:catAx>
        <c:axId val="1225244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526336"/>
        <c:crosses val="autoZero"/>
        <c:auto val="1"/>
        <c:lblAlgn val="ctr"/>
        <c:lblOffset val="100"/>
        <c:noMultiLvlLbl val="0"/>
      </c:catAx>
      <c:valAx>
        <c:axId val="1225263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52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732E-2"/>
                  <c:y val="-3.243408000329518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Naalya-Ntinda'!$C$9:$N$9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Naalya-Ntinda'!$C$59:$N$59</c:f>
              <c:numCache>
                <c:formatCode>0.0%</c:formatCode>
                <c:ptCount val="12"/>
                <c:pt idx="0">
                  <c:v>0.34209490057097852</c:v>
                </c:pt>
                <c:pt idx="1">
                  <c:v>0.18861980704863163</c:v>
                </c:pt>
                <c:pt idx="2">
                  <c:v>4.2724945855483365E-2</c:v>
                </c:pt>
                <c:pt idx="3">
                  <c:v>3.770427249458555E-2</c:v>
                </c:pt>
                <c:pt idx="4">
                  <c:v>3.2486709982279976E-3</c:v>
                </c:pt>
                <c:pt idx="5">
                  <c:v>7.8755660563102972E-4</c:v>
                </c:pt>
                <c:pt idx="6">
                  <c:v>7.4817877534947824E-3</c:v>
                </c:pt>
                <c:pt idx="7">
                  <c:v>8.9584563890529635E-3</c:v>
                </c:pt>
                <c:pt idx="8">
                  <c:v>1.7720023626698169E-3</c:v>
                </c:pt>
                <c:pt idx="9">
                  <c:v>9.8444575703878715E-5</c:v>
                </c:pt>
                <c:pt idx="10">
                  <c:v>0.36650915534554046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93"/>
          <c:y val="2.29602266373237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'29.07 Naalya-Ntinda'!$S$9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'29.07 Naalya-Ntinda'!$R$10:$R$21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Naalya-Ntinda'!$S$10:$S$21</c:f>
              <c:numCache>
                <c:formatCode>0</c:formatCode>
                <c:ptCount val="12"/>
                <c:pt idx="0">
                  <c:v>507</c:v>
                </c:pt>
                <c:pt idx="1">
                  <c:v>410</c:v>
                </c:pt>
                <c:pt idx="2">
                  <c:v>334</c:v>
                </c:pt>
                <c:pt idx="3">
                  <c:v>298</c:v>
                </c:pt>
                <c:pt idx="4">
                  <c:v>277</c:v>
                </c:pt>
                <c:pt idx="5">
                  <c:v>249</c:v>
                </c:pt>
                <c:pt idx="6">
                  <c:v>281</c:v>
                </c:pt>
                <c:pt idx="7">
                  <c:v>199</c:v>
                </c:pt>
                <c:pt idx="8">
                  <c:v>184</c:v>
                </c:pt>
                <c:pt idx="9">
                  <c:v>244</c:v>
                </c:pt>
                <c:pt idx="10">
                  <c:v>289</c:v>
                </c:pt>
                <c:pt idx="11">
                  <c:v>203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'29.07 Naalya-Ntinda'!$T$9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'29.07 Naalya-Ntinda'!$R$10:$R$21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Naalya-Ntinda'!$T$10:$T$21</c:f>
              <c:numCache>
                <c:formatCode>0</c:formatCode>
                <c:ptCount val="12"/>
                <c:pt idx="0">
                  <c:v>309</c:v>
                </c:pt>
                <c:pt idx="1">
                  <c:v>245</c:v>
                </c:pt>
                <c:pt idx="2">
                  <c:v>176</c:v>
                </c:pt>
                <c:pt idx="3">
                  <c:v>170</c:v>
                </c:pt>
                <c:pt idx="4">
                  <c:v>176</c:v>
                </c:pt>
                <c:pt idx="5">
                  <c:v>0</c:v>
                </c:pt>
                <c:pt idx="6">
                  <c:v>163</c:v>
                </c:pt>
                <c:pt idx="7">
                  <c:v>108</c:v>
                </c:pt>
                <c:pt idx="8">
                  <c:v>110</c:v>
                </c:pt>
                <c:pt idx="9">
                  <c:v>148</c:v>
                </c:pt>
                <c:pt idx="10">
                  <c:v>196</c:v>
                </c:pt>
                <c:pt idx="11">
                  <c:v>115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'29.07 Naalya-Ntinda'!$U$9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'29.07 Naalya-Ntinda'!$U$10:$U$21</c:f>
              <c:numCache>
                <c:formatCode>0</c:formatCode>
                <c:ptCount val="12"/>
                <c:pt idx="0">
                  <c:v>57</c:v>
                </c:pt>
                <c:pt idx="1">
                  <c:v>54</c:v>
                </c:pt>
                <c:pt idx="2">
                  <c:v>52</c:v>
                </c:pt>
                <c:pt idx="3">
                  <c:v>43</c:v>
                </c:pt>
                <c:pt idx="4">
                  <c:v>39</c:v>
                </c:pt>
                <c:pt idx="5">
                  <c:v>0</c:v>
                </c:pt>
                <c:pt idx="6">
                  <c:v>32</c:v>
                </c:pt>
                <c:pt idx="7">
                  <c:v>28</c:v>
                </c:pt>
                <c:pt idx="8">
                  <c:v>23</c:v>
                </c:pt>
                <c:pt idx="9">
                  <c:v>33</c:v>
                </c:pt>
                <c:pt idx="10">
                  <c:v>42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'29.07 Naalya-Ntinda'!$V$9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'29.07 Naalya-Ntinda'!$V$10:$V$21</c:f>
              <c:numCache>
                <c:formatCode>0</c:formatCode>
                <c:ptCount val="12"/>
                <c:pt idx="0">
                  <c:v>21</c:v>
                </c:pt>
                <c:pt idx="1">
                  <c:v>35</c:v>
                </c:pt>
                <c:pt idx="2">
                  <c:v>37</c:v>
                </c:pt>
                <c:pt idx="3">
                  <c:v>32</c:v>
                </c:pt>
                <c:pt idx="4">
                  <c:v>42</c:v>
                </c:pt>
                <c:pt idx="5">
                  <c:v>0</c:v>
                </c:pt>
                <c:pt idx="6">
                  <c:v>41</c:v>
                </c:pt>
                <c:pt idx="7">
                  <c:v>34</c:v>
                </c:pt>
                <c:pt idx="8">
                  <c:v>22</c:v>
                </c:pt>
                <c:pt idx="9">
                  <c:v>41</c:v>
                </c:pt>
                <c:pt idx="10">
                  <c:v>43</c:v>
                </c:pt>
                <c:pt idx="1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'29.07 Naalya-Ntinda'!$W$9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'29.07 Naalya-Ntinda'!$W$10:$W$21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  <c:pt idx="4">
                  <c:v>3</c:v>
                </c:pt>
                <c:pt idx="5">
                  <c:v>0</c:v>
                </c:pt>
                <c:pt idx="6">
                  <c:v>4</c:v>
                </c:pt>
                <c:pt idx="7">
                  <c:v>4</c:v>
                </c:pt>
                <c:pt idx="8">
                  <c:v>1</c:v>
                </c:pt>
                <c:pt idx="9">
                  <c:v>8</c:v>
                </c:pt>
                <c:pt idx="10">
                  <c:v>5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'29.07 Naalya-Ntinda'!$X$9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'29.07 Naalya-Ntinda'!$X$10:$X$21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'29.07 Naalya-Ntinda'!$Y$9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Naalya-Ntinda'!$Y$10:$Y$21</c:f>
              <c:numCache>
                <c:formatCode>0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9</c:v>
                </c:pt>
                <c:pt idx="3">
                  <c:v>6</c:v>
                </c:pt>
                <c:pt idx="4">
                  <c:v>11</c:v>
                </c:pt>
                <c:pt idx="5">
                  <c:v>13</c:v>
                </c:pt>
                <c:pt idx="6">
                  <c:v>9</c:v>
                </c:pt>
                <c:pt idx="7">
                  <c:v>0</c:v>
                </c:pt>
                <c:pt idx="8">
                  <c:v>12</c:v>
                </c:pt>
                <c:pt idx="9">
                  <c:v>5</c:v>
                </c:pt>
                <c:pt idx="10">
                  <c:v>5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'29.07 Naalya-Ntinda'!$Z$9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Naalya-Ntinda'!$Z$10:$Z$21</c:f>
              <c:numCache>
                <c:formatCode>0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9</c:v>
                </c:pt>
                <c:pt idx="3">
                  <c:v>12</c:v>
                </c:pt>
                <c:pt idx="4">
                  <c:v>14</c:v>
                </c:pt>
                <c:pt idx="5">
                  <c:v>12</c:v>
                </c:pt>
                <c:pt idx="6">
                  <c:v>5</c:v>
                </c:pt>
                <c:pt idx="7">
                  <c:v>10</c:v>
                </c:pt>
                <c:pt idx="8">
                  <c:v>10</c:v>
                </c:pt>
                <c:pt idx="9">
                  <c:v>7</c:v>
                </c:pt>
                <c:pt idx="10">
                  <c:v>7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'29.07 Naalya-Ntinda'!$AA$9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Naalya-Ntinda'!$AA$10:$AA$21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7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'29.07 Naalya-Ntinda'!$AB$9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Naalya-Ntinda'!$AB$10:$AB$21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'29.07 Naalya-Ntinda'!$AC$9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Naalya-Ntinda'!$AC$10:$AC$21</c:f>
              <c:numCache>
                <c:formatCode>0</c:formatCode>
                <c:ptCount val="12"/>
                <c:pt idx="0">
                  <c:v>330</c:v>
                </c:pt>
                <c:pt idx="1">
                  <c:v>529</c:v>
                </c:pt>
                <c:pt idx="2">
                  <c:v>386</c:v>
                </c:pt>
                <c:pt idx="3">
                  <c:v>296</c:v>
                </c:pt>
                <c:pt idx="4">
                  <c:v>323</c:v>
                </c:pt>
                <c:pt idx="5">
                  <c:v>305</c:v>
                </c:pt>
                <c:pt idx="6">
                  <c:v>239</c:v>
                </c:pt>
                <c:pt idx="7">
                  <c:v>209</c:v>
                </c:pt>
                <c:pt idx="8">
                  <c:v>306</c:v>
                </c:pt>
                <c:pt idx="9">
                  <c:v>259</c:v>
                </c:pt>
                <c:pt idx="10">
                  <c:v>259</c:v>
                </c:pt>
                <c:pt idx="11">
                  <c:v>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'29.07 Naalya-Ntinda'!$AD$9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Naalya-Ntinda'!$AD$10:$AD$21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578048"/>
        <c:axId val="124735488"/>
      </c:lineChart>
      <c:catAx>
        <c:axId val="124578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4735488"/>
        <c:crosses val="autoZero"/>
        <c:auto val="1"/>
        <c:lblAlgn val="ctr"/>
        <c:lblOffset val="100"/>
        <c:noMultiLvlLbl val="0"/>
      </c:catAx>
      <c:valAx>
        <c:axId val="12473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457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732E-2"/>
                  <c:y val="-3.243408000329518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Naalya-Ntinda'!$C$9:$N$9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Naalya-Ntinda'!$C$60:$N$60</c:f>
              <c:numCache>
                <c:formatCode>0.00%</c:formatCode>
                <c:ptCount val="12"/>
                <c:pt idx="0">
                  <c:v>0.54001554001553997</c:v>
                </c:pt>
                <c:pt idx="1">
                  <c:v>0.29774669774669776</c:v>
                </c:pt>
                <c:pt idx="2">
                  <c:v>6.7443667443667449E-2</c:v>
                </c:pt>
                <c:pt idx="3">
                  <c:v>5.9518259518259516E-2</c:v>
                </c:pt>
                <c:pt idx="4">
                  <c:v>5.1282051282051282E-3</c:v>
                </c:pt>
                <c:pt idx="5">
                  <c:v>1.2432012432012432E-3</c:v>
                </c:pt>
                <c:pt idx="6">
                  <c:v>1.181041181041181E-2</c:v>
                </c:pt>
                <c:pt idx="7">
                  <c:v>1.4141414141414142E-2</c:v>
                </c:pt>
                <c:pt idx="8">
                  <c:v>2.7972027972027972E-3</c:v>
                </c:pt>
                <c:pt idx="9">
                  <c:v>1.554001554001554E-4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37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Ntinda-Naalya'!$AE$9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'30.07 Ntinda-Naalya'!$R$10:$R$21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Ntinda-Naalya'!$AE$10:$AE$21</c:f>
              <c:numCache>
                <c:formatCode>0</c:formatCode>
                <c:ptCount val="12"/>
                <c:pt idx="0">
                  <c:v>587</c:v>
                </c:pt>
                <c:pt idx="1">
                  <c:v>481</c:v>
                </c:pt>
                <c:pt idx="2">
                  <c:v>352</c:v>
                </c:pt>
                <c:pt idx="3">
                  <c:v>370</c:v>
                </c:pt>
                <c:pt idx="4">
                  <c:v>416</c:v>
                </c:pt>
                <c:pt idx="5">
                  <c:v>403</c:v>
                </c:pt>
                <c:pt idx="6">
                  <c:v>432</c:v>
                </c:pt>
                <c:pt idx="7">
                  <c:v>426</c:v>
                </c:pt>
                <c:pt idx="8">
                  <c:v>524</c:v>
                </c:pt>
                <c:pt idx="9">
                  <c:v>723</c:v>
                </c:pt>
                <c:pt idx="10">
                  <c:v>871</c:v>
                </c:pt>
                <c:pt idx="11">
                  <c:v>727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'30.07 Ntinda-Naalya'!$AF$9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'30.07 Ntinda-Naalya'!$R$10:$R$21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Ntinda-Naalya'!$AF$10:$AF$21</c:f>
              <c:numCache>
                <c:formatCode>0</c:formatCode>
                <c:ptCount val="12"/>
                <c:pt idx="0">
                  <c:v>799</c:v>
                </c:pt>
                <c:pt idx="1">
                  <c:v>790</c:v>
                </c:pt>
                <c:pt idx="2">
                  <c:v>678</c:v>
                </c:pt>
                <c:pt idx="3">
                  <c:v>661</c:v>
                </c:pt>
                <c:pt idx="4">
                  <c:v>693</c:v>
                </c:pt>
                <c:pt idx="5">
                  <c:v>685</c:v>
                </c:pt>
                <c:pt idx="6">
                  <c:v>758</c:v>
                </c:pt>
                <c:pt idx="7">
                  <c:v>706</c:v>
                </c:pt>
                <c:pt idx="8">
                  <c:v>738</c:v>
                </c:pt>
                <c:pt idx="9">
                  <c:v>1071</c:v>
                </c:pt>
                <c:pt idx="10">
                  <c:v>1253</c:v>
                </c:pt>
                <c:pt idx="11">
                  <c:v>1027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56160"/>
        <c:axId val="125758080"/>
      </c:lineChart>
      <c:catAx>
        <c:axId val="1257561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5758080"/>
        <c:crosses val="autoZero"/>
        <c:auto val="1"/>
        <c:lblAlgn val="ctr"/>
        <c:lblOffset val="100"/>
        <c:noMultiLvlLbl val="0"/>
      </c:catAx>
      <c:valAx>
        <c:axId val="1257580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575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732E-2"/>
                  <c:y val="-3.243408000329518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 Ntinda-Naalya'!$C$9:$N$9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Ntinda-Naalya'!$C$59:$N$59</c:f>
              <c:numCache>
                <c:formatCode>0.0%</c:formatCode>
                <c:ptCount val="12"/>
                <c:pt idx="0">
                  <c:v>0.4388883253879704</c:v>
                </c:pt>
                <c:pt idx="1">
                  <c:v>0.10264732731514352</c:v>
                </c:pt>
                <c:pt idx="2">
                  <c:v>2.2618926868850798E-2</c:v>
                </c:pt>
                <c:pt idx="3">
                  <c:v>3.560198803124049E-2</c:v>
                </c:pt>
                <c:pt idx="4">
                  <c:v>2.5357541332792373E-3</c:v>
                </c:pt>
                <c:pt idx="5">
                  <c:v>2.5357541332792373E-3</c:v>
                </c:pt>
                <c:pt idx="6">
                  <c:v>2.2111776042194949E-2</c:v>
                </c:pt>
                <c:pt idx="7">
                  <c:v>9.0272847144740841E-3</c:v>
                </c:pt>
                <c:pt idx="8">
                  <c:v>2.738614463941576E-3</c:v>
                </c:pt>
                <c:pt idx="9">
                  <c:v>1.4200223146363729E-3</c:v>
                </c:pt>
                <c:pt idx="10">
                  <c:v>0.3597727964296582</c:v>
                </c:pt>
                <c:pt idx="11">
                  <c:v>1.0143016533116949E-4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93"/>
          <c:y val="2.29602266373237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Ntinda-Naalya'!$S$9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'30.07 Ntinda-Naalya'!$R$10:$R$21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Ntinda-Naalya'!$S$10:$S$21</c:f>
              <c:numCache>
                <c:formatCode>0</c:formatCode>
                <c:ptCount val="12"/>
                <c:pt idx="0">
                  <c:v>456</c:v>
                </c:pt>
                <c:pt idx="1">
                  <c:v>288</c:v>
                </c:pt>
                <c:pt idx="2">
                  <c:v>208</c:v>
                </c:pt>
                <c:pt idx="3">
                  <c:v>218</c:v>
                </c:pt>
                <c:pt idx="4">
                  <c:v>252</c:v>
                </c:pt>
                <c:pt idx="5">
                  <c:v>241</c:v>
                </c:pt>
                <c:pt idx="6">
                  <c:v>306</c:v>
                </c:pt>
                <c:pt idx="7">
                  <c:v>282</c:v>
                </c:pt>
                <c:pt idx="8">
                  <c:v>362</c:v>
                </c:pt>
                <c:pt idx="9">
                  <c:v>516</c:v>
                </c:pt>
                <c:pt idx="10">
                  <c:v>657</c:v>
                </c:pt>
                <c:pt idx="11">
                  <c:v>541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'30.07 Ntinda-Naalya'!$T$9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'30.07 Ntinda-Naalya'!$R$10:$R$21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Ntinda-Naalya'!$T$10:$T$21</c:f>
              <c:numCache>
                <c:formatCode>0</c:formatCode>
                <c:ptCount val="12"/>
                <c:pt idx="0">
                  <c:v>84</c:v>
                </c:pt>
                <c:pt idx="1">
                  <c:v>127</c:v>
                </c:pt>
                <c:pt idx="2">
                  <c:v>61</c:v>
                </c:pt>
                <c:pt idx="3">
                  <c:v>58</c:v>
                </c:pt>
                <c:pt idx="4">
                  <c:v>71</c:v>
                </c:pt>
                <c:pt idx="5">
                  <c:v>74</c:v>
                </c:pt>
                <c:pt idx="6">
                  <c:v>56</c:v>
                </c:pt>
                <c:pt idx="7">
                  <c:v>57</c:v>
                </c:pt>
                <c:pt idx="8">
                  <c:v>71</c:v>
                </c:pt>
                <c:pt idx="9">
                  <c:v>113</c:v>
                </c:pt>
                <c:pt idx="10">
                  <c:v>123</c:v>
                </c:pt>
                <c:pt idx="11">
                  <c:v>117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'30.07 Ntinda-Naalya'!$U$9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'30.07 Ntinda-Naalya'!$U$10:$U$21</c:f>
              <c:numCache>
                <c:formatCode>0</c:formatCode>
                <c:ptCount val="12"/>
                <c:pt idx="0">
                  <c:v>2</c:v>
                </c:pt>
                <c:pt idx="1">
                  <c:v>15</c:v>
                </c:pt>
                <c:pt idx="2">
                  <c:v>21</c:v>
                </c:pt>
                <c:pt idx="3">
                  <c:v>24</c:v>
                </c:pt>
                <c:pt idx="4">
                  <c:v>35</c:v>
                </c:pt>
                <c:pt idx="5">
                  <c:v>22</c:v>
                </c:pt>
                <c:pt idx="6">
                  <c:v>12</c:v>
                </c:pt>
                <c:pt idx="7">
                  <c:v>28</c:v>
                </c:pt>
                <c:pt idx="8">
                  <c:v>21</c:v>
                </c:pt>
                <c:pt idx="9">
                  <c:v>14</c:v>
                </c:pt>
                <c:pt idx="10">
                  <c:v>17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'30.07 Ntinda-Naalya'!$V$9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'30.07 Ntinda-Naalya'!$V$10:$V$21</c:f>
              <c:numCache>
                <c:formatCode>0</c:formatCode>
                <c:ptCount val="12"/>
                <c:pt idx="0">
                  <c:v>35</c:v>
                </c:pt>
                <c:pt idx="1">
                  <c:v>35</c:v>
                </c:pt>
                <c:pt idx="2">
                  <c:v>26</c:v>
                </c:pt>
                <c:pt idx="3">
                  <c:v>29</c:v>
                </c:pt>
                <c:pt idx="4">
                  <c:v>33</c:v>
                </c:pt>
                <c:pt idx="5">
                  <c:v>22</c:v>
                </c:pt>
                <c:pt idx="6">
                  <c:v>25</c:v>
                </c:pt>
                <c:pt idx="7">
                  <c:v>26</c:v>
                </c:pt>
                <c:pt idx="8">
                  <c:v>25</c:v>
                </c:pt>
                <c:pt idx="9">
                  <c:v>37</c:v>
                </c:pt>
                <c:pt idx="10">
                  <c:v>37</c:v>
                </c:pt>
                <c:pt idx="1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'30.07 Ntinda-Naalya'!$W$9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'30.07 Ntinda-Naalya'!$W$10:$W$21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5</c:v>
                </c:pt>
                <c:pt idx="6">
                  <c:v>3</c:v>
                </c:pt>
                <c:pt idx="7">
                  <c:v>0</c:v>
                </c:pt>
                <c:pt idx="8">
                  <c:v>6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'30.07 Ntinda-Naalya'!$X$9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'30.07 Ntinda-Naalya'!$X$10:$X$21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  <c:pt idx="9">
                  <c:v>7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'30.07 Ntinda-Naalya'!$Y$9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Ntinda-Naalya'!$Y$10:$Y$21</c:f>
              <c:numCache>
                <c:formatCode>0</c:formatCode>
                <c:ptCount val="12"/>
                <c:pt idx="0">
                  <c:v>2</c:v>
                </c:pt>
                <c:pt idx="1">
                  <c:v>11</c:v>
                </c:pt>
                <c:pt idx="2">
                  <c:v>25</c:v>
                </c:pt>
                <c:pt idx="3">
                  <c:v>24</c:v>
                </c:pt>
                <c:pt idx="4">
                  <c:v>14</c:v>
                </c:pt>
                <c:pt idx="5">
                  <c:v>22</c:v>
                </c:pt>
                <c:pt idx="6">
                  <c:v>20</c:v>
                </c:pt>
                <c:pt idx="7">
                  <c:v>20</c:v>
                </c:pt>
                <c:pt idx="8">
                  <c:v>25</c:v>
                </c:pt>
                <c:pt idx="9">
                  <c:v>16</c:v>
                </c:pt>
                <c:pt idx="10">
                  <c:v>23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'30.07 Ntinda-Naalya'!$Z$9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Ntinda-Naalya'!$Z$10:$Z$21</c:f>
              <c:numCache>
                <c:formatCode>0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8</c:v>
                </c:pt>
                <c:pt idx="7">
                  <c:v>6</c:v>
                </c:pt>
                <c:pt idx="8">
                  <c:v>10</c:v>
                </c:pt>
                <c:pt idx="9">
                  <c:v>13</c:v>
                </c:pt>
                <c:pt idx="10">
                  <c:v>5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'30.07 Ntinda-Naalya'!$AA$9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Ntinda-Naalya'!$AA$10:$AA$21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'30.07 Ntinda-Naalya'!$AB$9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Ntinda-Naalya'!$AB$10:$AB$21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'30.07 Ntinda-Naalya'!$AC$9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Ntinda-Naalya'!$AC$10:$AC$21</c:f>
              <c:numCache>
                <c:formatCode>0</c:formatCode>
                <c:ptCount val="12"/>
                <c:pt idx="0">
                  <c:v>212</c:v>
                </c:pt>
                <c:pt idx="1">
                  <c:v>309</c:v>
                </c:pt>
                <c:pt idx="2">
                  <c:v>326</c:v>
                </c:pt>
                <c:pt idx="3">
                  <c:v>291</c:v>
                </c:pt>
                <c:pt idx="4">
                  <c:v>277</c:v>
                </c:pt>
                <c:pt idx="5">
                  <c:v>282</c:v>
                </c:pt>
                <c:pt idx="6">
                  <c:v>326</c:v>
                </c:pt>
                <c:pt idx="7">
                  <c:v>280</c:v>
                </c:pt>
                <c:pt idx="8">
                  <c:v>214</c:v>
                </c:pt>
                <c:pt idx="9">
                  <c:v>348</c:v>
                </c:pt>
                <c:pt idx="10">
                  <c:v>382</c:v>
                </c:pt>
                <c:pt idx="11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'30.07 Ntinda-Naalya'!$AD$9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Ntinda-Naalya'!$AD$10:$AD$21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847232"/>
        <c:axId val="132202496"/>
      </c:lineChart>
      <c:catAx>
        <c:axId val="126847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2202496"/>
        <c:crosses val="autoZero"/>
        <c:auto val="1"/>
        <c:lblAlgn val="ctr"/>
        <c:lblOffset val="100"/>
        <c:noMultiLvlLbl val="0"/>
      </c:catAx>
      <c:valAx>
        <c:axId val="13220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684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732E-2"/>
                  <c:y val="-3.243408000329518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 Ntinda-Naalya'!$C$9:$N$9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Ntinda-Naalya'!$C$60:$N$60</c:f>
              <c:numCache>
                <c:formatCode>0.00%</c:formatCode>
                <c:ptCount val="12"/>
                <c:pt idx="0">
                  <c:v>0.68551964512040553</c:v>
                </c:pt>
                <c:pt idx="1">
                  <c:v>0.16032953105196451</c:v>
                </c:pt>
                <c:pt idx="2">
                  <c:v>3.5329531051964513E-2</c:v>
                </c:pt>
                <c:pt idx="3">
                  <c:v>5.5608365019011403E-2</c:v>
                </c:pt>
                <c:pt idx="4">
                  <c:v>3.960709759188847E-3</c:v>
                </c:pt>
                <c:pt idx="5">
                  <c:v>3.960709759188847E-3</c:v>
                </c:pt>
                <c:pt idx="6">
                  <c:v>3.4537389100126742E-2</c:v>
                </c:pt>
                <c:pt idx="7">
                  <c:v>1.4100126742712294E-2</c:v>
                </c:pt>
                <c:pt idx="8">
                  <c:v>4.2775665399239545E-3</c:v>
                </c:pt>
                <c:pt idx="9">
                  <c:v>2.2179974651457541E-3</c:v>
                </c:pt>
                <c:pt idx="11">
                  <c:v>1.5842839036755386E-4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37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Naalya-Ntinda'!$AE$9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'30.07 Naalya-Ntinda'!$R$10:$R$21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Naalya-Ntinda'!$AE$10:$AE$21</c:f>
              <c:numCache>
                <c:formatCode>0</c:formatCode>
                <c:ptCount val="12"/>
                <c:pt idx="0">
                  <c:v>802</c:v>
                </c:pt>
                <c:pt idx="1">
                  <c:v>735</c:v>
                </c:pt>
                <c:pt idx="2">
                  <c:v>490</c:v>
                </c:pt>
                <c:pt idx="3">
                  <c:v>444</c:v>
                </c:pt>
                <c:pt idx="4">
                  <c:v>471</c:v>
                </c:pt>
                <c:pt idx="5">
                  <c:v>378</c:v>
                </c:pt>
                <c:pt idx="6">
                  <c:v>326</c:v>
                </c:pt>
                <c:pt idx="7">
                  <c:v>389</c:v>
                </c:pt>
                <c:pt idx="8">
                  <c:v>415</c:v>
                </c:pt>
                <c:pt idx="9">
                  <c:v>568</c:v>
                </c:pt>
                <c:pt idx="10">
                  <c:v>524</c:v>
                </c:pt>
                <c:pt idx="11">
                  <c:v>345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'30.07 Naalya-Ntinda'!$AF$9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'30.07 Naalya-Ntinda'!$R$10:$R$21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Naalya-Ntinda'!$AF$10:$AF$21</c:f>
              <c:numCache>
                <c:formatCode>0</c:formatCode>
                <c:ptCount val="12"/>
                <c:pt idx="0">
                  <c:v>1151</c:v>
                </c:pt>
                <c:pt idx="1">
                  <c:v>1166</c:v>
                </c:pt>
                <c:pt idx="2">
                  <c:v>887</c:v>
                </c:pt>
                <c:pt idx="3">
                  <c:v>708</c:v>
                </c:pt>
                <c:pt idx="4">
                  <c:v>777</c:v>
                </c:pt>
                <c:pt idx="5">
                  <c:v>688</c:v>
                </c:pt>
                <c:pt idx="6">
                  <c:v>578</c:v>
                </c:pt>
                <c:pt idx="7">
                  <c:v>648</c:v>
                </c:pt>
                <c:pt idx="8">
                  <c:v>683</c:v>
                </c:pt>
                <c:pt idx="9">
                  <c:v>908</c:v>
                </c:pt>
                <c:pt idx="10">
                  <c:v>843</c:v>
                </c:pt>
                <c:pt idx="11">
                  <c:v>654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576000"/>
        <c:axId val="132577920"/>
      </c:lineChart>
      <c:catAx>
        <c:axId val="1325760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2577920"/>
        <c:crosses val="autoZero"/>
        <c:auto val="1"/>
        <c:lblAlgn val="ctr"/>
        <c:lblOffset val="100"/>
        <c:noMultiLvlLbl val="0"/>
      </c:catAx>
      <c:valAx>
        <c:axId val="1325779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257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732E-2"/>
                  <c:y val="-3.243408000329518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 Naalya-Ntinda'!$C$9:$N$9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Naalya-Ntinda'!$C$59:$N$59</c:f>
              <c:numCache>
                <c:formatCode>0.0%</c:formatCode>
                <c:ptCount val="12"/>
                <c:pt idx="0">
                  <c:v>0.30316788773088432</c:v>
                </c:pt>
                <c:pt idx="1">
                  <c:v>0.19481993602311423</c:v>
                </c:pt>
                <c:pt idx="2">
                  <c:v>3.8076565885873492E-2</c:v>
                </c:pt>
                <c:pt idx="3">
                  <c:v>4.6022082344443299E-2</c:v>
                </c:pt>
                <c:pt idx="4">
                  <c:v>4.5402951191827468E-3</c:v>
                </c:pt>
                <c:pt idx="5">
                  <c:v>6.1913115261582913E-4</c:v>
                </c:pt>
                <c:pt idx="6">
                  <c:v>1.0937983696212981E-2</c:v>
                </c:pt>
                <c:pt idx="7">
                  <c:v>7.9455164585698068E-3</c:v>
                </c:pt>
                <c:pt idx="8">
                  <c:v>4.1275410174388609E-4</c:v>
                </c:pt>
                <c:pt idx="9">
                  <c:v>9.2869672892374364E-4</c:v>
                </c:pt>
                <c:pt idx="10">
                  <c:v>0.39252915075843564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93"/>
          <c:y val="2.29602266373237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Naalya-Ntinda'!$S$9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'30.07 Naalya-Ntinda'!$R$10:$R$21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Naalya-Ntinda'!$S$10:$S$21</c:f>
              <c:numCache>
                <c:formatCode>0</c:formatCode>
                <c:ptCount val="12"/>
                <c:pt idx="0">
                  <c:v>451</c:v>
                </c:pt>
                <c:pt idx="1">
                  <c:v>404</c:v>
                </c:pt>
                <c:pt idx="2">
                  <c:v>255</c:v>
                </c:pt>
                <c:pt idx="3">
                  <c:v>210</c:v>
                </c:pt>
                <c:pt idx="4">
                  <c:v>204</c:v>
                </c:pt>
                <c:pt idx="5">
                  <c:v>191</c:v>
                </c:pt>
                <c:pt idx="6">
                  <c:v>158</c:v>
                </c:pt>
                <c:pt idx="7">
                  <c:v>174</c:v>
                </c:pt>
                <c:pt idx="8">
                  <c:v>189</c:v>
                </c:pt>
                <c:pt idx="9">
                  <c:v>281</c:v>
                </c:pt>
                <c:pt idx="10">
                  <c:v>252</c:v>
                </c:pt>
                <c:pt idx="11">
                  <c:v>169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'30.07 Naalya-Ntinda'!$T$9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'30.07 Naalya-Ntinda'!$R$10:$R$21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Naalya-Ntinda'!$T$10:$T$21</c:f>
              <c:numCache>
                <c:formatCode>0</c:formatCode>
                <c:ptCount val="12"/>
                <c:pt idx="0">
                  <c:v>254</c:v>
                </c:pt>
                <c:pt idx="1">
                  <c:v>253</c:v>
                </c:pt>
                <c:pt idx="2">
                  <c:v>160</c:v>
                </c:pt>
                <c:pt idx="3">
                  <c:v>126</c:v>
                </c:pt>
                <c:pt idx="4">
                  <c:v>156</c:v>
                </c:pt>
                <c:pt idx="5">
                  <c:v>110</c:v>
                </c:pt>
                <c:pt idx="6">
                  <c:v>96</c:v>
                </c:pt>
                <c:pt idx="7">
                  <c:v>123</c:v>
                </c:pt>
                <c:pt idx="8">
                  <c:v>139</c:v>
                </c:pt>
                <c:pt idx="9">
                  <c:v>187</c:v>
                </c:pt>
                <c:pt idx="10">
                  <c:v>180</c:v>
                </c:pt>
                <c:pt idx="11">
                  <c:v>104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'30.07 Naalya-Ntinda'!$U$9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'30.07 Naalya-Ntinda'!$U$10:$U$21</c:f>
              <c:numCache>
                <c:formatCode>0</c:formatCode>
                <c:ptCount val="12"/>
                <c:pt idx="0">
                  <c:v>40</c:v>
                </c:pt>
                <c:pt idx="1">
                  <c:v>31</c:v>
                </c:pt>
                <c:pt idx="2">
                  <c:v>32</c:v>
                </c:pt>
                <c:pt idx="3">
                  <c:v>25</c:v>
                </c:pt>
                <c:pt idx="4">
                  <c:v>28</c:v>
                </c:pt>
                <c:pt idx="5">
                  <c:v>31</c:v>
                </c:pt>
                <c:pt idx="6">
                  <c:v>21</c:v>
                </c:pt>
                <c:pt idx="7">
                  <c:v>28</c:v>
                </c:pt>
                <c:pt idx="8">
                  <c:v>29</c:v>
                </c:pt>
                <c:pt idx="9">
                  <c:v>43</c:v>
                </c:pt>
                <c:pt idx="10">
                  <c:v>31</c:v>
                </c:pt>
                <c:pt idx="1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'30.07 Naalya-Ntinda'!$V$9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'30.07 Naalya-Ntinda'!$V$10:$V$21</c:f>
              <c:numCache>
                <c:formatCode>0</c:formatCode>
                <c:ptCount val="12"/>
                <c:pt idx="0">
                  <c:v>38</c:v>
                </c:pt>
                <c:pt idx="1">
                  <c:v>30</c:v>
                </c:pt>
                <c:pt idx="2">
                  <c:v>32</c:v>
                </c:pt>
                <c:pt idx="3">
                  <c:v>55</c:v>
                </c:pt>
                <c:pt idx="4">
                  <c:v>56</c:v>
                </c:pt>
                <c:pt idx="5">
                  <c:v>29</c:v>
                </c:pt>
                <c:pt idx="6">
                  <c:v>33</c:v>
                </c:pt>
                <c:pt idx="7">
                  <c:v>36</c:v>
                </c:pt>
                <c:pt idx="8">
                  <c:v>30</c:v>
                </c:pt>
                <c:pt idx="9">
                  <c:v>38</c:v>
                </c:pt>
                <c:pt idx="10">
                  <c:v>36</c:v>
                </c:pt>
                <c:pt idx="11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'30.07 Naalya-Ntinda'!$W$9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'30.07 Naalya-Ntinda'!$W$10:$W$21</c:f>
              <c:numCache>
                <c:formatCode>0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7</c:v>
                </c:pt>
                <c:pt idx="4">
                  <c:v>2</c:v>
                </c:pt>
                <c:pt idx="5">
                  <c:v>2</c:v>
                </c:pt>
                <c:pt idx="6">
                  <c:v>5</c:v>
                </c:pt>
                <c:pt idx="7">
                  <c:v>7</c:v>
                </c:pt>
                <c:pt idx="8">
                  <c:v>4</c:v>
                </c:pt>
                <c:pt idx="9">
                  <c:v>7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'30.07 Naalya-Ntinda'!$X$9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'30.07 Naalya-Ntinda'!$X$10:$X$21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'30.07 Naalya-Ntinda'!$Y$9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Naalya-Ntinda'!$Y$10:$Y$21</c:f>
              <c:numCache>
                <c:formatCode>0</c:formatCode>
                <c:ptCount val="12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9</c:v>
                </c:pt>
                <c:pt idx="4">
                  <c:v>17</c:v>
                </c:pt>
                <c:pt idx="5">
                  <c:v>7</c:v>
                </c:pt>
                <c:pt idx="6">
                  <c:v>7</c:v>
                </c:pt>
                <c:pt idx="7">
                  <c:v>8</c:v>
                </c:pt>
                <c:pt idx="8">
                  <c:v>10</c:v>
                </c:pt>
                <c:pt idx="9">
                  <c:v>7</c:v>
                </c:pt>
                <c:pt idx="10">
                  <c:v>14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'30.07 Naalya-Ntinda'!$Z$9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Naalya-Ntinda'!$Z$10:$Z$21</c:f>
              <c:numCache>
                <c:formatCode>0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2</c:v>
                </c:pt>
                <c:pt idx="3">
                  <c:v>10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12</c:v>
                </c:pt>
                <c:pt idx="8">
                  <c:v>12</c:v>
                </c:pt>
                <c:pt idx="9">
                  <c:v>4</c:v>
                </c:pt>
                <c:pt idx="10">
                  <c:v>6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'30.07 Naalya-Ntinda'!$AA$9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Naalya-Ntinda'!$AA$10:$AA$21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'30.07 Naalya-Ntinda'!$AB$9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Naalya-Ntinda'!$AB$10:$AB$21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'30.07 Naalya-Ntinda'!$AC$9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Naalya-Ntinda'!$AC$10:$AC$21</c:f>
              <c:numCache>
                <c:formatCode>0</c:formatCode>
                <c:ptCount val="12"/>
                <c:pt idx="0">
                  <c:v>349</c:v>
                </c:pt>
                <c:pt idx="1">
                  <c:v>431</c:v>
                </c:pt>
                <c:pt idx="2">
                  <c:v>397</c:v>
                </c:pt>
                <c:pt idx="3">
                  <c:v>264</c:v>
                </c:pt>
                <c:pt idx="4">
                  <c:v>306</c:v>
                </c:pt>
                <c:pt idx="5">
                  <c:v>310</c:v>
                </c:pt>
                <c:pt idx="6">
                  <c:v>252</c:v>
                </c:pt>
                <c:pt idx="7">
                  <c:v>259</c:v>
                </c:pt>
                <c:pt idx="8">
                  <c:v>268</c:v>
                </c:pt>
                <c:pt idx="9">
                  <c:v>340</c:v>
                </c:pt>
                <c:pt idx="10">
                  <c:v>319</c:v>
                </c:pt>
                <c:pt idx="11">
                  <c:v>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'30.07 Naalya-Ntinda'!$AD$9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Naalya-Ntinda'!$AD$10:$AD$21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68160"/>
        <c:axId val="156782592"/>
      </c:lineChart>
      <c:catAx>
        <c:axId val="150268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6782592"/>
        <c:crosses val="autoZero"/>
        <c:auto val="1"/>
        <c:lblAlgn val="ctr"/>
        <c:lblOffset val="100"/>
        <c:noMultiLvlLbl val="0"/>
      </c:catAx>
      <c:valAx>
        <c:axId val="15678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026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732E-2"/>
                  <c:y val="-3.243408000329518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 Naalya-Ntinda'!$C$9:$N$9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Naalya-Ntinda'!$C$60:$N$60</c:f>
              <c:numCache>
                <c:formatCode>0.00%</c:formatCode>
                <c:ptCount val="12"/>
                <c:pt idx="0">
                  <c:v>0.49906573806692711</c:v>
                </c:pt>
                <c:pt idx="1">
                  <c:v>0.32070664175301511</c:v>
                </c:pt>
                <c:pt idx="2">
                  <c:v>6.2680482418889072E-2</c:v>
                </c:pt>
                <c:pt idx="3">
                  <c:v>7.5760149481909289E-2</c:v>
                </c:pt>
                <c:pt idx="4">
                  <c:v>7.4740954645829798E-3</c:v>
                </c:pt>
                <c:pt idx="5">
                  <c:v>1.0191948360794973E-3</c:v>
                </c:pt>
                <c:pt idx="6">
                  <c:v>1.8005775437404451E-2</c:v>
                </c:pt>
                <c:pt idx="7">
                  <c:v>1.3079667063020214E-2</c:v>
                </c:pt>
                <c:pt idx="8">
                  <c:v>6.794632240529981E-4</c:v>
                </c:pt>
                <c:pt idx="9">
                  <c:v>1.5287922541192458E-3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37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'31.07 Ntinda-Naalya'!$AE$9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'31.07 Ntinda-Naalya'!$R$10:$R$21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Ntinda-Naalya'!$AE$10:$AE$21</c:f>
              <c:numCache>
                <c:formatCode>0</c:formatCode>
                <c:ptCount val="12"/>
                <c:pt idx="0">
                  <c:v>632</c:v>
                </c:pt>
                <c:pt idx="1">
                  <c:v>487</c:v>
                </c:pt>
                <c:pt idx="2">
                  <c:v>389</c:v>
                </c:pt>
                <c:pt idx="3">
                  <c:v>348</c:v>
                </c:pt>
                <c:pt idx="4">
                  <c:v>383</c:v>
                </c:pt>
                <c:pt idx="5">
                  <c:v>381</c:v>
                </c:pt>
                <c:pt idx="6">
                  <c:v>368</c:v>
                </c:pt>
                <c:pt idx="7">
                  <c:v>486</c:v>
                </c:pt>
                <c:pt idx="8">
                  <c:v>502</c:v>
                </c:pt>
                <c:pt idx="9">
                  <c:v>745</c:v>
                </c:pt>
                <c:pt idx="10">
                  <c:v>801</c:v>
                </c:pt>
                <c:pt idx="11">
                  <c:v>895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'31.07 Ntinda-Naalya'!$AF$9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'31.07 Ntinda-Naalya'!$R$10:$R$21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Ntinda-Naalya'!$AF$10:$AF$21</c:f>
              <c:numCache>
                <c:formatCode>0</c:formatCode>
                <c:ptCount val="12"/>
                <c:pt idx="0">
                  <c:v>848</c:v>
                </c:pt>
                <c:pt idx="1">
                  <c:v>743</c:v>
                </c:pt>
                <c:pt idx="2">
                  <c:v>629</c:v>
                </c:pt>
                <c:pt idx="3">
                  <c:v>590</c:v>
                </c:pt>
                <c:pt idx="4">
                  <c:v>584</c:v>
                </c:pt>
                <c:pt idx="5">
                  <c:v>567</c:v>
                </c:pt>
                <c:pt idx="6">
                  <c:v>622</c:v>
                </c:pt>
                <c:pt idx="7">
                  <c:v>807</c:v>
                </c:pt>
                <c:pt idx="8">
                  <c:v>748</c:v>
                </c:pt>
                <c:pt idx="9">
                  <c:v>997</c:v>
                </c:pt>
                <c:pt idx="10">
                  <c:v>1090</c:v>
                </c:pt>
                <c:pt idx="11">
                  <c:v>1195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929088"/>
        <c:axId val="159931008"/>
      </c:lineChart>
      <c:catAx>
        <c:axId val="159929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31008"/>
        <c:crosses val="autoZero"/>
        <c:auto val="1"/>
        <c:lblAlgn val="ctr"/>
        <c:lblOffset val="100"/>
        <c:noMultiLvlLbl val="0"/>
      </c:catAx>
      <c:valAx>
        <c:axId val="1599310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2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732E-2"/>
                  <c:y val="-3.243408000329518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Ntinda-Naalya'!$C$9:$N$9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Ntinda-Naalya'!$C$59:$N$59</c:f>
              <c:numCache>
                <c:formatCode>0.0%</c:formatCode>
                <c:ptCount val="12"/>
                <c:pt idx="0">
                  <c:v>0.4778131634819533</c:v>
                </c:pt>
                <c:pt idx="1">
                  <c:v>0.10212314225053079</c:v>
                </c:pt>
                <c:pt idx="2">
                  <c:v>2.1549893842887472E-2</c:v>
                </c:pt>
                <c:pt idx="3">
                  <c:v>4.3418259023354562E-2</c:v>
                </c:pt>
                <c:pt idx="4">
                  <c:v>2.9723991507431E-3</c:v>
                </c:pt>
                <c:pt idx="5">
                  <c:v>1.6985138004246285E-3</c:v>
                </c:pt>
                <c:pt idx="6">
                  <c:v>2.0169851380042462E-2</c:v>
                </c:pt>
                <c:pt idx="7">
                  <c:v>8.5987261146496814E-3</c:v>
                </c:pt>
                <c:pt idx="8">
                  <c:v>2.4416135881104033E-3</c:v>
                </c:pt>
                <c:pt idx="9">
                  <c:v>4.2462845010615713E-4</c:v>
                </c:pt>
                <c:pt idx="10">
                  <c:v>0.31878980891719744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93"/>
          <c:y val="2.29602266373237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'31.07 Ntinda-Naalya'!$S$9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'31.07 Ntinda-Naalya'!$R$10:$R$21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Ntinda-Naalya'!$S$10:$S$21</c:f>
              <c:numCache>
                <c:formatCode>0</c:formatCode>
                <c:ptCount val="12"/>
                <c:pt idx="0">
                  <c:v>492</c:v>
                </c:pt>
                <c:pt idx="1">
                  <c:v>318</c:v>
                </c:pt>
                <c:pt idx="2">
                  <c:v>236</c:v>
                </c:pt>
                <c:pt idx="3">
                  <c:v>224</c:v>
                </c:pt>
                <c:pt idx="4">
                  <c:v>243</c:v>
                </c:pt>
                <c:pt idx="5">
                  <c:v>228</c:v>
                </c:pt>
                <c:pt idx="6">
                  <c:v>260</c:v>
                </c:pt>
                <c:pt idx="7">
                  <c:v>307</c:v>
                </c:pt>
                <c:pt idx="8">
                  <c:v>357</c:v>
                </c:pt>
                <c:pt idx="9">
                  <c:v>562</c:v>
                </c:pt>
                <c:pt idx="10">
                  <c:v>611</c:v>
                </c:pt>
                <c:pt idx="11">
                  <c:v>663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'31.07 Ntinda-Naalya'!$T$9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'31.07 Ntinda-Naalya'!$R$10:$R$21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Ntinda-Naalya'!$T$10:$T$21</c:f>
              <c:numCache>
                <c:formatCode>0</c:formatCode>
                <c:ptCount val="12"/>
                <c:pt idx="0">
                  <c:v>67</c:v>
                </c:pt>
                <c:pt idx="1">
                  <c:v>85</c:v>
                </c:pt>
                <c:pt idx="2">
                  <c:v>80</c:v>
                </c:pt>
                <c:pt idx="3">
                  <c:v>51</c:v>
                </c:pt>
                <c:pt idx="4">
                  <c:v>60</c:v>
                </c:pt>
                <c:pt idx="5">
                  <c:v>72</c:v>
                </c:pt>
                <c:pt idx="6">
                  <c:v>29</c:v>
                </c:pt>
                <c:pt idx="7">
                  <c:v>91</c:v>
                </c:pt>
                <c:pt idx="8">
                  <c:v>84</c:v>
                </c:pt>
                <c:pt idx="9">
                  <c:v>109</c:v>
                </c:pt>
                <c:pt idx="10">
                  <c:v>107</c:v>
                </c:pt>
                <c:pt idx="11">
                  <c:v>127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'31.07 Ntinda-Naalya'!$U$9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'31.07 Ntinda-Naalya'!$U$10:$U$21</c:f>
              <c:numCache>
                <c:formatCode>0</c:formatCode>
                <c:ptCount val="12"/>
                <c:pt idx="0">
                  <c:v>21</c:v>
                </c:pt>
                <c:pt idx="1">
                  <c:v>12</c:v>
                </c:pt>
                <c:pt idx="2">
                  <c:v>15</c:v>
                </c:pt>
                <c:pt idx="3">
                  <c:v>18</c:v>
                </c:pt>
                <c:pt idx="4">
                  <c:v>14</c:v>
                </c:pt>
                <c:pt idx="5">
                  <c:v>15</c:v>
                </c:pt>
                <c:pt idx="6">
                  <c:v>29</c:v>
                </c:pt>
                <c:pt idx="7">
                  <c:v>24</c:v>
                </c:pt>
                <c:pt idx="8">
                  <c:v>11</c:v>
                </c:pt>
                <c:pt idx="9">
                  <c:v>11</c:v>
                </c:pt>
                <c:pt idx="10">
                  <c:v>23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'31.07 Ntinda-Naalya'!$V$9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'31.07 Ntinda-Naalya'!$V$10:$V$21</c:f>
              <c:numCache>
                <c:formatCode>0</c:formatCode>
                <c:ptCount val="12"/>
                <c:pt idx="0">
                  <c:v>32</c:v>
                </c:pt>
                <c:pt idx="1">
                  <c:v>50</c:v>
                </c:pt>
                <c:pt idx="2">
                  <c:v>35</c:v>
                </c:pt>
                <c:pt idx="3">
                  <c:v>24</c:v>
                </c:pt>
                <c:pt idx="4">
                  <c:v>30</c:v>
                </c:pt>
                <c:pt idx="5">
                  <c:v>37</c:v>
                </c:pt>
                <c:pt idx="6">
                  <c:v>22</c:v>
                </c:pt>
                <c:pt idx="7">
                  <c:v>34</c:v>
                </c:pt>
                <c:pt idx="8">
                  <c:v>25</c:v>
                </c:pt>
                <c:pt idx="9">
                  <c:v>36</c:v>
                </c:pt>
                <c:pt idx="10">
                  <c:v>37</c:v>
                </c:pt>
                <c:pt idx="11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'31.07 Ntinda-Naalya'!$W$9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'31.07 Ntinda-Naalya'!$W$10:$W$21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6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'31.07 Ntinda-Naalya'!$X$9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'31.07 Ntinda-Naalya'!$X$10:$X$21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'31.07 Ntinda-Naalya'!$Y$9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Ntinda-Naalya'!$Y$10:$Y$21</c:f>
              <c:numCache>
                <c:formatCode>0</c:formatCode>
                <c:ptCount val="12"/>
                <c:pt idx="0">
                  <c:v>15</c:v>
                </c:pt>
                <c:pt idx="1">
                  <c:v>13</c:v>
                </c:pt>
                <c:pt idx="2">
                  <c:v>14</c:v>
                </c:pt>
                <c:pt idx="3">
                  <c:v>21</c:v>
                </c:pt>
                <c:pt idx="4">
                  <c:v>23</c:v>
                </c:pt>
                <c:pt idx="5">
                  <c:v>15</c:v>
                </c:pt>
                <c:pt idx="6">
                  <c:v>20</c:v>
                </c:pt>
                <c:pt idx="7">
                  <c:v>16</c:v>
                </c:pt>
                <c:pt idx="8">
                  <c:v>6</c:v>
                </c:pt>
                <c:pt idx="9">
                  <c:v>18</c:v>
                </c:pt>
                <c:pt idx="10">
                  <c:v>8</c:v>
                </c:pt>
                <c:pt idx="1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'31.07 Ntinda-Naalya'!$Z$9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Ntinda-Naalya'!$Z$10:$Z$21</c:f>
              <c:numCache>
                <c:formatCode>0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9</c:v>
                </c:pt>
                <c:pt idx="4">
                  <c:v>5</c:v>
                </c:pt>
                <c:pt idx="5">
                  <c:v>10</c:v>
                </c:pt>
                <c:pt idx="6">
                  <c:v>5</c:v>
                </c:pt>
                <c:pt idx="7">
                  <c:v>4</c:v>
                </c:pt>
                <c:pt idx="8">
                  <c:v>14</c:v>
                </c:pt>
                <c:pt idx="9">
                  <c:v>7</c:v>
                </c:pt>
                <c:pt idx="10">
                  <c:v>8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'31.07 Ntinda-Naalya'!$AA$9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Ntinda-Naalya'!$AA$10:$AA$21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0</c:v>
                </c:pt>
                <c:pt idx="4">
                  <c:v>5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'31.07 Ntinda-Naalya'!$AB$9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Ntinda-Naalya'!$AB$10:$AB$21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'31.07 Ntinda-Naalya'!$AC$9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Ntinda-Naalya'!$AC$10:$AC$21</c:f>
              <c:numCache>
                <c:formatCode>0</c:formatCode>
                <c:ptCount val="12"/>
                <c:pt idx="0">
                  <c:v>216</c:v>
                </c:pt>
                <c:pt idx="1">
                  <c:v>256</c:v>
                </c:pt>
                <c:pt idx="2">
                  <c:v>240</c:v>
                </c:pt>
                <c:pt idx="3">
                  <c:v>242</c:v>
                </c:pt>
                <c:pt idx="4">
                  <c:v>201</c:v>
                </c:pt>
                <c:pt idx="5">
                  <c:v>186</c:v>
                </c:pt>
                <c:pt idx="6">
                  <c:v>254</c:v>
                </c:pt>
                <c:pt idx="7">
                  <c:v>321</c:v>
                </c:pt>
                <c:pt idx="8">
                  <c:v>246</c:v>
                </c:pt>
                <c:pt idx="9">
                  <c:v>252</c:v>
                </c:pt>
                <c:pt idx="10">
                  <c:v>289</c:v>
                </c:pt>
                <c:pt idx="11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'31.07 Ntinda-Naalya'!$AD$9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Ntinda-Naalya'!$AD$10:$AD$21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491776"/>
        <c:axId val="160509952"/>
      </c:lineChart>
      <c:catAx>
        <c:axId val="160491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509952"/>
        <c:crosses val="autoZero"/>
        <c:auto val="1"/>
        <c:lblAlgn val="ctr"/>
        <c:lblOffset val="100"/>
        <c:noMultiLvlLbl val="0"/>
      </c:catAx>
      <c:valAx>
        <c:axId val="16050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4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732E-2"/>
                  <c:y val="-3.243408000329518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Ntinda-Naalya'!$C$9:$N$9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Ntinda-Naalya'!$C$60:$N$60</c:f>
              <c:numCache>
                <c:formatCode>0.00%</c:formatCode>
                <c:ptCount val="12"/>
                <c:pt idx="0">
                  <c:v>0.70141810815022598</c:v>
                </c:pt>
                <c:pt idx="1">
                  <c:v>0.1499142901667446</c:v>
                </c:pt>
                <c:pt idx="2">
                  <c:v>3.1634720274271465E-2</c:v>
                </c:pt>
                <c:pt idx="3">
                  <c:v>6.3736948729936113E-2</c:v>
                </c:pt>
                <c:pt idx="4">
                  <c:v>4.363409693002961E-3</c:v>
                </c:pt>
                <c:pt idx="5">
                  <c:v>2.4933769674302633E-3</c:v>
                </c:pt>
                <c:pt idx="6">
                  <c:v>2.9608851488234379E-2</c:v>
                </c:pt>
                <c:pt idx="7">
                  <c:v>1.2622720897615708E-2</c:v>
                </c:pt>
                <c:pt idx="8">
                  <c:v>3.5842293906810036E-3</c:v>
                </c:pt>
                <c:pt idx="9">
                  <c:v>6.2334424185756584E-4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37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'31.07 Naalya-Ntinda'!$AE$9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'31.07 Naalya-Ntinda'!$R$10:$R$21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Naalya-Ntinda'!$AE$10:$AE$21</c:f>
              <c:numCache>
                <c:formatCode>0</c:formatCode>
                <c:ptCount val="12"/>
                <c:pt idx="0">
                  <c:v>859</c:v>
                </c:pt>
                <c:pt idx="1">
                  <c:v>675</c:v>
                </c:pt>
                <c:pt idx="2">
                  <c:v>557</c:v>
                </c:pt>
                <c:pt idx="3">
                  <c:v>557</c:v>
                </c:pt>
                <c:pt idx="4">
                  <c:v>477</c:v>
                </c:pt>
                <c:pt idx="5">
                  <c:v>383</c:v>
                </c:pt>
                <c:pt idx="6">
                  <c:v>449</c:v>
                </c:pt>
                <c:pt idx="7">
                  <c:v>244</c:v>
                </c:pt>
                <c:pt idx="8">
                  <c:v>345</c:v>
                </c:pt>
                <c:pt idx="9">
                  <c:v>573</c:v>
                </c:pt>
                <c:pt idx="10">
                  <c:v>589</c:v>
                </c:pt>
                <c:pt idx="11">
                  <c:v>392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'31.07 Naalya-Ntinda'!$AF$9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'31.07 Naalya-Ntinda'!$R$10:$R$21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Naalya-Ntinda'!$AF$10:$AF$21</c:f>
              <c:numCache>
                <c:formatCode>0</c:formatCode>
                <c:ptCount val="12"/>
                <c:pt idx="0">
                  <c:v>1233</c:v>
                </c:pt>
                <c:pt idx="1">
                  <c:v>1171</c:v>
                </c:pt>
                <c:pt idx="2">
                  <c:v>895</c:v>
                </c:pt>
                <c:pt idx="3">
                  <c:v>923</c:v>
                </c:pt>
                <c:pt idx="4">
                  <c:v>757</c:v>
                </c:pt>
                <c:pt idx="5">
                  <c:v>666</c:v>
                </c:pt>
                <c:pt idx="6">
                  <c:v>688</c:v>
                </c:pt>
                <c:pt idx="7">
                  <c:v>494</c:v>
                </c:pt>
                <c:pt idx="8">
                  <c:v>655</c:v>
                </c:pt>
                <c:pt idx="9">
                  <c:v>854</c:v>
                </c:pt>
                <c:pt idx="10">
                  <c:v>976</c:v>
                </c:pt>
                <c:pt idx="11">
                  <c:v>833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25248"/>
        <c:axId val="162327168"/>
      </c:lineChart>
      <c:catAx>
        <c:axId val="1623252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2327168"/>
        <c:crosses val="autoZero"/>
        <c:auto val="1"/>
        <c:lblAlgn val="ctr"/>
        <c:lblOffset val="100"/>
        <c:noMultiLvlLbl val="0"/>
      </c:catAx>
      <c:valAx>
        <c:axId val="1623271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232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732E-2"/>
                  <c:y val="-3.243408000329518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Naalya-Ntinda'!$C$9:$N$9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Naalya-Ntinda'!$C$59:$N$59</c:f>
              <c:numCache>
                <c:formatCode>0.0%</c:formatCode>
                <c:ptCount val="12"/>
                <c:pt idx="0">
                  <c:v>0.29443075406604241</c:v>
                </c:pt>
                <c:pt idx="1">
                  <c:v>0.20187284376540168</c:v>
                </c:pt>
                <c:pt idx="2">
                  <c:v>3.8344011828486936E-2</c:v>
                </c:pt>
                <c:pt idx="3">
                  <c:v>4.3371118777723018E-2</c:v>
                </c:pt>
                <c:pt idx="4">
                  <c:v>4.829965500246427E-3</c:v>
                </c:pt>
                <c:pt idx="5">
                  <c:v>1.0842779694430753E-3</c:v>
                </c:pt>
                <c:pt idx="6">
                  <c:v>1.9714144898965008E-4</c:v>
                </c:pt>
                <c:pt idx="7">
                  <c:v>3.9428289797930016E-4</c:v>
                </c:pt>
                <c:pt idx="8">
                  <c:v>8.8713652045342532E-4</c:v>
                </c:pt>
                <c:pt idx="9">
                  <c:v>8.8713652045342532E-4</c:v>
                </c:pt>
                <c:pt idx="10">
                  <c:v>0.39871858058156728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732E-2"/>
                  <c:y val="-3.243408000329518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Naalya-Ntinda'!$C$9:$N$9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Naalya-Ntinda'!$C$60:$N$60</c:f>
              <c:numCache>
                <c:formatCode>0.00%</c:formatCode>
                <c:ptCount val="12"/>
                <c:pt idx="0">
                  <c:v>0.48967213114754099</c:v>
                </c:pt>
                <c:pt idx="1">
                  <c:v>0.33573770491803279</c:v>
                </c:pt>
                <c:pt idx="2">
                  <c:v>6.3770491803278692E-2</c:v>
                </c:pt>
                <c:pt idx="3">
                  <c:v>7.2131147540983612E-2</c:v>
                </c:pt>
                <c:pt idx="4">
                  <c:v>8.032786885245901E-3</c:v>
                </c:pt>
                <c:pt idx="5">
                  <c:v>1.8032786885245902E-3</c:v>
                </c:pt>
                <c:pt idx="6">
                  <c:v>3.2786885245901639E-4</c:v>
                </c:pt>
                <c:pt idx="7">
                  <c:v>6.5573770491803279E-4</c:v>
                </c:pt>
                <c:pt idx="8">
                  <c:v>1.4754098360655738E-3</c:v>
                </c:pt>
                <c:pt idx="9">
                  <c:v>1.4754098360655738E-3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5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'01.08 Ntinda-Naalya 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'01.08 Ntinda-Naalya 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'01.08 Ntinda-Naalya 24h'!$AE$10:$AE$33</c:f>
              <c:numCache>
                <c:formatCode>0</c:formatCode>
                <c:ptCount val="24"/>
                <c:pt idx="0">
                  <c:v>624</c:v>
                </c:pt>
                <c:pt idx="1">
                  <c:v>369</c:v>
                </c:pt>
                <c:pt idx="2">
                  <c:v>353</c:v>
                </c:pt>
                <c:pt idx="3">
                  <c:v>377</c:v>
                </c:pt>
                <c:pt idx="4">
                  <c:v>363</c:v>
                </c:pt>
                <c:pt idx="5">
                  <c:v>465</c:v>
                </c:pt>
                <c:pt idx="6">
                  <c:v>453</c:v>
                </c:pt>
                <c:pt idx="7">
                  <c:v>448</c:v>
                </c:pt>
                <c:pt idx="8">
                  <c:v>546</c:v>
                </c:pt>
                <c:pt idx="9">
                  <c:v>794</c:v>
                </c:pt>
                <c:pt idx="10">
                  <c:v>885</c:v>
                </c:pt>
                <c:pt idx="11">
                  <c:v>893</c:v>
                </c:pt>
                <c:pt idx="12">
                  <c:v>749</c:v>
                </c:pt>
                <c:pt idx="13">
                  <c:v>494</c:v>
                </c:pt>
                <c:pt idx="14">
                  <c:v>683</c:v>
                </c:pt>
                <c:pt idx="15">
                  <c:v>436</c:v>
                </c:pt>
                <c:pt idx="16">
                  <c:v>248</c:v>
                </c:pt>
                <c:pt idx="17">
                  <c:v>124</c:v>
                </c:pt>
                <c:pt idx="18">
                  <c:v>44</c:v>
                </c:pt>
                <c:pt idx="19">
                  <c:v>28</c:v>
                </c:pt>
                <c:pt idx="20">
                  <c:v>33</c:v>
                </c:pt>
                <c:pt idx="21">
                  <c:v>41</c:v>
                </c:pt>
                <c:pt idx="22">
                  <c:v>118</c:v>
                </c:pt>
                <c:pt idx="23">
                  <c:v>424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'01.08 Ntinda-Naalya 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'01.08 Ntinda-Naalya 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'01.08 Ntinda-Naalya 24h'!$AF$10:$AF$33</c:f>
              <c:numCache>
                <c:formatCode>0</c:formatCode>
                <c:ptCount val="24"/>
                <c:pt idx="0">
                  <c:v>830</c:v>
                </c:pt>
                <c:pt idx="1">
                  <c:v>626</c:v>
                </c:pt>
                <c:pt idx="2">
                  <c:v>587</c:v>
                </c:pt>
                <c:pt idx="3">
                  <c:v>667</c:v>
                </c:pt>
                <c:pt idx="4">
                  <c:v>571</c:v>
                </c:pt>
                <c:pt idx="5">
                  <c:v>608</c:v>
                </c:pt>
                <c:pt idx="6">
                  <c:v>602</c:v>
                </c:pt>
                <c:pt idx="7">
                  <c:v>579</c:v>
                </c:pt>
                <c:pt idx="8">
                  <c:v>785</c:v>
                </c:pt>
                <c:pt idx="9">
                  <c:v>1122</c:v>
                </c:pt>
                <c:pt idx="10">
                  <c:v>1153</c:v>
                </c:pt>
                <c:pt idx="11">
                  <c:v>1156</c:v>
                </c:pt>
                <c:pt idx="12">
                  <c:v>1071</c:v>
                </c:pt>
                <c:pt idx="13">
                  <c:v>797</c:v>
                </c:pt>
                <c:pt idx="14">
                  <c:v>882</c:v>
                </c:pt>
                <c:pt idx="15">
                  <c:v>593</c:v>
                </c:pt>
                <c:pt idx="16">
                  <c:v>303</c:v>
                </c:pt>
                <c:pt idx="17">
                  <c:v>155</c:v>
                </c:pt>
                <c:pt idx="18">
                  <c:v>60</c:v>
                </c:pt>
                <c:pt idx="19">
                  <c:v>45</c:v>
                </c:pt>
                <c:pt idx="20">
                  <c:v>50</c:v>
                </c:pt>
                <c:pt idx="21">
                  <c:v>54</c:v>
                </c:pt>
                <c:pt idx="22">
                  <c:v>142</c:v>
                </c:pt>
                <c:pt idx="23">
                  <c:v>469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995200"/>
        <c:axId val="163013760"/>
      </c:lineChart>
      <c:catAx>
        <c:axId val="1629952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3013760"/>
        <c:crosses val="autoZero"/>
        <c:auto val="1"/>
        <c:lblAlgn val="ctr"/>
        <c:lblOffset val="100"/>
        <c:noMultiLvlLbl val="0"/>
      </c:catAx>
      <c:valAx>
        <c:axId val="1630137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299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732E-2"/>
                  <c:y val="-3.243408000329518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Ntinda-Naalya 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Ntinda-Naalya 24h'!$C$107:$N$107</c:f>
              <c:numCache>
                <c:formatCode>0.0%</c:formatCode>
                <c:ptCount val="12"/>
                <c:pt idx="0">
                  <c:v>0.51880348026173873</c:v>
                </c:pt>
                <c:pt idx="1">
                  <c:v>0.10570216437765154</c:v>
                </c:pt>
                <c:pt idx="2">
                  <c:v>3.1566836844754441E-2</c:v>
                </c:pt>
                <c:pt idx="3">
                  <c:v>3.393974257568131E-2</c:v>
                </c:pt>
                <c:pt idx="4">
                  <c:v>3.6672179477960738E-3</c:v>
                </c:pt>
                <c:pt idx="5">
                  <c:v>5.0334363989357873E-4</c:v>
                </c:pt>
                <c:pt idx="6">
                  <c:v>1.488459049399583E-2</c:v>
                </c:pt>
                <c:pt idx="7">
                  <c:v>5.5367800388293666E-3</c:v>
                </c:pt>
                <c:pt idx="8">
                  <c:v>2.8043431365499388E-3</c:v>
                </c:pt>
                <c:pt idx="9">
                  <c:v>1.0785935140576687E-3</c:v>
                </c:pt>
                <c:pt idx="10">
                  <c:v>0.28151290716905153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732E-2"/>
                  <c:y val="-3.243408000329518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Ntinda-Naalya 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Ntinda-Naalya 24h'!$C$108:$N$108</c:f>
              <c:numCache>
                <c:formatCode>0.00%</c:formatCode>
                <c:ptCount val="12"/>
                <c:pt idx="0">
                  <c:v>0.72207766212970381</c:v>
                </c:pt>
                <c:pt idx="1">
                  <c:v>0.14711769415532425</c:v>
                </c:pt>
                <c:pt idx="2">
                  <c:v>4.3935148118494798E-2</c:v>
                </c:pt>
                <c:pt idx="3">
                  <c:v>4.7237790232185752E-2</c:v>
                </c:pt>
                <c:pt idx="4">
                  <c:v>5.1040832666132911E-3</c:v>
                </c:pt>
                <c:pt idx="5">
                  <c:v>7.005604483586869E-4</c:v>
                </c:pt>
                <c:pt idx="6">
                  <c:v>2.0716573258606884E-2</c:v>
                </c:pt>
                <c:pt idx="7">
                  <c:v>7.706164931945556E-3</c:v>
                </c:pt>
                <c:pt idx="8">
                  <c:v>3.9031224979983988E-3</c:v>
                </c:pt>
                <c:pt idx="9">
                  <c:v>1.5012009607686149E-3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5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'01.08 Naalya-Ntinda 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'01.08 Naalya-Ntinda 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'01.08 Naalya-Ntinda 24h'!$AE$10:$AE$33</c:f>
              <c:numCache>
                <c:formatCode>0</c:formatCode>
                <c:ptCount val="24"/>
                <c:pt idx="0">
                  <c:v>796</c:v>
                </c:pt>
                <c:pt idx="1">
                  <c:v>780</c:v>
                </c:pt>
                <c:pt idx="2">
                  <c:v>574</c:v>
                </c:pt>
                <c:pt idx="3">
                  <c:v>538</c:v>
                </c:pt>
                <c:pt idx="4">
                  <c:v>366</c:v>
                </c:pt>
                <c:pt idx="5">
                  <c:v>365</c:v>
                </c:pt>
                <c:pt idx="6">
                  <c:v>472</c:v>
                </c:pt>
                <c:pt idx="7">
                  <c:v>319</c:v>
                </c:pt>
                <c:pt idx="8">
                  <c:v>332</c:v>
                </c:pt>
                <c:pt idx="9">
                  <c:v>463</c:v>
                </c:pt>
                <c:pt idx="10">
                  <c:v>531</c:v>
                </c:pt>
                <c:pt idx="11">
                  <c:v>469</c:v>
                </c:pt>
                <c:pt idx="12">
                  <c:v>289</c:v>
                </c:pt>
                <c:pt idx="13">
                  <c:v>250</c:v>
                </c:pt>
                <c:pt idx="14">
                  <c:v>327</c:v>
                </c:pt>
                <c:pt idx="15">
                  <c:v>223</c:v>
                </c:pt>
                <c:pt idx="16">
                  <c:v>136</c:v>
                </c:pt>
                <c:pt idx="17">
                  <c:v>74</c:v>
                </c:pt>
                <c:pt idx="18">
                  <c:v>69</c:v>
                </c:pt>
                <c:pt idx="19">
                  <c:v>34</c:v>
                </c:pt>
                <c:pt idx="20">
                  <c:v>16</c:v>
                </c:pt>
                <c:pt idx="21">
                  <c:v>28</c:v>
                </c:pt>
                <c:pt idx="22">
                  <c:v>125</c:v>
                </c:pt>
                <c:pt idx="23">
                  <c:v>854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'01.08 Naalya-Ntinda 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'01.08 Naalya-Ntinda 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'01.08 Naalya-Ntinda 24h'!$AF$10:$AF$33</c:f>
              <c:numCache>
                <c:formatCode>0</c:formatCode>
                <c:ptCount val="24"/>
                <c:pt idx="0">
                  <c:v>1208</c:v>
                </c:pt>
                <c:pt idx="1">
                  <c:v>1169</c:v>
                </c:pt>
                <c:pt idx="2">
                  <c:v>962</c:v>
                </c:pt>
                <c:pt idx="3">
                  <c:v>923</c:v>
                </c:pt>
                <c:pt idx="4">
                  <c:v>713</c:v>
                </c:pt>
                <c:pt idx="5">
                  <c:v>704</c:v>
                </c:pt>
                <c:pt idx="6">
                  <c:v>664</c:v>
                </c:pt>
                <c:pt idx="7">
                  <c:v>590</c:v>
                </c:pt>
                <c:pt idx="8">
                  <c:v>632</c:v>
                </c:pt>
                <c:pt idx="9">
                  <c:v>728</c:v>
                </c:pt>
                <c:pt idx="10">
                  <c:v>877</c:v>
                </c:pt>
                <c:pt idx="11">
                  <c:v>906</c:v>
                </c:pt>
                <c:pt idx="12">
                  <c:v>577</c:v>
                </c:pt>
                <c:pt idx="13">
                  <c:v>499</c:v>
                </c:pt>
                <c:pt idx="14">
                  <c:v>524</c:v>
                </c:pt>
                <c:pt idx="15">
                  <c:v>379</c:v>
                </c:pt>
                <c:pt idx="16">
                  <c:v>230</c:v>
                </c:pt>
                <c:pt idx="17">
                  <c:v>113</c:v>
                </c:pt>
                <c:pt idx="18">
                  <c:v>93</c:v>
                </c:pt>
                <c:pt idx="19">
                  <c:v>47</c:v>
                </c:pt>
                <c:pt idx="20">
                  <c:v>20</c:v>
                </c:pt>
                <c:pt idx="21">
                  <c:v>35</c:v>
                </c:pt>
                <c:pt idx="22">
                  <c:v>141</c:v>
                </c:pt>
                <c:pt idx="23">
                  <c:v>904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902208"/>
        <c:axId val="163904128"/>
      </c:lineChart>
      <c:catAx>
        <c:axId val="1639022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3904128"/>
        <c:crosses val="autoZero"/>
        <c:auto val="1"/>
        <c:lblAlgn val="ctr"/>
        <c:lblOffset val="100"/>
        <c:noMultiLvlLbl val="0"/>
      </c:catAx>
      <c:valAx>
        <c:axId val="1639041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390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732E-2"/>
                  <c:y val="-3.243408000329518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Naalya-Ntinda 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Naalya-Ntinda 24h'!$C$107:$N$107</c:f>
              <c:numCache>
                <c:formatCode>0.0%</c:formatCode>
                <c:ptCount val="12"/>
                <c:pt idx="0">
                  <c:v>0.26140196509752162</c:v>
                </c:pt>
                <c:pt idx="1">
                  <c:v>0.25289631910837368</c:v>
                </c:pt>
                <c:pt idx="2">
                  <c:v>4.0255169379674438E-2</c:v>
                </c:pt>
                <c:pt idx="3">
                  <c:v>3.7468837072884585E-2</c:v>
                </c:pt>
                <c:pt idx="4">
                  <c:v>4.8394192696876379E-3</c:v>
                </c:pt>
                <c:pt idx="5">
                  <c:v>7.3324534389206629E-4</c:v>
                </c:pt>
                <c:pt idx="6">
                  <c:v>1.0192110280099722E-2</c:v>
                </c:pt>
                <c:pt idx="7">
                  <c:v>8.2123478515911431E-3</c:v>
                </c:pt>
                <c:pt idx="8">
                  <c:v>1.3198416190057193E-3</c:v>
                </c:pt>
                <c:pt idx="9">
                  <c:v>8.0656987828127294E-4</c:v>
                </c:pt>
                <c:pt idx="10">
                  <c:v>0.38187417509898813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732E-2"/>
                  <c:y val="-3.243408000329518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Naalya-Ntinda 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Naalya-Ntinda 24h'!$C$108:$N$108</c:f>
              <c:numCache>
                <c:formatCode>0.00%</c:formatCode>
                <c:ptCount val="12"/>
                <c:pt idx="0">
                  <c:v>0.42289442467378413</c:v>
                </c:pt>
                <c:pt idx="1">
                  <c:v>0.4091340450771056</c:v>
                </c:pt>
                <c:pt idx="2">
                  <c:v>6.5124555160142344E-2</c:v>
                </c:pt>
                <c:pt idx="3">
                  <c:v>6.0616844602609729E-2</c:v>
                </c:pt>
                <c:pt idx="4">
                  <c:v>7.8291814946619218E-3</c:v>
                </c:pt>
                <c:pt idx="5">
                  <c:v>1.1862396204033216E-3</c:v>
                </c:pt>
                <c:pt idx="6">
                  <c:v>1.6488730723606168E-2</c:v>
                </c:pt>
                <c:pt idx="7">
                  <c:v>1.32858837485172E-2</c:v>
                </c:pt>
                <c:pt idx="8">
                  <c:v>2.1352313167259788E-3</c:v>
                </c:pt>
                <c:pt idx="9">
                  <c:v>1.3048635824436537E-3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37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'02.08 Ntinda-Naalya'!$AE$9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'02.08 Ntinda-Naalya'!$R$10:$R$21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Ntinda-Naalya'!$AE$10:$AE$21</c:f>
              <c:numCache>
                <c:formatCode>0</c:formatCode>
                <c:ptCount val="12"/>
                <c:pt idx="0">
                  <c:v>673</c:v>
                </c:pt>
                <c:pt idx="1">
                  <c:v>555</c:v>
                </c:pt>
                <c:pt idx="2">
                  <c:v>386</c:v>
                </c:pt>
                <c:pt idx="3">
                  <c:v>378</c:v>
                </c:pt>
                <c:pt idx="4">
                  <c:v>409</c:v>
                </c:pt>
                <c:pt idx="5">
                  <c:v>460</c:v>
                </c:pt>
                <c:pt idx="6">
                  <c:v>431</c:v>
                </c:pt>
                <c:pt idx="7">
                  <c:v>469</c:v>
                </c:pt>
                <c:pt idx="8">
                  <c:v>555</c:v>
                </c:pt>
                <c:pt idx="9">
                  <c:v>737</c:v>
                </c:pt>
                <c:pt idx="10">
                  <c:v>757</c:v>
                </c:pt>
                <c:pt idx="11">
                  <c:v>649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'02.08 Ntinda-Naalya'!$AF$9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'02.08 Ntinda-Naalya'!$R$10:$R$21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Ntinda-Naalya'!$AF$10:$AF$21</c:f>
              <c:numCache>
                <c:formatCode>0</c:formatCode>
                <c:ptCount val="12"/>
                <c:pt idx="0">
                  <c:v>819</c:v>
                </c:pt>
                <c:pt idx="1">
                  <c:v>772</c:v>
                </c:pt>
                <c:pt idx="2">
                  <c:v>659</c:v>
                </c:pt>
                <c:pt idx="3">
                  <c:v>652</c:v>
                </c:pt>
                <c:pt idx="4">
                  <c:v>644</c:v>
                </c:pt>
                <c:pt idx="5">
                  <c:v>615</c:v>
                </c:pt>
                <c:pt idx="6">
                  <c:v>596</c:v>
                </c:pt>
                <c:pt idx="7">
                  <c:v>729</c:v>
                </c:pt>
                <c:pt idx="8">
                  <c:v>872</c:v>
                </c:pt>
                <c:pt idx="9">
                  <c:v>1112</c:v>
                </c:pt>
                <c:pt idx="10">
                  <c:v>1136</c:v>
                </c:pt>
                <c:pt idx="11">
                  <c:v>907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750848"/>
        <c:axId val="164752768"/>
      </c:lineChart>
      <c:catAx>
        <c:axId val="1647508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4752768"/>
        <c:crosses val="autoZero"/>
        <c:auto val="1"/>
        <c:lblAlgn val="ctr"/>
        <c:lblOffset val="100"/>
        <c:noMultiLvlLbl val="0"/>
      </c:catAx>
      <c:valAx>
        <c:axId val="1647527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475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732E-2"/>
                  <c:y val="-3.243408000329518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Ntinda-Naalya'!$C$9:$N$9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Ntinda-Naalya'!$C$59:$N$59</c:f>
              <c:numCache>
                <c:formatCode>0.0%</c:formatCode>
                <c:ptCount val="12"/>
                <c:pt idx="0">
                  <c:v>0.48586145274886999</c:v>
                </c:pt>
                <c:pt idx="1">
                  <c:v>0.10186061179438663</c:v>
                </c:pt>
                <c:pt idx="2">
                  <c:v>1.6503731735519816E-2</c:v>
                </c:pt>
                <c:pt idx="3">
                  <c:v>3.3007463471039632E-2</c:v>
                </c:pt>
                <c:pt idx="4">
                  <c:v>9.4607379375591296E-3</c:v>
                </c:pt>
                <c:pt idx="5">
                  <c:v>1.4716703458425313E-3</c:v>
                </c:pt>
                <c:pt idx="6">
                  <c:v>1.8921475875118259E-2</c:v>
                </c:pt>
                <c:pt idx="7">
                  <c:v>8.6197834542205403E-3</c:v>
                </c:pt>
                <c:pt idx="8">
                  <c:v>2.2075055187637969E-3</c:v>
                </c:pt>
                <c:pt idx="9">
                  <c:v>8.409544833385893E-4</c:v>
                </c:pt>
                <c:pt idx="10">
                  <c:v>0.32103437401450646</c:v>
                </c:pt>
                <c:pt idx="11">
                  <c:v>2.1023862083464732E-4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93"/>
          <c:y val="2.29602266373237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'02.08 Ntinda-Naalya'!$S$9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'02.08 Ntinda-Naalya'!$R$10:$R$21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Ntinda-Naalya'!$S$10:$S$21</c:f>
              <c:numCache>
                <c:formatCode>0</c:formatCode>
                <c:ptCount val="12"/>
                <c:pt idx="0">
                  <c:v>554</c:v>
                </c:pt>
                <c:pt idx="1">
                  <c:v>394</c:v>
                </c:pt>
                <c:pt idx="2">
                  <c:v>238</c:v>
                </c:pt>
                <c:pt idx="3">
                  <c:v>239</c:v>
                </c:pt>
                <c:pt idx="4">
                  <c:v>283</c:v>
                </c:pt>
                <c:pt idx="5">
                  <c:v>315</c:v>
                </c:pt>
                <c:pt idx="6">
                  <c:v>294</c:v>
                </c:pt>
                <c:pt idx="7">
                  <c:v>340</c:v>
                </c:pt>
                <c:pt idx="8">
                  <c:v>413</c:v>
                </c:pt>
                <c:pt idx="9">
                  <c:v>559</c:v>
                </c:pt>
                <c:pt idx="10">
                  <c:v>545</c:v>
                </c:pt>
                <c:pt idx="11">
                  <c:v>448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'02.08 Ntinda-Naalya'!$T$9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'02.08 Ntinda-Naalya'!$R$10:$R$21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Ntinda-Naalya'!$T$10:$T$21</c:f>
              <c:numCache>
                <c:formatCode>0</c:formatCode>
                <c:ptCount val="12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76</c:v>
                </c:pt>
                <c:pt idx="4">
                  <c:v>58</c:v>
                </c:pt>
                <c:pt idx="5">
                  <c:v>66</c:v>
                </c:pt>
                <c:pt idx="6">
                  <c:v>80</c:v>
                </c:pt>
                <c:pt idx="7">
                  <c:v>61</c:v>
                </c:pt>
                <c:pt idx="8">
                  <c:v>66</c:v>
                </c:pt>
                <c:pt idx="9">
                  <c:v>115</c:v>
                </c:pt>
                <c:pt idx="10">
                  <c:v>117</c:v>
                </c:pt>
                <c:pt idx="11">
                  <c:v>112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'02.08 Ntinda-Naalya'!$U$9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'02.08 Ntinda-Naalya'!$U$10:$U$21</c:f>
              <c:numCache>
                <c:formatCode>0</c:formatCode>
                <c:ptCount val="12"/>
                <c:pt idx="0">
                  <c:v>6</c:v>
                </c:pt>
                <c:pt idx="1">
                  <c:v>11</c:v>
                </c:pt>
                <c:pt idx="2">
                  <c:v>16</c:v>
                </c:pt>
                <c:pt idx="3">
                  <c:v>16</c:v>
                </c:pt>
                <c:pt idx="4">
                  <c:v>11</c:v>
                </c:pt>
                <c:pt idx="5">
                  <c:v>24</c:v>
                </c:pt>
                <c:pt idx="6">
                  <c:v>21</c:v>
                </c:pt>
                <c:pt idx="7">
                  <c:v>10</c:v>
                </c:pt>
                <c:pt idx="8">
                  <c:v>7</c:v>
                </c:pt>
                <c:pt idx="9">
                  <c:v>11</c:v>
                </c:pt>
                <c:pt idx="10">
                  <c:v>16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'02.08 Ntinda-Naalya'!$V$9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'02.08 Ntinda-Naalya'!$V$10:$V$21</c:f>
              <c:numCache>
                <c:formatCode>0</c:formatCode>
                <c:ptCount val="12"/>
                <c:pt idx="0">
                  <c:v>27</c:v>
                </c:pt>
                <c:pt idx="1">
                  <c:v>48</c:v>
                </c:pt>
                <c:pt idx="2">
                  <c:v>29</c:v>
                </c:pt>
                <c:pt idx="3">
                  <c:v>19</c:v>
                </c:pt>
                <c:pt idx="4">
                  <c:v>29</c:v>
                </c:pt>
                <c:pt idx="5">
                  <c:v>19</c:v>
                </c:pt>
                <c:pt idx="6">
                  <c:v>24</c:v>
                </c:pt>
                <c:pt idx="7">
                  <c:v>20</c:v>
                </c:pt>
                <c:pt idx="8">
                  <c:v>20</c:v>
                </c:pt>
                <c:pt idx="9">
                  <c:v>26</c:v>
                </c:pt>
                <c:pt idx="10">
                  <c:v>39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'02.08 Ntinda-Naalya'!$W$9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'02.08 Ntinda-Naalya'!$W$10:$W$21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7</c:v>
                </c:pt>
                <c:pt idx="4">
                  <c:v>6</c:v>
                </c:pt>
                <c:pt idx="5">
                  <c:v>3</c:v>
                </c:pt>
                <c:pt idx="6">
                  <c:v>2</c:v>
                </c:pt>
                <c:pt idx="7">
                  <c:v>4</c:v>
                </c:pt>
                <c:pt idx="8">
                  <c:v>5</c:v>
                </c:pt>
                <c:pt idx="9">
                  <c:v>2</c:v>
                </c:pt>
                <c:pt idx="10">
                  <c:v>8</c:v>
                </c:pt>
                <c:pt idx="11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'02.08 Ntinda-Naalya'!$X$9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'02.08 Ntinda-Naalya'!$X$10:$X$21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'02.08 Ntinda-Naalya'!$Y$9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Ntinda-Naalya'!$Y$10:$Y$21</c:f>
              <c:numCache>
                <c:formatCode>0</c:formatCode>
                <c:ptCount val="12"/>
                <c:pt idx="0">
                  <c:v>5</c:v>
                </c:pt>
                <c:pt idx="1">
                  <c:v>13</c:v>
                </c:pt>
                <c:pt idx="2">
                  <c:v>14</c:v>
                </c:pt>
                <c:pt idx="3">
                  <c:v>12</c:v>
                </c:pt>
                <c:pt idx="4">
                  <c:v>15</c:v>
                </c:pt>
                <c:pt idx="5">
                  <c:v>21</c:v>
                </c:pt>
                <c:pt idx="6">
                  <c:v>7</c:v>
                </c:pt>
                <c:pt idx="7">
                  <c:v>15</c:v>
                </c:pt>
                <c:pt idx="8">
                  <c:v>28</c:v>
                </c:pt>
                <c:pt idx="9">
                  <c:v>17</c:v>
                </c:pt>
                <c:pt idx="10">
                  <c:v>22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'02.08 Ntinda-Naalya'!$Z$9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Ntinda-Naalya'!$Z$10:$Z$21</c:f>
              <c:numCache>
                <c:formatCode>0</c:formatCode>
                <c:ptCount val="12"/>
                <c:pt idx="0">
                  <c:v>1</c:v>
                </c:pt>
                <c:pt idx="1">
                  <c:v>8</c:v>
                </c:pt>
                <c:pt idx="2">
                  <c:v>16</c:v>
                </c:pt>
                <c:pt idx="3">
                  <c:v>5</c:v>
                </c:pt>
                <c:pt idx="4">
                  <c:v>5</c:v>
                </c:pt>
                <c:pt idx="5">
                  <c:v>6</c:v>
                </c:pt>
                <c:pt idx="6">
                  <c:v>2</c:v>
                </c:pt>
                <c:pt idx="7">
                  <c:v>16</c:v>
                </c:pt>
                <c:pt idx="8">
                  <c:v>14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'02.08 Ntinda-Naalya'!$AA$9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Ntinda-Naalya'!$AA$10:$AA$21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4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'02.08 Ntinda-Naalya'!$AB$9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Ntinda-Naalya'!$AB$10:$AB$21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'02.08 Ntinda-Naalya'!$AC$9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Ntinda-Naalya'!$AC$10:$AC$21</c:f>
              <c:numCache>
                <c:formatCode>0</c:formatCode>
                <c:ptCount val="12"/>
                <c:pt idx="0">
                  <c:v>146</c:v>
                </c:pt>
                <c:pt idx="1">
                  <c:v>217</c:v>
                </c:pt>
                <c:pt idx="2">
                  <c:v>273</c:v>
                </c:pt>
                <c:pt idx="3">
                  <c:v>274</c:v>
                </c:pt>
                <c:pt idx="4">
                  <c:v>235</c:v>
                </c:pt>
                <c:pt idx="5">
                  <c:v>155</c:v>
                </c:pt>
                <c:pt idx="6">
                  <c:v>165</c:v>
                </c:pt>
                <c:pt idx="7">
                  <c:v>260</c:v>
                </c:pt>
                <c:pt idx="8">
                  <c:v>317</c:v>
                </c:pt>
                <c:pt idx="9">
                  <c:v>375</c:v>
                </c:pt>
                <c:pt idx="10">
                  <c:v>379</c:v>
                </c:pt>
                <c:pt idx="11">
                  <c:v>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'02.08 Ntinda-Naalya'!$AD$9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Ntinda-Naalya'!$AD$10:$AD$21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358592"/>
        <c:axId val="165430016"/>
      </c:lineChart>
      <c:catAx>
        <c:axId val="165358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5430016"/>
        <c:crosses val="autoZero"/>
        <c:auto val="1"/>
        <c:lblAlgn val="ctr"/>
        <c:lblOffset val="100"/>
        <c:noMultiLvlLbl val="0"/>
      </c:catAx>
      <c:valAx>
        <c:axId val="16543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535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732E-2"/>
                  <c:y val="-3.243408000329518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Ntinda-Naalya'!$C$9:$N$9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Ntinda-Naalya'!$C$60:$N$60</c:f>
              <c:numCache>
                <c:formatCode>0.00%</c:formatCode>
                <c:ptCount val="12"/>
                <c:pt idx="0">
                  <c:v>0.71559064870723021</c:v>
                </c:pt>
                <c:pt idx="1">
                  <c:v>0.15002322340919647</c:v>
                </c:pt>
                <c:pt idx="2">
                  <c:v>2.4307168292305309E-2</c:v>
                </c:pt>
                <c:pt idx="3">
                  <c:v>4.8614336584610618E-2</c:v>
                </c:pt>
                <c:pt idx="4">
                  <c:v>1.3934045517882025E-2</c:v>
                </c:pt>
                <c:pt idx="5">
                  <c:v>2.1675181916705373E-3</c:v>
                </c:pt>
                <c:pt idx="6">
                  <c:v>2.7868091035764049E-2</c:v>
                </c:pt>
                <c:pt idx="7">
                  <c:v>1.269546369407029E-2</c:v>
                </c:pt>
                <c:pt idx="8">
                  <c:v>3.251277287505806E-3</c:v>
                </c:pt>
                <c:pt idx="9">
                  <c:v>1.2385818238117355E-3</c:v>
                </c:pt>
                <c:pt idx="11">
                  <c:v>3.0964545595293388E-4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37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'02.08 Naalya-Ntinda'!$AE$9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'02.08 Naalya-Ntinda'!$R$10:$R$21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Naalya-Ntinda'!$AE$10:$AE$21</c:f>
              <c:numCache>
                <c:formatCode>0</c:formatCode>
                <c:ptCount val="12"/>
                <c:pt idx="0">
                  <c:v>893</c:v>
                </c:pt>
                <c:pt idx="1">
                  <c:v>623</c:v>
                </c:pt>
                <c:pt idx="2">
                  <c:v>585</c:v>
                </c:pt>
                <c:pt idx="3">
                  <c:v>569</c:v>
                </c:pt>
                <c:pt idx="4">
                  <c:v>446</c:v>
                </c:pt>
                <c:pt idx="5">
                  <c:v>376</c:v>
                </c:pt>
                <c:pt idx="6">
                  <c:v>462</c:v>
                </c:pt>
                <c:pt idx="7">
                  <c:v>374</c:v>
                </c:pt>
                <c:pt idx="8">
                  <c:v>463</c:v>
                </c:pt>
                <c:pt idx="9">
                  <c:v>623</c:v>
                </c:pt>
                <c:pt idx="10">
                  <c:v>648</c:v>
                </c:pt>
                <c:pt idx="11">
                  <c:v>640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'02.08 Naalya-Ntinda'!$AF$9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'02.08 Naalya-Ntinda'!$R$10:$R$21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Naalya-Ntinda'!$AF$10:$AF$21</c:f>
              <c:numCache>
                <c:formatCode>0</c:formatCode>
                <c:ptCount val="12"/>
                <c:pt idx="0">
                  <c:v>1234</c:v>
                </c:pt>
                <c:pt idx="1">
                  <c:v>1082</c:v>
                </c:pt>
                <c:pt idx="2">
                  <c:v>1003</c:v>
                </c:pt>
                <c:pt idx="3">
                  <c:v>951</c:v>
                </c:pt>
                <c:pt idx="4">
                  <c:v>726</c:v>
                </c:pt>
                <c:pt idx="5">
                  <c:v>657</c:v>
                </c:pt>
                <c:pt idx="6">
                  <c:v>716</c:v>
                </c:pt>
                <c:pt idx="7">
                  <c:v>709</c:v>
                </c:pt>
                <c:pt idx="8">
                  <c:v>707</c:v>
                </c:pt>
                <c:pt idx="9">
                  <c:v>976</c:v>
                </c:pt>
                <c:pt idx="10">
                  <c:v>1020</c:v>
                </c:pt>
                <c:pt idx="11">
                  <c:v>1014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061568"/>
        <c:axId val="166063488"/>
      </c:lineChart>
      <c:catAx>
        <c:axId val="1660615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6063488"/>
        <c:crosses val="autoZero"/>
        <c:auto val="1"/>
        <c:lblAlgn val="ctr"/>
        <c:lblOffset val="100"/>
        <c:noMultiLvlLbl val="0"/>
      </c:catAx>
      <c:valAx>
        <c:axId val="1660634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6061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732E-2"/>
                  <c:y val="-3.243408000329518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Naalya-Ntinda'!$C$9:$N$9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Naalya-Ntinda'!$C$59:$N$59</c:f>
              <c:numCache>
                <c:formatCode>0.0%</c:formatCode>
                <c:ptCount val="12"/>
                <c:pt idx="0">
                  <c:v>0.29559981472904123</c:v>
                </c:pt>
                <c:pt idx="1">
                  <c:v>0.22334414080592868</c:v>
                </c:pt>
                <c:pt idx="2">
                  <c:v>3.7795275590551181E-2</c:v>
                </c:pt>
                <c:pt idx="3">
                  <c:v>4.1315423807318202E-2</c:v>
                </c:pt>
                <c:pt idx="4">
                  <c:v>3.5201482167670217E-3</c:v>
                </c:pt>
                <c:pt idx="5">
                  <c:v>1.8527095877721167E-4</c:v>
                </c:pt>
                <c:pt idx="6">
                  <c:v>8.1519221861973135E-3</c:v>
                </c:pt>
                <c:pt idx="7">
                  <c:v>7.6887447892542843E-3</c:v>
                </c:pt>
                <c:pt idx="8">
                  <c:v>2.4085224641037517E-3</c:v>
                </c:pt>
                <c:pt idx="9">
                  <c:v>8.3371931449745251E-4</c:v>
                </c:pt>
                <c:pt idx="10">
                  <c:v>0.37915701713756367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93"/>
          <c:y val="2.29602266373237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'02.08 Naalya-Ntinda'!$S$9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'02.08 Naalya-Ntinda'!$R$10:$R$21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Naalya-Ntinda'!$S$10:$S$21</c:f>
              <c:numCache>
                <c:formatCode>0</c:formatCode>
                <c:ptCount val="12"/>
                <c:pt idx="0">
                  <c:v>457</c:v>
                </c:pt>
                <c:pt idx="1">
                  <c:v>315</c:v>
                </c:pt>
                <c:pt idx="2">
                  <c:v>284</c:v>
                </c:pt>
                <c:pt idx="3">
                  <c:v>255</c:v>
                </c:pt>
                <c:pt idx="4">
                  <c:v>198</c:v>
                </c:pt>
                <c:pt idx="5">
                  <c:v>156</c:v>
                </c:pt>
                <c:pt idx="6">
                  <c:v>204</c:v>
                </c:pt>
                <c:pt idx="7">
                  <c:v>165</c:v>
                </c:pt>
                <c:pt idx="8">
                  <c:v>218</c:v>
                </c:pt>
                <c:pt idx="9">
                  <c:v>311</c:v>
                </c:pt>
                <c:pt idx="10">
                  <c:v>336</c:v>
                </c:pt>
                <c:pt idx="11">
                  <c:v>292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'02.08 Naalya-Ntinda'!$T$9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'02.08 Naalya-Ntinda'!$R$10:$R$21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Naalya-Ntinda'!$T$10:$T$21</c:f>
              <c:numCache>
                <c:formatCode>0</c:formatCode>
                <c:ptCount val="12"/>
                <c:pt idx="0">
                  <c:v>341</c:v>
                </c:pt>
                <c:pt idx="1">
                  <c:v>233</c:v>
                </c:pt>
                <c:pt idx="2">
                  <c:v>203</c:v>
                </c:pt>
                <c:pt idx="3">
                  <c:v>216</c:v>
                </c:pt>
                <c:pt idx="4">
                  <c:v>164</c:v>
                </c:pt>
                <c:pt idx="5">
                  <c:v>128</c:v>
                </c:pt>
                <c:pt idx="6">
                  <c:v>180</c:v>
                </c:pt>
                <c:pt idx="7">
                  <c:v>132</c:v>
                </c:pt>
                <c:pt idx="8">
                  <c:v>151</c:v>
                </c:pt>
                <c:pt idx="9">
                  <c:v>192</c:v>
                </c:pt>
                <c:pt idx="10">
                  <c:v>195</c:v>
                </c:pt>
                <c:pt idx="11">
                  <c:v>276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'02.08 Naalya-Ntinda'!$U$9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'02.08 Naalya-Ntinda'!$U$10:$U$21</c:f>
              <c:numCache>
                <c:formatCode>0</c:formatCode>
                <c:ptCount val="12"/>
                <c:pt idx="0">
                  <c:v>56</c:v>
                </c:pt>
                <c:pt idx="1">
                  <c:v>34</c:v>
                </c:pt>
                <c:pt idx="2">
                  <c:v>45</c:v>
                </c:pt>
                <c:pt idx="3">
                  <c:v>28</c:v>
                </c:pt>
                <c:pt idx="4">
                  <c:v>28</c:v>
                </c:pt>
                <c:pt idx="5">
                  <c:v>24</c:v>
                </c:pt>
                <c:pt idx="6">
                  <c:v>24</c:v>
                </c:pt>
                <c:pt idx="7">
                  <c:v>26</c:v>
                </c:pt>
                <c:pt idx="8">
                  <c:v>30</c:v>
                </c:pt>
                <c:pt idx="9">
                  <c:v>35</c:v>
                </c:pt>
                <c:pt idx="10">
                  <c:v>47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'02.08 Naalya-Ntinda'!$V$9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'02.08 Naalya-Ntinda'!$V$10:$V$21</c:f>
              <c:numCache>
                <c:formatCode>0</c:formatCode>
                <c:ptCount val="12"/>
                <c:pt idx="0">
                  <c:v>24</c:v>
                </c:pt>
                <c:pt idx="1">
                  <c:v>40</c:v>
                </c:pt>
                <c:pt idx="2">
                  <c:v>37</c:v>
                </c:pt>
                <c:pt idx="3">
                  <c:v>39</c:v>
                </c:pt>
                <c:pt idx="4">
                  <c:v>48</c:v>
                </c:pt>
                <c:pt idx="5">
                  <c:v>46</c:v>
                </c:pt>
                <c:pt idx="6">
                  <c:v>31</c:v>
                </c:pt>
                <c:pt idx="7">
                  <c:v>31</c:v>
                </c:pt>
                <c:pt idx="8">
                  <c:v>37</c:v>
                </c:pt>
                <c:pt idx="9">
                  <c:v>49</c:v>
                </c:pt>
                <c:pt idx="10">
                  <c:v>42</c:v>
                </c:pt>
                <c:pt idx="1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'02.08 Naalya-Ntinda'!$W$9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'02.08 Naalya-Ntinda'!$W$10:$W$21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8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5</c:v>
                </c:pt>
                <c:pt idx="8">
                  <c:v>2</c:v>
                </c:pt>
                <c:pt idx="9">
                  <c:v>6</c:v>
                </c:pt>
                <c:pt idx="10">
                  <c:v>7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'02.08 Naalya-Ntinda'!$X$9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'02.08 Naalya-Ntinda'!$X$10:$X$21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'02.08 Naalya-Ntinda'!$Y$9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Naalya-Ntinda'!$Y$10:$Y$21</c:f>
              <c:numCache>
                <c:formatCode>0</c:formatCode>
                <c:ptCount val="12"/>
                <c:pt idx="0">
                  <c:v>8</c:v>
                </c:pt>
                <c:pt idx="1">
                  <c:v>0</c:v>
                </c:pt>
                <c:pt idx="2">
                  <c:v>0</c:v>
                </c:pt>
                <c:pt idx="3">
                  <c:v>12</c:v>
                </c:pt>
                <c:pt idx="4">
                  <c:v>2</c:v>
                </c:pt>
                <c:pt idx="5">
                  <c:v>5</c:v>
                </c:pt>
                <c:pt idx="6">
                  <c:v>8</c:v>
                </c:pt>
                <c:pt idx="7">
                  <c:v>4</c:v>
                </c:pt>
                <c:pt idx="8">
                  <c:v>13</c:v>
                </c:pt>
                <c:pt idx="9">
                  <c:v>18</c:v>
                </c:pt>
                <c:pt idx="10">
                  <c:v>9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'02.08 Naalya-Ntinda'!$Z$9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Naalya-Ntinda'!$Z$10:$Z$21</c:f>
              <c:numCache>
                <c:formatCode>0</c:formatCode>
                <c:ptCount val="12"/>
                <c:pt idx="0">
                  <c:v>4</c:v>
                </c:pt>
                <c:pt idx="1">
                  <c:v>0</c:v>
                </c:pt>
                <c:pt idx="2">
                  <c:v>7</c:v>
                </c:pt>
                <c:pt idx="3">
                  <c:v>9</c:v>
                </c:pt>
                <c:pt idx="4">
                  <c:v>3</c:v>
                </c:pt>
                <c:pt idx="5">
                  <c:v>7</c:v>
                </c:pt>
                <c:pt idx="6">
                  <c:v>7</c:v>
                </c:pt>
                <c:pt idx="7">
                  <c:v>8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'02.08 Naalya-Ntinda'!$AA$9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Naalya-Ntinda'!$AA$10:$AA$21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  <c:pt idx="5">
                  <c:v>7</c:v>
                </c:pt>
                <c:pt idx="6">
                  <c:v>6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'02.08 Naalya-Ntinda'!$AB$9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Naalya-Ntinda'!$AB$10:$AB$21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'02.08 Naalya-Ntinda'!$AC$9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Naalya-Ntinda'!$AC$10:$AC$21</c:f>
              <c:numCache>
                <c:formatCode>0</c:formatCode>
                <c:ptCount val="12"/>
                <c:pt idx="0">
                  <c:v>341</c:v>
                </c:pt>
                <c:pt idx="1">
                  <c:v>459</c:v>
                </c:pt>
                <c:pt idx="2">
                  <c:v>418</c:v>
                </c:pt>
                <c:pt idx="3">
                  <c:v>382</c:v>
                </c:pt>
                <c:pt idx="4">
                  <c:v>280</c:v>
                </c:pt>
                <c:pt idx="5">
                  <c:v>281</c:v>
                </c:pt>
                <c:pt idx="6">
                  <c:v>254</c:v>
                </c:pt>
                <c:pt idx="7">
                  <c:v>335</c:v>
                </c:pt>
                <c:pt idx="8">
                  <c:v>244</c:v>
                </c:pt>
                <c:pt idx="9">
                  <c:v>353</c:v>
                </c:pt>
                <c:pt idx="10">
                  <c:v>372</c:v>
                </c:pt>
                <c:pt idx="11">
                  <c:v>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'02.08 Naalya-Ntinda'!$AD$9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Naalya-Ntinda'!$AD$10:$AD$21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583296"/>
        <c:axId val="166609664"/>
      </c:lineChart>
      <c:catAx>
        <c:axId val="16658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6609664"/>
        <c:crosses val="autoZero"/>
        <c:auto val="1"/>
        <c:lblAlgn val="ctr"/>
        <c:lblOffset val="100"/>
        <c:noMultiLvlLbl val="0"/>
      </c:catAx>
      <c:valAx>
        <c:axId val="16660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658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732E-2"/>
                  <c:y val="-3.243408000329518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Naalya-Ntinda'!$C$9:$N$9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Naalya-Ntinda'!$C$60:$N$60</c:f>
              <c:numCache>
                <c:formatCode>0.00%</c:formatCode>
                <c:ptCount val="12"/>
                <c:pt idx="0">
                  <c:v>0.47612652939421068</c:v>
                </c:pt>
                <c:pt idx="1">
                  <c:v>0.35974336019098774</c:v>
                </c:pt>
                <c:pt idx="2">
                  <c:v>6.087735004476276E-2</c:v>
                </c:pt>
                <c:pt idx="3">
                  <c:v>6.6547299313637717E-2</c:v>
                </c:pt>
                <c:pt idx="4">
                  <c:v>5.6699492688749627E-3</c:v>
                </c:pt>
                <c:pt idx="5">
                  <c:v>2.9841838257236647E-4</c:v>
                </c:pt>
                <c:pt idx="6">
                  <c:v>1.3130408833184124E-2</c:v>
                </c:pt>
                <c:pt idx="7">
                  <c:v>1.2384362876753208E-2</c:v>
                </c:pt>
                <c:pt idx="8">
                  <c:v>3.879438973440764E-3</c:v>
                </c:pt>
                <c:pt idx="9">
                  <c:v>1.3428827215756492E-3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5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'03.08 Ntinda-Naalya 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'03.08 Ntinda-Naalya 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Ntinda-Naalya 24h'!$AE$10:$AE$33</c:f>
              <c:numCache>
                <c:formatCode>0</c:formatCode>
                <c:ptCount val="24"/>
                <c:pt idx="0">
                  <c:v>220</c:v>
                </c:pt>
                <c:pt idx="1">
                  <c:v>370</c:v>
                </c:pt>
                <c:pt idx="2">
                  <c:v>501</c:v>
                </c:pt>
                <c:pt idx="3">
                  <c:v>553</c:v>
                </c:pt>
                <c:pt idx="4">
                  <c:v>564</c:v>
                </c:pt>
                <c:pt idx="5">
                  <c:v>618</c:v>
                </c:pt>
                <c:pt idx="6">
                  <c:v>643</c:v>
                </c:pt>
                <c:pt idx="7">
                  <c:v>711</c:v>
                </c:pt>
                <c:pt idx="8">
                  <c:v>744</c:v>
                </c:pt>
                <c:pt idx="9">
                  <c:v>799</c:v>
                </c:pt>
                <c:pt idx="10">
                  <c:v>640</c:v>
                </c:pt>
                <c:pt idx="11">
                  <c:v>663</c:v>
                </c:pt>
                <c:pt idx="12">
                  <c:v>570</c:v>
                </c:pt>
                <c:pt idx="13">
                  <c:v>644</c:v>
                </c:pt>
                <c:pt idx="14">
                  <c:v>689</c:v>
                </c:pt>
                <c:pt idx="15">
                  <c:v>511</c:v>
                </c:pt>
                <c:pt idx="16">
                  <c:v>473</c:v>
                </c:pt>
                <c:pt idx="17">
                  <c:v>211</c:v>
                </c:pt>
                <c:pt idx="18">
                  <c:v>113</c:v>
                </c:pt>
                <c:pt idx="19">
                  <c:v>90</c:v>
                </c:pt>
                <c:pt idx="20">
                  <c:v>58</c:v>
                </c:pt>
                <c:pt idx="21">
                  <c:v>34</c:v>
                </c:pt>
                <c:pt idx="22">
                  <c:v>72</c:v>
                </c:pt>
                <c:pt idx="23">
                  <c:v>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'03.08 Ntinda-Naalya 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'03.08 Ntinda-Naalya 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Ntinda-Naalya 24h'!$AF$10:$AF$33</c:f>
              <c:numCache>
                <c:formatCode>0</c:formatCode>
                <c:ptCount val="24"/>
                <c:pt idx="0">
                  <c:v>336</c:v>
                </c:pt>
                <c:pt idx="1">
                  <c:v>568</c:v>
                </c:pt>
                <c:pt idx="2">
                  <c:v>766</c:v>
                </c:pt>
                <c:pt idx="3">
                  <c:v>851</c:v>
                </c:pt>
                <c:pt idx="4">
                  <c:v>883</c:v>
                </c:pt>
                <c:pt idx="5">
                  <c:v>859</c:v>
                </c:pt>
                <c:pt idx="6">
                  <c:v>842</c:v>
                </c:pt>
                <c:pt idx="7">
                  <c:v>896</c:v>
                </c:pt>
                <c:pt idx="8">
                  <c:v>1015</c:v>
                </c:pt>
                <c:pt idx="9">
                  <c:v>1065</c:v>
                </c:pt>
                <c:pt idx="10">
                  <c:v>839</c:v>
                </c:pt>
                <c:pt idx="11">
                  <c:v>843</c:v>
                </c:pt>
                <c:pt idx="12">
                  <c:v>936</c:v>
                </c:pt>
                <c:pt idx="13">
                  <c:v>1133</c:v>
                </c:pt>
                <c:pt idx="14">
                  <c:v>902</c:v>
                </c:pt>
                <c:pt idx="15">
                  <c:v>690</c:v>
                </c:pt>
                <c:pt idx="16">
                  <c:v>602</c:v>
                </c:pt>
                <c:pt idx="17">
                  <c:v>257</c:v>
                </c:pt>
                <c:pt idx="18">
                  <c:v>143</c:v>
                </c:pt>
                <c:pt idx="19">
                  <c:v>132</c:v>
                </c:pt>
                <c:pt idx="20">
                  <c:v>68</c:v>
                </c:pt>
                <c:pt idx="21">
                  <c:v>43</c:v>
                </c:pt>
                <c:pt idx="22">
                  <c:v>85</c:v>
                </c:pt>
                <c:pt idx="23">
                  <c:v>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922496"/>
        <c:axId val="167035264"/>
      </c:lineChart>
      <c:catAx>
        <c:axId val="1669224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7035264"/>
        <c:crosses val="autoZero"/>
        <c:auto val="1"/>
        <c:lblAlgn val="ctr"/>
        <c:lblOffset val="100"/>
        <c:noMultiLvlLbl val="0"/>
      </c:catAx>
      <c:valAx>
        <c:axId val="1670352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6922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732E-2"/>
                  <c:y val="-3.243408000329518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Ntinda-Naalya 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Ntinda-Naalya 24h'!$C$107:$N$107</c:f>
              <c:numCache>
                <c:formatCode>0.0%</c:formatCode>
                <c:ptCount val="12"/>
                <c:pt idx="0">
                  <c:v>0.52787903334683406</c:v>
                </c:pt>
                <c:pt idx="1">
                  <c:v>0.11090859997299851</c:v>
                </c:pt>
                <c:pt idx="2">
                  <c:v>1.8698528419063047E-2</c:v>
                </c:pt>
                <c:pt idx="3">
                  <c:v>2.8824085324692859E-2</c:v>
                </c:pt>
                <c:pt idx="4">
                  <c:v>2.0926150938301606E-3</c:v>
                </c:pt>
                <c:pt idx="5">
                  <c:v>5.400297016335898E-4</c:v>
                </c:pt>
                <c:pt idx="6">
                  <c:v>1.437829080599433E-2</c:v>
                </c:pt>
                <c:pt idx="7">
                  <c:v>5.6028081544484947E-3</c:v>
                </c:pt>
                <c:pt idx="8">
                  <c:v>2.2276225192385582E-3</c:v>
                </c:pt>
                <c:pt idx="9">
                  <c:v>1.3500742540839745E-4</c:v>
                </c:pt>
                <c:pt idx="10">
                  <c:v>0.28871337923585799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732E-2"/>
                  <c:y val="-3.243408000329518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Ntinda-Naalya 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Ntinda-Naalya 24h'!$C$108:$N$108</c:f>
              <c:numCache>
                <c:formatCode>0.00%</c:formatCode>
                <c:ptCount val="12"/>
                <c:pt idx="0">
                  <c:v>0.74214672107810575</c:v>
                </c:pt>
                <c:pt idx="1">
                  <c:v>0.1559267343646199</c:v>
                </c:pt>
                <c:pt idx="2">
                  <c:v>2.6288317357881751E-2</c:v>
                </c:pt>
                <c:pt idx="3">
                  <c:v>4.052386827370219E-2</c:v>
                </c:pt>
                <c:pt idx="4">
                  <c:v>2.9420138559362249E-3</c:v>
                </c:pt>
                <c:pt idx="5">
                  <c:v>7.5922938217709026E-4</c:v>
                </c:pt>
                <c:pt idx="6">
                  <c:v>2.0214482300465027E-2</c:v>
                </c:pt>
                <c:pt idx="7">
                  <c:v>7.8770048400873122E-3</c:v>
                </c:pt>
                <c:pt idx="8">
                  <c:v>3.1318212014804971E-3</c:v>
                </c:pt>
                <c:pt idx="9">
                  <c:v>1.8980734554427256E-4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5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'03.08 Naalya-Ntinda-24h'!$AE$9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'03.08 Naalya-Ntinda-24h'!$R$10:$R$33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Naalya-Ntinda-24h'!$AE$10:$AE$33</c:f>
              <c:numCache>
                <c:formatCode>0</c:formatCode>
                <c:ptCount val="24"/>
                <c:pt idx="0">
                  <c:v>327</c:v>
                </c:pt>
                <c:pt idx="1">
                  <c:v>604</c:v>
                </c:pt>
                <c:pt idx="2">
                  <c:v>674</c:v>
                </c:pt>
                <c:pt idx="3">
                  <c:v>803</c:v>
                </c:pt>
                <c:pt idx="4">
                  <c:v>530</c:v>
                </c:pt>
                <c:pt idx="5">
                  <c:v>663</c:v>
                </c:pt>
                <c:pt idx="6">
                  <c:v>700</c:v>
                </c:pt>
                <c:pt idx="7">
                  <c:v>749</c:v>
                </c:pt>
                <c:pt idx="8">
                  <c:v>886</c:v>
                </c:pt>
                <c:pt idx="9">
                  <c:v>626</c:v>
                </c:pt>
                <c:pt idx="10">
                  <c:v>643</c:v>
                </c:pt>
                <c:pt idx="11">
                  <c:v>641</c:v>
                </c:pt>
                <c:pt idx="12">
                  <c:v>372</c:v>
                </c:pt>
                <c:pt idx="13">
                  <c:v>481</c:v>
                </c:pt>
                <c:pt idx="14">
                  <c:v>432</c:v>
                </c:pt>
                <c:pt idx="15">
                  <c:v>298</c:v>
                </c:pt>
                <c:pt idx="16">
                  <c:v>289</c:v>
                </c:pt>
                <c:pt idx="17">
                  <c:v>194</c:v>
                </c:pt>
                <c:pt idx="18">
                  <c:v>65</c:v>
                </c:pt>
                <c:pt idx="19">
                  <c:v>81</c:v>
                </c:pt>
                <c:pt idx="20">
                  <c:v>31</c:v>
                </c:pt>
                <c:pt idx="21">
                  <c:v>54</c:v>
                </c:pt>
                <c:pt idx="22">
                  <c:v>66</c:v>
                </c:pt>
                <c:pt idx="23">
                  <c:v>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'03.08 Naalya-Ntinda-24h'!$AF$9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'03.08 Naalya-Ntinda-24h'!$R$10:$R$33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Naalya-Ntinda-24h'!$AF$10:$AF$33</c:f>
              <c:numCache>
                <c:formatCode>0</c:formatCode>
                <c:ptCount val="24"/>
                <c:pt idx="0">
                  <c:v>493</c:v>
                </c:pt>
                <c:pt idx="1">
                  <c:v>978</c:v>
                </c:pt>
                <c:pt idx="2">
                  <c:v>1070</c:v>
                </c:pt>
                <c:pt idx="3">
                  <c:v>1143</c:v>
                </c:pt>
                <c:pt idx="4">
                  <c:v>848</c:v>
                </c:pt>
                <c:pt idx="5">
                  <c:v>916</c:v>
                </c:pt>
                <c:pt idx="6">
                  <c:v>922</c:v>
                </c:pt>
                <c:pt idx="7">
                  <c:v>1035</c:v>
                </c:pt>
                <c:pt idx="8">
                  <c:v>1291</c:v>
                </c:pt>
                <c:pt idx="9">
                  <c:v>930</c:v>
                </c:pt>
                <c:pt idx="10">
                  <c:v>929</c:v>
                </c:pt>
                <c:pt idx="11">
                  <c:v>1003</c:v>
                </c:pt>
                <c:pt idx="12">
                  <c:v>447</c:v>
                </c:pt>
                <c:pt idx="13">
                  <c:v>842</c:v>
                </c:pt>
                <c:pt idx="14">
                  <c:v>696</c:v>
                </c:pt>
                <c:pt idx="15">
                  <c:v>447</c:v>
                </c:pt>
                <c:pt idx="16">
                  <c:v>441</c:v>
                </c:pt>
                <c:pt idx="17">
                  <c:v>268</c:v>
                </c:pt>
                <c:pt idx="18">
                  <c:v>96</c:v>
                </c:pt>
                <c:pt idx="19">
                  <c:v>129</c:v>
                </c:pt>
                <c:pt idx="20">
                  <c:v>36</c:v>
                </c:pt>
                <c:pt idx="21">
                  <c:v>57</c:v>
                </c:pt>
                <c:pt idx="22">
                  <c:v>77</c:v>
                </c:pt>
                <c:pt idx="23">
                  <c:v>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989248"/>
        <c:axId val="167991168"/>
      </c:lineChart>
      <c:catAx>
        <c:axId val="1679892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7991168"/>
        <c:crosses val="autoZero"/>
        <c:auto val="1"/>
        <c:lblAlgn val="ctr"/>
        <c:lblOffset val="100"/>
        <c:noMultiLvlLbl val="0"/>
      </c:catAx>
      <c:valAx>
        <c:axId val="1679911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798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732E-2"/>
                  <c:y val="-3.243408000329518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Naalya-Ntinda-24h'!$C$9:$N$9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Naalya-Ntinda-24h'!$C$107:$N$107</c:f>
              <c:numCache>
                <c:formatCode>0.0%</c:formatCode>
                <c:ptCount val="12"/>
                <c:pt idx="0">
                  <c:v>0.35412408518494098</c:v>
                </c:pt>
                <c:pt idx="1">
                  <c:v>0.21474253313113997</c:v>
                </c:pt>
                <c:pt idx="2">
                  <c:v>4.133975077470825E-2</c:v>
                </c:pt>
                <c:pt idx="3">
                  <c:v>3.744972637964001E-2</c:v>
                </c:pt>
                <c:pt idx="4">
                  <c:v>4.4174853299927472E-3</c:v>
                </c:pt>
                <c:pt idx="5">
                  <c:v>3.9559570119338037E-4</c:v>
                </c:pt>
                <c:pt idx="6">
                  <c:v>1.2527197204457045E-2</c:v>
                </c:pt>
                <c:pt idx="7">
                  <c:v>8.7690380431199311E-3</c:v>
                </c:pt>
                <c:pt idx="8">
                  <c:v>1.4505175710423947E-3</c:v>
                </c:pt>
                <c:pt idx="9">
                  <c:v>8.5712401925232414E-4</c:v>
                </c:pt>
                <c:pt idx="10">
                  <c:v>0.32392694666051297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732E-2"/>
                  <c:y val="-3.243408000329518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Naalya-Ntinda-24h'!$C$9:$N$9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Naalya-Ntinda-24h'!$C$108:$N$108</c:f>
              <c:numCache>
                <c:formatCode>0.00%</c:formatCode>
                <c:ptCount val="12"/>
                <c:pt idx="0">
                  <c:v>0.52379559196411152</c:v>
                </c:pt>
                <c:pt idx="1">
                  <c:v>0.31763214355373515</c:v>
                </c:pt>
                <c:pt idx="2">
                  <c:v>6.1146869514335872E-2</c:v>
                </c:pt>
                <c:pt idx="3">
                  <c:v>5.5393017359079387E-2</c:v>
                </c:pt>
                <c:pt idx="4">
                  <c:v>6.5340354983421103E-3</c:v>
                </c:pt>
                <c:pt idx="5">
                  <c:v>5.8513750731421885E-4</c:v>
                </c:pt>
                <c:pt idx="6">
                  <c:v>1.8529354398283595E-2</c:v>
                </c:pt>
                <c:pt idx="7">
                  <c:v>1.2970548078798518E-2</c:v>
                </c:pt>
                <c:pt idx="8">
                  <c:v>2.1455041934854693E-3</c:v>
                </c:pt>
                <c:pt idx="9">
                  <c:v>1.2677979325141408E-3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37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Ntinda-Naalya'!$AE$9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'04.08 Ntinda-Naalya'!$R$10:$R$21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Ntinda-Naalya'!$AE$10:$AE$21</c:f>
              <c:numCache>
                <c:formatCode>0</c:formatCode>
                <c:ptCount val="12"/>
                <c:pt idx="0">
                  <c:v>156</c:v>
                </c:pt>
                <c:pt idx="1">
                  <c:v>266</c:v>
                </c:pt>
                <c:pt idx="2">
                  <c:v>365</c:v>
                </c:pt>
                <c:pt idx="3">
                  <c:v>554</c:v>
                </c:pt>
                <c:pt idx="4">
                  <c:v>563</c:v>
                </c:pt>
                <c:pt idx="5">
                  <c:v>515</c:v>
                </c:pt>
                <c:pt idx="6">
                  <c:v>658</c:v>
                </c:pt>
                <c:pt idx="7">
                  <c:v>653</c:v>
                </c:pt>
                <c:pt idx="8">
                  <c:v>558</c:v>
                </c:pt>
                <c:pt idx="9">
                  <c:v>505</c:v>
                </c:pt>
                <c:pt idx="10">
                  <c:v>525</c:v>
                </c:pt>
                <c:pt idx="11">
                  <c:v>627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'04.08 Ntinda-Naalya'!$AF$9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'04.08 Ntinda-Naalya'!$R$10:$R$21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Ntinda-Naalya'!$AF$10:$AF$21</c:f>
              <c:numCache>
                <c:formatCode>0</c:formatCode>
                <c:ptCount val="12"/>
                <c:pt idx="0">
                  <c:v>254</c:v>
                </c:pt>
                <c:pt idx="1">
                  <c:v>431</c:v>
                </c:pt>
                <c:pt idx="2">
                  <c:v>558</c:v>
                </c:pt>
                <c:pt idx="3">
                  <c:v>772</c:v>
                </c:pt>
                <c:pt idx="4">
                  <c:v>868</c:v>
                </c:pt>
                <c:pt idx="5">
                  <c:v>738</c:v>
                </c:pt>
                <c:pt idx="6">
                  <c:v>809</c:v>
                </c:pt>
                <c:pt idx="7">
                  <c:v>804</c:v>
                </c:pt>
                <c:pt idx="8">
                  <c:v>700</c:v>
                </c:pt>
                <c:pt idx="9">
                  <c:v>627</c:v>
                </c:pt>
                <c:pt idx="10">
                  <c:v>654</c:v>
                </c:pt>
                <c:pt idx="11">
                  <c:v>768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780544"/>
        <c:axId val="168782464"/>
      </c:lineChart>
      <c:catAx>
        <c:axId val="1687805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8782464"/>
        <c:crosses val="autoZero"/>
        <c:auto val="1"/>
        <c:lblAlgn val="ctr"/>
        <c:lblOffset val="100"/>
        <c:noMultiLvlLbl val="0"/>
      </c:catAx>
      <c:valAx>
        <c:axId val="1687824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878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732E-2"/>
                  <c:y val="-3.243408000329518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Ntinda-Naalya'!$C$9:$N$9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Ntinda-Naalya'!$C$59:$N$59</c:f>
              <c:numCache>
                <c:formatCode>0.0%</c:formatCode>
                <c:ptCount val="12"/>
                <c:pt idx="0">
                  <c:v>0.56369785794813976</c:v>
                </c:pt>
                <c:pt idx="1">
                  <c:v>0.11850181635976451</c:v>
                </c:pt>
                <c:pt idx="2">
                  <c:v>1.3654014781410498E-2</c:v>
                </c:pt>
                <c:pt idx="3">
                  <c:v>2.9688087185268695E-2</c:v>
                </c:pt>
                <c:pt idx="4">
                  <c:v>0</c:v>
                </c:pt>
                <c:pt idx="5">
                  <c:v>0</c:v>
                </c:pt>
                <c:pt idx="6">
                  <c:v>1.1900288112238507E-2</c:v>
                </c:pt>
                <c:pt idx="7">
                  <c:v>4.8853814355505447E-3</c:v>
                </c:pt>
                <c:pt idx="8">
                  <c:v>1.6284604785168483E-3</c:v>
                </c:pt>
                <c:pt idx="9">
                  <c:v>7.5159714393085303E-4</c:v>
                </c:pt>
                <c:pt idx="10">
                  <c:v>0.25529249655517977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93"/>
          <c:y val="2.29602266373237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Ntinda-Naalya'!$S$9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'04.08 Ntinda-Naalya'!$R$10:$R$21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Ntinda-Naalya'!$S$10:$S$21</c:f>
              <c:numCache>
                <c:formatCode>0</c:formatCode>
                <c:ptCount val="12"/>
                <c:pt idx="0">
                  <c:v>122</c:v>
                </c:pt>
                <c:pt idx="1">
                  <c:v>186</c:v>
                </c:pt>
                <c:pt idx="2">
                  <c:v>253</c:v>
                </c:pt>
                <c:pt idx="3">
                  <c:v>420</c:v>
                </c:pt>
                <c:pt idx="4">
                  <c:v>411</c:v>
                </c:pt>
                <c:pt idx="5">
                  <c:v>357</c:v>
                </c:pt>
                <c:pt idx="6">
                  <c:v>536</c:v>
                </c:pt>
                <c:pt idx="7">
                  <c:v>503</c:v>
                </c:pt>
                <c:pt idx="8">
                  <c:v>435</c:v>
                </c:pt>
                <c:pt idx="9">
                  <c:v>379</c:v>
                </c:pt>
                <c:pt idx="10">
                  <c:v>394</c:v>
                </c:pt>
                <c:pt idx="11">
                  <c:v>504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'04.08 Ntinda-Naalya'!$T$9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'04.08 Ntinda-Naalya'!$R$10:$R$21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Ntinda-Naalya'!$T$10:$T$21</c:f>
              <c:numCache>
                <c:formatCode>0</c:formatCode>
                <c:ptCount val="12"/>
                <c:pt idx="0">
                  <c:v>14</c:v>
                </c:pt>
                <c:pt idx="1">
                  <c:v>39</c:v>
                </c:pt>
                <c:pt idx="2">
                  <c:v>64</c:v>
                </c:pt>
                <c:pt idx="3">
                  <c:v>93</c:v>
                </c:pt>
                <c:pt idx="4">
                  <c:v>95</c:v>
                </c:pt>
                <c:pt idx="5">
                  <c:v>111</c:v>
                </c:pt>
                <c:pt idx="6">
                  <c:v>78</c:v>
                </c:pt>
                <c:pt idx="7">
                  <c:v>109</c:v>
                </c:pt>
                <c:pt idx="8">
                  <c:v>81</c:v>
                </c:pt>
                <c:pt idx="9">
                  <c:v>89</c:v>
                </c:pt>
                <c:pt idx="10">
                  <c:v>92</c:v>
                </c:pt>
                <c:pt idx="11">
                  <c:v>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'04.08 Ntinda-Naalya'!$U$9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'04.08 Ntinda-Naalya'!$U$10:$U$21</c:f>
              <c:numCache>
                <c:formatCode>0</c:formatCode>
                <c:ptCount val="12"/>
                <c:pt idx="0">
                  <c:v>4</c:v>
                </c:pt>
                <c:pt idx="1">
                  <c:v>8</c:v>
                </c:pt>
                <c:pt idx="2">
                  <c:v>10</c:v>
                </c:pt>
                <c:pt idx="3">
                  <c:v>8</c:v>
                </c:pt>
                <c:pt idx="4">
                  <c:v>10</c:v>
                </c:pt>
                <c:pt idx="5">
                  <c:v>14</c:v>
                </c:pt>
                <c:pt idx="6">
                  <c:v>16</c:v>
                </c:pt>
                <c:pt idx="7">
                  <c:v>11</c:v>
                </c:pt>
                <c:pt idx="8">
                  <c:v>5</c:v>
                </c:pt>
                <c:pt idx="9">
                  <c:v>5</c:v>
                </c:pt>
                <c:pt idx="10">
                  <c:v>8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'04.08 Ntinda-Naalya'!$V$9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'04.08 Ntinda-Naalya'!$V$10:$V$21</c:f>
              <c:numCache>
                <c:formatCode>0</c:formatCode>
                <c:ptCount val="12"/>
                <c:pt idx="0">
                  <c:v>11</c:v>
                </c:pt>
                <c:pt idx="1">
                  <c:v>23</c:v>
                </c:pt>
                <c:pt idx="2">
                  <c:v>26</c:v>
                </c:pt>
                <c:pt idx="3">
                  <c:v>22</c:v>
                </c:pt>
                <c:pt idx="4">
                  <c:v>34</c:v>
                </c:pt>
                <c:pt idx="5">
                  <c:v>20</c:v>
                </c:pt>
                <c:pt idx="6">
                  <c:v>16</c:v>
                </c:pt>
                <c:pt idx="7">
                  <c:v>8</c:v>
                </c:pt>
                <c:pt idx="8">
                  <c:v>19</c:v>
                </c:pt>
                <c:pt idx="9">
                  <c:v>15</c:v>
                </c:pt>
                <c:pt idx="10">
                  <c:v>19</c:v>
                </c:pt>
                <c:pt idx="1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'04.08 Ntinda-Naalya'!$W$9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'04.08 Ntinda-Naalya'!$W$10:$W$21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'04.08 Ntinda-Naalya'!$X$9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'04.08 Ntinda-Naalya'!$X$10:$X$21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'04.08 Ntinda-Naalya'!$Y$9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Ntinda-Naalya'!$Y$10:$Y$21</c:f>
              <c:numCache>
                <c:formatCode>0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10</c:v>
                </c:pt>
                <c:pt idx="3">
                  <c:v>9</c:v>
                </c:pt>
                <c:pt idx="4">
                  <c:v>7</c:v>
                </c:pt>
                <c:pt idx="5">
                  <c:v>9</c:v>
                </c:pt>
                <c:pt idx="6">
                  <c:v>7</c:v>
                </c:pt>
                <c:pt idx="7">
                  <c:v>15</c:v>
                </c:pt>
                <c:pt idx="8">
                  <c:v>12</c:v>
                </c:pt>
                <c:pt idx="9">
                  <c:v>11</c:v>
                </c:pt>
                <c:pt idx="10">
                  <c:v>7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'04.08 Ntinda-Naalya'!$Z$9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Ntinda-Naalya'!$Z$10:$Z$21</c:f>
              <c:numCache>
                <c:formatCode>0</c:formatCode>
                <c:ptCount val="12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5</c:v>
                </c:pt>
                <c:pt idx="9">
                  <c:v>5</c:v>
                </c:pt>
                <c:pt idx="10">
                  <c:v>0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'04.08 Ntinda-Naalya'!$AA$9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Ntinda-Naalya'!$AA$10:$AA$21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4</c:v>
                </c:pt>
                <c:pt idx="8">
                  <c:v>1</c:v>
                </c:pt>
                <c:pt idx="9">
                  <c:v>0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'04.08 Ntinda-Naalya'!$AB$9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Ntinda-Naalya'!$AB$10:$AB$21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'04.08 Ntinda-Naalya'!$AC$9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Ntinda-Naalya'!$AC$10:$AC$21</c:f>
              <c:numCache>
                <c:formatCode>0</c:formatCode>
                <c:ptCount val="12"/>
                <c:pt idx="0">
                  <c:v>98</c:v>
                </c:pt>
                <c:pt idx="1">
                  <c:v>165</c:v>
                </c:pt>
                <c:pt idx="2">
                  <c:v>193</c:v>
                </c:pt>
                <c:pt idx="3">
                  <c:v>218</c:v>
                </c:pt>
                <c:pt idx="4">
                  <c:v>305</c:v>
                </c:pt>
                <c:pt idx="5">
                  <c:v>223</c:v>
                </c:pt>
                <c:pt idx="6">
                  <c:v>151</c:v>
                </c:pt>
                <c:pt idx="7">
                  <c:v>151</c:v>
                </c:pt>
                <c:pt idx="8">
                  <c:v>142</c:v>
                </c:pt>
                <c:pt idx="9">
                  <c:v>122</c:v>
                </c:pt>
                <c:pt idx="10">
                  <c:v>129</c:v>
                </c:pt>
                <c:pt idx="11">
                  <c:v>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'04.08 Ntinda-Naalya'!$AD$9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Ntinda-Naalya'!$AD$10:$AD$21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101568"/>
        <c:axId val="169107456"/>
      </c:lineChart>
      <c:catAx>
        <c:axId val="16910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9107456"/>
        <c:crosses val="autoZero"/>
        <c:auto val="1"/>
        <c:lblAlgn val="ctr"/>
        <c:lblOffset val="100"/>
        <c:noMultiLvlLbl val="0"/>
      </c:catAx>
      <c:valAx>
        <c:axId val="16910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9101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732E-2"/>
                  <c:y val="-3.243408000329518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Ntinda-Naalya'!$C$9:$N$9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Ntinda-Naalya'!$C$60:$N$60</c:f>
              <c:numCache>
                <c:formatCode>0.00%</c:formatCode>
                <c:ptCount val="12"/>
                <c:pt idx="0">
                  <c:v>0.7569386038687973</c:v>
                </c:pt>
                <c:pt idx="1">
                  <c:v>0.15912531539108493</c:v>
                </c:pt>
                <c:pt idx="2">
                  <c:v>1.8334735071488646E-2</c:v>
                </c:pt>
                <c:pt idx="3">
                  <c:v>3.9865433137089991E-2</c:v>
                </c:pt>
                <c:pt idx="4">
                  <c:v>0</c:v>
                </c:pt>
                <c:pt idx="5">
                  <c:v>0</c:v>
                </c:pt>
                <c:pt idx="6">
                  <c:v>1.59798149705635E-2</c:v>
                </c:pt>
                <c:pt idx="7">
                  <c:v>6.5601345668629104E-3</c:v>
                </c:pt>
                <c:pt idx="8">
                  <c:v>2.1867115222876368E-3</c:v>
                </c:pt>
                <c:pt idx="9">
                  <c:v>1.009251471825063E-3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37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Naalya-Ntinda'!$AE$9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'04.08 Naalya-Ntinda'!$R$10:$R$21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Naalya-Ntinda'!$AE$10:$AE$21</c:f>
              <c:numCache>
                <c:formatCode>0</c:formatCode>
                <c:ptCount val="12"/>
                <c:pt idx="0">
                  <c:v>899</c:v>
                </c:pt>
                <c:pt idx="1">
                  <c:v>748</c:v>
                </c:pt>
                <c:pt idx="2">
                  <c:v>588</c:v>
                </c:pt>
                <c:pt idx="3">
                  <c:v>583</c:v>
                </c:pt>
                <c:pt idx="4">
                  <c:v>569</c:v>
                </c:pt>
                <c:pt idx="5">
                  <c:v>481</c:v>
                </c:pt>
                <c:pt idx="6">
                  <c:v>504</c:v>
                </c:pt>
                <c:pt idx="7">
                  <c:v>393</c:v>
                </c:pt>
                <c:pt idx="8">
                  <c:v>369</c:v>
                </c:pt>
                <c:pt idx="9">
                  <c:v>500</c:v>
                </c:pt>
                <c:pt idx="10">
                  <c:v>594</c:v>
                </c:pt>
                <c:pt idx="11">
                  <c:v>401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'04.08 Naalya-Ntinda'!$AF$9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'04.08 Naalya-Ntinda'!$R$10:$R$21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Naalya-Ntinda'!$AF$10:$AF$21</c:f>
              <c:numCache>
                <c:formatCode>0</c:formatCode>
                <c:ptCount val="12"/>
                <c:pt idx="0">
                  <c:v>1084</c:v>
                </c:pt>
                <c:pt idx="1">
                  <c:v>1060</c:v>
                </c:pt>
                <c:pt idx="2">
                  <c:v>957</c:v>
                </c:pt>
                <c:pt idx="3">
                  <c:v>906</c:v>
                </c:pt>
                <c:pt idx="4">
                  <c:v>874</c:v>
                </c:pt>
                <c:pt idx="5">
                  <c:v>763</c:v>
                </c:pt>
                <c:pt idx="6">
                  <c:v>754</c:v>
                </c:pt>
                <c:pt idx="7">
                  <c:v>658</c:v>
                </c:pt>
                <c:pt idx="8">
                  <c:v>660</c:v>
                </c:pt>
                <c:pt idx="9">
                  <c:v>767</c:v>
                </c:pt>
                <c:pt idx="10">
                  <c:v>907</c:v>
                </c:pt>
                <c:pt idx="11">
                  <c:v>639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288448"/>
        <c:axId val="169290368"/>
      </c:lineChart>
      <c:catAx>
        <c:axId val="1692884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9290368"/>
        <c:crosses val="autoZero"/>
        <c:auto val="1"/>
        <c:lblAlgn val="ctr"/>
        <c:lblOffset val="100"/>
        <c:noMultiLvlLbl val="0"/>
      </c:catAx>
      <c:valAx>
        <c:axId val="1692903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928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732E-2"/>
                  <c:y val="-3.243408000329518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Naalya-Ntinda'!$C$9:$N$9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Naalya-Ntinda'!$C$59:$N$59</c:f>
              <c:numCache>
                <c:formatCode>0.0%</c:formatCode>
                <c:ptCount val="12"/>
                <c:pt idx="0">
                  <c:v>0.34250673048160335</c:v>
                </c:pt>
                <c:pt idx="1">
                  <c:v>0.20061820719912254</c:v>
                </c:pt>
                <c:pt idx="2">
                  <c:v>4.7063515804167913E-2</c:v>
                </c:pt>
                <c:pt idx="3">
                  <c:v>4.0083757104397245E-2</c:v>
                </c:pt>
                <c:pt idx="4">
                  <c:v>3.290457672749028E-3</c:v>
                </c:pt>
                <c:pt idx="5">
                  <c:v>4.9855419284076182E-4</c:v>
                </c:pt>
                <c:pt idx="6">
                  <c:v>1.9343902682221557E-2</c:v>
                </c:pt>
                <c:pt idx="7">
                  <c:v>5.583806959816532E-3</c:v>
                </c:pt>
                <c:pt idx="8">
                  <c:v>1.395951739954133E-3</c:v>
                </c:pt>
                <c:pt idx="9">
                  <c:v>4.9855419284076182E-4</c:v>
                </c:pt>
                <c:pt idx="10">
                  <c:v>0.33901685113171803</c:v>
                </c:pt>
                <c:pt idx="11">
                  <c:v>9.9710838568152355E-5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93"/>
          <c:y val="2.29602266373237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Naalya-Ntinda'!$S$9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'04.08 Naalya-Ntinda'!$R$10:$R$21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Naalya-Ntinda'!$S$10:$S$21</c:f>
              <c:numCache>
                <c:formatCode>0</c:formatCode>
                <c:ptCount val="12"/>
                <c:pt idx="0">
                  <c:v>507</c:v>
                </c:pt>
                <c:pt idx="1">
                  <c:v>410</c:v>
                </c:pt>
                <c:pt idx="2">
                  <c:v>334</c:v>
                </c:pt>
                <c:pt idx="3">
                  <c:v>298</c:v>
                </c:pt>
                <c:pt idx="4">
                  <c:v>277</c:v>
                </c:pt>
                <c:pt idx="5">
                  <c:v>249</c:v>
                </c:pt>
                <c:pt idx="6">
                  <c:v>241</c:v>
                </c:pt>
                <c:pt idx="7">
                  <c:v>199</c:v>
                </c:pt>
                <c:pt idx="8">
                  <c:v>184</c:v>
                </c:pt>
                <c:pt idx="9">
                  <c:v>244</c:v>
                </c:pt>
                <c:pt idx="10">
                  <c:v>289</c:v>
                </c:pt>
                <c:pt idx="11">
                  <c:v>203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'04.08 Naalya-Ntinda'!$T$9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'04.08 Naalya-Ntinda'!$R$10:$R$21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Naalya-Ntinda'!$T$10:$T$21</c:f>
              <c:numCache>
                <c:formatCode>0</c:formatCode>
                <c:ptCount val="12"/>
                <c:pt idx="0">
                  <c:v>309</c:v>
                </c:pt>
                <c:pt idx="1">
                  <c:v>245</c:v>
                </c:pt>
                <c:pt idx="2">
                  <c:v>136</c:v>
                </c:pt>
                <c:pt idx="3">
                  <c:v>170</c:v>
                </c:pt>
                <c:pt idx="4">
                  <c:v>176</c:v>
                </c:pt>
                <c:pt idx="5">
                  <c:v>136</c:v>
                </c:pt>
                <c:pt idx="6">
                  <c:v>163</c:v>
                </c:pt>
                <c:pt idx="7">
                  <c:v>108</c:v>
                </c:pt>
                <c:pt idx="8">
                  <c:v>110</c:v>
                </c:pt>
                <c:pt idx="9">
                  <c:v>148</c:v>
                </c:pt>
                <c:pt idx="10">
                  <c:v>196</c:v>
                </c:pt>
                <c:pt idx="11">
                  <c:v>115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'04.08 Naalya-Ntinda'!$U$9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'04.08 Naalya-Ntinda'!$U$10:$U$21</c:f>
              <c:numCache>
                <c:formatCode>0</c:formatCode>
                <c:ptCount val="12"/>
                <c:pt idx="0">
                  <c:v>57</c:v>
                </c:pt>
                <c:pt idx="1">
                  <c:v>54</c:v>
                </c:pt>
                <c:pt idx="2">
                  <c:v>52</c:v>
                </c:pt>
                <c:pt idx="3">
                  <c:v>43</c:v>
                </c:pt>
                <c:pt idx="4">
                  <c:v>39</c:v>
                </c:pt>
                <c:pt idx="5">
                  <c:v>38</c:v>
                </c:pt>
                <c:pt idx="6">
                  <c:v>32</c:v>
                </c:pt>
                <c:pt idx="7">
                  <c:v>28</c:v>
                </c:pt>
                <c:pt idx="8">
                  <c:v>23</c:v>
                </c:pt>
                <c:pt idx="9">
                  <c:v>33</c:v>
                </c:pt>
                <c:pt idx="10">
                  <c:v>42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'04.08 Naalya-Ntinda'!$V$9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'04.08 Naalya-Ntinda'!$V$10:$V$21</c:f>
              <c:numCache>
                <c:formatCode>0</c:formatCode>
                <c:ptCount val="12"/>
                <c:pt idx="0">
                  <c:v>21</c:v>
                </c:pt>
                <c:pt idx="1">
                  <c:v>35</c:v>
                </c:pt>
                <c:pt idx="2">
                  <c:v>37</c:v>
                </c:pt>
                <c:pt idx="3">
                  <c:v>32</c:v>
                </c:pt>
                <c:pt idx="4">
                  <c:v>42</c:v>
                </c:pt>
                <c:pt idx="5">
                  <c:v>29</c:v>
                </c:pt>
                <c:pt idx="6">
                  <c:v>31</c:v>
                </c:pt>
                <c:pt idx="7">
                  <c:v>34</c:v>
                </c:pt>
                <c:pt idx="8">
                  <c:v>22</c:v>
                </c:pt>
                <c:pt idx="9">
                  <c:v>41</c:v>
                </c:pt>
                <c:pt idx="10">
                  <c:v>43</c:v>
                </c:pt>
                <c:pt idx="1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'04.08 Naalya-Ntinda'!$W$9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'04.08 Naalya-Ntinda'!$W$10:$W$21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  <c:pt idx="4">
                  <c:v>3</c:v>
                </c:pt>
                <c:pt idx="5">
                  <c:v>5</c:v>
                </c:pt>
                <c:pt idx="6">
                  <c:v>4</c:v>
                </c:pt>
                <c:pt idx="7">
                  <c:v>0</c:v>
                </c:pt>
                <c:pt idx="8">
                  <c:v>1</c:v>
                </c:pt>
                <c:pt idx="9">
                  <c:v>8</c:v>
                </c:pt>
                <c:pt idx="10">
                  <c:v>5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'04.08 Naalya-Ntinda'!$X$9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'04.08 Naalya-Ntinda'!$X$10:$X$21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'04.08 Naalya-Ntinda'!$Y$9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Naalya-Ntinda'!$Y$10:$Y$21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21</c:v>
                </c:pt>
                <c:pt idx="3">
                  <c:v>30</c:v>
                </c:pt>
                <c:pt idx="4">
                  <c:v>25</c:v>
                </c:pt>
                <c:pt idx="5">
                  <c:v>17</c:v>
                </c:pt>
                <c:pt idx="6">
                  <c:v>21</c:v>
                </c:pt>
                <c:pt idx="7">
                  <c:v>17</c:v>
                </c:pt>
                <c:pt idx="8">
                  <c:v>20</c:v>
                </c:pt>
                <c:pt idx="9">
                  <c:v>19</c:v>
                </c:pt>
                <c:pt idx="10">
                  <c:v>14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'04.08 Naalya-Ntinda'!$Z$9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Naalya-Ntinda'!$Z$10:$Z$21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8</c:v>
                </c:pt>
                <c:pt idx="3">
                  <c:v>7</c:v>
                </c:pt>
                <c:pt idx="4">
                  <c:v>5</c:v>
                </c:pt>
                <c:pt idx="5">
                  <c:v>4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'04.08 Naalya-Ntinda'!$AA$9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Naalya-Ntinda'!$AA$10:$AA$21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'04.08 Naalya-Ntinda'!$AB$9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Naalya-Ntinda'!$AB$10:$AB$21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'04.08 Naalya-Ntinda'!$AC$9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Naalya-Ntinda'!$AC$10:$AC$21</c:f>
              <c:numCache>
                <c:formatCode>0</c:formatCode>
                <c:ptCount val="12"/>
                <c:pt idx="0">
                  <c:v>185</c:v>
                </c:pt>
                <c:pt idx="1">
                  <c:v>312</c:v>
                </c:pt>
                <c:pt idx="2">
                  <c:v>369</c:v>
                </c:pt>
                <c:pt idx="3">
                  <c:v>323</c:v>
                </c:pt>
                <c:pt idx="4">
                  <c:v>305</c:v>
                </c:pt>
                <c:pt idx="5">
                  <c:v>282</c:v>
                </c:pt>
                <c:pt idx="6">
                  <c:v>250</c:v>
                </c:pt>
                <c:pt idx="7">
                  <c:v>265</c:v>
                </c:pt>
                <c:pt idx="8">
                  <c:v>291</c:v>
                </c:pt>
                <c:pt idx="9">
                  <c:v>267</c:v>
                </c:pt>
                <c:pt idx="10">
                  <c:v>313</c:v>
                </c:pt>
                <c:pt idx="11">
                  <c:v>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'04.08 Naalya-Ntinda'!$AD$9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Naalya-Ntinda'!$AD$10:$AD$21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974016"/>
        <c:axId val="170020864"/>
      </c:lineChart>
      <c:catAx>
        <c:axId val="169974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0020864"/>
        <c:crosses val="autoZero"/>
        <c:auto val="1"/>
        <c:lblAlgn val="ctr"/>
        <c:lblOffset val="100"/>
        <c:noMultiLvlLbl val="0"/>
      </c:catAx>
      <c:valAx>
        <c:axId val="1700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997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732E-2"/>
                  <c:y val="-3.243408000329518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Naalya-Ntinda'!$C$9:$N$9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Naalya-Ntinda'!$C$60:$N$60</c:f>
              <c:numCache>
                <c:formatCode>0.00%</c:formatCode>
                <c:ptCount val="12"/>
                <c:pt idx="0">
                  <c:v>0.51817770402775687</c:v>
                </c:pt>
                <c:pt idx="1">
                  <c:v>0.30351485895308494</c:v>
                </c:pt>
                <c:pt idx="2">
                  <c:v>7.1202292955196866E-2</c:v>
                </c:pt>
                <c:pt idx="3">
                  <c:v>6.0642630864383769E-2</c:v>
                </c:pt>
                <c:pt idx="4">
                  <c:v>4.9781264142404582E-3</c:v>
                </c:pt>
                <c:pt idx="5">
                  <c:v>7.5426157791522099E-4</c:v>
                </c:pt>
                <c:pt idx="6">
                  <c:v>2.9265349223110575E-2</c:v>
                </c:pt>
                <c:pt idx="7">
                  <c:v>8.4477296726504746E-3</c:v>
                </c:pt>
                <c:pt idx="8">
                  <c:v>2.1119324181626186E-3</c:v>
                </c:pt>
                <c:pt idx="9">
                  <c:v>7.5426157791522099E-4</c:v>
                </c:pt>
                <c:pt idx="11">
                  <c:v>1.5085231558304419E-4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37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Ntinda-Naalya'!$AE$9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Ntinda-Naalya'!$R$10:$R$33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Ntinda-Naalya'!$AE$10:$AE$33</c:f>
              <c:numCache>
                <c:formatCode>0</c:formatCode>
                <c:ptCount val="24"/>
                <c:pt idx="0">
                  <c:v>478.71428571428572</c:v>
                </c:pt>
                <c:pt idx="1">
                  <c:v>425.00000000000006</c:v>
                </c:pt>
                <c:pt idx="2">
                  <c:v>391.28571428571428</c:v>
                </c:pt>
                <c:pt idx="3">
                  <c:v>429</c:v>
                </c:pt>
                <c:pt idx="4">
                  <c:v>440.42857142857144</c:v>
                </c:pt>
                <c:pt idx="5">
                  <c:v>456.71428571428572</c:v>
                </c:pt>
                <c:pt idx="6">
                  <c:v>488.14285714285717</c:v>
                </c:pt>
                <c:pt idx="7">
                  <c:v>510.14285714285711</c:v>
                </c:pt>
                <c:pt idx="8">
                  <c:v>575.42857142857133</c:v>
                </c:pt>
                <c:pt idx="9">
                  <c:v>718.57142857142844</c:v>
                </c:pt>
                <c:pt idx="10">
                  <c:v>755.71428571428567</c:v>
                </c:pt>
                <c:pt idx="11">
                  <c:v>743.57142857142867</c:v>
                </c:pt>
                <c:pt idx="12">
                  <c:v>659.5</c:v>
                </c:pt>
                <c:pt idx="13">
                  <c:v>569</c:v>
                </c:pt>
                <c:pt idx="14">
                  <c:v>686</c:v>
                </c:pt>
                <c:pt idx="15">
                  <c:v>473.5</c:v>
                </c:pt>
                <c:pt idx="16">
                  <c:v>360.5</c:v>
                </c:pt>
                <c:pt idx="17">
                  <c:v>167.5</c:v>
                </c:pt>
                <c:pt idx="18">
                  <c:v>78.5</c:v>
                </c:pt>
                <c:pt idx="19">
                  <c:v>59</c:v>
                </c:pt>
                <c:pt idx="20">
                  <c:v>45.5</c:v>
                </c:pt>
                <c:pt idx="21">
                  <c:v>37.5</c:v>
                </c:pt>
                <c:pt idx="22">
                  <c:v>95</c:v>
                </c:pt>
                <c:pt idx="23">
                  <c:v>235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Ntinda-Naalya'!$AF$9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Ntinda-Naalya'!$R$10:$R$33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Ntinda-Naalya'!$AF$10:$AF$33</c:f>
              <c:numCache>
                <c:formatCode>0</c:formatCode>
                <c:ptCount val="24"/>
                <c:pt idx="0">
                  <c:v>647.14285714285711</c:v>
                </c:pt>
                <c:pt idx="1">
                  <c:v>669.85714285714289</c:v>
                </c:pt>
                <c:pt idx="2">
                  <c:v>662.71428571428567</c:v>
                </c:pt>
                <c:pt idx="3">
                  <c:v>705.57142857142856</c:v>
                </c:pt>
                <c:pt idx="4">
                  <c:v>704.71428571428578</c:v>
                </c:pt>
                <c:pt idx="5">
                  <c:v>672.71428571428578</c:v>
                </c:pt>
                <c:pt idx="6">
                  <c:v>701.57142857142856</c:v>
                </c:pt>
                <c:pt idx="7">
                  <c:v>737.71428571428578</c:v>
                </c:pt>
                <c:pt idx="8">
                  <c:v>821.14285714285711</c:v>
                </c:pt>
                <c:pt idx="9">
                  <c:v>998.28571428571433</c:v>
                </c:pt>
                <c:pt idx="10">
                  <c:v>1035.5714285714284</c:v>
                </c:pt>
                <c:pt idx="11">
                  <c:v>983.57142857142867</c:v>
                </c:pt>
                <c:pt idx="12">
                  <c:v>1003.5</c:v>
                </c:pt>
                <c:pt idx="13">
                  <c:v>965</c:v>
                </c:pt>
                <c:pt idx="14">
                  <c:v>892</c:v>
                </c:pt>
                <c:pt idx="15">
                  <c:v>641.5</c:v>
                </c:pt>
                <c:pt idx="16">
                  <c:v>452.5</c:v>
                </c:pt>
                <c:pt idx="17">
                  <c:v>206</c:v>
                </c:pt>
                <c:pt idx="18">
                  <c:v>101.5</c:v>
                </c:pt>
                <c:pt idx="19">
                  <c:v>88.5</c:v>
                </c:pt>
                <c:pt idx="20">
                  <c:v>59</c:v>
                </c:pt>
                <c:pt idx="21">
                  <c:v>48.5</c:v>
                </c:pt>
                <c:pt idx="22">
                  <c:v>113.5</c:v>
                </c:pt>
                <c:pt idx="23">
                  <c:v>264.5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819264"/>
        <c:axId val="179821184"/>
      </c:lineChart>
      <c:catAx>
        <c:axId val="1798192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9821184"/>
        <c:crosses val="autoZero"/>
        <c:auto val="1"/>
        <c:lblAlgn val="ctr"/>
        <c:lblOffset val="100"/>
        <c:noMultiLvlLbl val="0"/>
      </c:catAx>
      <c:valAx>
        <c:axId val="1798211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981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812174629063415"/>
          <c:y val="0.14874042032333182"/>
          <c:w val="0.81822227623197441"/>
          <c:h val="0.75590203750999707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732E-2"/>
                  <c:y val="-3.243408000329518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Ntinda-Naalya'!$C$9:$N$9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Ntinda-Naalya'!$C$107:$N$107</c:f>
              <c:numCache>
                <c:formatCode>0.0%</c:formatCode>
                <c:ptCount val="12"/>
                <c:pt idx="0">
                  <c:v>0.50416179612237477</c:v>
                </c:pt>
                <c:pt idx="1">
                  <c:v>0.10624672497883832</c:v>
                </c:pt>
                <c:pt idx="2">
                  <c:v>2.6955943407634322E-2</c:v>
                </c:pt>
                <c:pt idx="3">
                  <c:v>3.3037405780160414E-2</c:v>
                </c:pt>
                <c:pt idx="4">
                  <c:v>2.86690313998952E-3</c:v>
                </c:pt>
                <c:pt idx="5">
                  <c:v>9.1700592526905563E-4</c:v>
                </c:pt>
                <c:pt idx="6">
                  <c:v>1.3981821113305651E-2</c:v>
                </c:pt>
                <c:pt idx="7">
                  <c:v>5.8849611028255868E-3</c:v>
                </c:pt>
                <c:pt idx="8">
                  <c:v>2.1665524608005158E-3</c:v>
                </c:pt>
                <c:pt idx="9">
                  <c:v>6.1973477367084531E-4</c:v>
                </c:pt>
                <c:pt idx="10">
                  <c:v>0.30313092023056143</c:v>
                </c:pt>
                <c:pt idx="11">
                  <c:v>3.0230964569309516E-5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4508256212441032E-2"/>
          <c:y val="0.24269716599625327"/>
          <c:w val="0.82216361593322862"/>
          <c:h val="0.75571806462474167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732E-2"/>
                  <c:y val="-3.243408000329518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Ntinda-Naalya'!$C$9:$N$9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Ntinda-Naalya'!$C$108:$N$108</c:f>
              <c:numCache>
                <c:formatCode>0.00%</c:formatCode>
                <c:ptCount val="12"/>
                <c:pt idx="0">
                  <c:v>0.72346701949981551</c:v>
                </c:pt>
                <c:pt idx="1">
                  <c:v>0.15246296336464005</c:v>
                </c:pt>
                <c:pt idx="2">
                  <c:v>3.8681503011373082E-2</c:v>
                </c:pt>
                <c:pt idx="3">
                  <c:v>4.7408339298237991E-2</c:v>
                </c:pt>
                <c:pt idx="4">
                  <c:v>4.1139766754151944E-3</c:v>
                </c:pt>
                <c:pt idx="5">
                  <c:v>1.3158941211345613E-3</c:v>
                </c:pt>
                <c:pt idx="6">
                  <c:v>2.0063770253562672E-2</c:v>
                </c:pt>
                <c:pt idx="7">
                  <c:v>8.444858975193226E-3</c:v>
                </c:pt>
                <c:pt idx="8">
                  <c:v>3.1089806158673696E-3</c:v>
                </c:pt>
                <c:pt idx="9">
                  <c:v>8.893130598876431E-4</c:v>
                </c:pt>
                <c:pt idx="11">
                  <c:v>4.3381124872567944E-5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37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Naalya-Ntinda'!$AE$9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Naalya-Ntinda'!$R$10:$R$33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Naalya-Ntinda'!$AE$10:$AE$33</c:f>
              <c:numCache>
                <c:formatCode>0</c:formatCode>
                <c:ptCount val="24"/>
                <c:pt idx="0">
                  <c:v>782.57142857142856</c:v>
                </c:pt>
                <c:pt idx="1">
                  <c:v>701.71428571428578</c:v>
                </c:pt>
                <c:pt idx="2">
                  <c:v>583.71428571428567</c:v>
                </c:pt>
                <c:pt idx="3">
                  <c:v>579.85714285714289</c:v>
                </c:pt>
                <c:pt idx="4">
                  <c:v>489</c:v>
                </c:pt>
                <c:pt idx="5">
                  <c:v>417.85714285714278</c:v>
                </c:pt>
                <c:pt idx="6">
                  <c:v>492.71428571428572</c:v>
                </c:pt>
                <c:pt idx="7">
                  <c:v>408.28571428571428</c:v>
                </c:pt>
                <c:pt idx="8">
                  <c:v>453.14285714285722</c:v>
                </c:pt>
                <c:pt idx="9">
                  <c:v>548.57142857142856</c:v>
                </c:pt>
                <c:pt idx="10">
                  <c:v>588.42857142857144</c:v>
                </c:pt>
                <c:pt idx="11">
                  <c:v>469.28571428571433</c:v>
                </c:pt>
                <c:pt idx="12">
                  <c:v>330.5</c:v>
                </c:pt>
                <c:pt idx="13">
                  <c:v>365.5</c:v>
                </c:pt>
                <c:pt idx="14">
                  <c:v>379.5</c:v>
                </c:pt>
                <c:pt idx="15">
                  <c:v>260.5</c:v>
                </c:pt>
                <c:pt idx="16">
                  <c:v>212.5</c:v>
                </c:pt>
                <c:pt idx="17">
                  <c:v>134</c:v>
                </c:pt>
                <c:pt idx="18">
                  <c:v>67</c:v>
                </c:pt>
                <c:pt idx="19">
                  <c:v>57.5</c:v>
                </c:pt>
                <c:pt idx="20">
                  <c:v>23.5</c:v>
                </c:pt>
                <c:pt idx="21">
                  <c:v>41</c:v>
                </c:pt>
                <c:pt idx="22">
                  <c:v>95.5</c:v>
                </c:pt>
                <c:pt idx="23">
                  <c:v>449.5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Naalya-Ntinda'!$AF$9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Naalya-Ntinda'!$R$10:$R$33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Naalya-Ntinda'!$AF$10:$AF$33</c:f>
              <c:numCache>
                <c:formatCode>0</c:formatCode>
                <c:ptCount val="24"/>
                <c:pt idx="0">
                  <c:v>1090.7142857142858</c:v>
                </c:pt>
                <c:pt idx="1">
                  <c:v>1128.8571428571429</c:v>
                </c:pt>
                <c:pt idx="2">
                  <c:v>968.28571428571422</c:v>
                </c:pt>
                <c:pt idx="3">
                  <c:v>916.42857142857144</c:v>
                </c:pt>
                <c:pt idx="4">
                  <c:v>797.42857142857144</c:v>
                </c:pt>
                <c:pt idx="5">
                  <c:v>711.14285714285711</c:v>
                </c:pt>
                <c:pt idx="6">
                  <c:v>728.14285714285711</c:v>
                </c:pt>
                <c:pt idx="7">
                  <c:v>676.14285714285711</c:v>
                </c:pt>
                <c:pt idx="8">
                  <c:v>756.57142857142856</c:v>
                </c:pt>
                <c:pt idx="9">
                  <c:v>844.14285714285711</c:v>
                </c:pt>
                <c:pt idx="10">
                  <c:v>914.42857142857133</c:v>
                </c:pt>
                <c:pt idx="11">
                  <c:v>818.28571428571422</c:v>
                </c:pt>
                <c:pt idx="12">
                  <c:v>512</c:v>
                </c:pt>
                <c:pt idx="13">
                  <c:v>670.5</c:v>
                </c:pt>
                <c:pt idx="14">
                  <c:v>610</c:v>
                </c:pt>
                <c:pt idx="15">
                  <c:v>413</c:v>
                </c:pt>
                <c:pt idx="16">
                  <c:v>335.5</c:v>
                </c:pt>
                <c:pt idx="17">
                  <c:v>190.5</c:v>
                </c:pt>
                <c:pt idx="18">
                  <c:v>94.5</c:v>
                </c:pt>
                <c:pt idx="19">
                  <c:v>88</c:v>
                </c:pt>
                <c:pt idx="20">
                  <c:v>28</c:v>
                </c:pt>
                <c:pt idx="21">
                  <c:v>46</c:v>
                </c:pt>
                <c:pt idx="22">
                  <c:v>109</c:v>
                </c:pt>
                <c:pt idx="23">
                  <c:v>488.5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949760"/>
        <c:axId val="180951680"/>
      </c:lineChart>
      <c:catAx>
        <c:axId val="1809497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0951680"/>
        <c:crosses val="autoZero"/>
        <c:auto val="1"/>
        <c:lblAlgn val="ctr"/>
        <c:lblOffset val="100"/>
        <c:noMultiLvlLbl val="0"/>
      </c:catAx>
      <c:valAx>
        <c:axId val="1809516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094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6920991938237281"/>
          <c:y val="0.15328279907067349"/>
          <c:w val="0.81774120630923408"/>
          <c:h val="0.75737284236683322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732E-2"/>
                  <c:y val="-3.243408000329518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Naalya-Ntinda'!$C$9:$N$9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Naalya-Ntinda'!$C$107:$N$107</c:f>
              <c:numCache>
                <c:formatCode>0.0%</c:formatCode>
                <c:ptCount val="12"/>
                <c:pt idx="0">
                  <c:v>0.30946926014197484</c:v>
                </c:pt>
                <c:pt idx="1">
                  <c:v>0.22488916224597019</c:v>
                </c:pt>
                <c:pt idx="2">
                  <c:v>4.195689500525359E-2</c:v>
                </c:pt>
                <c:pt idx="3">
                  <c:v>4.0039978473129859E-2</c:v>
                </c:pt>
                <c:pt idx="4">
                  <c:v>4.1516106711770584E-3</c:v>
                </c:pt>
                <c:pt idx="5">
                  <c:v>6.7143333077061081E-4</c:v>
                </c:pt>
                <c:pt idx="6">
                  <c:v>1.0153507085928094E-2</c:v>
                </c:pt>
                <c:pt idx="7">
                  <c:v>7.4523974270264727E-3</c:v>
                </c:pt>
                <c:pt idx="8">
                  <c:v>1.3428666615412214E-3</c:v>
                </c:pt>
                <c:pt idx="9">
                  <c:v>7.6369134568565668E-4</c:v>
                </c:pt>
                <c:pt idx="10">
                  <c:v>0.35909894672099651</c:v>
                </c:pt>
                <c:pt idx="11">
                  <c:v>1.0250890546116193E-5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6673752558230177E-2"/>
          <c:y val="0.24040795902020523"/>
          <c:w val="0.82181774437189359"/>
          <c:h val="0.75723326266428781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732E-2"/>
                  <c:y val="-3.243408000329518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Naalya-Ntinda'!$C$9:$N$9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Naalya-Ntinda'!$C$108:$N$108</c:f>
              <c:numCache>
                <c:formatCode>0.00%</c:formatCode>
                <c:ptCount val="12"/>
                <c:pt idx="0">
                  <c:v>0.48286589413241843</c:v>
                </c:pt>
                <c:pt idx="1">
                  <c:v>0.35089529201954539</c:v>
                </c:pt>
                <c:pt idx="2">
                  <c:v>6.546547987492303E-2</c:v>
                </c:pt>
                <c:pt idx="3">
                  <c:v>6.2474508768983472E-2</c:v>
                </c:pt>
                <c:pt idx="4">
                  <c:v>6.4777716465535843E-3</c:v>
                </c:pt>
                <c:pt idx="5">
                  <c:v>1.0476396119734812E-3</c:v>
                </c:pt>
                <c:pt idx="6">
                  <c:v>1.584255016274402E-2</c:v>
                </c:pt>
                <c:pt idx="7">
                  <c:v>1.1627999968011003E-2</c:v>
                </c:pt>
                <c:pt idx="8">
                  <c:v>2.0952792239469619E-3</c:v>
                </c:pt>
                <c:pt idx="9">
                  <c:v>1.1915900930080056E-3</c:v>
                </c:pt>
                <c:pt idx="11">
                  <c:v>1.5994497892724902E-5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732E-2"/>
                  <c:y val="-3.243408000329518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Ntinda-Naalya-2Dir'!$C$9:$N$9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Ntinda-Naalya-2Dir'!$C$107:$N$107</c:f>
              <c:numCache>
                <c:formatCode>0.0%</c:formatCode>
                <c:ptCount val="12"/>
                <c:pt idx="0">
                  <c:v>0.40764831278250513</c:v>
                </c:pt>
                <c:pt idx="1">
                  <c:v>0.16506045830930158</c:v>
                </c:pt>
                <c:pt idx="2">
                  <c:v>3.4392253612380803E-2</c:v>
                </c:pt>
                <c:pt idx="3">
                  <c:v>3.6508739077740833E-2</c:v>
                </c:pt>
                <c:pt idx="4">
                  <c:v>3.5037616527388528E-3</c:v>
                </c:pt>
                <c:pt idx="5">
                  <c:v>7.9527004880874626E-4</c:v>
                </c:pt>
                <c:pt idx="6">
                  <c:v>1.2084039463688172E-2</c:v>
                </c:pt>
                <c:pt idx="7">
                  <c:v>6.6619746580719903E-3</c:v>
                </c:pt>
                <c:pt idx="8">
                  <c:v>1.7582328235643846E-3</c:v>
                </c:pt>
                <c:pt idx="9">
                  <c:v>6.910972948114346E-4</c:v>
                </c:pt>
                <c:pt idx="10">
                  <c:v>0.33087553388536423</c:v>
                </c:pt>
                <c:pt idx="11">
                  <c:v>2.032639102386572E-5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732E-2"/>
                  <c:y val="-3.243408000329518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Ntinda-Naalya-2Dir'!$C$9:$N$9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Ntinda-Naalya-2Dir'!$C$108:$N$108</c:f>
              <c:numCache>
                <c:formatCode>0.00%</c:formatCode>
                <c:ptCount val="12"/>
                <c:pt idx="0">
                  <c:v>0.60922643458185255</c:v>
                </c:pt>
                <c:pt idx="1">
                  <c:v>0.24668124791154039</c:v>
                </c:pt>
                <c:pt idx="2">
                  <c:v>5.1398888180078366E-2</c:v>
                </c:pt>
                <c:pt idx="3">
                  <c:v>5.4561955101916831E-2</c:v>
                </c:pt>
                <c:pt idx="4">
                  <c:v>5.2363376773292003E-3</c:v>
                </c:pt>
                <c:pt idx="5">
                  <c:v>1.1885233451805945E-3</c:v>
                </c:pt>
                <c:pt idx="6">
                  <c:v>1.8059479328047631E-2</c:v>
                </c:pt>
                <c:pt idx="7">
                  <c:v>9.9562562653786549E-3</c:v>
                </c:pt>
                <c:pt idx="8">
                  <c:v>2.6276618366293013E-3</c:v>
                </c:pt>
                <c:pt idx="9">
                  <c:v>1.0328381785594946E-3</c:v>
                </c:pt>
                <c:pt idx="11">
                  <c:v>3.0377593487043951E-5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37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Ntinda-Naalya-2Dir'!$AE$9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Ntinda-Naalya-2Dir'!$R$10:$R$33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Ntinda-Naalya-2Dir'!$AE$10:$AE$33</c:f>
              <c:numCache>
                <c:formatCode>0</c:formatCode>
                <c:ptCount val="24"/>
                <c:pt idx="0">
                  <c:v>1261.2857142857142</c:v>
                </c:pt>
                <c:pt idx="1">
                  <c:v>1126.7142857142858</c:v>
                </c:pt>
                <c:pt idx="2">
                  <c:v>974.99999999999977</c:v>
                </c:pt>
                <c:pt idx="3">
                  <c:v>1008.8571428571429</c:v>
                </c:pt>
                <c:pt idx="4">
                  <c:v>929.42857142857133</c:v>
                </c:pt>
                <c:pt idx="5">
                  <c:v>874.57142857142844</c:v>
                </c:pt>
                <c:pt idx="6">
                  <c:v>980.85714285714289</c:v>
                </c:pt>
                <c:pt idx="7">
                  <c:v>918.42857142857133</c:v>
                </c:pt>
                <c:pt idx="8">
                  <c:v>1028.5714285714287</c:v>
                </c:pt>
                <c:pt idx="9">
                  <c:v>1267.1428571428571</c:v>
                </c:pt>
                <c:pt idx="10">
                  <c:v>1344.1428571428573</c:v>
                </c:pt>
                <c:pt idx="11">
                  <c:v>1212.8571428571429</c:v>
                </c:pt>
                <c:pt idx="12">
                  <c:v>990</c:v>
                </c:pt>
                <c:pt idx="13">
                  <c:v>934.5</c:v>
                </c:pt>
                <c:pt idx="14">
                  <c:v>1065.5</c:v>
                </c:pt>
                <c:pt idx="15">
                  <c:v>734</c:v>
                </c:pt>
                <c:pt idx="16">
                  <c:v>573</c:v>
                </c:pt>
                <c:pt idx="17">
                  <c:v>301.5</c:v>
                </c:pt>
                <c:pt idx="18">
                  <c:v>145.5</c:v>
                </c:pt>
                <c:pt idx="19">
                  <c:v>116.5</c:v>
                </c:pt>
                <c:pt idx="20">
                  <c:v>69</c:v>
                </c:pt>
                <c:pt idx="21">
                  <c:v>78.5</c:v>
                </c:pt>
                <c:pt idx="22">
                  <c:v>190.5</c:v>
                </c:pt>
                <c:pt idx="23">
                  <c:v>684.5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289-4DCF-B882-877A22CF008F}"/>
            </c:ext>
          </c:extLst>
        </c:ser>
        <c:ser>
          <c:idx val="1"/>
          <c:order val="1"/>
          <c:tx>
            <c:strRef>
              <c:f>'Avg Week Ntinda-Naalya-2Dir'!$AF$9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Ntinda-Naalya-2Dir'!$R$10:$R$33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Ntinda-Naalya-2Dir'!$AF$10:$AF$33</c:f>
              <c:numCache>
                <c:formatCode>0</c:formatCode>
                <c:ptCount val="24"/>
                <c:pt idx="0">
                  <c:v>1737.8571428571431</c:v>
                </c:pt>
                <c:pt idx="1">
                  <c:v>1798.7142857142858</c:v>
                </c:pt>
                <c:pt idx="2">
                  <c:v>1630.9999999999998</c:v>
                </c:pt>
                <c:pt idx="3">
                  <c:v>1622</c:v>
                </c:pt>
                <c:pt idx="4">
                  <c:v>1502.1428571428569</c:v>
                </c:pt>
                <c:pt idx="5">
                  <c:v>1383.8571428571427</c:v>
                </c:pt>
                <c:pt idx="6">
                  <c:v>1429.7142857142856</c:v>
                </c:pt>
                <c:pt idx="7">
                  <c:v>1413.8571428571427</c:v>
                </c:pt>
                <c:pt idx="8">
                  <c:v>1577.7142857142858</c:v>
                </c:pt>
                <c:pt idx="9">
                  <c:v>1842.4285714285716</c:v>
                </c:pt>
                <c:pt idx="10">
                  <c:v>1950</c:v>
                </c:pt>
                <c:pt idx="11">
                  <c:v>1801.8571428571431</c:v>
                </c:pt>
                <c:pt idx="12">
                  <c:v>1515.5</c:v>
                </c:pt>
                <c:pt idx="13">
                  <c:v>1635.5</c:v>
                </c:pt>
                <c:pt idx="14">
                  <c:v>1502</c:v>
                </c:pt>
                <c:pt idx="15">
                  <c:v>1054.5</c:v>
                </c:pt>
                <c:pt idx="16">
                  <c:v>788</c:v>
                </c:pt>
                <c:pt idx="17">
                  <c:v>396.5</c:v>
                </c:pt>
                <c:pt idx="18">
                  <c:v>196</c:v>
                </c:pt>
                <c:pt idx="19">
                  <c:v>176.5</c:v>
                </c:pt>
                <c:pt idx="20">
                  <c:v>87</c:v>
                </c:pt>
                <c:pt idx="21">
                  <c:v>94.5</c:v>
                </c:pt>
                <c:pt idx="22">
                  <c:v>222.5</c:v>
                </c:pt>
                <c:pt idx="23">
                  <c:v>753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289-4DCF-B882-877A22CF008F}"/>
            </c:ext>
          </c:extLst>
        </c:ser>
        <c:ser>
          <c:idx val="5"/>
          <c:order val="2"/>
          <c:tx>
            <c:strRef>
              <c:f>'Avg Week Ntinda-Naalya-2Dir'!$AC$9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Ntinda-Naalya-2Dir'!$R$10:$R$33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Ntinda-Naalya-2Dir'!$AC$10:$AC$33</c:f>
              <c:numCache>
                <c:formatCode>0</c:formatCode>
                <c:ptCount val="24"/>
                <c:pt idx="0">
                  <c:v>476.57142857142856</c:v>
                </c:pt>
                <c:pt idx="1">
                  <c:v>672</c:v>
                </c:pt>
                <c:pt idx="2">
                  <c:v>656</c:v>
                </c:pt>
                <c:pt idx="3">
                  <c:v>613.14285714285711</c:v>
                </c:pt>
                <c:pt idx="4">
                  <c:v>572.71428571428578</c:v>
                </c:pt>
                <c:pt idx="5">
                  <c:v>509.28571428571433</c:v>
                </c:pt>
                <c:pt idx="6">
                  <c:v>448.85714285714283</c:v>
                </c:pt>
                <c:pt idx="7">
                  <c:v>495.42857142857144</c:v>
                </c:pt>
                <c:pt idx="8">
                  <c:v>549.14285714285711</c:v>
                </c:pt>
                <c:pt idx="9">
                  <c:v>575.28571428571422</c:v>
                </c:pt>
                <c:pt idx="10">
                  <c:v>605.85714285714289</c:v>
                </c:pt>
                <c:pt idx="11">
                  <c:v>589</c:v>
                </c:pt>
                <c:pt idx="12">
                  <c:v>525.5</c:v>
                </c:pt>
                <c:pt idx="13">
                  <c:v>701</c:v>
                </c:pt>
                <c:pt idx="14">
                  <c:v>436.5</c:v>
                </c:pt>
                <c:pt idx="15">
                  <c:v>320.5</c:v>
                </c:pt>
                <c:pt idx="16">
                  <c:v>215</c:v>
                </c:pt>
                <c:pt idx="17">
                  <c:v>95</c:v>
                </c:pt>
                <c:pt idx="18">
                  <c:v>50.5</c:v>
                </c:pt>
                <c:pt idx="19">
                  <c:v>60</c:v>
                </c:pt>
                <c:pt idx="20">
                  <c:v>18</c:v>
                </c:pt>
                <c:pt idx="21">
                  <c:v>16</c:v>
                </c:pt>
                <c:pt idx="22">
                  <c:v>32</c:v>
                </c:pt>
                <c:pt idx="23">
                  <c:v>68.5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DC-4269-83A4-9C67FBDC4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430144"/>
        <c:axId val="183440128"/>
      </c:lineChart>
      <c:catAx>
        <c:axId val="1834301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3440128"/>
        <c:crosses val="autoZero"/>
        <c:auto val="1"/>
        <c:lblAlgn val="ctr"/>
        <c:lblOffset val="100"/>
        <c:noMultiLvlLbl val="0"/>
      </c:catAx>
      <c:valAx>
        <c:axId val="1834401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3430144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77"/>
          <c:y val="2.254314649517314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7"/>
          <c:w val="0.64701098217985964"/>
          <c:h val="0.782824962452126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Ntinda-Naalya-2Dir'!$S$9:$AF$9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Ntinda-Naalya-2Dir'!$S$41:$AF$41</c:f>
              <c:numCache>
                <c:formatCode>_-* #,##0_-;\-* #,##0_-;_-* "-"_-;_-@_-</c:formatCode>
                <c:ptCount val="14"/>
                <c:pt idx="0">
                  <c:v>11460.071428571429</c:v>
                </c:pt>
                <c:pt idx="1">
                  <c:v>4640.2857142857138</c:v>
                </c:pt>
                <c:pt idx="2">
                  <c:v>966.85714285714289</c:v>
                </c:pt>
                <c:pt idx="3">
                  <c:v>1026.3571428571429</c:v>
                </c:pt>
                <c:pt idx="4">
                  <c:v>98.5</c:v>
                </c:pt>
                <c:pt idx="5">
                  <c:v>22.357142857142854</c:v>
                </c:pt>
                <c:pt idx="6">
                  <c:v>339.71428571428567</c:v>
                </c:pt>
                <c:pt idx="7">
                  <c:v>187.28571428571428</c:v>
                </c:pt>
                <c:pt idx="8">
                  <c:v>49.428571428571423</c:v>
                </c:pt>
                <c:pt idx="9">
                  <c:v>19.428571428571431</c:v>
                </c:pt>
                <c:pt idx="10">
                  <c:v>9301.7857142857138</c:v>
                </c:pt>
                <c:pt idx="11">
                  <c:v>0.5714285714285714</c:v>
                </c:pt>
                <c:pt idx="12">
                  <c:v>18810.857142857145</c:v>
                </c:pt>
                <c:pt idx="13">
                  <c:v>28112.642857142862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4-4A20-879A-D9A0A0F905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83455744"/>
        <c:axId val="183457280"/>
      </c:barChart>
      <c:catAx>
        <c:axId val="18345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3457280"/>
        <c:crosses val="autoZero"/>
        <c:auto val="1"/>
        <c:lblAlgn val="ctr"/>
        <c:lblOffset val="100"/>
        <c:noMultiLvlLbl val="0"/>
      </c:catAx>
      <c:valAx>
        <c:axId val="183457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345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77"/>
          <c:y val="2.254314649517314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7"/>
          <c:w val="0.64701098217985964"/>
          <c:h val="0.782824962452126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Ntinda-Naalya-2Dir'!$S$9:$AF$9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Ntinda-Naalya-2Dir'!$S$42:$AF$42</c:f>
              <c:numCache>
                <c:formatCode>0.000</c:formatCode>
                <c:ptCount val="14"/>
                <c:pt idx="0">
                  <c:v>1.4568063778011839</c:v>
                </c:pt>
                <c:pt idx="1">
                  <c:v>1.482857795023967</c:v>
                </c:pt>
                <c:pt idx="2">
                  <c:v>1.628097185470291</c:v>
                </c:pt>
                <c:pt idx="3">
                  <c:v>1.3816346153846153</c:v>
                </c:pt>
                <c:pt idx="4">
                  <c:v>1.2960526315789473</c:v>
                </c:pt>
                <c:pt idx="5">
                  <c:v>1.4099099099099097</c:v>
                </c:pt>
                <c:pt idx="6">
                  <c:v>1.1222274657857481</c:v>
                </c:pt>
                <c:pt idx="7">
                  <c:v>1.2545454545454546</c:v>
                </c:pt>
                <c:pt idx="8">
                  <c:v>1.3568627450980393</c:v>
                </c:pt>
                <c:pt idx="9">
                  <c:v>1.3465346534653466</c:v>
                </c:pt>
                <c:pt idx="10">
                  <c:v>1.3753353188433348</c:v>
                </c:pt>
                <c:pt idx="11">
                  <c:v>1</c:v>
                </c:pt>
                <c:pt idx="12">
                  <c:v>1.4550638156804245</c:v>
                </c:pt>
                <c:pt idx="13">
                  <c:v>1.4276795948867509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4-4A20-879A-D9A0A0F905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83497856"/>
        <c:axId val="183499392"/>
      </c:barChart>
      <c:catAx>
        <c:axId val="18349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3499392"/>
        <c:crosses val="autoZero"/>
        <c:auto val="1"/>
        <c:lblAlgn val="ctr"/>
        <c:lblOffset val="100"/>
        <c:noMultiLvlLbl val="0"/>
      </c:catAx>
      <c:valAx>
        <c:axId val="18349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349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5.xml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9.xml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7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3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2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6.xml"/><Relationship Id="rId6" Type="http://schemas.openxmlformats.org/officeDocument/2006/relationships/image" Target="../media/image5.emf"/><Relationship Id="rId11" Type="http://schemas.openxmlformats.org/officeDocument/2006/relationships/image" Target="../media/image18.jpeg"/><Relationship Id="rId5" Type="http://schemas.openxmlformats.org/officeDocument/2006/relationships/image" Target="../media/image4.emf"/><Relationship Id="rId15" Type="http://schemas.openxmlformats.org/officeDocument/2006/relationships/chart" Target="../charts/chart2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7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2.xml"/><Relationship Id="rId1" Type="http://schemas.openxmlformats.org/officeDocument/2006/relationships/chart" Target="../charts/chart29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0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6.xml"/><Relationship Id="rId1" Type="http://schemas.openxmlformats.org/officeDocument/2006/relationships/chart" Target="../charts/chart3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3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4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37.xml"/><Relationship Id="rId6" Type="http://schemas.openxmlformats.org/officeDocument/2006/relationships/image" Target="../media/image5.emf"/><Relationship Id="rId11" Type="http://schemas.openxmlformats.org/officeDocument/2006/relationships/image" Target="../media/image18.jpeg"/><Relationship Id="rId5" Type="http://schemas.openxmlformats.org/officeDocument/2006/relationships/image" Target="../media/image4.emf"/><Relationship Id="rId15" Type="http://schemas.openxmlformats.org/officeDocument/2006/relationships/chart" Target="../charts/chart3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8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4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1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9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jpe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3538</xdr:colOff>
      <xdr:row>43</xdr:row>
      <xdr:rowOff>5801</xdr:rowOff>
    </xdr:from>
    <xdr:to>
      <xdr:col>27</xdr:col>
      <xdr:colOff>713060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711967</xdr:colOff>
      <xdr:row>58</xdr:row>
      <xdr:rowOff>272284</xdr:rowOff>
    </xdr:from>
    <xdr:to>
      <xdr:col>31</xdr:col>
      <xdr:colOff>574785</xdr:colOff>
      <xdr:row>75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16421</xdr:colOff>
      <xdr:row>59</xdr:row>
      <xdr:rowOff>2</xdr:rowOff>
    </xdr:from>
    <xdr:to>
      <xdr:col>24</xdr:col>
      <xdr:colOff>0</xdr:colOff>
      <xdr:row>75</xdr:row>
      <xdr:rowOff>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5077</xdr:colOff>
      <xdr:row>43</xdr:row>
      <xdr:rowOff>7340</xdr:rowOff>
    </xdr:from>
    <xdr:to>
      <xdr:col>28</xdr:col>
      <xdr:colOff>-1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25</xdr:col>
      <xdr:colOff>1985</xdr:colOff>
      <xdr:row>58</xdr:row>
      <xdr:rowOff>277416</xdr:rowOff>
    </xdr:from>
    <xdr:to>
      <xdr:col>31</xdr:col>
      <xdr:colOff>595313</xdr:colOff>
      <xdr:row>75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</xdr:colOff>
      <xdr:row>58</xdr:row>
      <xdr:rowOff>282772</xdr:rowOff>
    </xdr:from>
    <xdr:to>
      <xdr:col>24</xdr:col>
      <xdr:colOff>0</xdr:colOff>
      <xdr:row>75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1984</xdr:colOff>
      <xdr:row>74</xdr:row>
      <xdr:rowOff>277416</xdr:rowOff>
    </xdr:from>
    <xdr:to>
      <xdr:col>25</xdr:col>
      <xdr:colOff>0</xdr:colOff>
      <xdr:row>92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-1</xdr:colOff>
      <xdr:row>59</xdr:row>
      <xdr:rowOff>0</xdr:rowOff>
    </xdr:from>
    <xdr:to>
      <xdr:col>25</xdr:col>
      <xdr:colOff>0</xdr:colOff>
      <xdr:row>75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2</xdr:colOff>
      <xdr:row>43</xdr:row>
      <xdr:rowOff>1</xdr:rowOff>
    </xdr:from>
    <xdr:to>
      <xdr:col>28</xdr:col>
      <xdr:colOff>1</xdr:colOff>
      <xdr:row>59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F3C755B-FA06-4641-8226-864954F6E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25</xdr:col>
      <xdr:colOff>-1</xdr:colOff>
      <xdr:row>59</xdr:row>
      <xdr:rowOff>0</xdr:rowOff>
    </xdr:from>
    <xdr:to>
      <xdr:col>31</xdr:col>
      <xdr:colOff>520898</xdr:colOff>
      <xdr:row>75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3627A04-1E0E-4C3A-8B25-FA92ABCB6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25</xdr:col>
      <xdr:colOff>0</xdr:colOff>
      <xdr:row>74</xdr:row>
      <xdr:rowOff>282772</xdr:rowOff>
    </xdr:from>
    <xdr:to>
      <xdr:col>31</xdr:col>
      <xdr:colOff>520898</xdr:colOff>
      <xdr:row>92</xdr:row>
      <xdr:rowOff>-1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CD2BF54-C297-4A9B-8975-0C4CE3D1A6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31" zoomScale="40" zoomScaleSheetLayoutView="40" workbookViewId="0">
      <selection activeCell="G30" sqref="G3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1" t="s">
        <v>96</v>
      </c>
      <c r="C3" s="61" t="s">
        <v>163</v>
      </c>
      <c r="D3" s="61"/>
      <c r="E3" s="61"/>
      <c r="F3" s="61"/>
      <c r="G3" s="61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168</v>
      </c>
      <c r="E5" s="3"/>
      <c r="F5" s="41" t="s">
        <v>1</v>
      </c>
      <c r="G5" s="56" t="s">
        <v>166</v>
      </c>
      <c r="H5" s="57"/>
      <c r="I5" s="14"/>
      <c r="J5" s="2" t="s">
        <v>5</v>
      </c>
      <c r="K5" s="56" t="s">
        <v>175</v>
      </c>
      <c r="L5" s="57"/>
      <c r="M5" s="10"/>
      <c r="N5" s="10"/>
      <c r="O5" s="3"/>
      <c r="P5" s="3"/>
    </row>
    <row r="6" spans="2:32" ht="23.25" customHeight="1" x14ac:dyDescent="0.25">
      <c r="C6" s="2" t="s">
        <v>4</v>
      </c>
      <c r="D6" s="56" t="s">
        <v>164</v>
      </c>
      <c r="E6" s="57"/>
      <c r="F6" s="2" t="s">
        <v>2</v>
      </c>
      <c r="G6" s="56" t="s">
        <v>165</v>
      </c>
      <c r="H6" s="57"/>
      <c r="J6" s="2" t="s">
        <v>21</v>
      </c>
      <c r="K6" s="56" t="s">
        <v>167</v>
      </c>
      <c r="L6" s="5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29</v>
      </c>
      <c r="D10" s="50">
        <v>9</v>
      </c>
      <c r="E10" s="50">
        <v>4</v>
      </c>
      <c r="F10" s="50">
        <v>0</v>
      </c>
      <c r="G10" s="50">
        <v>0</v>
      </c>
      <c r="H10" s="50">
        <v>1</v>
      </c>
      <c r="I10" s="50">
        <v>0</v>
      </c>
      <c r="J10" s="50">
        <v>0</v>
      </c>
      <c r="K10" s="50">
        <v>0</v>
      </c>
      <c r="L10" s="50">
        <v>0</v>
      </c>
      <c r="M10" s="50">
        <v>7</v>
      </c>
      <c r="N10" s="50">
        <v>0</v>
      </c>
      <c r="O10" s="15">
        <f t="shared" ref="O10:O57" si="0">SUM(C10:L10,N10)</f>
        <v>43</v>
      </c>
      <c r="P10" s="15">
        <f t="shared" ref="P10:P57" si="1">SUM(C10:N10)</f>
        <v>50</v>
      </c>
      <c r="R10" s="1" t="s">
        <v>6</v>
      </c>
      <c r="S10" s="17">
        <f t="shared" ref="S10:AF10" si="2">SUM(C10:C13)</f>
        <v>369</v>
      </c>
      <c r="T10" s="17">
        <f t="shared" si="2"/>
        <v>74</v>
      </c>
      <c r="U10" s="17">
        <f t="shared" si="2"/>
        <v>12</v>
      </c>
      <c r="V10" s="17">
        <f t="shared" si="2"/>
        <v>0</v>
      </c>
      <c r="W10" s="17">
        <f t="shared" si="2"/>
        <v>0</v>
      </c>
      <c r="X10" s="17">
        <f t="shared" si="2"/>
        <v>1</v>
      </c>
      <c r="Y10" s="17">
        <f t="shared" si="2"/>
        <v>1</v>
      </c>
      <c r="Z10" s="17">
        <f t="shared" si="2"/>
        <v>2</v>
      </c>
      <c r="AA10" s="17">
        <f t="shared" si="2"/>
        <v>0</v>
      </c>
      <c r="AB10" s="17">
        <f t="shared" si="2"/>
        <v>0</v>
      </c>
      <c r="AC10" s="17">
        <f t="shared" si="2"/>
        <v>185</v>
      </c>
      <c r="AD10" s="17">
        <f t="shared" si="2"/>
        <v>0</v>
      </c>
      <c r="AE10" s="31">
        <f t="shared" si="2"/>
        <v>459</v>
      </c>
      <c r="AF10" s="31">
        <f t="shared" si="2"/>
        <v>644</v>
      </c>
    </row>
    <row r="11" spans="2:32" s="6" customFormat="1" ht="23.1" customHeight="1" x14ac:dyDescent="0.25">
      <c r="B11" s="23" t="s">
        <v>38</v>
      </c>
      <c r="C11" s="50">
        <v>97</v>
      </c>
      <c r="D11" s="50">
        <v>22</v>
      </c>
      <c r="E11" s="50">
        <v>1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31</v>
      </c>
      <c r="N11" s="50">
        <v>0</v>
      </c>
      <c r="O11" s="15">
        <f t="shared" si="0"/>
        <v>120</v>
      </c>
      <c r="P11" s="15">
        <f t="shared" si="1"/>
        <v>151</v>
      </c>
      <c r="R11" s="1" t="s">
        <v>7</v>
      </c>
      <c r="S11" s="17">
        <f t="shared" ref="S11:AF11" si="3">SUM(C14:C17)</f>
        <v>307</v>
      </c>
      <c r="T11" s="17">
        <f t="shared" si="3"/>
        <v>87</v>
      </c>
      <c r="U11" s="17">
        <f t="shared" si="3"/>
        <v>10</v>
      </c>
      <c r="V11" s="17">
        <f t="shared" si="3"/>
        <v>39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4</v>
      </c>
      <c r="AA11" s="17">
        <f t="shared" si="3"/>
        <v>0</v>
      </c>
      <c r="AB11" s="17">
        <f t="shared" si="3"/>
        <v>0</v>
      </c>
      <c r="AC11" s="17">
        <f t="shared" si="3"/>
        <v>312</v>
      </c>
      <c r="AD11" s="17">
        <f t="shared" si="3"/>
        <v>0</v>
      </c>
      <c r="AE11" s="31">
        <f t="shared" si="3"/>
        <v>447</v>
      </c>
      <c r="AF11" s="31">
        <f t="shared" si="3"/>
        <v>759</v>
      </c>
    </row>
    <row r="12" spans="2:32" ht="23.1" customHeight="1" x14ac:dyDescent="0.25">
      <c r="B12" s="23" t="s">
        <v>39</v>
      </c>
      <c r="C12" s="50">
        <v>125</v>
      </c>
      <c r="D12" s="50">
        <v>18</v>
      </c>
      <c r="E12" s="50">
        <v>5</v>
      </c>
      <c r="F12" s="50">
        <v>0</v>
      </c>
      <c r="G12" s="50">
        <v>0</v>
      </c>
      <c r="H12" s="50">
        <v>0</v>
      </c>
      <c r="I12" s="50">
        <v>1</v>
      </c>
      <c r="J12" s="50">
        <v>2</v>
      </c>
      <c r="K12" s="50">
        <v>0</v>
      </c>
      <c r="L12" s="50">
        <v>0</v>
      </c>
      <c r="M12" s="50">
        <v>59</v>
      </c>
      <c r="N12" s="50">
        <v>0</v>
      </c>
      <c r="O12" s="15">
        <f t="shared" si="0"/>
        <v>151</v>
      </c>
      <c r="P12" s="15">
        <f t="shared" si="1"/>
        <v>210</v>
      </c>
      <c r="R12" s="1" t="s">
        <v>8</v>
      </c>
      <c r="S12" s="17">
        <f t="shared" ref="S12:AF12" si="4">SUM(C18:C21)</f>
        <v>234</v>
      </c>
      <c r="T12" s="17">
        <f t="shared" si="4"/>
        <v>71</v>
      </c>
      <c r="U12" s="17">
        <f t="shared" si="4"/>
        <v>22</v>
      </c>
      <c r="V12" s="17">
        <f t="shared" si="4"/>
        <v>37</v>
      </c>
      <c r="W12" s="17">
        <f t="shared" si="4"/>
        <v>0</v>
      </c>
      <c r="X12" s="17">
        <f t="shared" si="4"/>
        <v>0</v>
      </c>
      <c r="Y12" s="17">
        <f t="shared" si="4"/>
        <v>21</v>
      </c>
      <c r="Z12" s="17">
        <f t="shared" si="4"/>
        <v>8</v>
      </c>
      <c r="AA12" s="17">
        <f t="shared" si="4"/>
        <v>0</v>
      </c>
      <c r="AB12" s="17">
        <f t="shared" si="4"/>
        <v>0</v>
      </c>
      <c r="AC12" s="17">
        <f t="shared" si="4"/>
        <v>369</v>
      </c>
      <c r="AD12" s="17">
        <f t="shared" si="4"/>
        <v>0</v>
      </c>
      <c r="AE12" s="31">
        <f t="shared" si="4"/>
        <v>393</v>
      </c>
      <c r="AF12" s="31">
        <f t="shared" si="4"/>
        <v>762</v>
      </c>
    </row>
    <row r="13" spans="2:32" ht="23.1" customHeight="1" x14ac:dyDescent="0.25">
      <c r="B13" s="23" t="s">
        <v>40</v>
      </c>
      <c r="C13" s="50">
        <v>118</v>
      </c>
      <c r="D13" s="50">
        <v>25</v>
      </c>
      <c r="E13" s="50">
        <v>2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88</v>
      </c>
      <c r="N13" s="50">
        <v>0</v>
      </c>
      <c r="O13" s="15">
        <f t="shared" si="0"/>
        <v>145</v>
      </c>
      <c r="P13" s="15">
        <f t="shared" si="1"/>
        <v>233</v>
      </c>
      <c r="R13" s="1" t="s">
        <v>9</v>
      </c>
      <c r="S13" s="17">
        <f t="shared" ref="S13:AF13" si="5">SUM(C22:C25)</f>
        <v>268</v>
      </c>
      <c r="T13" s="17">
        <f t="shared" si="5"/>
        <v>72</v>
      </c>
      <c r="U13" s="17">
        <f t="shared" si="5"/>
        <v>20</v>
      </c>
      <c r="V13" s="17">
        <f t="shared" si="5"/>
        <v>26</v>
      </c>
      <c r="W13" s="17">
        <f t="shared" si="5"/>
        <v>0</v>
      </c>
      <c r="X13" s="17">
        <f t="shared" si="5"/>
        <v>0</v>
      </c>
      <c r="Y13" s="17">
        <f t="shared" si="5"/>
        <v>30</v>
      </c>
      <c r="Z13" s="17">
        <f t="shared" si="5"/>
        <v>7</v>
      </c>
      <c r="AA13" s="17">
        <f t="shared" si="5"/>
        <v>0</v>
      </c>
      <c r="AB13" s="17">
        <f t="shared" si="5"/>
        <v>0</v>
      </c>
      <c r="AC13" s="17">
        <f t="shared" si="5"/>
        <v>323</v>
      </c>
      <c r="AD13" s="17">
        <f t="shared" si="5"/>
        <v>0</v>
      </c>
      <c r="AE13" s="31">
        <f t="shared" si="5"/>
        <v>423</v>
      </c>
      <c r="AF13" s="31">
        <f t="shared" si="5"/>
        <v>746</v>
      </c>
    </row>
    <row r="14" spans="2:32" ht="23.1" customHeight="1" x14ac:dyDescent="0.25">
      <c r="B14" s="23" t="s">
        <v>41</v>
      </c>
      <c r="C14" s="50">
        <v>96</v>
      </c>
      <c r="D14" s="50">
        <v>27</v>
      </c>
      <c r="E14" s="50">
        <v>0</v>
      </c>
      <c r="F14" s="50">
        <v>15</v>
      </c>
      <c r="G14" s="50">
        <v>0</v>
      </c>
      <c r="H14" s="50">
        <v>0</v>
      </c>
      <c r="I14" s="50">
        <v>0</v>
      </c>
      <c r="J14" s="50">
        <v>2</v>
      </c>
      <c r="K14" s="50">
        <v>0</v>
      </c>
      <c r="L14" s="50">
        <v>0</v>
      </c>
      <c r="M14" s="50">
        <v>71</v>
      </c>
      <c r="N14" s="50">
        <v>0</v>
      </c>
      <c r="O14" s="15">
        <f t="shared" si="0"/>
        <v>140</v>
      </c>
      <c r="P14" s="15">
        <f t="shared" si="1"/>
        <v>211</v>
      </c>
      <c r="R14" s="1" t="s">
        <v>10</v>
      </c>
      <c r="S14" s="17">
        <f t="shared" ref="S14:AF14" si="6">SUM(C26:C29)</f>
        <v>233</v>
      </c>
      <c r="T14" s="17">
        <f t="shared" si="6"/>
        <v>82</v>
      </c>
      <c r="U14" s="17">
        <f t="shared" si="6"/>
        <v>18</v>
      </c>
      <c r="V14" s="17">
        <f t="shared" si="6"/>
        <v>19</v>
      </c>
      <c r="W14" s="17">
        <f t="shared" si="6"/>
        <v>1</v>
      </c>
      <c r="X14" s="17">
        <f t="shared" si="6"/>
        <v>1</v>
      </c>
      <c r="Y14" s="17">
        <f t="shared" si="6"/>
        <v>25</v>
      </c>
      <c r="Z14" s="17">
        <f t="shared" si="6"/>
        <v>5</v>
      </c>
      <c r="AA14" s="17">
        <f t="shared" si="6"/>
        <v>1</v>
      </c>
      <c r="AB14" s="17">
        <f t="shared" si="6"/>
        <v>0</v>
      </c>
      <c r="AC14" s="17">
        <f t="shared" si="6"/>
        <v>305</v>
      </c>
      <c r="AD14" s="17">
        <f t="shared" si="6"/>
        <v>0</v>
      </c>
      <c r="AE14" s="31">
        <f t="shared" si="6"/>
        <v>385</v>
      </c>
      <c r="AF14" s="31">
        <f t="shared" si="6"/>
        <v>690</v>
      </c>
    </row>
    <row r="15" spans="2:32" ht="23.1" customHeight="1" x14ac:dyDescent="0.25">
      <c r="B15" s="23" t="s">
        <v>42</v>
      </c>
      <c r="C15" s="50">
        <v>71</v>
      </c>
      <c r="D15" s="50">
        <v>22</v>
      </c>
      <c r="E15" s="50">
        <v>1</v>
      </c>
      <c r="F15" s="50">
        <v>8</v>
      </c>
      <c r="G15" s="50">
        <v>0</v>
      </c>
      <c r="H15" s="50">
        <v>0</v>
      </c>
      <c r="I15" s="50">
        <v>0</v>
      </c>
      <c r="J15" s="50">
        <v>1</v>
      </c>
      <c r="K15" s="50">
        <v>0</v>
      </c>
      <c r="L15" s="50">
        <v>0</v>
      </c>
      <c r="M15" s="50">
        <v>50</v>
      </c>
      <c r="N15" s="50">
        <v>0</v>
      </c>
      <c r="O15" s="15">
        <f t="shared" si="0"/>
        <v>103</v>
      </c>
      <c r="P15" s="15">
        <f t="shared" si="1"/>
        <v>153</v>
      </c>
      <c r="R15" s="1" t="s">
        <v>11</v>
      </c>
      <c r="S15" s="17">
        <f t="shared" ref="S15:AF15" si="7">SUM(C30:C33)</f>
        <v>222</v>
      </c>
      <c r="T15" s="17">
        <f t="shared" si="7"/>
        <v>64</v>
      </c>
      <c r="U15" s="17">
        <f t="shared" si="7"/>
        <v>20</v>
      </c>
      <c r="V15" s="17">
        <f t="shared" si="7"/>
        <v>20</v>
      </c>
      <c r="W15" s="17">
        <f t="shared" si="7"/>
        <v>5</v>
      </c>
      <c r="X15" s="17">
        <f t="shared" si="7"/>
        <v>1</v>
      </c>
      <c r="Y15" s="17">
        <f t="shared" si="7"/>
        <v>17</v>
      </c>
      <c r="Z15" s="17">
        <f t="shared" si="7"/>
        <v>4</v>
      </c>
      <c r="AA15" s="17">
        <f t="shared" si="7"/>
        <v>2</v>
      </c>
      <c r="AB15" s="17">
        <f t="shared" si="7"/>
        <v>0</v>
      </c>
      <c r="AC15" s="17">
        <f t="shared" si="7"/>
        <v>282</v>
      </c>
      <c r="AD15" s="17">
        <f t="shared" si="7"/>
        <v>0</v>
      </c>
      <c r="AE15" s="31">
        <f t="shared" si="7"/>
        <v>355</v>
      </c>
      <c r="AF15" s="31">
        <f t="shared" si="7"/>
        <v>637</v>
      </c>
    </row>
    <row r="16" spans="2:32" ht="23.1" customHeight="1" x14ac:dyDescent="0.25">
      <c r="B16" s="23" t="s">
        <v>43</v>
      </c>
      <c r="C16" s="50">
        <v>59</v>
      </c>
      <c r="D16" s="50">
        <v>23</v>
      </c>
      <c r="E16" s="50">
        <v>4</v>
      </c>
      <c r="F16" s="50">
        <v>9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85</v>
      </c>
      <c r="N16" s="50">
        <v>0</v>
      </c>
      <c r="O16" s="15">
        <f t="shared" si="0"/>
        <v>95</v>
      </c>
      <c r="P16" s="15">
        <f t="shared" si="1"/>
        <v>180</v>
      </c>
      <c r="R16" s="1" t="s">
        <v>12</v>
      </c>
      <c r="S16" s="17">
        <f t="shared" ref="S16:AF16" si="8">SUM(C34:C37)</f>
        <v>281</v>
      </c>
      <c r="T16" s="17">
        <f t="shared" si="8"/>
        <v>71</v>
      </c>
      <c r="U16" s="17">
        <f t="shared" si="8"/>
        <v>26</v>
      </c>
      <c r="V16" s="17">
        <f t="shared" si="8"/>
        <v>19</v>
      </c>
      <c r="W16" s="17">
        <f t="shared" si="8"/>
        <v>2</v>
      </c>
      <c r="X16" s="17">
        <f t="shared" si="8"/>
        <v>1</v>
      </c>
      <c r="Y16" s="17">
        <f t="shared" si="8"/>
        <v>21</v>
      </c>
      <c r="Z16" s="17">
        <f t="shared" si="8"/>
        <v>6</v>
      </c>
      <c r="AA16" s="17">
        <f t="shared" si="8"/>
        <v>3</v>
      </c>
      <c r="AB16" s="17">
        <f t="shared" si="8"/>
        <v>2</v>
      </c>
      <c r="AC16" s="17">
        <f t="shared" si="8"/>
        <v>250</v>
      </c>
      <c r="AD16" s="17">
        <f t="shared" si="8"/>
        <v>0</v>
      </c>
      <c r="AE16" s="31">
        <f t="shared" si="8"/>
        <v>432</v>
      </c>
      <c r="AF16" s="31">
        <f t="shared" si="8"/>
        <v>682</v>
      </c>
    </row>
    <row r="17" spans="2:32" ht="23.1" customHeight="1" x14ac:dyDescent="0.25">
      <c r="B17" s="23" t="s">
        <v>44</v>
      </c>
      <c r="C17" s="50">
        <v>81</v>
      </c>
      <c r="D17" s="50">
        <v>15</v>
      </c>
      <c r="E17" s="50">
        <v>5</v>
      </c>
      <c r="F17" s="50">
        <v>7</v>
      </c>
      <c r="G17" s="50">
        <v>0</v>
      </c>
      <c r="H17" s="50">
        <v>0</v>
      </c>
      <c r="I17" s="50">
        <v>0</v>
      </c>
      <c r="J17" s="50">
        <v>1</v>
      </c>
      <c r="K17" s="50">
        <v>0</v>
      </c>
      <c r="L17" s="50">
        <v>0</v>
      </c>
      <c r="M17" s="50">
        <v>106</v>
      </c>
      <c r="N17" s="50">
        <v>0</v>
      </c>
      <c r="O17" s="15">
        <f t="shared" si="0"/>
        <v>109</v>
      </c>
      <c r="P17" s="15">
        <f t="shared" si="1"/>
        <v>215</v>
      </c>
      <c r="R17" s="1" t="s">
        <v>13</v>
      </c>
      <c r="S17" s="17">
        <f t="shared" ref="S17:AF17" si="9">SUM(C38:C41)</f>
        <v>268</v>
      </c>
      <c r="T17" s="17">
        <f t="shared" si="9"/>
        <v>31</v>
      </c>
      <c r="U17" s="17">
        <f t="shared" si="9"/>
        <v>27</v>
      </c>
      <c r="V17" s="17">
        <f t="shared" si="9"/>
        <v>23</v>
      </c>
      <c r="W17" s="17">
        <f t="shared" si="9"/>
        <v>5</v>
      </c>
      <c r="X17" s="17">
        <f t="shared" si="9"/>
        <v>1</v>
      </c>
      <c r="Y17" s="17">
        <f t="shared" si="9"/>
        <v>17</v>
      </c>
      <c r="Z17" s="17">
        <f t="shared" si="9"/>
        <v>6</v>
      </c>
      <c r="AA17" s="17">
        <f t="shared" si="9"/>
        <v>0</v>
      </c>
      <c r="AB17" s="17">
        <f t="shared" si="9"/>
        <v>0</v>
      </c>
      <c r="AC17" s="17">
        <f t="shared" si="9"/>
        <v>265</v>
      </c>
      <c r="AD17" s="17">
        <f t="shared" si="9"/>
        <v>0</v>
      </c>
      <c r="AE17" s="31">
        <f t="shared" si="9"/>
        <v>378</v>
      </c>
      <c r="AF17" s="31">
        <f t="shared" si="9"/>
        <v>643</v>
      </c>
    </row>
    <row r="18" spans="2:32" ht="23.1" customHeight="1" x14ac:dyDescent="0.25">
      <c r="B18" s="23" t="s">
        <v>45</v>
      </c>
      <c r="C18" s="50">
        <v>70</v>
      </c>
      <c r="D18" s="50">
        <v>20</v>
      </c>
      <c r="E18" s="50">
        <v>6</v>
      </c>
      <c r="F18" s="50">
        <v>8</v>
      </c>
      <c r="G18" s="50">
        <v>0</v>
      </c>
      <c r="H18" s="50">
        <v>0</v>
      </c>
      <c r="I18" s="50">
        <v>5</v>
      </c>
      <c r="J18" s="50">
        <v>1</v>
      </c>
      <c r="K18" s="50">
        <v>0</v>
      </c>
      <c r="L18" s="50">
        <v>0</v>
      </c>
      <c r="M18" s="50">
        <v>100</v>
      </c>
      <c r="N18" s="50">
        <v>0</v>
      </c>
      <c r="O18" s="15">
        <f t="shared" si="0"/>
        <v>110</v>
      </c>
      <c r="P18" s="15">
        <f t="shared" si="1"/>
        <v>210</v>
      </c>
      <c r="R18" s="1" t="s">
        <v>14</v>
      </c>
      <c r="S18" s="17">
        <f t="shared" ref="S18:AF18" si="10">SUM(C42:C45)</f>
        <v>379</v>
      </c>
      <c r="T18" s="17">
        <f t="shared" si="10"/>
        <v>81</v>
      </c>
      <c r="U18" s="17">
        <f t="shared" si="10"/>
        <v>30</v>
      </c>
      <c r="V18" s="17">
        <f t="shared" si="10"/>
        <v>75</v>
      </c>
      <c r="W18" s="17">
        <f t="shared" si="10"/>
        <v>5</v>
      </c>
      <c r="X18" s="17">
        <f t="shared" si="10"/>
        <v>0</v>
      </c>
      <c r="Y18" s="17">
        <f t="shared" si="10"/>
        <v>20</v>
      </c>
      <c r="Z18" s="17">
        <f t="shared" si="10"/>
        <v>6</v>
      </c>
      <c r="AA18" s="17">
        <f t="shared" si="10"/>
        <v>2</v>
      </c>
      <c r="AB18" s="17">
        <f t="shared" si="10"/>
        <v>1</v>
      </c>
      <c r="AC18" s="17">
        <f t="shared" si="10"/>
        <v>291</v>
      </c>
      <c r="AD18" s="17">
        <f t="shared" si="10"/>
        <v>0</v>
      </c>
      <c r="AE18" s="31">
        <f t="shared" si="10"/>
        <v>599</v>
      </c>
      <c r="AF18" s="31">
        <f t="shared" si="10"/>
        <v>890</v>
      </c>
    </row>
    <row r="19" spans="2:32" ht="23.1" customHeight="1" x14ac:dyDescent="0.25">
      <c r="B19" s="23" t="s">
        <v>46</v>
      </c>
      <c r="C19" s="50">
        <v>71</v>
      </c>
      <c r="D19" s="50">
        <v>17</v>
      </c>
      <c r="E19" s="50">
        <v>7</v>
      </c>
      <c r="F19" s="50">
        <v>7</v>
      </c>
      <c r="G19" s="50">
        <v>0</v>
      </c>
      <c r="H19" s="50">
        <v>0</v>
      </c>
      <c r="I19" s="50">
        <v>6</v>
      </c>
      <c r="J19" s="50">
        <v>2</v>
      </c>
      <c r="K19" s="50">
        <v>0</v>
      </c>
      <c r="L19" s="50">
        <v>0</v>
      </c>
      <c r="M19" s="50">
        <v>109</v>
      </c>
      <c r="N19" s="50">
        <v>0</v>
      </c>
      <c r="O19" s="15">
        <f t="shared" si="0"/>
        <v>110</v>
      </c>
      <c r="P19" s="15">
        <f t="shared" si="1"/>
        <v>219</v>
      </c>
      <c r="R19" s="1" t="s">
        <v>15</v>
      </c>
      <c r="S19" s="17">
        <f t="shared" ref="S19:AF19" si="11">SUM(C46:C49)</f>
        <v>552</v>
      </c>
      <c r="T19" s="17">
        <f t="shared" si="11"/>
        <v>103</v>
      </c>
      <c r="U19" s="17">
        <f t="shared" si="11"/>
        <v>19</v>
      </c>
      <c r="V19" s="17">
        <f t="shared" si="11"/>
        <v>26</v>
      </c>
      <c r="W19" s="17">
        <f t="shared" si="11"/>
        <v>1</v>
      </c>
      <c r="X19" s="17">
        <f t="shared" si="11"/>
        <v>0</v>
      </c>
      <c r="Y19" s="17">
        <f t="shared" si="11"/>
        <v>19</v>
      </c>
      <c r="Z19" s="17">
        <f t="shared" si="11"/>
        <v>5</v>
      </c>
      <c r="AA19" s="17">
        <f t="shared" si="11"/>
        <v>2</v>
      </c>
      <c r="AB19" s="17">
        <f t="shared" si="11"/>
        <v>0</v>
      </c>
      <c r="AC19" s="17">
        <f t="shared" si="11"/>
        <v>267</v>
      </c>
      <c r="AD19" s="17">
        <f t="shared" si="11"/>
        <v>0</v>
      </c>
      <c r="AE19" s="31">
        <f t="shared" si="11"/>
        <v>727</v>
      </c>
      <c r="AF19" s="31">
        <f t="shared" si="11"/>
        <v>994</v>
      </c>
    </row>
    <row r="20" spans="2:32" ht="23.1" customHeight="1" x14ac:dyDescent="0.25">
      <c r="B20" s="23" t="s">
        <v>47</v>
      </c>
      <c r="C20" s="50">
        <v>47</v>
      </c>
      <c r="D20" s="50">
        <v>20</v>
      </c>
      <c r="E20" s="50">
        <v>4</v>
      </c>
      <c r="F20" s="50">
        <v>12</v>
      </c>
      <c r="G20" s="50">
        <v>0</v>
      </c>
      <c r="H20" s="50">
        <v>0</v>
      </c>
      <c r="I20" s="50">
        <v>8</v>
      </c>
      <c r="J20" s="50">
        <v>2</v>
      </c>
      <c r="K20" s="50">
        <v>0</v>
      </c>
      <c r="L20" s="50">
        <v>0</v>
      </c>
      <c r="M20" s="50">
        <v>88</v>
      </c>
      <c r="N20" s="50">
        <v>0</v>
      </c>
      <c r="O20" s="15">
        <f t="shared" si="0"/>
        <v>93</v>
      </c>
      <c r="P20" s="15">
        <f t="shared" si="1"/>
        <v>181</v>
      </c>
      <c r="R20" s="1" t="s">
        <v>16</v>
      </c>
      <c r="S20" s="17">
        <f t="shared" ref="S20:AF20" si="12">SUM(C50:C53)</f>
        <v>628</v>
      </c>
      <c r="T20" s="17">
        <f t="shared" si="12"/>
        <v>103</v>
      </c>
      <c r="U20" s="17">
        <f t="shared" si="12"/>
        <v>26</v>
      </c>
      <c r="V20" s="17">
        <f t="shared" si="12"/>
        <v>31</v>
      </c>
      <c r="W20" s="17">
        <f t="shared" si="12"/>
        <v>1</v>
      </c>
      <c r="X20" s="17">
        <f t="shared" si="12"/>
        <v>0</v>
      </c>
      <c r="Y20" s="17">
        <f t="shared" si="12"/>
        <v>17</v>
      </c>
      <c r="Z20" s="17">
        <f t="shared" si="12"/>
        <v>3</v>
      </c>
      <c r="AA20" s="17">
        <f t="shared" si="12"/>
        <v>1</v>
      </c>
      <c r="AB20" s="17">
        <f t="shared" si="12"/>
        <v>1</v>
      </c>
      <c r="AC20" s="17">
        <f t="shared" si="12"/>
        <v>313</v>
      </c>
      <c r="AD20" s="17">
        <f t="shared" si="12"/>
        <v>0</v>
      </c>
      <c r="AE20" s="31">
        <f t="shared" si="12"/>
        <v>811</v>
      </c>
      <c r="AF20" s="31">
        <f t="shared" si="12"/>
        <v>1124</v>
      </c>
    </row>
    <row r="21" spans="2:32" ht="23.1" customHeight="1" x14ac:dyDescent="0.25">
      <c r="B21" s="23" t="s">
        <v>48</v>
      </c>
      <c r="C21" s="50">
        <v>46</v>
      </c>
      <c r="D21" s="50">
        <v>14</v>
      </c>
      <c r="E21" s="50">
        <v>5</v>
      </c>
      <c r="F21" s="50">
        <v>10</v>
      </c>
      <c r="G21" s="50">
        <v>0</v>
      </c>
      <c r="H21" s="50">
        <v>0</v>
      </c>
      <c r="I21" s="50">
        <v>2</v>
      </c>
      <c r="J21" s="50">
        <v>3</v>
      </c>
      <c r="K21" s="50">
        <v>0</v>
      </c>
      <c r="L21" s="50">
        <v>0</v>
      </c>
      <c r="M21" s="50">
        <v>72</v>
      </c>
      <c r="N21" s="50">
        <v>0</v>
      </c>
      <c r="O21" s="15">
        <f t="shared" si="0"/>
        <v>80</v>
      </c>
      <c r="P21" s="15">
        <f t="shared" si="1"/>
        <v>152</v>
      </c>
      <c r="R21" s="36" t="s">
        <v>20</v>
      </c>
      <c r="S21" s="34">
        <f t="shared" ref="S21:AF21" si="13">SUM(C54:C57)</f>
        <v>565</v>
      </c>
      <c r="T21" s="17">
        <f t="shared" si="13"/>
        <v>105</v>
      </c>
      <c r="U21" s="17">
        <f t="shared" si="13"/>
        <v>17</v>
      </c>
      <c r="V21" s="17">
        <f t="shared" si="13"/>
        <v>46</v>
      </c>
      <c r="W21" s="17">
        <f t="shared" si="13"/>
        <v>2</v>
      </c>
      <c r="X21" s="17">
        <f t="shared" si="13"/>
        <v>1</v>
      </c>
      <c r="Y21" s="17">
        <f t="shared" si="13"/>
        <v>9</v>
      </c>
      <c r="Z21" s="17">
        <f t="shared" si="13"/>
        <v>2</v>
      </c>
      <c r="AA21" s="17">
        <f t="shared" si="13"/>
        <v>3</v>
      </c>
      <c r="AB21" s="17">
        <f t="shared" si="13"/>
        <v>1</v>
      </c>
      <c r="AC21" s="17">
        <f t="shared" si="13"/>
        <v>238</v>
      </c>
      <c r="AD21" s="17">
        <f t="shared" si="13"/>
        <v>0</v>
      </c>
      <c r="AE21" s="31">
        <f t="shared" si="13"/>
        <v>751</v>
      </c>
      <c r="AF21" s="31">
        <f t="shared" si="13"/>
        <v>989</v>
      </c>
    </row>
    <row r="22" spans="2:32" ht="23.1" customHeight="1" x14ac:dyDescent="0.25">
      <c r="B22" s="23" t="s">
        <v>49</v>
      </c>
      <c r="C22" s="50">
        <v>56</v>
      </c>
      <c r="D22" s="50">
        <v>14</v>
      </c>
      <c r="E22" s="50">
        <v>4</v>
      </c>
      <c r="F22" s="50">
        <v>6</v>
      </c>
      <c r="G22" s="50">
        <v>0</v>
      </c>
      <c r="H22" s="50">
        <v>0</v>
      </c>
      <c r="I22" s="50">
        <v>6</v>
      </c>
      <c r="J22" s="50">
        <v>0</v>
      </c>
      <c r="K22" s="50">
        <v>0</v>
      </c>
      <c r="L22" s="50">
        <v>0</v>
      </c>
      <c r="M22" s="50">
        <v>85</v>
      </c>
      <c r="N22" s="50">
        <v>0</v>
      </c>
      <c r="O22" s="15">
        <f t="shared" si="0"/>
        <v>86</v>
      </c>
      <c r="P22" s="15">
        <f t="shared" si="1"/>
        <v>171</v>
      </c>
      <c r="R22" s="38" t="s">
        <v>90</v>
      </c>
      <c r="S22" s="39">
        <f>MAX(S10:S12)</f>
        <v>369</v>
      </c>
      <c r="T22" s="39">
        <f t="shared" ref="T22:AF22" si="14">MAX(T10:T12)</f>
        <v>87</v>
      </c>
      <c r="U22" s="39">
        <f t="shared" si="14"/>
        <v>22</v>
      </c>
      <c r="V22" s="39">
        <f t="shared" si="14"/>
        <v>39</v>
      </c>
      <c r="W22" s="39">
        <f t="shared" si="14"/>
        <v>0</v>
      </c>
      <c r="X22" s="39">
        <f t="shared" si="14"/>
        <v>1</v>
      </c>
      <c r="Y22" s="39">
        <f t="shared" si="14"/>
        <v>21</v>
      </c>
      <c r="Z22" s="39">
        <f t="shared" si="14"/>
        <v>8</v>
      </c>
      <c r="AA22" s="39">
        <f t="shared" si="14"/>
        <v>0</v>
      </c>
      <c r="AB22" s="39">
        <f t="shared" si="14"/>
        <v>0</v>
      </c>
      <c r="AC22" s="39">
        <f t="shared" si="14"/>
        <v>369</v>
      </c>
      <c r="AD22" s="39">
        <f t="shared" si="14"/>
        <v>0</v>
      </c>
      <c r="AE22" s="40">
        <f t="shared" si="14"/>
        <v>459</v>
      </c>
      <c r="AF22" s="40">
        <f t="shared" si="14"/>
        <v>762</v>
      </c>
    </row>
    <row r="23" spans="2:32" ht="23.1" customHeight="1" x14ac:dyDescent="0.25">
      <c r="B23" s="23" t="s">
        <v>50</v>
      </c>
      <c r="C23" s="50">
        <v>78</v>
      </c>
      <c r="D23" s="50">
        <v>26</v>
      </c>
      <c r="E23" s="50">
        <v>5</v>
      </c>
      <c r="F23" s="50">
        <v>9</v>
      </c>
      <c r="G23" s="50">
        <v>0</v>
      </c>
      <c r="H23" s="50">
        <v>0</v>
      </c>
      <c r="I23" s="50">
        <v>5</v>
      </c>
      <c r="J23" s="50">
        <v>2</v>
      </c>
      <c r="K23" s="50">
        <v>0</v>
      </c>
      <c r="L23" s="50">
        <v>0</v>
      </c>
      <c r="M23" s="50">
        <v>86</v>
      </c>
      <c r="N23" s="50">
        <v>0</v>
      </c>
      <c r="O23" s="15">
        <f t="shared" si="0"/>
        <v>125</v>
      </c>
      <c r="P23" s="15">
        <f t="shared" si="1"/>
        <v>211</v>
      </c>
      <c r="R23" s="38" t="s">
        <v>91</v>
      </c>
      <c r="S23" s="39">
        <f>MAX(S13:S18)</f>
        <v>379</v>
      </c>
      <c r="T23" s="39">
        <f t="shared" ref="T23:AF23" si="15">MAX(T13:T18)</f>
        <v>82</v>
      </c>
      <c r="U23" s="39">
        <f t="shared" si="15"/>
        <v>30</v>
      </c>
      <c r="V23" s="39">
        <f t="shared" si="15"/>
        <v>75</v>
      </c>
      <c r="W23" s="39">
        <f t="shared" si="15"/>
        <v>5</v>
      </c>
      <c r="X23" s="39">
        <f t="shared" si="15"/>
        <v>1</v>
      </c>
      <c r="Y23" s="39">
        <f t="shared" si="15"/>
        <v>30</v>
      </c>
      <c r="Z23" s="39">
        <f t="shared" si="15"/>
        <v>7</v>
      </c>
      <c r="AA23" s="39">
        <f t="shared" si="15"/>
        <v>3</v>
      </c>
      <c r="AB23" s="39">
        <f t="shared" si="15"/>
        <v>2</v>
      </c>
      <c r="AC23" s="39">
        <f t="shared" si="15"/>
        <v>323</v>
      </c>
      <c r="AD23" s="39">
        <f t="shared" si="15"/>
        <v>0</v>
      </c>
      <c r="AE23" s="40">
        <f t="shared" si="15"/>
        <v>599</v>
      </c>
      <c r="AF23" s="40">
        <f t="shared" si="15"/>
        <v>890</v>
      </c>
    </row>
    <row r="24" spans="2:32" ht="23.1" customHeight="1" x14ac:dyDescent="0.25">
      <c r="B24" s="23" t="s">
        <v>51</v>
      </c>
      <c r="C24" s="50">
        <v>76</v>
      </c>
      <c r="D24" s="50">
        <v>18</v>
      </c>
      <c r="E24" s="50">
        <v>4</v>
      </c>
      <c r="F24" s="50">
        <v>5</v>
      </c>
      <c r="G24" s="50">
        <v>0</v>
      </c>
      <c r="H24" s="50">
        <v>0</v>
      </c>
      <c r="I24" s="50">
        <v>8</v>
      </c>
      <c r="J24" s="50">
        <v>1</v>
      </c>
      <c r="K24" s="50">
        <v>0</v>
      </c>
      <c r="L24" s="50">
        <v>0</v>
      </c>
      <c r="M24" s="50">
        <v>73</v>
      </c>
      <c r="N24" s="50">
        <v>0</v>
      </c>
      <c r="O24" s="15">
        <f t="shared" si="0"/>
        <v>112</v>
      </c>
      <c r="P24" s="15">
        <f t="shared" si="1"/>
        <v>185</v>
      </c>
      <c r="R24" s="38" t="s">
        <v>92</v>
      </c>
      <c r="S24" s="39">
        <f>MAX(S19:S21)</f>
        <v>628</v>
      </c>
      <c r="T24" s="39">
        <f t="shared" ref="T24:AF24" si="16">MAX(T19:T21)</f>
        <v>105</v>
      </c>
      <c r="U24" s="39">
        <f t="shared" si="16"/>
        <v>26</v>
      </c>
      <c r="V24" s="39">
        <f t="shared" si="16"/>
        <v>46</v>
      </c>
      <c r="W24" s="39">
        <f t="shared" si="16"/>
        <v>2</v>
      </c>
      <c r="X24" s="39">
        <f t="shared" si="16"/>
        <v>1</v>
      </c>
      <c r="Y24" s="39">
        <f t="shared" si="16"/>
        <v>19</v>
      </c>
      <c r="Z24" s="39">
        <f t="shared" si="16"/>
        <v>5</v>
      </c>
      <c r="AA24" s="39">
        <f t="shared" si="16"/>
        <v>3</v>
      </c>
      <c r="AB24" s="39">
        <f t="shared" si="16"/>
        <v>1</v>
      </c>
      <c r="AC24" s="39">
        <f t="shared" si="16"/>
        <v>313</v>
      </c>
      <c r="AD24" s="39">
        <f t="shared" si="16"/>
        <v>0</v>
      </c>
      <c r="AE24" s="40">
        <f t="shared" si="16"/>
        <v>811</v>
      </c>
      <c r="AF24" s="40">
        <f t="shared" si="16"/>
        <v>1124</v>
      </c>
    </row>
    <row r="25" spans="2:32" ht="23.1" customHeight="1" x14ac:dyDescent="0.25">
      <c r="B25" s="23" t="s">
        <v>52</v>
      </c>
      <c r="C25" s="50">
        <v>58</v>
      </c>
      <c r="D25" s="50">
        <v>14</v>
      </c>
      <c r="E25" s="50">
        <v>7</v>
      </c>
      <c r="F25" s="50">
        <v>6</v>
      </c>
      <c r="G25" s="50">
        <v>0</v>
      </c>
      <c r="H25" s="50">
        <v>0</v>
      </c>
      <c r="I25" s="50">
        <v>11</v>
      </c>
      <c r="J25" s="50">
        <v>4</v>
      </c>
      <c r="K25" s="50">
        <v>0</v>
      </c>
      <c r="L25" s="50">
        <v>0</v>
      </c>
      <c r="M25" s="50">
        <v>79</v>
      </c>
      <c r="N25" s="50">
        <v>0</v>
      </c>
      <c r="O25" s="15">
        <f t="shared" si="0"/>
        <v>100</v>
      </c>
      <c r="P25" s="15">
        <f t="shared" si="1"/>
        <v>179</v>
      </c>
      <c r="R25" s="37" t="s">
        <v>85</v>
      </c>
      <c r="S25" s="35">
        <f t="shared" ref="S25:AF25" si="17">SUM(S10:S12)</f>
        <v>910</v>
      </c>
      <c r="T25" s="16">
        <f t="shared" si="17"/>
        <v>232</v>
      </c>
      <c r="U25" s="16">
        <f t="shared" si="17"/>
        <v>44</v>
      </c>
      <c r="V25" s="16">
        <f t="shared" si="17"/>
        <v>76</v>
      </c>
      <c r="W25" s="16">
        <f t="shared" si="17"/>
        <v>0</v>
      </c>
      <c r="X25" s="16">
        <f t="shared" si="17"/>
        <v>1</v>
      </c>
      <c r="Y25" s="16">
        <f t="shared" si="17"/>
        <v>22</v>
      </c>
      <c r="Z25" s="16">
        <f t="shared" si="17"/>
        <v>14</v>
      </c>
      <c r="AA25" s="16">
        <f t="shared" si="17"/>
        <v>0</v>
      </c>
      <c r="AB25" s="16">
        <f t="shared" si="17"/>
        <v>0</v>
      </c>
      <c r="AC25" s="16">
        <f t="shared" si="17"/>
        <v>866</v>
      </c>
      <c r="AD25" s="16">
        <f t="shared" si="17"/>
        <v>0</v>
      </c>
      <c r="AE25" s="32">
        <f t="shared" si="17"/>
        <v>1299</v>
      </c>
      <c r="AF25" s="32">
        <f t="shared" si="17"/>
        <v>2165</v>
      </c>
    </row>
    <row r="26" spans="2:32" ht="23.1" customHeight="1" x14ac:dyDescent="0.25">
      <c r="B26" s="23" t="s">
        <v>53</v>
      </c>
      <c r="C26" s="50">
        <v>61</v>
      </c>
      <c r="D26" s="50">
        <v>16</v>
      </c>
      <c r="E26" s="50">
        <v>6</v>
      </c>
      <c r="F26" s="50">
        <v>7</v>
      </c>
      <c r="G26" s="50">
        <v>0</v>
      </c>
      <c r="H26" s="50">
        <v>0</v>
      </c>
      <c r="I26" s="50">
        <v>7</v>
      </c>
      <c r="J26" s="50">
        <v>0</v>
      </c>
      <c r="K26" s="50">
        <v>0</v>
      </c>
      <c r="L26" s="50">
        <v>0</v>
      </c>
      <c r="M26" s="50">
        <v>68</v>
      </c>
      <c r="N26" s="50">
        <v>0</v>
      </c>
      <c r="O26" s="15">
        <f t="shared" si="0"/>
        <v>97</v>
      </c>
      <c r="P26" s="15">
        <f t="shared" si="1"/>
        <v>165</v>
      </c>
      <c r="R26" s="28" t="s">
        <v>86</v>
      </c>
      <c r="S26" s="16">
        <f t="shared" ref="S26:AF26" si="18">SUM(S13:S18)</f>
        <v>1651</v>
      </c>
      <c r="T26" s="16">
        <f t="shared" si="18"/>
        <v>401</v>
      </c>
      <c r="U26" s="16">
        <f t="shared" si="18"/>
        <v>141</v>
      </c>
      <c r="V26" s="16">
        <f t="shared" si="18"/>
        <v>182</v>
      </c>
      <c r="W26" s="16">
        <f t="shared" si="18"/>
        <v>18</v>
      </c>
      <c r="X26" s="16">
        <f t="shared" si="18"/>
        <v>4</v>
      </c>
      <c r="Y26" s="16">
        <f t="shared" si="18"/>
        <v>130</v>
      </c>
      <c r="Z26" s="16">
        <f t="shared" si="18"/>
        <v>34</v>
      </c>
      <c r="AA26" s="16">
        <f t="shared" si="18"/>
        <v>8</v>
      </c>
      <c r="AB26" s="16">
        <f t="shared" si="18"/>
        <v>3</v>
      </c>
      <c r="AC26" s="16">
        <f t="shared" si="18"/>
        <v>1716</v>
      </c>
      <c r="AD26" s="16">
        <f t="shared" si="18"/>
        <v>0</v>
      </c>
      <c r="AE26" s="32">
        <f t="shared" si="18"/>
        <v>2572</v>
      </c>
      <c r="AF26" s="32">
        <f t="shared" si="18"/>
        <v>4288</v>
      </c>
    </row>
    <row r="27" spans="2:32" ht="23.1" customHeight="1" x14ac:dyDescent="0.25">
      <c r="B27" s="23" t="s">
        <v>54</v>
      </c>
      <c r="C27" s="50">
        <v>61</v>
      </c>
      <c r="D27" s="50">
        <v>26</v>
      </c>
      <c r="E27" s="50">
        <v>5</v>
      </c>
      <c r="F27" s="50">
        <v>6</v>
      </c>
      <c r="G27" s="50">
        <v>0</v>
      </c>
      <c r="H27" s="50">
        <v>0</v>
      </c>
      <c r="I27" s="50">
        <v>4</v>
      </c>
      <c r="J27" s="50">
        <v>1</v>
      </c>
      <c r="K27" s="50">
        <v>0</v>
      </c>
      <c r="L27" s="50">
        <v>0</v>
      </c>
      <c r="M27" s="50">
        <v>93</v>
      </c>
      <c r="N27" s="50">
        <v>0</v>
      </c>
      <c r="O27" s="15">
        <f t="shared" si="0"/>
        <v>103</v>
      </c>
      <c r="P27" s="15">
        <f t="shared" si="1"/>
        <v>196</v>
      </c>
      <c r="R27" s="29" t="s">
        <v>87</v>
      </c>
      <c r="S27" s="16">
        <f t="shared" ref="S27:AF27" si="19">SUM(S19:S21)</f>
        <v>1745</v>
      </c>
      <c r="T27" s="16">
        <f t="shared" si="19"/>
        <v>311</v>
      </c>
      <c r="U27" s="16">
        <f t="shared" si="19"/>
        <v>62</v>
      </c>
      <c r="V27" s="16">
        <f t="shared" si="19"/>
        <v>103</v>
      </c>
      <c r="W27" s="16">
        <f t="shared" si="19"/>
        <v>4</v>
      </c>
      <c r="X27" s="16">
        <f t="shared" si="19"/>
        <v>1</v>
      </c>
      <c r="Y27" s="16">
        <f t="shared" si="19"/>
        <v>45</v>
      </c>
      <c r="Z27" s="16">
        <f t="shared" si="19"/>
        <v>10</v>
      </c>
      <c r="AA27" s="16">
        <f t="shared" si="19"/>
        <v>6</v>
      </c>
      <c r="AB27" s="16">
        <f t="shared" si="19"/>
        <v>2</v>
      </c>
      <c r="AC27" s="16">
        <f t="shared" si="19"/>
        <v>818</v>
      </c>
      <c r="AD27" s="16">
        <f t="shared" si="19"/>
        <v>0</v>
      </c>
      <c r="AE27" s="32">
        <f t="shared" si="19"/>
        <v>2289</v>
      </c>
      <c r="AF27" s="32">
        <f t="shared" si="19"/>
        <v>3107</v>
      </c>
    </row>
    <row r="28" spans="2:32" ht="23.1" customHeight="1" x14ac:dyDescent="0.25">
      <c r="B28" s="23" t="s">
        <v>55</v>
      </c>
      <c r="C28" s="50">
        <v>59</v>
      </c>
      <c r="D28" s="50">
        <v>14</v>
      </c>
      <c r="E28" s="50">
        <v>4</v>
      </c>
      <c r="F28" s="50">
        <v>3</v>
      </c>
      <c r="G28" s="50">
        <v>0</v>
      </c>
      <c r="H28" s="50">
        <v>0</v>
      </c>
      <c r="I28" s="50">
        <v>10</v>
      </c>
      <c r="J28" s="50">
        <v>3</v>
      </c>
      <c r="K28" s="50">
        <v>0</v>
      </c>
      <c r="L28" s="50">
        <v>0</v>
      </c>
      <c r="M28" s="50">
        <v>66</v>
      </c>
      <c r="N28" s="50">
        <v>0</v>
      </c>
      <c r="O28" s="15">
        <f t="shared" si="0"/>
        <v>93</v>
      </c>
      <c r="P28" s="15">
        <f t="shared" si="1"/>
        <v>159</v>
      </c>
      <c r="R28" s="5" t="s">
        <v>17</v>
      </c>
      <c r="S28" s="16">
        <f t="shared" ref="S28:AF28" si="20">SUM(S10:S21)</f>
        <v>4306</v>
      </c>
      <c r="T28" s="16">
        <f t="shared" si="20"/>
        <v>944</v>
      </c>
      <c r="U28" s="16">
        <f t="shared" si="20"/>
        <v>247</v>
      </c>
      <c r="V28" s="16">
        <f t="shared" si="20"/>
        <v>361</v>
      </c>
      <c r="W28" s="16">
        <f t="shared" si="20"/>
        <v>22</v>
      </c>
      <c r="X28" s="16">
        <f t="shared" si="20"/>
        <v>6</v>
      </c>
      <c r="Y28" s="16">
        <f t="shared" si="20"/>
        <v>197</v>
      </c>
      <c r="Z28" s="16">
        <f t="shared" si="20"/>
        <v>58</v>
      </c>
      <c r="AA28" s="16">
        <f t="shared" si="20"/>
        <v>14</v>
      </c>
      <c r="AB28" s="16">
        <f t="shared" si="20"/>
        <v>5</v>
      </c>
      <c r="AC28" s="16">
        <f t="shared" si="20"/>
        <v>3400</v>
      </c>
      <c r="AD28" s="16">
        <f t="shared" si="20"/>
        <v>0</v>
      </c>
      <c r="AE28" s="32">
        <f t="shared" si="20"/>
        <v>6160</v>
      </c>
      <c r="AF28" s="32">
        <f t="shared" si="20"/>
        <v>9560</v>
      </c>
    </row>
    <row r="29" spans="2:32" ht="23.1" customHeight="1" x14ac:dyDescent="0.25">
      <c r="B29" s="23" t="s">
        <v>56</v>
      </c>
      <c r="C29" s="50">
        <v>52</v>
      </c>
      <c r="D29" s="50">
        <v>26</v>
      </c>
      <c r="E29" s="50">
        <v>3</v>
      </c>
      <c r="F29" s="50">
        <v>3</v>
      </c>
      <c r="G29" s="50">
        <v>1</v>
      </c>
      <c r="H29" s="50">
        <v>1</v>
      </c>
      <c r="I29" s="50">
        <v>4</v>
      </c>
      <c r="J29" s="50">
        <v>1</v>
      </c>
      <c r="K29" s="50">
        <v>1</v>
      </c>
      <c r="L29" s="50">
        <v>0</v>
      </c>
      <c r="M29" s="50">
        <v>78</v>
      </c>
      <c r="N29" s="50">
        <v>0</v>
      </c>
      <c r="O29" s="15">
        <f t="shared" si="0"/>
        <v>92</v>
      </c>
      <c r="P29" s="15">
        <f t="shared" si="1"/>
        <v>170</v>
      </c>
      <c r="R29"/>
      <c r="S29" s="20"/>
      <c r="T29" s="19"/>
    </row>
    <row r="30" spans="2:32" ht="23.1" customHeight="1" x14ac:dyDescent="0.25">
      <c r="B30" s="23" t="s">
        <v>57</v>
      </c>
      <c r="C30" s="50">
        <v>57</v>
      </c>
      <c r="D30" s="50">
        <v>22</v>
      </c>
      <c r="E30" s="50">
        <v>1</v>
      </c>
      <c r="F30" s="50">
        <v>8</v>
      </c>
      <c r="G30" s="50">
        <v>2</v>
      </c>
      <c r="H30" s="50">
        <v>1</v>
      </c>
      <c r="I30" s="50">
        <v>2</v>
      </c>
      <c r="J30" s="50">
        <v>2</v>
      </c>
      <c r="K30" s="50">
        <v>0</v>
      </c>
      <c r="L30" s="50">
        <v>0</v>
      </c>
      <c r="M30" s="50">
        <v>61</v>
      </c>
      <c r="N30" s="50">
        <v>0</v>
      </c>
      <c r="O30" s="15">
        <f t="shared" si="0"/>
        <v>95</v>
      </c>
      <c r="P30" s="15">
        <f t="shared" si="1"/>
        <v>156</v>
      </c>
    </row>
    <row r="31" spans="2:32" ht="23.1" customHeight="1" x14ac:dyDescent="0.25">
      <c r="B31" s="24" t="s">
        <v>58</v>
      </c>
      <c r="C31" s="50">
        <v>58</v>
      </c>
      <c r="D31" s="50">
        <v>18</v>
      </c>
      <c r="E31" s="50">
        <v>4</v>
      </c>
      <c r="F31" s="50">
        <v>4</v>
      </c>
      <c r="G31" s="50">
        <v>3</v>
      </c>
      <c r="H31" s="50">
        <v>0</v>
      </c>
      <c r="I31" s="50">
        <v>3</v>
      </c>
      <c r="J31" s="50">
        <v>1</v>
      </c>
      <c r="K31" s="50">
        <v>2</v>
      </c>
      <c r="L31" s="50">
        <v>0</v>
      </c>
      <c r="M31" s="50">
        <v>74</v>
      </c>
      <c r="N31" s="50">
        <v>0</v>
      </c>
      <c r="O31" s="15">
        <f t="shared" si="0"/>
        <v>93</v>
      </c>
      <c r="P31" s="15">
        <f t="shared" si="1"/>
        <v>167</v>
      </c>
    </row>
    <row r="32" spans="2:32" ht="23.1" customHeight="1" x14ac:dyDescent="0.25">
      <c r="B32" s="24" t="s">
        <v>59</v>
      </c>
      <c r="C32" s="50">
        <v>53</v>
      </c>
      <c r="D32" s="50">
        <v>16</v>
      </c>
      <c r="E32" s="50">
        <v>6</v>
      </c>
      <c r="F32" s="50">
        <v>3</v>
      </c>
      <c r="G32" s="50">
        <v>0</v>
      </c>
      <c r="H32" s="50">
        <v>0</v>
      </c>
      <c r="I32" s="50">
        <v>6</v>
      </c>
      <c r="J32" s="50">
        <v>0</v>
      </c>
      <c r="K32" s="50">
        <v>0</v>
      </c>
      <c r="L32" s="50">
        <v>0</v>
      </c>
      <c r="M32" s="50">
        <v>69</v>
      </c>
      <c r="N32" s="50">
        <v>0</v>
      </c>
      <c r="O32" s="15">
        <f t="shared" si="0"/>
        <v>84</v>
      </c>
      <c r="P32" s="15">
        <f t="shared" si="1"/>
        <v>153</v>
      </c>
    </row>
    <row r="33" spans="2:20" ht="23.1" customHeight="1" x14ac:dyDescent="0.25">
      <c r="B33" s="23" t="s">
        <v>60</v>
      </c>
      <c r="C33" s="50">
        <v>54</v>
      </c>
      <c r="D33" s="50">
        <v>8</v>
      </c>
      <c r="E33" s="50">
        <v>9</v>
      </c>
      <c r="F33" s="50">
        <v>5</v>
      </c>
      <c r="G33" s="50">
        <v>0</v>
      </c>
      <c r="H33" s="50">
        <v>0</v>
      </c>
      <c r="I33" s="50">
        <v>6</v>
      </c>
      <c r="J33" s="50">
        <v>1</v>
      </c>
      <c r="K33" s="50">
        <v>0</v>
      </c>
      <c r="L33" s="50">
        <v>0</v>
      </c>
      <c r="M33" s="50">
        <v>78</v>
      </c>
      <c r="N33" s="50">
        <v>0</v>
      </c>
      <c r="O33" s="15">
        <f t="shared" si="0"/>
        <v>83</v>
      </c>
      <c r="P33" s="15">
        <f t="shared" si="1"/>
        <v>161</v>
      </c>
    </row>
    <row r="34" spans="2:20" ht="23.1" customHeight="1" x14ac:dyDescent="0.25">
      <c r="B34" s="24" t="s">
        <v>61</v>
      </c>
      <c r="C34" s="50">
        <v>58</v>
      </c>
      <c r="D34" s="50">
        <v>15</v>
      </c>
      <c r="E34" s="50">
        <v>2</v>
      </c>
      <c r="F34" s="50">
        <v>6</v>
      </c>
      <c r="G34" s="50">
        <v>0</v>
      </c>
      <c r="H34" s="50">
        <v>0</v>
      </c>
      <c r="I34" s="50">
        <v>3</v>
      </c>
      <c r="J34" s="50">
        <v>4</v>
      </c>
      <c r="K34" s="50">
        <v>0</v>
      </c>
      <c r="L34" s="50">
        <v>0</v>
      </c>
      <c r="M34" s="50">
        <v>86</v>
      </c>
      <c r="N34" s="50">
        <v>0</v>
      </c>
      <c r="O34" s="15">
        <f t="shared" si="0"/>
        <v>88</v>
      </c>
      <c r="P34" s="15">
        <f t="shared" si="1"/>
        <v>174</v>
      </c>
    </row>
    <row r="35" spans="2:20" ht="23.1" customHeight="1" x14ac:dyDescent="0.25">
      <c r="B35" s="24" t="s">
        <v>62</v>
      </c>
      <c r="C35" s="50">
        <v>65</v>
      </c>
      <c r="D35" s="50">
        <v>17</v>
      </c>
      <c r="E35" s="50">
        <v>4</v>
      </c>
      <c r="F35" s="50">
        <v>5</v>
      </c>
      <c r="G35" s="50">
        <v>0</v>
      </c>
      <c r="H35" s="50">
        <v>0</v>
      </c>
      <c r="I35" s="50">
        <v>5</v>
      </c>
      <c r="J35" s="50">
        <v>0</v>
      </c>
      <c r="K35" s="50">
        <v>2</v>
      </c>
      <c r="L35" s="50">
        <v>0</v>
      </c>
      <c r="M35" s="50">
        <v>67</v>
      </c>
      <c r="N35" s="50">
        <v>0</v>
      </c>
      <c r="O35" s="15">
        <f t="shared" si="0"/>
        <v>98</v>
      </c>
      <c r="P35" s="15">
        <f t="shared" si="1"/>
        <v>165</v>
      </c>
    </row>
    <row r="36" spans="2:20" ht="23.1" customHeight="1" x14ac:dyDescent="0.25">
      <c r="B36" s="24" t="s">
        <v>63</v>
      </c>
      <c r="C36" s="50">
        <v>81</v>
      </c>
      <c r="D36" s="50">
        <v>17</v>
      </c>
      <c r="E36" s="50">
        <v>5</v>
      </c>
      <c r="F36" s="50">
        <v>2</v>
      </c>
      <c r="G36" s="50">
        <v>1</v>
      </c>
      <c r="H36" s="50">
        <v>0</v>
      </c>
      <c r="I36" s="50">
        <v>5</v>
      </c>
      <c r="J36" s="50">
        <v>0</v>
      </c>
      <c r="K36" s="50">
        <v>0</v>
      </c>
      <c r="L36" s="50">
        <v>1</v>
      </c>
      <c r="M36" s="50">
        <v>35</v>
      </c>
      <c r="N36" s="50">
        <v>0</v>
      </c>
      <c r="O36" s="15">
        <f t="shared" si="0"/>
        <v>112</v>
      </c>
      <c r="P36" s="15">
        <f t="shared" si="1"/>
        <v>147</v>
      </c>
    </row>
    <row r="37" spans="2:20" ht="23.1" customHeight="1" x14ac:dyDescent="0.25">
      <c r="B37" s="23" t="s">
        <v>64</v>
      </c>
      <c r="C37" s="50">
        <v>77</v>
      </c>
      <c r="D37" s="50">
        <v>22</v>
      </c>
      <c r="E37" s="50">
        <v>15</v>
      </c>
      <c r="F37" s="50">
        <v>6</v>
      </c>
      <c r="G37" s="50">
        <v>1</v>
      </c>
      <c r="H37" s="50">
        <v>1</v>
      </c>
      <c r="I37" s="50">
        <v>8</v>
      </c>
      <c r="J37" s="50">
        <v>2</v>
      </c>
      <c r="K37" s="50">
        <v>1</v>
      </c>
      <c r="L37" s="50">
        <v>1</v>
      </c>
      <c r="M37" s="50">
        <v>62</v>
      </c>
      <c r="N37" s="50">
        <v>0</v>
      </c>
      <c r="O37" s="15">
        <f t="shared" si="0"/>
        <v>134</v>
      </c>
      <c r="P37" s="15">
        <f t="shared" si="1"/>
        <v>196</v>
      </c>
    </row>
    <row r="38" spans="2:20" ht="23.1" customHeight="1" x14ac:dyDescent="0.25">
      <c r="B38" s="24" t="s">
        <v>65</v>
      </c>
      <c r="C38" s="50">
        <v>69</v>
      </c>
      <c r="D38" s="50">
        <v>4</v>
      </c>
      <c r="E38" s="50">
        <v>5</v>
      </c>
      <c r="F38" s="50">
        <v>2</v>
      </c>
      <c r="G38" s="50">
        <v>1</v>
      </c>
      <c r="H38" s="50">
        <v>1</v>
      </c>
      <c r="I38" s="50">
        <v>4</v>
      </c>
      <c r="J38" s="50">
        <v>0</v>
      </c>
      <c r="K38" s="50">
        <v>0</v>
      </c>
      <c r="L38" s="50">
        <v>0</v>
      </c>
      <c r="M38" s="50">
        <v>66</v>
      </c>
      <c r="N38" s="50">
        <v>0</v>
      </c>
      <c r="O38" s="15">
        <f t="shared" si="0"/>
        <v>86</v>
      </c>
      <c r="P38" s="15">
        <f t="shared" si="1"/>
        <v>152</v>
      </c>
    </row>
    <row r="39" spans="2:20" ht="23.1" customHeight="1" x14ac:dyDescent="0.25">
      <c r="B39" s="24" t="s">
        <v>66</v>
      </c>
      <c r="C39" s="50">
        <v>61</v>
      </c>
      <c r="D39" s="50">
        <v>11</v>
      </c>
      <c r="E39" s="50">
        <v>7</v>
      </c>
      <c r="F39" s="50">
        <v>6</v>
      </c>
      <c r="G39" s="50">
        <v>0</v>
      </c>
      <c r="H39" s="50">
        <v>0</v>
      </c>
      <c r="I39" s="50">
        <v>4</v>
      </c>
      <c r="J39" s="50">
        <v>0</v>
      </c>
      <c r="K39" s="50">
        <v>0</v>
      </c>
      <c r="L39" s="50">
        <v>0</v>
      </c>
      <c r="M39" s="50">
        <v>69</v>
      </c>
      <c r="N39" s="50">
        <v>0</v>
      </c>
      <c r="O39" s="15">
        <f t="shared" si="0"/>
        <v>89</v>
      </c>
      <c r="P39" s="15">
        <f t="shared" si="1"/>
        <v>158</v>
      </c>
    </row>
    <row r="40" spans="2:20" ht="23.1" customHeight="1" x14ac:dyDescent="0.25">
      <c r="B40" s="24" t="s">
        <v>67</v>
      </c>
      <c r="C40" s="50">
        <v>100</v>
      </c>
      <c r="D40" s="50">
        <v>9</v>
      </c>
      <c r="E40" s="50">
        <v>14</v>
      </c>
      <c r="F40" s="50">
        <v>11</v>
      </c>
      <c r="G40" s="50">
        <v>4</v>
      </c>
      <c r="H40" s="50">
        <v>0</v>
      </c>
      <c r="I40" s="50">
        <v>6</v>
      </c>
      <c r="J40" s="50">
        <v>4</v>
      </c>
      <c r="K40" s="50">
        <v>0</v>
      </c>
      <c r="L40" s="50">
        <v>0</v>
      </c>
      <c r="M40" s="50">
        <v>76</v>
      </c>
      <c r="N40" s="50">
        <v>0</v>
      </c>
      <c r="O40" s="15">
        <f t="shared" si="0"/>
        <v>148</v>
      </c>
      <c r="P40" s="15">
        <f t="shared" si="1"/>
        <v>224</v>
      </c>
    </row>
    <row r="41" spans="2:20" ht="23.1" customHeight="1" x14ac:dyDescent="0.25">
      <c r="B41" s="23" t="s">
        <v>68</v>
      </c>
      <c r="C41" s="50">
        <v>38</v>
      </c>
      <c r="D41" s="50">
        <v>7</v>
      </c>
      <c r="E41" s="50">
        <v>1</v>
      </c>
      <c r="F41" s="50">
        <v>4</v>
      </c>
      <c r="G41" s="50">
        <v>0</v>
      </c>
      <c r="H41" s="50">
        <v>0</v>
      </c>
      <c r="I41" s="50">
        <v>3</v>
      </c>
      <c r="J41" s="50">
        <v>2</v>
      </c>
      <c r="K41" s="50">
        <v>0</v>
      </c>
      <c r="L41" s="50">
        <v>0</v>
      </c>
      <c r="M41" s="50">
        <v>54</v>
      </c>
      <c r="N41" s="50">
        <v>0</v>
      </c>
      <c r="O41" s="15">
        <f t="shared" si="0"/>
        <v>55</v>
      </c>
      <c r="P41" s="15">
        <f t="shared" si="1"/>
        <v>109</v>
      </c>
    </row>
    <row r="42" spans="2:20" ht="23.1" customHeight="1" x14ac:dyDescent="0.25">
      <c r="B42" s="24" t="s">
        <v>69</v>
      </c>
      <c r="C42" s="50">
        <v>91</v>
      </c>
      <c r="D42" s="50">
        <v>18</v>
      </c>
      <c r="E42" s="50">
        <v>2</v>
      </c>
      <c r="F42" s="50">
        <v>6</v>
      </c>
      <c r="G42" s="50">
        <v>0</v>
      </c>
      <c r="H42" s="50">
        <v>0</v>
      </c>
      <c r="I42" s="50">
        <v>3</v>
      </c>
      <c r="J42" s="50">
        <v>0</v>
      </c>
      <c r="K42" s="50">
        <v>0</v>
      </c>
      <c r="L42" s="50">
        <v>0</v>
      </c>
      <c r="M42" s="50">
        <v>71</v>
      </c>
      <c r="N42" s="50">
        <v>0</v>
      </c>
      <c r="O42" s="15">
        <f t="shared" si="0"/>
        <v>120</v>
      </c>
      <c r="P42" s="15">
        <f t="shared" si="1"/>
        <v>191</v>
      </c>
    </row>
    <row r="43" spans="2:20" ht="23.1" customHeight="1" x14ac:dyDescent="0.25">
      <c r="B43" s="23" t="s">
        <v>70</v>
      </c>
      <c r="C43" s="50">
        <v>78</v>
      </c>
      <c r="D43" s="50">
        <v>21</v>
      </c>
      <c r="E43" s="50">
        <v>6</v>
      </c>
      <c r="F43" s="50">
        <v>5</v>
      </c>
      <c r="G43" s="50">
        <v>3</v>
      </c>
      <c r="H43" s="50">
        <v>0</v>
      </c>
      <c r="I43" s="50">
        <v>4</v>
      </c>
      <c r="J43" s="50">
        <v>1</v>
      </c>
      <c r="K43" s="50">
        <v>0</v>
      </c>
      <c r="L43" s="50">
        <v>0</v>
      </c>
      <c r="M43" s="50">
        <v>94</v>
      </c>
      <c r="N43" s="50">
        <v>0</v>
      </c>
      <c r="O43" s="15">
        <f t="shared" si="0"/>
        <v>118</v>
      </c>
      <c r="P43" s="15">
        <f t="shared" si="1"/>
        <v>212</v>
      </c>
    </row>
    <row r="44" spans="2:20" ht="23.1" customHeight="1" x14ac:dyDescent="0.25">
      <c r="B44" s="25" t="s">
        <v>71</v>
      </c>
      <c r="C44" s="50">
        <v>105</v>
      </c>
      <c r="D44" s="50">
        <v>16</v>
      </c>
      <c r="E44" s="50">
        <v>13</v>
      </c>
      <c r="F44" s="50">
        <v>7</v>
      </c>
      <c r="G44" s="50">
        <v>2</v>
      </c>
      <c r="H44" s="50">
        <v>0</v>
      </c>
      <c r="I44" s="50">
        <v>7</v>
      </c>
      <c r="J44" s="50">
        <v>1</v>
      </c>
      <c r="K44" s="50">
        <v>2</v>
      </c>
      <c r="L44" s="50">
        <v>1</v>
      </c>
      <c r="M44" s="50">
        <v>67</v>
      </c>
      <c r="N44" s="50">
        <v>0</v>
      </c>
      <c r="O44" s="15">
        <f t="shared" si="0"/>
        <v>154</v>
      </c>
      <c r="P44" s="15">
        <f t="shared" si="1"/>
        <v>221</v>
      </c>
    </row>
    <row r="45" spans="2:20" ht="23.1" customHeight="1" x14ac:dyDescent="0.25">
      <c r="B45" s="23" t="s">
        <v>72</v>
      </c>
      <c r="C45" s="50">
        <v>105</v>
      </c>
      <c r="D45" s="50">
        <v>26</v>
      </c>
      <c r="E45" s="50">
        <v>9</v>
      </c>
      <c r="F45" s="50">
        <v>57</v>
      </c>
      <c r="G45" s="50">
        <v>0</v>
      </c>
      <c r="H45" s="50">
        <v>0</v>
      </c>
      <c r="I45" s="50">
        <v>6</v>
      </c>
      <c r="J45" s="50">
        <v>4</v>
      </c>
      <c r="K45" s="50">
        <v>0</v>
      </c>
      <c r="L45" s="50">
        <v>0</v>
      </c>
      <c r="M45" s="50">
        <v>59</v>
      </c>
      <c r="N45" s="50">
        <v>0</v>
      </c>
      <c r="O45" s="15">
        <f t="shared" si="0"/>
        <v>207</v>
      </c>
      <c r="P45" s="15">
        <f t="shared" si="1"/>
        <v>266</v>
      </c>
    </row>
    <row r="46" spans="2:20" ht="23.1" customHeight="1" x14ac:dyDescent="0.25">
      <c r="B46" s="24" t="s">
        <v>73</v>
      </c>
      <c r="C46" s="50">
        <v>120</v>
      </c>
      <c r="D46" s="50">
        <v>25</v>
      </c>
      <c r="E46" s="50">
        <v>2</v>
      </c>
      <c r="F46" s="50">
        <v>7</v>
      </c>
      <c r="G46" s="50">
        <v>0</v>
      </c>
      <c r="H46" s="50">
        <v>0</v>
      </c>
      <c r="I46" s="50">
        <v>5</v>
      </c>
      <c r="J46" s="50">
        <v>2</v>
      </c>
      <c r="K46" s="50">
        <v>0</v>
      </c>
      <c r="L46" s="50">
        <v>0</v>
      </c>
      <c r="M46" s="50">
        <v>54</v>
      </c>
      <c r="N46" s="50">
        <v>0</v>
      </c>
      <c r="O46" s="15">
        <f t="shared" si="0"/>
        <v>161</v>
      </c>
      <c r="P46" s="15">
        <f t="shared" si="1"/>
        <v>215</v>
      </c>
      <c r="R46" s="8"/>
      <c r="T46"/>
    </row>
    <row r="47" spans="2:20" ht="23.1" customHeight="1" x14ac:dyDescent="0.25">
      <c r="B47" s="24" t="s">
        <v>74</v>
      </c>
      <c r="C47" s="50">
        <v>131</v>
      </c>
      <c r="D47" s="50">
        <v>22</v>
      </c>
      <c r="E47" s="50">
        <v>6</v>
      </c>
      <c r="F47" s="50">
        <v>3</v>
      </c>
      <c r="G47" s="50">
        <v>0</v>
      </c>
      <c r="H47" s="50">
        <v>0</v>
      </c>
      <c r="I47" s="50">
        <v>5</v>
      </c>
      <c r="J47" s="50">
        <v>2</v>
      </c>
      <c r="K47" s="50">
        <v>0</v>
      </c>
      <c r="L47" s="50">
        <v>0</v>
      </c>
      <c r="M47" s="50">
        <v>73</v>
      </c>
      <c r="N47" s="50">
        <v>0</v>
      </c>
      <c r="O47" s="15">
        <f t="shared" si="0"/>
        <v>169</v>
      </c>
      <c r="P47" s="15">
        <f t="shared" si="1"/>
        <v>242</v>
      </c>
      <c r="R47" s="8"/>
      <c r="T47"/>
    </row>
    <row r="48" spans="2:20" ht="23.1" customHeight="1" x14ac:dyDescent="0.25">
      <c r="B48" s="24" t="s">
        <v>75</v>
      </c>
      <c r="C48" s="50">
        <v>139</v>
      </c>
      <c r="D48" s="50">
        <v>29</v>
      </c>
      <c r="E48" s="50">
        <v>4</v>
      </c>
      <c r="F48" s="50">
        <v>7</v>
      </c>
      <c r="G48" s="50">
        <v>0</v>
      </c>
      <c r="H48" s="50">
        <v>0</v>
      </c>
      <c r="I48" s="50">
        <v>3</v>
      </c>
      <c r="J48" s="50">
        <v>1</v>
      </c>
      <c r="K48" s="50">
        <v>2</v>
      </c>
      <c r="L48" s="50">
        <v>0</v>
      </c>
      <c r="M48" s="50">
        <v>84</v>
      </c>
      <c r="N48" s="50">
        <v>0</v>
      </c>
      <c r="O48" s="15">
        <f t="shared" si="0"/>
        <v>185</v>
      </c>
      <c r="P48" s="15">
        <f t="shared" si="1"/>
        <v>269</v>
      </c>
      <c r="R48" s="8"/>
      <c r="T48"/>
    </row>
    <row r="49" spans="2:20" ht="23.1" customHeight="1" x14ac:dyDescent="0.25">
      <c r="B49" s="23" t="s">
        <v>76</v>
      </c>
      <c r="C49" s="50">
        <v>162</v>
      </c>
      <c r="D49" s="50">
        <v>27</v>
      </c>
      <c r="E49" s="50">
        <v>7</v>
      </c>
      <c r="F49" s="50">
        <v>9</v>
      </c>
      <c r="G49" s="50">
        <v>1</v>
      </c>
      <c r="H49" s="50">
        <v>0</v>
      </c>
      <c r="I49" s="50">
        <v>6</v>
      </c>
      <c r="J49" s="50">
        <v>0</v>
      </c>
      <c r="K49" s="50">
        <v>0</v>
      </c>
      <c r="L49" s="50">
        <v>0</v>
      </c>
      <c r="M49" s="50">
        <v>56</v>
      </c>
      <c r="N49" s="50">
        <v>0</v>
      </c>
      <c r="O49" s="15">
        <f t="shared" si="0"/>
        <v>212</v>
      </c>
      <c r="P49" s="15">
        <f t="shared" si="1"/>
        <v>268</v>
      </c>
      <c r="R49" s="8"/>
      <c r="T49"/>
    </row>
    <row r="50" spans="2:20" ht="23.1" customHeight="1" x14ac:dyDescent="0.25">
      <c r="B50" s="24" t="s">
        <v>77</v>
      </c>
      <c r="C50" s="50">
        <v>140</v>
      </c>
      <c r="D50" s="50">
        <v>26</v>
      </c>
      <c r="E50" s="50">
        <v>4</v>
      </c>
      <c r="F50" s="50">
        <v>13</v>
      </c>
      <c r="G50" s="50">
        <v>0</v>
      </c>
      <c r="H50" s="50">
        <v>0</v>
      </c>
      <c r="I50" s="50">
        <v>3</v>
      </c>
      <c r="J50" s="50">
        <v>0</v>
      </c>
      <c r="K50" s="50">
        <v>0</v>
      </c>
      <c r="L50" s="50">
        <v>0</v>
      </c>
      <c r="M50" s="50">
        <v>92</v>
      </c>
      <c r="N50" s="50">
        <v>0</v>
      </c>
      <c r="O50" s="15">
        <f t="shared" si="0"/>
        <v>186</v>
      </c>
      <c r="P50" s="15">
        <f t="shared" si="1"/>
        <v>278</v>
      </c>
      <c r="R50" s="8"/>
      <c r="T50"/>
    </row>
    <row r="51" spans="2:20" ht="23.1" customHeight="1" x14ac:dyDescent="0.25">
      <c r="B51" s="24" t="s">
        <v>78</v>
      </c>
      <c r="C51" s="50">
        <v>175</v>
      </c>
      <c r="D51" s="50">
        <v>26</v>
      </c>
      <c r="E51" s="50">
        <v>5</v>
      </c>
      <c r="F51" s="50">
        <v>4</v>
      </c>
      <c r="G51" s="50">
        <v>1</v>
      </c>
      <c r="H51" s="50">
        <v>0</v>
      </c>
      <c r="I51" s="50">
        <v>3</v>
      </c>
      <c r="J51" s="50">
        <v>2</v>
      </c>
      <c r="K51" s="50">
        <v>0</v>
      </c>
      <c r="L51" s="50">
        <v>0</v>
      </c>
      <c r="M51" s="50">
        <v>76</v>
      </c>
      <c r="N51" s="50">
        <v>0</v>
      </c>
      <c r="O51" s="15">
        <f t="shared" si="0"/>
        <v>216</v>
      </c>
      <c r="P51" s="15">
        <f t="shared" si="1"/>
        <v>292</v>
      </c>
      <c r="R51" s="8"/>
      <c r="T51"/>
    </row>
    <row r="52" spans="2:20" ht="23.1" customHeight="1" x14ac:dyDescent="0.25">
      <c r="B52" s="24" t="s">
        <v>79</v>
      </c>
      <c r="C52" s="50">
        <v>173</v>
      </c>
      <c r="D52" s="50">
        <v>31</v>
      </c>
      <c r="E52" s="50">
        <v>6</v>
      </c>
      <c r="F52" s="50">
        <v>11</v>
      </c>
      <c r="G52" s="50">
        <v>0</v>
      </c>
      <c r="H52" s="50">
        <v>0</v>
      </c>
      <c r="I52" s="50">
        <v>7</v>
      </c>
      <c r="J52" s="50">
        <v>0</v>
      </c>
      <c r="K52" s="50">
        <v>1</v>
      </c>
      <c r="L52" s="50">
        <v>1</v>
      </c>
      <c r="M52" s="50">
        <v>69</v>
      </c>
      <c r="N52" s="50">
        <v>0</v>
      </c>
      <c r="O52" s="15">
        <f t="shared" si="0"/>
        <v>230</v>
      </c>
      <c r="P52" s="15">
        <f t="shared" si="1"/>
        <v>299</v>
      </c>
      <c r="R52" s="8"/>
      <c r="T52"/>
    </row>
    <row r="53" spans="2:20" ht="23.1" customHeight="1" x14ac:dyDescent="0.25">
      <c r="B53" s="23" t="s">
        <v>80</v>
      </c>
      <c r="C53" s="50">
        <v>140</v>
      </c>
      <c r="D53" s="50">
        <v>20</v>
      </c>
      <c r="E53" s="50">
        <v>11</v>
      </c>
      <c r="F53" s="50">
        <v>3</v>
      </c>
      <c r="G53" s="50">
        <v>0</v>
      </c>
      <c r="H53" s="50">
        <v>0</v>
      </c>
      <c r="I53" s="50">
        <v>4</v>
      </c>
      <c r="J53" s="50">
        <v>1</v>
      </c>
      <c r="K53" s="50">
        <v>0</v>
      </c>
      <c r="L53" s="50">
        <v>0</v>
      </c>
      <c r="M53" s="50">
        <v>76</v>
      </c>
      <c r="N53" s="50">
        <v>0</v>
      </c>
      <c r="O53" s="15">
        <f t="shared" si="0"/>
        <v>179</v>
      </c>
      <c r="P53" s="15">
        <f t="shared" si="1"/>
        <v>255</v>
      </c>
      <c r="R53" s="8"/>
      <c r="T53"/>
    </row>
    <row r="54" spans="2:20" ht="23.1" customHeight="1" x14ac:dyDescent="0.25">
      <c r="B54" s="23" t="s">
        <v>81</v>
      </c>
      <c r="C54" s="50">
        <v>153</v>
      </c>
      <c r="D54" s="50">
        <v>28</v>
      </c>
      <c r="E54" s="50">
        <v>3</v>
      </c>
      <c r="F54" s="50">
        <v>11</v>
      </c>
      <c r="G54" s="50">
        <v>2</v>
      </c>
      <c r="H54" s="50">
        <v>1</v>
      </c>
      <c r="I54" s="50">
        <v>4</v>
      </c>
      <c r="J54" s="50">
        <v>0</v>
      </c>
      <c r="K54" s="50">
        <v>2</v>
      </c>
      <c r="L54" s="50">
        <v>1</v>
      </c>
      <c r="M54" s="50">
        <v>42</v>
      </c>
      <c r="N54" s="50">
        <v>0</v>
      </c>
      <c r="O54" s="15">
        <f t="shared" si="0"/>
        <v>205</v>
      </c>
      <c r="P54" s="15">
        <f t="shared" si="1"/>
        <v>247</v>
      </c>
      <c r="R54" s="8"/>
      <c r="T54"/>
    </row>
    <row r="55" spans="2:20" ht="23.1" customHeight="1" x14ac:dyDescent="0.25">
      <c r="B55" s="23" t="s">
        <v>82</v>
      </c>
      <c r="C55" s="50">
        <v>150</v>
      </c>
      <c r="D55" s="50">
        <v>21</v>
      </c>
      <c r="E55" s="50">
        <v>7</v>
      </c>
      <c r="F55" s="50">
        <v>13</v>
      </c>
      <c r="G55" s="50">
        <v>0</v>
      </c>
      <c r="H55" s="50">
        <v>0</v>
      </c>
      <c r="I55" s="50">
        <v>4</v>
      </c>
      <c r="J55" s="50">
        <v>1</v>
      </c>
      <c r="K55" s="50">
        <v>0</v>
      </c>
      <c r="L55" s="50">
        <v>0</v>
      </c>
      <c r="M55" s="50">
        <v>78</v>
      </c>
      <c r="N55" s="50">
        <v>0</v>
      </c>
      <c r="O55" s="15">
        <f t="shared" si="0"/>
        <v>196</v>
      </c>
      <c r="P55" s="15">
        <f t="shared" si="1"/>
        <v>274</v>
      </c>
      <c r="R55" s="8"/>
      <c r="T55"/>
    </row>
    <row r="56" spans="2:20" ht="23.1" customHeight="1" x14ac:dyDescent="0.25">
      <c r="B56" s="23" t="s">
        <v>83</v>
      </c>
      <c r="C56" s="50">
        <v>157</v>
      </c>
      <c r="D56" s="50">
        <v>37</v>
      </c>
      <c r="E56" s="50">
        <v>3</v>
      </c>
      <c r="F56" s="50">
        <v>15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60</v>
      </c>
      <c r="N56" s="50">
        <v>0</v>
      </c>
      <c r="O56" s="15">
        <f t="shared" si="0"/>
        <v>213</v>
      </c>
      <c r="P56" s="15">
        <f t="shared" si="1"/>
        <v>273</v>
      </c>
      <c r="R56" s="8"/>
      <c r="T56"/>
    </row>
    <row r="57" spans="2:20" ht="23.1" customHeight="1" x14ac:dyDescent="0.25">
      <c r="B57" s="23" t="s">
        <v>84</v>
      </c>
      <c r="C57" s="50">
        <v>105</v>
      </c>
      <c r="D57" s="50">
        <v>19</v>
      </c>
      <c r="E57" s="50">
        <v>4</v>
      </c>
      <c r="F57" s="50">
        <v>7</v>
      </c>
      <c r="G57" s="50">
        <v>0</v>
      </c>
      <c r="H57" s="50">
        <v>0</v>
      </c>
      <c r="I57" s="50">
        <v>0</v>
      </c>
      <c r="J57" s="50">
        <v>1</v>
      </c>
      <c r="K57" s="50">
        <v>1</v>
      </c>
      <c r="L57" s="50">
        <v>0</v>
      </c>
      <c r="M57" s="50">
        <v>58</v>
      </c>
      <c r="N57" s="50">
        <v>0</v>
      </c>
      <c r="O57" s="15">
        <f t="shared" si="0"/>
        <v>137</v>
      </c>
      <c r="P57" s="15">
        <f t="shared" si="1"/>
        <v>195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4306</v>
      </c>
      <c r="D58" s="16">
        <f t="shared" si="21"/>
        <v>944</v>
      </c>
      <c r="E58" s="16">
        <f t="shared" si="21"/>
        <v>247</v>
      </c>
      <c r="F58" s="16">
        <f t="shared" si="21"/>
        <v>361</v>
      </c>
      <c r="G58" s="16">
        <f t="shared" si="21"/>
        <v>22</v>
      </c>
      <c r="H58" s="16">
        <f t="shared" si="21"/>
        <v>6</v>
      </c>
      <c r="I58" s="16">
        <f t="shared" si="21"/>
        <v>197</v>
      </c>
      <c r="J58" s="16">
        <f t="shared" si="21"/>
        <v>58</v>
      </c>
      <c r="K58" s="16">
        <f t="shared" si="21"/>
        <v>14</v>
      </c>
      <c r="L58" s="16">
        <f t="shared" si="21"/>
        <v>5</v>
      </c>
      <c r="M58" s="16">
        <f t="shared" si="21"/>
        <v>3400</v>
      </c>
      <c r="N58" s="16">
        <f t="shared" si="21"/>
        <v>0</v>
      </c>
      <c r="O58" s="16">
        <f t="shared" si="21"/>
        <v>6160</v>
      </c>
      <c r="P58" s="16">
        <f t="shared" si="21"/>
        <v>9560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0.45041841004184102</v>
      </c>
      <c r="D59" s="43">
        <f t="shared" si="22"/>
        <v>9.8744769874476987E-2</v>
      </c>
      <c r="E59" s="43">
        <f t="shared" si="22"/>
        <v>2.5836820083682009E-2</v>
      </c>
      <c r="F59" s="43">
        <f t="shared" si="22"/>
        <v>3.776150627615063E-2</v>
      </c>
      <c r="G59" s="43">
        <f t="shared" si="22"/>
        <v>2.3012552301255231E-3</v>
      </c>
      <c r="H59" s="43">
        <f t="shared" si="22"/>
        <v>6.2761506276150627E-4</v>
      </c>
      <c r="I59" s="43">
        <f t="shared" si="22"/>
        <v>2.0606694560669457E-2</v>
      </c>
      <c r="J59" s="43">
        <f t="shared" si="22"/>
        <v>6.0669456066945607E-3</v>
      </c>
      <c r="K59" s="43">
        <f t="shared" si="22"/>
        <v>1.4644351464435147E-3</v>
      </c>
      <c r="L59" s="43">
        <f t="shared" si="22"/>
        <v>5.2301255230125519E-4</v>
      </c>
      <c r="M59" s="43">
        <f t="shared" si="22"/>
        <v>0.35564853556485354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0.699025974025974</v>
      </c>
      <c r="D60" s="44">
        <f t="shared" ref="D60:N60" si="23">D58/$O$58</f>
        <v>0.15324675324675324</v>
      </c>
      <c r="E60" s="44">
        <f t="shared" si="23"/>
        <v>4.0097402597402597E-2</v>
      </c>
      <c r="F60" s="44">
        <f t="shared" si="23"/>
        <v>5.8603896103896103E-2</v>
      </c>
      <c r="G60" s="44">
        <f t="shared" si="23"/>
        <v>3.5714285714285713E-3</v>
      </c>
      <c r="H60" s="44">
        <f t="shared" si="23"/>
        <v>9.7402597402597403E-4</v>
      </c>
      <c r="I60" s="44">
        <f t="shared" si="23"/>
        <v>3.1980519480519477E-2</v>
      </c>
      <c r="J60" s="44">
        <f t="shared" si="23"/>
        <v>9.4155844155844153E-3</v>
      </c>
      <c r="K60" s="44">
        <f t="shared" si="23"/>
        <v>2.2727272727272726E-3</v>
      </c>
      <c r="L60" s="44">
        <f t="shared" si="23"/>
        <v>8.1168831168831174E-4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37" zoomScale="40" zoomScaleSheetLayoutView="40" workbookViewId="0">
      <selection activeCell="G57" sqref="G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'29.07 Ntinda-Naalya'!C3:G3</f>
        <v>MCC - C1 - STN38 - NAALYA EAST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'29.07 Ntinda-Naalya'!D5</f>
        <v>29.07.19</v>
      </c>
      <c r="E5" s="3"/>
      <c r="F5" s="41" t="s">
        <v>1</v>
      </c>
      <c r="G5" s="62" t="str">
        <f>'29.07 Ntinda-Naalya'!G5:H5</f>
        <v>NAALYA ROUND ABOUT</v>
      </c>
      <c r="H5" s="63"/>
      <c r="I5" s="14"/>
      <c r="J5" s="2" t="s">
        <v>5</v>
      </c>
      <c r="K5" s="62" t="str">
        <f>'29.07 Ntinda-Naalya'!K5:L5</f>
        <v>HARRIET N/NASSIWA A/MUTE C/PHOEBY/KAZIBWE J/NAKAYE J.</v>
      </c>
      <c r="L5" s="63"/>
      <c r="M5" s="10"/>
      <c r="N5" s="10"/>
      <c r="O5" s="3"/>
      <c r="P5" s="3"/>
    </row>
    <row r="6" spans="2:32" ht="23.25" customHeight="1" x14ac:dyDescent="0.25">
      <c r="C6" s="2" t="s">
        <v>4</v>
      </c>
      <c r="D6" s="56" t="s">
        <v>165</v>
      </c>
      <c r="E6" s="57"/>
      <c r="F6" s="2" t="s">
        <v>2</v>
      </c>
      <c r="G6" s="56" t="s">
        <v>164</v>
      </c>
      <c r="H6" s="57"/>
      <c r="J6" s="2" t="s">
        <v>21</v>
      </c>
      <c r="K6" s="62" t="str">
        <f>'29.07 Ntinda-Naalya'!K6:L6</f>
        <v>STEVEN</v>
      </c>
      <c r="L6" s="63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99</v>
      </c>
      <c r="D10" s="50">
        <v>53</v>
      </c>
      <c r="E10" s="50">
        <v>9</v>
      </c>
      <c r="F10" s="50">
        <v>4</v>
      </c>
      <c r="G10" s="50">
        <v>1</v>
      </c>
      <c r="H10" s="50">
        <v>0</v>
      </c>
      <c r="I10" s="50">
        <v>2</v>
      </c>
      <c r="J10" s="50">
        <v>2</v>
      </c>
      <c r="K10" s="50">
        <v>0</v>
      </c>
      <c r="L10" s="50">
        <v>0</v>
      </c>
      <c r="M10" s="50">
        <v>59</v>
      </c>
      <c r="N10" s="50">
        <v>0</v>
      </c>
      <c r="O10" s="15">
        <f t="shared" ref="O10:O57" si="0">SUM(C10:L10,N10)</f>
        <v>170</v>
      </c>
      <c r="P10" s="15">
        <f t="shared" ref="P10:P57" si="1">SUM(C10:N10)</f>
        <v>229</v>
      </c>
      <c r="R10" s="1" t="s">
        <v>6</v>
      </c>
      <c r="S10" s="17">
        <f t="shared" ref="S10:AF10" si="2">SUM(C10:C13)</f>
        <v>507</v>
      </c>
      <c r="T10" s="17">
        <f t="shared" si="2"/>
        <v>309</v>
      </c>
      <c r="U10" s="17">
        <f t="shared" si="2"/>
        <v>57</v>
      </c>
      <c r="V10" s="17">
        <f t="shared" si="2"/>
        <v>21</v>
      </c>
      <c r="W10" s="17">
        <f t="shared" si="2"/>
        <v>2</v>
      </c>
      <c r="X10" s="17">
        <f t="shared" si="2"/>
        <v>0</v>
      </c>
      <c r="Y10" s="17">
        <f t="shared" si="2"/>
        <v>3</v>
      </c>
      <c r="Z10" s="17">
        <f t="shared" si="2"/>
        <v>3</v>
      </c>
      <c r="AA10" s="17">
        <f t="shared" si="2"/>
        <v>0</v>
      </c>
      <c r="AB10" s="17">
        <f t="shared" si="2"/>
        <v>0</v>
      </c>
      <c r="AC10" s="17">
        <f t="shared" si="2"/>
        <v>330</v>
      </c>
      <c r="AD10" s="17">
        <f t="shared" si="2"/>
        <v>0</v>
      </c>
      <c r="AE10" s="31">
        <f t="shared" si="2"/>
        <v>902</v>
      </c>
      <c r="AF10" s="31">
        <f t="shared" si="2"/>
        <v>1232</v>
      </c>
    </row>
    <row r="11" spans="2:32" s="6" customFormat="1" ht="23.1" customHeight="1" x14ac:dyDescent="0.25">
      <c r="B11" s="23" t="s">
        <v>38</v>
      </c>
      <c r="C11" s="50">
        <v>94</v>
      </c>
      <c r="D11" s="50">
        <v>75</v>
      </c>
      <c r="E11" s="50">
        <v>18</v>
      </c>
      <c r="F11" s="50">
        <v>5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67</v>
      </c>
      <c r="N11" s="50">
        <v>0</v>
      </c>
      <c r="O11" s="15">
        <f t="shared" si="0"/>
        <v>193</v>
      </c>
      <c r="P11" s="15">
        <f t="shared" si="1"/>
        <v>260</v>
      </c>
      <c r="R11" s="1" t="s">
        <v>7</v>
      </c>
      <c r="S11" s="17">
        <f t="shared" ref="S11:AF11" si="3">SUM(C14:C17)</f>
        <v>410</v>
      </c>
      <c r="T11" s="17">
        <f t="shared" si="3"/>
        <v>245</v>
      </c>
      <c r="U11" s="17">
        <f t="shared" si="3"/>
        <v>54</v>
      </c>
      <c r="V11" s="17">
        <f t="shared" si="3"/>
        <v>35</v>
      </c>
      <c r="W11" s="17">
        <f t="shared" si="3"/>
        <v>1</v>
      </c>
      <c r="X11" s="17">
        <f t="shared" si="3"/>
        <v>0</v>
      </c>
      <c r="Y11" s="17">
        <f t="shared" si="3"/>
        <v>1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529</v>
      </c>
      <c r="AD11" s="17">
        <f t="shared" si="3"/>
        <v>0</v>
      </c>
      <c r="AE11" s="31">
        <f t="shared" si="3"/>
        <v>747</v>
      </c>
      <c r="AF11" s="31">
        <f t="shared" si="3"/>
        <v>1276</v>
      </c>
    </row>
    <row r="12" spans="2:32" ht="23.1" customHeight="1" x14ac:dyDescent="0.25">
      <c r="B12" s="23" t="s">
        <v>39</v>
      </c>
      <c r="C12" s="50">
        <v>150</v>
      </c>
      <c r="D12" s="50">
        <v>85</v>
      </c>
      <c r="E12" s="50">
        <v>14</v>
      </c>
      <c r="F12" s="50">
        <v>4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92</v>
      </c>
      <c r="N12" s="50">
        <v>0</v>
      </c>
      <c r="O12" s="15">
        <f t="shared" si="0"/>
        <v>253</v>
      </c>
      <c r="P12" s="15">
        <f t="shared" si="1"/>
        <v>345</v>
      </c>
      <c r="R12" s="1" t="s">
        <v>8</v>
      </c>
      <c r="S12" s="17">
        <f t="shared" ref="S12:AF12" si="4">SUM(C18:C21)</f>
        <v>334</v>
      </c>
      <c r="T12" s="17">
        <f t="shared" si="4"/>
        <v>176</v>
      </c>
      <c r="U12" s="17">
        <f t="shared" si="4"/>
        <v>52</v>
      </c>
      <c r="V12" s="17">
        <f t="shared" si="4"/>
        <v>37</v>
      </c>
      <c r="W12" s="17">
        <f t="shared" si="4"/>
        <v>0</v>
      </c>
      <c r="X12" s="17">
        <f t="shared" si="4"/>
        <v>0</v>
      </c>
      <c r="Y12" s="17">
        <f t="shared" si="4"/>
        <v>9</v>
      </c>
      <c r="Z12" s="17">
        <f t="shared" si="4"/>
        <v>9</v>
      </c>
      <c r="AA12" s="17">
        <f t="shared" si="4"/>
        <v>1</v>
      </c>
      <c r="AB12" s="17">
        <f t="shared" si="4"/>
        <v>0</v>
      </c>
      <c r="AC12" s="17">
        <f t="shared" si="4"/>
        <v>386</v>
      </c>
      <c r="AD12" s="17">
        <f t="shared" si="4"/>
        <v>0</v>
      </c>
      <c r="AE12" s="31">
        <f t="shared" si="4"/>
        <v>618</v>
      </c>
      <c r="AF12" s="31">
        <f t="shared" si="4"/>
        <v>1004</v>
      </c>
    </row>
    <row r="13" spans="2:32" ht="23.1" customHeight="1" x14ac:dyDescent="0.25">
      <c r="B13" s="23" t="s">
        <v>40</v>
      </c>
      <c r="C13" s="50">
        <v>164</v>
      </c>
      <c r="D13" s="50">
        <v>96</v>
      </c>
      <c r="E13" s="50">
        <v>16</v>
      </c>
      <c r="F13" s="50">
        <v>8</v>
      </c>
      <c r="G13" s="50">
        <v>1</v>
      </c>
      <c r="H13" s="50">
        <v>0</v>
      </c>
      <c r="I13" s="50">
        <v>0</v>
      </c>
      <c r="J13" s="50">
        <v>1</v>
      </c>
      <c r="K13" s="50">
        <v>0</v>
      </c>
      <c r="L13" s="50">
        <v>0</v>
      </c>
      <c r="M13" s="50">
        <v>112</v>
      </c>
      <c r="N13" s="50">
        <v>0</v>
      </c>
      <c r="O13" s="15">
        <f t="shared" si="0"/>
        <v>286</v>
      </c>
      <c r="P13" s="15">
        <f t="shared" si="1"/>
        <v>398</v>
      </c>
      <c r="R13" s="1" t="s">
        <v>9</v>
      </c>
      <c r="S13" s="17">
        <f t="shared" ref="S13:AF13" si="5">SUM(C22:C25)</f>
        <v>298</v>
      </c>
      <c r="T13" s="17">
        <f t="shared" si="5"/>
        <v>170</v>
      </c>
      <c r="U13" s="17">
        <f t="shared" si="5"/>
        <v>43</v>
      </c>
      <c r="V13" s="17">
        <f t="shared" si="5"/>
        <v>32</v>
      </c>
      <c r="W13" s="17">
        <f t="shared" si="5"/>
        <v>3</v>
      </c>
      <c r="X13" s="17">
        <f t="shared" si="5"/>
        <v>0</v>
      </c>
      <c r="Y13" s="17">
        <f t="shared" si="5"/>
        <v>6</v>
      </c>
      <c r="Z13" s="17">
        <f t="shared" si="5"/>
        <v>12</v>
      </c>
      <c r="AA13" s="17">
        <f t="shared" si="5"/>
        <v>1</v>
      </c>
      <c r="AB13" s="17">
        <f t="shared" si="5"/>
        <v>0</v>
      </c>
      <c r="AC13" s="17">
        <f t="shared" si="5"/>
        <v>296</v>
      </c>
      <c r="AD13" s="17">
        <f t="shared" si="5"/>
        <v>0</v>
      </c>
      <c r="AE13" s="31">
        <f t="shared" si="5"/>
        <v>565</v>
      </c>
      <c r="AF13" s="31">
        <f t="shared" si="5"/>
        <v>861</v>
      </c>
    </row>
    <row r="14" spans="2:32" ht="23.1" customHeight="1" x14ac:dyDescent="0.25">
      <c r="B14" s="23" t="s">
        <v>41</v>
      </c>
      <c r="C14" s="50">
        <v>146</v>
      </c>
      <c r="D14" s="50">
        <v>80</v>
      </c>
      <c r="E14" s="50">
        <v>18</v>
      </c>
      <c r="F14" s="50">
        <v>9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129</v>
      </c>
      <c r="N14" s="50">
        <v>0</v>
      </c>
      <c r="O14" s="15">
        <f t="shared" si="0"/>
        <v>253</v>
      </c>
      <c r="P14" s="15">
        <f t="shared" si="1"/>
        <v>382</v>
      </c>
      <c r="R14" s="1" t="s">
        <v>10</v>
      </c>
      <c r="S14" s="17">
        <f t="shared" ref="S14:AF14" si="6">SUM(C26:C29)</f>
        <v>277</v>
      </c>
      <c r="T14" s="17">
        <f t="shared" si="6"/>
        <v>176</v>
      </c>
      <c r="U14" s="17">
        <f t="shared" si="6"/>
        <v>39</v>
      </c>
      <c r="V14" s="17">
        <f t="shared" si="6"/>
        <v>42</v>
      </c>
      <c r="W14" s="17">
        <f t="shared" si="6"/>
        <v>3</v>
      </c>
      <c r="X14" s="17">
        <f t="shared" si="6"/>
        <v>0</v>
      </c>
      <c r="Y14" s="17">
        <f t="shared" si="6"/>
        <v>11</v>
      </c>
      <c r="Z14" s="17">
        <f t="shared" si="6"/>
        <v>14</v>
      </c>
      <c r="AA14" s="17">
        <f t="shared" si="6"/>
        <v>2</v>
      </c>
      <c r="AB14" s="17">
        <f t="shared" si="6"/>
        <v>0</v>
      </c>
      <c r="AC14" s="17">
        <f t="shared" si="6"/>
        <v>323</v>
      </c>
      <c r="AD14" s="17">
        <f t="shared" si="6"/>
        <v>0</v>
      </c>
      <c r="AE14" s="31">
        <f t="shared" si="6"/>
        <v>564</v>
      </c>
      <c r="AF14" s="31">
        <f t="shared" si="6"/>
        <v>887</v>
      </c>
    </row>
    <row r="15" spans="2:32" ht="23.1" customHeight="1" x14ac:dyDescent="0.25">
      <c r="B15" s="23" t="s">
        <v>42</v>
      </c>
      <c r="C15" s="50">
        <v>97</v>
      </c>
      <c r="D15" s="50">
        <v>58</v>
      </c>
      <c r="E15" s="50">
        <v>10</v>
      </c>
      <c r="F15" s="50">
        <v>10</v>
      </c>
      <c r="G15" s="50">
        <v>0</v>
      </c>
      <c r="H15" s="50">
        <v>0</v>
      </c>
      <c r="I15" s="50">
        <v>0</v>
      </c>
      <c r="J15" s="50">
        <v>1</v>
      </c>
      <c r="K15" s="50">
        <v>0</v>
      </c>
      <c r="L15" s="50">
        <v>0</v>
      </c>
      <c r="M15" s="50">
        <v>116</v>
      </c>
      <c r="N15" s="50">
        <v>0</v>
      </c>
      <c r="O15" s="15">
        <f t="shared" si="0"/>
        <v>176</v>
      </c>
      <c r="P15" s="15">
        <f t="shared" si="1"/>
        <v>292</v>
      </c>
      <c r="R15" s="1" t="s">
        <v>11</v>
      </c>
      <c r="S15" s="17">
        <f t="shared" ref="S15:AF15" si="7">SUM(C30:C33)</f>
        <v>249</v>
      </c>
      <c r="T15" s="17">
        <f t="shared" si="7"/>
        <v>0</v>
      </c>
      <c r="U15" s="17">
        <f t="shared" si="7"/>
        <v>0</v>
      </c>
      <c r="V15" s="17">
        <f t="shared" si="7"/>
        <v>0</v>
      </c>
      <c r="W15" s="17">
        <f t="shared" si="7"/>
        <v>0</v>
      </c>
      <c r="X15" s="17">
        <f t="shared" si="7"/>
        <v>2</v>
      </c>
      <c r="Y15" s="17">
        <f t="shared" si="7"/>
        <v>13</v>
      </c>
      <c r="Z15" s="17">
        <f t="shared" si="7"/>
        <v>12</v>
      </c>
      <c r="AA15" s="17">
        <f t="shared" si="7"/>
        <v>3</v>
      </c>
      <c r="AB15" s="17">
        <f t="shared" si="7"/>
        <v>0</v>
      </c>
      <c r="AC15" s="17">
        <f t="shared" si="7"/>
        <v>305</v>
      </c>
      <c r="AD15" s="17">
        <f t="shared" si="7"/>
        <v>0</v>
      </c>
      <c r="AE15" s="31">
        <f t="shared" si="7"/>
        <v>279</v>
      </c>
      <c r="AF15" s="31">
        <f t="shared" si="7"/>
        <v>584</v>
      </c>
    </row>
    <row r="16" spans="2:32" ht="23.1" customHeight="1" x14ac:dyDescent="0.25">
      <c r="B16" s="23" t="s">
        <v>43</v>
      </c>
      <c r="C16" s="50">
        <v>92</v>
      </c>
      <c r="D16" s="50">
        <v>47</v>
      </c>
      <c r="E16" s="50">
        <v>15</v>
      </c>
      <c r="F16" s="50">
        <v>9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136</v>
      </c>
      <c r="N16" s="50">
        <v>0</v>
      </c>
      <c r="O16" s="15">
        <f t="shared" si="0"/>
        <v>163</v>
      </c>
      <c r="P16" s="15">
        <f t="shared" si="1"/>
        <v>299</v>
      </c>
      <c r="R16" s="1" t="s">
        <v>12</v>
      </c>
      <c r="S16" s="17">
        <f t="shared" ref="S16:AF16" si="8">SUM(C34:C37)</f>
        <v>281</v>
      </c>
      <c r="T16" s="17">
        <f t="shared" si="8"/>
        <v>163</v>
      </c>
      <c r="U16" s="17">
        <f t="shared" si="8"/>
        <v>32</v>
      </c>
      <c r="V16" s="17">
        <f t="shared" si="8"/>
        <v>41</v>
      </c>
      <c r="W16" s="17">
        <f t="shared" si="8"/>
        <v>4</v>
      </c>
      <c r="X16" s="17">
        <f t="shared" si="8"/>
        <v>0</v>
      </c>
      <c r="Y16" s="17">
        <f t="shared" si="8"/>
        <v>9</v>
      </c>
      <c r="Z16" s="17">
        <f t="shared" si="8"/>
        <v>5</v>
      </c>
      <c r="AA16" s="17">
        <f t="shared" si="8"/>
        <v>1</v>
      </c>
      <c r="AB16" s="17">
        <f t="shared" si="8"/>
        <v>0</v>
      </c>
      <c r="AC16" s="17">
        <f t="shared" si="8"/>
        <v>239</v>
      </c>
      <c r="AD16" s="17">
        <f t="shared" si="8"/>
        <v>0</v>
      </c>
      <c r="AE16" s="31">
        <f t="shared" si="8"/>
        <v>536</v>
      </c>
      <c r="AF16" s="31">
        <f t="shared" si="8"/>
        <v>775</v>
      </c>
    </row>
    <row r="17" spans="2:32" ht="23.1" customHeight="1" x14ac:dyDescent="0.25">
      <c r="B17" s="23" t="s">
        <v>44</v>
      </c>
      <c r="C17" s="50">
        <v>75</v>
      </c>
      <c r="D17" s="50">
        <v>60</v>
      </c>
      <c r="E17" s="50">
        <v>11</v>
      </c>
      <c r="F17" s="50">
        <v>7</v>
      </c>
      <c r="G17" s="50">
        <v>1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148</v>
      </c>
      <c r="N17" s="50">
        <v>0</v>
      </c>
      <c r="O17" s="15">
        <f t="shared" si="0"/>
        <v>155</v>
      </c>
      <c r="P17" s="15">
        <f t="shared" si="1"/>
        <v>303</v>
      </c>
      <c r="R17" s="1" t="s">
        <v>13</v>
      </c>
      <c r="S17" s="17">
        <f t="shared" ref="S17:AF17" si="9">SUM(C38:C41)</f>
        <v>199</v>
      </c>
      <c r="T17" s="17">
        <f t="shared" si="9"/>
        <v>108</v>
      </c>
      <c r="U17" s="17">
        <f t="shared" si="9"/>
        <v>28</v>
      </c>
      <c r="V17" s="17">
        <f t="shared" si="9"/>
        <v>34</v>
      </c>
      <c r="W17" s="17">
        <f t="shared" si="9"/>
        <v>4</v>
      </c>
      <c r="X17" s="17">
        <f t="shared" si="9"/>
        <v>0</v>
      </c>
      <c r="Y17" s="17">
        <f t="shared" si="9"/>
        <v>0</v>
      </c>
      <c r="Z17" s="17">
        <f t="shared" si="9"/>
        <v>10</v>
      </c>
      <c r="AA17" s="17">
        <f t="shared" si="9"/>
        <v>7</v>
      </c>
      <c r="AB17" s="17">
        <f t="shared" si="9"/>
        <v>0</v>
      </c>
      <c r="AC17" s="17">
        <f t="shared" si="9"/>
        <v>209</v>
      </c>
      <c r="AD17" s="17">
        <f t="shared" si="9"/>
        <v>0</v>
      </c>
      <c r="AE17" s="31">
        <f t="shared" si="9"/>
        <v>390</v>
      </c>
      <c r="AF17" s="31">
        <f t="shared" si="9"/>
        <v>599</v>
      </c>
    </row>
    <row r="18" spans="2:32" ht="23.1" customHeight="1" x14ac:dyDescent="0.25">
      <c r="B18" s="23" t="s">
        <v>45</v>
      </c>
      <c r="C18" s="50">
        <v>81</v>
      </c>
      <c r="D18" s="50">
        <v>43</v>
      </c>
      <c r="E18" s="50">
        <v>15</v>
      </c>
      <c r="F18" s="50">
        <v>9</v>
      </c>
      <c r="G18" s="50">
        <v>0</v>
      </c>
      <c r="H18" s="50">
        <v>0</v>
      </c>
      <c r="I18" s="50">
        <v>2</v>
      </c>
      <c r="J18" s="50">
        <v>3</v>
      </c>
      <c r="K18" s="50">
        <v>0</v>
      </c>
      <c r="L18" s="50">
        <v>0</v>
      </c>
      <c r="M18" s="50">
        <v>106</v>
      </c>
      <c r="N18" s="50">
        <v>0</v>
      </c>
      <c r="O18" s="15">
        <f t="shared" si="0"/>
        <v>153</v>
      </c>
      <c r="P18" s="15">
        <f t="shared" si="1"/>
        <v>259</v>
      </c>
      <c r="R18" s="1" t="s">
        <v>14</v>
      </c>
      <c r="S18" s="17">
        <f t="shared" ref="S18:AF18" si="10">SUM(C42:C45)</f>
        <v>184</v>
      </c>
      <c r="T18" s="17">
        <f t="shared" si="10"/>
        <v>110</v>
      </c>
      <c r="U18" s="17">
        <f t="shared" si="10"/>
        <v>23</v>
      </c>
      <c r="V18" s="17">
        <f t="shared" si="10"/>
        <v>22</v>
      </c>
      <c r="W18" s="17">
        <f t="shared" si="10"/>
        <v>1</v>
      </c>
      <c r="X18" s="17">
        <f t="shared" si="10"/>
        <v>0</v>
      </c>
      <c r="Y18" s="17">
        <f t="shared" si="10"/>
        <v>12</v>
      </c>
      <c r="Z18" s="17">
        <f t="shared" si="10"/>
        <v>10</v>
      </c>
      <c r="AA18" s="17">
        <f t="shared" si="10"/>
        <v>0</v>
      </c>
      <c r="AB18" s="17">
        <f t="shared" si="10"/>
        <v>0</v>
      </c>
      <c r="AC18" s="17">
        <f t="shared" si="10"/>
        <v>306</v>
      </c>
      <c r="AD18" s="17">
        <f t="shared" si="10"/>
        <v>0</v>
      </c>
      <c r="AE18" s="31">
        <f t="shared" si="10"/>
        <v>362</v>
      </c>
      <c r="AF18" s="31">
        <f t="shared" si="10"/>
        <v>668</v>
      </c>
    </row>
    <row r="19" spans="2:32" ht="23.1" customHeight="1" x14ac:dyDescent="0.25">
      <c r="B19" s="23" t="s">
        <v>46</v>
      </c>
      <c r="C19" s="50">
        <v>97</v>
      </c>
      <c r="D19" s="50">
        <v>63</v>
      </c>
      <c r="E19" s="50">
        <v>13</v>
      </c>
      <c r="F19" s="50">
        <v>9</v>
      </c>
      <c r="G19" s="50">
        <v>0</v>
      </c>
      <c r="H19" s="50">
        <v>0</v>
      </c>
      <c r="I19" s="50">
        <v>3</v>
      </c>
      <c r="J19" s="50">
        <v>3</v>
      </c>
      <c r="K19" s="50">
        <v>0</v>
      </c>
      <c r="L19" s="50">
        <v>0</v>
      </c>
      <c r="M19" s="50">
        <v>111</v>
      </c>
      <c r="N19" s="50">
        <v>0</v>
      </c>
      <c r="O19" s="15">
        <f t="shared" si="0"/>
        <v>188</v>
      </c>
      <c r="P19" s="15">
        <f t="shared" si="1"/>
        <v>299</v>
      </c>
      <c r="R19" s="1" t="s">
        <v>15</v>
      </c>
      <c r="S19" s="17">
        <f t="shared" ref="S19:AF19" si="11">SUM(C46:C49)</f>
        <v>244</v>
      </c>
      <c r="T19" s="17">
        <f t="shared" si="11"/>
        <v>148</v>
      </c>
      <c r="U19" s="17">
        <f t="shared" si="11"/>
        <v>33</v>
      </c>
      <c r="V19" s="17">
        <f t="shared" si="11"/>
        <v>41</v>
      </c>
      <c r="W19" s="17">
        <f t="shared" si="11"/>
        <v>8</v>
      </c>
      <c r="X19" s="17">
        <f t="shared" si="11"/>
        <v>0</v>
      </c>
      <c r="Y19" s="17">
        <f t="shared" si="11"/>
        <v>5</v>
      </c>
      <c r="Z19" s="17">
        <f t="shared" si="11"/>
        <v>7</v>
      </c>
      <c r="AA19" s="17">
        <f t="shared" si="11"/>
        <v>1</v>
      </c>
      <c r="AB19" s="17">
        <f t="shared" si="11"/>
        <v>0</v>
      </c>
      <c r="AC19" s="17">
        <f t="shared" si="11"/>
        <v>259</v>
      </c>
      <c r="AD19" s="17">
        <f t="shared" si="11"/>
        <v>0</v>
      </c>
      <c r="AE19" s="31">
        <f t="shared" si="11"/>
        <v>487</v>
      </c>
      <c r="AF19" s="31">
        <f t="shared" si="11"/>
        <v>746</v>
      </c>
    </row>
    <row r="20" spans="2:32" ht="23.1" customHeight="1" x14ac:dyDescent="0.25">
      <c r="B20" s="23" t="s">
        <v>47</v>
      </c>
      <c r="C20" s="50">
        <v>81</v>
      </c>
      <c r="D20" s="50">
        <v>38</v>
      </c>
      <c r="E20" s="50">
        <v>10</v>
      </c>
      <c r="F20" s="50">
        <v>10</v>
      </c>
      <c r="G20" s="50">
        <v>0</v>
      </c>
      <c r="H20" s="50">
        <v>0</v>
      </c>
      <c r="I20" s="50">
        <v>3</v>
      </c>
      <c r="J20" s="50">
        <v>1</v>
      </c>
      <c r="K20" s="50">
        <v>0</v>
      </c>
      <c r="L20" s="50">
        <v>0</v>
      </c>
      <c r="M20" s="50">
        <v>77</v>
      </c>
      <c r="N20" s="50">
        <v>0</v>
      </c>
      <c r="O20" s="15">
        <f t="shared" si="0"/>
        <v>143</v>
      </c>
      <c r="P20" s="15">
        <f t="shared" si="1"/>
        <v>220</v>
      </c>
      <c r="R20" s="1" t="s">
        <v>16</v>
      </c>
      <c r="S20" s="17">
        <f t="shared" ref="S20:AF20" si="12">SUM(C50:C53)</f>
        <v>289</v>
      </c>
      <c r="T20" s="17">
        <f t="shared" si="12"/>
        <v>196</v>
      </c>
      <c r="U20" s="17">
        <f t="shared" si="12"/>
        <v>42</v>
      </c>
      <c r="V20" s="17">
        <f t="shared" si="12"/>
        <v>43</v>
      </c>
      <c r="W20" s="17">
        <f t="shared" si="12"/>
        <v>5</v>
      </c>
      <c r="X20" s="17">
        <f t="shared" si="12"/>
        <v>0</v>
      </c>
      <c r="Y20" s="17">
        <f t="shared" si="12"/>
        <v>5</v>
      </c>
      <c r="Z20" s="17">
        <f t="shared" si="12"/>
        <v>7</v>
      </c>
      <c r="AA20" s="17">
        <f t="shared" si="12"/>
        <v>1</v>
      </c>
      <c r="AB20" s="17">
        <f t="shared" si="12"/>
        <v>0</v>
      </c>
      <c r="AC20" s="17">
        <f t="shared" si="12"/>
        <v>259</v>
      </c>
      <c r="AD20" s="17">
        <f t="shared" si="12"/>
        <v>0</v>
      </c>
      <c r="AE20" s="31">
        <f t="shared" si="12"/>
        <v>588</v>
      </c>
      <c r="AF20" s="31">
        <f t="shared" si="12"/>
        <v>847</v>
      </c>
    </row>
    <row r="21" spans="2:32" ht="23.1" customHeight="1" x14ac:dyDescent="0.25">
      <c r="B21" s="23" t="s">
        <v>48</v>
      </c>
      <c r="C21" s="50">
        <v>75</v>
      </c>
      <c r="D21" s="50">
        <v>32</v>
      </c>
      <c r="E21" s="50">
        <v>14</v>
      </c>
      <c r="F21" s="50">
        <v>9</v>
      </c>
      <c r="G21" s="50">
        <v>0</v>
      </c>
      <c r="H21" s="50">
        <v>0</v>
      </c>
      <c r="I21" s="50">
        <v>1</v>
      </c>
      <c r="J21" s="50">
        <v>2</v>
      </c>
      <c r="K21" s="50">
        <v>1</v>
      </c>
      <c r="L21" s="50">
        <v>0</v>
      </c>
      <c r="M21" s="50">
        <v>92</v>
      </c>
      <c r="N21" s="50">
        <v>0</v>
      </c>
      <c r="O21" s="15">
        <f t="shared" si="0"/>
        <v>134</v>
      </c>
      <c r="P21" s="15">
        <f t="shared" si="1"/>
        <v>226</v>
      </c>
      <c r="R21" s="36" t="s">
        <v>20</v>
      </c>
      <c r="S21" s="34">
        <f t="shared" ref="S21:AF21" si="13">SUM(C54:C57)</f>
        <v>203</v>
      </c>
      <c r="T21" s="17">
        <f t="shared" si="13"/>
        <v>115</v>
      </c>
      <c r="U21" s="17">
        <f t="shared" si="13"/>
        <v>31</v>
      </c>
      <c r="V21" s="17">
        <f t="shared" si="13"/>
        <v>35</v>
      </c>
      <c r="W21" s="17">
        <f t="shared" si="13"/>
        <v>2</v>
      </c>
      <c r="X21" s="17">
        <f t="shared" si="13"/>
        <v>6</v>
      </c>
      <c r="Y21" s="17">
        <f t="shared" si="13"/>
        <v>2</v>
      </c>
      <c r="Z21" s="17">
        <f t="shared" si="13"/>
        <v>1</v>
      </c>
      <c r="AA21" s="17">
        <f t="shared" si="13"/>
        <v>1</v>
      </c>
      <c r="AB21" s="17">
        <f t="shared" si="13"/>
        <v>1</v>
      </c>
      <c r="AC21" s="17">
        <f t="shared" si="13"/>
        <v>282</v>
      </c>
      <c r="AD21" s="17">
        <f t="shared" si="13"/>
        <v>0</v>
      </c>
      <c r="AE21" s="31">
        <f t="shared" si="13"/>
        <v>397</v>
      </c>
      <c r="AF21" s="31">
        <f t="shared" si="13"/>
        <v>679</v>
      </c>
    </row>
    <row r="22" spans="2:32" ht="23.1" customHeight="1" x14ac:dyDescent="0.25">
      <c r="B22" s="23" t="s">
        <v>49</v>
      </c>
      <c r="C22" s="50">
        <v>85</v>
      </c>
      <c r="D22" s="50">
        <v>28</v>
      </c>
      <c r="E22" s="50">
        <v>7</v>
      </c>
      <c r="F22" s="50">
        <v>5</v>
      </c>
      <c r="G22" s="50">
        <v>0</v>
      </c>
      <c r="H22" s="50">
        <v>0</v>
      </c>
      <c r="I22" s="50">
        <v>1</v>
      </c>
      <c r="J22" s="50">
        <v>1</v>
      </c>
      <c r="K22" s="50">
        <v>0</v>
      </c>
      <c r="L22" s="50">
        <v>0</v>
      </c>
      <c r="M22" s="50">
        <v>61</v>
      </c>
      <c r="N22" s="50">
        <v>0</v>
      </c>
      <c r="O22" s="15">
        <f t="shared" si="0"/>
        <v>127</v>
      </c>
      <c r="P22" s="15">
        <f t="shared" si="1"/>
        <v>188</v>
      </c>
      <c r="R22" s="38" t="s">
        <v>90</v>
      </c>
      <c r="S22" s="39">
        <f>MAX(S10:S12)</f>
        <v>507</v>
      </c>
      <c r="T22" s="39">
        <f t="shared" ref="T22:AF22" si="14">MAX(T10:T12)</f>
        <v>309</v>
      </c>
      <c r="U22" s="39">
        <f t="shared" si="14"/>
        <v>57</v>
      </c>
      <c r="V22" s="39">
        <f t="shared" si="14"/>
        <v>37</v>
      </c>
      <c r="W22" s="39">
        <f t="shared" si="14"/>
        <v>2</v>
      </c>
      <c r="X22" s="39">
        <f t="shared" si="14"/>
        <v>0</v>
      </c>
      <c r="Y22" s="39">
        <f t="shared" si="14"/>
        <v>9</v>
      </c>
      <c r="Z22" s="39">
        <f t="shared" si="14"/>
        <v>9</v>
      </c>
      <c r="AA22" s="39">
        <f t="shared" si="14"/>
        <v>1</v>
      </c>
      <c r="AB22" s="39">
        <f t="shared" si="14"/>
        <v>0</v>
      </c>
      <c r="AC22" s="39">
        <f t="shared" si="14"/>
        <v>529</v>
      </c>
      <c r="AD22" s="39">
        <f t="shared" si="14"/>
        <v>0</v>
      </c>
      <c r="AE22" s="40">
        <f t="shared" si="14"/>
        <v>902</v>
      </c>
      <c r="AF22" s="40">
        <f t="shared" si="14"/>
        <v>1276</v>
      </c>
    </row>
    <row r="23" spans="2:32" ht="23.1" customHeight="1" x14ac:dyDescent="0.25">
      <c r="B23" s="23" t="s">
        <v>50</v>
      </c>
      <c r="C23" s="50">
        <v>90</v>
      </c>
      <c r="D23" s="50">
        <v>57</v>
      </c>
      <c r="E23" s="50">
        <v>15</v>
      </c>
      <c r="F23" s="50">
        <v>11</v>
      </c>
      <c r="G23" s="50">
        <v>2</v>
      </c>
      <c r="H23" s="50">
        <v>0</v>
      </c>
      <c r="I23" s="50">
        <v>1</v>
      </c>
      <c r="J23" s="50">
        <v>4</v>
      </c>
      <c r="K23" s="50">
        <v>1</v>
      </c>
      <c r="L23" s="50">
        <v>0</v>
      </c>
      <c r="M23" s="50">
        <v>73</v>
      </c>
      <c r="N23" s="50">
        <v>0</v>
      </c>
      <c r="O23" s="15">
        <f t="shared" si="0"/>
        <v>181</v>
      </c>
      <c r="P23" s="15">
        <f t="shared" si="1"/>
        <v>254</v>
      </c>
      <c r="R23" s="38" t="s">
        <v>91</v>
      </c>
      <c r="S23" s="39">
        <f>MAX(S13:S18)</f>
        <v>298</v>
      </c>
      <c r="T23" s="39">
        <f t="shared" ref="T23:AF23" si="15">MAX(T13:T18)</f>
        <v>176</v>
      </c>
      <c r="U23" s="39">
        <f t="shared" si="15"/>
        <v>43</v>
      </c>
      <c r="V23" s="39">
        <f t="shared" si="15"/>
        <v>42</v>
      </c>
      <c r="W23" s="39">
        <f t="shared" si="15"/>
        <v>4</v>
      </c>
      <c r="X23" s="39">
        <f t="shared" si="15"/>
        <v>2</v>
      </c>
      <c r="Y23" s="39">
        <f t="shared" si="15"/>
        <v>13</v>
      </c>
      <c r="Z23" s="39">
        <f t="shared" si="15"/>
        <v>14</v>
      </c>
      <c r="AA23" s="39">
        <f t="shared" si="15"/>
        <v>7</v>
      </c>
      <c r="AB23" s="39">
        <f t="shared" si="15"/>
        <v>0</v>
      </c>
      <c r="AC23" s="39">
        <f t="shared" si="15"/>
        <v>323</v>
      </c>
      <c r="AD23" s="39">
        <f t="shared" si="15"/>
        <v>0</v>
      </c>
      <c r="AE23" s="40">
        <f t="shared" si="15"/>
        <v>565</v>
      </c>
      <c r="AF23" s="40">
        <f t="shared" si="15"/>
        <v>887</v>
      </c>
    </row>
    <row r="24" spans="2:32" ht="23.1" customHeight="1" x14ac:dyDescent="0.25">
      <c r="B24" s="23" t="s">
        <v>51</v>
      </c>
      <c r="C24" s="50">
        <v>56</v>
      </c>
      <c r="D24" s="50">
        <v>44</v>
      </c>
      <c r="E24" s="50">
        <v>9</v>
      </c>
      <c r="F24" s="50">
        <v>6</v>
      </c>
      <c r="G24" s="50">
        <v>0</v>
      </c>
      <c r="H24" s="50">
        <v>0</v>
      </c>
      <c r="I24" s="50">
        <v>2</v>
      </c>
      <c r="J24" s="50">
        <v>5</v>
      </c>
      <c r="K24" s="50">
        <v>0</v>
      </c>
      <c r="L24" s="50">
        <v>0</v>
      </c>
      <c r="M24" s="50">
        <v>87</v>
      </c>
      <c r="N24" s="50">
        <v>0</v>
      </c>
      <c r="O24" s="15">
        <f t="shared" si="0"/>
        <v>122</v>
      </c>
      <c r="P24" s="15">
        <f t="shared" si="1"/>
        <v>209</v>
      </c>
      <c r="R24" s="38" t="s">
        <v>92</v>
      </c>
      <c r="S24" s="39">
        <f>MAX(S19:S21)</f>
        <v>289</v>
      </c>
      <c r="T24" s="39">
        <f t="shared" ref="T24:AF24" si="16">MAX(T19:T21)</f>
        <v>196</v>
      </c>
      <c r="U24" s="39">
        <f t="shared" si="16"/>
        <v>42</v>
      </c>
      <c r="V24" s="39">
        <f t="shared" si="16"/>
        <v>43</v>
      </c>
      <c r="W24" s="39">
        <f t="shared" si="16"/>
        <v>8</v>
      </c>
      <c r="X24" s="39">
        <f t="shared" si="16"/>
        <v>6</v>
      </c>
      <c r="Y24" s="39">
        <f t="shared" si="16"/>
        <v>5</v>
      </c>
      <c r="Z24" s="39">
        <f t="shared" si="16"/>
        <v>7</v>
      </c>
      <c r="AA24" s="39">
        <f t="shared" si="16"/>
        <v>1</v>
      </c>
      <c r="AB24" s="39">
        <f t="shared" si="16"/>
        <v>1</v>
      </c>
      <c r="AC24" s="39">
        <f t="shared" si="16"/>
        <v>282</v>
      </c>
      <c r="AD24" s="39">
        <f t="shared" si="16"/>
        <v>0</v>
      </c>
      <c r="AE24" s="40">
        <f t="shared" si="16"/>
        <v>588</v>
      </c>
      <c r="AF24" s="40">
        <f t="shared" si="16"/>
        <v>847</v>
      </c>
    </row>
    <row r="25" spans="2:32" ht="23.1" customHeight="1" x14ac:dyDescent="0.25">
      <c r="B25" s="23" t="s">
        <v>52</v>
      </c>
      <c r="C25" s="50">
        <v>67</v>
      </c>
      <c r="D25" s="50">
        <v>41</v>
      </c>
      <c r="E25" s="50">
        <v>12</v>
      </c>
      <c r="F25" s="50">
        <v>10</v>
      </c>
      <c r="G25" s="50">
        <v>1</v>
      </c>
      <c r="H25" s="50">
        <v>0</v>
      </c>
      <c r="I25" s="50">
        <v>2</v>
      </c>
      <c r="J25" s="50">
        <v>2</v>
      </c>
      <c r="K25" s="50">
        <v>0</v>
      </c>
      <c r="L25" s="50">
        <v>0</v>
      </c>
      <c r="M25" s="50">
        <v>75</v>
      </c>
      <c r="N25" s="50">
        <v>0</v>
      </c>
      <c r="O25" s="15">
        <f t="shared" si="0"/>
        <v>135</v>
      </c>
      <c r="P25" s="15">
        <f t="shared" si="1"/>
        <v>210</v>
      </c>
      <c r="R25" s="37" t="s">
        <v>85</v>
      </c>
      <c r="S25" s="35">
        <f t="shared" ref="S25:AF25" si="17">SUM(S10:S12)</f>
        <v>1251</v>
      </c>
      <c r="T25" s="16">
        <f t="shared" si="17"/>
        <v>730</v>
      </c>
      <c r="U25" s="16">
        <f t="shared" si="17"/>
        <v>163</v>
      </c>
      <c r="V25" s="16">
        <f t="shared" si="17"/>
        <v>93</v>
      </c>
      <c r="W25" s="16">
        <f t="shared" si="17"/>
        <v>3</v>
      </c>
      <c r="X25" s="16">
        <f t="shared" si="17"/>
        <v>0</v>
      </c>
      <c r="Y25" s="16">
        <f t="shared" si="17"/>
        <v>13</v>
      </c>
      <c r="Z25" s="16">
        <f t="shared" si="17"/>
        <v>13</v>
      </c>
      <c r="AA25" s="16">
        <f t="shared" si="17"/>
        <v>1</v>
      </c>
      <c r="AB25" s="16">
        <f t="shared" si="17"/>
        <v>0</v>
      </c>
      <c r="AC25" s="16">
        <f t="shared" si="17"/>
        <v>1245</v>
      </c>
      <c r="AD25" s="16">
        <f t="shared" si="17"/>
        <v>0</v>
      </c>
      <c r="AE25" s="32">
        <f t="shared" si="17"/>
        <v>2267</v>
      </c>
      <c r="AF25" s="32">
        <f t="shared" si="17"/>
        <v>3512</v>
      </c>
    </row>
    <row r="26" spans="2:32" ht="23.1" customHeight="1" x14ac:dyDescent="0.25">
      <c r="B26" s="23" t="s">
        <v>53</v>
      </c>
      <c r="C26" s="50">
        <v>80</v>
      </c>
      <c r="D26" s="50">
        <v>37</v>
      </c>
      <c r="E26" s="50">
        <v>13</v>
      </c>
      <c r="F26" s="50">
        <v>15</v>
      </c>
      <c r="G26" s="50">
        <v>1</v>
      </c>
      <c r="H26" s="50">
        <v>0</v>
      </c>
      <c r="I26" s="50">
        <v>0</v>
      </c>
      <c r="J26" s="50">
        <v>1</v>
      </c>
      <c r="K26" s="50">
        <v>0</v>
      </c>
      <c r="L26" s="50">
        <v>0</v>
      </c>
      <c r="M26" s="50">
        <v>88</v>
      </c>
      <c r="N26" s="50">
        <v>0</v>
      </c>
      <c r="O26" s="15">
        <f t="shared" si="0"/>
        <v>147</v>
      </c>
      <c r="P26" s="15">
        <f t="shared" si="1"/>
        <v>235</v>
      </c>
      <c r="R26" s="28" t="s">
        <v>86</v>
      </c>
      <c r="S26" s="16">
        <f t="shared" ref="S26:AF26" si="18">SUM(S13:S18)</f>
        <v>1488</v>
      </c>
      <c r="T26" s="16">
        <f t="shared" si="18"/>
        <v>727</v>
      </c>
      <c r="U26" s="16">
        <f t="shared" si="18"/>
        <v>165</v>
      </c>
      <c r="V26" s="16">
        <f t="shared" si="18"/>
        <v>171</v>
      </c>
      <c r="W26" s="16">
        <f t="shared" si="18"/>
        <v>15</v>
      </c>
      <c r="X26" s="16">
        <f t="shared" si="18"/>
        <v>2</v>
      </c>
      <c r="Y26" s="16">
        <f t="shared" si="18"/>
        <v>51</v>
      </c>
      <c r="Z26" s="16">
        <f t="shared" si="18"/>
        <v>63</v>
      </c>
      <c r="AA26" s="16">
        <f t="shared" si="18"/>
        <v>14</v>
      </c>
      <c r="AB26" s="16">
        <f t="shared" si="18"/>
        <v>0</v>
      </c>
      <c r="AC26" s="16">
        <f t="shared" si="18"/>
        <v>1678</v>
      </c>
      <c r="AD26" s="16">
        <f t="shared" si="18"/>
        <v>0</v>
      </c>
      <c r="AE26" s="32">
        <f t="shared" si="18"/>
        <v>2696</v>
      </c>
      <c r="AF26" s="32">
        <f t="shared" si="18"/>
        <v>4374</v>
      </c>
    </row>
    <row r="27" spans="2:32" ht="23.1" customHeight="1" x14ac:dyDescent="0.25">
      <c r="B27" s="23" t="s">
        <v>54</v>
      </c>
      <c r="C27" s="50">
        <v>92</v>
      </c>
      <c r="D27" s="50">
        <v>65</v>
      </c>
      <c r="E27" s="50">
        <v>13</v>
      </c>
      <c r="F27" s="50">
        <v>17</v>
      </c>
      <c r="G27" s="50">
        <v>1</v>
      </c>
      <c r="H27" s="50">
        <v>0</v>
      </c>
      <c r="I27" s="50">
        <v>2</v>
      </c>
      <c r="J27" s="50">
        <v>4</v>
      </c>
      <c r="K27" s="50">
        <v>1</v>
      </c>
      <c r="L27" s="50">
        <v>0</v>
      </c>
      <c r="M27" s="50">
        <v>90</v>
      </c>
      <c r="N27" s="50">
        <v>0</v>
      </c>
      <c r="O27" s="15">
        <f t="shared" si="0"/>
        <v>195</v>
      </c>
      <c r="P27" s="15">
        <f t="shared" si="1"/>
        <v>285</v>
      </c>
      <c r="R27" s="29" t="s">
        <v>87</v>
      </c>
      <c r="S27" s="16">
        <f t="shared" ref="S27:AF27" si="19">SUM(S19:S21)</f>
        <v>736</v>
      </c>
      <c r="T27" s="16">
        <f t="shared" si="19"/>
        <v>459</v>
      </c>
      <c r="U27" s="16">
        <f t="shared" si="19"/>
        <v>106</v>
      </c>
      <c r="V27" s="16">
        <f t="shared" si="19"/>
        <v>119</v>
      </c>
      <c r="W27" s="16">
        <f t="shared" si="19"/>
        <v>15</v>
      </c>
      <c r="X27" s="16">
        <f t="shared" si="19"/>
        <v>6</v>
      </c>
      <c r="Y27" s="16">
        <f t="shared" si="19"/>
        <v>12</v>
      </c>
      <c r="Z27" s="16">
        <f t="shared" si="19"/>
        <v>15</v>
      </c>
      <c r="AA27" s="16">
        <f t="shared" si="19"/>
        <v>3</v>
      </c>
      <c r="AB27" s="16">
        <f t="shared" si="19"/>
        <v>1</v>
      </c>
      <c r="AC27" s="16">
        <f t="shared" si="19"/>
        <v>800</v>
      </c>
      <c r="AD27" s="16">
        <f t="shared" si="19"/>
        <v>0</v>
      </c>
      <c r="AE27" s="32">
        <f t="shared" si="19"/>
        <v>1472</v>
      </c>
      <c r="AF27" s="32">
        <f t="shared" si="19"/>
        <v>2272</v>
      </c>
    </row>
    <row r="28" spans="2:32" ht="23.1" customHeight="1" x14ac:dyDescent="0.25">
      <c r="B28" s="23" t="s">
        <v>55</v>
      </c>
      <c r="C28" s="50">
        <v>49</v>
      </c>
      <c r="D28" s="50">
        <v>32</v>
      </c>
      <c r="E28" s="50">
        <v>6</v>
      </c>
      <c r="F28" s="50">
        <v>3</v>
      </c>
      <c r="G28" s="50">
        <v>0</v>
      </c>
      <c r="H28" s="50">
        <v>0</v>
      </c>
      <c r="I28" s="50">
        <v>6</v>
      </c>
      <c r="J28" s="50">
        <v>5</v>
      </c>
      <c r="K28" s="50">
        <v>1</v>
      </c>
      <c r="L28" s="50">
        <v>0</v>
      </c>
      <c r="M28" s="50">
        <v>77</v>
      </c>
      <c r="N28" s="50">
        <v>0</v>
      </c>
      <c r="O28" s="15">
        <f t="shared" si="0"/>
        <v>102</v>
      </c>
      <c r="P28" s="15">
        <f t="shared" si="1"/>
        <v>179</v>
      </c>
      <c r="R28" s="5" t="s">
        <v>17</v>
      </c>
      <c r="S28" s="16">
        <f t="shared" ref="S28:AF28" si="20">SUM(S10:S21)</f>
        <v>3475</v>
      </c>
      <c r="T28" s="16">
        <f t="shared" si="20"/>
        <v>1916</v>
      </c>
      <c r="U28" s="16">
        <f t="shared" si="20"/>
        <v>434</v>
      </c>
      <c r="V28" s="16">
        <f t="shared" si="20"/>
        <v>383</v>
      </c>
      <c r="W28" s="16">
        <f t="shared" si="20"/>
        <v>33</v>
      </c>
      <c r="X28" s="16">
        <f t="shared" si="20"/>
        <v>8</v>
      </c>
      <c r="Y28" s="16">
        <f t="shared" si="20"/>
        <v>76</v>
      </c>
      <c r="Z28" s="16">
        <f t="shared" si="20"/>
        <v>91</v>
      </c>
      <c r="AA28" s="16">
        <f t="shared" si="20"/>
        <v>18</v>
      </c>
      <c r="AB28" s="16">
        <f t="shared" si="20"/>
        <v>1</v>
      </c>
      <c r="AC28" s="16">
        <f t="shared" si="20"/>
        <v>3723</v>
      </c>
      <c r="AD28" s="16">
        <f t="shared" si="20"/>
        <v>0</v>
      </c>
      <c r="AE28" s="32">
        <f t="shared" si="20"/>
        <v>6435</v>
      </c>
      <c r="AF28" s="32">
        <f t="shared" si="20"/>
        <v>10158</v>
      </c>
    </row>
    <row r="29" spans="2:32" ht="23.1" customHeight="1" x14ac:dyDescent="0.25">
      <c r="B29" s="23" t="s">
        <v>56</v>
      </c>
      <c r="C29" s="50">
        <v>56</v>
      </c>
      <c r="D29" s="50">
        <v>42</v>
      </c>
      <c r="E29" s="50">
        <v>7</v>
      </c>
      <c r="F29" s="50">
        <v>7</v>
      </c>
      <c r="G29" s="50">
        <v>1</v>
      </c>
      <c r="H29" s="50">
        <v>0</v>
      </c>
      <c r="I29" s="50">
        <v>3</v>
      </c>
      <c r="J29" s="50">
        <v>4</v>
      </c>
      <c r="K29" s="50">
        <v>0</v>
      </c>
      <c r="L29" s="50">
        <v>0</v>
      </c>
      <c r="M29" s="50">
        <v>68</v>
      </c>
      <c r="N29" s="50">
        <v>0</v>
      </c>
      <c r="O29" s="15">
        <f t="shared" si="0"/>
        <v>120</v>
      </c>
      <c r="P29" s="15">
        <f t="shared" si="1"/>
        <v>188</v>
      </c>
      <c r="R29"/>
      <c r="S29" s="20"/>
      <c r="T29" s="19"/>
    </row>
    <row r="30" spans="2:32" ht="23.1" customHeight="1" x14ac:dyDescent="0.25">
      <c r="B30" s="23" t="s">
        <v>57</v>
      </c>
      <c r="C30" s="50">
        <v>49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1</v>
      </c>
      <c r="J30" s="50">
        <v>4</v>
      </c>
      <c r="K30" s="50">
        <v>1</v>
      </c>
      <c r="L30" s="50">
        <v>0</v>
      </c>
      <c r="M30" s="50">
        <v>88</v>
      </c>
      <c r="N30" s="50">
        <v>0</v>
      </c>
      <c r="O30" s="15">
        <f t="shared" si="0"/>
        <v>55</v>
      </c>
      <c r="P30" s="15">
        <f t="shared" si="1"/>
        <v>143</v>
      </c>
    </row>
    <row r="31" spans="2:32" ht="23.1" customHeight="1" x14ac:dyDescent="0.25">
      <c r="B31" s="24" t="s">
        <v>58</v>
      </c>
      <c r="C31" s="50">
        <v>72</v>
      </c>
      <c r="D31" s="50">
        <v>0</v>
      </c>
      <c r="E31" s="50">
        <v>0</v>
      </c>
      <c r="F31" s="50">
        <v>0</v>
      </c>
      <c r="G31" s="50">
        <v>0</v>
      </c>
      <c r="H31" s="50">
        <v>1</v>
      </c>
      <c r="I31" s="50">
        <v>5</v>
      </c>
      <c r="J31" s="50">
        <v>4</v>
      </c>
      <c r="K31" s="50">
        <v>1</v>
      </c>
      <c r="L31" s="50">
        <v>0</v>
      </c>
      <c r="M31" s="50">
        <v>78</v>
      </c>
      <c r="N31" s="50">
        <v>0</v>
      </c>
      <c r="O31" s="15">
        <f t="shared" si="0"/>
        <v>83</v>
      </c>
      <c r="P31" s="15">
        <f t="shared" si="1"/>
        <v>161</v>
      </c>
    </row>
    <row r="32" spans="2:32" ht="23.1" customHeight="1" x14ac:dyDescent="0.25">
      <c r="B32" s="24" t="s">
        <v>59</v>
      </c>
      <c r="C32" s="50">
        <v>58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3</v>
      </c>
      <c r="J32" s="50">
        <v>1</v>
      </c>
      <c r="K32" s="50">
        <v>0</v>
      </c>
      <c r="L32" s="50">
        <v>0</v>
      </c>
      <c r="M32" s="50">
        <v>70</v>
      </c>
      <c r="N32" s="50">
        <v>0</v>
      </c>
      <c r="O32" s="15">
        <f t="shared" si="0"/>
        <v>62</v>
      </c>
      <c r="P32" s="15">
        <f t="shared" si="1"/>
        <v>132</v>
      </c>
    </row>
    <row r="33" spans="2:20" ht="23.1" customHeight="1" x14ac:dyDescent="0.25">
      <c r="B33" s="23" t="s">
        <v>60</v>
      </c>
      <c r="C33" s="50">
        <v>70</v>
      </c>
      <c r="D33" s="50">
        <v>0</v>
      </c>
      <c r="E33" s="50">
        <v>0</v>
      </c>
      <c r="F33" s="50">
        <v>0</v>
      </c>
      <c r="G33" s="50">
        <v>0</v>
      </c>
      <c r="H33" s="50">
        <v>1</v>
      </c>
      <c r="I33" s="50">
        <v>4</v>
      </c>
      <c r="J33" s="50">
        <v>3</v>
      </c>
      <c r="K33" s="50">
        <v>1</v>
      </c>
      <c r="L33" s="50">
        <v>0</v>
      </c>
      <c r="M33" s="50">
        <v>69</v>
      </c>
      <c r="N33" s="50">
        <v>0</v>
      </c>
      <c r="O33" s="15">
        <f t="shared" si="0"/>
        <v>79</v>
      </c>
      <c r="P33" s="15">
        <f t="shared" si="1"/>
        <v>148</v>
      </c>
    </row>
    <row r="34" spans="2:20" ht="23.1" customHeight="1" x14ac:dyDescent="0.25">
      <c r="B34" s="24" t="s">
        <v>61</v>
      </c>
      <c r="C34" s="50">
        <v>69</v>
      </c>
      <c r="D34" s="50">
        <v>46</v>
      </c>
      <c r="E34" s="50">
        <v>8</v>
      </c>
      <c r="F34" s="50">
        <v>8</v>
      </c>
      <c r="G34" s="50">
        <v>0</v>
      </c>
      <c r="H34" s="50">
        <v>0</v>
      </c>
      <c r="I34" s="50">
        <v>4</v>
      </c>
      <c r="J34" s="50">
        <v>1</v>
      </c>
      <c r="K34" s="50">
        <v>0</v>
      </c>
      <c r="L34" s="50">
        <v>0</v>
      </c>
      <c r="M34" s="50">
        <v>64</v>
      </c>
      <c r="N34" s="50">
        <v>0</v>
      </c>
      <c r="O34" s="15">
        <f t="shared" si="0"/>
        <v>136</v>
      </c>
      <c r="P34" s="15">
        <f t="shared" si="1"/>
        <v>200</v>
      </c>
    </row>
    <row r="35" spans="2:20" ht="23.1" customHeight="1" x14ac:dyDescent="0.25">
      <c r="B35" s="24" t="s">
        <v>62</v>
      </c>
      <c r="C35" s="50">
        <v>48</v>
      </c>
      <c r="D35" s="50">
        <v>41</v>
      </c>
      <c r="E35" s="50">
        <v>8</v>
      </c>
      <c r="F35" s="50">
        <v>11</v>
      </c>
      <c r="G35" s="50">
        <v>1</v>
      </c>
      <c r="H35" s="50">
        <v>0</v>
      </c>
      <c r="I35" s="50">
        <v>0</v>
      </c>
      <c r="J35" s="50">
        <v>2</v>
      </c>
      <c r="K35" s="50">
        <v>0</v>
      </c>
      <c r="L35" s="50">
        <v>0</v>
      </c>
      <c r="M35" s="50">
        <v>56</v>
      </c>
      <c r="N35" s="50">
        <v>0</v>
      </c>
      <c r="O35" s="15">
        <f t="shared" si="0"/>
        <v>111</v>
      </c>
      <c r="P35" s="15">
        <f t="shared" si="1"/>
        <v>167</v>
      </c>
    </row>
    <row r="36" spans="2:20" ht="23.1" customHeight="1" x14ac:dyDescent="0.25">
      <c r="B36" s="24" t="s">
        <v>63</v>
      </c>
      <c r="C36" s="50">
        <v>64</v>
      </c>
      <c r="D36" s="50">
        <v>36</v>
      </c>
      <c r="E36" s="50">
        <v>6</v>
      </c>
      <c r="F36" s="50">
        <v>11</v>
      </c>
      <c r="G36" s="50">
        <v>2</v>
      </c>
      <c r="H36" s="50">
        <v>0</v>
      </c>
      <c r="I36" s="50">
        <v>1</v>
      </c>
      <c r="J36" s="50">
        <v>2</v>
      </c>
      <c r="K36" s="50">
        <v>1</v>
      </c>
      <c r="L36" s="50">
        <v>0</v>
      </c>
      <c r="M36" s="50">
        <v>60</v>
      </c>
      <c r="N36" s="50">
        <v>0</v>
      </c>
      <c r="O36" s="15">
        <f t="shared" si="0"/>
        <v>123</v>
      </c>
      <c r="P36" s="15">
        <f t="shared" si="1"/>
        <v>183</v>
      </c>
    </row>
    <row r="37" spans="2:20" ht="23.1" customHeight="1" x14ac:dyDescent="0.25">
      <c r="B37" s="23" t="s">
        <v>64</v>
      </c>
      <c r="C37" s="50">
        <v>100</v>
      </c>
      <c r="D37" s="50">
        <v>40</v>
      </c>
      <c r="E37" s="50">
        <v>10</v>
      </c>
      <c r="F37" s="50">
        <v>11</v>
      </c>
      <c r="G37" s="50">
        <v>1</v>
      </c>
      <c r="H37" s="50">
        <v>0</v>
      </c>
      <c r="I37" s="50">
        <v>4</v>
      </c>
      <c r="J37" s="50">
        <v>0</v>
      </c>
      <c r="K37" s="50">
        <v>0</v>
      </c>
      <c r="L37" s="50">
        <v>0</v>
      </c>
      <c r="M37" s="50">
        <v>59</v>
      </c>
      <c r="N37" s="50">
        <v>0</v>
      </c>
      <c r="O37" s="15">
        <f t="shared" si="0"/>
        <v>166</v>
      </c>
      <c r="P37" s="15">
        <f t="shared" si="1"/>
        <v>225</v>
      </c>
    </row>
    <row r="38" spans="2:20" ht="23.1" customHeight="1" x14ac:dyDescent="0.25">
      <c r="B38" s="24" t="s">
        <v>65</v>
      </c>
      <c r="C38" s="50">
        <v>45</v>
      </c>
      <c r="D38" s="50">
        <v>26</v>
      </c>
      <c r="E38" s="50">
        <v>13</v>
      </c>
      <c r="F38" s="50">
        <v>10</v>
      </c>
      <c r="G38" s="50">
        <v>0</v>
      </c>
      <c r="H38" s="50">
        <v>0</v>
      </c>
      <c r="I38" s="50">
        <v>0</v>
      </c>
      <c r="J38" s="50">
        <v>4</v>
      </c>
      <c r="K38" s="50">
        <v>3</v>
      </c>
      <c r="L38" s="50">
        <v>0</v>
      </c>
      <c r="M38" s="50">
        <v>49</v>
      </c>
      <c r="N38" s="50">
        <v>0</v>
      </c>
      <c r="O38" s="15">
        <f t="shared" si="0"/>
        <v>101</v>
      </c>
      <c r="P38" s="15">
        <f t="shared" si="1"/>
        <v>150</v>
      </c>
    </row>
    <row r="39" spans="2:20" ht="23.1" customHeight="1" x14ac:dyDescent="0.25">
      <c r="B39" s="24" t="s">
        <v>66</v>
      </c>
      <c r="C39" s="50">
        <v>61</v>
      </c>
      <c r="D39" s="50">
        <v>37</v>
      </c>
      <c r="E39" s="50">
        <v>2</v>
      </c>
      <c r="F39" s="50">
        <v>11</v>
      </c>
      <c r="G39" s="50">
        <v>4</v>
      </c>
      <c r="H39" s="50">
        <v>0</v>
      </c>
      <c r="I39" s="50">
        <v>0</v>
      </c>
      <c r="J39" s="50">
        <v>3</v>
      </c>
      <c r="K39" s="50">
        <v>0</v>
      </c>
      <c r="L39" s="50">
        <v>0</v>
      </c>
      <c r="M39" s="50">
        <v>61</v>
      </c>
      <c r="N39" s="50">
        <v>0</v>
      </c>
      <c r="O39" s="15">
        <f t="shared" si="0"/>
        <v>118</v>
      </c>
      <c r="P39" s="15">
        <f t="shared" si="1"/>
        <v>179</v>
      </c>
    </row>
    <row r="40" spans="2:20" ht="23.1" customHeight="1" x14ac:dyDescent="0.25">
      <c r="B40" s="24" t="s">
        <v>67</v>
      </c>
      <c r="C40" s="50">
        <v>48</v>
      </c>
      <c r="D40" s="50">
        <v>21</v>
      </c>
      <c r="E40" s="50">
        <v>4</v>
      </c>
      <c r="F40" s="50">
        <v>8</v>
      </c>
      <c r="G40" s="50">
        <v>0</v>
      </c>
      <c r="H40" s="50">
        <v>0</v>
      </c>
      <c r="I40" s="50">
        <v>0</v>
      </c>
      <c r="J40" s="50">
        <v>1</v>
      </c>
      <c r="K40" s="50">
        <v>3</v>
      </c>
      <c r="L40" s="50">
        <v>0</v>
      </c>
      <c r="M40" s="50">
        <v>45</v>
      </c>
      <c r="N40" s="50">
        <v>0</v>
      </c>
      <c r="O40" s="15">
        <f t="shared" si="0"/>
        <v>85</v>
      </c>
      <c r="P40" s="15">
        <f t="shared" si="1"/>
        <v>130</v>
      </c>
    </row>
    <row r="41" spans="2:20" ht="23.1" customHeight="1" x14ac:dyDescent="0.25">
      <c r="B41" s="23" t="s">
        <v>68</v>
      </c>
      <c r="C41" s="50">
        <v>45</v>
      </c>
      <c r="D41" s="50">
        <v>24</v>
      </c>
      <c r="E41" s="50">
        <v>9</v>
      </c>
      <c r="F41" s="50">
        <v>5</v>
      </c>
      <c r="G41" s="50">
        <v>0</v>
      </c>
      <c r="H41" s="50">
        <v>0</v>
      </c>
      <c r="I41" s="50">
        <v>0</v>
      </c>
      <c r="J41" s="50">
        <v>2</v>
      </c>
      <c r="K41" s="50">
        <v>1</v>
      </c>
      <c r="L41" s="50">
        <v>0</v>
      </c>
      <c r="M41" s="50">
        <v>54</v>
      </c>
      <c r="N41" s="50">
        <v>0</v>
      </c>
      <c r="O41" s="15">
        <f t="shared" si="0"/>
        <v>86</v>
      </c>
      <c r="P41" s="15">
        <f t="shared" si="1"/>
        <v>140</v>
      </c>
    </row>
    <row r="42" spans="2:20" ht="23.1" customHeight="1" x14ac:dyDescent="0.25">
      <c r="B42" s="24" t="s">
        <v>69</v>
      </c>
      <c r="C42" s="50">
        <v>39</v>
      </c>
      <c r="D42" s="50">
        <v>24</v>
      </c>
      <c r="E42" s="50">
        <v>5</v>
      </c>
      <c r="F42" s="50">
        <v>6</v>
      </c>
      <c r="G42" s="50">
        <v>0</v>
      </c>
      <c r="H42" s="50">
        <v>0</v>
      </c>
      <c r="I42" s="50">
        <v>3</v>
      </c>
      <c r="J42" s="50">
        <v>4</v>
      </c>
      <c r="K42" s="50">
        <v>0</v>
      </c>
      <c r="L42" s="50">
        <v>0</v>
      </c>
      <c r="M42" s="50">
        <v>61</v>
      </c>
      <c r="N42" s="50">
        <v>0</v>
      </c>
      <c r="O42" s="15">
        <f t="shared" si="0"/>
        <v>81</v>
      </c>
      <c r="P42" s="15">
        <f t="shared" si="1"/>
        <v>142</v>
      </c>
    </row>
    <row r="43" spans="2:20" ht="23.1" customHeight="1" x14ac:dyDescent="0.25">
      <c r="B43" s="23" t="s">
        <v>70</v>
      </c>
      <c r="C43" s="50">
        <v>51</v>
      </c>
      <c r="D43" s="50">
        <v>35</v>
      </c>
      <c r="E43" s="50">
        <v>7</v>
      </c>
      <c r="F43" s="50">
        <v>2</v>
      </c>
      <c r="G43" s="50">
        <v>1</v>
      </c>
      <c r="H43" s="50">
        <v>0</v>
      </c>
      <c r="I43" s="50">
        <v>2</v>
      </c>
      <c r="J43" s="50">
        <v>2</v>
      </c>
      <c r="K43" s="50">
        <v>0</v>
      </c>
      <c r="L43" s="50">
        <v>0</v>
      </c>
      <c r="M43" s="50">
        <v>85</v>
      </c>
      <c r="N43" s="50">
        <v>0</v>
      </c>
      <c r="O43" s="15">
        <f t="shared" si="0"/>
        <v>100</v>
      </c>
      <c r="P43" s="15">
        <f t="shared" si="1"/>
        <v>185</v>
      </c>
    </row>
    <row r="44" spans="2:20" ht="23.1" customHeight="1" x14ac:dyDescent="0.25">
      <c r="B44" s="25" t="s">
        <v>71</v>
      </c>
      <c r="C44" s="50">
        <v>58</v>
      </c>
      <c r="D44" s="50">
        <v>30</v>
      </c>
      <c r="E44" s="50">
        <v>6</v>
      </c>
      <c r="F44" s="50">
        <v>11</v>
      </c>
      <c r="G44" s="50">
        <v>0</v>
      </c>
      <c r="H44" s="50">
        <v>0</v>
      </c>
      <c r="I44" s="50">
        <v>7</v>
      </c>
      <c r="J44" s="50">
        <v>4</v>
      </c>
      <c r="K44" s="50">
        <v>0</v>
      </c>
      <c r="L44" s="50">
        <v>0</v>
      </c>
      <c r="M44" s="50">
        <v>88</v>
      </c>
      <c r="N44" s="50">
        <v>0</v>
      </c>
      <c r="O44" s="15">
        <f t="shared" si="0"/>
        <v>116</v>
      </c>
      <c r="P44" s="15">
        <f t="shared" si="1"/>
        <v>204</v>
      </c>
    </row>
    <row r="45" spans="2:20" ht="23.1" customHeight="1" x14ac:dyDescent="0.25">
      <c r="B45" s="23" t="s">
        <v>72</v>
      </c>
      <c r="C45" s="50">
        <v>36</v>
      </c>
      <c r="D45" s="50">
        <v>21</v>
      </c>
      <c r="E45" s="50">
        <v>5</v>
      </c>
      <c r="F45" s="50">
        <v>3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72</v>
      </c>
      <c r="N45" s="50">
        <v>0</v>
      </c>
      <c r="O45" s="15">
        <f t="shared" si="0"/>
        <v>65</v>
      </c>
      <c r="P45" s="15">
        <f t="shared" si="1"/>
        <v>137</v>
      </c>
    </row>
    <row r="46" spans="2:20" ht="23.1" customHeight="1" x14ac:dyDescent="0.25">
      <c r="B46" s="24" t="s">
        <v>73</v>
      </c>
      <c r="C46" s="50">
        <v>41</v>
      </c>
      <c r="D46" s="50">
        <v>31</v>
      </c>
      <c r="E46" s="50">
        <v>4</v>
      </c>
      <c r="F46" s="50">
        <v>7</v>
      </c>
      <c r="G46" s="50">
        <v>0</v>
      </c>
      <c r="H46" s="50">
        <v>0</v>
      </c>
      <c r="I46" s="50">
        <v>0</v>
      </c>
      <c r="J46" s="50">
        <v>1</v>
      </c>
      <c r="K46" s="50">
        <v>0</v>
      </c>
      <c r="L46" s="50">
        <v>0</v>
      </c>
      <c r="M46" s="50">
        <v>59</v>
      </c>
      <c r="N46" s="50">
        <v>0</v>
      </c>
      <c r="O46" s="15">
        <f t="shared" si="0"/>
        <v>84</v>
      </c>
      <c r="P46" s="15">
        <f t="shared" si="1"/>
        <v>143</v>
      </c>
      <c r="R46" s="8"/>
      <c r="T46"/>
    </row>
    <row r="47" spans="2:20" ht="23.1" customHeight="1" x14ac:dyDescent="0.25">
      <c r="B47" s="24" t="s">
        <v>74</v>
      </c>
      <c r="C47" s="50">
        <v>60</v>
      </c>
      <c r="D47" s="50">
        <v>44</v>
      </c>
      <c r="E47" s="50">
        <v>9</v>
      </c>
      <c r="F47" s="50">
        <v>9</v>
      </c>
      <c r="G47" s="50">
        <v>0</v>
      </c>
      <c r="H47" s="50">
        <v>0</v>
      </c>
      <c r="I47" s="50">
        <v>3</v>
      </c>
      <c r="J47" s="50">
        <v>3</v>
      </c>
      <c r="K47" s="50">
        <v>0</v>
      </c>
      <c r="L47" s="50">
        <v>0</v>
      </c>
      <c r="M47" s="50">
        <v>62</v>
      </c>
      <c r="N47" s="50">
        <v>0</v>
      </c>
      <c r="O47" s="15">
        <f t="shared" si="0"/>
        <v>128</v>
      </c>
      <c r="P47" s="15">
        <f t="shared" si="1"/>
        <v>190</v>
      </c>
      <c r="R47" s="8"/>
      <c r="T47"/>
    </row>
    <row r="48" spans="2:20" ht="23.1" customHeight="1" x14ac:dyDescent="0.25">
      <c r="B48" s="24" t="s">
        <v>75</v>
      </c>
      <c r="C48" s="50">
        <v>63</v>
      </c>
      <c r="D48" s="50">
        <v>38</v>
      </c>
      <c r="E48" s="50">
        <v>10</v>
      </c>
      <c r="F48" s="50">
        <v>17</v>
      </c>
      <c r="G48" s="50">
        <v>2</v>
      </c>
      <c r="H48" s="50">
        <v>0</v>
      </c>
      <c r="I48" s="50">
        <v>1</v>
      </c>
      <c r="J48" s="50">
        <v>2</v>
      </c>
      <c r="K48" s="50">
        <v>1</v>
      </c>
      <c r="L48" s="50">
        <v>0</v>
      </c>
      <c r="M48" s="50">
        <v>67</v>
      </c>
      <c r="N48" s="50">
        <v>0</v>
      </c>
      <c r="O48" s="15">
        <f t="shared" si="0"/>
        <v>134</v>
      </c>
      <c r="P48" s="15">
        <f t="shared" si="1"/>
        <v>201</v>
      </c>
      <c r="R48" s="8"/>
      <c r="T48"/>
    </row>
    <row r="49" spans="2:20" ht="23.1" customHeight="1" x14ac:dyDescent="0.25">
      <c r="B49" s="23" t="s">
        <v>76</v>
      </c>
      <c r="C49" s="50">
        <v>80</v>
      </c>
      <c r="D49" s="50">
        <v>35</v>
      </c>
      <c r="E49" s="50">
        <v>10</v>
      </c>
      <c r="F49" s="50">
        <v>8</v>
      </c>
      <c r="G49" s="50">
        <v>6</v>
      </c>
      <c r="H49" s="50">
        <v>0</v>
      </c>
      <c r="I49" s="50">
        <v>1</v>
      </c>
      <c r="J49" s="50">
        <v>1</v>
      </c>
      <c r="K49" s="50">
        <v>0</v>
      </c>
      <c r="L49" s="50">
        <v>0</v>
      </c>
      <c r="M49" s="50">
        <v>71</v>
      </c>
      <c r="N49" s="50">
        <v>0</v>
      </c>
      <c r="O49" s="15">
        <f t="shared" si="0"/>
        <v>141</v>
      </c>
      <c r="P49" s="15">
        <f t="shared" si="1"/>
        <v>212</v>
      </c>
      <c r="R49" s="8"/>
      <c r="T49"/>
    </row>
    <row r="50" spans="2:20" ht="23.1" customHeight="1" x14ac:dyDescent="0.25">
      <c r="B50" s="24" t="s">
        <v>77</v>
      </c>
      <c r="C50" s="50">
        <v>72</v>
      </c>
      <c r="D50" s="50">
        <v>57</v>
      </c>
      <c r="E50" s="50">
        <v>11</v>
      </c>
      <c r="F50" s="50">
        <v>9</v>
      </c>
      <c r="G50" s="50">
        <v>1</v>
      </c>
      <c r="H50" s="50">
        <v>0</v>
      </c>
      <c r="I50" s="50">
        <v>0</v>
      </c>
      <c r="J50" s="50">
        <v>1</v>
      </c>
      <c r="K50" s="50">
        <v>0</v>
      </c>
      <c r="L50" s="50">
        <v>0</v>
      </c>
      <c r="M50" s="50">
        <v>59</v>
      </c>
      <c r="N50" s="50">
        <v>0</v>
      </c>
      <c r="O50" s="15">
        <f t="shared" si="0"/>
        <v>151</v>
      </c>
      <c r="P50" s="15">
        <f t="shared" si="1"/>
        <v>210</v>
      </c>
      <c r="R50" s="8"/>
      <c r="T50"/>
    </row>
    <row r="51" spans="2:20" ht="23.1" customHeight="1" x14ac:dyDescent="0.25">
      <c r="B51" s="24" t="s">
        <v>78</v>
      </c>
      <c r="C51" s="50">
        <v>80</v>
      </c>
      <c r="D51" s="50">
        <v>55</v>
      </c>
      <c r="E51" s="50">
        <v>11</v>
      </c>
      <c r="F51" s="50">
        <v>15</v>
      </c>
      <c r="G51" s="50">
        <v>2</v>
      </c>
      <c r="H51" s="50">
        <v>0</v>
      </c>
      <c r="I51" s="50">
        <v>3</v>
      </c>
      <c r="J51" s="50">
        <v>3</v>
      </c>
      <c r="K51" s="50">
        <v>0</v>
      </c>
      <c r="L51" s="50">
        <v>0</v>
      </c>
      <c r="M51" s="50">
        <v>62</v>
      </c>
      <c r="N51" s="50">
        <v>0</v>
      </c>
      <c r="O51" s="15">
        <f t="shared" si="0"/>
        <v>169</v>
      </c>
      <c r="P51" s="15">
        <f t="shared" si="1"/>
        <v>231</v>
      </c>
      <c r="R51" s="8"/>
      <c r="T51"/>
    </row>
    <row r="52" spans="2:20" ht="23.1" customHeight="1" x14ac:dyDescent="0.25">
      <c r="B52" s="24" t="s">
        <v>79</v>
      </c>
      <c r="C52" s="50">
        <v>73</v>
      </c>
      <c r="D52" s="50">
        <v>45</v>
      </c>
      <c r="E52" s="50">
        <v>14</v>
      </c>
      <c r="F52" s="50">
        <v>15</v>
      </c>
      <c r="G52" s="50">
        <v>1</v>
      </c>
      <c r="H52" s="50">
        <v>0</v>
      </c>
      <c r="I52" s="50">
        <v>1</v>
      </c>
      <c r="J52" s="50">
        <v>2</v>
      </c>
      <c r="K52" s="50">
        <v>1</v>
      </c>
      <c r="L52" s="50">
        <v>0</v>
      </c>
      <c r="M52" s="50">
        <v>67</v>
      </c>
      <c r="N52" s="50">
        <v>0</v>
      </c>
      <c r="O52" s="15">
        <f t="shared" si="0"/>
        <v>152</v>
      </c>
      <c r="P52" s="15">
        <f t="shared" si="1"/>
        <v>219</v>
      </c>
      <c r="R52" s="8"/>
      <c r="T52"/>
    </row>
    <row r="53" spans="2:20" ht="23.1" customHeight="1" x14ac:dyDescent="0.25">
      <c r="B53" s="23" t="s">
        <v>80</v>
      </c>
      <c r="C53" s="50">
        <v>64</v>
      </c>
      <c r="D53" s="50">
        <v>39</v>
      </c>
      <c r="E53" s="50">
        <v>6</v>
      </c>
      <c r="F53" s="50">
        <v>4</v>
      </c>
      <c r="G53" s="50">
        <v>1</v>
      </c>
      <c r="H53" s="50">
        <v>0</v>
      </c>
      <c r="I53" s="50">
        <v>1</v>
      </c>
      <c r="J53" s="50">
        <v>1</v>
      </c>
      <c r="K53" s="50">
        <v>0</v>
      </c>
      <c r="L53" s="50">
        <v>0</v>
      </c>
      <c r="M53" s="50">
        <v>71</v>
      </c>
      <c r="N53" s="50">
        <v>0</v>
      </c>
      <c r="O53" s="15">
        <f t="shared" si="0"/>
        <v>116</v>
      </c>
      <c r="P53" s="15">
        <f t="shared" si="1"/>
        <v>187</v>
      </c>
      <c r="R53" s="8"/>
      <c r="T53"/>
    </row>
    <row r="54" spans="2:20" ht="23.1" customHeight="1" x14ac:dyDescent="0.25">
      <c r="B54" s="23" t="s">
        <v>81</v>
      </c>
      <c r="C54" s="50">
        <v>58</v>
      </c>
      <c r="D54" s="50">
        <v>27</v>
      </c>
      <c r="E54" s="50">
        <v>9</v>
      </c>
      <c r="F54" s="50">
        <v>9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83</v>
      </c>
      <c r="N54" s="50">
        <v>0</v>
      </c>
      <c r="O54" s="15">
        <f t="shared" si="0"/>
        <v>103</v>
      </c>
      <c r="P54" s="15">
        <f t="shared" si="1"/>
        <v>186</v>
      </c>
      <c r="R54" s="8"/>
      <c r="T54"/>
    </row>
    <row r="55" spans="2:20" ht="23.1" customHeight="1" x14ac:dyDescent="0.25">
      <c r="B55" s="23" t="s">
        <v>82</v>
      </c>
      <c r="C55" s="50">
        <v>60</v>
      </c>
      <c r="D55" s="50">
        <v>28</v>
      </c>
      <c r="E55" s="50">
        <v>10</v>
      </c>
      <c r="F55" s="50">
        <v>15</v>
      </c>
      <c r="G55" s="50">
        <v>1</v>
      </c>
      <c r="H55" s="50">
        <v>6</v>
      </c>
      <c r="I55" s="50">
        <v>1</v>
      </c>
      <c r="J55" s="50">
        <v>1</v>
      </c>
      <c r="K55" s="50">
        <v>1</v>
      </c>
      <c r="L55" s="50">
        <v>0</v>
      </c>
      <c r="M55" s="50">
        <v>67</v>
      </c>
      <c r="N55" s="50">
        <v>0</v>
      </c>
      <c r="O55" s="15">
        <f t="shared" si="0"/>
        <v>123</v>
      </c>
      <c r="P55" s="15">
        <f t="shared" si="1"/>
        <v>190</v>
      </c>
      <c r="R55" s="8"/>
      <c r="T55"/>
    </row>
    <row r="56" spans="2:20" ht="23.1" customHeight="1" x14ac:dyDescent="0.25">
      <c r="B56" s="23" t="s">
        <v>83</v>
      </c>
      <c r="C56" s="50">
        <v>39</v>
      </c>
      <c r="D56" s="50">
        <v>35</v>
      </c>
      <c r="E56" s="50">
        <v>7</v>
      </c>
      <c r="F56" s="50">
        <v>5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1</v>
      </c>
      <c r="M56" s="50">
        <v>60</v>
      </c>
      <c r="N56" s="50">
        <v>0</v>
      </c>
      <c r="O56" s="15">
        <f t="shared" si="0"/>
        <v>87</v>
      </c>
      <c r="P56" s="15">
        <f t="shared" si="1"/>
        <v>147</v>
      </c>
      <c r="R56" s="8"/>
      <c r="T56"/>
    </row>
    <row r="57" spans="2:20" ht="23.1" customHeight="1" x14ac:dyDescent="0.25">
      <c r="B57" s="23" t="s">
        <v>84</v>
      </c>
      <c r="C57" s="50">
        <v>46</v>
      </c>
      <c r="D57" s="50">
        <v>25</v>
      </c>
      <c r="E57" s="50">
        <v>5</v>
      </c>
      <c r="F57" s="50">
        <v>6</v>
      </c>
      <c r="G57" s="50">
        <v>1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72</v>
      </c>
      <c r="N57" s="50">
        <v>0</v>
      </c>
      <c r="O57" s="15">
        <f t="shared" si="0"/>
        <v>84</v>
      </c>
      <c r="P57" s="15">
        <f t="shared" si="1"/>
        <v>156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3475</v>
      </c>
      <c r="D58" s="16">
        <f t="shared" si="21"/>
        <v>1916</v>
      </c>
      <c r="E58" s="16">
        <f t="shared" si="21"/>
        <v>434</v>
      </c>
      <c r="F58" s="16">
        <f t="shared" si="21"/>
        <v>383</v>
      </c>
      <c r="G58" s="16">
        <f t="shared" si="21"/>
        <v>33</v>
      </c>
      <c r="H58" s="16">
        <f t="shared" si="21"/>
        <v>8</v>
      </c>
      <c r="I58" s="16">
        <f t="shared" si="21"/>
        <v>76</v>
      </c>
      <c r="J58" s="16">
        <f t="shared" si="21"/>
        <v>91</v>
      </c>
      <c r="K58" s="16">
        <f t="shared" si="21"/>
        <v>18</v>
      </c>
      <c r="L58" s="16">
        <f t="shared" si="21"/>
        <v>1</v>
      </c>
      <c r="M58" s="16">
        <f t="shared" si="21"/>
        <v>3723</v>
      </c>
      <c r="N58" s="16">
        <f t="shared" si="21"/>
        <v>0</v>
      </c>
      <c r="O58" s="16">
        <f t="shared" si="21"/>
        <v>6435</v>
      </c>
      <c r="P58" s="16">
        <f t="shared" si="21"/>
        <v>10158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0.34209490057097852</v>
      </c>
      <c r="D59" s="43">
        <f t="shared" si="22"/>
        <v>0.18861980704863163</v>
      </c>
      <c r="E59" s="43">
        <f t="shared" si="22"/>
        <v>4.2724945855483365E-2</v>
      </c>
      <c r="F59" s="43">
        <f t="shared" si="22"/>
        <v>3.770427249458555E-2</v>
      </c>
      <c r="G59" s="43">
        <f t="shared" si="22"/>
        <v>3.2486709982279976E-3</v>
      </c>
      <c r="H59" s="43">
        <f t="shared" si="22"/>
        <v>7.8755660563102972E-4</v>
      </c>
      <c r="I59" s="43">
        <f t="shared" si="22"/>
        <v>7.4817877534947824E-3</v>
      </c>
      <c r="J59" s="43">
        <f t="shared" si="22"/>
        <v>8.9584563890529635E-3</v>
      </c>
      <c r="K59" s="43">
        <f t="shared" si="22"/>
        <v>1.7720023626698169E-3</v>
      </c>
      <c r="L59" s="43">
        <f t="shared" si="22"/>
        <v>9.8444575703878715E-5</v>
      </c>
      <c r="M59" s="43">
        <f t="shared" si="22"/>
        <v>0.36650915534554046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0.54001554001553997</v>
      </c>
      <c r="D60" s="44">
        <f t="shared" ref="D60:N60" si="23">D58/$O$58</f>
        <v>0.29774669774669776</v>
      </c>
      <c r="E60" s="44">
        <f t="shared" si="23"/>
        <v>6.7443667443667449E-2</v>
      </c>
      <c r="F60" s="44">
        <f t="shared" si="23"/>
        <v>5.9518259518259516E-2</v>
      </c>
      <c r="G60" s="44">
        <f t="shared" si="23"/>
        <v>5.1282051282051282E-3</v>
      </c>
      <c r="H60" s="44">
        <f t="shared" si="23"/>
        <v>1.2432012432012432E-3</v>
      </c>
      <c r="I60" s="44">
        <f t="shared" si="23"/>
        <v>1.181041181041181E-2</v>
      </c>
      <c r="J60" s="44">
        <f t="shared" si="23"/>
        <v>1.4141414141414142E-2</v>
      </c>
      <c r="K60" s="44">
        <f t="shared" si="23"/>
        <v>2.7972027972027972E-3</v>
      </c>
      <c r="L60" s="44">
        <f t="shared" si="23"/>
        <v>1.554001554001554E-4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40" zoomScale="40" zoomScaleSheetLayoutView="40" workbookViewId="0">
      <selection activeCell="J54" sqref="J5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'29.07 Ntinda-Naalya'!C3:G3</f>
        <v>MCC - C1 - STN38 - NAALYA EAST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169</v>
      </c>
      <c r="E5" s="3"/>
      <c r="F5" s="41" t="s">
        <v>1</v>
      </c>
      <c r="G5" s="65" t="str">
        <f>'29.07 Ntinda-Naalya'!G5:H5</f>
        <v>NAALYA ROUND ABOUT</v>
      </c>
      <c r="H5" s="66"/>
      <c r="I5" s="14"/>
      <c r="J5" s="2" t="s">
        <v>5</v>
      </c>
      <c r="K5" s="65" t="str">
        <f>'29.07 Ntinda-Naalya'!K5:L5</f>
        <v>HARRIET N/NASSIWA A/MUTE C/PHOEBY/KAZIBWE J/NAKAYE J.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'29.07 Ntinda-Naalya'!D6:E6</f>
        <v>NTINDA</v>
      </c>
      <c r="E6" s="66"/>
      <c r="F6" s="2" t="s">
        <v>2</v>
      </c>
      <c r="G6" s="65" t="str">
        <f>'29.07 Ntinda-Naalya'!G6:H6</f>
        <v>NAALYA</v>
      </c>
      <c r="H6" s="66"/>
      <c r="J6" s="2" t="s">
        <v>21</v>
      </c>
      <c r="K6" s="65" t="str">
        <f>'29.07 Ntinda-Naalya'!K6:L6</f>
        <v>STEVEN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98</v>
      </c>
      <c r="D10" s="50">
        <v>13</v>
      </c>
      <c r="E10" s="50">
        <v>0</v>
      </c>
      <c r="F10" s="50">
        <v>8</v>
      </c>
      <c r="G10" s="50">
        <v>0</v>
      </c>
      <c r="H10" s="50">
        <v>0</v>
      </c>
      <c r="I10" s="50">
        <v>0</v>
      </c>
      <c r="J10" s="50">
        <v>0</v>
      </c>
      <c r="K10" s="50">
        <v>1</v>
      </c>
      <c r="L10" s="50">
        <v>0</v>
      </c>
      <c r="M10" s="50">
        <v>34</v>
      </c>
      <c r="N10" s="50">
        <v>0</v>
      </c>
      <c r="O10" s="15">
        <f t="shared" ref="O10:O57" si="0">SUM(C10:L10,N10)</f>
        <v>120</v>
      </c>
      <c r="P10" s="15">
        <f t="shared" ref="P10:P57" si="1">SUM(C10:N10)</f>
        <v>154</v>
      </c>
      <c r="R10" s="1" t="s">
        <v>6</v>
      </c>
      <c r="S10" s="17">
        <f t="shared" ref="S10:AF10" si="2">SUM(C10:C13)</f>
        <v>456</v>
      </c>
      <c r="T10" s="17">
        <f t="shared" si="2"/>
        <v>84</v>
      </c>
      <c r="U10" s="17">
        <f t="shared" si="2"/>
        <v>2</v>
      </c>
      <c r="V10" s="17">
        <f t="shared" si="2"/>
        <v>35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4</v>
      </c>
      <c r="AA10" s="17">
        <f t="shared" si="2"/>
        <v>2</v>
      </c>
      <c r="AB10" s="17">
        <f t="shared" si="2"/>
        <v>2</v>
      </c>
      <c r="AC10" s="17">
        <f t="shared" si="2"/>
        <v>212</v>
      </c>
      <c r="AD10" s="17">
        <f t="shared" si="2"/>
        <v>0</v>
      </c>
      <c r="AE10" s="31">
        <f t="shared" si="2"/>
        <v>587</v>
      </c>
      <c r="AF10" s="31">
        <f t="shared" si="2"/>
        <v>799</v>
      </c>
    </row>
    <row r="11" spans="2:32" s="6" customFormat="1" ht="23.1" customHeight="1" x14ac:dyDescent="0.25">
      <c r="B11" s="23" t="s">
        <v>38</v>
      </c>
      <c r="C11" s="50">
        <v>148</v>
      </c>
      <c r="D11" s="50">
        <v>25</v>
      </c>
      <c r="E11" s="50">
        <v>2</v>
      </c>
      <c r="F11" s="50">
        <v>9</v>
      </c>
      <c r="G11" s="50">
        <v>0</v>
      </c>
      <c r="H11" s="50">
        <v>0</v>
      </c>
      <c r="I11" s="50">
        <v>0</v>
      </c>
      <c r="J11" s="50">
        <v>2</v>
      </c>
      <c r="K11" s="50">
        <v>0</v>
      </c>
      <c r="L11" s="50">
        <v>0</v>
      </c>
      <c r="M11" s="50">
        <v>43</v>
      </c>
      <c r="N11" s="50">
        <v>0</v>
      </c>
      <c r="O11" s="15">
        <f t="shared" si="0"/>
        <v>186</v>
      </c>
      <c r="P11" s="15">
        <f t="shared" si="1"/>
        <v>229</v>
      </c>
      <c r="R11" s="1" t="s">
        <v>7</v>
      </c>
      <c r="S11" s="17">
        <f t="shared" ref="S11:AF11" si="3">SUM(C14:C17)</f>
        <v>288</v>
      </c>
      <c r="T11" s="17">
        <f t="shared" si="3"/>
        <v>127</v>
      </c>
      <c r="U11" s="17">
        <f t="shared" si="3"/>
        <v>15</v>
      </c>
      <c r="V11" s="17">
        <f t="shared" si="3"/>
        <v>35</v>
      </c>
      <c r="W11" s="17">
        <f t="shared" si="3"/>
        <v>0</v>
      </c>
      <c r="X11" s="17">
        <f t="shared" si="3"/>
        <v>1</v>
      </c>
      <c r="Y11" s="17">
        <f t="shared" si="3"/>
        <v>11</v>
      </c>
      <c r="Z11" s="17">
        <f t="shared" si="3"/>
        <v>4</v>
      </c>
      <c r="AA11" s="17">
        <f t="shared" si="3"/>
        <v>0</v>
      </c>
      <c r="AB11" s="17">
        <f t="shared" si="3"/>
        <v>0</v>
      </c>
      <c r="AC11" s="17">
        <f t="shared" si="3"/>
        <v>309</v>
      </c>
      <c r="AD11" s="17">
        <f t="shared" si="3"/>
        <v>0</v>
      </c>
      <c r="AE11" s="31">
        <f t="shared" si="3"/>
        <v>481</v>
      </c>
      <c r="AF11" s="31">
        <f t="shared" si="3"/>
        <v>790</v>
      </c>
    </row>
    <row r="12" spans="2:32" ht="23.1" customHeight="1" x14ac:dyDescent="0.25">
      <c r="B12" s="23" t="s">
        <v>39</v>
      </c>
      <c r="C12" s="50">
        <v>98</v>
      </c>
      <c r="D12" s="50">
        <v>24</v>
      </c>
      <c r="E12" s="50">
        <v>0</v>
      </c>
      <c r="F12" s="50">
        <v>9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1</v>
      </c>
      <c r="M12" s="50">
        <v>57</v>
      </c>
      <c r="N12" s="50">
        <v>0</v>
      </c>
      <c r="O12" s="15">
        <f t="shared" si="0"/>
        <v>132</v>
      </c>
      <c r="P12" s="15">
        <f t="shared" si="1"/>
        <v>189</v>
      </c>
      <c r="R12" s="1" t="s">
        <v>8</v>
      </c>
      <c r="S12" s="17">
        <f t="shared" ref="S12:AF12" si="4">SUM(C18:C21)</f>
        <v>208</v>
      </c>
      <c r="T12" s="17">
        <f t="shared" si="4"/>
        <v>61</v>
      </c>
      <c r="U12" s="17">
        <f t="shared" si="4"/>
        <v>21</v>
      </c>
      <c r="V12" s="17">
        <f t="shared" si="4"/>
        <v>26</v>
      </c>
      <c r="W12" s="17">
        <f t="shared" si="4"/>
        <v>2</v>
      </c>
      <c r="X12" s="17">
        <f t="shared" si="4"/>
        <v>2</v>
      </c>
      <c r="Y12" s="17">
        <f t="shared" si="4"/>
        <v>25</v>
      </c>
      <c r="Z12" s="17">
        <f t="shared" si="4"/>
        <v>4</v>
      </c>
      <c r="AA12" s="17">
        <f t="shared" si="4"/>
        <v>3</v>
      </c>
      <c r="AB12" s="17">
        <f t="shared" si="4"/>
        <v>0</v>
      </c>
      <c r="AC12" s="17">
        <f t="shared" si="4"/>
        <v>326</v>
      </c>
      <c r="AD12" s="17">
        <f t="shared" si="4"/>
        <v>0</v>
      </c>
      <c r="AE12" s="31">
        <f t="shared" si="4"/>
        <v>352</v>
      </c>
      <c r="AF12" s="31">
        <f t="shared" si="4"/>
        <v>678</v>
      </c>
    </row>
    <row r="13" spans="2:32" ht="23.1" customHeight="1" x14ac:dyDescent="0.25">
      <c r="B13" s="23" t="s">
        <v>40</v>
      </c>
      <c r="C13" s="50">
        <v>112</v>
      </c>
      <c r="D13" s="50">
        <v>22</v>
      </c>
      <c r="E13" s="50">
        <v>0</v>
      </c>
      <c r="F13" s="50">
        <v>9</v>
      </c>
      <c r="G13" s="50">
        <v>0</v>
      </c>
      <c r="H13" s="50">
        <v>0</v>
      </c>
      <c r="I13" s="50">
        <v>2</v>
      </c>
      <c r="J13" s="50">
        <v>2</v>
      </c>
      <c r="K13" s="50">
        <v>1</v>
      </c>
      <c r="L13" s="50">
        <v>1</v>
      </c>
      <c r="M13" s="50">
        <v>78</v>
      </c>
      <c r="N13" s="50">
        <v>0</v>
      </c>
      <c r="O13" s="15">
        <f t="shared" si="0"/>
        <v>149</v>
      </c>
      <c r="P13" s="15">
        <f t="shared" si="1"/>
        <v>227</v>
      </c>
      <c r="R13" s="1" t="s">
        <v>9</v>
      </c>
      <c r="S13" s="17">
        <f t="shared" ref="S13:AF13" si="5">SUM(C22:C25)</f>
        <v>218</v>
      </c>
      <c r="T13" s="17">
        <f t="shared" si="5"/>
        <v>58</v>
      </c>
      <c r="U13" s="17">
        <f t="shared" si="5"/>
        <v>24</v>
      </c>
      <c r="V13" s="17">
        <f t="shared" si="5"/>
        <v>29</v>
      </c>
      <c r="W13" s="17">
        <f t="shared" si="5"/>
        <v>1</v>
      </c>
      <c r="X13" s="17">
        <f t="shared" si="5"/>
        <v>2</v>
      </c>
      <c r="Y13" s="17">
        <f t="shared" si="5"/>
        <v>24</v>
      </c>
      <c r="Z13" s="17">
        <f t="shared" si="5"/>
        <v>8</v>
      </c>
      <c r="AA13" s="17">
        <f t="shared" si="5"/>
        <v>3</v>
      </c>
      <c r="AB13" s="17">
        <f t="shared" si="5"/>
        <v>3</v>
      </c>
      <c r="AC13" s="17">
        <f t="shared" si="5"/>
        <v>291</v>
      </c>
      <c r="AD13" s="17">
        <f t="shared" si="5"/>
        <v>0</v>
      </c>
      <c r="AE13" s="31">
        <f t="shared" si="5"/>
        <v>370</v>
      </c>
      <c r="AF13" s="31">
        <f t="shared" si="5"/>
        <v>661</v>
      </c>
    </row>
    <row r="14" spans="2:32" ht="23.1" customHeight="1" x14ac:dyDescent="0.25">
      <c r="B14" s="23" t="s">
        <v>41</v>
      </c>
      <c r="C14" s="50">
        <v>79</v>
      </c>
      <c r="D14" s="50">
        <v>15</v>
      </c>
      <c r="E14" s="50">
        <v>1</v>
      </c>
      <c r="F14" s="50">
        <v>13</v>
      </c>
      <c r="G14" s="50">
        <v>0</v>
      </c>
      <c r="H14" s="50">
        <v>0</v>
      </c>
      <c r="I14" s="50">
        <v>4</v>
      </c>
      <c r="J14" s="50">
        <v>0</v>
      </c>
      <c r="K14" s="50">
        <v>0</v>
      </c>
      <c r="L14" s="50">
        <v>0</v>
      </c>
      <c r="M14" s="50">
        <v>72</v>
      </c>
      <c r="N14" s="50">
        <v>0</v>
      </c>
      <c r="O14" s="15">
        <f t="shared" si="0"/>
        <v>112</v>
      </c>
      <c r="P14" s="15">
        <f t="shared" si="1"/>
        <v>184</v>
      </c>
      <c r="R14" s="1" t="s">
        <v>10</v>
      </c>
      <c r="S14" s="17">
        <f t="shared" ref="S14:AF14" si="6">SUM(C26:C29)</f>
        <v>252</v>
      </c>
      <c r="T14" s="17">
        <f t="shared" si="6"/>
        <v>71</v>
      </c>
      <c r="U14" s="17">
        <f t="shared" si="6"/>
        <v>35</v>
      </c>
      <c r="V14" s="17">
        <f t="shared" si="6"/>
        <v>33</v>
      </c>
      <c r="W14" s="17">
        <f t="shared" si="6"/>
        <v>0</v>
      </c>
      <c r="X14" s="17">
        <f t="shared" si="6"/>
        <v>1</v>
      </c>
      <c r="Y14" s="17">
        <f t="shared" si="6"/>
        <v>14</v>
      </c>
      <c r="Z14" s="17">
        <f t="shared" si="6"/>
        <v>8</v>
      </c>
      <c r="AA14" s="17">
        <f t="shared" si="6"/>
        <v>1</v>
      </c>
      <c r="AB14" s="17">
        <f t="shared" si="6"/>
        <v>1</v>
      </c>
      <c r="AC14" s="17">
        <f t="shared" si="6"/>
        <v>277</v>
      </c>
      <c r="AD14" s="17">
        <f t="shared" si="6"/>
        <v>0</v>
      </c>
      <c r="AE14" s="31">
        <f t="shared" si="6"/>
        <v>416</v>
      </c>
      <c r="AF14" s="31">
        <f t="shared" si="6"/>
        <v>693</v>
      </c>
    </row>
    <row r="15" spans="2:32" ht="23.1" customHeight="1" x14ac:dyDescent="0.25">
      <c r="B15" s="23" t="s">
        <v>42</v>
      </c>
      <c r="C15" s="50">
        <v>71</v>
      </c>
      <c r="D15" s="50">
        <v>81</v>
      </c>
      <c r="E15" s="50">
        <v>2</v>
      </c>
      <c r="F15" s="50">
        <v>7</v>
      </c>
      <c r="G15" s="50">
        <v>0</v>
      </c>
      <c r="H15" s="50">
        <v>0</v>
      </c>
      <c r="I15" s="50">
        <v>2</v>
      </c>
      <c r="J15" s="50">
        <v>1</v>
      </c>
      <c r="K15" s="50">
        <v>0</v>
      </c>
      <c r="L15" s="50">
        <v>0</v>
      </c>
      <c r="M15" s="50">
        <v>77</v>
      </c>
      <c r="N15" s="50">
        <v>0</v>
      </c>
      <c r="O15" s="15">
        <f t="shared" si="0"/>
        <v>164</v>
      </c>
      <c r="P15" s="15">
        <f t="shared" si="1"/>
        <v>241</v>
      </c>
      <c r="R15" s="1" t="s">
        <v>11</v>
      </c>
      <c r="S15" s="17">
        <f t="shared" ref="S15:AF15" si="7">SUM(C30:C33)</f>
        <v>241</v>
      </c>
      <c r="T15" s="17">
        <f t="shared" si="7"/>
        <v>74</v>
      </c>
      <c r="U15" s="17">
        <f t="shared" si="7"/>
        <v>22</v>
      </c>
      <c r="V15" s="17">
        <f t="shared" si="7"/>
        <v>22</v>
      </c>
      <c r="W15" s="17">
        <f t="shared" si="7"/>
        <v>5</v>
      </c>
      <c r="X15" s="17">
        <f t="shared" si="7"/>
        <v>4</v>
      </c>
      <c r="Y15" s="17">
        <f t="shared" si="7"/>
        <v>22</v>
      </c>
      <c r="Z15" s="17">
        <f t="shared" si="7"/>
        <v>7</v>
      </c>
      <c r="AA15" s="17">
        <f t="shared" si="7"/>
        <v>4</v>
      </c>
      <c r="AB15" s="17">
        <f t="shared" si="7"/>
        <v>2</v>
      </c>
      <c r="AC15" s="17">
        <f t="shared" si="7"/>
        <v>282</v>
      </c>
      <c r="AD15" s="17">
        <f t="shared" si="7"/>
        <v>0</v>
      </c>
      <c r="AE15" s="31">
        <f t="shared" si="7"/>
        <v>403</v>
      </c>
      <c r="AF15" s="31">
        <f t="shared" si="7"/>
        <v>685</v>
      </c>
    </row>
    <row r="16" spans="2:32" ht="23.1" customHeight="1" x14ac:dyDescent="0.25">
      <c r="B16" s="23" t="s">
        <v>43</v>
      </c>
      <c r="C16" s="50">
        <v>73</v>
      </c>
      <c r="D16" s="50">
        <v>18</v>
      </c>
      <c r="E16" s="50">
        <v>5</v>
      </c>
      <c r="F16" s="50">
        <v>10</v>
      </c>
      <c r="G16" s="50">
        <v>0</v>
      </c>
      <c r="H16" s="50">
        <v>1</v>
      </c>
      <c r="I16" s="50">
        <v>2</v>
      </c>
      <c r="J16" s="50">
        <v>1</v>
      </c>
      <c r="K16" s="50">
        <v>0</v>
      </c>
      <c r="L16" s="50">
        <v>0</v>
      </c>
      <c r="M16" s="50">
        <v>63</v>
      </c>
      <c r="N16" s="50">
        <v>0</v>
      </c>
      <c r="O16" s="15">
        <f t="shared" si="0"/>
        <v>110</v>
      </c>
      <c r="P16" s="15">
        <f t="shared" si="1"/>
        <v>173</v>
      </c>
      <c r="R16" s="1" t="s">
        <v>12</v>
      </c>
      <c r="S16" s="17">
        <f t="shared" ref="S16:AF16" si="8">SUM(C34:C37)</f>
        <v>306</v>
      </c>
      <c r="T16" s="17">
        <f t="shared" si="8"/>
        <v>56</v>
      </c>
      <c r="U16" s="17">
        <f t="shared" si="8"/>
        <v>12</v>
      </c>
      <c r="V16" s="17">
        <f t="shared" si="8"/>
        <v>25</v>
      </c>
      <c r="W16" s="17">
        <f t="shared" si="8"/>
        <v>3</v>
      </c>
      <c r="X16" s="17">
        <f t="shared" si="8"/>
        <v>1</v>
      </c>
      <c r="Y16" s="17">
        <f t="shared" si="8"/>
        <v>20</v>
      </c>
      <c r="Z16" s="17">
        <f t="shared" si="8"/>
        <v>8</v>
      </c>
      <c r="AA16" s="17">
        <f t="shared" si="8"/>
        <v>1</v>
      </c>
      <c r="AB16" s="17">
        <f t="shared" si="8"/>
        <v>0</v>
      </c>
      <c r="AC16" s="17">
        <f t="shared" si="8"/>
        <v>326</v>
      </c>
      <c r="AD16" s="17">
        <f t="shared" si="8"/>
        <v>0</v>
      </c>
      <c r="AE16" s="31">
        <f t="shared" si="8"/>
        <v>432</v>
      </c>
      <c r="AF16" s="31">
        <f t="shared" si="8"/>
        <v>758</v>
      </c>
    </row>
    <row r="17" spans="2:32" ht="23.1" customHeight="1" x14ac:dyDescent="0.25">
      <c r="B17" s="23" t="s">
        <v>44</v>
      </c>
      <c r="C17" s="50">
        <v>65</v>
      </c>
      <c r="D17" s="50">
        <v>13</v>
      </c>
      <c r="E17" s="50">
        <v>7</v>
      </c>
      <c r="F17" s="50">
        <v>5</v>
      </c>
      <c r="G17" s="50">
        <v>0</v>
      </c>
      <c r="H17" s="50">
        <v>0</v>
      </c>
      <c r="I17" s="50">
        <v>3</v>
      </c>
      <c r="J17" s="50">
        <v>2</v>
      </c>
      <c r="K17" s="50">
        <v>0</v>
      </c>
      <c r="L17" s="50">
        <v>0</v>
      </c>
      <c r="M17" s="50">
        <v>97</v>
      </c>
      <c r="N17" s="50">
        <v>0</v>
      </c>
      <c r="O17" s="15">
        <f t="shared" si="0"/>
        <v>95</v>
      </c>
      <c r="P17" s="15">
        <f t="shared" si="1"/>
        <v>192</v>
      </c>
      <c r="R17" s="1" t="s">
        <v>13</v>
      </c>
      <c r="S17" s="17">
        <f t="shared" ref="S17:AF17" si="9">SUM(C38:C41)</f>
        <v>282</v>
      </c>
      <c r="T17" s="17">
        <f t="shared" si="9"/>
        <v>57</v>
      </c>
      <c r="U17" s="17">
        <f t="shared" si="9"/>
        <v>28</v>
      </c>
      <c r="V17" s="17">
        <f t="shared" si="9"/>
        <v>26</v>
      </c>
      <c r="W17" s="17">
        <f t="shared" si="9"/>
        <v>0</v>
      </c>
      <c r="X17" s="17">
        <f t="shared" si="9"/>
        <v>3</v>
      </c>
      <c r="Y17" s="17">
        <f t="shared" si="9"/>
        <v>20</v>
      </c>
      <c r="Z17" s="17">
        <f t="shared" si="9"/>
        <v>6</v>
      </c>
      <c r="AA17" s="17">
        <f t="shared" si="9"/>
        <v>3</v>
      </c>
      <c r="AB17" s="17">
        <f t="shared" si="9"/>
        <v>1</v>
      </c>
      <c r="AC17" s="17">
        <f t="shared" si="9"/>
        <v>280</v>
      </c>
      <c r="AD17" s="17">
        <f t="shared" si="9"/>
        <v>0</v>
      </c>
      <c r="AE17" s="31">
        <f t="shared" si="9"/>
        <v>426</v>
      </c>
      <c r="AF17" s="31">
        <f t="shared" si="9"/>
        <v>706</v>
      </c>
    </row>
    <row r="18" spans="2:32" ht="23.1" customHeight="1" x14ac:dyDescent="0.25">
      <c r="B18" s="23" t="s">
        <v>45</v>
      </c>
      <c r="C18" s="50">
        <v>60</v>
      </c>
      <c r="D18" s="50">
        <v>15</v>
      </c>
      <c r="E18" s="50">
        <v>4</v>
      </c>
      <c r="F18" s="50">
        <v>8</v>
      </c>
      <c r="G18" s="50">
        <v>0</v>
      </c>
      <c r="H18" s="50">
        <v>1</v>
      </c>
      <c r="I18" s="50">
        <v>7</v>
      </c>
      <c r="J18" s="50">
        <v>0</v>
      </c>
      <c r="K18" s="50">
        <v>1</v>
      </c>
      <c r="L18" s="50">
        <v>0</v>
      </c>
      <c r="M18" s="50">
        <v>91</v>
      </c>
      <c r="N18" s="50">
        <v>0</v>
      </c>
      <c r="O18" s="15">
        <f t="shared" si="0"/>
        <v>96</v>
      </c>
      <c r="P18" s="15">
        <f t="shared" si="1"/>
        <v>187</v>
      </c>
      <c r="R18" s="1" t="s">
        <v>14</v>
      </c>
      <c r="S18" s="17">
        <f t="shared" ref="S18:AF18" si="10">SUM(C42:C45)</f>
        <v>362</v>
      </c>
      <c r="T18" s="17">
        <f t="shared" si="10"/>
        <v>71</v>
      </c>
      <c r="U18" s="17">
        <f t="shared" si="10"/>
        <v>21</v>
      </c>
      <c r="V18" s="17">
        <f t="shared" si="10"/>
        <v>25</v>
      </c>
      <c r="W18" s="17">
        <f t="shared" si="10"/>
        <v>6</v>
      </c>
      <c r="X18" s="17">
        <f t="shared" si="10"/>
        <v>1</v>
      </c>
      <c r="Y18" s="17">
        <f t="shared" si="10"/>
        <v>25</v>
      </c>
      <c r="Z18" s="17">
        <f t="shared" si="10"/>
        <v>10</v>
      </c>
      <c r="AA18" s="17">
        <f t="shared" si="10"/>
        <v>2</v>
      </c>
      <c r="AB18" s="17">
        <f t="shared" si="10"/>
        <v>1</v>
      </c>
      <c r="AC18" s="17">
        <f t="shared" si="10"/>
        <v>214</v>
      </c>
      <c r="AD18" s="17">
        <f t="shared" si="10"/>
        <v>0</v>
      </c>
      <c r="AE18" s="31">
        <f t="shared" si="10"/>
        <v>524</v>
      </c>
      <c r="AF18" s="31">
        <f t="shared" si="10"/>
        <v>738</v>
      </c>
    </row>
    <row r="19" spans="2:32" ht="23.1" customHeight="1" x14ac:dyDescent="0.25">
      <c r="B19" s="23" t="s">
        <v>46</v>
      </c>
      <c r="C19" s="50">
        <v>45</v>
      </c>
      <c r="D19" s="50">
        <v>12</v>
      </c>
      <c r="E19" s="50">
        <v>8</v>
      </c>
      <c r="F19" s="50">
        <v>5</v>
      </c>
      <c r="G19" s="50">
        <v>0</v>
      </c>
      <c r="H19" s="50">
        <v>0</v>
      </c>
      <c r="I19" s="50">
        <v>7</v>
      </c>
      <c r="J19" s="50">
        <v>1</v>
      </c>
      <c r="K19" s="50">
        <v>1</v>
      </c>
      <c r="L19" s="50">
        <v>0</v>
      </c>
      <c r="M19" s="50">
        <v>91</v>
      </c>
      <c r="N19" s="50">
        <v>0</v>
      </c>
      <c r="O19" s="15">
        <f t="shared" si="0"/>
        <v>79</v>
      </c>
      <c r="P19" s="15">
        <f t="shared" si="1"/>
        <v>170</v>
      </c>
      <c r="R19" s="1" t="s">
        <v>15</v>
      </c>
      <c r="S19" s="17">
        <f t="shared" ref="S19:AF19" si="11">SUM(C46:C49)</f>
        <v>516</v>
      </c>
      <c r="T19" s="17">
        <f t="shared" si="11"/>
        <v>113</v>
      </c>
      <c r="U19" s="17">
        <f t="shared" si="11"/>
        <v>14</v>
      </c>
      <c r="V19" s="17">
        <f t="shared" si="11"/>
        <v>37</v>
      </c>
      <c r="W19" s="17">
        <f t="shared" si="11"/>
        <v>4</v>
      </c>
      <c r="X19" s="17">
        <f t="shared" si="11"/>
        <v>7</v>
      </c>
      <c r="Y19" s="17">
        <f t="shared" si="11"/>
        <v>16</v>
      </c>
      <c r="Z19" s="17">
        <f t="shared" si="11"/>
        <v>13</v>
      </c>
      <c r="AA19" s="17">
        <f t="shared" si="11"/>
        <v>2</v>
      </c>
      <c r="AB19" s="17">
        <f t="shared" si="11"/>
        <v>1</v>
      </c>
      <c r="AC19" s="17">
        <f t="shared" si="11"/>
        <v>348</v>
      </c>
      <c r="AD19" s="17">
        <f t="shared" si="11"/>
        <v>0</v>
      </c>
      <c r="AE19" s="31">
        <f t="shared" si="11"/>
        <v>723</v>
      </c>
      <c r="AF19" s="31">
        <f t="shared" si="11"/>
        <v>1071</v>
      </c>
    </row>
    <row r="20" spans="2:32" ht="23.1" customHeight="1" x14ac:dyDescent="0.25">
      <c r="B20" s="23" t="s">
        <v>47</v>
      </c>
      <c r="C20" s="50">
        <v>62</v>
      </c>
      <c r="D20" s="50">
        <v>19</v>
      </c>
      <c r="E20" s="50">
        <v>7</v>
      </c>
      <c r="F20" s="50">
        <v>4</v>
      </c>
      <c r="G20" s="50">
        <v>0</v>
      </c>
      <c r="H20" s="50">
        <v>1</v>
      </c>
      <c r="I20" s="50">
        <v>10</v>
      </c>
      <c r="J20" s="50">
        <v>2</v>
      </c>
      <c r="K20" s="50">
        <v>0</v>
      </c>
      <c r="L20" s="50">
        <v>0</v>
      </c>
      <c r="M20" s="50">
        <v>86</v>
      </c>
      <c r="N20" s="50">
        <v>0</v>
      </c>
      <c r="O20" s="15">
        <f t="shared" si="0"/>
        <v>105</v>
      </c>
      <c r="P20" s="15">
        <f t="shared" si="1"/>
        <v>191</v>
      </c>
      <c r="R20" s="1" t="s">
        <v>16</v>
      </c>
      <c r="S20" s="17">
        <f t="shared" ref="S20:AF20" si="12">SUM(C50:C53)</f>
        <v>657</v>
      </c>
      <c r="T20" s="17">
        <f t="shared" si="12"/>
        <v>123</v>
      </c>
      <c r="U20" s="17">
        <f t="shared" si="12"/>
        <v>17</v>
      </c>
      <c r="V20" s="17">
        <f t="shared" si="12"/>
        <v>37</v>
      </c>
      <c r="W20" s="17">
        <f t="shared" si="12"/>
        <v>2</v>
      </c>
      <c r="X20" s="17">
        <f t="shared" si="12"/>
        <v>1</v>
      </c>
      <c r="Y20" s="17">
        <f t="shared" si="12"/>
        <v>23</v>
      </c>
      <c r="Z20" s="17">
        <f t="shared" si="12"/>
        <v>5</v>
      </c>
      <c r="AA20" s="17">
        <f t="shared" si="12"/>
        <v>2</v>
      </c>
      <c r="AB20" s="17">
        <f t="shared" si="12"/>
        <v>3</v>
      </c>
      <c r="AC20" s="17">
        <f t="shared" si="12"/>
        <v>382</v>
      </c>
      <c r="AD20" s="17">
        <f t="shared" si="12"/>
        <v>1</v>
      </c>
      <c r="AE20" s="31">
        <f t="shared" si="12"/>
        <v>871</v>
      </c>
      <c r="AF20" s="31">
        <f t="shared" si="12"/>
        <v>1253</v>
      </c>
    </row>
    <row r="21" spans="2:32" ht="23.1" customHeight="1" x14ac:dyDescent="0.25">
      <c r="B21" s="23" t="s">
        <v>48</v>
      </c>
      <c r="C21" s="50">
        <v>41</v>
      </c>
      <c r="D21" s="50">
        <v>15</v>
      </c>
      <c r="E21" s="50">
        <v>2</v>
      </c>
      <c r="F21" s="50">
        <v>9</v>
      </c>
      <c r="G21" s="50">
        <v>2</v>
      </c>
      <c r="H21" s="50">
        <v>0</v>
      </c>
      <c r="I21" s="50">
        <v>1</v>
      </c>
      <c r="J21" s="50">
        <v>1</v>
      </c>
      <c r="K21" s="50">
        <v>1</v>
      </c>
      <c r="L21" s="50">
        <v>0</v>
      </c>
      <c r="M21" s="50">
        <v>58</v>
      </c>
      <c r="N21" s="50">
        <v>0</v>
      </c>
      <c r="O21" s="15">
        <f t="shared" si="0"/>
        <v>72</v>
      </c>
      <c r="P21" s="15">
        <f t="shared" si="1"/>
        <v>130</v>
      </c>
      <c r="R21" s="36" t="s">
        <v>20</v>
      </c>
      <c r="S21" s="34">
        <f t="shared" ref="S21:AF21" si="13">SUM(C54:C57)</f>
        <v>541</v>
      </c>
      <c r="T21" s="17">
        <f t="shared" si="13"/>
        <v>117</v>
      </c>
      <c r="U21" s="17">
        <f t="shared" si="13"/>
        <v>12</v>
      </c>
      <c r="V21" s="17">
        <f t="shared" si="13"/>
        <v>21</v>
      </c>
      <c r="W21" s="17">
        <f t="shared" si="13"/>
        <v>2</v>
      </c>
      <c r="X21" s="17">
        <f t="shared" si="13"/>
        <v>2</v>
      </c>
      <c r="Y21" s="17">
        <f t="shared" si="13"/>
        <v>16</v>
      </c>
      <c r="Z21" s="17">
        <f t="shared" si="13"/>
        <v>12</v>
      </c>
      <c r="AA21" s="17">
        <f t="shared" si="13"/>
        <v>4</v>
      </c>
      <c r="AB21" s="17">
        <f t="shared" si="13"/>
        <v>0</v>
      </c>
      <c r="AC21" s="17">
        <f t="shared" si="13"/>
        <v>300</v>
      </c>
      <c r="AD21" s="17">
        <f t="shared" si="13"/>
        <v>0</v>
      </c>
      <c r="AE21" s="31">
        <f t="shared" si="13"/>
        <v>727</v>
      </c>
      <c r="AF21" s="31">
        <f t="shared" si="13"/>
        <v>1027</v>
      </c>
    </row>
    <row r="22" spans="2:32" ht="23.1" customHeight="1" x14ac:dyDescent="0.25">
      <c r="B22" s="23" t="s">
        <v>49</v>
      </c>
      <c r="C22" s="50">
        <v>78</v>
      </c>
      <c r="D22" s="50">
        <v>16</v>
      </c>
      <c r="E22" s="50">
        <v>9</v>
      </c>
      <c r="F22" s="50">
        <v>13</v>
      </c>
      <c r="G22" s="50">
        <v>1</v>
      </c>
      <c r="H22" s="50">
        <v>1</v>
      </c>
      <c r="I22" s="50">
        <v>6</v>
      </c>
      <c r="J22" s="50">
        <v>0</v>
      </c>
      <c r="K22" s="50">
        <v>0</v>
      </c>
      <c r="L22" s="50">
        <v>0</v>
      </c>
      <c r="M22" s="50">
        <v>78</v>
      </c>
      <c r="N22" s="50">
        <v>0</v>
      </c>
      <c r="O22" s="15">
        <f t="shared" si="0"/>
        <v>124</v>
      </c>
      <c r="P22" s="15">
        <f t="shared" si="1"/>
        <v>202</v>
      </c>
      <c r="R22" s="38" t="s">
        <v>90</v>
      </c>
      <c r="S22" s="39">
        <f>MAX(S10:S12)</f>
        <v>456</v>
      </c>
      <c r="T22" s="39">
        <f t="shared" ref="T22:AF22" si="14">MAX(T10:T12)</f>
        <v>127</v>
      </c>
      <c r="U22" s="39">
        <f t="shared" si="14"/>
        <v>21</v>
      </c>
      <c r="V22" s="39">
        <f t="shared" si="14"/>
        <v>35</v>
      </c>
      <c r="W22" s="39">
        <f t="shared" si="14"/>
        <v>2</v>
      </c>
      <c r="X22" s="39">
        <f t="shared" si="14"/>
        <v>2</v>
      </c>
      <c r="Y22" s="39">
        <f t="shared" si="14"/>
        <v>25</v>
      </c>
      <c r="Z22" s="39">
        <f t="shared" si="14"/>
        <v>4</v>
      </c>
      <c r="AA22" s="39">
        <f t="shared" si="14"/>
        <v>3</v>
      </c>
      <c r="AB22" s="39">
        <f t="shared" si="14"/>
        <v>2</v>
      </c>
      <c r="AC22" s="39">
        <f t="shared" si="14"/>
        <v>326</v>
      </c>
      <c r="AD22" s="39">
        <f t="shared" si="14"/>
        <v>0</v>
      </c>
      <c r="AE22" s="40">
        <f t="shared" si="14"/>
        <v>587</v>
      </c>
      <c r="AF22" s="40">
        <f t="shared" si="14"/>
        <v>799</v>
      </c>
    </row>
    <row r="23" spans="2:32" ht="23.1" customHeight="1" x14ac:dyDescent="0.25">
      <c r="B23" s="23" t="s">
        <v>50</v>
      </c>
      <c r="C23" s="50">
        <v>37</v>
      </c>
      <c r="D23" s="50">
        <v>11</v>
      </c>
      <c r="E23" s="50">
        <v>5</v>
      </c>
      <c r="F23" s="50">
        <v>6</v>
      </c>
      <c r="G23" s="50">
        <v>0</v>
      </c>
      <c r="H23" s="50">
        <v>0</v>
      </c>
      <c r="I23" s="50">
        <v>4</v>
      </c>
      <c r="J23" s="50">
        <v>4</v>
      </c>
      <c r="K23" s="50">
        <v>1</v>
      </c>
      <c r="L23" s="50">
        <v>1</v>
      </c>
      <c r="M23" s="50">
        <v>62</v>
      </c>
      <c r="N23" s="50">
        <v>0</v>
      </c>
      <c r="O23" s="15">
        <f t="shared" si="0"/>
        <v>69</v>
      </c>
      <c r="P23" s="15">
        <f t="shared" si="1"/>
        <v>131</v>
      </c>
      <c r="R23" s="38" t="s">
        <v>91</v>
      </c>
      <c r="S23" s="39">
        <f>MAX(S13:S18)</f>
        <v>362</v>
      </c>
      <c r="T23" s="39">
        <f t="shared" ref="T23:AF23" si="15">MAX(T13:T18)</f>
        <v>74</v>
      </c>
      <c r="U23" s="39">
        <f t="shared" si="15"/>
        <v>35</v>
      </c>
      <c r="V23" s="39">
        <f t="shared" si="15"/>
        <v>33</v>
      </c>
      <c r="W23" s="39">
        <f t="shared" si="15"/>
        <v>6</v>
      </c>
      <c r="X23" s="39">
        <f t="shared" si="15"/>
        <v>4</v>
      </c>
      <c r="Y23" s="39">
        <f t="shared" si="15"/>
        <v>25</v>
      </c>
      <c r="Z23" s="39">
        <f t="shared" si="15"/>
        <v>10</v>
      </c>
      <c r="AA23" s="39">
        <f t="shared" si="15"/>
        <v>4</v>
      </c>
      <c r="AB23" s="39">
        <f t="shared" si="15"/>
        <v>3</v>
      </c>
      <c r="AC23" s="39">
        <f t="shared" si="15"/>
        <v>326</v>
      </c>
      <c r="AD23" s="39">
        <f t="shared" si="15"/>
        <v>0</v>
      </c>
      <c r="AE23" s="40">
        <f t="shared" si="15"/>
        <v>524</v>
      </c>
      <c r="AF23" s="40">
        <f t="shared" si="15"/>
        <v>758</v>
      </c>
    </row>
    <row r="24" spans="2:32" ht="23.1" customHeight="1" x14ac:dyDescent="0.25">
      <c r="B24" s="23" t="s">
        <v>51</v>
      </c>
      <c r="C24" s="50">
        <v>49</v>
      </c>
      <c r="D24" s="50">
        <v>17</v>
      </c>
      <c r="E24" s="50">
        <v>5</v>
      </c>
      <c r="F24" s="50">
        <v>4</v>
      </c>
      <c r="G24" s="50">
        <v>0</v>
      </c>
      <c r="H24" s="50">
        <v>1</v>
      </c>
      <c r="I24" s="50">
        <v>4</v>
      </c>
      <c r="J24" s="50">
        <v>3</v>
      </c>
      <c r="K24" s="50">
        <v>1</v>
      </c>
      <c r="L24" s="50">
        <v>1</v>
      </c>
      <c r="M24" s="50">
        <v>80</v>
      </c>
      <c r="N24" s="50">
        <v>0</v>
      </c>
      <c r="O24" s="15">
        <f t="shared" si="0"/>
        <v>85</v>
      </c>
      <c r="P24" s="15">
        <f t="shared" si="1"/>
        <v>165</v>
      </c>
      <c r="R24" s="38" t="s">
        <v>92</v>
      </c>
      <c r="S24" s="39">
        <f>MAX(S19:S21)</f>
        <v>657</v>
      </c>
      <c r="T24" s="39">
        <f t="shared" ref="T24:AF24" si="16">MAX(T19:T21)</f>
        <v>123</v>
      </c>
      <c r="U24" s="39">
        <f t="shared" si="16"/>
        <v>17</v>
      </c>
      <c r="V24" s="39">
        <f t="shared" si="16"/>
        <v>37</v>
      </c>
      <c r="W24" s="39">
        <f t="shared" si="16"/>
        <v>4</v>
      </c>
      <c r="X24" s="39">
        <f t="shared" si="16"/>
        <v>7</v>
      </c>
      <c r="Y24" s="39">
        <f t="shared" si="16"/>
        <v>23</v>
      </c>
      <c r="Z24" s="39">
        <f t="shared" si="16"/>
        <v>13</v>
      </c>
      <c r="AA24" s="39">
        <f t="shared" si="16"/>
        <v>4</v>
      </c>
      <c r="AB24" s="39">
        <f t="shared" si="16"/>
        <v>3</v>
      </c>
      <c r="AC24" s="39">
        <f t="shared" si="16"/>
        <v>382</v>
      </c>
      <c r="AD24" s="39">
        <f t="shared" si="16"/>
        <v>1</v>
      </c>
      <c r="AE24" s="40">
        <f t="shared" si="16"/>
        <v>871</v>
      </c>
      <c r="AF24" s="40">
        <f t="shared" si="16"/>
        <v>1253</v>
      </c>
    </row>
    <row r="25" spans="2:32" ht="23.1" customHeight="1" x14ac:dyDescent="0.25">
      <c r="B25" s="23" t="s">
        <v>52</v>
      </c>
      <c r="C25" s="50">
        <v>54</v>
      </c>
      <c r="D25" s="50">
        <v>14</v>
      </c>
      <c r="E25" s="50">
        <v>5</v>
      </c>
      <c r="F25" s="50">
        <v>6</v>
      </c>
      <c r="G25" s="50">
        <v>0</v>
      </c>
      <c r="H25" s="50">
        <v>0</v>
      </c>
      <c r="I25" s="50">
        <v>10</v>
      </c>
      <c r="J25" s="50">
        <v>1</v>
      </c>
      <c r="K25" s="50">
        <v>1</v>
      </c>
      <c r="L25" s="50">
        <v>1</v>
      </c>
      <c r="M25" s="50">
        <v>71</v>
      </c>
      <c r="N25" s="50">
        <v>0</v>
      </c>
      <c r="O25" s="15">
        <f t="shared" si="0"/>
        <v>92</v>
      </c>
      <c r="P25" s="15">
        <f t="shared" si="1"/>
        <v>163</v>
      </c>
      <c r="R25" s="37" t="s">
        <v>85</v>
      </c>
      <c r="S25" s="35">
        <f t="shared" ref="S25:AF25" si="17">SUM(S10:S12)</f>
        <v>952</v>
      </c>
      <c r="T25" s="16">
        <f t="shared" si="17"/>
        <v>272</v>
      </c>
      <c r="U25" s="16">
        <f t="shared" si="17"/>
        <v>38</v>
      </c>
      <c r="V25" s="16">
        <f t="shared" si="17"/>
        <v>96</v>
      </c>
      <c r="W25" s="16">
        <f t="shared" si="17"/>
        <v>2</v>
      </c>
      <c r="X25" s="16">
        <f t="shared" si="17"/>
        <v>3</v>
      </c>
      <c r="Y25" s="16">
        <f t="shared" si="17"/>
        <v>38</v>
      </c>
      <c r="Z25" s="16">
        <f t="shared" si="17"/>
        <v>12</v>
      </c>
      <c r="AA25" s="16">
        <f t="shared" si="17"/>
        <v>5</v>
      </c>
      <c r="AB25" s="16">
        <f t="shared" si="17"/>
        <v>2</v>
      </c>
      <c r="AC25" s="16">
        <f t="shared" si="17"/>
        <v>847</v>
      </c>
      <c r="AD25" s="16">
        <f t="shared" si="17"/>
        <v>0</v>
      </c>
      <c r="AE25" s="32">
        <f t="shared" si="17"/>
        <v>1420</v>
      </c>
      <c r="AF25" s="32">
        <f t="shared" si="17"/>
        <v>2267</v>
      </c>
    </row>
    <row r="26" spans="2:32" ht="23.1" customHeight="1" x14ac:dyDescent="0.25">
      <c r="B26" s="23" t="s">
        <v>53</v>
      </c>
      <c r="C26" s="50">
        <v>59</v>
      </c>
      <c r="D26" s="50">
        <v>19</v>
      </c>
      <c r="E26" s="50">
        <v>4</v>
      </c>
      <c r="F26" s="50">
        <v>8</v>
      </c>
      <c r="G26" s="50">
        <v>0</v>
      </c>
      <c r="H26" s="50">
        <v>0</v>
      </c>
      <c r="I26" s="50">
        <v>3</v>
      </c>
      <c r="J26" s="50">
        <v>4</v>
      </c>
      <c r="K26" s="50">
        <v>0</v>
      </c>
      <c r="L26" s="50">
        <v>0</v>
      </c>
      <c r="M26" s="50">
        <v>64</v>
      </c>
      <c r="N26" s="50">
        <v>0</v>
      </c>
      <c r="O26" s="15">
        <f t="shared" si="0"/>
        <v>97</v>
      </c>
      <c r="P26" s="15">
        <f t="shared" si="1"/>
        <v>161</v>
      </c>
      <c r="R26" s="28" t="s">
        <v>86</v>
      </c>
      <c r="S26" s="16">
        <f t="shared" ref="S26:AF26" si="18">SUM(S13:S18)</f>
        <v>1661</v>
      </c>
      <c r="T26" s="16">
        <f t="shared" si="18"/>
        <v>387</v>
      </c>
      <c r="U26" s="16">
        <f t="shared" si="18"/>
        <v>142</v>
      </c>
      <c r="V26" s="16">
        <f t="shared" si="18"/>
        <v>160</v>
      </c>
      <c r="W26" s="16">
        <f t="shared" si="18"/>
        <v>15</v>
      </c>
      <c r="X26" s="16">
        <f t="shared" si="18"/>
        <v>12</v>
      </c>
      <c r="Y26" s="16">
        <f t="shared" si="18"/>
        <v>125</v>
      </c>
      <c r="Z26" s="16">
        <f t="shared" si="18"/>
        <v>47</v>
      </c>
      <c r="AA26" s="16">
        <f t="shared" si="18"/>
        <v>14</v>
      </c>
      <c r="AB26" s="16">
        <f t="shared" si="18"/>
        <v>8</v>
      </c>
      <c r="AC26" s="16">
        <f t="shared" si="18"/>
        <v>1670</v>
      </c>
      <c r="AD26" s="16">
        <f t="shared" si="18"/>
        <v>0</v>
      </c>
      <c r="AE26" s="32">
        <f t="shared" si="18"/>
        <v>2571</v>
      </c>
      <c r="AF26" s="32">
        <f t="shared" si="18"/>
        <v>4241</v>
      </c>
    </row>
    <row r="27" spans="2:32" ht="23.1" customHeight="1" x14ac:dyDescent="0.25">
      <c r="B27" s="23" t="s">
        <v>54</v>
      </c>
      <c r="C27" s="50">
        <v>48</v>
      </c>
      <c r="D27" s="50">
        <v>14</v>
      </c>
      <c r="E27" s="50">
        <v>8</v>
      </c>
      <c r="F27" s="50">
        <v>9</v>
      </c>
      <c r="G27" s="50">
        <v>0</v>
      </c>
      <c r="H27" s="50">
        <v>1</v>
      </c>
      <c r="I27" s="50">
        <v>5</v>
      </c>
      <c r="J27" s="50">
        <v>2</v>
      </c>
      <c r="K27" s="50">
        <v>0</v>
      </c>
      <c r="L27" s="50">
        <v>0</v>
      </c>
      <c r="M27" s="50">
        <v>83</v>
      </c>
      <c r="N27" s="50">
        <v>0</v>
      </c>
      <c r="O27" s="15">
        <f t="shared" si="0"/>
        <v>87</v>
      </c>
      <c r="P27" s="15">
        <f t="shared" si="1"/>
        <v>170</v>
      </c>
      <c r="R27" s="29" t="s">
        <v>87</v>
      </c>
      <c r="S27" s="16">
        <f t="shared" ref="S27:AF27" si="19">SUM(S19:S21)</f>
        <v>1714</v>
      </c>
      <c r="T27" s="16">
        <f t="shared" si="19"/>
        <v>353</v>
      </c>
      <c r="U27" s="16">
        <f t="shared" si="19"/>
        <v>43</v>
      </c>
      <c r="V27" s="16">
        <f t="shared" si="19"/>
        <v>95</v>
      </c>
      <c r="W27" s="16">
        <f t="shared" si="19"/>
        <v>8</v>
      </c>
      <c r="X27" s="16">
        <f t="shared" si="19"/>
        <v>10</v>
      </c>
      <c r="Y27" s="16">
        <f t="shared" si="19"/>
        <v>55</v>
      </c>
      <c r="Z27" s="16">
        <f t="shared" si="19"/>
        <v>30</v>
      </c>
      <c r="AA27" s="16">
        <f t="shared" si="19"/>
        <v>8</v>
      </c>
      <c r="AB27" s="16">
        <f t="shared" si="19"/>
        <v>4</v>
      </c>
      <c r="AC27" s="16">
        <f t="shared" si="19"/>
        <v>1030</v>
      </c>
      <c r="AD27" s="16">
        <f t="shared" si="19"/>
        <v>1</v>
      </c>
      <c r="AE27" s="32">
        <f t="shared" si="19"/>
        <v>2321</v>
      </c>
      <c r="AF27" s="32">
        <f t="shared" si="19"/>
        <v>3351</v>
      </c>
    </row>
    <row r="28" spans="2:32" ht="23.1" customHeight="1" x14ac:dyDescent="0.25">
      <c r="B28" s="23" t="s">
        <v>55</v>
      </c>
      <c r="C28" s="50">
        <v>69</v>
      </c>
      <c r="D28" s="50">
        <v>13</v>
      </c>
      <c r="E28" s="50">
        <v>13</v>
      </c>
      <c r="F28" s="50">
        <v>8</v>
      </c>
      <c r="G28" s="50">
        <v>0</v>
      </c>
      <c r="H28" s="50">
        <v>0</v>
      </c>
      <c r="I28" s="50">
        <v>4</v>
      </c>
      <c r="J28" s="50">
        <v>0</v>
      </c>
      <c r="K28" s="50">
        <v>1</v>
      </c>
      <c r="L28" s="50">
        <v>1</v>
      </c>
      <c r="M28" s="50">
        <v>57</v>
      </c>
      <c r="N28" s="50">
        <v>0</v>
      </c>
      <c r="O28" s="15">
        <f t="shared" si="0"/>
        <v>109</v>
      </c>
      <c r="P28" s="15">
        <f t="shared" si="1"/>
        <v>166</v>
      </c>
      <c r="R28" s="5" t="s">
        <v>17</v>
      </c>
      <c r="S28" s="16">
        <f t="shared" ref="S28:AF28" si="20">SUM(S10:S21)</f>
        <v>4327</v>
      </c>
      <c r="T28" s="16">
        <f t="shared" si="20"/>
        <v>1012</v>
      </c>
      <c r="U28" s="16">
        <f t="shared" si="20"/>
        <v>223</v>
      </c>
      <c r="V28" s="16">
        <f t="shared" si="20"/>
        <v>351</v>
      </c>
      <c r="W28" s="16">
        <f t="shared" si="20"/>
        <v>25</v>
      </c>
      <c r="X28" s="16">
        <f t="shared" si="20"/>
        <v>25</v>
      </c>
      <c r="Y28" s="16">
        <f t="shared" si="20"/>
        <v>218</v>
      </c>
      <c r="Z28" s="16">
        <f t="shared" si="20"/>
        <v>89</v>
      </c>
      <c r="AA28" s="16">
        <f t="shared" si="20"/>
        <v>27</v>
      </c>
      <c r="AB28" s="16">
        <f t="shared" si="20"/>
        <v>14</v>
      </c>
      <c r="AC28" s="16">
        <f t="shared" si="20"/>
        <v>3547</v>
      </c>
      <c r="AD28" s="16">
        <f t="shared" si="20"/>
        <v>1</v>
      </c>
      <c r="AE28" s="32">
        <f t="shared" si="20"/>
        <v>6312</v>
      </c>
      <c r="AF28" s="32">
        <f t="shared" si="20"/>
        <v>9859</v>
      </c>
    </row>
    <row r="29" spans="2:32" ht="23.1" customHeight="1" x14ac:dyDescent="0.25">
      <c r="B29" s="23" t="s">
        <v>56</v>
      </c>
      <c r="C29" s="50">
        <v>76</v>
      </c>
      <c r="D29" s="50">
        <v>25</v>
      </c>
      <c r="E29" s="50">
        <v>10</v>
      </c>
      <c r="F29" s="50">
        <v>8</v>
      </c>
      <c r="G29" s="50">
        <v>0</v>
      </c>
      <c r="H29" s="50">
        <v>0</v>
      </c>
      <c r="I29" s="50">
        <v>2</v>
      </c>
      <c r="J29" s="50">
        <v>2</v>
      </c>
      <c r="K29" s="50">
        <v>0</v>
      </c>
      <c r="L29" s="50">
        <v>0</v>
      </c>
      <c r="M29" s="50">
        <v>73</v>
      </c>
      <c r="N29" s="50">
        <v>0</v>
      </c>
      <c r="O29" s="15">
        <f t="shared" si="0"/>
        <v>123</v>
      </c>
      <c r="P29" s="15">
        <f t="shared" si="1"/>
        <v>196</v>
      </c>
      <c r="R29"/>
      <c r="S29" s="20"/>
      <c r="T29" s="19"/>
    </row>
    <row r="30" spans="2:32" ht="23.1" customHeight="1" x14ac:dyDescent="0.25">
      <c r="B30" s="23" t="s">
        <v>57</v>
      </c>
      <c r="C30" s="50">
        <v>42</v>
      </c>
      <c r="D30" s="50">
        <v>17</v>
      </c>
      <c r="E30" s="50">
        <v>3</v>
      </c>
      <c r="F30" s="50">
        <v>2</v>
      </c>
      <c r="G30" s="50">
        <v>5</v>
      </c>
      <c r="H30" s="50">
        <v>3</v>
      </c>
      <c r="I30" s="50">
        <v>4</v>
      </c>
      <c r="J30" s="50">
        <v>2</v>
      </c>
      <c r="K30" s="50">
        <v>1</v>
      </c>
      <c r="L30" s="50">
        <v>0</v>
      </c>
      <c r="M30" s="50">
        <v>60</v>
      </c>
      <c r="N30" s="50">
        <v>0</v>
      </c>
      <c r="O30" s="15">
        <f t="shared" si="0"/>
        <v>79</v>
      </c>
      <c r="P30" s="15">
        <f t="shared" si="1"/>
        <v>139</v>
      </c>
    </row>
    <row r="31" spans="2:32" ht="23.1" customHeight="1" x14ac:dyDescent="0.25">
      <c r="B31" s="24" t="s">
        <v>58</v>
      </c>
      <c r="C31" s="50">
        <v>71</v>
      </c>
      <c r="D31" s="50">
        <v>16</v>
      </c>
      <c r="E31" s="50">
        <v>5</v>
      </c>
      <c r="F31" s="50">
        <v>6</v>
      </c>
      <c r="G31" s="50">
        <v>0</v>
      </c>
      <c r="H31" s="50">
        <v>0</v>
      </c>
      <c r="I31" s="50">
        <v>5</v>
      </c>
      <c r="J31" s="50">
        <v>0</v>
      </c>
      <c r="K31" s="50">
        <v>0</v>
      </c>
      <c r="L31" s="50">
        <v>0</v>
      </c>
      <c r="M31" s="50">
        <v>87</v>
      </c>
      <c r="N31" s="50">
        <v>0</v>
      </c>
      <c r="O31" s="15">
        <f t="shared" si="0"/>
        <v>103</v>
      </c>
      <c r="P31" s="15">
        <f t="shared" si="1"/>
        <v>190</v>
      </c>
    </row>
    <row r="32" spans="2:32" ht="23.1" customHeight="1" x14ac:dyDescent="0.25">
      <c r="B32" s="24" t="s">
        <v>59</v>
      </c>
      <c r="C32" s="50">
        <v>64</v>
      </c>
      <c r="D32" s="50">
        <v>13</v>
      </c>
      <c r="E32" s="50">
        <v>9</v>
      </c>
      <c r="F32" s="50">
        <v>9</v>
      </c>
      <c r="G32" s="50">
        <v>0</v>
      </c>
      <c r="H32" s="50">
        <v>1</v>
      </c>
      <c r="I32" s="50">
        <v>9</v>
      </c>
      <c r="J32" s="50">
        <v>3</v>
      </c>
      <c r="K32" s="50">
        <v>2</v>
      </c>
      <c r="L32" s="50">
        <v>2</v>
      </c>
      <c r="M32" s="50">
        <v>66</v>
      </c>
      <c r="N32" s="50">
        <v>0</v>
      </c>
      <c r="O32" s="15">
        <f t="shared" si="0"/>
        <v>112</v>
      </c>
      <c r="P32" s="15">
        <f t="shared" si="1"/>
        <v>178</v>
      </c>
    </row>
    <row r="33" spans="2:20" ht="23.1" customHeight="1" x14ac:dyDescent="0.25">
      <c r="B33" s="23" t="s">
        <v>60</v>
      </c>
      <c r="C33" s="50">
        <v>64</v>
      </c>
      <c r="D33" s="50">
        <v>28</v>
      </c>
      <c r="E33" s="50">
        <v>5</v>
      </c>
      <c r="F33" s="50">
        <v>5</v>
      </c>
      <c r="G33" s="50">
        <v>0</v>
      </c>
      <c r="H33" s="50">
        <v>0</v>
      </c>
      <c r="I33" s="50">
        <v>4</v>
      </c>
      <c r="J33" s="50">
        <v>2</v>
      </c>
      <c r="K33" s="50">
        <v>1</v>
      </c>
      <c r="L33" s="50">
        <v>0</v>
      </c>
      <c r="M33" s="50">
        <v>69</v>
      </c>
      <c r="N33" s="50">
        <v>0</v>
      </c>
      <c r="O33" s="15">
        <f t="shared" si="0"/>
        <v>109</v>
      </c>
      <c r="P33" s="15">
        <f t="shared" si="1"/>
        <v>178</v>
      </c>
    </row>
    <row r="34" spans="2:20" ht="23.1" customHeight="1" x14ac:dyDescent="0.25">
      <c r="B34" s="24" t="s">
        <v>61</v>
      </c>
      <c r="C34" s="50">
        <v>57</v>
      </c>
      <c r="D34" s="50">
        <v>13</v>
      </c>
      <c r="E34" s="50">
        <v>4</v>
      </c>
      <c r="F34" s="50">
        <v>6</v>
      </c>
      <c r="G34" s="50">
        <v>0</v>
      </c>
      <c r="H34" s="50">
        <v>1</v>
      </c>
      <c r="I34" s="50">
        <v>4</v>
      </c>
      <c r="J34" s="50">
        <v>4</v>
      </c>
      <c r="K34" s="50">
        <v>1</v>
      </c>
      <c r="L34" s="50">
        <v>0</v>
      </c>
      <c r="M34" s="50">
        <v>51</v>
      </c>
      <c r="N34" s="50">
        <v>0</v>
      </c>
      <c r="O34" s="15">
        <f t="shared" si="0"/>
        <v>90</v>
      </c>
      <c r="P34" s="15">
        <f t="shared" si="1"/>
        <v>141</v>
      </c>
    </row>
    <row r="35" spans="2:20" ht="23.1" customHeight="1" x14ac:dyDescent="0.25">
      <c r="B35" s="24" t="s">
        <v>62</v>
      </c>
      <c r="C35" s="50">
        <v>55</v>
      </c>
      <c r="D35" s="50">
        <v>11</v>
      </c>
      <c r="E35" s="50">
        <v>2</v>
      </c>
      <c r="F35" s="50">
        <v>6</v>
      </c>
      <c r="G35" s="50">
        <v>0</v>
      </c>
      <c r="H35" s="50">
        <v>0</v>
      </c>
      <c r="I35" s="50">
        <v>6</v>
      </c>
      <c r="J35" s="50">
        <v>1</v>
      </c>
      <c r="K35" s="50">
        <v>0</v>
      </c>
      <c r="L35" s="50">
        <v>0</v>
      </c>
      <c r="M35" s="50">
        <v>49</v>
      </c>
      <c r="N35" s="50">
        <v>0</v>
      </c>
      <c r="O35" s="15">
        <f t="shared" si="0"/>
        <v>81</v>
      </c>
      <c r="P35" s="15">
        <f t="shared" si="1"/>
        <v>130</v>
      </c>
    </row>
    <row r="36" spans="2:20" ht="23.1" customHeight="1" x14ac:dyDescent="0.25">
      <c r="B36" s="24" t="s">
        <v>63</v>
      </c>
      <c r="C36" s="50">
        <v>105</v>
      </c>
      <c r="D36" s="50">
        <v>15</v>
      </c>
      <c r="E36" s="50">
        <v>2</v>
      </c>
      <c r="F36" s="50">
        <v>8</v>
      </c>
      <c r="G36" s="50">
        <v>0</v>
      </c>
      <c r="H36" s="50">
        <v>0</v>
      </c>
      <c r="I36" s="50">
        <v>3</v>
      </c>
      <c r="J36" s="50">
        <v>1</v>
      </c>
      <c r="K36" s="50">
        <v>0</v>
      </c>
      <c r="L36" s="50">
        <v>0</v>
      </c>
      <c r="M36" s="50">
        <v>125</v>
      </c>
      <c r="N36" s="50">
        <v>0</v>
      </c>
      <c r="O36" s="15">
        <f t="shared" si="0"/>
        <v>134</v>
      </c>
      <c r="P36" s="15">
        <f t="shared" si="1"/>
        <v>259</v>
      </c>
    </row>
    <row r="37" spans="2:20" ht="23.1" customHeight="1" x14ac:dyDescent="0.25">
      <c r="B37" s="23" t="s">
        <v>64</v>
      </c>
      <c r="C37" s="50">
        <v>89</v>
      </c>
      <c r="D37" s="50">
        <v>17</v>
      </c>
      <c r="E37" s="50">
        <v>4</v>
      </c>
      <c r="F37" s="50">
        <v>5</v>
      </c>
      <c r="G37" s="50">
        <v>3</v>
      </c>
      <c r="H37" s="50">
        <v>0</v>
      </c>
      <c r="I37" s="50">
        <v>7</v>
      </c>
      <c r="J37" s="50">
        <v>2</v>
      </c>
      <c r="K37" s="50">
        <v>0</v>
      </c>
      <c r="L37" s="50">
        <v>0</v>
      </c>
      <c r="M37" s="50">
        <v>101</v>
      </c>
      <c r="N37" s="50">
        <v>0</v>
      </c>
      <c r="O37" s="15">
        <f t="shared" si="0"/>
        <v>127</v>
      </c>
      <c r="P37" s="15">
        <f t="shared" si="1"/>
        <v>228</v>
      </c>
    </row>
    <row r="38" spans="2:20" ht="23.1" customHeight="1" x14ac:dyDescent="0.25">
      <c r="B38" s="24" t="s">
        <v>65</v>
      </c>
      <c r="C38" s="50">
        <v>71</v>
      </c>
      <c r="D38" s="50">
        <v>13</v>
      </c>
      <c r="E38" s="50">
        <v>7</v>
      </c>
      <c r="F38" s="50">
        <v>7</v>
      </c>
      <c r="G38" s="50">
        <v>0</v>
      </c>
      <c r="H38" s="50">
        <v>2</v>
      </c>
      <c r="I38" s="50">
        <v>7</v>
      </c>
      <c r="J38" s="50">
        <v>1</v>
      </c>
      <c r="K38" s="50">
        <v>1</v>
      </c>
      <c r="L38" s="50">
        <v>1</v>
      </c>
      <c r="M38" s="50">
        <v>46</v>
      </c>
      <c r="N38" s="50">
        <v>0</v>
      </c>
      <c r="O38" s="15">
        <f t="shared" si="0"/>
        <v>110</v>
      </c>
      <c r="P38" s="15">
        <f t="shared" si="1"/>
        <v>156</v>
      </c>
    </row>
    <row r="39" spans="2:20" ht="23.1" customHeight="1" x14ac:dyDescent="0.25">
      <c r="B39" s="24" t="s">
        <v>66</v>
      </c>
      <c r="C39" s="50">
        <v>64</v>
      </c>
      <c r="D39" s="50">
        <v>12</v>
      </c>
      <c r="E39" s="50">
        <v>10</v>
      </c>
      <c r="F39" s="50">
        <v>9</v>
      </c>
      <c r="G39" s="50">
        <v>0</v>
      </c>
      <c r="H39" s="50">
        <v>0</v>
      </c>
      <c r="I39" s="50">
        <v>5</v>
      </c>
      <c r="J39" s="50">
        <v>1</v>
      </c>
      <c r="K39" s="50">
        <v>2</v>
      </c>
      <c r="L39" s="50">
        <v>0</v>
      </c>
      <c r="M39" s="50">
        <v>90</v>
      </c>
      <c r="N39" s="50">
        <v>0</v>
      </c>
      <c r="O39" s="15">
        <f t="shared" si="0"/>
        <v>103</v>
      </c>
      <c r="P39" s="15">
        <f t="shared" si="1"/>
        <v>193</v>
      </c>
    </row>
    <row r="40" spans="2:20" ht="23.1" customHeight="1" x14ac:dyDescent="0.25">
      <c r="B40" s="24" t="s">
        <v>67</v>
      </c>
      <c r="C40" s="50">
        <v>76</v>
      </c>
      <c r="D40" s="50">
        <v>13</v>
      </c>
      <c r="E40" s="50">
        <v>7</v>
      </c>
      <c r="F40" s="50">
        <v>6</v>
      </c>
      <c r="G40" s="50">
        <v>0</v>
      </c>
      <c r="H40" s="50">
        <v>0</v>
      </c>
      <c r="I40" s="50">
        <v>3</v>
      </c>
      <c r="J40" s="50">
        <v>0</v>
      </c>
      <c r="K40" s="50">
        <v>0</v>
      </c>
      <c r="L40" s="50">
        <v>0</v>
      </c>
      <c r="M40" s="50">
        <v>66</v>
      </c>
      <c r="N40" s="50">
        <v>0</v>
      </c>
      <c r="O40" s="15">
        <f t="shared" si="0"/>
        <v>105</v>
      </c>
      <c r="P40" s="15">
        <f t="shared" si="1"/>
        <v>171</v>
      </c>
    </row>
    <row r="41" spans="2:20" ht="23.1" customHeight="1" x14ac:dyDescent="0.25">
      <c r="B41" s="23" t="s">
        <v>68</v>
      </c>
      <c r="C41" s="50">
        <v>71</v>
      </c>
      <c r="D41" s="50">
        <v>19</v>
      </c>
      <c r="E41" s="50">
        <v>4</v>
      </c>
      <c r="F41" s="50">
        <v>4</v>
      </c>
      <c r="G41" s="50">
        <v>0</v>
      </c>
      <c r="H41" s="50">
        <v>1</v>
      </c>
      <c r="I41" s="50">
        <v>5</v>
      </c>
      <c r="J41" s="50">
        <v>4</v>
      </c>
      <c r="K41" s="50">
        <v>0</v>
      </c>
      <c r="L41" s="50">
        <v>0</v>
      </c>
      <c r="M41" s="50">
        <v>78</v>
      </c>
      <c r="N41" s="50">
        <v>0</v>
      </c>
      <c r="O41" s="15">
        <f t="shared" si="0"/>
        <v>108</v>
      </c>
      <c r="P41" s="15">
        <f t="shared" si="1"/>
        <v>186</v>
      </c>
    </row>
    <row r="42" spans="2:20" ht="23.1" customHeight="1" x14ac:dyDescent="0.25">
      <c r="B42" s="24" t="s">
        <v>69</v>
      </c>
      <c r="C42" s="50">
        <v>66</v>
      </c>
      <c r="D42" s="50">
        <v>15</v>
      </c>
      <c r="E42" s="50">
        <v>7</v>
      </c>
      <c r="F42" s="50">
        <v>3</v>
      </c>
      <c r="G42" s="50">
        <v>5</v>
      </c>
      <c r="H42" s="50">
        <v>0</v>
      </c>
      <c r="I42" s="50">
        <v>6</v>
      </c>
      <c r="J42" s="50">
        <v>2</v>
      </c>
      <c r="K42" s="50">
        <v>1</v>
      </c>
      <c r="L42" s="50">
        <v>0</v>
      </c>
      <c r="M42" s="50">
        <v>43</v>
      </c>
      <c r="N42" s="50">
        <v>0</v>
      </c>
      <c r="O42" s="15">
        <f t="shared" si="0"/>
        <v>105</v>
      </c>
      <c r="P42" s="15">
        <f t="shared" si="1"/>
        <v>148</v>
      </c>
    </row>
    <row r="43" spans="2:20" ht="23.1" customHeight="1" x14ac:dyDescent="0.25">
      <c r="B43" s="23" t="s">
        <v>70</v>
      </c>
      <c r="C43" s="50">
        <v>89</v>
      </c>
      <c r="D43" s="50">
        <v>21</v>
      </c>
      <c r="E43" s="50">
        <v>7</v>
      </c>
      <c r="F43" s="50">
        <v>10</v>
      </c>
      <c r="G43" s="50">
        <v>1</v>
      </c>
      <c r="H43" s="50">
        <v>1</v>
      </c>
      <c r="I43" s="50">
        <v>5</v>
      </c>
      <c r="J43" s="50">
        <v>4</v>
      </c>
      <c r="K43" s="50">
        <v>0</v>
      </c>
      <c r="L43" s="50">
        <v>0</v>
      </c>
      <c r="M43" s="50">
        <v>35</v>
      </c>
      <c r="N43" s="50">
        <v>0</v>
      </c>
      <c r="O43" s="15">
        <f t="shared" si="0"/>
        <v>138</v>
      </c>
      <c r="P43" s="15">
        <f t="shared" si="1"/>
        <v>173</v>
      </c>
    </row>
    <row r="44" spans="2:20" ht="23.1" customHeight="1" x14ac:dyDescent="0.25">
      <c r="B44" s="25" t="s">
        <v>71</v>
      </c>
      <c r="C44" s="50">
        <v>102</v>
      </c>
      <c r="D44" s="50">
        <v>16</v>
      </c>
      <c r="E44" s="50">
        <v>4</v>
      </c>
      <c r="F44" s="50">
        <v>4</v>
      </c>
      <c r="G44" s="50">
        <v>0</v>
      </c>
      <c r="H44" s="50">
        <v>0</v>
      </c>
      <c r="I44" s="50">
        <v>3</v>
      </c>
      <c r="J44" s="50">
        <v>1</v>
      </c>
      <c r="K44" s="50">
        <v>1</v>
      </c>
      <c r="L44" s="50">
        <v>0</v>
      </c>
      <c r="M44" s="50">
        <v>43</v>
      </c>
      <c r="N44" s="50">
        <v>0</v>
      </c>
      <c r="O44" s="15">
        <f t="shared" si="0"/>
        <v>131</v>
      </c>
      <c r="P44" s="15">
        <f t="shared" si="1"/>
        <v>174</v>
      </c>
    </row>
    <row r="45" spans="2:20" ht="23.1" customHeight="1" x14ac:dyDescent="0.25">
      <c r="B45" s="23" t="s">
        <v>72</v>
      </c>
      <c r="C45" s="50">
        <v>105</v>
      </c>
      <c r="D45" s="50">
        <v>19</v>
      </c>
      <c r="E45" s="50">
        <v>3</v>
      </c>
      <c r="F45" s="50">
        <v>8</v>
      </c>
      <c r="G45" s="50">
        <v>0</v>
      </c>
      <c r="H45" s="50">
        <v>0</v>
      </c>
      <c r="I45" s="50">
        <v>11</v>
      </c>
      <c r="J45" s="50">
        <v>3</v>
      </c>
      <c r="K45" s="50">
        <v>0</v>
      </c>
      <c r="L45" s="50">
        <v>1</v>
      </c>
      <c r="M45" s="50">
        <v>93</v>
      </c>
      <c r="N45" s="50">
        <v>0</v>
      </c>
      <c r="O45" s="15">
        <f t="shared" si="0"/>
        <v>150</v>
      </c>
      <c r="P45" s="15">
        <f t="shared" si="1"/>
        <v>243</v>
      </c>
    </row>
    <row r="46" spans="2:20" ht="23.1" customHeight="1" x14ac:dyDescent="0.25">
      <c r="B46" s="24" t="s">
        <v>73</v>
      </c>
      <c r="C46" s="50">
        <v>135</v>
      </c>
      <c r="D46" s="50">
        <v>32</v>
      </c>
      <c r="E46" s="50">
        <v>6</v>
      </c>
      <c r="F46" s="50">
        <v>9</v>
      </c>
      <c r="G46" s="50">
        <v>4</v>
      </c>
      <c r="H46" s="50">
        <v>5</v>
      </c>
      <c r="I46" s="50">
        <v>7</v>
      </c>
      <c r="J46" s="50">
        <v>5</v>
      </c>
      <c r="K46" s="50">
        <v>0</v>
      </c>
      <c r="L46" s="50">
        <v>1</v>
      </c>
      <c r="M46" s="50">
        <v>100</v>
      </c>
      <c r="N46" s="50">
        <v>0</v>
      </c>
      <c r="O46" s="15">
        <f t="shared" si="0"/>
        <v>204</v>
      </c>
      <c r="P46" s="15">
        <f t="shared" si="1"/>
        <v>304</v>
      </c>
      <c r="R46" s="8"/>
      <c r="T46"/>
    </row>
    <row r="47" spans="2:20" ht="23.1" customHeight="1" x14ac:dyDescent="0.25">
      <c r="B47" s="24" t="s">
        <v>74</v>
      </c>
      <c r="C47" s="50">
        <v>118</v>
      </c>
      <c r="D47" s="50">
        <v>31</v>
      </c>
      <c r="E47" s="50">
        <v>1</v>
      </c>
      <c r="F47" s="50">
        <v>2</v>
      </c>
      <c r="G47" s="50">
        <v>0</v>
      </c>
      <c r="H47" s="50">
        <v>1</v>
      </c>
      <c r="I47" s="50">
        <v>4</v>
      </c>
      <c r="J47" s="50">
        <v>3</v>
      </c>
      <c r="K47" s="50">
        <v>2</v>
      </c>
      <c r="L47" s="50">
        <v>0</v>
      </c>
      <c r="M47" s="50">
        <v>55</v>
      </c>
      <c r="N47" s="50">
        <v>0</v>
      </c>
      <c r="O47" s="15">
        <f t="shared" si="0"/>
        <v>162</v>
      </c>
      <c r="P47" s="15">
        <f t="shared" si="1"/>
        <v>217</v>
      </c>
      <c r="R47" s="8"/>
      <c r="T47"/>
    </row>
    <row r="48" spans="2:20" ht="23.1" customHeight="1" x14ac:dyDescent="0.25">
      <c r="B48" s="24" t="s">
        <v>75</v>
      </c>
      <c r="C48" s="50">
        <v>123</v>
      </c>
      <c r="D48" s="50">
        <v>25</v>
      </c>
      <c r="E48" s="50">
        <v>3</v>
      </c>
      <c r="F48" s="50">
        <v>18</v>
      </c>
      <c r="G48" s="50">
        <v>0</v>
      </c>
      <c r="H48" s="50">
        <v>0</v>
      </c>
      <c r="I48" s="50">
        <v>3</v>
      </c>
      <c r="J48" s="50">
        <v>3</v>
      </c>
      <c r="K48" s="50">
        <v>0</v>
      </c>
      <c r="L48" s="50">
        <v>0</v>
      </c>
      <c r="M48" s="50">
        <v>89</v>
      </c>
      <c r="N48" s="50">
        <v>0</v>
      </c>
      <c r="O48" s="15">
        <f t="shared" si="0"/>
        <v>175</v>
      </c>
      <c r="P48" s="15">
        <f t="shared" si="1"/>
        <v>264</v>
      </c>
      <c r="R48" s="8"/>
      <c r="T48"/>
    </row>
    <row r="49" spans="2:20" ht="23.1" customHeight="1" x14ac:dyDescent="0.25">
      <c r="B49" s="23" t="s">
        <v>76</v>
      </c>
      <c r="C49" s="50">
        <v>140</v>
      </c>
      <c r="D49" s="50">
        <v>25</v>
      </c>
      <c r="E49" s="50">
        <v>4</v>
      </c>
      <c r="F49" s="50">
        <v>8</v>
      </c>
      <c r="G49" s="50">
        <v>0</v>
      </c>
      <c r="H49" s="50">
        <v>1</v>
      </c>
      <c r="I49" s="50">
        <v>2</v>
      </c>
      <c r="J49" s="50">
        <v>2</v>
      </c>
      <c r="K49" s="50">
        <v>0</v>
      </c>
      <c r="L49" s="50">
        <v>0</v>
      </c>
      <c r="M49" s="50">
        <v>104</v>
      </c>
      <c r="N49" s="50">
        <v>0</v>
      </c>
      <c r="O49" s="15">
        <f t="shared" si="0"/>
        <v>182</v>
      </c>
      <c r="P49" s="15">
        <f t="shared" si="1"/>
        <v>286</v>
      </c>
      <c r="R49" s="8"/>
      <c r="T49"/>
    </row>
    <row r="50" spans="2:20" ht="23.1" customHeight="1" x14ac:dyDescent="0.25">
      <c r="B50" s="24" t="s">
        <v>77</v>
      </c>
      <c r="C50" s="50">
        <v>142</v>
      </c>
      <c r="D50" s="50">
        <v>27</v>
      </c>
      <c r="E50" s="50">
        <v>5</v>
      </c>
      <c r="F50" s="50">
        <v>8</v>
      </c>
      <c r="G50" s="50">
        <v>0</v>
      </c>
      <c r="H50" s="50">
        <v>0</v>
      </c>
      <c r="I50" s="50">
        <v>11</v>
      </c>
      <c r="J50" s="50">
        <v>1</v>
      </c>
      <c r="K50" s="50">
        <v>0</v>
      </c>
      <c r="L50" s="50">
        <v>0</v>
      </c>
      <c r="M50" s="50">
        <v>88</v>
      </c>
      <c r="N50" s="50">
        <v>1</v>
      </c>
      <c r="O50" s="15">
        <f t="shared" si="0"/>
        <v>195</v>
      </c>
      <c r="P50" s="15">
        <f t="shared" si="1"/>
        <v>283</v>
      </c>
      <c r="R50" s="8"/>
      <c r="T50"/>
    </row>
    <row r="51" spans="2:20" ht="23.1" customHeight="1" x14ac:dyDescent="0.25">
      <c r="B51" s="24" t="s">
        <v>78</v>
      </c>
      <c r="C51" s="50">
        <v>135</v>
      </c>
      <c r="D51" s="50">
        <v>20</v>
      </c>
      <c r="E51" s="50">
        <v>6</v>
      </c>
      <c r="F51" s="50">
        <v>6</v>
      </c>
      <c r="G51" s="50">
        <v>1</v>
      </c>
      <c r="H51" s="50">
        <v>0</v>
      </c>
      <c r="I51" s="50">
        <v>6</v>
      </c>
      <c r="J51" s="50">
        <v>0</v>
      </c>
      <c r="K51" s="50">
        <v>1</v>
      </c>
      <c r="L51" s="50">
        <v>0</v>
      </c>
      <c r="M51" s="50">
        <v>73</v>
      </c>
      <c r="N51" s="50">
        <v>0</v>
      </c>
      <c r="O51" s="15">
        <f t="shared" si="0"/>
        <v>175</v>
      </c>
      <c r="P51" s="15">
        <f t="shared" si="1"/>
        <v>248</v>
      </c>
      <c r="R51" s="8"/>
      <c r="T51"/>
    </row>
    <row r="52" spans="2:20" ht="23.1" customHeight="1" x14ac:dyDescent="0.25">
      <c r="B52" s="24" t="s">
        <v>79</v>
      </c>
      <c r="C52" s="50">
        <v>165</v>
      </c>
      <c r="D52" s="50">
        <v>38</v>
      </c>
      <c r="E52" s="50">
        <v>5</v>
      </c>
      <c r="F52" s="50">
        <v>12</v>
      </c>
      <c r="G52" s="50">
        <v>0</v>
      </c>
      <c r="H52" s="50">
        <v>0</v>
      </c>
      <c r="I52" s="50">
        <v>1</v>
      </c>
      <c r="J52" s="50">
        <v>3</v>
      </c>
      <c r="K52" s="50">
        <v>0</v>
      </c>
      <c r="L52" s="50">
        <v>2</v>
      </c>
      <c r="M52" s="50">
        <v>116</v>
      </c>
      <c r="N52" s="50">
        <v>0</v>
      </c>
      <c r="O52" s="15">
        <f t="shared" si="0"/>
        <v>226</v>
      </c>
      <c r="P52" s="15">
        <f t="shared" si="1"/>
        <v>342</v>
      </c>
      <c r="R52" s="8"/>
      <c r="T52"/>
    </row>
    <row r="53" spans="2:20" ht="23.1" customHeight="1" x14ac:dyDescent="0.25">
      <c r="B53" s="23" t="s">
        <v>80</v>
      </c>
      <c r="C53" s="50">
        <v>215</v>
      </c>
      <c r="D53" s="50">
        <v>38</v>
      </c>
      <c r="E53" s="50">
        <v>1</v>
      </c>
      <c r="F53" s="50">
        <v>11</v>
      </c>
      <c r="G53" s="50">
        <v>1</v>
      </c>
      <c r="H53" s="50">
        <v>1</v>
      </c>
      <c r="I53" s="50">
        <v>5</v>
      </c>
      <c r="J53" s="50">
        <v>1</v>
      </c>
      <c r="K53" s="50">
        <v>1</v>
      </c>
      <c r="L53" s="50">
        <v>1</v>
      </c>
      <c r="M53" s="50">
        <v>105</v>
      </c>
      <c r="N53" s="50">
        <v>0</v>
      </c>
      <c r="O53" s="15">
        <f t="shared" si="0"/>
        <v>275</v>
      </c>
      <c r="P53" s="15">
        <f t="shared" si="1"/>
        <v>380</v>
      </c>
      <c r="R53" s="8"/>
      <c r="T53"/>
    </row>
    <row r="54" spans="2:20" ht="23.1" customHeight="1" x14ac:dyDescent="0.25">
      <c r="B54" s="23" t="s">
        <v>81</v>
      </c>
      <c r="C54" s="50">
        <v>147</v>
      </c>
      <c r="D54" s="50">
        <v>31</v>
      </c>
      <c r="E54" s="50">
        <v>5</v>
      </c>
      <c r="F54" s="50">
        <v>8</v>
      </c>
      <c r="G54" s="50">
        <v>1</v>
      </c>
      <c r="H54" s="50">
        <v>1</v>
      </c>
      <c r="I54" s="50">
        <v>6</v>
      </c>
      <c r="J54" s="50">
        <v>1</v>
      </c>
      <c r="K54" s="50">
        <v>0</v>
      </c>
      <c r="L54" s="50">
        <v>0</v>
      </c>
      <c r="M54" s="50">
        <v>73</v>
      </c>
      <c r="N54" s="50">
        <v>0</v>
      </c>
      <c r="O54" s="15">
        <f t="shared" si="0"/>
        <v>200</v>
      </c>
      <c r="P54" s="15">
        <f t="shared" si="1"/>
        <v>273</v>
      </c>
      <c r="R54" s="8"/>
      <c r="T54"/>
    </row>
    <row r="55" spans="2:20" ht="23.1" customHeight="1" x14ac:dyDescent="0.25">
      <c r="B55" s="23" t="s">
        <v>82</v>
      </c>
      <c r="C55" s="50">
        <v>151</v>
      </c>
      <c r="D55" s="50">
        <v>35</v>
      </c>
      <c r="E55" s="50">
        <v>3</v>
      </c>
      <c r="F55" s="50">
        <v>8</v>
      </c>
      <c r="G55" s="50">
        <v>1</v>
      </c>
      <c r="H55" s="50">
        <v>0</v>
      </c>
      <c r="I55" s="50">
        <v>6</v>
      </c>
      <c r="J55" s="50">
        <v>4</v>
      </c>
      <c r="K55" s="50">
        <v>3</v>
      </c>
      <c r="L55" s="50">
        <v>0</v>
      </c>
      <c r="M55" s="50">
        <v>85</v>
      </c>
      <c r="N55" s="50">
        <v>0</v>
      </c>
      <c r="O55" s="15">
        <f t="shared" si="0"/>
        <v>211</v>
      </c>
      <c r="P55" s="15">
        <f t="shared" si="1"/>
        <v>296</v>
      </c>
      <c r="R55" s="8"/>
      <c r="T55"/>
    </row>
    <row r="56" spans="2:20" ht="23.1" customHeight="1" x14ac:dyDescent="0.25">
      <c r="B56" s="23" t="s">
        <v>83</v>
      </c>
      <c r="C56" s="50">
        <v>138</v>
      </c>
      <c r="D56" s="50">
        <v>20</v>
      </c>
      <c r="E56" s="50">
        <v>1</v>
      </c>
      <c r="F56" s="50">
        <v>3</v>
      </c>
      <c r="G56" s="50">
        <v>0</v>
      </c>
      <c r="H56" s="50">
        <v>0</v>
      </c>
      <c r="I56" s="50">
        <v>4</v>
      </c>
      <c r="J56" s="50">
        <v>2</v>
      </c>
      <c r="K56" s="50">
        <v>1</v>
      </c>
      <c r="L56" s="50">
        <v>0</v>
      </c>
      <c r="M56" s="50">
        <v>87</v>
      </c>
      <c r="N56" s="50">
        <v>0</v>
      </c>
      <c r="O56" s="15">
        <f t="shared" si="0"/>
        <v>169</v>
      </c>
      <c r="P56" s="15">
        <f t="shared" si="1"/>
        <v>256</v>
      </c>
      <c r="R56" s="8"/>
      <c r="T56"/>
    </row>
    <row r="57" spans="2:20" ht="23.1" customHeight="1" x14ac:dyDescent="0.25">
      <c r="B57" s="23" t="s">
        <v>84</v>
      </c>
      <c r="C57" s="50">
        <v>105</v>
      </c>
      <c r="D57" s="50">
        <v>31</v>
      </c>
      <c r="E57" s="50">
        <v>3</v>
      </c>
      <c r="F57" s="50">
        <v>2</v>
      </c>
      <c r="G57" s="50">
        <v>0</v>
      </c>
      <c r="H57" s="50">
        <v>1</v>
      </c>
      <c r="I57" s="50">
        <v>0</v>
      </c>
      <c r="J57" s="50">
        <v>5</v>
      </c>
      <c r="K57" s="50">
        <v>0</v>
      </c>
      <c r="L57" s="50">
        <v>0</v>
      </c>
      <c r="M57" s="50">
        <v>55</v>
      </c>
      <c r="N57" s="50">
        <v>0</v>
      </c>
      <c r="O57" s="15">
        <f t="shared" si="0"/>
        <v>147</v>
      </c>
      <c r="P57" s="15">
        <f t="shared" si="1"/>
        <v>202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4327</v>
      </c>
      <c r="D58" s="16">
        <f t="shared" si="21"/>
        <v>1012</v>
      </c>
      <c r="E58" s="16">
        <f t="shared" si="21"/>
        <v>223</v>
      </c>
      <c r="F58" s="16">
        <f t="shared" si="21"/>
        <v>351</v>
      </c>
      <c r="G58" s="16">
        <f t="shared" si="21"/>
        <v>25</v>
      </c>
      <c r="H58" s="16">
        <f t="shared" si="21"/>
        <v>25</v>
      </c>
      <c r="I58" s="16">
        <f t="shared" si="21"/>
        <v>218</v>
      </c>
      <c r="J58" s="16">
        <f t="shared" si="21"/>
        <v>89</v>
      </c>
      <c r="K58" s="16">
        <f t="shared" si="21"/>
        <v>27</v>
      </c>
      <c r="L58" s="16">
        <f t="shared" si="21"/>
        <v>14</v>
      </c>
      <c r="M58" s="16">
        <f t="shared" si="21"/>
        <v>3547</v>
      </c>
      <c r="N58" s="16">
        <f t="shared" si="21"/>
        <v>1</v>
      </c>
      <c r="O58" s="16">
        <f t="shared" si="21"/>
        <v>6312</v>
      </c>
      <c r="P58" s="16">
        <f t="shared" si="21"/>
        <v>9859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0.4388883253879704</v>
      </c>
      <c r="D59" s="43">
        <f t="shared" si="22"/>
        <v>0.10264732731514352</v>
      </c>
      <c r="E59" s="43">
        <f t="shared" si="22"/>
        <v>2.2618926868850798E-2</v>
      </c>
      <c r="F59" s="43">
        <f t="shared" si="22"/>
        <v>3.560198803124049E-2</v>
      </c>
      <c r="G59" s="43">
        <f t="shared" si="22"/>
        <v>2.5357541332792373E-3</v>
      </c>
      <c r="H59" s="43">
        <f t="shared" si="22"/>
        <v>2.5357541332792373E-3</v>
      </c>
      <c r="I59" s="43">
        <f t="shared" si="22"/>
        <v>2.2111776042194949E-2</v>
      </c>
      <c r="J59" s="43">
        <f t="shared" si="22"/>
        <v>9.0272847144740841E-3</v>
      </c>
      <c r="K59" s="43">
        <f t="shared" si="22"/>
        <v>2.738614463941576E-3</v>
      </c>
      <c r="L59" s="43">
        <f t="shared" si="22"/>
        <v>1.4200223146363729E-3</v>
      </c>
      <c r="M59" s="43">
        <f t="shared" si="22"/>
        <v>0.3597727964296582</v>
      </c>
      <c r="N59" s="43">
        <f t="shared" si="22"/>
        <v>1.0143016533116949E-4</v>
      </c>
      <c r="R59" s="8"/>
      <c r="T59"/>
    </row>
    <row r="60" spans="2:20" ht="23.1" customHeight="1" x14ac:dyDescent="0.25">
      <c r="B60" s="42" t="s">
        <v>94</v>
      </c>
      <c r="C60" s="44">
        <f>C58/$O$58</f>
        <v>0.68551964512040553</v>
      </c>
      <c r="D60" s="44">
        <f t="shared" ref="D60:N60" si="23">D58/$O$58</f>
        <v>0.16032953105196451</v>
      </c>
      <c r="E60" s="44">
        <f t="shared" si="23"/>
        <v>3.5329531051964513E-2</v>
      </c>
      <c r="F60" s="44">
        <f t="shared" si="23"/>
        <v>5.5608365019011403E-2</v>
      </c>
      <c r="G60" s="44">
        <f t="shared" si="23"/>
        <v>3.960709759188847E-3</v>
      </c>
      <c r="H60" s="44">
        <f t="shared" si="23"/>
        <v>3.960709759188847E-3</v>
      </c>
      <c r="I60" s="44">
        <f t="shared" si="23"/>
        <v>3.4537389100126742E-2</v>
      </c>
      <c r="J60" s="44">
        <f t="shared" si="23"/>
        <v>1.4100126742712294E-2</v>
      </c>
      <c r="K60" s="44">
        <f t="shared" si="23"/>
        <v>4.2775665399239545E-3</v>
      </c>
      <c r="L60" s="44">
        <f t="shared" si="23"/>
        <v>2.2179974651457541E-3</v>
      </c>
      <c r="M60" s="44"/>
      <c r="N60" s="44">
        <f t="shared" si="23"/>
        <v>1.5842839036755386E-4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34" zoomScale="40" zoomScaleSheetLayoutView="40" workbookViewId="0">
      <selection activeCell="H24" sqref="H2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'29.07 Naalya-Ntinda'!C3:G3</f>
        <v>MCC - C1 - STN38 - NAALYA EAST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'30.07 Ntinda-Naalya'!D5</f>
        <v>30.07.19</v>
      </c>
      <c r="E5" s="3"/>
      <c r="F5" s="41" t="s">
        <v>1</v>
      </c>
      <c r="G5" s="65" t="str">
        <f>'29.07 Ntinda-Naalya'!G5:H5</f>
        <v>NAALYA ROUND ABOUT</v>
      </c>
      <c r="H5" s="66"/>
      <c r="I5" s="14"/>
      <c r="J5" s="2" t="s">
        <v>5</v>
      </c>
      <c r="K5" s="65" t="str">
        <f>'29.07 Ntinda-Naalya'!K5:L5</f>
        <v>HARRIET N/NASSIWA A/MUTE C/PHOEBY/KAZIBWE J/NAKAYE J.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'29.07 Naalya-Ntinda'!D6:E6</f>
        <v>NAALYA</v>
      </c>
      <c r="E6" s="66"/>
      <c r="F6" s="2" t="s">
        <v>2</v>
      </c>
      <c r="G6" s="65" t="str">
        <f>'29.07 Naalya-Ntinda'!G6:H6</f>
        <v>NTINDA</v>
      </c>
      <c r="H6" s="66"/>
      <c r="J6" s="2" t="s">
        <v>21</v>
      </c>
      <c r="K6" s="65" t="str">
        <f>'29.07 Ntinda-Naalya'!K6:L6</f>
        <v>STEVEN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43</v>
      </c>
      <c r="D10" s="50">
        <v>40</v>
      </c>
      <c r="E10" s="50">
        <v>6</v>
      </c>
      <c r="F10" s="50">
        <v>5</v>
      </c>
      <c r="G10" s="50">
        <v>0</v>
      </c>
      <c r="H10" s="50">
        <v>0</v>
      </c>
      <c r="I10" s="50">
        <v>1</v>
      </c>
      <c r="J10" s="50">
        <v>1</v>
      </c>
      <c r="K10" s="50">
        <v>0</v>
      </c>
      <c r="L10" s="50">
        <v>0</v>
      </c>
      <c r="M10" s="50">
        <v>40</v>
      </c>
      <c r="N10" s="50">
        <v>0</v>
      </c>
      <c r="O10" s="15">
        <f t="shared" ref="O10:O57" si="0">SUM(C10:L10,N10)</f>
        <v>96</v>
      </c>
      <c r="P10" s="15">
        <f t="shared" ref="P10:P57" si="1">SUM(C10:N10)</f>
        <v>136</v>
      </c>
      <c r="R10" s="1" t="s">
        <v>6</v>
      </c>
      <c r="S10" s="17">
        <f t="shared" ref="S10:AF10" si="2">SUM(C10:C13)</f>
        <v>451</v>
      </c>
      <c r="T10" s="17">
        <f t="shared" si="2"/>
        <v>254</v>
      </c>
      <c r="U10" s="17">
        <f t="shared" si="2"/>
        <v>40</v>
      </c>
      <c r="V10" s="17">
        <f t="shared" si="2"/>
        <v>38</v>
      </c>
      <c r="W10" s="17">
        <f t="shared" si="2"/>
        <v>3</v>
      </c>
      <c r="X10" s="17">
        <f t="shared" si="2"/>
        <v>0</v>
      </c>
      <c r="Y10" s="17">
        <f t="shared" si="2"/>
        <v>9</v>
      </c>
      <c r="Z10" s="17">
        <f t="shared" si="2"/>
        <v>7</v>
      </c>
      <c r="AA10" s="17">
        <f t="shared" si="2"/>
        <v>0</v>
      </c>
      <c r="AB10" s="17">
        <f t="shared" si="2"/>
        <v>0</v>
      </c>
      <c r="AC10" s="17">
        <f t="shared" si="2"/>
        <v>349</v>
      </c>
      <c r="AD10" s="17">
        <f t="shared" si="2"/>
        <v>0</v>
      </c>
      <c r="AE10" s="31">
        <f t="shared" si="2"/>
        <v>802</v>
      </c>
      <c r="AF10" s="31">
        <f t="shared" si="2"/>
        <v>1151</v>
      </c>
    </row>
    <row r="11" spans="2:32" s="6" customFormat="1" ht="23.1" customHeight="1" x14ac:dyDescent="0.25">
      <c r="B11" s="23" t="s">
        <v>38</v>
      </c>
      <c r="C11" s="50">
        <v>125</v>
      </c>
      <c r="D11" s="50">
        <v>80</v>
      </c>
      <c r="E11" s="50">
        <v>13</v>
      </c>
      <c r="F11" s="50">
        <v>7</v>
      </c>
      <c r="G11" s="50">
        <v>0</v>
      </c>
      <c r="H11" s="50">
        <v>0</v>
      </c>
      <c r="I11" s="50">
        <v>1</v>
      </c>
      <c r="J11" s="50">
        <v>4</v>
      </c>
      <c r="K11" s="50">
        <v>0</v>
      </c>
      <c r="L11" s="50">
        <v>0</v>
      </c>
      <c r="M11" s="50">
        <v>73</v>
      </c>
      <c r="N11" s="50">
        <v>0</v>
      </c>
      <c r="O11" s="15">
        <f t="shared" si="0"/>
        <v>230</v>
      </c>
      <c r="P11" s="15">
        <f t="shared" si="1"/>
        <v>303</v>
      </c>
      <c r="R11" s="1" t="s">
        <v>7</v>
      </c>
      <c r="S11" s="17">
        <f t="shared" ref="S11:AF11" si="3">SUM(C14:C17)</f>
        <v>404</v>
      </c>
      <c r="T11" s="17">
        <f t="shared" si="3"/>
        <v>253</v>
      </c>
      <c r="U11" s="17">
        <f t="shared" si="3"/>
        <v>31</v>
      </c>
      <c r="V11" s="17">
        <f t="shared" si="3"/>
        <v>30</v>
      </c>
      <c r="W11" s="17">
        <f t="shared" si="3"/>
        <v>1</v>
      </c>
      <c r="X11" s="17">
        <f t="shared" si="3"/>
        <v>0</v>
      </c>
      <c r="Y11" s="17">
        <f t="shared" si="3"/>
        <v>8</v>
      </c>
      <c r="Z11" s="17">
        <f t="shared" si="3"/>
        <v>7</v>
      </c>
      <c r="AA11" s="17">
        <f t="shared" si="3"/>
        <v>1</v>
      </c>
      <c r="AB11" s="17">
        <f t="shared" si="3"/>
        <v>0</v>
      </c>
      <c r="AC11" s="17">
        <f t="shared" si="3"/>
        <v>431</v>
      </c>
      <c r="AD11" s="17">
        <f t="shared" si="3"/>
        <v>0</v>
      </c>
      <c r="AE11" s="31">
        <f t="shared" si="3"/>
        <v>735</v>
      </c>
      <c r="AF11" s="31">
        <f t="shared" si="3"/>
        <v>1166</v>
      </c>
    </row>
    <row r="12" spans="2:32" ht="23.1" customHeight="1" x14ac:dyDescent="0.25">
      <c r="B12" s="23" t="s">
        <v>39</v>
      </c>
      <c r="C12" s="50">
        <v>140</v>
      </c>
      <c r="D12" s="50">
        <v>86</v>
      </c>
      <c r="E12" s="50">
        <v>13</v>
      </c>
      <c r="F12" s="50">
        <v>11</v>
      </c>
      <c r="G12" s="50">
        <v>3</v>
      </c>
      <c r="H12" s="50">
        <v>0</v>
      </c>
      <c r="I12" s="50">
        <v>4</v>
      </c>
      <c r="J12" s="50">
        <v>1</v>
      </c>
      <c r="K12" s="50">
        <v>0</v>
      </c>
      <c r="L12" s="50">
        <v>0</v>
      </c>
      <c r="M12" s="50">
        <v>104</v>
      </c>
      <c r="N12" s="50">
        <v>0</v>
      </c>
      <c r="O12" s="15">
        <f t="shared" si="0"/>
        <v>258</v>
      </c>
      <c r="P12" s="15">
        <f t="shared" si="1"/>
        <v>362</v>
      </c>
      <c r="R12" s="1" t="s">
        <v>8</v>
      </c>
      <c r="S12" s="17">
        <f t="shared" ref="S12:AF12" si="4">SUM(C18:C21)</f>
        <v>255</v>
      </c>
      <c r="T12" s="17">
        <f t="shared" si="4"/>
        <v>160</v>
      </c>
      <c r="U12" s="17">
        <f t="shared" si="4"/>
        <v>32</v>
      </c>
      <c r="V12" s="17">
        <f t="shared" si="4"/>
        <v>32</v>
      </c>
      <c r="W12" s="17">
        <f t="shared" si="4"/>
        <v>1</v>
      </c>
      <c r="X12" s="17">
        <f t="shared" si="4"/>
        <v>0</v>
      </c>
      <c r="Y12" s="17">
        <f t="shared" si="4"/>
        <v>8</v>
      </c>
      <c r="Z12" s="17">
        <f t="shared" si="4"/>
        <v>2</v>
      </c>
      <c r="AA12" s="17">
        <f t="shared" si="4"/>
        <v>0</v>
      </c>
      <c r="AB12" s="17">
        <f t="shared" si="4"/>
        <v>0</v>
      </c>
      <c r="AC12" s="17">
        <f t="shared" si="4"/>
        <v>397</v>
      </c>
      <c r="AD12" s="17">
        <f t="shared" si="4"/>
        <v>0</v>
      </c>
      <c r="AE12" s="31">
        <f t="shared" si="4"/>
        <v>490</v>
      </c>
      <c r="AF12" s="31">
        <f t="shared" si="4"/>
        <v>887</v>
      </c>
    </row>
    <row r="13" spans="2:32" ht="23.1" customHeight="1" x14ac:dyDescent="0.25">
      <c r="B13" s="23" t="s">
        <v>40</v>
      </c>
      <c r="C13" s="50">
        <v>143</v>
      </c>
      <c r="D13" s="50">
        <v>48</v>
      </c>
      <c r="E13" s="50">
        <v>8</v>
      </c>
      <c r="F13" s="50">
        <v>15</v>
      </c>
      <c r="G13" s="50">
        <v>0</v>
      </c>
      <c r="H13" s="50">
        <v>0</v>
      </c>
      <c r="I13" s="50">
        <v>3</v>
      </c>
      <c r="J13" s="50">
        <v>1</v>
      </c>
      <c r="K13" s="50">
        <v>0</v>
      </c>
      <c r="L13" s="50">
        <v>0</v>
      </c>
      <c r="M13" s="50">
        <v>132</v>
      </c>
      <c r="N13" s="50">
        <v>0</v>
      </c>
      <c r="O13" s="15">
        <f t="shared" si="0"/>
        <v>218</v>
      </c>
      <c r="P13" s="15">
        <f t="shared" si="1"/>
        <v>350</v>
      </c>
      <c r="R13" s="1" t="s">
        <v>9</v>
      </c>
      <c r="S13" s="17">
        <f t="shared" ref="S13:AF13" si="5">SUM(C22:C25)</f>
        <v>210</v>
      </c>
      <c r="T13" s="17">
        <f t="shared" si="5"/>
        <v>126</v>
      </c>
      <c r="U13" s="17">
        <f t="shared" si="5"/>
        <v>25</v>
      </c>
      <c r="V13" s="17">
        <f t="shared" si="5"/>
        <v>55</v>
      </c>
      <c r="W13" s="17">
        <f t="shared" si="5"/>
        <v>7</v>
      </c>
      <c r="X13" s="17">
        <f t="shared" si="5"/>
        <v>0</v>
      </c>
      <c r="Y13" s="17">
        <f t="shared" si="5"/>
        <v>9</v>
      </c>
      <c r="Z13" s="17">
        <f t="shared" si="5"/>
        <v>10</v>
      </c>
      <c r="AA13" s="17">
        <f t="shared" si="5"/>
        <v>1</v>
      </c>
      <c r="AB13" s="17">
        <f t="shared" si="5"/>
        <v>1</v>
      </c>
      <c r="AC13" s="17">
        <f t="shared" si="5"/>
        <v>264</v>
      </c>
      <c r="AD13" s="17">
        <f t="shared" si="5"/>
        <v>0</v>
      </c>
      <c r="AE13" s="31">
        <f t="shared" si="5"/>
        <v>444</v>
      </c>
      <c r="AF13" s="31">
        <f t="shared" si="5"/>
        <v>708</v>
      </c>
    </row>
    <row r="14" spans="2:32" ht="23.1" customHeight="1" x14ac:dyDescent="0.25">
      <c r="B14" s="23" t="s">
        <v>41</v>
      </c>
      <c r="C14" s="50">
        <v>115</v>
      </c>
      <c r="D14" s="50">
        <v>85</v>
      </c>
      <c r="E14" s="50">
        <v>12</v>
      </c>
      <c r="F14" s="50">
        <v>9</v>
      </c>
      <c r="G14" s="50">
        <v>0</v>
      </c>
      <c r="H14" s="50">
        <v>0</v>
      </c>
      <c r="I14" s="50">
        <v>1</v>
      </c>
      <c r="J14" s="50">
        <v>5</v>
      </c>
      <c r="K14" s="50">
        <v>1</v>
      </c>
      <c r="L14" s="50">
        <v>0</v>
      </c>
      <c r="M14" s="50">
        <v>127</v>
      </c>
      <c r="N14" s="50">
        <v>0</v>
      </c>
      <c r="O14" s="15">
        <f t="shared" si="0"/>
        <v>228</v>
      </c>
      <c r="P14" s="15">
        <f t="shared" si="1"/>
        <v>355</v>
      </c>
      <c r="R14" s="1" t="s">
        <v>10</v>
      </c>
      <c r="S14" s="17">
        <f t="shared" ref="S14:AF14" si="6">SUM(C26:C29)</f>
        <v>204</v>
      </c>
      <c r="T14" s="17">
        <f t="shared" si="6"/>
        <v>156</v>
      </c>
      <c r="U14" s="17">
        <f t="shared" si="6"/>
        <v>28</v>
      </c>
      <c r="V14" s="17">
        <f t="shared" si="6"/>
        <v>56</v>
      </c>
      <c r="W14" s="17">
        <f t="shared" si="6"/>
        <v>2</v>
      </c>
      <c r="X14" s="17">
        <f t="shared" si="6"/>
        <v>0</v>
      </c>
      <c r="Y14" s="17">
        <f t="shared" si="6"/>
        <v>17</v>
      </c>
      <c r="Z14" s="17">
        <f t="shared" si="6"/>
        <v>5</v>
      </c>
      <c r="AA14" s="17">
        <f t="shared" si="6"/>
        <v>1</v>
      </c>
      <c r="AB14" s="17">
        <f t="shared" si="6"/>
        <v>2</v>
      </c>
      <c r="AC14" s="17">
        <f t="shared" si="6"/>
        <v>306</v>
      </c>
      <c r="AD14" s="17">
        <f t="shared" si="6"/>
        <v>0</v>
      </c>
      <c r="AE14" s="31">
        <f t="shared" si="6"/>
        <v>471</v>
      </c>
      <c r="AF14" s="31">
        <f t="shared" si="6"/>
        <v>777</v>
      </c>
    </row>
    <row r="15" spans="2:32" ht="23.1" customHeight="1" x14ac:dyDescent="0.25">
      <c r="B15" s="23" t="s">
        <v>42</v>
      </c>
      <c r="C15" s="50">
        <v>125</v>
      </c>
      <c r="D15" s="50">
        <v>62</v>
      </c>
      <c r="E15" s="50">
        <v>5</v>
      </c>
      <c r="F15" s="50">
        <v>9</v>
      </c>
      <c r="G15" s="50">
        <v>0</v>
      </c>
      <c r="H15" s="50">
        <v>0</v>
      </c>
      <c r="I15" s="50">
        <v>4</v>
      </c>
      <c r="J15" s="50">
        <v>2</v>
      </c>
      <c r="K15" s="50">
        <v>0</v>
      </c>
      <c r="L15" s="50">
        <v>0</v>
      </c>
      <c r="M15" s="50">
        <v>87</v>
      </c>
      <c r="N15" s="50">
        <v>0</v>
      </c>
      <c r="O15" s="15">
        <f t="shared" si="0"/>
        <v>207</v>
      </c>
      <c r="P15" s="15">
        <f t="shared" si="1"/>
        <v>294</v>
      </c>
      <c r="R15" s="1" t="s">
        <v>11</v>
      </c>
      <c r="S15" s="17">
        <f t="shared" ref="S15:AF15" si="7">SUM(C30:C33)</f>
        <v>191</v>
      </c>
      <c r="T15" s="17">
        <f t="shared" si="7"/>
        <v>110</v>
      </c>
      <c r="U15" s="17">
        <f t="shared" si="7"/>
        <v>31</v>
      </c>
      <c r="V15" s="17">
        <f t="shared" si="7"/>
        <v>29</v>
      </c>
      <c r="W15" s="17">
        <f t="shared" si="7"/>
        <v>2</v>
      </c>
      <c r="X15" s="17">
        <f t="shared" si="7"/>
        <v>1</v>
      </c>
      <c r="Y15" s="17">
        <f t="shared" si="7"/>
        <v>7</v>
      </c>
      <c r="Z15" s="17">
        <f t="shared" si="7"/>
        <v>6</v>
      </c>
      <c r="AA15" s="17">
        <f t="shared" si="7"/>
        <v>0</v>
      </c>
      <c r="AB15" s="17">
        <f t="shared" si="7"/>
        <v>1</v>
      </c>
      <c r="AC15" s="17">
        <f t="shared" si="7"/>
        <v>310</v>
      </c>
      <c r="AD15" s="17">
        <f t="shared" si="7"/>
        <v>0</v>
      </c>
      <c r="AE15" s="31">
        <f t="shared" si="7"/>
        <v>378</v>
      </c>
      <c r="AF15" s="31">
        <f t="shared" si="7"/>
        <v>688</v>
      </c>
    </row>
    <row r="16" spans="2:32" ht="23.1" customHeight="1" x14ac:dyDescent="0.25">
      <c r="B16" s="23" t="s">
        <v>43</v>
      </c>
      <c r="C16" s="50">
        <v>103</v>
      </c>
      <c r="D16" s="50">
        <v>62</v>
      </c>
      <c r="E16" s="50">
        <v>5</v>
      </c>
      <c r="F16" s="50">
        <v>9</v>
      </c>
      <c r="G16" s="50">
        <v>0</v>
      </c>
      <c r="H16" s="50">
        <v>0</v>
      </c>
      <c r="I16" s="50">
        <v>2</v>
      </c>
      <c r="J16" s="50">
        <v>0</v>
      </c>
      <c r="K16" s="50">
        <v>0</v>
      </c>
      <c r="L16" s="50">
        <v>0</v>
      </c>
      <c r="M16" s="50">
        <v>105</v>
      </c>
      <c r="N16" s="50">
        <v>0</v>
      </c>
      <c r="O16" s="15">
        <f t="shared" si="0"/>
        <v>181</v>
      </c>
      <c r="P16" s="15">
        <f t="shared" si="1"/>
        <v>286</v>
      </c>
      <c r="R16" s="1" t="s">
        <v>12</v>
      </c>
      <c r="S16" s="17">
        <f t="shared" ref="S16:AF16" si="8">SUM(C34:C37)</f>
        <v>158</v>
      </c>
      <c r="T16" s="17">
        <f t="shared" si="8"/>
        <v>96</v>
      </c>
      <c r="U16" s="17">
        <f t="shared" si="8"/>
        <v>21</v>
      </c>
      <c r="V16" s="17">
        <f t="shared" si="8"/>
        <v>33</v>
      </c>
      <c r="W16" s="17">
        <f t="shared" si="8"/>
        <v>5</v>
      </c>
      <c r="X16" s="17">
        <f t="shared" si="8"/>
        <v>0</v>
      </c>
      <c r="Y16" s="17">
        <f t="shared" si="8"/>
        <v>7</v>
      </c>
      <c r="Z16" s="17">
        <f t="shared" si="8"/>
        <v>6</v>
      </c>
      <c r="AA16" s="17">
        <f t="shared" si="8"/>
        <v>0</v>
      </c>
      <c r="AB16" s="17">
        <f t="shared" si="8"/>
        <v>0</v>
      </c>
      <c r="AC16" s="17">
        <f t="shared" si="8"/>
        <v>252</v>
      </c>
      <c r="AD16" s="17">
        <f t="shared" si="8"/>
        <v>0</v>
      </c>
      <c r="AE16" s="31">
        <f t="shared" si="8"/>
        <v>326</v>
      </c>
      <c r="AF16" s="31">
        <f t="shared" si="8"/>
        <v>578</v>
      </c>
    </row>
    <row r="17" spans="2:32" ht="23.1" customHeight="1" x14ac:dyDescent="0.25">
      <c r="B17" s="23" t="s">
        <v>44</v>
      </c>
      <c r="C17" s="50">
        <v>61</v>
      </c>
      <c r="D17" s="50">
        <v>44</v>
      </c>
      <c r="E17" s="50">
        <v>9</v>
      </c>
      <c r="F17" s="50">
        <v>3</v>
      </c>
      <c r="G17" s="50">
        <v>1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112</v>
      </c>
      <c r="N17" s="50">
        <v>0</v>
      </c>
      <c r="O17" s="15">
        <f t="shared" si="0"/>
        <v>119</v>
      </c>
      <c r="P17" s="15">
        <f t="shared" si="1"/>
        <v>231</v>
      </c>
      <c r="R17" s="1" t="s">
        <v>13</v>
      </c>
      <c r="S17" s="17">
        <f t="shared" ref="S17:AF17" si="9">SUM(C38:C41)</f>
        <v>174</v>
      </c>
      <c r="T17" s="17">
        <f t="shared" si="9"/>
        <v>123</v>
      </c>
      <c r="U17" s="17">
        <f t="shared" si="9"/>
        <v>28</v>
      </c>
      <c r="V17" s="17">
        <f t="shared" si="9"/>
        <v>36</v>
      </c>
      <c r="W17" s="17">
        <f t="shared" si="9"/>
        <v>7</v>
      </c>
      <c r="X17" s="17">
        <f t="shared" si="9"/>
        <v>0</v>
      </c>
      <c r="Y17" s="17">
        <f t="shared" si="9"/>
        <v>8</v>
      </c>
      <c r="Z17" s="17">
        <f t="shared" si="9"/>
        <v>12</v>
      </c>
      <c r="AA17" s="17">
        <f t="shared" si="9"/>
        <v>0</v>
      </c>
      <c r="AB17" s="17">
        <f t="shared" si="9"/>
        <v>1</v>
      </c>
      <c r="AC17" s="17">
        <f t="shared" si="9"/>
        <v>259</v>
      </c>
      <c r="AD17" s="17">
        <f t="shared" si="9"/>
        <v>0</v>
      </c>
      <c r="AE17" s="31">
        <f t="shared" si="9"/>
        <v>389</v>
      </c>
      <c r="AF17" s="31">
        <f t="shared" si="9"/>
        <v>648</v>
      </c>
    </row>
    <row r="18" spans="2:32" ht="23.1" customHeight="1" x14ac:dyDescent="0.25">
      <c r="B18" s="23" t="s">
        <v>45</v>
      </c>
      <c r="C18" s="50">
        <v>61</v>
      </c>
      <c r="D18" s="50">
        <v>44</v>
      </c>
      <c r="E18" s="50">
        <v>5</v>
      </c>
      <c r="F18" s="50">
        <v>10</v>
      </c>
      <c r="G18" s="50">
        <v>0</v>
      </c>
      <c r="H18" s="50">
        <v>0</v>
      </c>
      <c r="I18" s="50">
        <v>2</v>
      </c>
      <c r="J18" s="50">
        <v>0</v>
      </c>
      <c r="K18" s="50">
        <v>0</v>
      </c>
      <c r="L18" s="50">
        <v>0</v>
      </c>
      <c r="M18" s="50">
        <v>111</v>
      </c>
      <c r="N18" s="50">
        <v>0</v>
      </c>
      <c r="O18" s="15">
        <f t="shared" si="0"/>
        <v>122</v>
      </c>
      <c r="P18" s="15">
        <f t="shared" si="1"/>
        <v>233</v>
      </c>
      <c r="R18" s="1" t="s">
        <v>14</v>
      </c>
      <c r="S18" s="17">
        <f t="shared" ref="S18:AF18" si="10">SUM(C42:C45)</f>
        <v>189</v>
      </c>
      <c r="T18" s="17">
        <f t="shared" si="10"/>
        <v>139</v>
      </c>
      <c r="U18" s="17">
        <f t="shared" si="10"/>
        <v>29</v>
      </c>
      <c r="V18" s="17">
        <f t="shared" si="10"/>
        <v>30</v>
      </c>
      <c r="W18" s="17">
        <f t="shared" si="10"/>
        <v>4</v>
      </c>
      <c r="X18" s="17">
        <f t="shared" si="10"/>
        <v>0</v>
      </c>
      <c r="Y18" s="17">
        <f t="shared" si="10"/>
        <v>10</v>
      </c>
      <c r="Z18" s="17">
        <f t="shared" si="10"/>
        <v>12</v>
      </c>
      <c r="AA18" s="17">
        <f t="shared" si="10"/>
        <v>0</v>
      </c>
      <c r="AB18" s="17">
        <f t="shared" si="10"/>
        <v>2</v>
      </c>
      <c r="AC18" s="17">
        <f t="shared" si="10"/>
        <v>268</v>
      </c>
      <c r="AD18" s="17">
        <f t="shared" si="10"/>
        <v>0</v>
      </c>
      <c r="AE18" s="31">
        <f t="shared" si="10"/>
        <v>415</v>
      </c>
      <c r="AF18" s="31">
        <f t="shared" si="10"/>
        <v>683</v>
      </c>
    </row>
    <row r="19" spans="2:32" ht="23.1" customHeight="1" x14ac:dyDescent="0.25">
      <c r="B19" s="23" t="s">
        <v>46</v>
      </c>
      <c r="C19" s="50">
        <v>67</v>
      </c>
      <c r="D19" s="50">
        <v>40</v>
      </c>
      <c r="E19" s="50">
        <v>11</v>
      </c>
      <c r="F19" s="50">
        <v>5</v>
      </c>
      <c r="G19" s="50">
        <v>0</v>
      </c>
      <c r="H19" s="50">
        <v>0</v>
      </c>
      <c r="I19" s="50">
        <v>4</v>
      </c>
      <c r="J19" s="50">
        <v>0</v>
      </c>
      <c r="K19" s="50">
        <v>0</v>
      </c>
      <c r="L19" s="50">
        <v>0</v>
      </c>
      <c r="M19" s="50">
        <v>95</v>
      </c>
      <c r="N19" s="50">
        <v>0</v>
      </c>
      <c r="O19" s="15">
        <f t="shared" si="0"/>
        <v>127</v>
      </c>
      <c r="P19" s="15">
        <f t="shared" si="1"/>
        <v>222</v>
      </c>
      <c r="R19" s="1" t="s">
        <v>15</v>
      </c>
      <c r="S19" s="17">
        <f t="shared" ref="S19:AF19" si="11">SUM(C46:C49)</f>
        <v>281</v>
      </c>
      <c r="T19" s="17">
        <f t="shared" si="11"/>
        <v>187</v>
      </c>
      <c r="U19" s="17">
        <f t="shared" si="11"/>
        <v>43</v>
      </c>
      <c r="V19" s="17">
        <f t="shared" si="11"/>
        <v>38</v>
      </c>
      <c r="W19" s="17">
        <f t="shared" si="11"/>
        <v>7</v>
      </c>
      <c r="X19" s="17">
        <f t="shared" si="11"/>
        <v>0</v>
      </c>
      <c r="Y19" s="17">
        <f t="shared" si="11"/>
        <v>7</v>
      </c>
      <c r="Z19" s="17">
        <f t="shared" si="11"/>
        <v>4</v>
      </c>
      <c r="AA19" s="17">
        <f t="shared" si="11"/>
        <v>0</v>
      </c>
      <c r="AB19" s="17">
        <f t="shared" si="11"/>
        <v>1</v>
      </c>
      <c r="AC19" s="17">
        <f t="shared" si="11"/>
        <v>340</v>
      </c>
      <c r="AD19" s="17">
        <f t="shared" si="11"/>
        <v>0</v>
      </c>
      <c r="AE19" s="31">
        <f t="shared" si="11"/>
        <v>568</v>
      </c>
      <c r="AF19" s="31">
        <f t="shared" si="11"/>
        <v>908</v>
      </c>
    </row>
    <row r="20" spans="2:32" ht="23.1" customHeight="1" x14ac:dyDescent="0.25">
      <c r="B20" s="23" t="s">
        <v>47</v>
      </c>
      <c r="C20" s="50">
        <v>73</v>
      </c>
      <c r="D20" s="50">
        <v>48</v>
      </c>
      <c r="E20" s="50">
        <v>11</v>
      </c>
      <c r="F20" s="50">
        <v>8</v>
      </c>
      <c r="G20" s="50">
        <v>1</v>
      </c>
      <c r="H20" s="50">
        <v>0</v>
      </c>
      <c r="I20" s="50">
        <v>1</v>
      </c>
      <c r="J20" s="50">
        <v>1</v>
      </c>
      <c r="K20" s="50">
        <v>0</v>
      </c>
      <c r="L20" s="50">
        <v>0</v>
      </c>
      <c r="M20" s="50">
        <v>98</v>
      </c>
      <c r="N20" s="50">
        <v>0</v>
      </c>
      <c r="O20" s="15">
        <f t="shared" si="0"/>
        <v>143</v>
      </c>
      <c r="P20" s="15">
        <f t="shared" si="1"/>
        <v>241</v>
      </c>
      <c r="R20" s="1" t="s">
        <v>16</v>
      </c>
      <c r="S20" s="17">
        <f t="shared" ref="S20:AF20" si="12">SUM(C50:C53)</f>
        <v>252</v>
      </c>
      <c r="T20" s="17">
        <f t="shared" si="12"/>
        <v>180</v>
      </c>
      <c r="U20" s="17">
        <f t="shared" si="12"/>
        <v>31</v>
      </c>
      <c r="V20" s="17">
        <f t="shared" si="12"/>
        <v>36</v>
      </c>
      <c r="W20" s="17">
        <f t="shared" si="12"/>
        <v>4</v>
      </c>
      <c r="X20" s="17">
        <f t="shared" si="12"/>
        <v>0</v>
      </c>
      <c r="Y20" s="17">
        <f t="shared" si="12"/>
        <v>14</v>
      </c>
      <c r="Z20" s="17">
        <f t="shared" si="12"/>
        <v>6</v>
      </c>
      <c r="AA20" s="17">
        <f t="shared" si="12"/>
        <v>1</v>
      </c>
      <c r="AB20" s="17">
        <f t="shared" si="12"/>
        <v>0</v>
      </c>
      <c r="AC20" s="17">
        <f t="shared" si="12"/>
        <v>319</v>
      </c>
      <c r="AD20" s="17">
        <f t="shared" si="12"/>
        <v>0</v>
      </c>
      <c r="AE20" s="31">
        <f t="shared" si="12"/>
        <v>524</v>
      </c>
      <c r="AF20" s="31">
        <f t="shared" si="12"/>
        <v>843</v>
      </c>
    </row>
    <row r="21" spans="2:32" ht="23.1" customHeight="1" x14ac:dyDescent="0.25">
      <c r="B21" s="23" t="s">
        <v>48</v>
      </c>
      <c r="C21" s="50">
        <v>54</v>
      </c>
      <c r="D21" s="50">
        <v>28</v>
      </c>
      <c r="E21" s="50">
        <v>5</v>
      </c>
      <c r="F21" s="50">
        <v>9</v>
      </c>
      <c r="G21" s="50">
        <v>0</v>
      </c>
      <c r="H21" s="50">
        <v>0</v>
      </c>
      <c r="I21" s="50">
        <v>1</v>
      </c>
      <c r="J21" s="50">
        <v>1</v>
      </c>
      <c r="K21" s="50">
        <v>0</v>
      </c>
      <c r="L21" s="50">
        <v>0</v>
      </c>
      <c r="M21" s="50">
        <v>93</v>
      </c>
      <c r="N21" s="50">
        <v>0</v>
      </c>
      <c r="O21" s="15">
        <f t="shared" si="0"/>
        <v>98</v>
      </c>
      <c r="P21" s="15">
        <f t="shared" si="1"/>
        <v>191</v>
      </c>
      <c r="R21" s="36" t="s">
        <v>20</v>
      </c>
      <c r="S21" s="34">
        <f t="shared" ref="S21:AF21" si="13">SUM(C54:C57)</f>
        <v>169</v>
      </c>
      <c r="T21" s="17">
        <f t="shared" si="13"/>
        <v>104</v>
      </c>
      <c r="U21" s="17">
        <f t="shared" si="13"/>
        <v>30</v>
      </c>
      <c r="V21" s="17">
        <f t="shared" si="13"/>
        <v>33</v>
      </c>
      <c r="W21" s="17">
        <f t="shared" si="13"/>
        <v>1</v>
      </c>
      <c r="X21" s="17">
        <f t="shared" si="13"/>
        <v>5</v>
      </c>
      <c r="Y21" s="17">
        <f t="shared" si="13"/>
        <v>2</v>
      </c>
      <c r="Z21" s="17">
        <f t="shared" si="13"/>
        <v>0</v>
      </c>
      <c r="AA21" s="17">
        <f t="shared" si="13"/>
        <v>0</v>
      </c>
      <c r="AB21" s="17">
        <f t="shared" si="13"/>
        <v>1</v>
      </c>
      <c r="AC21" s="17">
        <f t="shared" si="13"/>
        <v>309</v>
      </c>
      <c r="AD21" s="17">
        <f t="shared" si="13"/>
        <v>0</v>
      </c>
      <c r="AE21" s="31">
        <f t="shared" si="13"/>
        <v>345</v>
      </c>
      <c r="AF21" s="31">
        <f t="shared" si="13"/>
        <v>654</v>
      </c>
    </row>
    <row r="22" spans="2:32" ht="23.1" customHeight="1" x14ac:dyDescent="0.25">
      <c r="B22" s="23" t="s">
        <v>49</v>
      </c>
      <c r="C22" s="50">
        <v>60</v>
      </c>
      <c r="D22" s="50">
        <v>30</v>
      </c>
      <c r="E22" s="50">
        <v>9</v>
      </c>
      <c r="F22" s="50">
        <v>12</v>
      </c>
      <c r="G22" s="50">
        <v>0</v>
      </c>
      <c r="H22" s="50">
        <v>0</v>
      </c>
      <c r="I22" s="50">
        <v>1</v>
      </c>
      <c r="J22" s="50">
        <v>2</v>
      </c>
      <c r="K22" s="50">
        <v>0</v>
      </c>
      <c r="L22" s="50">
        <v>0</v>
      </c>
      <c r="M22" s="50">
        <v>65</v>
      </c>
      <c r="N22" s="50">
        <v>0</v>
      </c>
      <c r="O22" s="15">
        <f t="shared" si="0"/>
        <v>114</v>
      </c>
      <c r="P22" s="15">
        <f t="shared" si="1"/>
        <v>179</v>
      </c>
      <c r="R22" s="38" t="s">
        <v>90</v>
      </c>
      <c r="S22" s="39">
        <f>MAX(S10:S12)</f>
        <v>451</v>
      </c>
      <c r="T22" s="39">
        <f t="shared" ref="T22:AF22" si="14">MAX(T10:T12)</f>
        <v>254</v>
      </c>
      <c r="U22" s="39">
        <f t="shared" si="14"/>
        <v>40</v>
      </c>
      <c r="V22" s="39">
        <f t="shared" si="14"/>
        <v>38</v>
      </c>
      <c r="W22" s="39">
        <f t="shared" si="14"/>
        <v>3</v>
      </c>
      <c r="X22" s="39">
        <f t="shared" si="14"/>
        <v>0</v>
      </c>
      <c r="Y22" s="39">
        <f t="shared" si="14"/>
        <v>9</v>
      </c>
      <c r="Z22" s="39">
        <f t="shared" si="14"/>
        <v>7</v>
      </c>
      <c r="AA22" s="39">
        <f t="shared" si="14"/>
        <v>1</v>
      </c>
      <c r="AB22" s="39">
        <f t="shared" si="14"/>
        <v>0</v>
      </c>
      <c r="AC22" s="39">
        <f t="shared" si="14"/>
        <v>431</v>
      </c>
      <c r="AD22" s="39">
        <f t="shared" si="14"/>
        <v>0</v>
      </c>
      <c r="AE22" s="40">
        <f t="shared" si="14"/>
        <v>802</v>
      </c>
      <c r="AF22" s="40">
        <f t="shared" si="14"/>
        <v>1166</v>
      </c>
    </row>
    <row r="23" spans="2:32" ht="23.1" customHeight="1" x14ac:dyDescent="0.25">
      <c r="B23" s="23" t="s">
        <v>50</v>
      </c>
      <c r="C23" s="50">
        <v>62</v>
      </c>
      <c r="D23" s="50">
        <v>45</v>
      </c>
      <c r="E23" s="50">
        <v>4</v>
      </c>
      <c r="F23" s="50">
        <v>17</v>
      </c>
      <c r="G23" s="50">
        <v>1</v>
      </c>
      <c r="H23" s="50">
        <v>0</v>
      </c>
      <c r="I23" s="50">
        <v>2</v>
      </c>
      <c r="J23" s="50">
        <v>3</v>
      </c>
      <c r="K23" s="50">
        <v>0</v>
      </c>
      <c r="L23" s="50">
        <v>0</v>
      </c>
      <c r="M23" s="50">
        <v>78</v>
      </c>
      <c r="N23" s="50">
        <v>0</v>
      </c>
      <c r="O23" s="15">
        <f t="shared" si="0"/>
        <v>134</v>
      </c>
      <c r="P23" s="15">
        <f t="shared" si="1"/>
        <v>212</v>
      </c>
      <c r="R23" s="38" t="s">
        <v>91</v>
      </c>
      <c r="S23" s="39">
        <f>MAX(S13:S18)</f>
        <v>210</v>
      </c>
      <c r="T23" s="39">
        <f t="shared" ref="T23:AF23" si="15">MAX(T13:T18)</f>
        <v>156</v>
      </c>
      <c r="U23" s="39">
        <f t="shared" si="15"/>
        <v>31</v>
      </c>
      <c r="V23" s="39">
        <f t="shared" si="15"/>
        <v>56</v>
      </c>
      <c r="W23" s="39">
        <f t="shared" si="15"/>
        <v>7</v>
      </c>
      <c r="X23" s="39">
        <f t="shared" si="15"/>
        <v>1</v>
      </c>
      <c r="Y23" s="39">
        <f t="shared" si="15"/>
        <v>17</v>
      </c>
      <c r="Z23" s="39">
        <f t="shared" si="15"/>
        <v>12</v>
      </c>
      <c r="AA23" s="39">
        <f t="shared" si="15"/>
        <v>1</v>
      </c>
      <c r="AB23" s="39">
        <f t="shared" si="15"/>
        <v>2</v>
      </c>
      <c r="AC23" s="39">
        <f t="shared" si="15"/>
        <v>310</v>
      </c>
      <c r="AD23" s="39">
        <f t="shared" si="15"/>
        <v>0</v>
      </c>
      <c r="AE23" s="40">
        <f t="shared" si="15"/>
        <v>471</v>
      </c>
      <c r="AF23" s="40">
        <f t="shared" si="15"/>
        <v>777</v>
      </c>
    </row>
    <row r="24" spans="2:32" ht="23.1" customHeight="1" x14ac:dyDescent="0.25">
      <c r="B24" s="23" t="s">
        <v>51</v>
      </c>
      <c r="C24" s="50">
        <v>50</v>
      </c>
      <c r="D24" s="50">
        <v>28</v>
      </c>
      <c r="E24" s="50">
        <v>5</v>
      </c>
      <c r="F24" s="50">
        <v>13</v>
      </c>
      <c r="G24" s="50">
        <v>5</v>
      </c>
      <c r="H24" s="50">
        <v>0</v>
      </c>
      <c r="I24" s="50">
        <v>2</v>
      </c>
      <c r="J24" s="50">
        <v>4</v>
      </c>
      <c r="K24" s="50">
        <v>1</v>
      </c>
      <c r="L24" s="50">
        <v>1</v>
      </c>
      <c r="M24" s="50">
        <v>69</v>
      </c>
      <c r="N24" s="50">
        <v>0</v>
      </c>
      <c r="O24" s="15">
        <f t="shared" si="0"/>
        <v>109</v>
      </c>
      <c r="P24" s="15">
        <f t="shared" si="1"/>
        <v>178</v>
      </c>
      <c r="R24" s="38" t="s">
        <v>92</v>
      </c>
      <c r="S24" s="39">
        <f>MAX(S19:S21)</f>
        <v>281</v>
      </c>
      <c r="T24" s="39">
        <f t="shared" ref="T24:AF24" si="16">MAX(T19:T21)</f>
        <v>187</v>
      </c>
      <c r="U24" s="39">
        <f t="shared" si="16"/>
        <v>43</v>
      </c>
      <c r="V24" s="39">
        <f t="shared" si="16"/>
        <v>38</v>
      </c>
      <c r="W24" s="39">
        <f t="shared" si="16"/>
        <v>7</v>
      </c>
      <c r="X24" s="39">
        <f t="shared" si="16"/>
        <v>5</v>
      </c>
      <c r="Y24" s="39">
        <f t="shared" si="16"/>
        <v>14</v>
      </c>
      <c r="Z24" s="39">
        <f t="shared" si="16"/>
        <v>6</v>
      </c>
      <c r="AA24" s="39">
        <f t="shared" si="16"/>
        <v>1</v>
      </c>
      <c r="AB24" s="39">
        <f t="shared" si="16"/>
        <v>1</v>
      </c>
      <c r="AC24" s="39">
        <f t="shared" si="16"/>
        <v>340</v>
      </c>
      <c r="AD24" s="39">
        <f t="shared" si="16"/>
        <v>0</v>
      </c>
      <c r="AE24" s="40">
        <f t="shared" si="16"/>
        <v>568</v>
      </c>
      <c r="AF24" s="40">
        <f t="shared" si="16"/>
        <v>908</v>
      </c>
    </row>
    <row r="25" spans="2:32" ht="23.1" customHeight="1" x14ac:dyDescent="0.25">
      <c r="B25" s="23" t="s">
        <v>52</v>
      </c>
      <c r="C25" s="50">
        <v>38</v>
      </c>
      <c r="D25" s="50">
        <v>23</v>
      </c>
      <c r="E25" s="50">
        <v>7</v>
      </c>
      <c r="F25" s="50">
        <v>13</v>
      </c>
      <c r="G25" s="50">
        <v>1</v>
      </c>
      <c r="H25" s="50">
        <v>0</v>
      </c>
      <c r="I25" s="50">
        <v>4</v>
      </c>
      <c r="J25" s="50">
        <v>1</v>
      </c>
      <c r="K25" s="50">
        <v>0</v>
      </c>
      <c r="L25" s="50">
        <v>0</v>
      </c>
      <c r="M25" s="50">
        <v>52</v>
      </c>
      <c r="N25" s="50">
        <v>0</v>
      </c>
      <c r="O25" s="15">
        <f t="shared" si="0"/>
        <v>87</v>
      </c>
      <c r="P25" s="15">
        <f t="shared" si="1"/>
        <v>139</v>
      </c>
      <c r="R25" s="37" t="s">
        <v>85</v>
      </c>
      <c r="S25" s="35">
        <f t="shared" ref="S25:AF25" si="17">SUM(S10:S12)</f>
        <v>1110</v>
      </c>
      <c r="T25" s="16">
        <f t="shared" si="17"/>
        <v>667</v>
      </c>
      <c r="U25" s="16">
        <f t="shared" si="17"/>
        <v>103</v>
      </c>
      <c r="V25" s="16">
        <f t="shared" si="17"/>
        <v>100</v>
      </c>
      <c r="W25" s="16">
        <f t="shared" si="17"/>
        <v>5</v>
      </c>
      <c r="X25" s="16">
        <f t="shared" si="17"/>
        <v>0</v>
      </c>
      <c r="Y25" s="16">
        <f t="shared" si="17"/>
        <v>25</v>
      </c>
      <c r="Z25" s="16">
        <f t="shared" si="17"/>
        <v>16</v>
      </c>
      <c r="AA25" s="16">
        <f t="shared" si="17"/>
        <v>1</v>
      </c>
      <c r="AB25" s="16">
        <f t="shared" si="17"/>
        <v>0</v>
      </c>
      <c r="AC25" s="16">
        <f t="shared" si="17"/>
        <v>1177</v>
      </c>
      <c r="AD25" s="16">
        <f t="shared" si="17"/>
        <v>0</v>
      </c>
      <c r="AE25" s="32">
        <f t="shared" si="17"/>
        <v>2027</v>
      </c>
      <c r="AF25" s="32">
        <f t="shared" si="17"/>
        <v>3204</v>
      </c>
    </row>
    <row r="26" spans="2:32" ht="23.1" customHeight="1" x14ac:dyDescent="0.25">
      <c r="B26" s="23" t="s">
        <v>53</v>
      </c>
      <c r="C26" s="50">
        <v>55</v>
      </c>
      <c r="D26" s="50">
        <v>44</v>
      </c>
      <c r="E26" s="50">
        <v>8</v>
      </c>
      <c r="F26" s="50">
        <v>15</v>
      </c>
      <c r="G26" s="50">
        <v>0</v>
      </c>
      <c r="H26" s="50">
        <v>0</v>
      </c>
      <c r="I26" s="50">
        <v>4</v>
      </c>
      <c r="J26" s="50">
        <v>0</v>
      </c>
      <c r="K26" s="50">
        <v>0</v>
      </c>
      <c r="L26" s="50">
        <v>0</v>
      </c>
      <c r="M26" s="50">
        <v>79</v>
      </c>
      <c r="N26" s="50">
        <v>0</v>
      </c>
      <c r="O26" s="15">
        <f t="shared" si="0"/>
        <v>126</v>
      </c>
      <c r="P26" s="15">
        <f t="shared" si="1"/>
        <v>205</v>
      </c>
      <c r="R26" s="28" t="s">
        <v>86</v>
      </c>
      <c r="S26" s="16">
        <f t="shared" ref="S26:AF26" si="18">SUM(S13:S18)</f>
        <v>1126</v>
      </c>
      <c r="T26" s="16">
        <f t="shared" si="18"/>
        <v>750</v>
      </c>
      <c r="U26" s="16">
        <f t="shared" si="18"/>
        <v>162</v>
      </c>
      <c r="V26" s="16">
        <f t="shared" si="18"/>
        <v>239</v>
      </c>
      <c r="W26" s="16">
        <f t="shared" si="18"/>
        <v>27</v>
      </c>
      <c r="X26" s="16">
        <f t="shared" si="18"/>
        <v>1</v>
      </c>
      <c r="Y26" s="16">
        <f t="shared" si="18"/>
        <v>58</v>
      </c>
      <c r="Z26" s="16">
        <f t="shared" si="18"/>
        <v>51</v>
      </c>
      <c r="AA26" s="16">
        <f t="shared" si="18"/>
        <v>2</v>
      </c>
      <c r="AB26" s="16">
        <f t="shared" si="18"/>
        <v>7</v>
      </c>
      <c r="AC26" s="16">
        <f t="shared" si="18"/>
        <v>1659</v>
      </c>
      <c r="AD26" s="16">
        <f t="shared" si="18"/>
        <v>0</v>
      </c>
      <c r="AE26" s="32">
        <f t="shared" si="18"/>
        <v>2423</v>
      </c>
      <c r="AF26" s="32">
        <f t="shared" si="18"/>
        <v>4082</v>
      </c>
    </row>
    <row r="27" spans="2:32" ht="23.1" customHeight="1" x14ac:dyDescent="0.25">
      <c r="B27" s="23" t="s">
        <v>54</v>
      </c>
      <c r="C27" s="50">
        <v>43</v>
      </c>
      <c r="D27" s="50">
        <v>50</v>
      </c>
      <c r="E27" s="50">
        <v>8</v>
      </c>
      <c r="F27" s="50">
        <v>19</v>
      </c>
      <c r="G27" s="50">
        <v>1</v>
      </c>
      <c r="H27" s="50">
        <v>0</v>
      </c>
      <c r="I27" s="50">
        <v>6</v>
      </c>
      <c r="J27" s="50">
        <v>1</v>
      </c>
      <c r="K27" s="50">
        <v>1</v>
      </c>
      <c r="L27" s="50">
        <v>1</v>
      </c>
      <c r="M27" s="50">
        <v>81</v>
      </c>
      <c r="N27" s="50">
        <v>0</v>
      </c>
      <c r="O27" s="15">
        <f t="shared" si="0"/>
        <v>130</v>
      </c>
      <c r="P27" s="15">
        <f t="shared" si="1"/>
        <v>211</v>
      </c>
      <c r="R27" s="29" t="s">
        <v>87</v>
      </c>
      <c r="S27" s="16">
        <f t="shared" ref="S27:AF27" si="19">SUM(S19:S21)</f>
        <v>702</v>
      </c>
      <c r="T27" s="16">
        <f t="shared" si="19"/>
        <v>471</v>
      </c>
      <c r="U27" s="16">
        <f t="shared" si="19"/>
        <v>104</v>
      </c>
      <c r="V27" s="16">
        <f t="shared" si="19"/>
        <v>107</v>
      </c>
      <c r="W27" s="16">
        <f t="shared" si="19"/>
        <v>12</v>
      </c>
      <c r="X27" s="16">
        <f t="shared" si="19"/>
        <v>5</v>
      </c>
      <c r="Y27" s="16">
        <f t="shared" si="19"/>
        <v>23</v>
      </c>
      <c r="Z27" s="16">
        <f t="shared" si="19"/>
        <v>10</v>
      </c>
      <c r="AA27" s="16">
        <f t="shared" si="19"/>
        <v>1</v>
      </c>
      <c r="AB27" s="16">
        <f t="shared" si="19"/>
        <v>2</v>
      </c>
      <c r="AC27" s="16">
        <f t="shared" si="19"/>
        <v>968</v>
      </c>
      <c r="AD27" s="16">
        <f t="shared" si="19"/>
        <v>0</v>
      </c>
      <c r="AE27" s="32">
        <f t="shared" si="19"/>
        <v>1437</v>
      </c>
      <c r="AF27" s="32">
        <f t="shared" si="19"/>
        <v>2405</v>
      </c>
    </row>
    <row r="28" spans="2:32" ht="23.1" customHeight="1" x14ac:dyDescent="0.25">
      <c r="B28" s="23" t="s">
        <v>55</v>
      </c>
      <c r="C28" s="50">
        <v>70</v>
      </c>
      <c r="D28" s="50">
        <v>37</v>
      </c>
      <c r="E28" s="50">
        <v>8</v>
      </c>
      <c r="F28" s="50">
        <v>15</v>
      </c>
      <c r="G28" s="50">
        <v>0</v>
      </c>
      <c r="H28" s="50">
        <v>0</v>
      </c>
      <c r="I28" s="50">
        <v>5</v>
      </c>
      <c r="J28" s="50">
        <v>1</v>
      </c>
      <c r="K28" s="50">
        <v>0</v>
      </c>
      <c r="L28" s="50">
        <v>1</v>
      </c>
      <c r="M28" s="50">
        <v>74</v>
      </c>
      <c r="N28" s="50">
        <v>0</v>
      </c>
      <c r="O28" s="15">
        <f t="shared" si="0"/>
        <v>137</v>
      </c>
      <c r="P28" s="15">
        <f t="shared" si="1"/>
        <v>211</v>
      </c>
      <c r="R28" s="5" t="s">
        <v>17</v>
      </c>
      <c r="S28" s="16">
        <f t="shared" ref="S28:AF28" si="20">SUM(S10:S21)</f>
        <v>2938</v>
      </c>
      <c r="T28" s="16">
        <f t="shared" si="20"/>
        <v>1888</v>
      </c>
      <c r="U28" s="16">
        <f t="shared" si="20"/>
        <v>369</v>
      </c>
      <c r="V28" s="16">
        <f t="shared" si="20"/>
        <v>446</v>
      </c>
      <c r="W28" s="16">
        <f t="shared" si="20"/>
        <v>44</v>
      </c>
      <c r="X28" s="16">
        <f t="shared" si="20"/>
        <v>6</v>
      </c>
      <c r="Y28" s="16">
        <f t="shared" si="20"/>
        <v>106</v>
      </c>
      <c r="Z28" s="16">
        <f t="shared" si="20"/>
        <v>77</v>
      </c>
      <c r="AA28" s="16">
        <f t="shared" si="20"/>
        <v>4</v>
      </c>
      <c r="AB28" s="16">
        <f t="shared" si="20"/>
        <v>9</v>
      </c>
      <c r="AC28" s="16">
        <f t="shared" si="20"/>
        <v>3804</v>
      </c>
      <c r="AD28" s="16">
        <f t="shared" si="20"/>
        <v>0</v>
      </c>
      <c r="AE28" s="32">
        <f t="shared" si="20"/>
        <v>5887</v>
      </c>
      <c r="AF28" s="32">
        <f t="shared" si="20"/>
        <v>9691</v>
      </c>
    </row>
    <row r="29" spans="2:32" ht="23.1" customHeight="1" x14ac:dyDescent="0.25">
      <c r="B29" s="23" t="s">
        <v>56</v>
      </c>
      <c r="C29" s="50">
        <v>36</v>
      </c>
      <c r="D29" s="50">
        <v>25</v>
      </c>
      <c r="E29" s="50">
        <v>4</v>
      </c>
      <c r="F29" s="50">
        <v>7</v>
      </c>
      <c r="G29" s="50">
        <v>1</v>
      </c>
      <c r="H29" s="50">
        <v>0</v>
      </c>
      <c r="I29" s="50">
        <v>2</v>
      </c>
      <c r="J29" s="50">
        <v>3</v>
      </c>
      <c r="K29" s="50">
        <v>0</v>
      </c>
      <c r="L29" s="50">
        <v>0</v>
      </c>
      <c r="M29" s="50">
        <v>72</v>
      </c>
      <c r="N29" s="50">
        <v>0</v>
      </c>
      <c r="O29" s="15">
        <f t="shared" si="0"/>
        <v>78</v>
      </c>
      <c r="P29" s="15">
        <f t="shared" si="1"/>
        <v>150</v>
      </c>
      <c r="R29"/>
      <c r="S29" s="20"/>
      <c r="T29" s="19"/>
    </row>
    <row r="30" spans="2:32" ht="23.1" customHeight="1" x14ac:dyDescent="0.25">
      <c r="B30" s="23" t="s">
        <v>57</v>
      </c>
      <c r="C30" s="50">
        <v>53</v>
      </c>
      <c r="D30" s="50">
        <v>23</v>
      </c>
      <c r="E30" s="50">
        <v>12</v>
      </c>
      <c r="F30" s="50">
        <v>8</v>
      </c>
      <c r="G30" s="50">
        <v>0</v>
      </c>
      <c r="H30" s="50">
        <v>0</v>
      </c>
      <c r="I30" s="50">
        <v>2</v>
      </c>
      <c r="J30" s="50">
        <v>1</v>
      </c>
      <c r="K30" s="50">
        <v>0</v>
      </c>
      <c r="L30" s="50">
        <v>0</v>
      </c>
      <c r="M30" s="50">
        <v>81</v>
      </c>
      <c r="N30" s="50">
        <v>0</v>
      </c>
      <c r="O30" s="15">
        <f t="shared" si="0"/>
        <v>99</v>
      </c>
      <c r="P30" s="15">
        <f t="shared" si="1"/>
        <v>180</v>
      </c>
    </row>
    <row r="31" spans="2:32" ht="23.1" customHeight="1" x14ac:dyDescent="0.25">
      <c r="B31" s="24" t="s">
        <v>58</v>
      </c>
      <c r="C31" s="50">
        <v>35</v>
      </c>
      <c r="D31" s="50">
        <v>24</v>
      </c>
      <c r="E31" s="50">
        <v>8</v>
      </c>
      <c r="F31" s="50">
        <v>5</v>
      </c>
      <c r="G31" s="50">
        <v>2</v>
      </c>
      <c r="H31" s="50">
        <v>0</v>
      </c>
      <c r="I31" s="50">
        <v>2</v>
      </c>
      <c r="J31" s="50">
        <v>2</v>
      </c>
      <c r="K31" s="50">
        <v>0</v>
      </c>
      <c r="L31" s="50">
        <v>0</v>
      </c>
      <c r="M31" s="50">
        <v>86</v>
      </c>
      <c r="N31" s="50">
        <v>0</v>
      </c>
      <c r="O31" s="15">
        <f t="shared" si="0"/>
        <v>78</v>
      </c>
      <c r="P31" s="15">
        <f t="shared" si="1"/>
        <v>164</v>
      </c>
    </row>
    <row r="32" spans="2:32" ht="23.1" customHeight="1" x14ac:dyDescent="0.25">
      <c r="B32" s="24" t="s">
        <v>59</v>
      </c>
      <c r="C32" s="50">
        <v>55</v>
      </c>
      <c r="D32" s="50">
        <v>33</v>
      </c>
      <c r="E32" s="50">
        <v>5</v>
      </c>
      <c r="F32" s="50">
        <v>11</v>
      </c>
      <c r="G32" s="50">
        <v>0</v>
      </c>
      <c r="H32" s="50">
        <v>1</v>
      </c>
      <c r="I32" s="50">
        <v>0</v>
      </c>
      <c r="J32" s="50">
        <v>0</v>
      </c>
      <c r="K32" s="50">
        <v>0</v>
      </c>
      <c r="L32" s="50">
        <v>0</v>
      </c>
      <c r="M32" s="50">
        <v>77</v>
      </c>
      <c r="N32" s="50">
        <v>0</v>
      </c>
      <c r="O32" s="15">
        <f t="shared" si="0"/>
        <v>105</v>
      </c>
      <c r="P32" s="15">
        <f t="shared" si="1"/>
        <v>182</v>
      </c>
    </row>
    <row r="33" spans="2:20" ht="23.1" customHeight="1" x14ac:dyDescent="0.25">
      <c r="B33" s="23" t="s">
        <v>60</v>
      </c>
      <c r="C33" s="50">
        <v>48</v>
      </c>
      <c r="D33" s="50">
        <v>30</v>
      </c>
      <c r="E33" s="50">
        <v>6</v>
      </c>
      <c r="F33" s="50">
        <v>5</v>
      </c>
      <c r="G33" s="50">
        <v>0</v>
      </c>
      <c r="H33" s="50">
        <v>0</v>
      </c>
      <c r="I33" s="50">
        <v>3</v>
      </c>
      <c r="J33" s="50">
        <v>3</v>
      </c>
      <c r="K33" s="50">
        <v>0</v>
      </c>
      <c r="L33" s="50">
        <v>1</v>
      </c>
      <c r="M33" s="50">
        <v>66</v>
      </c>
      <c r="N33" s="50">
        <v>0</v>
      </c>
      <c r="O33" s="15">
        <f t="shared" si="0"/>
        <v>96</v>
      </c>
      <c r="P33" s="15">
        <f t="shared" si="1"/>
        <v>162</v>
      </c>
    </row>
    <row r="34" spans="2:20" ht="23.1" customHeight="1" x14ac:dyDescent="0.25">
      <c r="B34" s="24" t="s">
        <v>61</v>
      </c>
      <c r="C34" s="50">
        <v>44</v>
      </c>
      <c r="D34" s="50">
        <v>20</v>
      </c>
      <c r="E34" s="50">
        <v>6</v>
      </c>
      <c r="F34" s="50">
        <v>7</v>
      </c>
      <c r="G34" s="50">
        <v>1</v>
      </c>
      <c r="H34" s="50">
        <v>0</v>
      </c>
      <c r="I34" s="50">
        <v>2</v>
      </c>
      <c r="J34" s="50">
        <v>2</v>
      </c>
      <c r="K34" s="50">
        <v>0</v>
      </c>
      <c r="L34" s="50">
        <v>0</v>
      </c>
      <c r="M34" s="50">
        <v>59</v>
      </c>
      <c r="N34" s="50">
        <v>0</v>
      </c>
      <c r="O34" s="15">
        <f t="shared" si="0"/>
        <v>82</v>
      </c>
      <c r="P34" s="15">
        <f t="shared" si="1"/>
        <v>141</v>
      </c>
    </row>
    <row r="35" spans="2:20" ht="23.1" customHeight="1" x14ac:dyDescent="0.25">
      <c r="B35" s="24" t="s">
        <v>62</v>
      </c>
      <c r="C35" s="50">
        <v>39</v>
      </c>
      <c r="D35" s="50">
        <v>17</v>
      </c>
      <c r="E35" s="50">
        <v>7</v>
      </c>
      <c r="F35" s="50">
        <v>7</v>
      </c>
      <c r="G35" s="50">
        <v>1</v>
      </c>
      <c r="H35" s="50">
        <v>0</v>
      </c>
      <c r="I35" s="50">
        <v>2</v>
      </c>
      <c r="J35" s="50">
        <v>3</v>
      </c>
      <c r="K35" s="50">
        <v>0</v>
      </c>
      <c r="L35" s="50">
        <v>0</v>
      </c>
      <c r="M35" s="50">
        <v>64</v>
      </c>
      <c r="N35" s="50">
        <v>0</v>
      </c>
      <c r="O35" s="15">
        <f t="shared" si="0"/>
        <v>76</v>
      </c>
      <c r="P35" s="15">
        <f t="shared" si="1"/>
        <v>140</v>
      </c>
    </row>
    <row r="36" spans="2:20" ht="23.1" customHeight="1" x14ac:dyDescent="0.25">
      <c r="B36" s="24" t="s">
        <v>63</v>
      </c>
      <c r="C36" s="50">
        <v>46</v>
      </c>
      <c r="D36" s="50">
        <v>37</v>
      </c>
      <c r="E36" s="50">
        <v>5</v>
      </c>
      <c r="F36" s="50">
        <v>13</v>
      </c>
      <c r="G36" s="50">
        <v>3</v>
      </c>
      <c r="H36" s="50">
        <v>0</v>
      </c>
      <c r="I36" s="50">
        <v>0</v>
      </c>
      <c r="J36" s="50">
        <v>1</v>
      </c>
      <c r="K36" s="50">
        <v>0</v>
      </c>
      <c r="L36" s="50">
        <v>0</v>
      </c>
      <c r="M36" s="50">
        <v>71</v>
      </c>
      <c r="N36" s="50">
        <v>0</v>
      </c>
      <c r="O36" s="15">
        <f t="shared" si="0"/>
        <v>105</v>
      </c>
      <c r="P36" s="15">
        <f t="shared" si="1"/>
        <v>176</v>
      </c>
    </row>
    <row r="37" spans="2:20" ht="23.1" customHeight="1" x14ac:dyDescent="0.25">
      <c r="B37" s="23" t="s">
        <v>64</v>
      </c>
      <c r="C37" s="50">
        <v>29</v>
      </c>
      <c r="D37" s="50">
        <v>22</v>
      </c>
      <c r="E37" s="50">
        <v>3</v>
      </c>
      <c r="F37" s="50">
        <v>6</v>
      </c>
      <c r="G37" s="50">
        <v>0</v>
      </c>
      <c r="H37" s="50">
        <v>0</v>
      </c>
      <c r="I37" s="50">
        <v>3</v>
      </c>
      <c r="J37" s="50">
        <v>0</v>
      </c>
      <c r="K37" s="50">
        <v>0</v>
      </c>
      <c r="L37" s="50">
        <v>0</v>
      </c>
      <c r="M37" s="50">
        <v>58</v>
      </c>
      <c r="N37" s="50">
        <v>0</v>
      </c>
      <c r="O37" s="15">
        <f t="shared" si="0"/>
        <v>63</v>
      </c>
      <c r="P37" s="15">
        <f t="shared" si="1"/>
        <v>121</v>
      </c>
    </row>
    <row r="38" spans="2:20" ht="23.1" customHeight="1" x14ac:dyDescent="0.25">
      <c r="B38" s="24" t="s">
        <v>65</v>
      </c>
      <c r="C38" s="50">
        <v>38</v>
      </c>
      <c r="D38" s="50">
        <v>33</v>
      </c>
      <c r="E38" s="50">
        <v>5</v>
      </c>
      <c r="F38" s="50">
        <v>11</v>
      </c>
      <c r="G38" s="50">
        <v>0</v>
      </c>
      <c r="H38" s="50">
        <v>0</v>
      </c>
      <c r="I38" s="50">
        <v>2</v>
      </c>
      <c r="J38" s="50">
        <v>3</v>
      </c>
      <c r="K38" s="50">
        <v>0</v>
      </c>
      <c r="L38" s="50">
        <v>0</v>
      </c>
      <c r="M38" s="50">
        <v>67</v>
      </c>
      <c r="N38" s="50">
        <v>0</v>
      </c>
      <c r="O38" s="15">
        <f t="shared" si="0"/>
        <v>92</v>
      </c>
      <c r="P38" s="15">
        <f t="shared" si="1"/>
        <v>159</v>
      </c>
    </row>
    <row r="39" spans="2:20" ht="23.1" customHeight="1" x14ac:dyDescent="0.25">
      <c r="B39" s="24" t="s">
        <v>66</v>
      </c>
      <c r="C39" s="50">
        <v>53</v>
      </c>
      <c r="D39" s="50">
        <v>33</v>
      </c>
      <c r="E39" s="50">
        <v>6</v>
      </c>
      <c r="F39" s="50">
        <v>7</v>
      </c>
      <c r="G39" s="50">
        <v>2</v>
      </c>
      <c r="H39" s="50">
        <v>0</v>
      </c>
      <c r="I39" s="50">
        <v>2</v>
      </c>
      <c r="J39" s="50">
        <v>2</v>
      </c>
      <c r="K39" s="50">
        <v>0</v>
      </c>
      <c r="L39" s="50">
        <v>0</v>
      </c>
      <c r="M39" s="50">
        <v>50</v>
      </c>
      <c r="N39" s="50">
        <v>0</v>
      </c>
      <c r="O39" s="15">
        <f t="shared" si="0"/>
        <v>105</v>
      </c>
      <c r="P39" s="15">
        <f t="shared" si="1"/>
        <v>155</v>
      </c>
    </row>
    <row r="40" spans="2:20" ht="23.1" customHeight="1" x14ac:dyDescent="0.25">
      <c r="B40" s="24" t="s">
        <v>67</v>
      </c>
      <c r="C40" s="50">
        <v>30</v>
      </c>
      <c r="D40" s="50">
        <v>29</v>
      </c>
      <c r="E40" s="50">
        <v>7</v>
      </c>
      <c r="F40" s="50">
        <v>8</v>
      </c>
      <c r="G40" s="50">
        <v>3</v>
      </c>
      <c r="H40" s="50">
        <v>0</v>
      </c>
      <c r="I40" s="50">
        <v>2</v>
      </c>
      <c r="J40" s="50">
        <v>3</v>
      </c>
      <c r="K40" s="50">
        <v>0</v>
      </c>
      <c r="L40" s="50">
        <v>1</v>
      </c>
      <c r="M40" s="50">
        <v>79</v>
      </c>
      <c r="N40" s="50">
        <v>0</v>
      </c>
      <c r="O40" s="15">
        <f t="shared" si="0"/>
        <v>83</v>
      </c>
      <c r="P40" s="15">
        <f t="shared" si="1"/>
        <v>162</v>
      </c>
    </row>
    <row r="41" spans="2:20" ht="23.1" customHeight="1" x14ac:dyDescent="0.25">
      <c r="B41" s="23" t="s">
        <v>68</v>
      </c>
      <c r="C41" s="50">
        <v>53</v>
      </c>
      <c r="D41" s="50">
        <v>28</v>
      </c>
      <c r="E41" s="50">
        <v>10</v>
      </c>
      <c r="F41" s="50">
        <v>10</v>
      </c>
      <c r="G41" s="50">
        <v>2</v>
      </c>
      <c r="H41" s="50">
        <v>0</v>
      </c>
      <c r="I41" s="50">
        <v>2</v>
      </c>
      <c r="J41" s="50">
        <v>4</v>
      </c>
      <c r="K41" s="50">
        <v>0</v>
      </c>
      <c r="L41" s="50">
        <v>0</v>
      </c>
      <c r="M41" s="50">
        <v>63</v>
      </c>
      <c r="N41" s="50">
        <v>0</v>
      </c>
      <c r="O41" s="15">
        <f t="shared" si="0"/>
        <v>109</v>
      </c>
      <c r="P41" s="15">
        <f t="shared" si="1"/>
        <v>172</v>
      </c>
    </row>
    <row r="42" spans="2:20" ht="23.1" customHeight="1" x14ac:dyDescent="0.25">
      <c r="B42" s="24" t="s">
        <v>69</v>
      </c>
      <c r="C42" s="50">
        <v>38</v>
      </c>
      <c r="D42" s="50">
        <v>41</v>
      </c>
      <c r="E42" s="50">
        <v>5</v>
      </c>
      <c r="F42" s="50">
        <v>5</v>
      </c>
      <c r="G42" s="50">
        <v>3</v>
      </c>
      <c r="H42" s="50">
        <v>0</v>
      </c>
      <c r="I42" s="50">
        <v>2</v>
      </c>
      <c r="J42" s="50">
        <v>3</v>
      </c>
      <c r="K42" s="50">
        <v>0</v>
      </c>
      <c r="L42" s="50">
        <v>1</v>
      </c>
      <c r="M42" s="50">
        <v>63</v>
      </c>
      <c r="N42" s="50">
        <v>0</v>
      </c>
      <c r="O42" s="15">
        <f t="shared" si="0"/>
        <v>98</v>
      </c>
      <c r="P42" s="15">
        <f t="shared" si="1"/>
        <v>161</v>
      </c>
    </row>
    <row r="43" spans="2:20" ht="23.1" customHeight="1" x14ac:dyDescent="0.25">
      <c r="B43" s="23" t="s">
        <v>70</v>
      </c>
      <c r="C43" s="50">
        <v>57</v>
      </c>
      <c r="D43" s="50">
        <v>29</v>
      </c>
      <c r="E43" s="50">
        <v>7</v>
      </c>
      <c r="F43" s="50">
        <v>8</v>
      </c>
      <c r="G43" s="50">
        <v>0</v>
      </c>
      <c r="H43" s="50">
        <v>0</v>
      </c>
      <c r="I43" s="50">
        <v>3</v>
      </c>
      <c r="J43" s="50">
        <v>4</v>
      </c>
      <c r="K43" s="50">
        <v>0</v>
      </c>
      <c r="L43" s="50">
        <v>0</v>
      </c>
      <c r="M43" s="50">
        <v>71</v>
      </c>
      <c r="N43" s="50">
        <v>0</v>
      </c>
      <c r="O43" s="15">
        <f t="shared" si="0"/>
        <v>108</v>
      </c>
      <c r="P43" s="15">
        <f t="shared" si="1"/>
        <v>179</v>
      </c>
    </row>
    <row r="44" spans="2:20" ht="23.1" customHeight="1" x14ac:dyDescent="0.25">
      <c r="B44" s="25" t="s">
        <v>71</v>
      </c>
      <c r="C44" s="50">
        <v>45</v>
      </c>
      <c r="D44" s="50">
        <v>35</v>
      </c>
      <c r="E44" s="50">
        <v>9</v>
      </c>
      <c r="F44" s="50">
        <v>12</v>
      </c>
      <c r="G44" s="50">
        <v>0</v>
      </c>
      <c r="H44" s="50">
        <v>0</v>
      </c>
      <c r="I44" s="50">
        <v>2</v>
      </c>
      <c r="J44" s="50">
        <v>3</v>
      </c>
      <c r="K44" s="50">
        <v>0</v>
      </c>
      <c r="L44" s="50">
        <v>0</v>
      </c>
      <c r="M44" s="50">
        <v>75</v>
      </c>
      <c r="N44" s="50">
        <v>0</v>
      </c>
      <c r="O44" s="15">
        <f t="shared" si="0"/>
        <v>106</v>
      </c>
      <c r="P44" s="15">
        <f t="shared" si="1"/>
        <v>181</v>
      </c>
    </row>
    <row r="45" spans="2:20" ht="23.1" customHeight="1" x14ac:dyDescent="0.25">
      <c r="B45" s="23" t="s">
        <v>72</v>
      </c>
      <c r="C45" s="50">
        <v>49</v>
      </c>
      <c r="D45" s="50">
        <v>34</v>
      </c>
      <c r="E45" s="50">
        <v>8</v>
      </c>
      <c r="F45" s="50">
        <v>5</v>
      </c>
      <c r="G45" s="50">
        <v>1</v>
      </c>
      <c r="H45" s="50">
        <v>0</v>
      </c>
      <c r="I45" s="50">
        <v>3</v>
      </c>
      <c r="J45" s="50">
        <v>2</v>
      </c>
      <c r="K45" s="50">
        <v>0</v>
      </c>
      <c r="L45" s="50">
        <v>1</v>
      </c>
      <c r="M45" s="50">
        <v>59</v>
      </c>
      <c r="N45" s="50">
        <v>0</v>
      </c>
      <c r="O45" s="15">
        <f t="shared" si="0"/>
        <v>103</v>
      </c>
      <c r="P45" s="15">
        <f t="shared" si="1"/>
        <v>162</v>
      </c>
    </row>
    <row r="46" spans="2:20" ht="23.1" customHeight="1" x14ac:dyDescent="0.25">
      <c r="B46" s="24" t="s">
        <v>73</v>
      </c>
      <c r="C46" s="50">
        <v>72</v>
      </c>
      <c r="D46" s="50">
        <v>50</v>
      </c>
      <c r="E46" s="50">
        <v>6</v>
      </c>
      <c r="F46" s="50">
        <v>11</v>
      </c>
      <c r="G46" s="50">
        <v>0</v>
      </c>
      <c r="H46" s="50">
        <v>0</v>
      </c>
      <c r="I46" s="50">
        <v>5</v>
      </c>
      <c r="J46" s="50">
        <v>4</v>
      </c>
      <c r="K46" s="50">
        <v>0</v>
      </c>
      <c r="L46" s="50">
        <v>0</v>
      </c>
      <c r="M46" s="50">
        <v>73</v>
      </c>
      <c r="N46" s="50">
        <v>0</v>
      </c>
      <c r="O46" s="15">
        <f t="shared" si="0"/>
        <v>148</v>
      </c>
      <c r="P46" s="15">
        <f t="shared" si="1"/>
        <v>221</v>
      </c>
      <c r="R46" s="8"/>
      <c r="T46"/>
    </row>
    <row r="47" spans="2:20" ht="23.1" customHeight="1" x14ac:dyDescent="0.25">
      <c r="B47" s="24" t="s">
        <v>74</v>
      </c>
      <c r="C47" s="50">
        <v>49</v>
      </c>
      <c r="D47" s="50">
        <v>30</v>
      </c>
      <c r="E47" s="50">
        <v>8</v>
      </c>
      <c r="F47" s="50">
        <v>6</v>
      </c>
      <c r="G47" s="50">
        <v>0</v>
      </c>
      <c r="H47" s="50">
        <v>0</v>
      </c>
      <c r="I47" s="50">
        <v>2</v>
      </c>
      <c r="J47" s="50">
        <v>0</v>
      </c>
      <c r="K47" s="50">
        <v>0</v>
      </c>
      <c r="L47" s="50">
        <v>1</v>
      </c>
      <c r="M47" s="50">
        <v>80</v>
      </c>
      <c r="N47" s="50">
        <v>0</v>
      </c>
      <c r="O47" s="15">
        <f t="shared" si="0"/>
        <v>96</v>
      </c>
      <c r="P47" s="15">
        <f t="shared" si="1"/>
        <v>176</v>
      </c>
      <c r="R47" s="8"/>
      <c r="T47"/>
    </row>
    <row r="48" spans="2:20" ht="23.1" customHeight="1" x14ac:dyDescent="0.25">
      <c r="B48" s="24" t="s">
        <v>75</v>
      </c>
      <c r="C48" s="50">
        <v>76</v>
      </c>
      <c r="D48" s="50">
        <v>57</v>
      </c>
      <c r="E48" s="50">
        <v>16</v>
      </c>
      <c r="F48" s="50">
        <v>11</v>
      </c>
      <c r="G48" s="50">
        <v>5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85</v>
      </c>
      <c r="N48" s="50">
        <v>0</v>
      </c>
      <c r="O48" s="15">
        <f t="shared" si="0"/>
        <v>165</v>
      </c>
      <c r="P48" s="15">
        <f t="shared" si="1"/>
        <v>250</v>
      </c>
      <c r="R48" s="8"/>
      <c r="T48"/>
    </row>
    <row r="49" spans="2:20" ht="23.1" customHeight="1" x14ac:dyDescent="0.25">
      <c r="B49" s="23" t="s">
        <v>76</v>
      </c>
      <c r="C49" s="50">
        <v>84</v>
      </c>
      <c r="D49" s="50">
        <v>50</v>
      </c>
      <c r="E49" s="50">
        <v>13</v>
      </c>
      <c r="F49" s="50">
        <v>10</v>
      </c>
      <c r="G49" s="50">
        <v>2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102</v>
      </c>
      <c r="N49" s="50">
        <v>0</v>
      </c>
      <c r="O49" s="15">
        <f t="shared" si="0"/>
        <v>159</v>
      </c>
      <c r="P49" s="15">
        <f t="shared" si="1"/>
        <v>261</v>
      </c>
      <c r="R49" s="8"/>
      <c r="T49"/>
    </row>
    <row r="50" spans="2:20" ht="23.1" customHeight="1" x14ac:dyDescent="0.25">
      <c r="B50" s="24" t="s">
        <v>77</v>
      </c>
      <c r="C50" s="50">
        <v>63</v>
      </c>
      <c r="D50" s="50">
        <v>37</v>
      </c>
      <c r="E50" s="50">
        <v>9</v>
      </c>
      <c r="F50" s="50">
        <v>8</v>
      </c>
      <c r="G50" s="50">
        <v>0</v>
      </c>
      <c r="H50" s="50">
        <v>0</v>
      </c>
      <c r="I50" s="50">
        <v>3</v>
      </c>
      <c r="J50" s="50">
        <v>2</v>
      </c>
      <c r="K50" s="50">
        <v>1</v>
      </c>
      <c r="L50" s="50">
        <v>0</v>
      </c>
      <c r="M50" s="50">
        <v>64</v>
      </c>
      <c r="N50" s="50">
        <v>0</v>
      </c>
      <c r="O50" s="15">
        <f t="shared" si="0"/>
        <v>123</v>
      </c>
      <c r="P50" s="15">
        <f t="shared" si="1"/>
        <v>187</v>
      </c>
      <c r="R50" s="8"/>
      <c r="T50"/>
    </row>
    <row r="51" spans="2:20" ht="23.1" customHeight="1" x14ac:dyDescent="0.25">
      <c r="B51" s="24" t="s">
        <v>78</v>
      </c>
      <c r="C51" s="50">
        <v>68</v>
      </c>
      <c r="D51" s="50">
        <v>42</v>
      </c>
      <c r="E51" s="50">
        <v>6</v>
      </c>
      <c r="F51" s="50">
        <v>7</v>
      </c>
      <c r="G51" s="50">
        <v>2</v>
      </c>
      <c r="H51" s="50">
        <v>0</v>
      </c>
      <c r="I51" s="50">
        <v>7</v>
      </c>
      <c r="J51" s="50">
        <v>3</v>
      </c>
      <c r="K51" s="50">
        <v>0</v>
      </c>
      <c r="L51" s="50">
        <v>0</v>
      </c>
      <c r="M51" s="50">
        <v>92</v>
      </c>
      <c r="N51" s="50">
        <v>0</v>
      </c>
      <c r="O51" s="15">
        <f t="shared" si="0"/>
        <v>135</v>
      </c>
      <c r="P51" s="15">
        <f t="shared" si="1"/>
        <v>227</v>
      </c>
      <c r="R51" s="8"/>
      <c r="T51"/>
    </row>
    <row r="52" spans="2:20" ht="23.1" customHeight="1" x14ac:dyDescent="0.25">
      <c r="B52" s="24" t="s">
        <v>79</v>
      </c>
      <c r="C52" s="50">
        <v>70</v>
      </c>
      <c r="D52" s="50">
        <v>48</v>
      </c>
      <c r="E52" s="50">
        <v>12</v>
      </c>
      <c r="F52" s="50">
        <v>10</v>
      </c>
      <c r="G52" s="50">
        <v>1</v>
      </c>
      <c r="H52" s="50">
        <v>0</v>
      </c>
      <c r="I52" s="50">
        <v>4</v>
      </c>
      <c r="J52" s="50">
        <v>1</v>
      </c>
      <c r="K52" s="50">
        <v>0</v>
      </c>
      <c r="L52" s="50">
        <v>0</v>
      </c>
      <c r="M52" s="50">
        <v>73</v>
      </c>
      <c r="N52" s="50">
        <v>0</v>
      </c>
      <c r="O52" s="15">
        <f t="shared" si="0"/>
        <v>146</v>
      </c>
      <c r="P52" s="15">
        <f t="shared" si="1"/>
        <v>219</v>
      </c>
      <c r="R52" s="8"/>
      <c r="T52"/>
    </row>
    <row r="53" spans="2:20" ht="23.1" customHeight="1" x14ac:dyDescent="0.25">
      <c r="B53" s="23" t="s">
        <v>80</v>
      </c>
      <c r="C53" s="50">
        <v>51</v>
      </c>
      <c r="D53" s="50">
        <v>53</v>
      </c>
      <c r="E53" s="50">
        <v>4</v>
      </c>
      <c r="F53" s="50">
        <v>11</v>
      </c>
      <c r="G53" s="50">
        <v>1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90</v>
      </c>
      <c r="N53" s="50">
        <v>0</v>
      </c>
      <c r="O53" s="15">
        <f t="shared" si="0"/>
        <v>120</v>
      </c>
      <c r="P53" s="15">
        <f t="shared" si="1"/>
        <v>210</v>
      </c>
      <c r="R53" s="8"/>
      <c r="T53"/>
    </row>
    <row r="54" spans="2:20" ht="23.1" customHeight="1" x14ac:dyDescent="0.25">
      <c r="B54" s="23" t="s">
        <v>81</v>
      </c>
      <c r="C54" s="50">
        <v>57</v>
      </c>
      <c r="D54" s="50">
        <v>34</v>
      </c>
      <c r="E54" s="50">
        <v>14</v>
      </c>
      <c r="F54" s="50">
        <v>10</v>
      </c>
      <c r="G54" s="50">
        <v>0</v>
      </c>
      <c r="H54" s="50">
        <v>2</v>
      </c>
      <c r="I54" s="50">
        <v>2</v>
      </c>
      <c r="J54" s="50">
        <v>0</v>
      </c>
      <c r="K54" s="50">
        <v>0</v>
      </c>
      <c r="L54" s="50">
        <v>1</v>
      </c>
      <c r="M54" s="50">
        <v>95</v>
      </c>
      <c r="N54" s="50">
        <v>0</v>
      </c>
      <c r="O54" s="15">
        <f t="shared" si="0"/>
        <v>120</v>
      </c>
      <c r="P54" s="15">
        <f t="shared" si="1"/>
        <v>215</v>
      </c>
      <c r="R54" s="8"/>
      <c r="T54"/>
    </row>
    <row r="55" spans="2:20" ht="23.1" customHeight="1" x14ac:dyDescent="0.25">
      <c r="B55" s="23" t="s">
        <v>82</v>
      </c>
      <c r="C55" s="50">
        <v>38</v>
      </c>
      <c r="D55" s="50">
        <v>28</v>
      </c>
      <c r="E55" s="50">
        <v>7</v>
      </c>
      <c r="F55" s="50">
        <v>14</v>
      </c>
      <c r="G55" s="50">
        <v>0</v>
      </c>
      <c r="H55" s="50">
        <v>1</v>
      </c>
      <c r="I55" s="50">
        <v>0</v>
      </c>
      <c r="J55" s="50">
        <v>0</v>
      </c>
      <c r="K55" s="50">
        <v>0</v>
      </c>
      <c r="L55" s="50">
        <v>0</v>
      </c>
      <c r="M55" s="50">
        <v>72</v>
      </c>
      <c r="N55" s="50">
        <v>0</v>
      </c>
      <c r="O55" s="15">
        <f t="shared" si="0"/>
        <v>88</v>
      </c>
      <c r="P55" s="15">
        <f t="shared" si="1"/>
        <v>160</v>
      </c>
      <c r="R55" s="8"/>
      <c r="T55"/>
    </row>
    <row r="56" spans="2:20" ht="23.1" customHeight="1" x14ac:dyDescent="0.25">
      <c r="B56" s="23" t="s">
        <v>83</v>
      </c>
      <c r="C56" s="50">
        <v>24</v>
      </c>
      <c r="D56" s="50">
        <v>12</v>
      </c>
      <c r="E56" s="50">
        <v>6</v>
      </c>
      <c r="F56" s="50">
        <v>4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60</v>
      </c>
      <c r="N56" s="50">
        <v>0</v>
      </c>
      <c r="O56" s="15">
        <f t="shared" si="0"/>
        <v>46</v>
      </c>
      <c r="P56" s="15">
        <f t="shared" si="1"/>
        <v>106</v>
      </c>
      <c r="R56" s="8"/>
      <c r="T56"/>
    </row>
    <row r="57" spans="2:20" ht="23.1" customHeight="1" x14ac:dyDescent="0.25">
      <c r="B57" s="23" t="s">
        <v>84</v>
      </c>
      <c r="C57" s="50">
        <v>50</v>
      </c>
      <c r="D57" s="50">
        <v>30</v>
      </c>
      <c r="E57" s="50">
        <v>3</v>
      </c>
      <c r="F57" s="50">
        <v>5</v>
      </c>
      <c r="G57" s="50">
        <v>1</v>
      </c>
      <c r="H57" s="50">
        <v>2</v>
      </c>
      <c r="I57" s="50">
        <v>0</v>
      </c>
      <c r="J57" s="50">
        <v>0</v>
      </c>
      <c r="K57" s="50">
        <v>0</v>
      </c>
      <c r="L57" s="50">
        <v>0</v>
      </c>
      <c r="M57" s="50">
        <v>82</v>
      </c>
      <c r="N57" s="50">
        <v>0</v>
      </c>
      <c r="O57" s="15">
        <f t="shared" si="0"/>
        <v>91</v>
      </c>
      <c r="P57" s="15">
        <f t="shared" si="1"/>
        <v>173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2938</v>
      </c>
      <c r="D58" s="16">
        <f t="shared" si="21"/>
        <v>1888</v>
      </c>
      <c r="E58" s="16">
        <f t="shared" si="21"/>
        <v>369</v>
      </c>
      <c r="F58" s="16">
        <f t="shared" si="21"/>
        <v>446</v>
      </c>
      <c r="G58" s="16">
        <f t="shared" si="21"/>
        <v>44</v>
      </c>
      <c r="H58" s="16">
        <f t="shared" si="21"/>
        <v>6</v>
      </c>
      <c r="I58" s="16">
        <f t="shared" si="21"/>
        <v>106</v>
      </c>
      <c r="J58" s="16">
        <f t="shared" si="21"/>
        <v>77</v>
      </c>
      <c r="K58" s="16">
        <f t="shared" si="21"/>
        <v>4</v>
      </c>
      <c r="L58" s="16">
        <f t="shared" si="21"/>
        <v>9</v>
      </c>
      <c r="M58" s="16">
        <f t="shared" si="21"/>
        <v>3804</v>
      </c>
      <c r="N58" s="16">
        <f t="shared" si="21"/>
        <v>0</v>
      </c>
      <c r="O58" s="16">
        <f t="shared" si="21"/>
        <v>5887</v>
      </c>
      <c r="P58" s="16">
        <f t="shared" si="21"/>
        <v>9691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0.30316788773088432</v>
      </c>
      <c r="D59" s="43">
        <f t="shared" si="22"/>
        <v>0.19481993602311423</v>
      </c>
      <c r="E59" s="43">
        <f t="shared" si="22"/>
        <v>3.8076565885873492E-2</v>
      </c>
      <c r="F59" s="43">
        <f t="shared" si="22"/>
        <v>4.6022082344443299E-2</v>
      </c>
      <c r="G59" s="43">
        <f t="shared" si="22"/>
        <v>4.5402951191827468E-3</v>
      </c>
      <c r="H59" s="43">
        <f t="shared" si="22"/>
        <v>6.1913115261582913E-4</v>
      </c>
      <c r="I59" s="43">
        <f t="shared" si="22"/>
        <v>1.0937983696212981E-2</v>
      </c>
      <c r="J59" s="43">
        <f t="shared" si="22"/>
        <v>7.9455164585698068E-3</v>
      </c>
      <c r="K59" s="43">
        <f t="shared" si="22"/>
        <v>4.1275410174388609E-4</v>
      </c>
      <c r="L59" s="43">
        <f t="shared" si="22"/>
        <v>9.2869672892374364E-4</v>
      </c>
      <c r="M59" s="43">
        <f t="shared" si="22"/>
        <v>0.39252915075843564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0.49906573806692711</v>
      </c>
      <c r="D60" s="44">
        <f t="shared" ref="D60:N60" si="23">D58/$O$58</f>
        <v>0.32070664175301511</v>
      </c>
      <c r="E60" s="44">
        <f t="shared" si="23"/>
        <v>6.2680482418889072E-2</v>
      </c>
      <c r="F60" s="44">
        <f t="shared" si="23"/>
        <v>7.5760149481909289E-2</v>
      </c>
      <c r="G60" s="44">
        <f t="shared" si="23"/>
        <v>7.4740954645829798E-3</v>
      </c>
      <c r="H60" s="44">
        <f t="shared" si="23"/>
        <v>1.0191948360794973E-3</v>
      </c>
      <c r="I60" s="44">
        <f t="shared" si="23"/>
        <v>1.8005775437404451E-2</v>
      </c>
      <c r="J60" s="44">
        <f t="shared" si="23"/>
        <v>1.3079667063020214E-2</v>
      </c>
      <c r="K60" s="44">
        <f t="shared" si="23"/>
        <v>6.794632240529981E-4</v>
      </c>
      <c r="L60" s="44">
        <f t="shared" si="23"/>
        <v>1.5287922541192458E-3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40" zoomScaleSheetLayoutView="4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'29.07 Ntinda-Naalya'!C3:G3</f>
        <v>MCC - C1 - STN38 - NAALYA EAST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170</v>
      </c>
      <c r="E5" s="3"/>
      <c r="F5" s="41" t="s">
        <v>1</v>
      </c>
      <c r="G5" s="65" t="str">
        <f>'29.07 Ntinda-Naalya'!G5:H5</f>
        <v>NAALYA ROUND ABOUT</v>
      </c>
      <c r="H5" s="66"/>
      <c r="I5" s="14"/>
      <c r="J5" s="2" t="s">
        <v>5</v>
      </c>
      <c r="K5" s="65" t="str">
        <f>'29.07 Ntinda-Naalya'!K5:L5</f>
        <v>HARRIET N/NASSIWA A/MUTE C/PHOEBY/KAZIBWE J/NAKAYE J.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'29.07 Ntinda-Naalya'!D6:E6</f>
        <v>NTINDA</v>
      </c>
      <c r="E6" s="66"/>
      <c r="F6" s="2" t="s">
        <v>2</v>
      </c>
      <c r="G6" s="65" t="str">
        <f>'29.07 Ntinda-Naalya'!G6:H6</f>
        <v>NAALYA</v>
      </c>
      <c r="H6" s="66"/>
      <c r="J6" s="2" t="s">
        <v>21</v>
      </c>
      <c r="K6" s="65" t="str">
        <f>'29.07 Ntinda-Naalya'!K6:L6</f>
        <v>STEVEN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102</v>
      </c>
      <c r="D10" s="50">
        <v>11</v>
      </c>
      <c r="E10" s="50">
        <v>12</v>
      </c>
      <c r="F10" s="50">
        <v>9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1</v>
      </c>
      <c r="M10" s="50">
        <v>59</v>
      </c>
      <c r="N10" s="50">
        <v>0</v>
      </c>
      <c r="O10" s="15">
        <f t="shared" ref="O10:O57" si="0">SUM(C10:L10,N10)</f>
        <v>135</v>
      </c>
      <c r="P10" s="15">
        <f t="shared" ref="P10:P57" si="1">SUM(C10:N10)</f>
        <v>194</v>
      </c>
      <c r="R10" s="1" t="s">
        <v>6</v>
      </c>
      <c r="S10" s="17">
        <f t="shared" ref="S10:AF10" si="2">SUM(C10:C13)</f>
        <v>492</v>
      </c>
      <c r="T10" s="17">
        <f t="shared" si="2"/>
        <v>67</v>
      </c>
      <c r="U10" s="17">
        <f t="shared" si="2"/>
        <v>21</v>
      </c>
      <c r="V10" s="17">
        <f t="shared" si="2"/>
        <v>32</v>
      </c>
      <c r="W10" s="17">
        <f t="shared" si="2"/>
        <v>1</v>
      </c>
      <c r="X10" s="17">
        <f t="shared" si="2"/>
        <v>0</v>
      </c>
      <c r="Y10" s="17">
        <f t="shared" si="2"/>
        <v>15</v>
      </c>
      <c r="Z10" s="17">
        <f t="shared" si="2"/>
        <v>2</v>
      </c>
      <c r="AA10" s="17">
        <f t="shared" si="2"/>
        <v>1</v>
      </c>
      <c r="AB10" s="17">
        <f t="shared" si="2"/>
        <v>1</v>
      </c>
      <c r="AC10" s="17">
        <f t="shared" si="2"/>
        <v>216</v>
      </c>
      <c r="AD10" s="17">
        <f t="shared" si="2"/>
        <v>0</v>
      </c>
      <c r="AE10" s="31">
        <f t="shared" si="2"/>
        <v>632</v>
      </c>
      <c r="AF10" s="31">
        <f t="shared" si="2"/>
        <v>848</v>
      </c>
    </row>
    <row r="11" spans="2:32" s="6" customFormat="1" ht="23.1" customHeight="1" x14ac:dyDescent="0.25">
      <c r="B11" s="23" t="s">
        <v>38</v>
      </c>
      <c r="C11" s="50">
        <v>120</v>
      </c>
      <c r="D11" s="50">
        <v>16</v>
      </c>
      <c r="E11" s="50">
        <v>3</v>
      </c>
      <c r="F11" s="50">
        <v>11</v>
      </c>
      <c r="G11" s="50">
        <v>0</v>
      </c>
      <c r="H11" s="50">
        <v>0</v>
      </c>
      <c r="I11" s="50">
        <v>5</v>
      </c>
      <c r="J11" s="50">
        <v>1</v>
      </c>
      <c r="K11" s="50">
        <v>0</v>
      </c>
      <c r="L11" s="50">
        <v>0</v>
      </c>
      <c r="M11" s="50">
        <v>48</v>
      </c>
      <c r="N11" s="50">
        <v>0</v>
      </c>
      <c r="O11" s="15">
        <f t="shared" si="0"/>
        <v>156</v>
      </c>
      <c r="P11" s="15">
        <f t="shared" si="1"/>
        <v>204</v>
      </c>
      <c r="R11" s="1" t="s">
        <v>7</v>
      </c>
      <c r="S11" s="17">
        <f t="shared" ref="S11:AF11" si="3">SUM(C14:C17)</f>
        <v>318</v>
      </c>
      <c r="T11" s="17">
        <f t="shared" si="3"/>
        <v>85</v>
      </c>
      <c r="U11" s="17">
        <f t="shared" si="3"/>
        <v>12</v>
      </c>
      <c r="V11" s="17">
        <f t="shared" si="3"/>
        <v>50</v>
      </c>
      <c r="W11" s="17">
        <f t="shared" si="3"/>
        <v>1</v>
      </c>
      <c r="X11" s="17">
        <f t="shared" si="3"/>
        <v>2</v>
      </c>
      <c r="Y11" s="17">
        <f t="shared" si="3"/>
        <v>13</v>
      </c>
      <c r="Z11" s="17">
        <f t="shared" si="3"/>
        <v>4</v>
      </c>
      <c r="AA11" s="17">
        <f t="shared" si="3"/>
        <v>2</v>
      </c>
      <c r="AB11" s="17">
        <f t="shared" si="3"/>
        <v>0</v>
      </c>
      <c r="AC11" s="17">
        <f t="shared" si="3"/>
        <v>256</v>
      </c>
      <c r="AD11" s="17">
        <f t="shared" si="3"/>
        <v>0</v>
      </c>
      <c r="AE11" s="31">
        <f t="shared" si="3"/>
        <v>487</v>
      </c>
      <c r="AF11" s="31">
        <f t="shared" si="3"/>
        <v>743</v>
      </c>
    </row>
    <row r="12" spans="2:32" ht="23.1" customHeight="1" x14ac:dyDescent="0.25">
      <c r="B12" s="23" t="s">
        <v>39</v>
      </c>
      <c r="C12" s="50">
        <v>161</v>
      </c>
      <c r="D12" s="50">
        <v>17</v>
      </c>
      <c r="E12" s="50">
        <v>0</v>
      </c>
      <c r="F12" s="50">
        <v>9</v>
      </c>
      <c r="G12" s="50">
        <v>0</v>
      </c>
      <c r="H12" s="50">
        <v>0</v>
      </c>
      <c r="I12" s="50">
        <v>4</v>
      </c>
      <c r="J12" s="50">
        <v>1</v>
      </c>
      <c r="K12" s="50">
        <v>0</v>
      </c>
      <c r="L12" s="50">
        <v>0</v>
      </c>
      <c r="M12" s="50">
        <v>52</v>
      </c>
      <c r="N12" s="50">
        <v>0</v>
      </c>
      <c r="O12" s="15">
        <f t="shared" si="0"/>
        <v>192</v>
      </c>
      <c r="P12" s="15">
        <f t="shared" si="1"/>
        <v>244</v>
      </c>
      <c r="R12" s="1" t="s">
        <v>8</v>
      </c>
      <c r="S12" s="17">
        <f t="shared" ref="S12:AF12" si="4">SUM(C18:C21)</f>
        <v>236</v>
      </c>
      <c r="T12" s="17">
        <f t="shared" si="4"/>
        <v>80</v>
      </c>
      <c r="U12" s="17">
        <f t="shared" si="4"/>
        <v>15</v>
      </c>
      <c r="V12" s="17">
        <f t="shared" si="4"/>
        <v>35</v>
      </c>
      <c r="W12" s="17">
        <f t="shared" si="4"/>
        <v>0</v>
      </c>
      <c r="X12" s="17">
        <f t="shared" si="4"/>
        <v>3</v>
      </c>
      <c r="Y12" s="17">
        <f t="shared" si="4"/>
        <v>14</v>
      </c>
      <c r="Z12" s="17">
        <f t="shared" si="4"/>
        <v>3</v>
      </c>
      <c r="AA12" s="17">
        <f t="shared" si="4"/>
        <v>3</v>
      </c>
      <c r="AB12" s="17">
        <f t="shared" si="4"/>
        <v>0</v>
      </c>
      <c r="AC12" s="17">
        <f t="shared" si="4"/>
        <v>240</v>
      </c>
      <c r="AD12" s="17">
        <f t="shared" si="4"/>
        <v>0</v>
      </c>
      <c r="AE12" s="31">
        <f t="shared" si="4"/>
        <v>389</v>
      </c>
      <c r="AF12" s="31">
        <f t="shared" si="4"/>
        <v>629</v>
      </c>
    </row>
    <row r="13" spans="2:32" ht="23.1" customHeight="1" x14ac:dyDescent="0.25">
      <c r="B13" s="23" t="s">
        <v>40</v>
      </c>
      <c r="C13" s="50">
        <v>109</v>
      </c>
      <c r="D13" s="50">
        <v>23</v>
      </c>
      <c r="E13" s="50">
        <v>6</v>
      </c>
      <c r="F13" s="50">
        <v>3</v>
      </c>
      <c r="G13" s="50">
        <v>1</v>
      </c>
      <c r="H13" s="50">
        <v>0</v>
      </c>
      <c r="I13" s="50">
        <v>6</v>
      </c>
      <c r="J13" s="50">
        <v>0</v>
      </c>
      <c r="K13" s="50">
        <v>1</v>
      </c>
      <c r="L13" s="50">
        <v>0</v>
      </c>
      <c r="M13" s="50">
        <v>57</v>
      </c>
      <c r="N13" s="50">
        <v>0</v>
      </c>
      <c r="O13" s="15">
        <f t="shared" si="0"/>
        <v>149</v>
      </c>
      <c r="P13" s="15">
        <f t="shared" si="1"/>
        <v>206</v>
      </c>
      <c r="R13" s="1" t="s">
        <v>9</v>
      </c>
      <c r="S13" s="17">
        <f t="shared" ref="S13:AF13" si="5">SUM(C22:C25)</f>
        <v>224</v>
      </c>
      <c r="T13" s="17">
        <f t="shared" si="5"/>
        <v>51</v>
      </c>
      <c r="U13" s="17">
        <f t="shared" si="5"/>
        <v>18</v>
      </c>
      <c r="V13" s="17">
        <f t="shared" si="5"/>
        <v>24</v>
      </c>
      <c r="W13" s="17">
        <f t="shared" si="5"/>
        <v>0</v>
      </c>
      <c r="X13" s="17">
        <f t="shared" si="5"/>
        <v>1</v>
      </c>
      <c r="Y13" s="17">
        <f t="shared" si="5"/>
        <v>21</v>
      </c>
      <c r="Z13" s="17">
        <f t="shared" si="5"/>
        <v>9</v>
      </c>
      <c r="AA13" s="17">
        <f t="shared" si="5"/>
        <v>0</v>
      </c>
      <c r="AB13" s="17">
        <f t="shared" si="5"/>
        <v>0</v>
      </c>
      <c r="AC13" s="17">
        <f t="shared" si="5"/>
        <v>242</v>
      </c>
      <c r="AD13" s="17">
        <f t="shared" si="5"/>
        <v>0</v>
      </c>
      <c r="AE13" s="31">
        <f t="shared" si="5"/>
        <v>348</v>
      </c>
      <c r="AF13" s="31">
        <f t="shared" si="5"/>
        <v>590</v>
      </c>
    </row>
    <row r="14" spans="2:32" ht="23.1" customHeight="1" x14ac:dyDescent="0.25">
      <c r="B14" s="23" t="s">
        <v>41</v>
      </c>
      <c r="C14" s="50">
        <v>92</v>
      </c>
      <c r="D14" s="50">
        <v>24</v>
      </c>
      <c r="E14" s="50">
        <v>2</v>
      </c>
      <c r="F14" s="50">
        <v>18</v>
      </c>
      <c r="G14" s="50">
        <v>1</v>
      </c>
      <c r="H14" s="50">
        <v>1</v>
      </c>
      <c r="I14" s="50">
        <v>2</v>
      </c>
      <c r="J14" s="50">
        <v>0</v>
      </c>
      <c r="K14" s="50">
        <v>2</v>
      </c>
      <c r="L14" s="50">
        <v>0</v>
      </c>
      <c r="M14" s="50">
        <v>48</v>
      </c>
      <c r="N14" s="50">
        <v>0</v>
      </c>
      <c r="O14" s="15">
        <f t="shared" si="0"/>
        <v>142</v>
      </c>
      <c r="P14" s="15">
        <f t="shared" si="1"/>
        <v>190</v>
      </c>
      <c r="R14" s="1" t="s">
        <v>10</v>
      </c>
      <c r="S14" s="17">
        <f t="shared" ref="S14:AF14" si="6">SUM(C26:C29)</f>
        <v>243</v>
      </c>
      <c r="T14" s="17">
        <f t="shared" si="6"/>
        <v>60</v>
      </c>
      <c r="U14" s="17">
        <f t="shared" si="6"/>
        <v>14</v>
      </c>
      <c r="V14" s="17">
        <f t="shared" si="6"/>
        <v>30</v>
      </c>
      <c r="W14" s="17">
        <f t="shared" si="6"/>
        <v>0</v>
      </c>
      <c r="X14" s="17">
        <f t="shared" si="6"/>
        <v>2</v>
      </c>
      <c r="Y14" s="17">
        <f t="shared" si="6"/>
        <v>23</v>
      </c>
      <c r="Z14" s="17">
        <f t="shared" si="6"/>
        <v>5</v>
      </c>
      <c r="AA14" s="17">
        <f t="shared" si="6"/>
        <v>5</v>
      </c>
      <c r="AB14" s="17">
        <f t="shared" si="6"/>
        <v>1</v>
      </c>
      <c r="AC14" s="17">
        <f t="shared" si="6"/>
        <v>201</v>
      </c>
      <c r="AD14" s="17">
        <f t="shared" si="6"/>
        <v>0</v>
      </c>
      <c r="AE14" s="31">
        <f t="shared" si="6"/>
        <v>383</v>
      </c>
      <c r="AF14" s="31">
        <f t="shared" si="6"/>
        <v>584</v>
      </c>
    </row>
    <row r="15" spans="2:32" ht="23.1" customHeight="1" x14ac:dyDescent="0.25">
      <c r="B15" s="23" t="s">
        <v>42</v>
      </c>
      <c r="C15" s="50">
        <v>99</v>
      </c>
      <c r="D15" s="50">
        <v>15</v>
      </c>
      <c r="E15" s="50">
        <v>2</v>
      </c>
      <c r="F15" s="50">
        <v>9</v>
      </c>
      <c r="G15" s="50">
        <v>0</v>
      </c>
      <c r="H15" s="50">
        <v>0</v>
      </c>
      <c r="I15" s="50">
        <v>7</v>
      </c>
      <c r="J15" s="50">
        <v>3</v>
      </c>
      <c r="K15" s="50">
        <v>0</v>
      </c>
      <c r="L15" s="50">
        <v>0</v>
      </c>
      <c r="M15" s="50">
        <v>74</v>
      </c>
      <c r="N15" s="50">
        <v>0</v>
      </c>
      <c r="O15" s="15">
        <f t="shared" si="0"/>
        <v>135</v>
      </c>
      <c r="P15" s="15">
        <f t="shared" si="1"/>
        <v>209</v>
      </c>
      <c r="R15" s="1" t="s">
        <v>11</v>
      </c>
      <c r="S15" s="17">
        <f t="shared" ref="S15:AF15" si="7">SUM(C30:C33)</f>
        <v>228</v>
      </c>
      <c r="T15" s="17">
        <f t="shared" si="7"/>
        <v>72</v>
      </c>
      <c r="U15" s="17">
        <f t="shared" si="7"/>
        <v>15</v>
      </c>
      <c r="V15" s="17">
        <f t="shared" si="7"/>
        <v>37</v>
      </c>
      <c r="W15" s="17">
        <f t="shared" si="7"/>
        <v>1</v>
      </c>
      <c r="X15" s="17">
        <f t="shared" si="7"/>
        <v>1</v>
      </c>
      <c r="Y15" s="17">
        <f t="shared" si="7"/>
        <v>15</v>
      </c>
      <c r="Z15" s="17">
        <f t="shared" si="7"/>
        <v>10</v>
      </c>
      <c r="AA15" s="17">
        <f t="shared" si="7"/>
        <v>1</v>
      </c>
      <c r="AB15" s="17">
        <f t="shared" si="7"/>
        <v>1</v>
      </c>
      <c r="AC15" s="17">
        <f t="shared" si="7"/>
        <v>186</v>
      </c>
      <c r="AD15" s="17">
        <f t="shared" si="7"/>
        <v>0</v>
      </c>
      <c r="AE15" s="31">
        <f t="shared" si="7"/>
        <v>381</v>
      </c>
      <c r="AF15" s="31">
        <f t="shared" si="7"/>
        <v>567</v>
      </c>
    </row>
    <row r="16" spans="2:32" ht="23.1" customHeight="1" x14ac:dyDescent="0.25">
      <c r="B16" s="23" t="s">
        <v>43</v>
      </c>
      <c r="C16" s="50">
        <v>56</v>
      </c>
      <c r="D16" s="50">
        <v>29</v>
      </c>
      <c r="E16" s="50">
        <v>1</v>
      </c>
      <c r="F16" s="50">
        <v>14</v>
      </c>
      <c r="G16" s="50">
        <v>0</v>
      </c>
      <c r="H16" s="50">
        <v>1</v>
      </c>
      <c r="I16" s="50">
        <v>2</v>
      </c>
      <c r="J16" s="50">
        <v>0</v>
      </c>
      <c r="K16" s="50">
        <v>0</v>
      </c>
      <c r="L16" s="50">
        <v>0</v>
      </c>
      <c r="M16" s="50">
        <v>87</v>
      </c>
      <c r="N16" s="50">
        <v>0</v>
      </c>
      <c r="O16" s="15">
        <f t="shared" si="0"/>
        <v>103</v>
      </c>
      <c r="P16" s="15">
        <f t="shared" si="1"/>
        <v>190</v>
      </c>
      <c r="R16" s="1" t="s">
        <v>12</v>
      </c>
      <c r="S16" s="17">
        <f t="shared" ref="S16:AF16" si="8">SUM(C34:C37)</f>
        <v>260</v>
      </c>
      <c r="T16" s="17">
        <f t="shared" si="8"/>
        <v>29</v>
      </c>
      <c r="U16" s="17">
        <f t="shared" si="8"/>
        <v>29</v>
      </c>
      <c r="V16" s="17">
        <f t="shared" si="8"/>
        <v>22</v>
      </c>
      <c r="W16" s="17">
        <f t="shared" si="8"/>
        <v>1</v>
      </c>
      <c r="X16" s="17">
        <f t="shared" si="8"/>
        <v>1</v>
      </c>
      <c r="Y16" s="17">
        <f t="shared" si="8"/>
        <v>20</v>
      </c>
      <c r="Z16" s="17">
        <f t="shared" si="8"/>
        <v>5</v>
      </c>
      <c r="AA16" s="17">
        <f t="shared" si="8"/>
        <v>1</v>
      </c>
      <c r="AB16" s="17">
        <f t="shared" si="8"/>
        <v>0</v>
      </c>
      <c r="AC16" s="17">
        <f t="shared" si="8"/>
        <v>254</v>
      </c>
      <c r="AD16" s="17">
        <f t="shared" si="8"/>
        <v>0</v>
      </c>
      <c r="AE16" s="31">
        <f t="shared" si="8"/>
        <v>368</v>
      </c>
      <c r="AF16" s="31">
        <f t="shared" si="8"/>
        <v>622</v>
      </c>
    </row>
    <row r="17" spans="2:32" ht="23.1" customHeight="1" x14ac:dyDescent="0.25">
      <c r="B17" s="23" t="s">
        <v>44</v>
      </c>
      <c r="C17" s="50">
        <v>71</v>
      </c>
      <c r="D17" s="50">
        <v>17</v>
      </c>
      <c r="E17" s="50">
        <v>7</v>
      </c>
      <c r="F17" s="50">
        <v>9</v>
      </c>
      <c r="G17" s="50">
        <v>0</v>
      </c>
      <c r="H17" s="50">
        <v>0</v>
      </c>
      <c r="I17" s="50">
        <v>2</v>
      </c>
      <c r="J17" s="50">
        <v>1</v>
      </c>
      <c r="K17" s="50">
        <v>0</v>
      </c>
      <c r="L17" s="50">
        <v>0</v>
      </c>
      <c r="M17" s="50">
        <v>47</v>
      </c>
      <c r="N17" s="50">
        <v>0</v>
      </c>
      <c r="O17" s="15">
        <f t="shared" si="0"/>
        <v>107</v>
      </c>
      <c r="P17" s="15">
        <f t="shared" si="1"/>
        <v>154</v>
      </c>
      <c r="R17" s="1" t="s">
        <v>13</v>
      </c>
      <c r="S17" s="17">
        <f t="shared" ref="S17:AF17" si="9">SUM(C38:C41)</f>
        <v>307</v>
      </c>
      <c r="T17" s="17">
        <f t="shared" si="9"/>
        <v>91</v>
      </c>
      <c r="U17" s="17">
        <f t="shared" si="9"/>
        <v>24</v>
      </c>
      <c r="V17" s="17">
        <f t="shared" si="9"/>
        <v>34</v>
      </c>
      <c r="W17" s="17">
        <f t="shared" si="9"/>
        <v>6</v>
      </c>
      <c r="X17" s="17">
        <f t="shared" si="9"/>
        <v>2</v>
      </c>
      <c r="Y17" s="17">
        <f t="shared" si="9"/>
        <v>16</v>
      </c>
      <c r="Z17" s="17">
        <f t="shared" si="9"/>
        <v>4</v>
      </c>
      <c r="AA17" s="17">
        <f t="shared" si="9"/>
        <v>1</v>
      </c>
      <c r="AB17" s="17">
        <f t="shared" si="9"/>
        <v>1</v>
      </c>
      <c r="AC17" s="17">
        <f t="shared" si="9"/>
        <v>321</v>
      </c>
      <c r="AD17" s="17">
        <f t="shared" si="9"/>
        <v>0</v>
      </c>
      <c r="AE17" s="31">
        <f t="shared" si="9"/>
        <v>486</v>
      </c>
      <c r="AF17" s="31">
        <f t="shared" si="9"/>
        <v>807</v>
      </c>
    </row>
    <row r="18" spans="2:32" ht="23.1" customHeight="1" x14ac:dyDescent="0.25">
      <c r="B18" s="23" t="s">
        <v>45</v>
      </c>
      <c r="C18" s="50">
        <v>61</v>
      </c>
      <c r="D18" s="50">
        <v>23</v>
      </c>
      <c r="E18" s="50">
        <v>1</v>
      </c>
      <c r="F18" s="50">
        <v>6</v>
      </c>
      <c r="G18" s="50">
        <v>0</v>
      </c>
      <c r="H18" s="50">
        <v>1</v>
      </c>
      <c r="I18" s="50">
        <v>1</v>
      </c>
      <c r="J18" s="50">
        <v>1</v>
      </c>
      <c r="K18" s="50">
        <v>1</v>
      </c>
      <c r="L18" s="50">
        <v>0</v>
      </c>
      <c r="M18" s="50">
        <v>60</v>
      </c>
      <c r="N18" s="50">
        <v>0</v>
      </c>
      <c r="O18" s="15">
        <f t="shared" si="0"/>
        <v>95</v>
      </c>
      <c r="P18" s="15">
        <f t="shared" si="1"/>
        <v>155</v>
      </c>
      <c r="R18" s="1" t="s">
        <v>14</v>
      </c>
      <c r="S18" s="17">
        <f t="shared" ref="S18:AF18" si="10">SUM(C42:C45)</f>
        <v>357</v>
      </c>
      <c r="T18" s="17">
        <f t="shared" si="10"/>
        <v>84</v>
      </c>
      <c r="U18" s="17">
        <f t="shared" si="10"/>
        <v>11</v>
      </c>
      <c r="V18" s="17">
        <f t="shared" si="10"/>
        <v>25</v>
      </c>
      <c r="W18" s="17">
        <f t="shared" si="10"/>
        <v>3</v>
      </c>
      <c r="X18" s="17">
        <f t="shared" si="10"/>
        <v>2</v>
      </c>
      <c r="Y18" s="17">
        <f t="shared" si="10"/>
        <v>6</v>
      </c>
      <c r="Z18" s="17">
        <f t="shared" si="10"/>
        <v>14</v>
      </c>
      <c r="AA18" s="17">
        <f t="shared" si="10"/>
        <v>0</v>
      </c>
      <c r="AB18" s="17">
        <f t="shared" si="10"/>
        <v>0</v>
      </c>
      <c r="AC18" s="17">
        <f t="shared" si="10"/>
        <v>246</v>
      </c>
      <c r="AD18" s="17">
        <f t="shared" si="10"/>
        <v>0</v>
      </c>
      <c r="AE18" s="31">
        <f t="shared" si="10"/>
        <v>502</v>
      </c>
      <c r="AF18" s="31">
        <f t="shared" si="10"/>
        <v>748</v>
      </c>
    </row>
    <row r="19" spans="2:32" ht="23.1" customHeight="1" x14ac:dyDescent="0.25">
      <c r="B19" s="23" t="s">
        <v>46</v>
      </c>
      <c r="C19" s="50">
        <v>52</v>
      </c>
      <c r="D19" s="50">
        <v>26</v>
      </c>
      <c r="E19" s="50">
        <v>6</v>
      </c>
      <c r="F19" s="50">
        <v>13</v>
      </c>
      <c r="G19" s="50">
        <v>0</v>
      </c>
      <c r="H19" s="50">
        <v>0</v>
      </c>
      <c r="I19" s="50">
        <v>5</v>
      </c>
      <c r="J19" s="50">
        <v>0</v>
      </c>
      <c r="K19" s="50">
        <v>1</v>
      </c>
      <c r="L19" s="50">
        <v>0</v>
      </c>
      <c r="M19" s="50">
        <v>64</v>
      </c>
      <c r="N19" s="50">
        <v>0</v>
      </c>
      <c r="O19" s="15">
        <f t="shared" si="0"/>
        <v>103</v>
      </c>
      <c r="P19" s="15">
        <f t="shared" si="1"/>
        <v>167</v>
      </c>
      <c r="R19" s="1" t="s">
        <v>15</v>
      </c>
      <c r="S19" s="17">
        <f t="shared" ref="S19:AF19" si="11">SUM(C46:C49)</f>
        <v>562</v>
      </c>
      <c r="T19" s="17">
        <f t="shared" si="11"/>
        <v>109</v>
      </c>
      <c r="U19" s="17">
        <f t="shared" si="11"/>
        <v>11</v>
      </c>
      <c r="V19" s="17">
        <f t="shared" si="11"/>
        <v>36</v>
      </c>
      <c r="W19" s="17">
        <f t="shared" si="11"/>
        <v>2</v>
      </c>
      <c r="X19" s="17">
        <f t="shared" si="11"/>
        <v>0</v>
      </c>
      <c r="Y19" s="17">
        <f t="shared" si="11"/>
        <v>18</v>
      </c>
      <c r="Z19" s="17">
        <f t="shared" si="11"/>
        <v>7</v>
      </c>
      <c r="AA19" s="17">
        <f t="shared" si="11"/>
        <v>0</v>
      </c>
      <c r="AB19" s="17">
        <f t="shared" si="11"/>
        <v>0</v>
      </c>
      <c r="AC19" s="17">
        <f t="shared" si="11"/>
        <v>252</v>
      </c>
      <c r="AD19" s="17">
        <f t="shared" si="11"/>
        <v>0</v>
      </c>
      <c r="AE19" s="31">
        <f t="shared" si="11"/>
        <v>745</v>
      </c>
      <c r="AF19" s="31">
        <f t="shared" si="11"/>
        <v>997</v>
      </c>
    </row>
    <row r="20" spans="2:32" ht="23.1" customHeight="1" x14ac:dyDescent="0.25">
      <c r="B20" s="23" t="s">
        <v>47</v>
      </c>
      <c r="C20" s="50">
        <v>58</v>
      </c>
      <c r="D20" s="50">
        <v>17</v>
      </c>
      <c r="E20" s="50">
        <v>4</v>
      </c>
      <c r="F20" s="50">
        <v>6</v>
      </c>
      <c r="G20" s="50">
        <v>0</v>
      </c>
      <c r="H20" s="50">
        <v>1</v>
      </c>
      <c r="I20" s="50">
        <v>4</v>
      </c>
      <c r="J20" s="50">
        <v>1</v>
      </c>
      <c r="K20" s="50">
        <v>0</v>
      </c>
      <c r="L20" s="50">
        <v>0</v>
      </c>
      <c r="M20" s="50">
        <v>63</v>
      </c>
      <c r="N20" s="50">
        <v>0</v>
      </c>
      <c r="O20" s="15">
        <f t="shared" si="0"/>
        <v>91</v>
      </c>
      <c r="P20" s="15">
        <f t="shared" si="1"/>
        <v>154</v>
      </c>
      <c r="R20" s="1" t="s">
        <v>16</v>
      </c>
      <c r="S20" s="17">
        <f t="shared" ref="S20:AF20" si="12">SUM(C50:C53)</f>
        <v>611</v>
      </c>
      <c r="T20" s="17">
        <f t="shared" si="12"/>
        <v>107</v>
      </c>
      <c r="U20" s="17">
        <f t="shared" si="12"/>
        <v>23</v>
      </c>
      <c r="V20" s="17">
        <f t="shared" si="12"/>
        <v>37</v>
      </c>
      <c r="W20" s="17">
        <f t="shared" si="12"/>
        <v>3</v>
      </c>
      <c r="X20" s="17">
        <f t="shared" si="12"/>
        <v>0</v>
      </c>
      <c r="Y20" s="17">
        <f t="shared" si="12"/>
        <v>8</v>
      </c>
      <c r="Z20" s="17">
        <f t="shared" si="12"/>
        <v>8</v>
      </c>
      <c r="AA20" s="17">
        <f t="shared" si="12"/>
        <v>4</v>
      </c>
      <c r="AB20" s="17">
        <f t="shared" si="12"/>
        <v>0</v>
      </c>
      <c r="AC20" s="17">
        <f t="shared" si="12"/>
        <v>289</v>
      </c>
      <c r="AD20" s="17">
        <f t="shared" si="12"/>
        <v>0</v>
      </c>
      <c r="AE20" s="31">
        <f t="shared" si="12"/>
        <v>801</v>
      </c>
      <c r="AF20" s="31">
        <f t="shared" si="12"/>
        <v>1090</v>
      </c>
    </row>
    <row r="21" spans="2:32" ht="23.1" customHeight="1" x14ac:dyDescent="0.25">
      <c r="B21" s="23" t="s">
        <v>48</v>
      </c>
      <c r="C21" s="50">
        <v>65</v>
      </c>
      <c r="D21" s="50">
        <v>14</v>
      </c>
      <c r="E21" s="50">
        <v>4</v>
      </c>
      <c r="F21" s="50">
        <v>10</v>
      </c>
      <c r="G21" s="50">
        <v>0</v>
      </c>
      <c r="H21" s="50">
        <v>1</v>
      </c>
      <c r="I21" s="50">
        <v>4</v>
      </c>
      <c r="J21" s="50">
        <v>1</v>
      </c>
      <c r="K21" s="50">
        <v>1</v>
      </c>
      <c r="L21" s="50">
        <v>0</v>
      </c>
      <c r="M21" s="50">
        <v>53</v>
      </c>
      <c r="N21" s="50">
        <v>0</v>
      </c>
      <c r="O21" s="15">
        <f t="shared" si="0"/>
        <v>100</v>
      </c>
      <c r="P21" s="15">
        <f t="shared" si="1"/>
        <v>153</v>
      </c>
      <c r="R21" s="36" t="s">
        <v>20</v>
      </c>
      <c r="S21" s="34">
        <f t="shared" ref="S21:AF21" si="13">SUM(C54:C57)</f>
        <v>663</v>
      </c>
      <c r="T21" s="17">
        <f t="shared" si="13"/>
        <v>127</v>
      </c>
      <c r="U21" s="17">
        <f t="shared" si="13"/>
        <v>10</v>
      </c>
      <c r="V21" s="17">
        <f t="shared" si="13"/>
        <v>47</v>
      </c>
      <c r="W21" s="17">
        <f t="shared" si="13"/>
        <v>10</v>
      </c>
      <c r="X21" s="17">
        <f t="shared" si="13"/>
        <v>2</v>
      </c>
      <c r="Y21" s="17">
        <f t="shared" si="13"/>
        <v>21</v>
      </c>
      <c r="Z21" s="17">
        <f t="shared" si="13"/>
        <v>10</v>
      </c>
      <c r="AA21" s="17">
        <f t="shared" si="13"/>
        <v>5</v>
      </c>
      <c r="AB21" s="17">
        <f t="shared" si="13"/>
        <v>0</v>
      </c>
      <c r="AC21" s="17">
        <f t="shared" si="13"/>
        <v>300</v>
      </c>
      <c r="AD21" s="17">
        <f t="shared" si="13"/>
        <v>0</v>
      </c>
      <c r="AE21" s="31">
        <f t="shared" si="13"/>
        <v>895</v>
      </c>
      <c r="AF21" s="31">
        <f t="shared" si="13"/>
        <v>1195</v>
      </c>
    </row>
    <row r="22" spans="2:32" ht="23.1" customHeight="1" x14ac:dyDescent="0.25">
      <c r="B22" s="23" t="s">
        <v>49</v>
      </c>
      <c r="C22" s="50">
        <v>70</v>
      </c>
      <c r="D22" s="50">
        <v>16</v>
      </c>
      <c r="E22" s="50">
        <v>5</v>
      </c>
      <c r="F22" s="50">
        <v>6</v>
      </c>
      <c r="G22" s="50">
        <v>0</v>
      </c>
      <c r="H22" s="50">
        <v>0</v>
      </c>
      <c r="I22" s="50">
        <v>6</v>
      </c>
      <c r="J22" s="50">
        <v>2</v>
      </c>
      <c r="K22" s="50">
        <v>0</v>
      </c>
      <c r="L22" s="50">
        <v>0</v>
      </c>
      <c r="M22" s="50">
        <v>49</v>
      </c>
      <c r="N22" s="50">
        <v>0</v>
      </c>
      <c r="O22" s="15">
        <f t="shared" si="0"/>
        <v>105</v>
      </c>
      <c r="P22" s="15">
        <f t="shared" si="1"/>
        <v>154</v>
      </c>
      <c r="R22" s="38" t="s">
        <v>90</v>
      </c>
      <c r="S22" s="39">
        <f>MAX(S10:S12)</f>
        <v>492</v>
      </c>
      <c r="T22" s="39">
        <f t="shared" ref="T22:AF22" si="14">MAX(T10:T12)</f>
        <v>85</v>
      </c>
      <c r="U22" s="39">
        <f t="shared" si="14"/>
        <v>21</v>
      </c>
      <c r="V22" s="39">
        <f t="shared" si="14"/>
        <v>50</v>
      </c>
      <c r="W22" s="39">
        <f t="shared" si="14"/>
        <v>1</v>
      </c>
      <c r="X22" s="39">
        <f t="shared" si="14"/>
        <v>3</v>
      </c>
      <c r="Y22" s="39">
        <f t="shared" si="14"/>
        <v>15</v>
      </c>
      <c r="Z22" s="39">
        <f t="shared" si="14"/>
        <v>4</v>
      </c>
      <c r="AA22" s="39">
        <f t="shared" si="14"/>
        <v>3</v>
      </c>
      <c r="AB22" s="39">
        <f t="shared" si="14"/>
        <v>1</v>
      </c>
      <c r="AC22" s="39">
        <f t="shared" si="14"/>
        <v>256</v>
      </c>
      <c r="AD22" s="39">
        <f t="shared" si="14"/>
        <v>0</v>
      </c>
      <c r="AE22" s="40">
        <f t="shared" si="14"/>
        <v>632</v>
      </c>
      <c r="AF22" s="40">
        <f t="shared" si="14"/>
        <v>848</v>
      </c>
    </row>
    <row r="23" spans="2:32" ht="23.1" customHeight="1" x14ac:dyDescent="0.25">
      <c r="B23" s="23" t="s">
        <v>50</v>
      </c>
      <c r="C23" s="50">
        <v>71</v>
      </c>
      <c r="D23" s="50">
        <v>14</v>
      </c>
      <c r="E23" s="50">
        <v>9</v>
      </c>
      <c r="F23" s="50">
        <v>6</v>
      </c>
      <c r="G23" s="50">
        <v>0</v>
      </c>
      <c r="H23" s="50">
        <v>1</v>
      </c>
      <c r="I23" s="50">
        <v>0</v>
      </c>
      <c r="J23" s="50">
        <v>1</v>
      </c>
      <c r="K23" s="50">
        <v>0</v>
      </c>
      <c r="L23" s="50">
        <v>0</v>
      </c>
      <c r="M23" s="50">
        <v>55</v>
      </c>
      <c r="N23" s="50">
        <v>0</v>
      </c>
      <c r="O23" s="15">
        <f t="shared" si="0"/>
        <v>102</v>
      </c>
      <c r="P23" s="15">
        <f t="shared" si="1"/>
        <v>157</v>
      </c>
      <c r="R23" s="38" t="s">
        <v>91</v>
      </c>
      <c r="S23" s="39">
        <f>MAX(S13:S18)</f>
        <v>357</v>
      </c>
      <c r="T23" s="39">
        <f t="shared" ref="T23:AF23" si="15">MAX(T13:T18)</f>
        <v>91</v>
      </c>
      <c r="U23" s="39">
        <f t="shared" si="15"/>
        <v>29</v>
      </c>
      <c r="V23" s="39">
        <f t="shared" si="15"/>
        <v>37</v>
      </c>
      <c r="W23" s="39">
        <f t="shared" si="15"/>
        <v>6</v>
      </c>
      <c r="X23" s="39">
        <f t="shared" si="15"/>
        <v>2</v>
      </c>
      <c r="Y23" s="39">
        <f t="shared" si="15"/>
        <v>23</v>
      </c>
      <c r="Z23" s="39">
        <f t="shared" si="15"/>
        <v>14</v>
      </c>
      <c r="AA23" s="39">
        <f t="shared" si="15"/>
        <v>5</v>
      </c>
      <c r="AB23" s="39">
        <f t="shared" si="15"/>
        <v>1</v>
      </c>
      <c r="AC23" s="39">
        <f t="shared" si="15"/>
        <v>321</v>
      </c>
      <c r="AD23" s="39">
        <f t="shared" si="15"/>
        <v>0</v>
      </c>
      <c r="AE23" s="40">
        <f t="shared" si="15"/>
        <v>502</v>
      </c>
      <c r="AF23" s="40">
        <f t="shared" si="15"/>
        <v>807</v>
      </c>
    </row>
    <row r="24" spans="2:32" ht="23.1" customHeight="1" x14ac:dyDescent="0.25">
      <c r="B24" s="23" t="s">
        <v>51</v>
      </c>
      <c r="C24" s="50">
        <v>43</v>
      </c>
      <c r="D24" s="50">
        <v>7</v>
      </c>
      <c r="E24" s="50">
        <v>4</v>
      </c>
      <c r="F24" s="50">
        <v>4</v>
      </c>
      <c r="G24" s="50">
        <v>0</v>
      </c>
      <c r="H24" s="50">
        <v>0</v>
      </c>
      <c r="I24" s="50">
        <v>10</v>
      </c>
      <c r="J24" s="50">
        <v>4</v>
      </c>
      <c r="K24" s="50">
        <v>0</v>
      </c>
      <c r="L24" s="50">
        <v>0</v>
      </c>
      <c r="M24" s="50">
        <v>71</v>
      </c>
      <c r="N24" s="50">
        <v>0</v>
      </c>
      <c r="O24" s="15">
        <f t="shared" si="0"/>
        <v>72</v>
      </c>
      <c r="P24" s="15">
        <f t="shared" si="1"/>
        <v>143</v>
      </c>
      <c r="R24" s="38" t="s">
        <v>92</v>
      </c>
      <c r="S24" s="39">
        <f>MAX(S19:S21)</f>
        <v>663</v>
      </c>
      <c r="T24" s="39">
        <f t="shared" ref="T24:AF24" si="16">MAX(T19:T21)</f>
        <v>127</v>
      </c>
      <c r="U24" s="39">
        <f t="shared" si="16"/>
        <v>23</v>
      </c>
      <c r="V24" s="39">
        <f t="shared" si="16"/>
        <v>47</v>
      </c>
      <c r="W24" s="39">
        <f t="shared" si="16"/>
        <v>10</v>
      </c>
      <c r="X24" s="39">
        <f t="shared" si="16"/>
        <v>2</v>
      </c>
      <c r="Y24" s="39">
        <f t="shared" si="16"/>
        <v>21</v>
      </c>
      <c r="Z24" s="39">
        <f t="shared" si="16"/>
        <v>10</v>
      </c>
      <c r="AA24" s="39">
        <f t="shared" si="16"/>
        <v>5</v>
      </c>
      <c r="AB24" s="39">
        <f t="shared" si="16"/>
        <v>0</v>
      </c>
      <c r="AC24" s="39">
        <f t="shared" si="16"/>
        <v>300</v>
      </c>
      <c r="AD24" s="39">
        <f t="shared" si="16"/>
        <v>0</v>
      </c>
      <c r="AE24" s="40">
        <f t="shared" si="16"/>
        <v>895</v>
      </c>
      <c r="AF24" s="40">
        <f t="shared" si="16"/>
        <v>1195</v>
      </c>
    </row>
    <row r="25" spans="2:32" ht="23.1" customHeight="1" x14ac:dyDescent="0.25">
      <c r="B25" s="23" t="s">
        <v>52</v>
      </c>
      <c r="C25" s="50">
        <v>40</v>
      </c>
      <c r="D25" s="50">
        <v>14</v>
      </c>
      <c r="E25" s="50">
        <v>0</v>
      </c>
      <c r="F25" s="50">
        <v>8</v>
      </c>
      <c r="G25" s="50">
        <v>0</v>
      </c>
      <c r="H25" s="50">
        <v>0</v>
      </c>
      <c r="I25" s="50">
        <v>5</v>
      </c>
      <c r="J25" s="50">
        <v>2</v>
      </c>
      <c r="K25" s="50">
        <v>0</v>
      </c>
      <c r="L25" s="50">
        <v>0</v>
      </c>
      <c r="M25" s="50">
        <v>67</v>
      </c>
      <c r="N25" s="50">
        <v>0</v>
      </c>
      <c r="O25" s="15">
        <f t="shared" si="0"/>
        <v>69</v>
      </c>
      <c r="P25" s="15">
        <f t="shared" si="1"/>
        <v>136</v>
      </c>
      <c r="R25" s="37" t="s">
        <v>85</v>
      </c>
      <c r="S25" s="35">
        <f t="shared" ref="S25:AF25" si="17">SUM(S10:S12)</f>
        <v>1046</v>
      </c>
      <c r="T25" s="16">
        <f t="shared" si="17"/>
        <v>232</v>
      </c>
      <c r="U25" s="16">
        <f t="shared" si="17"/>
        <v>48</v>
      </c>
      <c r="V25" s="16">
        <f t="shared" si="17"/>
        <v>117</v>
      </c>
      <c r="W25" s="16">
        <f t="shared" si="17"/>
        <v>2</v>
      </c>
      <c r="X25" s="16">
        <f t="shared" si="17"/>
        <v>5</v>
      </c>
      <c r="Y25" s="16">
        <f t="shared" si="17"/>
        <v>42</v>
      </c>
      <c r="Z25" s="16">
        <f t="shared" si="17"/>
        <v>9</v>
      </c>
      <c r="AA25" s="16">
        <f t="shared" si="17"/>
        <v>6</v>
      </c>
      <c r="AB25" s="16">
        <f t="shared" si="17"/>
        <v>1</v>
      </c>
      <c r="AC25" s="16">
        <f t="shared" si="17"/>
        <v>712</v>
      </c>
      <c r="AD25" s="16">
        <f t="shared" si="17"/>
        <v>0</v>
      </c>
      <c r="AE25" s="32">
        <f t="shared" si="17"/>
        <v>1508</v>
      </c>
      <c r="AF25" s="32">
        <f t="shared" si="17"/>
        <v>2220</v>
      </c>
    </row>
    <row r="26" spans="2:32" ht="23.1" customHeight="1" x14ac:dyDescent="0.25">
      <c r="B26" s="23" t="s">
        <v>53</v>
      </c>
      <c r="C26" s="50">
        <v>51</v>
      </c>
      <c r="D26" s="50">
        <v>15</v>
      </c>
      <c r="E26" s="50">
        <v>6</v>
      </c>
      <c r="F26" s="50">
        <v>11</v>
      </c>
      <c r="G26" s="50">
        <v>0</v>
      </c>
      <c r="H26" s="50">
        <v>1</v>
      </c>
      <c r="I26" s="50">
        <v>7</v>
      </c>
      <c r="J26" s="50">
        <v>2</v>
      </c>
      <c r="K26" s="50">
        <v>0</v>
      </c>
      <c r="L26" s="50">
        <v>0</v>
      </c>
      <c r="M26" s="50">
        <v>59</v>
      </c>
      <c r="N26" s="50">
        <v>0</v>
      </c>
      <c r="O26" s="15">
        <f t="shared" si="0"/>
        <v>93</v>
      </c>
      <c r="P26" s="15">
        <f t="shared" si="1"/>
        <v>152</v>
      </c>
      <c r="R26" s="28" t="s">
        <v>86</v>
      </c>
      <c r="S26" s="16">
        <f t="shared" ref="S26:AF26" si="18">SUM(S13:S18)</f>
        <v>1619</v>
      </c>
      <c r="T26" s="16">
        <f t="shared" si="18"/>
        <v>387</v>
      </c>
      <c r="U26" s="16">
        <f t="shared" si="18"/>
        <v>111</v>
      </c>
      <c r="V26" s="16">
        <f t="shared" si="18"/>
        <v>172</v>
      </c>
      <c r="W26" s="16">
        <f t="shared" si="18"/>
        <v>11</v>
      </c>
      <c r="X26" s="16">
        <f t="shared" si="18"/>
        <v>9</v>
      </c>
      <c r="Y26" s="16">
        <f t="shared" si="18"/>
        <v>101</v>
      </c>
      <c r="Z26" s="16">
        <f t="shared" si="18"/>
        <v>47</v>
      </c>
      <c r="AA26" s="16">
        <f t="shared" si="18"/>
        <v>8</v>
      </c>
      <c r="AB26" s="16">
        <f t="shared" si="18"/>
        <v>3</v>
      </c>
      <c r="AC26" s="16">
        <f t="shared" si="18"/>
        <v>1450</v>
      </c>
      <c r="AD26" s="16">
        <f t="shared" si="18"/>
        <v>0</v>
      </c>
      <c r="AE26" s="32">
        <f t="shared" si="18"/>
        <v>2468</v>
      </c>
      <c r="AF26" s="32">
        <f t="shared" si="18"/>
        <v>3918</v>
      </c>
    </row>
    <row r="27" spans="2:32" ht="23.1" customHeight="1" x14ac:dyDescent="0.25">
      <c r="B27" s="23" t="s">
        <v>54</v>
      </c>
      <c r="C27" s="50">
        <v>50</v>
      </c>
      <c r="D27" s="50">
        <v>16</v>
      </c>
      <c r="E27" s="50">
        <v>4</v>
      </c>
      <c r="F27" s="50">
        <v>8</v>
      </c>
      <c r="G27" s="50">
        <v>0</v>
      </c>
      <c r="H27" s="50">
        <v>0</v>
      </c>
      <c r="I27" s="50">
        <v>6</v>
      </c>
      <c r="J27" s="50">
        <v>2</v>
      </c>
      <c r="K27" s="50">
        <v>2</v>
      </c>
      <c r="L27" s="50">
        <v>0</v>
      </c>
      <c r="M27" s="50">
        <v>45</v>
      </c>
      <c r="N27" s="50">
        <v>0</v>
      </c>
      <c r="O27" s="15">
        <f t="shared" si="0"/>
        <v>88</v>
      </c>
      <c r="P27" s="15">
        <f t="shared" si="1"/>
        <v>133</v>
      </c>
      <c r="R27" s="29" t="s">
        <v>87</v>
      </c>
      <c r="S27" s="16">
        <f t="shared" ref="S27:AF27" si="19">SUM(S19:S21)</f>
        <v>1836</v>
      </c>
      <c r="T27" s="16">
        <f t="shared" si="19"/>
        <v>343</v>
      </c>
      <c r="U27" s="16">
        <f t="shared" si="19"/>
        <v>44</v>
      </c>
      <c r="V27" s="16">
        <f t="shared" si="19"/>
        <v>120</v>
      </c>
      <c r="W27" s="16">
        <f t="shared" si="19"/>
        <v>15</v>
      </c>
      <c r="X27" s="16">
        <f t="shared" si="19"/>
        <v>2</v>
      </c>
      <c r="Y27" s="16">
        <f t="shared" si="19"/>
        <v>47</v>
      </c>
      <c r="Z27" s="16">
        <f t="shared" si="19"/>
        <v>25</v>
      </c>
      <c r="AA27" s="16">
        <f t="shared" si="19"/>
        <v>9</v>
      </c>
      <c r="AB27" s="16">
        <f t="shared" si="19"/>
        <v>0</v>
      </c>
      <c r="AC27" s="16">
        <f t="shared" si="19"/>
        <v>841</v>
      </c>
      <c r="AD27" s="16">
        <f t="shared" si="19"/>
        <v>0</v>
      </c>
      <c r="AE27" s="32">
        <f t="shared" si="19"/>
        <v>2441</v>
      </c>
      <c r="AF27" s="32">
        <f t="shared" si="19"/>
        <v>3282</v>
      </c>
    </row>
    <row r="28" spans="2:32" ht="23.1" customHeight="1" x14ac:dyDescent="0.25">
      <c r="B28" s="23" t="s">
        <v>55</v>
      </c>
      <c r="C28" s="50">
        <v>70</v>
      </c>
      <c r="D28" s="50">
        <v>14</v>
      </c>
      <c r="E28" s="50">
        <v>2</v>
      </c>
      <c r="F28" s="50">
        <v>6</v>
      </c>
      <c r="G28" s="50">
        <v>0</v>
      </c>
      <c r="H28" s="50">
        <v>0</v>
      </c>
      <c r="I28" s="50">
        <v>5</v>
      </c>
      <c r="J28" s="50">
        <v>1</v>
      </c>
      <c r="K28" s="50">
        <v>0</v>
      </c>
      <c r="L28" s="50">
        <v>1</v>
      </c>
      <c r="M28" s="50">
        <v>47</v>
      </c>
      <c r="N28" s="50">
        <v>0</v>
      </c>
      <c r="O28" s="15">
        <f t="shared" si="0"/>
        <v>99</v>
      </c>
      <c r="P28" s="15">
        <f t="shared" si="1"/>
        <v>146</v>
      </c>
      <c r="R28" s="5" t="s">
        <v>17</v>
      </c>
      <c r="S28" s="16">
        <f t="shared" ref="S28:AF28" si="20">SUM(S10:S21)</f>
        <v>4501</v>
      </c>
      <c r="T28" s="16">
        <f t="shared" si="20"/>
        <v>962</v>
      </c>
      <c r="U28" s="16">
        <f t="shared" si="20"/>
        <v>203</v>
      </c>
      <c r="V28" s="16">
        <f t="shared" si="20"/>
        <v>409</v>
      </c>
      <c r="W28" s="16">
        <f t="shared" si="20"/>
        <v>28</v>
      </c>
      <c r="X28" s="16">
        <f t="shared" si="20"/>
        <v>16</v>
      </c>
      <c r="Y28" s="16">
        <f t="shared" si="20"/>
        <v>190</v>
      </c>
      <c r="Z28" s="16">
        <f t="shared" si="20"/>
        <v>81</v>
      </c>
      <c r="AA28" s="16">
        <f t="shared" si="20"/>
        <v>23</v>
      </c>
      <c r="AB28" s="16">
        <f t="shared" si="20"/>
        <v>4</v>
      </c>
      <c r="AC28" s="16">
        <f t="shared" si="20"/>
        <v>3003</v>
      </c>
      <c r="AD28" s="16">
        <f t="shared" si="20"/>
        <v>0</v>
      </c>
      <c r="AE28" s="32">
        <f t="shared" si="20"/>
        <v>6417</v>
      </c>
      <c r="AF28" s="32">
        <f t="shared" si="20"/>
        <v>9420</v>
      </c>
    </row>
    <row r="29" spans="2:32" ht="23.1" customHeight="1" x14ac:dyDescent="0.25">
      <c r="B29" s="23" t="s">
        <v>56</v>
      </c>
      <c r="C29" s="50">
        <v>72</v>
      </c>
      <c r="D29" s="50">
        <v>15</v>
      </c>
      <c r="E29" s="50">
        <v>2</v>
      </c>
      <c r="F29" s="50">
        <v>5</v>
      </c>
      <c r="G29" s="50">
        <v>0</v>
      </c>
      <c r="H29" s="50">
        <v>1</v>
      </c>
      <c r="I29" s="50">
        <v>5</v>
      </c>
      <c r="J29" s="50">
        <v>0</v>
      </c>
      <c r="K29" s="50">
        <v>3</v>
      </c>
      <c r="L29" s="50">
        <v>0</v>
      </c>
      <c r="M29" s="50">
        <v>50</v>
      </c>
      <c r="N29" s="50">
        <v>0</v>
      </c>
      <c r="O29" s="15">
        <f t="shared" si="0"/>
        <v>103</v>
      </c>
      <c r="P29" s="15">
        <f t="shared" si="1"/>
        <v>153</v>
      </c>
      <c r="R29"/>
      <c r="S29" s="20"/>
      <c r="T29" s="19"/>
    </row>
    <row r="30" spans="2:32" ht="23.1" customHeight="1" x14ac:dyDescent="0.25">
      <c r="B30" s="23" t="s">
        <v>57</v>
      </c>
      <c r="C30" s="50">
        <v>69</v>
      </c>
      <c r="D30" s="50">
        <v>22</v>
      </c>
      <c r="E30" s="50">
        <v>4</v>
      </c>
      <c r="F30" s="50">
        <v>12</v>
      </c>
      <c r="G30" s="50">
        <v>0</v>
      </c>
      <c r="H30" s="50">
        <v>0</v>
      </c>
      <c r="I30" s="50">
        <v>4</v>
      </c>
      <c r="J30" s="50">
        <v>2</v>
      </c>
      <c r="K30" s="50">
        <v>0</v>
      </c>
      <c r="L30" s="50">
        <v>0</v>
      </c>
      <c r="M30" s="50">
        <v>49</v>
      </c>
      <c r="N30" s="50">
        <v>0</v>
      </c>
      <c r="O30" s="15">
        <f t="shared" si="0"/>
        <v>113</v>
      </c>
      <c r="P30" s="15">
        <f t="shared" si="1"/>
        <v>162</v>
      </c>
    </row>
    <row r="31" spans="2:32" ht="23.1" customHeight="1" x14ac:dyDescent="0.25">
      <c r="B31" s="24" t="s">
        <v>58</v>
      </c>
      <c r="C31" s="50">
        <v>55</v>
      </c>
      <c r="D31" s="50">
        <v>21</v>
      </c>
      <c r="E31" s="50">
        <v>1</v>
      </c>
      <c r="F31" s="50">
        <v>8</v>
      </c>
      <c r="G31" s="50">
        <v>0</v>
      </c>
      <c r="H31" s="50">
        <v>1</v>
      </c>
      <c r="I31" s="50">
        <v>4</v>
      </c>
      <c r="J31" s="50">
        <v>3</v>
      </c>
      <c r="K31" s="50">
        <v>1</v>
      </c>
      <c r="L31" s="50">
        <v>1</v>
      </c>
      <c r="M31" s="50">
        <v>41</v>
      </c>
      <c r="N31" s="50">
        <v>0</v>
      </c>
      <c r="O31" s="15">
        <f t="shared" si="0"/>
        <v>95</v>
      </c>
      <c r="P31" s="15">
        <f t="shared" si="1"/>
        <v>136</v>
      </c>
    </row>
    <row r="32" spans="2:32" ht="23.1" customHeight="1" x14ac:dyDescent="0.25">
      <c r="B32" s="24" t="s">
        <v>59</v>
      </c>
      <c r="C32" s="50">
        <v>50</v>
      </c>
      <c r="D32" s="50">
        <v>14</v>
      </c>
      <c r="E32" s="50">
        <v>7</v>
      </c>
      <c r="F32" s="50">
        <v>8</v>
      </c>
      <c r="G32" s="50">
        <v>0</v>
      </c>
      <c r="H32" s="50">
        <v>0</v>
      </c>
      <c r="I32" s="50">
        <v>3</v>
      </c>
      <c r="J32" s="50">
        <v>3</v>
      </c>
      <c r="K32" s="50">
        <v>0</v>
      </c>
      <c r="L32" s="50">
        <v>0</v>
      </c>
      <c r="M32" s="50">
        <v>51</v>
      </c>
      <c r="N32" s="50">
        <v>0</v>
      </c>
      <c r="O32" s="15">
        <f t="shared" si="0"/>
        <v>85</v>
      </c>
      <c r="P32" s="15">
        <f t="shared" si="1"/>
        <v>136</v>
      </c>
    </row>
    <row r="33" spans="2:20" ht="23.1" customHeight="1" x14ac:dyDescent="0.25">
      <c r="B33" s="23" t="s">
        <v>60</v>
      </c>
      <c r="C33" s="50">
        <v>54</v>
      </c>
      <c r="D33" s="50">
        <v>15</v>
      </c>
      <c r="E33" s="50">
        <v>3</v>
      </c>
      <c r="F33" s="50">
        <v>9</v>
      </c>
      <c r="G33" s="50">
        <v>1</v>
      </c>
      <c r="H33" s="50">
        <v>0</v>
      </c>
      <c r="I33" s="50">
        <v>4</v>
      </c>
      <c r="J33" s="50">
        <v>2</v>
      </c>
      <c r="K33" s="50">
        <v>0</v>
      </c>
      <c r="L33" s="50">
        <v>0</v>
      </c>
      <c r="M33" s="50">
        <v>45</v>
      </c>
      <c r="N33" s="50">
        <v>0</v>
      </c>
      <c r="O33" s="15">
        <f t="shared" si="0"/>
        <v>88</v>
      </c>
      <c r="P33" s="15">
        <f t="shared" si="1"/>
        <v>133</v>
      </c>
    </row>
    <row r="34" spans="2:20" ht="23.1" customHeight="1" x14ac:dyDescent="0.25">
      <c r="B34" s="24" t="s">
        <v>61</v>
      </c>
      <c r="C34" s="50">
        <v>57</v>
      </c>
      <c r="D34" s="50">
        <v>5</v>
      </c>
      <c r="E34" s="50">
        <v>10</v>
      </c>
      <c r="F34" s="50">
        <v>4</v>
      </c>
      <c r="G34" s="50">
        <v>0</v>
      </c>
      <c r="H34" s="50">
        <v>0</v>
      </c>
      <c r="I34" s="50">
        <v>5</v>
      </c>
      <c r="J34" s="50">
        <v>1</v>
      </c>
      <c r="K34" s="50">
        <v>0</v>
      </c>
      <c r="L34" s="50">
        <v>0</v>
      </c>
      <c r="M34" s="50">
        <v>53</v>
      </c>
      <c r="N34" s="50">
        <v>0</v>
      </c>
      <c r="O34" s="15">
        <f t="shared" si="0"/>
        <v>82</v>
      </c>
      <c r="P34" s="15">
        <f t="shared" si="1"/>
        <v>135</v>
      </c>
    </row>
    <row r="35" spans="2:20" ht="23.1" customHeight="1" x14ac:dyDescent="0.25">
      <c r="B35" s="24" t="s">
        <v>62</v>
      </c>
      <c r="C35" s="50">
        <v>66</v>
      </c>
      <c r="D35" s="50">
        <v>5</v>
      </c>
      <c r="E35" s="50">
        <v>6</v>
      </c>
      <c r="F35" s="50">
        <v>9</v>
      </c>
      <c r="G35" s="50">
        <v>0</v>
      </c>
      <c r="H35" s="50">
        <v>0</v>
      </c>
      <c r="I35" s="50">
        <v>5</v>
      </c>
      <c r="J35" s="50">
        <v>3</v>
      </c>
      <c r="K35" s="50">
        <v>0</v>
      </c>
      <c r="L35" s="50">
        <v>0</v>
      </c>
      <c r="M35" s="50">
        <v>71</v>
      </c>
      <c r="N35" s="50">
        <v>0</v>
      </c>
      <c r="O35" s="15">
        <f t="shared" si="0"/>
        <v>94</v>
      </c>
      <c r="P35" s="15">
        <f t="shared" si="1"/>
        <v>165</v>
      </c>
    </row>
    <row r="36" spans="2:20" ht="23.1" customHeight="1" x14ac:dyDescent="0.25">
      <c r="B36" s="24" t="s">
        <v>63</v>
      </c>
      <c r="C36" s="50">
        <v>65</v>
      </c>
      <c r="D36" s="50">
        <v>10</v>
      </c>
      <c r="E36" s="50">
        <v>10</v>
      </c>
      <c r="F36" s="50">
        <v>4</v>
      </c>
      <c r="G36" s="50">
        <v>0</v>
      </c>
      <c r="H36" s="50">
        <v>1</v>
      </c>
      <c r="I36" s="50">
        <v>8</v>
      </c>
      <c r="J36" s="50">
        <v>0</v>
      </c>
      <c r="K36" s="50">
        <v>0</v>
      </c>
      <c r="L36" s="50">
        <v>0</v>
      </c>
      <c r="M36" s="50">
        <v>50</v>
      </c>
      <c r="N36" s="50">
        <v>0</v>
      </c>
      <c r="O36" s="15">
        <f t="shared" si="0"/>
        <v>98</v>
      </c>
      <c r="P36" s="15">
        <f t="shared" si="1"/>
        <v>148</v>
      </c>
    </row>
    <row r="37" spans="2:20" ht="23.1" customHeight="1" x14ac:dyDescent="0.25">
      <c r="B37" s="23" t="s">
        <v>64</v>
      </c>
      <c r="C37" s="50">
        <v>72</v>
      </c>
      <c r="D37" s="50">
        <v>9</v>
      </c>
      <c r="E37" s="50">
        <v>3</v>
      </c>
      <c r="F37" s="50">
        <v>5</v>
      </c>
      <c r="G37" s="50">
        <v>1</v>
      </c>
      <c r="H37" s="50">
        <v>0</v>
      </c>
      <c r="I37" s="50">
        <v>2</v>
      </c>
      <c r="J37" s="50">
        <v>1</v>
      </c>
      <c r="K37" s="50">
        <v>1</v>
      </c>
      <c r="L37" s="50">
        <v>0</v>
      </c>
      <c r="M37" s="50">
        <v>80</v>
      </c>
      <c r="N37" s="50">
        <v>0</v>
      </c>
      <c r="O37" s="15">
        <f t="shared" si="0"/>
        <v>94</v>
      </c>
      <c r="P37" s="15">
        <f t="shared" si="1"/>
        <v>174</v>
      </c>
    </row>
    <row r="38" spans="2:20" ht="23.1" customHeight="1" x14ac:dyDescent="0.25">
      <c r="B38" s="24" t="s">
        <v>65</v>
      </c>
      <c r="C38" s="50">
        <v>66</v>
      </c>
      <c r="D38" s="50">
        <v>14</v>
      </c>
      <c r="E38" s="50">
        <v>11</v>
      </c>
      <c r="F38" s="50">
        <v>7</v>
      </c>
      <c r="G38" s="50">
        <v>0</v>
      </c>
      <c r="H38" s="50">
        <v>1</v>
      </c>
      <c r="I38" s="50">
        <v>5</v>
      </c>
      <c r="J38" s="50">
        <v>2</v>
      </c>
      <c r="K38" s="50">
        <v>0</v>
      </c>
      <c r="L38" s="50">
        <v>0</v>
      </c>
      <c r="M38" s="50">
        <v>93</v>
      </c>
      <c r="N38" s="50">
        <v>0</v>
      </c>
      <c r="O38" s="15">
        <f t="shared" si="0"/>
        <v>106</v>
      </c>
      <c r="P38" s="15">
        <f t="shared" si="1"/>
        <v>199</v>
      </c>
    </row>
    <row r="39" spans="2:20" ht="23.1" customHeight="1" x14ac:dyDescent="0.25">
      <c r="B39" s="24" t="s">
        <v>66</v>
      </c>
      <c r="C39" s="50">
        <v>105</v>
      </c>
      <c r="D39" s="50">
        <v>35</v>
      </c>
      <c r="E39" s="50">
        <v>4</v>
      </c>
      <c r="F39" s="50">
        <v>8</v>
      </c>
      <c r="G39" s="50">
        <v>1</v>
      </c>
      <c r="H39" s="50">
        <v>1</v>
      </c>
      <c r="I39" s="50">
        <v>4</v>
      </c>
      <c r="J39" s="50">
        <v>1</v>
      </c>
      <c r="K39" s="50">
        <v>0</v>
      </c>
      <c r="L39" s="50">
        <v>0</v>
      </c>
      <c r="M39" s="50">
        <v>103</v>
      </c>
      <c r="N39" s="50">
        <v>0</v>
      </c>
      <c r="O39" s="15">
        <f t="shared" si="0"/>
        <v>159</v>
      </c>
      <c r="P39" s="15">
        <f t="shared" si="1"/>
        <v>262</v>
      </c>
    </row>
    <row r="40" spans="2:20" ht="23.1" customHeight="1" x14ac:dyDescent="0.25">
      <c r="B40" s="24" t="s">
        <v>67</v>
      </c>
      <c r="C40" s="50">
        <v>83</v>
      </c>
      <c r="D40" s="50">
        <v>29</v>
      </c>
      <c r="E40" s="50">
        <v>4</v>
      </c>
      <c r="F40" s="50">
        <v>11</v>
      </c>
      <c r="G40" s="50">
        <v>5</v>
      </c>
      <c r="H40" s="50">
        <v>0</v>
      </c>
      <c r="I40" s="50">
        <v>3</v>
      </c>
      <c r="J40" s="50">
        <v>1</v>
      </c>
      <c r="K40" s="50">
        <v>0</v>
      </c>
      <c r="L40" s="50">
        <v>0</v>
      </c>
      <c r="M40" s="50">
        <v>72</v>
      </c>
      <c r="N40" s="50">
        <v>0</v>
      </c>
      <c r="O40" s="15">
        <f t="shared" si="0"/>
        <v>136</v>
      </c>
      <c r="P40" s="15">
        <f t="shared" si="1"/>
        <v>208</v>
      </c>
    </row>
    <row r="41" spans="2:20" ht="23.1" customHeight="1" x14ac:dyDescent="0.25">
      <c r="B41" s="23" t="s">
        <v>68</v>
      </c>
      <c r="C41" s="50">
        <v>53</v>
      </c>
      <c r="D41" s="50">
        <v>13</v>
      </c>
      <c r="E41" s="50">
        <v>5</v>
      </c>
      <c r="F41" s="50">
        <v>8</v>
      </c>
      <c r="G41" s="50">
        <v>0</v>
      </c>
      <c r="H41" s="50">
        <v>0</v>
      </c>
      <c r="I41" s="50">
        <v>4</v>
      </c>
      <c r="J41" s="50">
        <v>0</v>
      </c>
      <c r="K41" s="50">
        <v>1</v>
      </c>
      <c r="L41" s="50">
        <v>1</v>
      </c>
      <c r="M41" s="50">
        <v>53</v>
      </c>
      <c r="N41" s="50">
        <v>0</v>
      </c>
      <c r="O41" s="15">
        <f t="shared" si="0"/>
        <v>85</v>
      </c>
      <c r="P41" s="15">
        <f t="shared" si="1"/>
        <v>138</v>
      </c>
    </row>
    <row r="42" spans="2:20" ht="23.1" customHeight="1" x14ac:dyDescent="0.25">
      <c r="B42" s="24" t="s">
        <v>69</v>
      </c>
      <c r="C42" s="50">
        <v>79</v>
      </c>
      <c r="D42" s="50">
        <v>9</v>
      </c>
      <c r="E42" s="50">
        <v>4</v>
      </c>
      <c r="F42" s="50">
        <v>5</v>
      </c>
      <c r="G42" s="50">
        <v>0</v>
      </c>
      <c r="H42" s="50">
        <v>0</v>
      </c>
      <c r="I42" s="50">
        <v>2</v>
      </c>
      <c r="J42" s="50">
        <v>1</v>
      </c>
      <c r="K42" s="50">
        <v>0</v>
      </c>
      <c r="L42" s="50">
        <v>0</v>
      </c>
      <c r="M42" s="50">
        <v>52</v>
      </c>
      <c r="N42" s="50">
        <v>0</v>
      </c>
      <c r="O42" s="15">
        <f t="shared" si="0"/>
        <v>100</v>
      </c>
      <c r="P42" s="15">
        <f t="shared" si="1"/>
        <v>152</v>
      </c>
    </row>
    <row r="43" spans="2:20" ht="23.1" customHeight="1" x14ac:dyDescent="0.25">
      <c r="B43" s="23" t="s">
        <v>70</v>
      </c>
      <c r="C43" s="50">
        <v>60</v>
      </c>
      <c r="D43" s="50">
        <v>7</v>
      </c>
      <c r="E43" s="50">
        <v>1</v>
      </c>
      <c r="F43" s="50">
        <v>4</v>
      </c>
      <c r="G43" s="50">
        <v>0</v>
      </c>
      <c r="H43" s="50">
        <v>0</v>
      </c>
      <c r="I43" s="50">
        <v>0</v>
      </c>
      <c r="J43" s="50">
        <v>4</v>
      </c>
      <c r="K43" s="50">
        <v>0</v>
      </c>
      <c r="L43" s="50">
        <v>0</v>
      </c>
      <c r="M43" s="50">
        <v>66</v>
      </c>
      <c r="N43" s="50">
        <v>0</v>
      </c>
      <c r="O43" s="15">
        <f t="shared" si="0"/>
        <v>76</v>
      </c>
      <c r="P43" s="15">
        <f t="shared" si="1"/>
        <v>142</v>
      </c>
    </row>
    <row r="44" spans="2:20" ht="23.1" customHeight="1" x14ac:dyDescent="0.25">
      <c r="B44" s="25" t="s">
        <v>71</v>
      </c>
      <c r="C44" s="50">
        <v>104</v>
      </c>
      <c r="D44" s="50">
        <v>37</v>
      </c>
      <c r="E44" s="50">
        <v>3</v>
      </c>
      <c r="F44" s="50">
        <v>9</v>
      </c>
      <c r="G44" s="50">
        <v>3</v>
      </c>
      <c r="H44" s="50">
        <v>2</v>
      </c>
      <c r="I44" s="50">
        <v>1</v>
      </c>
      <c r="J44" s="50">
        <v>2</v>
      </c>
      <c r="K44" s="50">
        <v>0</v>
      </c>
      <c r="L44" s="50">
        <v>0</v>
      </c>
      <c r="M44" s="50">
        <v>54</v>
      </c>
      <c r="N44" s="50">
        <v>0</v>
      </c>
      <c r="O44" s="15">
        <f t="shared" si="0"/>
        <v>161</v>
      </c>
      <c r="P44" s="15">
        <f t="shared" si="1"/>
        <v>215</v>
      </c>
    </row>
    <row r="45" spans="2:20" ht="23.1" customHeight="1" x14ac:dyDescent="0.25">
      <c r="B45" s="23" t="s">
        <v>72</v>
      </c>
      <c r="C45" s="50">
        <v>114</v>
      </c>
      <c r="D45" s="50">
        <v>31</v>
      </c>
      <c r="E45" s="50">
        <v>3</v>
      </c>
      <c r="F45" s="50">
        <v>7</v>
      </c>
      <c r="G45" s="50">
        <v>0</v>
      </c>
      <c r="H45" s="50">
        <v>0</v>
      </c>
      <c r="I45" s="50">
        <v>3</v>
      </c>
      <c r="J45" s="50">
        <v>7</v>
      </c>
      <c r="K45" s="50">
        <v>0</v>
      </c>
      <c r="L45" s="50">
        <v>0</v>
      </c>
      <c r="M45" s="50">
        <v>74</v>
      </c>
      <c r="N45" s="50">
        <v>0</v>
      </c>
      <c r="O45" s="15">
        <f t="shared" si="0"/>
        <v>165</v>
      </c>
      <c r="P45" s="15">
        <f t="shared" si="1"/>
        <v>239</v>
      </c>
    </row>
    <row r="46" spans="2:20" ht="23.1" customHeight="1" x14ac:dyDescent="0.25">
      <c r="B46" s="24" t="s">
        <v>73</v>
      </c>
      <c r="C46" s="50">
        <v>136</v>
      </c>
      <c r="D46" s="50">
        <v>19</v>
      </c>
      <c r="E46" s="50">
        <v>4</v>
      </c>
      <c r="F46" s="50">
        <v>6</v>
      </c>
      <c r="G46" s="50">
        <v>1</v>
      </c>
      <c r="H46" s="50">
        <v>0</v>
      </c>
      <c r="I46" s="50">
        <v>3</v>
      </c>
      <c r="J46" s="50">
        <v>2</v>
      </c>
      <c r="K46" s="50">
        <v>0</v>
      </c>
      <c r="L46" s="50">
        <v>0</v>
      </c>
      <c r="M46" s="50">
        <v>40</v>
      </c>
      <c r="N46" s="50">
        <v>0</v>
      </c>
      <c r="O46" s="15">
        <f t="shared" si="0"/>
        <v>171</v>
      </c>
      <c r="P46" s="15">
        <f t="shared" si="1"/>
        <v>211</v>
      </c>
      <c r="R46" s="8"/>
      <c r="T46"/>
    </row>
    <row r="47" spans="2:20" ht="23.1" customHeight="1" x14ac:dyDescent="0.25">
      <c r="B47" s="24" t="s">
        <v>74</v>
      </c>
      <c r="C47" s="50">
        <v>133</v>
      </c>
      <c r="D47" s="50">
        <v>23</v>
      </c>
      <c r="E47" s="50">
        <v>2</v>
      </c>
      <c r="F47" s="50">
        <v>7</v>
      </c>
      <c r="G47" s="50">
        <v>0</v>
      </c>
      <c r="H47" s="50">
        <v>0</v>
      </c>
      <c r="I47" s="50">
        <v>9</v>
      </c>
      <c r="J47" s="50">
        <v>1</v>
      </c>
      <c r="K47" s="50">
        <v>0</v>
      </c>
      <c r="L47" s="50">
        <v>0</v>
      </c>
      <c r="M47" s="50">
        <v>79</v>
      </c>
      <c r="N47" s="50">
        <v>0</v>
      </c>
      <c r="O47" s="15">
        <f t="shared" si="0"/>
        <v>175</v>
      </c>
      <c r="P47" s="15">
        <f t="shared" si="1"/>
        <v>254</v>
      </c>
      <c r="R47" s="8"/>
      <c r="T47"/>
    </row>
    <row r="48" spans="2:20" ht="23.1" customHeight="1" x14ac:dyDescent="0.25">
      <c r="B48" s="24" t="s">
        <v>75</v>
      </c>
      <c r="C48" s="50">
        <v>150</v>
      </c>
      <c r="D48" s="50">
        <v>30</v>
      </c>
      <c r="E48" s="50">
        <v>3</v>
      </c>
      <c r="F48" s="50">
        <v>11</v>
      </c>
      <c r="G48" s="50">
        <v>0</v>
      </c>
      <c r="H48" s="50">
        <v>0</v>
      </c>
      <c r="I48" s="50">
        <v>3</v>
      </c>
      <c r="J48" s="50">
        <v>2</v>
      </c>
      <c r="K48" s="50">
        <v>0</v>
      </c>
      <c r="L48" s="50">
        <v>0</v>
      </c>
      <c r="M48" s="50">
        <v>66</v>
      </c>
      <c r="N48" s="50">
        <v>0</v>
      </c>
      <c r="O48" s="15">
        <f t="shared" si="0"/>
        <v>199</v>
      </c>
      <c r="P48" s="15">
        <f t="shared" si="1"/>
        <v>265</v>
      </c>
      <c r="R48" s="8"/>
      <c r="T48"/>
    </row>
    <row r="49" spans="2:20" ht="23.1" customHeight="1" x14ac:dyDescent="0.25">
      <c r="B49" s="23" t="s">
        <v>76</v>
      </c>
      <c r="C49" s="50">
        <v>143</v>
      </c>
      <c r="D49" s="50">
        <v>37</v>
      </c>
      <c r="E49" s="50">
        <v>2</v>
      </c>
      <c r="F49" s="50">
        <v>12</v>
      </c>
      <c r="G49" s="50">
        <v>1</v>
      </c>
      <c r="H49" s="50">
        <v>0</v>
      </c>
      <c r="I49" s="50">
        <v>3</v>
      </c>
      <c r="J49" s="50">
        <v>2</v>
      </c>
      <c r="K49" s="50">
        <v>0</v>
      </c>
      <c r="L49" s="50">
        <v>0</v>
      </c>
      <c r="M49" s="50">
        <v>67</v>
      </c>
      <c r="N49" s="50">
        <v>0</v>
      </c>
      <c r="O49" s="15">
        <f t="shared" si="0"/>
        <v>200</v>
      </c>
      <c r="P49" s="15">
        <f t="shared" si="1"/>
        <v>267</v>
      </c>
      <c r="R49" s="8"/>
      <c r="T49"/>
    </row>
    <row r="50" spans="2:20" ht="23.1" customHeight="1" x14ac:dyDescent="0.25">
      <c r="B50" s="24" t="s">
        <v>77</v>
      </c>
      <c r="C50" s="50">
        <v>143</v>
      </c>
      <c r="D50" s="50">
        <v>29</v>
      </c>
      <c r="E50" s="50">
        <v>4</v>
      </c>
      <c r="F50" s="50">
        <v>8</v>
      </c>
      <c r="G50" s="50">
        <v>0</v>
      </c>
      <c r="H50" s="50">
        <v>0</v>
      </c>
      <c r="I50" s="50">
        <v>3</v>
      </c>
      <c r="J50" s="50">
        <v>2</v>
      </c>
      <c r="K50" s="50">
        <v>0</v>
      </c>
      <c r="L50" s="50">
        <v>0</v>
      </c>
      <c r="M50" s="50">
        <v>71</v>
      </c>
      <c r="N50" s="50">
        <v>0</v>
      </c>
      <c r="O50" s="15">
        <f t="shared" si="0"/>
        <v>189</v>
      </c>
      <c r="P50" s="15">
        <f t="shared" si="1"/>
        <v>260</v>
      </c>
      <c r="R50" s="8"/>
      <c r="T50"/>
    </row>
    <row r="51" spans="2:20" ht="23.1" customHeight="1" x14ac:dyDescent="0.25">
      <c r="B51" s="24" t="s">
        <v>78</v>
      </c>
      <c r="C51" s="50">
        <v>149</v>
      </c>
      <c r="D51" s="50">
        <v>22</v>
      </c>
      <c r="E51" s="50">
        <v>6</v>
      </c>
      <c r="F51" s="50">
        <v>10</v>
      </c>
      <c r="G51" s="50">
        <v>0</v>
      </c>
      <c r="H51" s="50">
        <v>0</v>
      </c>
      <c r="I51" s="50">
        <v>2</v>
      </c>
      <c r="J51" s="50">
        <v>3</v>
      </c>
      <c r="K51" s="50">
        <v>0</v>
      </c>
      <c r="L51" s="50">
        <v>0</v>
      </c>
      <c r="M51" s="50">
        <v>90</v>
      </c>
      <c r="N51" s="50">
        <v>0</v>
      </c>
      <c r="O51" s="15">
        <f t="shared" si="0"/>
        <v>192</v>
      </c>
      <c r="P51" s="15">
        <f t="shared" si="1"/>
        <v>282</v>
      </c>
      <c r="R51" s="8"/>
      <c r="T51"/>
    </row>
    <row r="52" spans="2:20" ht="23.1" customHeight="1" x14ac:dyDescent="0.25">
      <c r="B52" s="24" t="s">
        <v>79</v>
      </c>
      <c r="C52" s="50">
        <v>164</v>
      </c>
      <c r="D52" s="50">
        <v>27</v>
      </c>
      <c r="E52" s="50">
        <v>7</v>
      </c>
      <c r="F52" s="50">
        <v>10</v>
      </c>
      <c r="G52" s="50">
        <v>2</v>
      </c>
      <c r="H52" s="50">
        <v>0</v>
      </c>
      <c r="I52" s="50">
        <v>2</v>
      </c>
      <c r="J52" s="50">
        <v>2</v>
      </c>
      <c r="K52" s="50">
        <v>4</v>
      </c>
      <c r="L52" s="50">
        <v>0</v>
      </c>
      <c r="M52" s="50">
        <v>77</v>
      </c>
      <c r="N52" s="50">
        <v>0</v>
      </c>
      <c r="O52" s="15">
        <f t="shared" si="0"/>
        <v>218</v>
      </c>
      <c r="P52" s="15">
        <f t="shared" si="1"/>
        <v>295</v>
      </c>
      <c r="R52" s="8"/>
      <c r="T52"/>
    </row>
    <row r="53" spans="2:20" ht="23.1" customHeight="1" x14ac:dyDescent="0.25">
      <c r="B53" s="23" t="s">
        <v>80</v>
      </c>
      <c r="C53" s="50">
        <v>155</v>
      </c>
      <c r="D53" s="50">
        <v>29</v>
      </c>
      <c r="E53" s="50">
        <v>6</v>
      </c>
      <c r="F53" s="50">
        <v>9</v>
      </c>
      <c r="G53" s="50">
        <v>1</v>
      </c>
      <c r="H53" s="50">
        <v>0</v>
      </c>
      <c r="I53" s="50">
        <v>1</v>
      </c>
      <c r="J53" s="50">
        <v>1</v>
      </c>
      <c r="K53" s="50">
        <v>0</v>
      </c>
      <c r="L53" s="50">
        <v>0</v>
      </c>
      <c r="M53" s="50">
        <v>51</v>
      </c>
      <c r="N53" s="50">
        <v>0</v>
      </c>
      <c r="O53" s="15">
        <f t="shared" si="0"/>
        <v>202</v>
      </c>
      <c r="P53" s="15">
        <f t="shared" si="1"/>
        <v>253</v>
      </c>
      <c r="R53" s="8"/>
      <c r="T53"/>
    </row>
    <row r="54" spans="2:20" ht="23.1" customHeight="1" x14ac:dyDescent="0.25">
      <c r="B54" s="23" t="s">
        <v>81</v>
      </c>
      <c r="C54" s="50">
        <v>188</v>
      </c>
      <c r="D54" s="50">
        <v>25</v>
      </c>
      <c r="E54" s="50">
        <v>4</v>
      </c>
      <c r="F54" s="50">
        <v>11</v>
      </c>
      <c r="G54" s="50">
        <v>8</v>
      </c>
      <c r="H54" s="50">
        <v>2</v>
      </c>
      <c r="I54" s="50">
        <v>7</v>
      </c>
      <c r="J54" s="50">
        <v>2</v>
      </c>
      <c r="K54" s="50">
        <v>1</v>
      </c>
      <c r="L54" s="50">
        <v>0</v>
      </c>
      <c r="M54" s="50">
        <v>105</v>
      </c>
      <c r="N54" s="50">
        <v>0</v>
      </c>
      <c r="O54" s="15">
        <f t="shared" si="0"/>
        <v>248</v>
      </c>
      <c r="P54" s="15">
        <f t="shared" si="1"/>
        <v>353</v>
      </c>
      <c r="R54" s="8"/>
      <c r="T54"/>
    </row>
    <row r="55" spans="2:20" ht="23.1" customHeight="1" x14ac:dyDescent="0.25">
      <c r="B55" s="23" t="s">
        <v>82</v>
      </c>
      <c r="C55" s="50">
        <v>150</v>
      </c>
      <c r="D55" s="50">
        <v>29</v>
      </c>
      <c r="E55" s="50">
        <v>0</v>
      </c>
      <c r="F55" s="50">
        <v>14</v>
      </c>
      <c r="G55" s="50">
        <v>2</v>
      </c>
      <c r="H55" s="50">
        <v>0</v>
      </c>
      <c r="I55" s="50">
        <v>5</v>
      </c>
      <c r="J55" s="50">
        <v>2</v>
      </c>
      <c r="K55" s="50">
        <v>1</v>
      </c>
      <c r="L55" s="50">
        <v>0</v>
      </c>
      <c r="M55" s="50">
        <v>61</v>
      </c>
      <c r="N55" s="50">
        <v>0</v>
      </c>
      <c r="O55" s="15">
        <f t="shared" si="0"/>
        <v>203</v>
      </c>
      <c r="P55" s="15">
        <f t="shared" si="1"/>
        <v>264</v>
      </c>
      <c r="R55" s="8"/>
      <c r="T55"/>
    </row>
    <row r="56" spans="2:20" ht="23.1" customHeight="1" x14ac:dyDescent="0.25">
      <c r="B56" s="23" t="s">
        <v>83</v>
      </c>
      <c r="C56" s="50">
        <v>160</v>
      </c>
      <c r="D56" s="50">
        <v>35</v>
      </c>
      <c r="E56" s="50">
        <v>3</v>
      </c>
      <c r="F56" s="50">
        <v>16</v>
      </c>
      <c r="G56" s="50">
        <v>0</v>
      </c>
      <c r="H56" s="50">
        <v>0</v>
      </c>
      <c r="I56" s="50">
        <v>5</v>
      </c>
      <c r="J56" s="50">
        <v>4</v>
      </c>
      <c r="K56" s="50">
        <v>2</v>
      </c>
      <c r="L56" s="50">
        <v>0</v>
      </c>
      <c r="M56" s="50">
        <v>62</v>
      </c>
      <c r="N56" s="50">
        <v>0</v>
      </c>
      <c r="O56" s="15">
        <f t="shared" si="0"/>
        <v>225</v>
      </c>
      <c r="P56" s="15">
        <f t="shared" si="1"/>
        <v>287</v>
      </c>
      <c r="R56" s="8"/>
      <c r="T56"/>
    </row>
    <row r="57" spans="2:20" ht="23.1" customHeight="1" x14ac:dyDescent="0.25">
      <c r="B57" s="23" t="s">
        <v>84</v>
      </c>
      <c r="C57" s="50">
        <v>165</v>
      </c>
      <c r="D57" s="50">
        <v>38</v>
      </c>
      <c r="E57" s="50">
        <v>3</v>
      </c>
      <c r="F57" s="50">
        <v>6</v>
      </c>
      <c r="G57" s="50">
        <v>0</v>
      </c>
      <c r="H57" s="50">
        <v>0</v>
      </c>
      <c r="I57" s="50">
        <v>4</v>
      </c>
      <c r="J57" s="50">
        <v>2</v>
      </c>
      <c r="K57" s="50">
        <v>1</v>
      </c>
      <c r="L57" s="50">
        <v>0</v>
      </c>
      <c r="M57" s="50">
        <v>72</v>
      </c>
      <c r="N57" s="50">
        <v>0</v>
      </c>
      <c r="O57" s="15">
        <f t="shared" si="0"/>
        <v>219</v>
      </c>
      <c r="P57" s="15">
        <f t="shared" si="1"/>
        <v>291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4501</v>
      </c>
      <c r="D58" s="16">
        <f t="shared" si="21"/>
        <v>962</v>
      </c>
      <c r="E58" s="16">
        <f t="shared" si="21"/>
        <v>203</v>
      </c>
      <c r="F58" s="16">
        <f t="shared" si="21"/>
        <v>409</v>
      </c>
      <c r="G58" s="16">
        <f t="shared" si="21"/>
        <v>28</v>
      </c>
      <c r="H58" s="16">
        <f t="shared" si="21"/>
        <v>16</v>
      </c>
      <c r="I58" s="16">
        <f t="shared" si="21"/>
        <v>190</v>
      </c>
      <c r="J58" s="16">
        <f t="shared" si="21"/>
        <v>81</v>
      </c>
      <c r="K58" s="16">
        <f t="shared" si="21"/>
        <v>23</v>
      </c>
      <c r="L58" s="16">
        <f t="shared" si="21"/>
        <v>4</v>
      </c>
      <c r="M58" s="16">
        <f t="shared" si="21"/>
        <v>3003</v>
      </c>
      <c r="N58" s="16">
        <f t="shared" si="21"/>
        <v>0</v>
      </c>
      <c r="O58" s="16">
        <f t="shared" si="21"/>
        <v>6417</v>
      </c>
      <c r="P58" s="16">
        <f t="shared" si="21"/>
        <v>9420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0.4778131634819533</v>
      </c>
      <c r="D59" s="43">
        <f t="shared" si="22"/>
        <v>0.10212314225053079</v>
      </c>
      <c r="E59" s="43">
        <f t="shared" si="22"/>
        <v>2.1549893842887472E-2</v>
      </c>
      <c r="F59" s="43">
        <f t="shared" si="22"/>
        <v>4.3418259023354562E-2</v>
      </c>
      <c r="G59" s="43">
        <f t="shared" si="22"/>
        <v>2.9723991507431E-3</v>
      </c>
      <c r="H59" s="43">
        <f t="shared" si="22"/>
        <v>1.6985138004246285E-3</v>
      </c>
      <c r="I59" s="43">
        <f t="shared" si="22"/>
        <v>2.0169851380042462E-2</v>
      </c>
      <c r="J59" s="43">
        <f t="shared" si="22"/>
        <v>8.5987261146496814E-3</v>
      </c>
      <c r="K59" s="43">
        <f t="shared" si="22"/>
        <v>2.4416135881104033E-3</v>
      </c>
      <c r="L59" s="43">
        <f t="shared" si="22"/>
        <v>4.2462845010615713E-4</v>
      </c>
      <c r="M59" s="43">
        <f t="shared" si="22"/>
        <v>0.31878980891719744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0.70141810815022598</v>
      </c>
      <c r="D60" s="44">
        <f t="shared" ref="D60:N60" si="23">D58/$O$58</f>
        <v>0.1499142901667446</v>
      </c>
      <c r="E60" s="44">
        <f t="shared" si="23"/>
        <v>3.1634720274271465E-2</v>
      </c>
      <c r="F60" s="44">
        <f t="shared" si="23"/>
        <v>6.3736948729936113E-2</v>
      </c>
      <c r="G60" s="44">
        <f t="shared" si="23"/>
        <v>4.363409693002961E-3</v>
      </c>
      <c r="H60" s="44">
        <f t="shared" si="23"/>
        <v>2.4933769674302633E-3</v>
      </c>
      <c r="I60" s="44">
        <f t="shared" si="23"/>
        <v>2.9608851488234379E-2</v>
      </c>
      <c r="J60" s="44">
        <f t="shared" si="23"/>
        <v>1.2622720897615708E-2</v>
      </c>
      <c r="K60" s="44">
        <f t="shared" si="23"/>
        <v>3.5842293906810036E-3</v>
      </c>
      <c r="L60" s="44">
        <f t="shared" si="23"/>
        <v>6.2334424185756584E-4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31" zoomScale="40" zoomScaleSheetLayoutView="40" workbookViewId="0">
      <selection activeCell="M46" sqref="M4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'29.07 Naalya-Ntinda'!C3:G3</f>
        <v>MCC - C1 - STN38 - NAALYA EAST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'31.07 Ntinda-Naalya'!D5</f>
        <v>31.07.19</v>
      </c>
      <c r="E5" s="3"/>
      <c r="F5" s="41" t="s">
        <v>1</v>
      </c>
      <c r="G5" s="65" t="str">
        <f>'29.07 Ntinda-Naalya'!G5:H5</f>
        <v>NAALYA ROUND ABOUT</v>
      </c>
      <c r="H5" s="66"/>
      <c r="I5" s="14"/>
      <c r="J5" s="2" t="s">
        <v>5</v>
      </c>
      <c r="K5" s="65" t="str">
        <f>'29.07 Ntinda-Naalya'!K5:L5</f>
        <v>HARRIET N/NASSIWA A/MUTE C/PHOEBY/KAZIBWE J/NAKAYE J.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'29.07 Naalya-Ntinda'!D6:E6</f>
        <v>NAALYA</v>
      </c>
      <c r="E6" s="66"/>
      <c r="F6" s="2" t="s">
        <v>2</v>
      </c>
      <c r="G6" s="65" t="str">
        <f>'29.07 Naalya-Ntinda'!G6:H6</f>
        <v>NTINDA</v>
      </c>
      <c r="H6" s="66"/>
      <c r="J6" s="2" t="s">
        <v>21</v>
      </c>
      <c r="K6" s="65" t="str">
        <f>'29.07 Ntinda-Naalya'!K6:L6</f>
        <v>STEVEN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119</v>
      </c>
      <c r="D10" s="50">
        <v>84</v>
      </c>
      <c r="E10" s="50">
        <v>11</v>
      </c>
      <c r="F10" s="50">
        <v>8</v>
      </c>
      <c r="G10" s="50">
        <v>1</v>
      </c>
      <c r="H10" s="50">
        <v>0</v>
      </c>
      <c r="I10" s="50">
        <v>5</v>
      </c>
      <c r="J10" s="50">
        <v>3</v>
      </c>
      <c r="K10" s="50">
        <v>1</v>
      </c>
      <c r="L10" s="50">
        <v>0</v>
      </c>
      <c r="M10" s="50">
        <v>67</v>
      </c>
      <c r="N10" s="50">
        <v>0</v>
      </c>
      <c r="O10" s="15">
        <f t="shared" ref="O10:O57" si="0">SUM(C10:L10,N10)</f>
        <v>232</v>
      </c>
      <c r="P10" s="15">
        <f t="shared" ref="P10:P57" si="1">SUM(C10:N10)</f>
        <v>299</v>
      </c>
      <c r="R10" s="1" t="s">
        <v>6</v>
      </c>
      <c r="S10" s="17">
        <f t="shared" ref="S10:AF10" si="2">SUM(C10:C13)</f>
        <v>462</v>
      </c>
      <c r="T10" s="17">
        <f t="shared" si="2"/>
        <v>288</v>
      </c>
      <c r="U10" s="17">
        <f t="shared" si="2"/>
        <v>54</v>
      </c>
      <c r="V10" s="17">
        <f t="shared" si="2"/>
        <v>33</v>
      </c>
      <c r="W10" s="17">
        <f t="shared" si="2"/>
        <v>5</v>
      </c>
      <c r="X10" s="17">
        <f t="shared" si="2"/>
        <v>0</v>
      </c>
      <c r="Y10" s="17">
        <f t="shared" si="2"/>
        <v>10</v>
      </c>
      <c r="Z10" s="17">
        <f t="shared" si="2"/>
        <v>6</v>
      </c>
      <c r="AA10" s="17">
        <f t="shared" si="2"/>
        <v>1</v>
      </c>
      <c r="AB10" s="17">
        <f t="shared" si="2"/>
        <v>0</v>
      </c>
      <c r="AC10" s="17">
        <f t="shared" si="2"/>
        <v>374</v>
      </c>
      <c r="AD10" s="17">
        <f t="shared" si="2"/>
        <v>0</v>
      </c>
      <c r="AE10" s="31">
        <f t="shared" si="2"/>
        <v>859</v>
      </c>
      <c r="AF10" s="31">
        <f t="shared" si="2"/>
        <v>1233</v>
      </c>
    </row>
    <row r="11" spans="2:32" s="6" customFormat="1" ht="23.1" customHeight="1" x14ac:dyDescent="0.25">
      <c r="B11" s="23" t="s">
        <v>38</v>
      </c>
      <c r="C11" s="50">
        <v>87</v>
      </c>
      <c r="D11" s="50">
        <v>62</v>
      </c>
      <c r="E11" s="50">
        <v>11</v>
      </c>
      <c r="F11" s="50">
        <v>6</v>
      </c>
      <c r="G11" s="50">
        <v>1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46</v>
      </c>
      <c r="N11" s="50">
        <v>0</v>
      </c>
      <c r="O11" s="15">
        <f t="shared" si="0"/>
        <v>169</v>
      </c>
      <c r="P11" s="15">
        <f t="shared" si="1"/>
        <v>215</v>
      </c>
      <c r="R11" s="1" t="s">
        <v>7</v>
      </c>
      <c r="S11" s="17">
        <f t="shared" ref="S11:AF11" si="3">SUM(C14:C17)</f>
        <v>385</v>
      </c>
      <c r="T11" s="17">
        <f t="shared" si="3"/>
        <v>194</v>
      </c>
      <c r="U11" s="17">
        <f t="shared" si="3"/>
        <v>42</v>
      </c>
      <c r="V11" s="17">
        <f t="shared" si="3"/>
        <v>38</v>
      </c>
      <c r="W11" s="17">
        <f t="shared" si="3"/>
        <v>1</v>
      </c>
      <c r="X11" s="17">
        <f t="shared" si="3"/>
        <v>0</v>
      </c>
      <c r="Y11" s="17">
        <f t="shared" si="3"/>
        <v>5</v>
      </c>
      <c r="Z11" s="17">
        <f t="shared" si="3"/>
        <v>5</v>
      </c>
      <c r="AA11" s="17">
        <f t="shared" si="3"/>
        <v>2</v>
      </c>
      <c r="AB11" s="17">
        <f t="shared" si="3"/>
        <v>3</v>
      </c>
      <c r="AC11" s="17">
        <f t="shared" si="3"/>
        <v>496</v>
      </c>
      <c r="AD11" s="17">
        <f t="shared" si="3"/>
        <v>0</v>
      </c>
      <c r="AE11" s="31">
        <f t="shared" si="3"/>
        <v>675</v>
      </c>
      <c r="AF11" s="31">
        <f t="shared" si="3"/>
        <v>1171</v>
      </c>
    </row>
    <row r="12" spans="2:32" ht="23.1" customHeight="1" x14ac:dyDescent="0.25">
      <c r="B12" s="23" t="s">
        <v>39</v>
      </c>
      <c r="C12" s="50">
        <v>130</v>
      </c>
      <c r="D12" s="50">
        <v>90</v>
      </c>
      <c r="E12" s="50">
        <v>10</v>
      </c>
      <c r="F12" s="50">
        <v>9</v>
      </c>
      <c r="G12" s="50">
        <v>0</v>
      </c>
      <c r="H12" s="50">
        <v>0</v>
      </c>
      <c r="I12" s="50">
        <v>2</v>
      </c>
      <c r="J12" s="50">
        <v>3</v>
      </c>
      <c r="K12" s="50">
        <v>0</v>
      </c>
      <c r="L12" s="50">
        <v>0</v>
      </c>
      <c r="M12" s="50">
        <v>124</v>
      </c>
      <c r="N12" s="50">
        <v>0</v>
      </c>
      <c r="O12" s="15">
        <f t="shared" si="0"/>
        <v>244</v>
      </c>
      <c r="P12" s="15">
        <f t="shared" si="1"/>
        <v>368</v>
      </c>
      <c r="R12" s="1" t="s">
        <v>8</v>
      </c>
      <c r="S12" s="17">
        <f t="shared" ref="S12:AF12" si="4">SUM(C18:C21)</f>
        <v>288</v>
      </c>
      <c r="T12" s="17">
        <f t="shared" si="4"/>
        <v>181</v>
      </c>
      <c r="U12" s="17">
        <f t="shared" si="4"/>
        <v>39</v>
      </c>
      <c r="V12" s="17">
        <f t="shared" si="4"/>
        <v>34</v>
      </c>
      <c r="W12" s="17">
        <f t="shared" si="4"/>
        <v>1</v>
      </c>
      <c r="X12" s="17">
        <f t="shared" si="4"/>
        <v>0</v>
      </c>
      <c r="Y12" s="17">
        <f t="shared" si="4"/>
        <v>12</v>
      </c>
      <c r="Z12" s="17">
        <f t="shared" si="4"/>
        <v>0</v>
      </c>
      <c r="AA12" s="17">
        <f t="shared" si="4"/>
        <v>1</v>
      </c>
      <c r="AB12" s="17">
        <f t="shared" si="4"/>
        <v>1</v>
      </c>
      <c r="AC12" s="17">
        <f t="shared" si="4"/>
        <v>338</v>
      </c>
      <c r="AD12" s="17">
        <f t="shared" si="4"/>
        <v>0</v>
      </c>
      <c r="AE12" s="31">
        <f t="shared" si="4"/>
        <v>557</v>
      </c>
      <c r="AF12" s="31">
        <f t="shared" si="4"/>
        <v>895</v>
      </c>
    </row>
    <row r="13" spans="2:32" ht="23.1" customHeight="1" x14ac:dyDescent="0.25">
      <c r="B13" s="23" t="s">
        <v>40</v>
      </c>
      <c r="C13" s="50">
        <v>126</v>
      </c>
      <c r="D13" s="50">
        <v>52</v>
      </c>
      <c r="E13" s="50">
        <v>22</v>
      </c>
      <c r="F13" s="50">
        <v>10</v>
      </c>
      <c r="G13" s="50">
        <v>3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137</v>
      </c>
      <c r="N13" s="50">
        <v>0</v>
      </c>
      <c r="O13" s="15">
        <f t="shared" si="0"/>
        <v>214</v>
      </c>
      <c r="P13" s="15">
        <f t="shared" si="1"/>
        <v>351</v>
      </c>
      <c r="R13" s="1" t="s">
        <v>9</v>
      </c>
      <c r="S13" s="17">
        <f t="shared" ref="S13:AF13" si="5">SUM(C22:C25)</f>
        <v>287</v>
      </c>
      <c r="T13" s="17">
        <f t="shared" si="5"/>
        <v>167</v>
      </c>
      <c r="U13" s="17">
        <f t="shared" si="5"/>
        <v>30</v>
      </c>
      <c r="V13" s="17">
        <f t="shared" si="5"/>
        <v>44</v>
      </c>
      <c r="W13" s="17">
        <f t="shared" si="5"/>
        <v>6</v>
      </c>
      <c r="X13" s="17">
        <f t="shared" si="5"/>
        <v>0</v>
      </c>
      <c r="Y13" s="17">
        <f t="shared" si="5"/>
        <v>14</v>
      </c>
      <c r="Z13" s="17">
        <f t="shared" si="5"/>
        <v>5</v>
      </c>
      <c r="AA13" s="17">
        <f t="shared" si="5"/>
        <v>2</v>
      </c>
      <c r="AB13" s="17">
        <f t="shared" si="5"/>
        <v>2</v>
      </c>
      <c r="AC13" s="17">
        <f t="shared" si="5"/>
        <v>366</v>
      </c>
      <c r="AD13" s="17">
        <f t="shared" si="5"/>
        <v>0</v>
      </c>
      <c r="AE13" s="31">
        <f t="shared" si="5"/>
        <v>557</v>
      </c>
      <c r="AF13" s="31">
        <f t="shared" si="5"/>
        <v>923</v>
      </c>
    </row>
    <row r="14" spans="2:32" ht="23.1" customHeight="1" x14ac:dyDescent="0.25">
      <c r="B14" s="23" t="s">
        <v>41</v>
      </c>
      <c r="C14" s="50">
        <v>105</v>
      </c>
      <c r="D14" s="50">
        <v>50</v>
      </c>
      <c r="E14" s="50">
        <v>11</v>
      </c>
      <c r="F14" s="50">
        <v>8</v>
      </c>
      <c r="G14" s="50">
        <v>0</v>
      </c>
      <c r="H14" s="50">
        <v>0</v>
      </c>
      <c r="I14" s="50">
        <v>1</v>
      </c>
      <c r="J14" s="50">
        <v>0</v>
      </c>
      <c r="K14" s="50">
        <v>1</v>
      </c>
      <c r="L14" s="50">
        <v>0</v>
      </c>
      <c r="M14" s="50">
        <v>119</v>
      </c>
      <c r="N14" s="50">
        <v>0</v>
      </c>
      <c r="O14" s="15">
        <f t="shared" si="0"/>
        <v>176</v>
      </c>
      <c r="P14" s="15">
        <f t="shared" si="1"/>
        <v>295</v>
      </c>
      <c r="R14" s="1" t="s">
        <v>10</v>
      </c>
      <c r="S14" s="17">
        <f t="shared" ref="S14:AF14" si="6">SUM(C26:C29)</f>
        <v>234</v>
      </c>
      <c r="T14" s="17">
        <f t="shared" si="6"/>
        <v>171</v>
      </c>
      <c r="U14" s="17">
        <f t="shared" si="6"/>
        <v>16</v>
      </c>
      <c r="V14" s="17">
        <f t="shared" si="6"/>
        <v>33</v>
      </c>
      <c r="W14" s="17">
        <f t="shared" si="6"/>
        <v>2</v>
      </c>
      <c r="X14" s="17">
        <f t="shared" si="6"/>
        <v>0</v>
      </c>
      <c r="Y14" s="17">
        <f t="shared" si="6"/>
        <v>10</v>
      </c>
      <c r="Z14" s="17">
        <f t="shared" si="6"/>
        <v>9</v>
      </c>
      <c r="AA14" s="17">
        <f t="shared" si="6"/>
        <v>0</v>
      </c>
      <c r="AB14" s="17">
        <f t="shared" si="6"/>
        <v>2</v>
      </c>
      <c r="AC14" s="17">
        <f t="shared" si="6"/>
        <v>280</v>
      </c>
      <c r="AD14" s="17">
        <f t="shared" si="6"/>
        <v>0</v>
      </c>
      <c r="AE14" s="31">
        <f t="shared" si="6"/>
        <v>477</v>
      </c>
      <c r="AF14" s="31">
        <f t="shared" si="6"/>
        <v>757</v>
      </c>
    </row>
    <row r="15" spans="2:32" ht="23.1" customHeight="1" x14ac:dyDescent="0.25">
      <c r="B15" s="23" t="s">
        <v>42</v>
      </c>
      <c r="C15" s="50">
        <v>105</v>
      </c>
      <c r="D15" s="50">
        <v>61</v>
      </c>
      <c r="E15" s="50">
        <v>14</v>
      </c>
      <c r="F15" s="50">
        <v>15</v>
      </c>
      <c r="G15" s="50">
        <v>1</v>
      </c>
      <c r="H15" s="50">
        <v>0</v>
      </c>
      <c r="I15" s="50">
        <v>2</v>
      </c>
      <c r="J15" s="50">
        <v>3</v>
      </c>
      <c r="K15" s="50">
        <v>1</v>
      </c>
      <c r="L15" s="50">
        <v>1</v>
      </c>
      <c r="M15" s="50">
        <v>130</v>
      </c>
      <c r="N15" s="50">
        <v>0</v>
      </c>
      <c r="O15" s="15">
        <f t="shared" si="0"/>
        <v>203</v>
      </c>
      <c r="P15" s="15">
        <f t="shared" si="1"/>
        <v>333</v>
      </c>
      <c r="R15" s="1" t="s">
        <v>11</v>
      </c>
      <c r="S15" s="17">
        <f t="shared" ref="S15:AF15" si="7">SUM(C30:C33)</f>
        <v>161</v>
      </c>
      <c r="T15" s="17">
        <f t="shared" si="7"/>
        <v>139</v>
      </c>
      <c r="U15" s="17">
        <f t="shared" si="7"/>
        <v>26</v>
      </c>
      <c r="V15" s="17">
        <f t="shared" si="7"/>
        <v>40</v>
      </c>
      <c r="W15" s="17">
        <f t="shared" si="7"/>
        <v>4</v>
      </c>
      <c r="X15" s="17">
        <f t="shared" si="7"/>
        <v>0</v>
      </c>
      <c r="Y15" s="17">
        <f t="shared" si="7"/>
        <v>6</v>
      </c>
      <c r="Z15" s="17">
        <f t="shared" si="7"/>
        <v>5</v>
      </c>
      <c r="AA15" s="17">
        <f t="shared" si="7"/>
        <v>2</v>
      </c>
      <c r="AB15" s="17">
        <f t="shared" si="7"/>
        <v>0</v>
      </c>
      <c r="AC15" s="17">
        <f t="shared" si="7"/>
        <v>283</v>
      </c>
      <c r="AD15" s="17">
        <f t="shared" si="7"/>
        <v>0</v>
      </c>
      <c r="AE15" s="31">
        <f t="shared" si="7"/>
        <v>383</v>
      </c>
      <c r="AF15" s="31">
        <f t="shared" si="7"/>
        <v>666</v>
      </c>
    </row>
    <row r="16" spans="2:32" ht="23.1" customHeight="1" x14ac:dyDescent="0.25">
      <c r="B16" s="23" t="s">
        <v>43</v>
      </c>
      <c r="C16" s="50">
        <v>82</v>
      </c>
      <c r="D16" s="50">
        <v>42</v>
      </c>
      <c r="E16" s="50">
        <v>8</v>
      </c>
      <c r="F16" s="50">
        <v>6</v>
      </c>
      <c r="G16" s="50">
        <v>0</v>
      </c>
      <c r="H16" s="50">
        <v>0</v>
      </c>
      <c r="I16" s="50">
        <v>1</v>
      </c>
      <c r="J16" s="50">
        <v>2</v>
      </c>
      <c r="K16" s="50">
        <v>0</v>
      </c>
      <c r="L16" s="50">
        <v>1</v>
      </c>
      <c r="M16" s="50">
        <v>144</v>
      </c>
      <c r="N16" s="50">
        <v>0</v>
      </c>
      <c r="O16" s="15">
        <f t="shared" si="0"/>
        <v>142</v>
      </c>
      <c r="P16" s="15">
        <f t="shared" si="1"/>
        <v>286</v>
      </c>
      <c r="R16" s="1" t="s">
        <v>12</v>
      </c>
      <c r="S16" s="17">
        <f t="shared" ref="S16:AF16" si="8">SUM(C34:C37)</f>
        <v>195</v>
      </c>
      <c r="T16" s="17">
        <f t="shared" si="8"/>
        <v>157</v>
      </c>
      <c r="U16" s="17">
        <f t="shared" si="8"/>
        <v>39</v>
      </c>
      <c r="V16" s="17">
        <f t="shared" si="8"/>
        <v>45</v>
      </c>
      <c r="W16" s="17">
        <f t="shared" si="8"/>
        <v>3</v>
      </c>
      <c r="X16" s="17">
        <f t="shared" si="8"/>
        <v>0</v>
      </c>
      <c r="Y16" s="17">
        <f t="shared" si="8"/>
        <v>7</v>
      </c>
      <c r="Z16" s="17">
        <f t="shared" si="8"/>
        <v>2</v>
      </c>
      <c r="AA16" s="17">
        <f t="shared" si="8"/>
        <v>0</v>
      </c>
      <c r="AB16" s="17">
        <f t="shared" si="8"/>
        <v>1</v>
      </c>
      <c r="AC16" s="17">
        <f t="shared" si="8"/>
        <v>239</v>
      </c>
      <c r="AD16" s="17">
        <f t="shared" si="8"/>
        <v>0</v>
      </c>
      <c r="AE16" s="31">
        <f t="shared" si="8"/>
        <v>449</v>
      </c>
      <c r="AF16" s="31">
        <f t="shared" si="8"/>
        <v>688</v>
      </c>
    </row>
    <row r="17" spans="2:32" ht="23.1" customHeight="1" x14ac:dyDescent="0.25">
      <c r="B17" s="23" t="s">
        <v>44</v>
      </c>
      <c r="C17" s="50">
        <v>93</v>
      </c>
      <c r="D17" s="50">
        <v>41</v>
      </c>
      <c r="E17" s="50">
        <v>9</v>
      </c>
      <c r="F17" s="50">
        <v>9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1</v>
      </c>
      <c r="M17" s="50">
        <v>103</v>
      </c>
      <c r="N17" s="50">
        <v>0</v>
      </c>
      <c r="O17" s="15">
        <f t="shared" si="0"/>
        <v>154</v>
      </c>
      <c r="P17" s="15">
        <f t="shared" si="1"/>
        <v>257</v>
      </c>
      <c r="R17" s="1" t="s">
        <v>13</v>
      </c>
      <c r="S17" s="17">
        <f t="shared" ref="S17:AF17" si="9">SUM(C38:C41)</f>
        <v>107</v>
      </c>
      <c r="T17" s="17">
        <f t="shared" si="9"/>
        <v>76</v>
      </c>
      <c r="U17" s="17">
        <f t="shared" si="9"/>
        <v>19</v>
      </c>
      <c r="V17" s="17">
        <f t="shared" si="9"/>
        <v>19</v>
      </c>
      <c r="W17" s="17">
        <f t="shared" si="9"/>
        <v>9</v>
      </c>
      <c r="X17" s="17">
        <f t="shared" si="9"/>
        <v>2</v>
      </c>
      <c r="Y17" s="17">
        <f t="shared" si="9"/>
        <v>8</v>
      </c>
      <c r="Z17" s="17">
        <f t="shared" si="9"/>
        <v>4</v>
      </c>
      <c r="AA17" s="17">
        <f t="shared" si="9"/>
        <v>0</v>
      </c>
      <c r="AB17" s="17">
        <f t="shared" si="9"/>
        <v>0</v>
      </c>
      <c r="AC17" s="17">
        <f t="shared" si="9"/>
        <v>250</v>
      </c>
      <c r="AD17" s="17">
        <f t="shared" si="9"/>
        <v>0</v>
      </c>
      <c r="AE17" s="31">
        <f t="shared" si="9"/>
        <v>244</v>
      </c>
      <c r="AF17" s="31">
        <f t="shared" si="9"/>
        <v>494</v>
      </c>
    </row>
    <row r="18" spans="2:32" ht="23.1" customHeight="1" x14ac:dyDescent="0.25">
      <c r="B18" s="23" t="s">
        <v>45</v>
      </c>
      <c r="C18" s="50">
        <v>58</v>
      </c>
      <c r="D18" s="50">
        <v>53</v>
      </c>
      <c r="E18" s="50">
        <v>6</v>
      </c>
      <c r="F18" s="50">
        <v>10</v>
      </c>
      <c r="G18" s="50">
        <v>0</v>
      </c>
      <c r="H18" s="50">
        <v>0</v>
      </c>
      <c r="I18" s="50">
        <v>3</v>
      </c>
      <c r="J18" s="50">
        <v>0</v>
      </c>
      <c r="K18" s="50">
        <v>0</v>
      </c>
      <c r="L18" s="50">
        <v>0</v>
      </c>
      <c r="M18" s="50">
        <v>89</v>
      </c>
      <c r="N18" s="50">
        <v>0</v>
      </c>
      <c r="O18" s="15">
        <f t="shared" si="0"/>
        <v>130</v>
      </c>
      <c r="P18" s="15">
        <f t="shared" si="1"/>
        <v>219</v>
      </c>
      <c r="R18" s="1" t="s">
        <v>14</v>
      </c>
      <c r="S18" s="17">
        <f t="shared" ref="S18:AF18" si="10">SUM(C42:C45)</f>
        <v>139</v>
      </c>
      <c r="T18" s="17">
        <f t="shared" si="10"/>
        <v>141</v>
      </c>
      <c r="U18" s="17">
        <f t="shared" si="10"/>
        <v>20</v>
      </c>
      <c r="V18" s="17">
        <f t="shared" si="10"/>
        <v>31</v>
      </c>
      <c r="W18" s="17">
        <f t="shared" si="10"/>
        <v>2</v>
      </c>
      <c r="X18" s="17">
        <f t="shared" si="10"/>
        <v>0</v>
      </c>
      <c r="Y18" s="17">
        <f t="shared" si="10"/>
        <v>6</v>
      </c>
      <c r="Z18" s="17">
        <f t="shared" si="10"/>
        <v>6</v>
      </c>
      <c r="AA18" s="17">
        <f t="shared" si="10"/>
        <v>0</v>
      </c>
      <c r="AB18" s="17">
        <f t="shared" si="10"/>
        <v>0</v>
      </c>
      <c r="AC18" s="17">
        <f t="shared" si="10"/>
        <v>310</v>
      </c>
      <c r="AD18" s="17">
        <f t="shared" si="10"/>
        <v>0</v>
      </c>
      <c r="AE18" s="31">
        <f t="shared" si="10"/>
        <v>345</v>
      </c>
      <c r="AF18" s="31">
        <f t="shared" si="10"/>
        <v>655</v>
      </c>
    </row>
    <row r="19" spans="2:32" ht="23.1" customHeight="1" x14ac:dyDescent="0.25">
      <c r="B19" s="23" t="s">
        <v>46</v>
      </c>
      <c r="C19" s="50">
        <v>62</v>
      </c>
      <c r="D19" s="50">
        <v>28</v>
      </c>
      <c r="E19" s="50">
        <v>9</v>
      </c>
      <c r="F19" s="50">
        <v>5</v>
      </c>
      <c r="G19" s="50">
        <v>0</v>
      </c>
      <c r="H19" s="50">
        <v>0</v>
      </c>
      <c r="I19" s="50">
        <v>4</v>
      </c>
      <c r="J19" s="50">
        <v>0</v>
      </c>
      <c r="K19" s="50">
        <v>1</v>
      </c>
      <c r="L19" s="50">
        <v>0</v>
      </c>
      <c r="M19" s="50">
        <v>95</v>
      </c>
      <c r="N19" s="50">
        <v>0</v>
      </c>
      <c r="O19" s="15">
        <f t="shared" si="0"/>
        <v>109</v>
      </c>
      <c r="P19" s="15">
        <f t="shared" si="1"/>
        <v>204</v>
      </c>
      <c r="R19" s="1" t="s">
        <v>15</v>
      </c>
      <c r="S19" s="17">
        <f t="shared" ref="S19:AF19" si="11">SUM(C46:C49)</f>
        <v>256</v>
      </c>
      <c r="T19" s="17">
        <f t="shared" si="11"/>
        <v>214</v>
      </c>
      <c r="U19" s="17">
        <f t="shared" si="11"/>
        <v>38</v>
      </c>
      <c r="V19" s="17">
        <f t="shared" si="11"/>
        <v>42</v>
      </c>
      <c r="W19" s="17">
        <f t="shared" si="11"/>
        <v>8</v>
      </c>
      <c r="X19" s="17">
        <f t="shared" si="11"/>
        <v>1</v>
      </c>
      <c r="Y19" s="17">
        <f t="shared" si="11"/>
        <v>7</v>
      </c>
      <c r="Z19" s="17">
        <f t="shared" si="11"/>
        <v>7</v>
      </c>
      <c r="AA19" s="17">
        <f t="shared" si="11"/>
        <v>0</v>
      </c>
      <c r="AB19" s="17">
        <f t="shared" si="11"/>
        <v>0</v>
      </c>
      <c r="AC19" s="17">
        <f t="shared" si="11"/>
        <v>281</v>
      </c>
      <c r="AD19" s="17">
        <f t="shared" si="11"/>
        <v>0</v>
      </c>
      <c r="AE19" s="31">
        <f t="shared" si="11"/>
        <v>573</v>
      </c>
      <c r="AF19" s="31">
        <f t="shared" si="11"/>
        <v>854</v>
      </c>
    </row>
    <row r="20" spans="2:32" ht="23.1" customHeight="1" x14ac:dyDescent="0.25">
      <c r="B20" s="23" t="s">
        <v>47</v>
      </c>
      <c r="C20" s="50">
        <v>90</v>
      </c>
      <c r="D20" s="50">
        <v>60</v>
      </c>
      <c r="E20" s="50">
        <v>15</v>
      </c>
      <c r="F20" s="50">
        <v>13</v>
      </c>
      <c r="G20" s="50">
        <v>0</v>
      </c>
      <c r="H20" s="50">
        <v>0</v>
      </c>
      <c r="I20" s="50">
        <v>3</v>
      </c>
      <c r="J20" s="50">
        <v>0</v>
      </c>
      <c r="K20" s="50">
        <v>0</v>
      </c>
      <c r="L20" s="50">
        <v>1</v>
      </c>
      <c r="M20" s="50">
        <v>82</v>
      </c>
      <c r="N20" s="50">
        <v>0</v>
      </c>
      <c r="O20" s="15">
        <f t="shared" si="0"/>
        <v>182</v>
      </c>
      <c r="P20" s="15">
        <f t="shared" si="1"/>
        <v>264</v>
      </c>
      <c r="R20" s="1" t="s">
        <v>16</v>
      </c>
      <c r="S20" s="17">
        <f t="shared" ref="S20:AF20" si="12">SUM(C50:C53)</f>
        <v>286</v>
      </c>
      <c r="T20" s="17">
        <f t="shared" si="12"/>
        <v>195</v>
      </c>
      <c r="U20" s="17">
        <f t="shared" si="12"/>
        <v>44</v>
      </c>
      <c r="V20" s="17">
        <f t="shared" si="12"/>
        <v>40</v>
      </c>
      <c r="W20" s="17">
        <f t="shared" si="12"/>
        <v>4</v>
      </c>
      <c r="X20" s="17">
        <f t="shared" si="12"/>
        <v>6</v>
      </c>
      <c r="Y20" s="17">
        <f t="shared" si="12"/>
        <v>12</v>
      </c>
      <c r="Z20" s="17">
        <f t="shared" si="12"/>
        <v>2</v>
      </c>
      <c r="AA20" s="17">
        <f t="shared" si="12"/>
        <v>0</v>
      </c>
      <c r="AB20" s="17">
        <f t="shared" si="12"/>
        <v>0</v>
      </c>
      <c r="AC20" s="17">
        <f t="shared" si="12"/>
        <v>387</v>
      </c>
      <c r="AD20" s="17">
        <f t="shared" si="12"/>
        <v>0</v>
      </c>
      <c r="AE20" s="31">
        <f t="shared" si="12"/>
        <v>589</v>
      </c>
      <c r="AF20" s="31">
        <f t="shared" si="12"/>
        <v>976</v>
      </c>
    </row>
    <row r="21" spans="2:32" ht="23.1" customHeight="1" x14ac:dyDescent="0.25">
      <c r="B21" s="23" t="s">
        <v>48</v>
      </c>
      <c r="C21" s="50">
        <v>78</v>
      </c>
      <c r="D21" s="50">
        <v>40</v>
      </c>
      <c r="E21" s="50">
        <v>9</v>
      </c>
      <c r="F21" s="50">
        <v>6</v>
      </c>
      <c r="G21" s="50">
        <v>1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72</v>
      </c>
      <c r="N21" s="50">
        <v>0</v>
      </c>
      <c r="O21" s="15">
        <f t="shared" si="0"/>
        <v>136</v>
      </c>
      <c r="P21" s="15">
        <f t="shared" si="1"/>
        <v>208</v>
      </c>
      <c r="R21" s="36" t="s">
        <v>20</v>
      </c>
      <c r="S21" s="34">
        <f t="shared" ref="S21:AF21" si="13">SUM(C54:C57)</f>
        <v>187</v>
      </c>
      <c r="T21" s="17">
        <f t="shared" si="13"/>
        <v>125</v>
      </c>
      <c r="U21" s="17">
        <f t="shared" si="13"/>
        <v>22</v>
      </c>
      <c r="V21" s="17">
        <f t="shared" si="13"/>
        <v>41</v>
      </c>
      <c r="W21" s="17">
        <f t="shared" si="13"/>
        <v>4</v>
      </c>
      <c r="X21" s="17">
        <f t="shared" si="13"/>
        <v>2</v>
      </c>
      <c r="Y21" s="17">
        <f t="shared" si="13"/>
        <v>1</v>
      </c>
      <c r="Z21" s="17">
        <f t="shared" si="13"/>
        <v>9</v>
      </c>
      <c r="AA21" s="17">
        <f t="shared" si="13"/>
        <v>1</v>
      </c>
      <c r="AB21" s="17">
        <f t="shared" si="13"/>
        <v>0</v>
      </c>
      <c r="AC21" s="17">
        <f t="shared" si="13"/>
        <v>441</v>
      </c>
      <c r="AD21" s="17">
        <f t="shared" si="13"/>
        <v>0</v>
      </c>
      <c r="AE21" s="31">
        <f t="shared" si="13"/>
        <v>392</v>
      </c>
      <c r="AF21" s="31">
        <f t="shared" si="13"/>
        <v>833</v>
      </c>
    </row>
    <row r="22" spans="2:32" ht="23.1" customHeight="1" x14ac:dyDescent="0.25">
      <c r="B22" s="23" t="s">
        <v>49</v>
      </c>
      <c r="C22" s="50">
        <v>89</v>
      </c>
      <c r="D22" s="50">
        <v>41</v>
      </c>
      <c r="E22" s="50">
        <v>7</v>
      </c>
      <c r="F22" s="50">
        <v>18</v>
      </c>
      <c r="G22" s="50">
        <v>1</v>
      </c>
      <c r="H22" s="50">
        <v>0</v>
      </c>
      <c r="I22" s="50">
        <v>3</v>
      </c>
      <c r="J22" s="50">
        <v>0</v>
      </c>
      <c r="K22" s="50">
        <v>0</v>
      </c>
      <c r="L22" s="50">
        <v>1</v>
      </c>
      <c r="M22" s="50">
        <v>122</v>
      </c>
      <c r="N22" s="50">
        <v>0</v>
      </c>
      <c r="O22" s="15">
        <f t="shared" si="0"/>
        <v>160</v>
      </c>
      <c r="P22" s="15">
        <f t="shared" si="1"/>
        <v>282</v>
      </c>
      <c r="R22" s="38" t="s">
        <v>90</v>
      </c>
      <c r="S22" s="39">
        <f>MAX(S10:S12)</f>
        <v>462</v>
      </c>
      <c r="T22" s="39">
        <f t="shared" ref="T22:AF22" si="14">MAX(T10:T12)</f>
        <v>288</v>
      </c>
      <c r="U22" s="39">
        <f t="shared" si="14"/>
        <v>54</v>
      </c>
      <c r="V22" s="39">
        <f t="shared" si="14"/>
        <v>38</v>
      </c>
      <c r="W22" s="39">
        <f t="shared" si="14"/>
        <v>5</v>
      </c>
      <c r="X22" s="39">
        <f t="shared" si="14"/>
        <v>0</v>
      </c>
      <c r="Y22" s="39">
        <f t="shared" si="14"/>
        <v>12</v>
      </c>
      <c r="Z22" s="39">
        <f t="shared" si="14"/>
        <v>6</v>
      </c>
      <c r="AA22" s="39">
        <f t="shared" si="14"/>
        <v>2</v>
      </c>
      <c r="AB22" s="39">
        <f t="shared" si="14"/>
        <v>3</v>
      </c>
      <c r="AC22" s="39">
        <f t="shared" si="14"/>
        <v>496</v>
      </c>
      <c r="AD22" s="39">
        <f t="shared" si="14"/>
        <v>0</v>
      </c>
      <c r="AE22" s="40">
        <f t="shared" si="14"/>
        <v>859</v>
      </c>
      <c r="AF22" s="40">
        <f t="shared" si="14"/>
        <v>1233</v>
      </c>
    </row>
    <row r="23" spans="2:32" ht="23.1" customHeight="1" x14ac:dyDescent="0.25">
      <c r="B23" s="23" t="s">
        <v>50</v>
      </c>
      <c r="C23" s="50">
        <v>71</v>
      </c>
      <c r="D23" s="50">
        <v>52</v>
      </c>
      <c r="E23" s="50">
        <v>9</v>
      </c>
      <c r="F23" s="50">
        <v>4</v>
      </c>
      <c r="G23" s="50">
        <v>1</v>
      </c>
      <c r="H23" s="50">
        <v>0</v>
      </c>
      <c r="I23" s="50">
        <v>3</v>
      </c>
      <c r="J23" s="50">
        <v>0</v>
      </c>
      <c r="K23" s="50">
        <v>1</v>
      </c>
      <c r="L23" s="50">
        <v>1</v>
      </c>
      <c r="M23" s="50">
        <v>73</v>
      </c>
      <c r="N23" s="50">
        <v>0</v>
      </c>
      <c r="O23" s="15">
        <f t="shared" si="0"/>
        <v>142</v>
      </c>
      <c r="P23" s="15">
        <f t="shared" si="1"/>
        <v>215</v>
      </c>
      <c r="R23" s="38" t="s">
        <v>91</v>
      </c>
      <c r="S23" s="39">
        <f>MAX(S13:S18)</f>
        <v>287</v>
      </c>
      <c r="T23" s="39">
        <f t="shared" ref="T23:AF23" si="15">MAX(T13:T18)</f>
        <v>171</v>
      </c>
      <c r="U23" s="39">
        <f t="shared" si="15"/>
        <v>39</v>
      </c>
      <c r="V23" s="39">
        <f t="shared" si="15"/>
        <v>45</v>
      </c>
      <c r="W23" s="39">
        <f t="shared" si="15"/>
        <v>9</v>
      </c>
      <c r="X23" s="39">
        <f t="shared" si="15"/>
        <v>2</v>
      </c>
      <c r="Y23" s="39">
        <f t="shared" si="15"/>
        <v>14</v>
      </c>
      <c r="Z23" s="39">
        <f t="shared" si="15"/>
        <v>9</v>
      </c>
      <c r="AA23" s="39">
        <f t="shared" si="15"/>
        <v>2</v>
      </c>
      <c r="AB23" s="39">
        <f t="shared" si="15"/>
        <v>2</v>
      </c>
      <c r="AC23" s="39">
        <f t="shared" si="15"/>
        <v>366</v>
      </c>
      <c r="AD23" s="39">
        <f t="shared" si="15"/>
        <v>0</v>
      </c>
      <c r="AE23" s="40">
        <f t="shared" si="15"/>
        <v>557</v>
      </c>
      <c r="AF23" s="40">
        <f t="shared" si="15"/>
        <v>923</v>
      </c>
    </row>
    <row r="24" spans="2:32" ht="23.1" customHeight="1" x14ac:dyDescent="0.25">
      <c r="B24" s="23" t="s">
        <v>51</v>
      </c>
      <c r="C24" s="50">
        <v>72</v>
      </c>
      <c r="D24" s="50">
        <v>34</v>
      </c>
      <c r="E24" s="50">
        <v>6</v>
      </c>
      <c r="F24" s="50">
        <v>12</v>
      </c>
      <c r="G24" s="50">
        <v>3</v>
      </c>
      <c r="H24" s="50">
        <v>0</v>
      </c>
      <c r="I24" s="50">
        <v>3</v>
      </c>
      <c r="J24" s="50">
        <v>3</v>
      </c>
      <c r="K24" s="50">
        <v>0</v>
      </c>
      <c r="L24" s="50">
        <v>0</v>
      </c>
      <c r="M24" s="50">
        <v>94</v>
      </c>
      <c r="N24" s="50">
        <v>0</v>
      </c>
      <c r="O24" s="15">
        <f t="shared" si="0"/>
        <v>133</v>
      </c>
      <c r="P24" s="15">
        <f t="shared" si="1"/>
        <v>227</v>
      </c>
      <c r="R24" s="38" t="s">
        <v>92</v>
      </c>
      <c r="S24" s="39">
        <f>MAX(S19:S21)</f>
        <v>286</v>
      </c>
      <c r="T24" s="39">
        <f t="shared" ref="T24:AF24" si="16">MAX(T19:T21)</f>
        <v>214</v>
      </c>
      <c r="U24" s="39">
        <f t="shared" si="16"/>
        <v>44</v>
      </c>
      <c r="V24" s="39">
        <f t="shared" si="16"/>
        <v>42</v>
      </c>
      <c r="W24" s="39">
        <f t="shared" si="16"/>
        <v>8</v>
      </c>
      <c r="X24" s="39">
        <f t="shared" si="16"/>
        <v>6</v>
      </c>
      <c r="Y24" s="39">
        <f t="shared" si="16"/>
        <v>12</v>
      </c>
      <c r="Z24" s="39">
        <f t="shared" si="16"/>
        <v>9</v>
      </c>
      <c r="AA24" s="39">
        <f t="shared" si="16"/>
        <v>1</v>
      </c>
      <c r="AB24" s="39">
        <f t="shared" si="16"/>
        <v>0</v>
      </c>
      <c r="AC24" s="39">
        <f t="shared" si="16"/>
        <v>441</v>
      </c>
      <c r="AD24" s="39">
        <f t="shared" si="16"/>
        <v>0</v>
      </c>
      <c r="AE24" s="40">
        <f t="shared" si="16"/>
        <v>589</v>
      </c>
      <c r="AF24" s="40">
        <f t="shared" si="16"/>
        <v>976</v>
      </c>
    </row>
    <row r="25" spans="2:32" ht="23.1" customHeight="1" x14ac:dyDescent="0.25">
      <c r="B25" s="23" t="s">
        <v>52</v>
      </c>
      <c r="C25" s="50">
        <v>55</v>
      </c>
      <c r="D25" s="50">
        <v>40</v>
      </c>
      <c r="E25" s="50">
        <v>8</v>
      </c>
      <c r="F25" s="50">
        <v>10</v>
      </c>
      <c r="G25" s="50">
        <v>1</v>
      </c>
      <c r="H25" s="50">
        <v>0</v>
      </c>
      <c r="I25" s="50">
        <v>5</v>
      </c>
      <c r="J25" s="50">
        <v>2</v>
      </c>
      <c r="K25" s="50">
        <v>1</v>
      </c>
      <c r="L25" s="50">
        <v>0</v>
      </c>
      <c r="M25" s="50">
        <v>77</v>
      </c>
      <c r="N25" s="50">
        <v>0</v>
      </c>
      <c r="O25" s="15">
        <f t="shared" si="0"/>
        <v>122</v>
      </c>
      <c r="P25" s="15">
        <f t="shared" si="1"/>
        <v>199</v>
      </c>
      <c r="R25" s="37" t="s">
        <v>85</v>
      </c>
      <c r="S25" s="35">
        <f t="shared" ref="S25:AF25" si="17">SUM(S10:S12)</f>
        <v>1135</v>
      </c>
      <c r="T25" s="16">
        <f t="shared" si="17"/>
        <v>663</v>
      </c>
      <c r="U25" s="16">
        <f t="shared" si="17"/>
        <v>135</v>
      </c>
      <c r="V25" s="16">
        <f t="shared" si="17"/>
        <v>105</v>
      </c>
      <c r="W25" s="16">
        <f t="shared" si="17"/>
        <v>7</v>
      </c>
      <c r="X25" s="16">
        <f t="shared" si="17"/>
        <v>0</v>
      </c>
      <c r="Y25" s="16">
        <f t="shared" si="17"/>
        <v>27</v>
      </c>
      <c r="Z25" s="16">
        <f t="shared" si="17"/>
        <v>11</v>
      </c>
      <c r="AA25" s="16">
        <f t="shared" si="17"/>
        <v>4</v>
      </c>
      <c r="AB25" s="16">
        <f t="shared" si="17"/>
        <v>4</v>
      </c>
      <c r="AC25" s="16">
        <f t="shared" si="17"/>
        <v>1208</v>
      </c>
      <c r="AD25" s="16">
        <f t="shared" si="17"/>
        <v>0</v>
      </c>
      <c r="AE25" s="32">
        <f t="shared" si="17"/>
        <v>2091</v>
      </c>
      <c r="AF25" s="32">
        <f t="shared" si="17"/>
        <v>3299</v>
      </c>
    </row>
    <row r="26" spans="2:32" ht="23.1" customHeight="1" x14ac:dyDescent="0.25">
      <c r="B26" s="23" t="s">
        <v>53</v>
      </c>
      <c r="C26" s="50">
        <v>62</v>
      </c>
      <c r="D26" s="50">
        <v>43</v>
      </c>
      <c r="E26" s="50">
        <v>2</v>
      </c>
      <c r="F26" s="50">
        <v>5</v>
      </c>
      <c r="G26" s="50">
        <v>1</v>
      </c>
      <c r="H26" s="50">
        <v>0</v>
      </c>
      <c r="I26" s="50">
        <v>3</v>
      </c>
      <c r="J26" s="50">
        <v>2</v>
      </c>
      <c r="K26" s="50">
        <v>0</v>
      </c>
      <c r="L26" s="50">
        <v>0</v>
      </c>
      <c r="M26" s="50">
        <v>76</v>
      </c>
      <c r="N26" s="50">
        <v>0</v>
      </c>
      <c r="O26" s="15">
        <f t="shared" si="0"/>
        <v>118</v>
      </c>
      <c r="P26" s="15">
        <f t="shared" si="1"/>
        <v>194</v>
      </c>
      <c r="R26" s="28" t="s">
        <v>86</v>
      </c>
      <c r="S26" s="16">
        <f t="shared" ref="S26:AF26" si="18">SUM(S13:S18)</f>
        <v>1123</v>
      </c>
      <c r="T26" s="16">
        <f t="shared" si="18"/>
        <v>851</v>
      </c>
      <c r="U26" s="16">
        <f t="shared" si="18"/>
        <v>150</v>
      </c>
      <c r="V26" s="16">
        <f t="shared" si="18"/>
        <v>212</v>
      </c>
      <c r="W26" s="16">
        <f t="shared" si="18"/>
        <v>26</v>
      </c>
      <c r="X26" s="16">
        <f t="shared" si="18"/>
        <v>2</v>
      </c>
      <c r="Y26" s="16">
        <f t="shared" si="18"/>
        <v>51</v>
      </c>
      <c r="Z26" s="16">
        <f t="shared" si="18"/>
        <v>31</v>
      </c>
      <c r="AA26" s="16">
        <f t="shared" si="18"/>
        <v>4</v>
      </c>
      <c r="AB26" s="16">
        <f t="shared" si="18"/>
        <v>5</v>
      </c>
      <c r="AC26" s="16">
        <f t="shared" si="18"/>
        <v>1728</v>
      </c>
      <c r="AD26" s="16">
        <f t="shared" si="18"/>
        <v>0</v>
      </c>
      <c r="AE26" s="32">
        <f t="shared" si="18"/>
        <v>2455</v>
      </c>
      <c r="AF26" s="32">
        <f t="shared" si="18"/>
        <v>4183</v>
      </c>
    </row>
    <row r="27" spans="2:32" ht="23.1" customHeight="1" x14ac:dyDescent="0.25">
      <c r="B27" s="23" t="s">
        <v>54</v>
      </c>
      <c r="C27" s="50">
        <v>42</v>
      </c>
      <c r="D27" s="50">
        <v>37</v>
      </c>
      <c r="E27" s="50">
        <v>3</v>
      </c>
      <c r="F27" s="50">
        <v>9</v>
      </c>
      <c r="G27" s="50">
        <v>1</v>
      </c>
      <c r="H27" s="50">
        <v>0</v>
      </c>
      <c r="I27" s="50">
        <v>3</v>
      </c>
      <c r="J27" s="50">
        <v>2</v>
      </c>
      <c r="K27" s="50">
        <v>0</v>
      </c>
      <c r="L27" s="50">
        <v>0</v>
      </c>
      <c r="M27" s="50">
        <v>72</v>
      </c>
      <c r="N27" s="50">
        <v>0</v>
      </c>
      <c r="O27" s="15">
        <f t="shared" si="0"/>
        <v>97</v>
      </c>
      <c r="P27" s="15">
        <f t="shared" si="1"/>
        <v>169</v>
      </c>
      <c r="R27" s="29" t="s">
        <v>87</v>
      </c>
      <c r="S27" s="16">
        <f t="shared" ref="S27:AF27" si="19">SUM(S19:S21)</f>
        <v>729</v>
      </c>
      <c r="T27" s="16">
        <f t="shared" si="19"/>
        <v>534</v>
      </c>
      <c r="U27" s="16">
        <f t="shared" si="19"/>
        <v>104</v>
      </c>
      <c r="V27" s="16">
        <f t="shared" si="19"/>
        <v>123</v>
      </c>
      <c r="W27" s="16">
        <f t="shared" si="19"/>
        <v>16</v>
      </c>
      <c r="X27" s="16">
        <f t="shared" si="19"/>
        <v>9</v>
      </c>
      <c r="Y27" s="16">
        <f t="shared" si="19"/>
        <v>20</v>
      </c>
      <c r="Z27" s="16">
        <f t="shared" si="19"/>
        <v>18</v>
      </c>
      <c r="AA27" s="16">
        <f t="shared" si="19"/>
        <v>1</v>
      </c>
      <c r="AB27" s="16">
        <f t="shared" si="19"/>
        <v>0</v>
      </c>
      <c r="AC27" s="16">
        <f t="shared" si="19"/>
        <v>1109</v>
      </c>
      <c r="AD27" s="16">
        <f t="shared" si="19"/>
        <v>0</v>
      </c>
      <c r="AE27" s="32">
        <f t="shared" si="19"/>
        <v>1554</v>
      </c>
      <c r="AF27" s="32">
        <f t="shared" si="19"/>
        <v>2663</v>
      </c>
    </row>
    <row r="28" spans="2:32" ht="23.1" customHeight="1" x14ac:dyDescent="0.25">
      <c r="B28" s="23" t="s">
        <v>55</v>
      </c>
      <c r="C28" s="50">
        <v>75</v>
      </c>
      <c r="D28" s="50">
        <v>55</v>
      </c>
      <c r="E28" s="50">
        <v>5</v>
      </c>
      <c r="F28" s="50">
        <v>9</v>
      </c>
      <c r="G28" s="50">
        <v>0</v>
      </c>
      <c r="H28" s="50">
        <v>0</v>
      </c>
      <c r="I28" s="50">
        <v>3</v>
      </c>
      <c r="J28" s="50">
        <v>1</v>
      </c>
      <c r="K28" s="50">
        <v>0</v>
      </c>
      <c r="L28" s="50">
        <v>2</v>
      </c>
      <c r="M28" s="50">
        <v>71</v>
      </c>
      <c r="N28" s="50">
        <v>0</v>
      </c>
      <c r="O28" s="15">
        <f t="shared" si="0"/>
        <v>150</v>
      </c>
      <c r="P28" s="15">
        <f t="shared" si="1"/>
        <v>221</v>
      </c>
      <c r="R28" s="5" t="s">
        <v>17</v>
      </c>
      <c r="S28" s="16">
        <f t="shared" ref="S28:AF28" si="20">SUM(S10:S21)</f>
        <v>2987</v>
      </c>
      <c r="T28" s="16">
        <f t="shared" si="20"/>
        <v>2048</v>
      </c>
      <c r="U28" s="16">
        <f t="shared" si="20"/>
        <v>389</v>
      </c>
      <c r="V28" s="16">
        <f t="shared" si="20"/>
        <v>440</v>
      </c>
      <c r="W28" s="16">
        <f t="shared" si="20"/>
        <v>49</v>
      </c>
      <c r="X28" s="16">
        <f t="shared" si="20"/>
        <v>11</v>
      </c>
      <c r="Y28" s="16">
        <f t="shared" si="20"/>
        <v>98</v>
      </c>
      <c r="Z28" s="16">
        <f t="shared" si="20"/>
        <v>60</v>
      </c>
      <c r="AA28" s="16">
        <f t="shared" si="20"/>
        <v>9</v>
      </c>
      <c r="AB28" s="16">
        <f t="shared" si="20"/>
        <v>9</v>
      </c>
      <c r="AC28" s="16">
        <f t="shared" si="20"/>
        <v>4045</v>
      </c>
      <c r="AD28" s="16">
        <f t="shared" si="20"/>
        <v>0</v>
      </c>
      <c r="AE28" s="32">
        <f t="shared" si="20"/>
        <v>6100</v>
      </c>
      <c r="AF28" s="32">
        <f t="shared" si="20"/>
        <v>10145</v>
      </c>
    </row>
    <row r="29" spans="2:32" ht="23.1" customHeight="1" x14ac:dyDescent="0.25">
      <c r="B29" s="23" t="s">
        <v>56</v>
      </c>
      <c r="C29" s="50">
        <v>55</v>
      </c>
      <c r="D29" s="50">
        <v>36</v>
      </c>
      <c r="E29" s="50">
        <v>6</v>
      </c>
      <c r="F29" s="50">
        <v>10</v>
      </c>
      <c r="G29" s="50">
        <v>0</v>
      </c>
      <c r="H29" s="50">
        <v>0</v>
      </c>
      <c r="I29" s="50">
        <v>1</v>
      </c>
      <c r="J29" s="50">
        <v>4</v>
      </c>
      <c r="K29" s="50">
        <v>0</v>
      </c>
      <c r="L29" s="50">
        <v>0</v>
      </c>
      <c r="M29" s="50">
        <v>61</v>
      </c>
      <c r="N29" s="50">
        <v>0</v>
      </c>
      <c r="O29" s="15">
        <f t="shared" si="0"/>
        <v>112</v>
      </c>
      <c r="P29" s="15">
        <f t="shared" si="1"/>
        <v>173</v>
      </c>
      <c r="R29"/>
      <c r="S29" s="20"/>
      <c r="T29" s="19"/>
    </row>
    <row r="30" spans="2:32" ht="23.1" customHeight="1" x14ac:dyDescent="0.25">
      <c r="B30" s="23" t="s">
        <v>57</v>
      </c>
      <c r="C30" s="50">
        <v>52</v>
      </c>
      <c r="D30" s="50">
        <v>40</v>
      </c>
      <c r="E30" s="50">
        <v>4</v>
      </c>
      <c r="F30" s="50">
        <v>10</v>
      </c>
      <c r="G30" s="50">
        <v>2</v>
      </c>
      <c r="H30" s="50">
        <v>0</v>
      </c>
      <c r="I30" s="50">
        <v>1</v>
      </c>
      <c r="J30" s="50">
        <v>1</v>
      </c>
      <c r="K30" s="50">
        <v>2</v>
      </c>
      <c r="L30" s="50">
        <v>0</v>
      </c>
      <c r="M30" s="50">
        <v>63</v>
      </c>
      <c r="N30" s="50">
        <v>0</v>
      </c>
      <c r="O30" s="15">
        <f t="shared" si="0"/>
        <v>112</v>
      </c>
      <c r="P30" s="15">
        <f t="shared" si="1"/>
        <v>175</v>
      </c>
    </row>
    <row r="31" spans="2:32" ht="23.1" customHeight="1" x14ac:dyDescent="0.25">
      <c r="B31" s="24" t="s">
        <v>58</v>
      </c>
      <c r="C31" s="50">
        <v>53</v>
      </c>
      <c r="D31" s="50">
        <v>44</v>
      </c>
      <c r="E31" s="50">
        <v>8</v>
      </c>
      <c r="F31" s="50">
        <v>7</v>
      </c>
      <c r="G31" s="50">
        <v>1</v>
      </c>
      <c r="H31" s="50">
        <v>0</v>
      </c>
      <c r="I31" s="50">
        <v>4</v>
      </c>
      <c r="J31" s="50">
        <v>1</v>
      </c>
      <c r="K31" s="50">
        <v>0</v>
      </c>
      <c r="L31" s="50">
        <v>0</v>
      </c>
      <c r="M31" s="50">
        <v>89</v>
      </c>
      <c r="N31" s="50">
        <v>0</v>
      </c>
      <c r="O31" s="15">
        <f t="shared" si="0"/>
        <v>118</v>
      </c>
      <c r="P31" s="15">
        <f t="shared" si="1"/>
        <v>207</v>
      </c>
    </row>
    <row r="32" spans="2:32" ht="23.1" customHeight="1" x14ac:dyDescent="0.25">
      <c r="B32" s="24" t="s">
        <v>59</v>
      </c>
      <c r="C32" s="50">
        <v>13</v>
      </c>
      <c r="D32" s="50">
        <v>30</v>
      </c>
      <c r="E32" s="50">
        <v>6</v>
      </c>
      <c r="F32" s="50">
        <v>13</v>
      </c>
      <c r="G32" s="50">
        <v>0</v>
      </c>
      <c r="H32" s="50">
        <v>0</v>
      </c>
      <c r="I32" s="50">
        <v>0</v>
      </c>
      <c r="J32" s="50">
        <v>2</v>
      </c>
      <c r="K32" s="50">
        <v>0</v>
      </c>
      <c r="L32" s="50">
        <v>0</v>
      </c>
      <c r="M32" s="50">
        <v>72</v>
      </c>
      <c r="N32" s="50">
        <v>0</v>
      </c>
      <c r="O32" s="15">
        <f t="shared" si="0"/>
        <v>64</v>
      </c>
      <c r="P32" s="15">
        <f t="shared" si="1"/>
        <v>136</v>
      </c>
    </row>
    <row r="33" spans="2:20" ht="23.1" customHeight="1" x14ac:dyDescent="0.25">
      <c r="B33" s="23" t="s">
        <v>60</v>
      </c>
      <c r="C33" s="50">
        <v>43</v>
      </c>
      <c r="D33" s="50">
        <v>25</v>
      </c>
      <c r="E33" s="50">
        <v>8</v>
      </c>
      <c r="F33" s="50">
        <v>10</v>
      </c>
      <c r="G33" s="50">
        <v>1</v>
      </c>
      <c r="H33" s="50">
        <v>0</v>
      </c>
      <c r="I33" s="50">
        <v>1</v>
      </c>
      <c r="J33" s="50">
        <v>1</v>
      </c>
      <c r="K33" s="50">
        <v>0</v>
      </c>
      <c r="L33" s="50">
        <v>0</v>
      </c>
      <c r="M33" s="50">
        <v>59</v>
      </c>
      <c r="N33" s="50">
        <v>0</v>
      </c>
      <c r="O33" s="15">
        <f t="shared" si="0"/>
        <v>89</v>
      </c>
      <c r="P33" s="15">
        <f t="shared" si="1"/>
        <v>148</v>
      </c>
    </row>
    <row r="34" spans="2:20" ht="23.1" customHeight="1" x14ac:dyDescent="0.25">
      <c r="B34" s="24" t="s">
        <v>61</v>
      </c>
      <c r="C34" s="50">
        <v>51</v>
      </c>
      <c r="D34" s="50">
        <v>39</v>
      </c>
      <c r="E34" s="50">
        <v>11</v>
      </c>
      <c r="F34" s="50">
        <v>6</v>
      </c>
      <c r="G34" s="50">
        <v>0</v>
      </c>
      <c r="H34" s="50">
        <v>0</v>
      </c>
      <c r="I34" s="50">
        <v>2</v>
      </c>
      <c r="J34" s="50">
        <v>0</v>
      </c>
      <c r="K34" s="50">
        <v>0</v>
      </c>
      <c r="L34" s="50">
        <v>0</v>
      </c>
      <c r="M34" s="50">
        <v>62</v>
      </c>
      <c r="N34" s="50">
        <v>0</v>
      </c>
      <c r="O34" s="15">
        <f t="shared" si="0"/>
        <v>109</v>
      </c>
      <c r="P34" s="15">
        <f t="shared" si="1"/>
        <v>171</v>
      </c>
    </row>
    <row r="35" spans="2:20" ht="23.1" customHeight="1" x14ac:dyDescent="0.25">
      <c r="B35" s="24" t="s">
        <v>62</v>
      </c>
      <c r="C35" s="50">
        <v>62</v>
      </c>
      <c r="D35" s="50">
        <v>46</v>
      </c>
      <c r="E35" s="50">
        <v>17</v>
      </c>
      <c r="F35" s="50">
        <v>18</v>
      </c>
      <c r="G35" s="50">
        <v>3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70</v>
      </c>
      <c r="N35" s="50">
        <v>0</v>
      </c>
      <c r="O35" s="15">
        <f t="shared" si="0"/>
        <v>147</v>
      </c>
      <c r="P35" s="15">
        <f t="shared" si="1"/>
        <v>217</v>
      </c>
    </row>
    <row r="36" spans="2:20" ht="23.1" customHeight="1" x14ac:dyDescent="0.25">
      <c r="B36" s="24" t="s">
        <v>63</v>
      </c>
      <c r="C36" s="50">
        <v>30</v>
      </c>
      <c r="D36" s="50">
        <v>35</v>
      </c>
      <c r="E36" s="50">
        <v>5</v>
      </c>
      <c r="F36" s="50">
        <v>6</v>
      </c>
      <c r="G36" s="50">
        <v>0</v>
      </c>
      <c r="H36" s="50">
        <v>0</v>
      </c>
      <c r="I36" s="50">
        <v>2</v>
      </c>
      <c r="J36" s="50">
        <v>2</v>
      </c>
      <c r="K36" s="50">
        <v>0</v>
      </c>
      <c r="L36" s="50">
        <v>1</v>
      </c>
      <c r="M36" s="50">
        <v>51</v>
      </c>
      <c r="N36" s="50">
        <v>0</v>
      </c>
      <c r="O36" s="15">
        <f t="shared" si="0"/>
        <v>81</v>
      </c>
      <c r="P36" s="15">
        <f t="shared" si="1"/>
        <v>132</v>
      </c>
    </row>
    <row r="37" spans="2:20" ht="23.1" customHeight="1" x14ac:dyDescent="0.25">
      <c r="B37" s="23" t="s">
        <v>64</v>
      </c>
      <c r="C37" s="50">
        <v>52</v>
      </c>
      <c r="D37" s="50">
        <v>37</v>
      </c>
      <c r="E37" s="50">
        <v>6</v>
      </c>
      <c r="F37" s="50">
        <v>15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56</v>
      </c>
      <c r="N37" s="50">
        <v>0</v>
      </c>
      <c r="O37" s="15">
        <f t="shared" si="0"/>
        <v>112</v>
      </c>
      <c r="P37" s="15">
        <f t="shared" si="1"/>
        <v>168</v>
      </c>
    </row>
    <row r="38" spans="2:20" ht="23.1" customHeight="1" x14ac:dyDescent="0.25">
      <c r="B38" s="24" t="s">
        <v>65</v>
      </c>
      <c r="C38" s="50">
        <v>16</v>
      </c>
      <c r="D38" s="50">
        <v>8</v>
      </c>
      <c r="E38" s="50">
        <v>3</v>
      </c>
      <c r="F38" s="50">
        <v>4</v>
      </c>
      <c r="G38" s="50">
        <v>2</v>
      </c>
      <c r="H38" s="50">
        <v>0</v>
      </c>
      <c r="I38" s="50">
        <v>2</v>
      </c>
      <c r="J38" s="50">
        <v>2</v>
      </c>
      <c r="K38" s="50">
        <v>0</v>
      </c>
      <c r="L38" s="50">
        <v>0</v>
      </c>
      <c r="M38" s="50">
        <v>63</v>
      </c>
      <c r="N38" s="50">
        <v>0</v>
      </c>
      <c r="O38" s="15">
        <f t="shared" si="0"/>
        <v>37</v>
      </c>
      <c r="P38" s="15">
        <f t="shared" si="1"/>
        <v>100</v>
      </c>
    </row>
    <row r="39" spans="2:20" ht="23.1" customHeight="1" x14ac:dyDescent="0.25">
      <c r="B39" s="24" t="s">
        <v>66</v>
      </c>
      <c r="C39" s="50">
        <v>32</v>
      </c>
      <c r="D39" s="50">
        <v>33</v>
      </c>
      <c r="E39" s="50">
        <v>5</v>
      </c>
      <c r="F39" s="50">
        <v>1</v>
      </c>
      <c r="G39" s="50">
        <v>3</v>
      </c>
      <c r="H39" s="50">
        <v>0</v>
      </c>
      <c r="I39" s="50">
        <v>3</v>
      </c>
      <c r="J39" s="50">
        <v>1</v>
      </c>
      <c r="K39" s="50">
        <v>0</v>
      </c>
      <c r="L39" s="50">
        <v>0</v>
      </c>
      <c r="M39" s="50">
        <v>50</v>
      </c>
      <c r="N39" s="50">
        <v>0</v>
      </c>
      <c r="O39" s="15">
        <f t="shared" si="0"/>
        <v>78</v>
      </c>
      <c r="P39" s="15">
        <f t="shared" si="1"/>
        <v>128</v>
      </c>
    </row>
    <row r="40" spans="2:20" ht="23.1" customHeight="1" x14ac:dyDescent="0.25">
      <c r="B40" s="24" t="s">
        <v>67</v>
      </c>
      <c r="C40" s="50">
        <v>35</v>
      </c>
      <c r="D40" s="50">
        <v>20</v>
      </c>
      <c r="E40" s="50">
        <v>5</v>
      </c>
      <c r="F40" s="50">
        <v>11</v>
      </c>
      <c r="G40" s="50">
        <v>2</v>
      </c>
      <c r="H40" s="50">
        <v>1</v>
      </c>
      <c r="I40" s="50">
        <v>2</v>
      </c>
      <c r="J40" s="50">
        <v>0</v>
      </c>
      <c r="K40" s="50">
        <v>0</v>
      </c>
      <c r="L40" s="50">
        <v>0</v>
      </c>
      <c r="M40" s="50">
        <v>62</v>
      </c>
      <c r="N40" s="50">
        <v>0</v>
      </c>
      <c r="O40" s="15">
        <f t="shared" si="0"/>
        <v>76</v>
      </c>
      <c r="P40" s="15">
        <f t="shared" si="1"/>
        <v>138</v>
      </c>
    </row>
    <row r="41" spans="2:20" ht="23.1" customHeight="1" x14ac:dyDescent="0.25">
      <c r="B41" s="23" t="s">
        <v>68</v>
      </c>
      <c r="C41" s="50">
        <v>24</v>
      </c>
      <c r="D41" s="50">
        <v>15</v>
      </c>
      <c r="E41" s="50">
        <v>6</v>
      </c>
      <c r="F41" s="50">
        <v>3</v>
      </c>
      <c r="G41" s="50">
        <v>2</v>
      </c>
      <c r="H41" s="50">
        <v>1</v>
      </c>
      <c r="I41" s="50">
        <v>1</v>
      </c>
      <c r="J41" s="50">
        <v>1</v>
      </c>
      <c r="K41" s="50">
        <v>0</v>
      </c>
      <c r="L41" s="50">
        <v>0</v>
      </c>
      <c r="M41" s="50">
        <v>75</v>
      </c>
      <c r="N41" s="50">
        <v>0</v>
      </c>
      <c r="O41" s="15">
        <f t="shared" si="0"/>
        <v>53</v>
      </c>
      <c r="P41" s="15">
        <f t="shared" si="1"/>
        <v>128</v>
      </c>
    </row>
    <row r="42" spans="2:20" ht="23.1" customHeight="1" x14ac:dyDescent="0.25">
      <c r="B42" s="24" t="s">
        <v>69</v>
      </c>
      <c r="C42" s="50">
        <v>42</v>
      </c>
      <c r="D42" s="50">
        <v>40</v>
      </c>
      <c r="E42" s="50">
        <v>4</v>
      </c>
      <c r="F42" s="50">
        <v>9</v>
      </c>
      <c r="G42" s="50">
        <v>1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77</v>
      </c>
      <c r="N42" s="50">
        <v>0</v>
      </c>
      <c r="O42" s="15">
        <f t="shared" si="0"/>
        <v>97</v>
      </c>
      <c r="P42" s="15">
        <f t="shared" si="1"/>
        <v>174</v>
      </c>
    </row>
    <row r="43" spans="2:20" ht="23.1" customHeight="1" x14ac:dyDescent="0.25">
      <c r="B43" s="23" t="s">
        <v>70</v>
      </c>
      <c r="C43" s="50">
        <v>33</v>
      </c>
      <c r="D43" s="50">
        <v>26</v>
      </c>
      <c r="E43" s="50">
        <v>1</v>
      </c>
      <c r="F43" s="50">
        <v>4</v>
      </c>
      <c r="G43" s="50">
        <v>0</v>
      </c>
      <c r="H43" s="50">
        <v>0</v>
      </c>
      <c r="I43" s="50">
        <v>0</v>
      </c>
      <c r="J43" s="50">
        <v>2</v>
      </c>
      <c r="K43" s="50">
        <v>0</v>
      </c>
      <c r="L43" s="50">
        <v>0</v>
      </c>
      <c r="M43" s="50">
        <v>69</v>
      </c>
      <c r="N43" s="50">
        <v>0</v>
      </c>
      <c r="O43" s="15">
        <f t="shared" si="0"/>
        <v>66</v>
      </c>
      <c r="P43" s="15">
        <f t="shared" si="1"/>
        <v>135</v>
      </c>
    </row>
    <row r="44" spans="2:20" ht="23.1" customHeight="1" x14ac:dyDescent="0.25">
      <c r="B44" s="25" t="s">
        <v>71</v>
      </c>
      <c r="C44" s="50">
        <v>32</v>
      </c>
      <c r="D44" s="50">
        <v>34</v>
      </c>
      <c r="E44" s="50">
        <v>4</v>
      </c>
      <c r="F44" s="50">
        <v>11</v>
      </c>
      <c r="G44" s="50">
        <v>0</v>
      </c>
      <c r="H44" s="50">
        <v>0</v>
      </c>
      <c r="I44" s="50">
        <v>2</v>
      </c>
      <c r="J44" s="50">
        <v>2</v>
      </c>
      <c r="K44" s="50">
        <v>0</v>
      </c>
      <c r="L44" s="50">
        <v>0</v>
      </c>
      <c r="M44" s="50">
        <v>92</v>
      </c>
      <c r="N44" s="50">
        <v>0</v>
      </c>
      <c r="O44" s="15">
        <f t="shared" si="0"/>
        <v>85</v>
      </c>
      <c r="P44" s="15">
        <f t="shared" si="1"/>
        <v>177</v>
      </c>
    </row>
    <row r="45" spans="2:20" ht="23.1" customHeight="1" x14ac:dyDescent="0.25">
      <c r="B45" s="23" t="s">
        <v>72</v>
      </c>
      <c r="C45" s="50">
        <v>32</v>
      </c>
      <c r="D45" s="50">
        <v>41</v>
      </c>
      <c r="E45" s="50">
        <v>11</v>
      </c>
      <c r="F45" s="50">
        <v>7</v>
      </c>
      <c r="G45" s="50">
        <v>1</v>
      </c>
      <c r="H45" s="50">
        <v>0</v>
      </c>
      <c r="I45" s="50">
        <v>3</v>
      </c>
      <c r="J45" s="50">
        <v>2</v>
      </c>
      <c r="K45" s="50">
        <v>0</v>
      </c>
      <c r="L45" s="50">
        <v>0</v>
      </c>
      <c r="M45" s="50">
        <v>72</v>
      </c>
      <c r="N45" s="50">
        <v>0</v>
      </c>
      <c r="O45" s="15">
        <f t="shared" si="0"/>
        <v>97</v>
      </c>
      <c r="P45" s="15">
        <f t="shared" si="1"/>
        <v>169</v>
      </c>
    </row>
    <row r="46" spans="2:20" ht="23.1" customHeight="1" x14ac:dyDescent="0.25">
      <c r="B46" s="24" t="s">
        <v>73</v>
      </c>
      <c r="C46" s="50">
        <v>42</v>
      </c>
      <c r="D46" s="50">
        <v>39</v>
      </c>
      <c r="E46" s="50">
        <v>6</v>
      </c>
      <c r="F46" s="50">
        <v>9</v>
      </c>
      <c r="G46" s="50">
        <v>1</v>
      </c>
      <c r="H46" s="50">
        <v>0</v>
      </c>
      <c r="I46" s="50">
        <v>3</v>
      </c>
      <c r="J46" s="50">
        <v>2</v>
      </c>
      <c r="K46" s="50">
        <v>0</v>
      </c>
      <c r="L46" s="50">
        <v>0</v>
      </c>
      <c r="M46" s="50">
        <v>67</v>
      </c>
      <c r="N46" s="50">
        <v>0</v>
      </c>
      <c r="O46" s="15">
        <f t="shared" si="0"/>
        <v>102</v>
      </c>
      <c r="P46" s="15">
        <f t="shared" si="1"/>
        <v>169</v>
      </c>
      <c r="R46" s="8"/>
      <c r="T46"/>
    </row>
    <row r="47" spans="2:20" ht="23.1" customHeight="1" x14ac:dyDescent="0.25">
      <c r="B47" s="24" t="s">
        <v>74</v>
      </c>
      <c r="C47" s="50">
        <v>52</v>
      </c>
      <c r="D47" s="50">
        <v>49</v>
      </c>
      <c r="E47" s="50">
        <v>13</v>
      </c>
      <c r="F47" s="50">
        <v>7</v>
      </c>
      <c r="G47" s="50">
        <v>0</v>
      </c>
      <c r="H47" s="50">
        <v>0</v>
      </c>
      <c r="I47" s="50">
        <v>2</v>
      </c>
      <c r="J47" s="50">
        <v>3</v>
      </c>
      <c r="K47" s="50">
        <v>0</v>
      </c>
      <c r="L47" s="50">
        <v>0</v>
      </c>
      <c r="M47" s="50">
        <v>59</v>
      </c>
      <c r="N47" s="50">
        <v>0</v>
      </c>
      <c r="O47" s="15">
        <f t="shared" si="0"/>
        <v>126</v>
      </c>
      <c r="P47" s="15">
        <f t="shared" si="1"/>
        <v>185</v>
      </c>
      <c r="R47" s="8"/>
      <c r="T47"/>
    </row>
    <row r="48" spans="2:20" ht="23.1" customHeight="1" x14ac:dyDescent="0.25">
      <c r="B48" s="24" t="s">
        <v>75</v>
      </c>
      <c r="C48" s="50">
        <v>72</v>
      </c>
      <c r="D48" s="50">
        <v>59</v>
      </c>
      <c r="E48" s="50">
        <v>12</v>
      </c>
      <c r="F48" s="50">
        <v>18</v>
      </c>
      <c r="G48" s="50">
        <v>5</v>
      </c>
      <c r="H48" s="50">
        <v>1</v>
      </c>
      <c r="I48" s="50">
        <v>2</v>
      </c>
      <c r="J48" s="50">
        <v>1</v>
      </c>
      <c r="K48" s="50">
        <v>0</v>
      </c>
      <c r="L48" s="50">
        <v>0</v>
      </c>
      <c r="M48" s="50">
        <v>79</v>
      </c>
      <c r="N48" s="50">
        <v>0</v>
      </c>
      <c r="O48" s="15">
        <f t="shared" si="0"/>
        <v>170</v>
      </c>
      <c r="P48" s="15">
        <f t="shared" si="1"/>
        <v>249</v>
      </c>
      <c r="R48" s="8"/>
      <c r="T48"/>
    </row>
    <row r="49" spans="2:20" ht="23.1" customHeight="1" x14ac:dyDescent="0.25">
      <c r="B49" s="23" t="s">
        <v>76</v>
      </c>
      <c r="C49" s="50">
        <v>90</v>
      </c>
      <c r="D49" s="50">
        <v>67</v>
      </c>
      <c r="E49" s="50">
        <v>7</v>
      </c>
      <c r="F49" s="50">
        <v>8</v>
      </c>
      <c r="G49" s="50">
        <v>2</v>
      </c>
      <c r="H49" s="50">
        <v>0</v>
      </c>
      <c r="I49" s="50">
        <v>0</v>
      </c>
      <c r="J49" s="50">
        <v>1</v>
      </c>
      <c r="K49" s="50">
        <v>0</v>
      </c>
      <c r="L49" s="50">
        <v>0</v>
      </c>
      <c r="M49" s="50">
        <v>76</v>
      </c>
      <c r="N49" s="50">
        <v>0</v>
      </c>
      <c r="O49" s="15">
        <f t="shared" si="0"/>
        <v>175</v>
      </c>
      <c r="P49" s="15">
        <f t="shared" si="1"/>
        <v>251</v>
      </c>
      <c r="R49" s="8"/>
      <c r="T49"/>
    </row>
    <row r="50" spans="2:20" ht="23.1" customHeight="1" x14ac:dyDescent="0.25">
      <c r="B50" s="24" t="s">
        <v>77</v>
      </c>
      <c r="C50" s="50">
        <v>75</v>
      </c>
      <c r="D50" s="50">
        <v>40</v>
      </c>
      <c r="E50" s="50">
        <v>9</v>
      </c>
      <c r="F50" s="50">
        <v>16</v>
      </c>
      <c r="G50" s="50">
        <v>1</v>
      </c>
      <c r="H50" s="50">
        <v>0</v>
      </c>
      <c r="I50" s="50">
        <v>1</v>
      </c>
      <c r="J50" s="50">
        <v>1</v>
      </c>
      <c r="K50" s="50">
        <v>0</v>
      </c>
      <c r="L50" s="50">
        <v>0</v>
      </c>
      <c r="M50" s="50">
        <v>106</v>
      </c>
      <c r="N50" s="50">
        <v>0</v>
      </c>
      <c r="O50" s="15">
        <f t="shared" si="0"/>
        <v>143</v>
      </c>
      <c r="P50" s="15">
        <f t="shared" si="1"/>
        <v>249</v>
      </c>
      <c r="R50" s="8"/>
      <c r="T50"/>
    </row>
    <row r="51" spans="2:20" ht="23.1" customHeight="1" x14ac:dyDescent="0.25">
      <c r="B51" s="24" t="s">
        <v>78</v>
      </c>
      <c r="C51" s="50">
        <v>84</v>
      </c>
      <c r="D51" s="50">
        <v>44</v>
      </c>
      <c r="E51" s="50">
        <v>11</v>
      </c>
      <c r="F51" s="50">
        <v>8</v>
      </c>
      <c r="G51" s="50">
        <v>2</v>
      </c>
      <c r="H51" s="50">
        <v>0</v>
      </c>
      <c r="I51" s="50">
        <v>2</v>
      </c>
      <c r="J51" s="50">
        <v>1</v>
      </c>
      <c r="K51" s="50">
        <v>0</v>
      </c>
      <c r="L51" s="50">
        <v>0</v>
      </c>
      <c r="M51" s="50">
        <v>112</v>
      </c>
      <c r="N51" s="50">
        <v>0</v>
      </c>
      <c r="O51" s="15">
        <f t="shared" si="0"/>
        <v>152</v>
      </c>
      <c r="P51" s="15">
        <f t="shared" si="1"/>
        <v>264</v>
      </c>
      <c r="R51" s="8"/>
      <c r="T51"/>
    </row>
    <row r="52" spans="2:20" ht="23.1" customHeight="1" x14ac:dyDescent="0.25">
      <c r="B52" s="24" t="s">
        <v>79</v>
      </c>
      <c r="C52" s="50">
        <v>47</v>
      </c>
      <c r="D52" s="50">
        <v>52</v>
      </c>
      <c r="E52" s="50">
        <v>10</v>
      </c>
      <c r="F52" s="50">
        <v>11</v>
      </c>
      <c r="G52" s="50">
        <v>1</v>
      </c>
      <c r="H52" s="50">
        <v>4</v>
      </c>
      <c r="I52" s="50">
        <v>5</v>
      </c>
      <c r="J52" s="50">
        <v>0</v>
      </c>
      <c r="K52" s="50">
        <v>0</v>
      </c>
      <c r="L52" s="50">
        <v>0</v>
      </c>
      <c r="M52" s="50">
        <v>77</v>
      </c>
      <c r="N52" s="50">
        <v>0</v>
      </c>
      <c r="O52" s="15">
        <f t="shared" si="0"/>
        <v>130</v>
      </c>
      <c r="P52" s="15">
        <f t="shared" si="1"/>
        <v>207</v>
      </c>
      <c r="R52" s="8"/>
      <c r="T52"/>
    </row>
    <row r="53" spans="2:20" ht="23.1" customHeight="1" x14ac:dyDescent="0.25">
      <c r="B53" s="23" t="s">
        <v>80</v>
      </c>
      <c r="C53" s="50">
        <v>80</v>
      </c>
      <c r="D53" s="50">
        <v>59</v>
      </c>
      <c r="E53" s="50">
        <v>14</v>
      </c>
      <c r="F53" s="50">
        <v>5</v>
      </c>
      <c r="G53" s="50">
        <v>0</v>
      </c>
      <c r="H53" s="50">
        <v>2</v>
      </c>
      <c r="I53" s="50">
        <v>4</v>
      </c>
      <c r="J53" s="50">
        <v>0</v>
      </c>
      <c r="K53" s="50">
        <v>0</v>
      </c>
      <c r="L53" s="50">
        <v>0</v>
      </c>
      <c r="M53" s="50">
        <v>92</v>
      </c>
      <c r="N53" s="50">
        <v>0</v>
      </c>
      <c r="O53" s="15">
        <f t="shared" si="0"/>
        <v>164</v>
      </c>
      <c r="P53" s="15">
        <f t="shared" si="1"/>
        <v>256</v>
      </c>
      <c r="R53" s="8"/>
      <c r="T53"/>
    </row>
    <row r="54" spans="2:20" ht="23.1" customHeight="1" x14ac:dyDescent="0.25">
      <c r="B54" s="23" t="s">
        <v>81</v>
      </c>
      <c r="C54" s="50">
        <v>80</v>
      </c>
      <c r="D54" s="50">
        <v>46</v>
      </c>
      <c r="E54" s="50">
        <v>10</v>
      </c>
      <c r="F54" s="50">
        <v>16</v>
      </c>
      <c r="G54" s="50">
        <v>1</v>
      </c>
      <c r="H54" s="50">
        <v>0</v>
      </c>
      <c r="I54" s="50">
        <v>0</v>
      </c>
      <c r="J54" s="50">
        <v>4</v>
      </c>
      <c r="K54" s="50">
        <v>0</v>
      </c>
      <c r="L54" s="50">
        <v>0</v>
      </c>
      <c r="M54" s="50">
        <v>109</v>
      </c>
      <c r="N54" s="50">
        <v>0</v>
      </c>
      <c r="O54" s="15">
        <f t="shared" si="0"/>
        <v>157</v>
      </c>
      <c r="P54" s="15">
        <f t="shared" si="1"/>
        <v>266</v>
      </c>
      <c r="R54" s="8"/>
      <c r="T54"/>
    </row>
    <row r="55" spans="2:20" ht="23.1" customHeight="1" x14ac:dyDescent="0.25">
      <c r="B55" s="23" t="s">
        <v>82</v>
      </c>
      <c r="C55" s="50">
        <v>53</v>
      </c>
      <c r="D55" s="50">
        <v>29</v>
      </c>
      <c r="E55" s="50">
        <v>2</v>
      </c>
      <c r="F55" s="50">
        <v>11</v>
      </c>
      <c r="G55" s="50">
        <v>1</v>
      </c>
      <c r="H55" s="50">
        <v>2</v>
      </c>
      <c r="I55" s="50">
        <v>1</v>
      </c>
      <c r="J55" s="50">
        <v>1</v>
      </c>
      <c r="K55" s="50">
        <v>1</v>
      </c>
      <c r="L55" s="50">
        <v>0</v>
      </c>
      <c r="M55" s="50">
        <v>117</v>
      </c>
      <c r="N55" s="50">
        <v>0</v>
      </c>
      <c r="O55" s="15">
        <f t="shared" si="0"/>
        <v>101</v>
      </c>
      <c r="P55" s="15">
        <f t="shared" si="1"/>
        <v>218</v>
      </c>
      <c r="R55" s="8"/>
      <c r="T55"/>
    </row>
    <row r="56" spans="2:20" ht="23.1" customHeight="1" x14ac:dyDescent="0.25">
      <c r="B56" s="23" t="s">
        <v>83</v>
      </c>
      <c r="C56" s="50">
        <v>36</v>
      </c>
      <c r="D56" s="50">
        <v>28</v>
      </c>
      <c r="E56" s="50">
        <v>6</v>
      </c>
      <c r="F56" s="50">
        <v>9</v>
      </c>
      <c r="G56" s="50">
        <v>2</v>
      </c>
      <c r="H56" s="50">
        <v>0</v>
      </c>
      <c r="I56" s="50">
        <v>0</v>
      </c>
      <c r="J56" s="50">
        <v>2</v>
      </c>
      <c r="K56" s="50">
        <v>0</v>
      </c>
      <c r="L56" s="50">
        <v>0</v>
      </c>
      <c r="M56" s="50">
        <v>115</v>
      </c>
      <c r="N56" s="50">
        <v>0</v>
      </c>
      <c r="O56" s="15">
        <f t="shared" si="0"/>
        <v>83</v>
      </c>
      <c r="P56" s="15">
        <f t="shared" si="1"/>
        <v>198</v>
      </c>
      <c r="R56" s="8"/>
      <c r="T56"/>
    </row>
    <row r="57" spans="2:20" ht="23.1" customHeight="1" x14ac:dyDescent="0.25">
      <c r="B57" s="23" t="s">
        <v>84</v>
      </c>
      <c r="C57" s="50">
        <v>18</v>
      </c>
      <c r="D57" s="50">
        <v>22</v>
      </c>
      <c r="E57" s="50">
        <v>4</v>
      </c>
      <c r="F57" s="50">
        <v>5</v>
      </c>
      <c r="G57" s="50">
        <v>0</v>
      </c>
      <c r="H57" s="50">
        <v>0</v>
      </c>
      <c r="I57" s="50">
        <v>0</v>
      </c>
      <c r="J57" s="50">
        <v>2</v>
      </c>
      <c r="K57" s="50">
        <v>0</v>
      </c>
      <c r="L57" s="50">
        <v>0</v>
      </c>
      <c r="M57" s="50">
        <v>100</v>
      </c>
      <c r="N57" s="50">
        <v>0</v>
      </c>
      <c r="O57" s="15">
        <f t="shared" si="0"/>
        <v>51</v>
      </c>
      <c r="P57" s="15">
        <f t="shared" si="1"/>
        <v>151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2987</v>
      </c>
      <c r="D58" s="16">
        <f t="shared" si="21"/>
        <v>2048</v>
      </c>
      <c r="E58" s="16">
        <f t="shared" si="21"/>
        <v>389</v>
      </c>
      <c r="F58" s="16">
        <f t="shared" si="21"/>
        <v>440</v>
      </c>
      <c r="G58" s="16">
        <f t="shared" si="21"/>
        <v>49</v>
      </c>
      <c r="H58" s="16">
        <f t="shared" si="21"/>
        <v>11</v>
      </c>
      <c r="I58" s="16">
        <v>2</v>
      </c>
      <c r="J58" s="16">
        <v>4</v>
      </c>
      <c r="K58" s="16">
        <f t="shared" si="21"/>
        <v>9</v>
      </c>
      <c r="L58" s="16">
        <f t="shared" si="21"/>
        <v>9</v>
      </c>
      <c r="M58" s="16">
        <f t="shared" si="21"/>
        <v>4045</v>
      </c>
      <c r="N58" s="16">
        <f t="shared" si="21"/>
        <v>0</v>
      </c>
      <c r="O58" s="16">
        <f t="shared" si="21"/>
        <v>6100</v>
      </c>
      <c r="P58" s="16">
        <f t="shared" si="21"/>
        <v>10145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0.29443075406604241</v>
      </c>
      <c r="D59" s="43">
        <f t="shared" si="22"/>
        <v>0.20187284376540168</v>
      </c>
      <c r="E59" s="43">
        <f t="shared" si="22"/>
        <v>3.8344011828486936E-2</v>
      </c>
      <c r="F59" s="43">
        <f t="shared" si="22"/>
        <v>4.3371118777723018E-2</v>
      </c>
      <c r="G59" s="43">
        <f t="shared" si="22"/>
        <v>4.829965500246427E-3</v>
      </c>
      <c r="H59" s="43">
        <f t="shared" si="22"/>
        <v>1.0842779694430753E-3</v>
      </c>
      <c r="I59" s="43">
        <f t="shared" si="22"/>
        <v>1.9714144898965008E-4</v>
      </c>
      <c r="J59" s="43">
        <f t="shared" si="22"/>
        <v>3.9428289797930016E-4</v>
      </c>
      <c r="K59" s="43">
        <f t="shared" si="22"/>
        <v>8.8713652045342532E-4</v>
      </c>
      <c r="L59" s="43">
        <f t="shared" si="22"/>
        <v>8.8713652045342532E-4</v>
      </c>
      <c r="M59" s="43">
        <f t="shared" si="22"/>
        <v>0.39871858058156728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0.48967213114754099</v>
      </c>
      <c r="D60" s="44">
        <f t="shared" ref="D60:N60" si="23">D58/$O$58</f>
        <v>0.33573770491803279</v>
      </c>
      <c r="E60" s="44">
        <f t="shared" si="23"/>
        <v>6.3770491803278692E-2</v>
      </c>
      <c r="F60" s="44">
        <f t="shared" si="23"/>
        <v>7.2131147540983612E-2</v>
      </c>
      <c r="G60" s="44">
        <f t="shared" si="23"/>
        <v>8.032786885245901E-3</v>
      </c>
      <c r="H60" s="44">
        <f t="shared" si="23"/>
        <v>1.8032786885245902E-3</v>
      </c>
      <c r="I60" s="44">
        <f t="shared" si="23"/>
        <v>3.2786885245901639E-4</v>
      </c>
      <c r="J60" s="44">
        <f t="shared" si="23"/>
        <v>6.5573770491803279E-4</v>
      </c>
      <c r="K60" s="44">
        <f t="shared" si="23"/>
        <v>1.4754098360655738E-3</v>
      </c>
      <c r="L60" s="44">
        <f t="shared" si="23"/>
        <v>1.4754098360655738E-3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D46" zoomScale="40" zoomScaleSheetLayoutView="40" workbookViewId="0">
      <selection activeCell="M105" sqref="M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'29.07 Ntinda-Naalya'!C3:G3</f>
        <v>MCC - C1 - STN38 - NAALYA EAST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171</v>
      </c>
      <c r="E5" s="3"/>
      <c r="F5" s="41" t="s">
        <v>1</v>
      </c>
      <c r="G5" s="65" t="str">
        <f>'02.08 Naalya-Ntinda'!G5:H5</f>
        <v>NAALYA ROUND ABOUT</v>
      </c>
      <c r="H5" s="66"/>
      <c r="I5" s="14"/>
      <c r="J5" s="2" t="s">
        <v>5</v>
      </c>
      <c r="K5" s="65" t="str">
        <f>'02.08 Naalya-Ntinda'!K5:L5</f>
        <v>HARRIET N/NASSIWA A/MUTE C/PHOEBY/KAZIBWE J/NAKAYE J.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'29.07 Ntinda-Naalya'!D6:E6</f>
        <v>NTINDA</v>
      </c>
      <c r="E6" s="66"/>
      <c r="F6" s="2" t="s">
        <v>2</v>
      </c>
      <c r="G6" s="65" t="str">
        <f>'29.07 Ntinda-Naalya'!G6:H6</f>
        <v>NAALYA</v>
      </c>
      <c r="H6" s="66"/>
      <c r="J6" s="2" t="s">
        <v>21</v>
      </c>
      <c r="K6" s="65" t="str">
        <f>'02.08 Naalya-Ntinda'!K6:L6</f>
        <v>STEVEN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134</v>
      </c>
      <c r="D10" s="50">
        <v>18</v>
      </c>
      <c r="E10" s="50">
        <v>2</v>
      </c>
      <c r="F10" s="50">
        <v>7</v>
      </c>
      <c r="G10" s="50">
        <v>0</v>
      </c>
      <c r="H10" s="50">
        <v>0</v>
      </c>
      <c r="I10" s="50">
        <v>0</v>
      </c>
      <c r="J10" s="50">
        <v>1</v>
      </c>
      <c r="K10" s="50">
        <v>0</v>
      </c>
      <c r="L10" s="50">
        <v>0</v>
      </c>
      <c r="M10" s="50">
        <v>39</v>
      </c>
      <c r="N10" s="50">
        <v>0</v>
      </c>
      <c r="O10" s="15">
        <f t="shared" ref="O10:O57" si="0">SUM(C10:L10,N10)</f>
        <v>162</v>
      </c>
      <c r="P10" s="15">
        <f t="shared" ref="P10:P57" si="1">SUM(C10:N10)</f>
        <v>201</v>
      </c>
      <c r="R10" s="1" t="s">
        <v>6</v>
      </c>
      <c r="S10" s="17">
        <f t="shared" ref="S10:AF10" si="2">SUM(C10:C13)</f>
        <v>482</v>
      </c>
      <c r="T10" s="17">
        <f t="shared" si="2"/>
        <v>94</v>
      </c>
      <c r="U10" s="17">
        <f t="shared" si="2"/>
        <v>8</v>
      </c>
      <c r="V10" s="17">
        <f t="shared" si="2"/>
        <v>32</v>
      </c>
      <c r="W10" s="17">
        <f t="shared" si="2"/>
        <v>0</v>
      </c>
      <c r="X10" s="17">
        <f t="shared" si="2"/>
        <v>0</v>
      </c>
      <c r="Y10" s="17">
        <f t="shared" si="2"/>
        <v>5</v>
      </c>
      <c r="Z10" s="17">
        <f t="shared" si="2"/>
        <v>2</v>
      </c>
      <c r="AA10" s="17">
        <f t="shared" si="2"/>
        <v>1</v>
      </c>
      <c r="AB10" s="17">
        <f t="shared" si="2"/>
        <v>0</v>
      </c>
      <c r="AC10" s="17">
        <f t="shared" si="2"/>
        <v>206</v>
      </c>
      <c r="AD10" s="17">
        <f t="shared" si="2"/>
        <v>0</v>
      </c>
      <c r="AE10" s="31">
        <f t="shared" si="2"/>
        <v>624</v>
      </c>
      <c r="AF10" s="31">
        <f t="shared" si="2"/>
        <v>830</v>
      </c>
    </row>
    <row r="11" spans="2:32" s="6" customFormat="1" ht="23.1" customHeight="1" x14ac:dyDescent="0.25">
      <c r="B11" s="45" t="s">
        <v>38</v>
      </c>
      <c r="C11" s="50">
        <v>120</v>
      </c>
      <c r="D11" s="50">
        <v>28</v>
      </c>
      <c r="E11" s="50">
        <v>3</v>
      </c>
      <c r="F11" s="50">
        <v>7</v>
      </c>
      <c r="G11" s="50">
        <v>0</v>
      </c>
      <c r="H11" s="50">
        <v>0</v>
      </c>
      <c r="I11" s="50">
        <v>1</v>
      </c>
      <c r="J11" s="50">
        <v>1</v>
      </c>
      <c r="K11" s="50">
        <v>0</v>
      </c>
      <c r="L11" s="50">
        <v>0</v>
      </c>
      <c r="M11" s="50">
        <v>47</v>
      </c>
      <c r="N11" s="50">
        <v>0</v>
      </c>
      <c r="O11" s="15">
        <f t="shared" si="0"/>
        <v>160</v>
      </c>
      <c r="P11" s="15">
        <f t="shared" si="1"/>
        <v>207</v>
      </c>
      <c r="R11" s="1" t="s">
        <v>7</v>
      </c>
      <c r="S11" s="17">
        <f t="shared" ref="S11:AF11" si="3">SUM(C14:C17)</f>
        <v>238</v>
      </c>
      <c r="T11" s="17">
        <f t="shared" si="3"/>
        <v>66</v>
      </c>
      <c r="U11" s="17">
        <f t="shared" si="3"/>
        <v>5</v>
      </c>
      <c r="V11" s="17">
        <f t="shared" si="3"/>
        <v>39</v>
      </c>
      <c r="W11" s="17">
        <f t="shared" si="3"/>
        <v>3</v>
      </c>
      <c r="X11" s="17">
        <f t="shared" si="3"/>
        <v>0</v>
      </c>
      <c r="Y11" s="17">
        <f t="shared" si="3"/>
        <v>11</v>
      </c>
      <c r="Z11" s="17">
        <f t="shared" si="3"/>
        <v>1</v>
      </c>
      <c r="AA11" s="17">
        <f t="shared" si="3"/>
        <v>4</v>
      </c>
      <c r="AB11" s="17">
        <f t="shared" si="3"/>
        <v>2</v>
      </c>
      <c r="AC11" s="17">
        <f t="shared" si="3"/>
        <v>257</v>
      </c>
      <c r="AD11" s="17">
        <f t="shared" si="3"/>
        <v>0</v>
      </c>
      <c r="AE11" s="31">
        <f t="shared" si="3"/>
        <v>369</v>
      </c>
      <c r="AF11" s="31">
        <f t="shared" si="3"/>
        <v>626</v>
      </c>
    </row>
    <row r="12" spans="2:32" ht="23.1" customHeight="1" x14ac:dyDescent="0.25">
      <c r="B12" s="45" t="s">
        <v>39</v>
      </c>
      <c r="C12" s="50">
        <v>140</v>
      </c>
      <c r="D12" s="50">
        <v>27</v>
      </c>
      <c r="E12" s="50">
        <v>1</v>
      </c>
      <c r="F12" s="50">
        <v>10</v>
      </c>
      <c r="G12" s="50">
        <v>0</v>
      </c>
      <c r="H12" s="50">
        <v>0</v>
      </c>
      <c r="I12" s="50">
        <v>1</v>
      </c>
      <c r="J12" s="50">
        <v>0</v>
      </c>
      <c r="K12" s="50">
        <v>1</v>
      </c>
      <c r="L12" s="50">
        <v>0</v>
      </c>
      <c r="M12" s="50">
        <v>47</v>
      </c>
      <c r="N12" s="50">
        <v>0</v>
      </c>
      <c r="O12" s="15">
        <f t="shared" si="0"/>
        <v>180</v>
      </c>
      <c r="P12" s="15">
        <f t="shared" si="1"/>
        <v>227</v>
      </c>
      <c r="R12" s="1" t="s">
        <v>8</v>
      </c>
      <c r="S12" s="17">
        <f t="shared" ref="S12:AF12" si="4">SUM(C18:C21)</f>
        <v>216</v>
      </c>
      <c r="T12" s="17">
        <f t="shared" si="4"/>
        <v>72</v>
      </c>
      <c r="U12" s="17">
        <f t="shared" si="4"/>
        <v>13</v>
      </c>
      <c r="V12" s="17">
        <f t="shared" si="4"/>
        <v>32</v>
      </c>
      <c r="W12" s="17">
        <f t="shared" si="4"/>
        <v>3</v>
      </c>
      <c r="X12" s="17">
        <f t="shared" si="4"/>
        <v>0</v>
      </c>
      <c r="Y12" s="17">
        <f t="shared" si="4"/>
        <v>14</v>
      </c>
      <c r="Z12" s="17">
        <f t="shared" si="4"/>
        <v>2</v>
      </c>
      <c r="AA12" s="17">
        <f t="shared" si="4"/>
        <v>1</v>
      </c>
      <c r="AB12" s="17">
        <f t="shared" si="4"/>
        <v>0</v>
      </c>
      <c r="AC12" s="17">
        <f t="shared" si="4"/>
        <v>234</v>
      </c>
      <c r="AD12" s="17">
        <f t="shared" si="4"/>
        <v>0</v>
      </c>
      <c r="AE12" s="31">
        <f t="shared" si="4"/>
        <v>353</v>
      </c>
      <c r="AF12" s="31">
        <f t="shared" si="4"/>
        <v>587</v>
      </c>
    </row>
    <row r="13" spans="2:32" ht="23.1" customHeight="1" x14ac:dyDescent="0.25">
      <c r="B13" s="45" t="s">
        <v>40</v>
      </c>
      <c r="C13" s="50">
        <v>88</v>
      </c>
      <c r="D13" s="50">
        <v>21</v>
      </c>
      <c r="E13" s="50">
        <v>2</v>
      </c>
      <c r="F13" s="50">
        <v>8</v>
      </c>
      <c r="G13" s="50">
        <v>0</v>
      </c>
      <c r="H13" s="50">
        <v>0</v>
      </c>
      <c r="I13" s="50">
        <v>3</v>
      </c>
      <c r="J13" s="50">
        <v>0</v>
      </c>
      <c r="K13" s="50">
        <v>0</v>
      </c>
      <c r="L13" s="50">
        <v>0</v>
      </c>
      <c r="M13" s="50">
        <v>73</v>
      </c>
      <c r="N13" s="50">
        <v>0</v>
      </c>
      <c r="O13" s="15">
        <f t="shared" si="0"/>
        <v>122</v>
      </c>
      <c r="P13" s="15">
        <f t="shared" si="1"/>
        <v>195</v>
      </c>
      <c r="R13" s="1" t="s">
        <v>9</v>
      </c>
      <c r="S13" s="17">
        <f t="shared" ref="S13:AF13" si="5">SUM(C22:C25)</f>
        <v>236</v>
      </c>
      <c r="T13" s="17">
        <f t="shared" si="5"/>
        <v>61</v>
      </c>
      <c r="U13" s="17">
        <f t="shared" si="5"/>
        <v>22</v>
      </c>
      <c r="V13" s="17">
        <f t="shared" si="5"/>
        <v>24</v>
      </c>
      <c r="W13" s="17">
        <f t="shared" si="5"/>
        <v>4</v>
      </c>
      <c r="X13" s="17">
        <f t="shared" si="5"/>
        <v>2</v>
      </c>
      <c r="Y13" s="17">
        <f t="shared" si="5"/>
        <v>20</v>
      </c>
      <c r="Z13" s="17">
        <f t="shared" si="5"/>
        <v>6</v>
      </c>
      <c r="AA13" s="17">
        <f t="shared" si="5"/>
        <v>2</v>
      </c>
      <c r="AB13" s="17">
        <f t="shared" si="5"/>
        <v>0</v>
      </c>
      <c r="AC13" s="17">
        <f t="shared" si="5"/>
        <v>290</v>
      </c>
      <c r="AD13" s="17">
        <f t="shared" si="5"/>
        <v>0</v>
      </c>
      <c r="AE13" s="31">
        <f t="shared" si="5"/>
        <v>377</v>
      </c>
      <c r="AF13" s="31">
        <f t="shared" si="5"/>
        <v>667</v>
      </c>
    </row>
    <row r="14" spans="2:32" ht="23.1" customHeight="1" x14ac:dyDescent="0.25">
      <c r="B14" s="45" t="s">
        <v>41</v>
      </c>
      <c r="C14" s="50">
        <v>100</v>
      </c>
      <c r="D14" s="50">
        <v>20</v>
      </c>
      <c r="E14" s="50">
        <v>1</v>
      </c>
      <c r="F14" s="50">
        <v>8</v>
      </c>
      <c r="G14" s="50">
        <v>2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59</v>
      </c>
      <c r="N14" s="50">
        <v>0</v>
      </c>
      <c r="O14" s="15">
        <f t="shared" si="0"/>
        <v>132</v>
      </c>
      <c r="P14" s="15">
        <f t="shared" si="1"/>
        <v>191</v>
      </c>
      <c r="R14" s="1" t="s">
        <v>10</v>
      </c>
      <c r="S14" s="17">
        <f t="shared" ref="S14:AF14" si="6">SUM(C26:C29)</f>
        <v>223</v>
      </c>
      <c r="T14" s="17">
        <f t="shared" si="6"/>
        <v>69</v>
      </c>
      <c r="U14" s="17">
        <f t="shared" si="6"/>
        <v>17</v>
      </c>
      <c r="V14" s="17">
        <f t="shared" si="6"/>
        <v>29</v>
      </c>
      <c r="W14" s="17">
        <f t="shared" si="6"/>
        <v>1</v>
      </c>
      <c r="X14" s="17">
        <f t="shared" si="6"/>
        <v>0</v>
      </c>
      <c r="Y14" s="17">
        <f t="shared" si="6"/>
        <v>13</v>
      </c>
      <c r="Z14" s="17">
        <f t="shared" si="6"/>
        <v>7</v>
      </c>
      <c r="AA14" s="17">
        <f t="shared" si="6"/>
        <v>4</v>
      </c>
      <c r="AB14" s="17">
        <f t="shared" si="6"/>
        <v>0</v>
      </c>
      <c r="AC14" s="17">
        <f t="shared" si="6"/>
        <v>208</v>
      </c>
      <c r="AD14" s="17">
        <f t="shared" si="6"/>
        <v>0</v>
      </c>
      <c r="AE14" s="31">
        <f t="shared" si="6"/>
        <v>363</v>
      </c>
      <c r="AF14" s="31">
        <f t="shared" si="6"/>
        <v>571</v>
      </c>
    </row>
    <row r="15" spans="2:32" ht="23.1" customHeight="1" x14ac:dyDescent="0.25">
      <c r="B15" s="45" t="s">
        <v>42</v>
      </c>
      <c r="C15" s="50">
        <v>72</v>
      </c>
      <c r="D15" s="50">
        <v>13</v>
      </c>
      <c r="E15" s="50">
        <v>0</v>
      </c>
      <c r="F15" s="50">
        <v>12</v>
      </c>
      <c r="G15" s="50">
        <v>0</v>
      </c>
      <c r="H15" s="50">
        <v>0</v>
      </c>
      <c r="I15" s="50">
        <v>3</v>
      </c>
      <c r="J15" s="50">
        <v>1</v>
      </c>
      <c r="K15" s="50">
        <v>2</v>
      </c>
      <c r="L15" s="50">
        <v>1</v>
      </c>
      <c r="M15" s="50">
        <v>60</v>
      </c>
      <c r="N15" s="50">
        <v>0</v>
      </c>
      <c r="O15" s="15">
        <f t="shared" si="0"/>
        <v>104</v>
      </c>
      <c r="P15" s="15">
        <f t="shared" si="1"/>
        <v>164</v>
      </c>
      <c r="R15" s="1" t="s">
        <v>11</v>
      </c>
      <c r="S15" s="17">
        <f t="shared" ref="S15:AF15" si="7">SUM(C30:C33)</f>
        <v>315</v>
      </c>
      <c r="T15" s="17">
        <f t="shared" si="7"/>
        <v>71</v>
      </c>
      <c r="U15" s="17">
        <f t="shared" si="7"/>
        <v>13</v>
      </c>
      <c r="V15" s="17">
        <f t="shared" si="7"/>
        <v>25</v>
      </c>
      <c r="W15" s="17">
        <f t="shared" si="7"/>
        <v>3</v>
      </c>
      <c r="X15" s="17">
        <f t="shared" si="7"/>
        <v>0</v>
      </c>
      <c r="Y15" s="17">
        <f t="shared" si="7"/>
        <v>20</v>
      </c>
      <c r="Z15" s="17">
        <f t="shared" si="7"/>
        <v>8</v>
      </c>
      <c r="AA15" s="17">
        <f t="shared" si="7"/>
        <v>7</v>
      </c>
      <c r="AB15" s="17">
        <f t="shared" si="7"/>
        <v>3</v>
      </c>
      <c r="AC15" s="17">
        <f t="shared" si="7"/>
        <v>143</v>
      </c>
      <c r="AD15" s="17">
        <f t="shared" si="7"/>
        <v>0</v>
      </c>
      <c r="AE15" s="31">
        <f t="shared" si="7"/>
        <v>465</v>
      </c>
      <c r="AF15" s="31">
        <f t="shared" si="7"/>
        <v>608</v>
      </c>
    </row>
    <row r="16" spans="2:32" ht="23.1" customHeight="1" x14ac:dyDescent="0.25">
      <c r="B16" s="45" t="s">
        <v>43</v>
      </c>
      <c r="C16" s="50">
        <v>8</v>
      </c>
      <c r="D16" s="50">
        <v>17</v>
      </c>
      <c r="E16" s="50">
        <v>4</v>
      </c>
      <c r="F16" s="50">
        <v>12</v>
      </c>
      <c r="G16" s="50">
        <v>0</v>
      </c>
      <c r="H16" s="50">
        <v>0</v>
      </c>
      <c r="I16" s="50">
        <v>4</v>
      </c>
      <c r="J16" s="50">
        <v>0</v>
      </c>
      <c r="K16" s="50">
        <v>1</v>
      </c>
      <c r="L16" s="50">
        <v>0</v>
      </c>
      <c r="M16" s="50">
        <v>57</v>
      </c>
      <c r="N16" s="50">
        <v>0</v>
      </c>
      <c r="O16" s="15">
        <f t="shared" si="0"/>
        <v>46</v>
      </c>
      <c r="P16" s="15">
        <f t="shared" si="1"/>
        <v>103</v>
      </c>
      <c r="R16" s="1" t="s">
        <v>12</v>
      </c>
      <c r="S16" s="17">
        <f t="shared" ref="S16:AF16" si="8">SUM(C34:C37)</f>
        <v>315</v>
      </c>
      <c r="T16" s="17">
        <f t="shared" si="8"/>
        <v>71</v>
      </c>
      <c r="U16" s="17">
        <f t="shared" si="8"/>
        <v>15</v>
      </c>
      <c r="V16" s="17">
        <f t="shared" si="8"/>
        <v>17</v>
      </c>
      <c r="W16" s="17">
        <f t="shared" si="8"/>
        <v>8</v>
      </c>
      <c r="X16" s="17">
        <f t="shared" si="8"/>
        <v>0</v>
      </c>
      <c r="Y16" s="17">
        <f t="shared" si="8"/>
        <v>17</v>
      </c>
      <c r="Z16" s="17">
        <f t="shared" si="8"/>
        <v>6</v>
      </c>
      <c r="AA16" s="17">
        <f t="shared" si="8"/>
        <v>4</v>
      </c>
      <c r="AB16" s="17">
        <f t="shared" si="8"/>
        <v>0</v>
      </c>
      <c r="AC16" s="17">
        <f t="shared" si="8"/>
        <v>149</v>
      </c>
      <c r="AD16" s="17">
        <f t="shared" si="8"/>
        <v>0</v>
      </c>
      <c r="AE16" s="31">
        <f t="shared" si="8"/>
        <v>453</v>
      </c>
      <c r="AF16" s="31">
        <f t="shared" si="8"/>
        <v>602</v>
      </c>
    </row>
    <row r="17" spans="2:32" ht="23.1" customHeight="1" x14ac:dyDescent="0.25">
      <c r="B17" s="45" t="s">
        <v>44</v>
      </c>
      <c r="C17" s="50">
        <v>58</v>
      </c>
      <c r="D17" s="50">
        <v>16</v>
      </c>
      <c r="E17" s="50">
        <v>0</v>
      </c>
      <c r="F17" s="50">
        <v>7</v>
      </c>
      <c r="G17" s="50">
        <v>1</v>
      </c>
      <c r="H17" s="50">
        <v>0</v>
      </c>
      <c r="I17" s="50">
        <v>3</v>
      </c>
      <c r="J17" s="50">
        <v>0</v>
      </c>
      <c r="K17" s="50">
        <v>1</v>
      </c>
      <c r="L17" s="50">
        <v>1</v>
      </c>
      <c r="M17" s="50">
        <v>81</v>
      </c>
      <c r="N17" s="50">
        <v>0</v>
      </c>
      <c r="O17" s="15">
        <f t="shared" si="0"/>
        <v>87</v>
      </c>
      <c r="P17" s="15">
        <f t="shared" si="1"/>
        <v>168</v>
      </c>
      <c r="R17" s="1" t="s">
        <v>13</v>
      </c>
      <c r="S17" s="17">
        <f t="shared" ref="S17:AF17" si="9">SUM(C38:C41)</f>
        <v>336</v>
      </c>
      <c r="T17" s="17">
        <f t="shared" si="9"/>
        <v>56</v>
      </c>
      <c r="U17" s="17">
        <f t="shared" si="9"/>
        <v>4</v>
      </c>
      <c r="V17" s="17">
        <f t="shared" si="9"/>
        <v>21</v>
      </c>
      <c r="W17" s="17">
        <f t="shared" si="9"/>
        <v>1</v>
      </c>
      <c r="X17" s="17">
        <f t="shared" si="9"/>
        <v>0</v>
      </c>
      <c r="Y17" s="17">
        <f t="shared" si="9"/>
        <v>22</v>
      </c>
      <c r="Z17" s="17">
        <f t="shared" si="9"/>
        <v>4</v>
      </c>
      <c r="AA17" s="17">
        <f t="shared" si="9"/>
        <v>1</v>
      </c>
      <c r="AB17" s="17">
        <f t="shared" si="9"/>
        <v>3</v>
      </c>
      <c r="AC17" s="17">
        <f t="shared" si="9"/>
        <v>131</v>
      </c>
      <c r="AD17" s="17">
        <f t="shared" si="9"/>
        <v>0</v>
      </c>
      <c r="AE17" s="31">
        <f t="shared" si="9"/>
        <v>448</v>
      </c>
      <c r="AF17" s="31">
        <f t="shared" si="9"/>
        <v>579</v>
      </c>
    </row>
    <row r="18" spans="2:32" ht="23.1" customHeight="1" x14ac:dyDescent="0.25">
      <c r="B18" s="45" t="s">
        <v>45</v>
      </c>
      <c r="C18" s="50">
        <v>61</v>
      </c>
      <c r="D18" s="50">
        <v>20</v>
      </c>
      <c r="E18" s="50">
        <v>3</v>
      </c>
      <c r="F18" s="50">
        <v>5</v>
      </c>
      <c r="G18" s="50">
        <v>0</v>
      </c>
      <c r="H18" s="50">
        <v>0</v>
      </c>
      <c r="I18" s="50">
        <v>5</v>
      </c>
      <c r="J18" s="50">
        <v>1</v>
      </c>
      <c r="K18" s="50">
        <v>0</v>
      </c>
      <c r="L18" s="50">
        <v>0</v>
      </c>
      <c r="M18" s="50">
        <v>46</v>
      </c>
      <c r="N18" s="50">
        <v>0</v>
      </c>
      <c r="O18" s="15">
        <f t="shared" si="0"/>
        <v>95</v>
      </c>
      <c r="P18" s="15">
        <f t="shared" si="1"/>
        <v>141</v>
      </c>
      <c r="R18" s="1" t="s">
        <v>14</v>
      </c>
      <c r="S18" s="17">
        <f t="shared" ref="S18:AF18" si="10">SUM(C42:C45)</f>
        <v>393</v>
      </c>
      <c r="T18" s="17">
        <f t="shared" si="10"/>
        <v>81</v>
      </c>
      <c r="U18" s="17">
        <f t="shared" si="10"/>
        <v>16</v>
      </c>
      <c r="V18" s="17">
        <f t="shared" si="10"/>
        <v>19</v>
      </c>
      <c r="W18" s="17">
        <f t="shared" si="10"/>
        <v>2</v>
      </c>
      <c r="X18" s="17">
        <f t="shared" si="10"/>
        <v>0</v>
      </c>
      <c r="Y18" s="17">
        <f t="shared" si="10"/>
        <v>26</v>
      </c>
      <c r="Z18" s="17">
        <f t="shared" si="10"/>
        <v>4</v>
      </c>
      <c r="AA18" s="17">
        <f t="shared" si="10"/>
        <v>4</v>
      </c>
      <c r="AB18" s="17">
        <f t="shared" si="10"/>
        <v>1</v>
      </c>
      <c r="AC18" s="17">
        <f t="shared" si="10"/>
        <v>239</v>
      </c>
      <c r="AD18" s="17">
        <f t="shared" si="10"/>
        <v>0</v>
      </c>
      <c r="AE18" s="31">
        <f t="shared" si="10"/>
        <v>546</v>
      </c>
      <c r="AF18" s="31">
        <f t="shared" si="10"/>
        <v>785</v>
      </c>
    </row>
    <row r="19" spans="2:32" ht="23.1" customHeight="1" x14ac:dyDescent="0.25">
      <c r="B19" s="45" t="s">
        <v>46</v>
      </c>
      <c r="C19" s="50">
        <v>46</v>
      </c>
      <c r="D19" s="50">
        <v>14</v>
      </c>
      <c r="E19" s="50">
        <v>0</v>
      </c>
      <c r="F19" s="50">
        <v>9</v>
      </c>
      <c r="G19" s="50">
        <v>1</v>
      </c>
      <c r="H19" s="50">
        <v>0</v>
      </c>
      <c r="I19" s="50">
        <v>3</v>
      </c>
      <c r="J19" s="50">
        <v>0</v>
      </c>
      <c r="K19" s="50">
        <v>0</v>
      </c>
      <c r="L19" s="50">
        <v>0</v>
      </c>
      <c r="M19" s="50">
        <v>55</v>
      </c>
      <c r="N19" s="50">
        <v>0</v>
      </c>
      <c r="O19" s="15">
        <f t="shared" si="0"/>
        <v>73</v>
      </c>
      <c r="P19" s="15">
        <f t="shared" si="1"/>
        <v>128</v>
      </c>
      <c r="R19" s="1" t="s">
        <v>15</v>
      </c>
      <c r="S19" s="17">
        <f t="shared" ref="S19:AF19" si="11">SUM(C46:C49)</f>
        <v>612</v>
      </c>
      <c r="T19" s="17">
        <f t="shared" si="11"/>
        <v>115</v>
      </c>
      <c r="U19" s="17">
        <f t="shared" si="11"/>
        <v>10</v>
      </c>
      <c r="V19" s="17">
        <f t="shared" si="11"/>
        <v>24</v>
      </c>
      <c r="W19" s="17">
        <f t="shared" si="11"/>
        <v>5</v>
      </c>
      <c r="X19" s="17">
        <f t="shared" si="11"/>
        <v>2</v>
      </c>
      <c r="Y19" s="17">
        <f t="shared" si="11"/>
        <v>9</v>
      </c>
      <c r="Z19" s="17">
        <f t="shared" si="11"/>
        <v>13</v>
      </c>
      <c r="AA19" s="17">
        <f t="shared" si="11"/>
        <v>3</v>
      </c>
      <c r="AB19" s="17">
        <f t="shared" si="11"/>
        <v>1</v>
      </c>
      <c r="AC19" s="17">
        <f t="shared" si="11"/>
        <v>328</v>
      </c>
      <c r="AD19" s="17">
        <f t="shared" si="11"/>
        <v>0</v>
      </c>
      <c r="AE19" s="31">
        <f t="shared" si="11"/>
        <v>794</v>
      </c>
      <c r="AF19" s="31">
        <f t="shared" si="11"/>
        <v>1122</v>
      </c>
    </row>
    <row r="20" spans="2:32" ht="23.1" customHeight="1" x14ac:dyDescent="0.25">
      <c r="B20" s="45" t="s">
        <v>47</v>
      </c>
      <c r="C20" s="50">
        <v>63</v>
      </c>
      <c r="D20" s="50">
        <v>25</v>
      </c>
      <c r="E20" s="50">
        <v>6</v>
      </c>
      <c r="F20" s="50">
        <v>9</v>
      </c>
      <c r="G20" s="50">
        <v>1</v>
      </c>
      <c r="H20" s="50">
        <v>0</v>
      </c>
      <c r="I20" s="50">
        <v>2</v>
      </c>
      <c r="J20" s="50">
        <v>1</v>
      </c>
      <c r="K20" s="50">
        <v>0</v>
      </c>
      <c r="L20" s="50">
        <v>0</v>
      </c>
      <c r="M20" s="50">
        <v>68</v>
      </c>
      <c r="N20" s="50">
        <v>0</v>
      </c>
      <c r="O20" s="15">
        <f t="shared" si="0"/>
        <v>107</v>
      </c>
      <c r="P20" s="15">
        <f t="shared" si="1"/>
        <v>175</v>
      </c>
      <c r="R20" s="1" t="s">
        <v>16</v>
      </c>
      <c r="S20" s="17">
        <f t="shared" ref="S20:AF20" si="12">SUM(C50:C53)</f>
        <v>685</v>
      </c>
      <c r="T20" s="17">
        <f t="shared" si="12"/>
        <v>115</v>
      </c>
      <c r="U20" s="17">
        <f t="shared" si="12"/>
        <v>12</v>
      </c>
      <c r="V20" s="17">
        <f t="shared" si="12"/>
        <v>36</v>
      </c>
      <c r="W20" s="17">
        <f t="shared" si="12"/>
        <v>3</v>
      </c>
      <c r="X20" s="17">
        <f t="shared" si="12"/>
        <v>2</v>
      </c>
      <c r="Y20" s="17">
        <f t="shared" si="12"/>
        <v>19</v>
      </c>
      <c r="Z20" s="17">
        <f t="shared" si="12"/>
        <v>9</v>
      </c>
      <c r="AA20" s="17">
        <f t="shared" si="12"/>
        <v>2</v>
      </c>
      <c r="AB20" s="17">
        <f t="shared" si="12"/>
        <v>2</v>
      </c>
      <c r="AC20" s="17">
        <f t="shared" si="12"/>
        <v>268</v>
      </c>
      <c r="AD20" s="17">
        <f t="shared" si="12"/>
        <v>0</v>
      </c>
      <c r="AE20" s="31">
        <f t="shared" si="12"/>
        <v>885</v>
      </c>
      <c r="AF20" s="31">
        <f t="shared" si="12"/>
        <v>1153</v>
      </c>
    </row>
    <row r="21" spans="2:32" ht="23.1" customHeight="1" x14ac:dyDescent="0.25">
      <c r="B21" s="45" t="s">
        <v>48</v>
      </c>
      <c r="C21" s="50">
        <v>46</v>
      </c>
      <c r="D21" s="50">
        <v>13</v>
      </c>
      <c r="E21" s="50">
        <v>4</v>
      </c>
      <c r="F21" s="50">
        <v>9</v>
      </c>
      <c r="G21" s="50">
        <v>1</v>
      </c>
      <c r="H21" s="50">
        <v>0</v>
      </c>
      <c r="I21" s="50">
        <v>4</v>
      </c>
      <c r="J21" s="50">
        <v>0</v>
      </c>
      <c r="K21" s="50">
        <v>1</v>
      </c>
      <c r="L21" s="50">
        <v>0</v>
      </c>
      <c r="M21" s="50">
        <v>65</v>
      </c>
      <c r="N21" s="50">
        <v>0</v>
      </c>
      <c r="O21" s="15">
        <f t="shared" si="0"/>
        <v>78</v>
      </c>
      <c r="P21" s="15">
        <f t="shared" si="1"/>
        <v>143</v>
      </c>
      <c r="R21" s="36" t="s">
        <v>20</v>
      </c>
      <c r="S21" s="34">
        <f t="shared" ref="S21:AF21" si="13">SUM(C54:C57)</f>
        <v>698</v>
      </c>
      <c r="T21" s="17">
        <f t="shared" si="13"/>
        <v>116</v>
      </c>
      <c r="U21" s="17">
        <f t="shared" si="13"/>
        <v>16</v>
      </c>
      <c r="V21" s="17">
        <f t="shared" si="13"/>
        <v>39</v>
      </c>
      <c r="W21" s="17">
        <f t="shared" si="13"/>
        <v>4</v>
      </c>
      <c r="X21" s="17">
        <f t="shared" si="13"/>
        <v>1</v>
      </c>
      <c r="Y21" s="17">
        <f t="shared" si="13"/>
        <v>11</v>
      </c>
      <c r="Z21" s="17">
        <f t="shared" si="13"/>
        <v>7</v>
      </c>
      <c r="AA21" s="17">
        <f t="shared" si="13"/>
        <v>1</v>
      </c>
      <c r="AB21" s="17">
        <f t="shared" si="13"/>
        <v>0</v>
      </c>
      <c r="AC21" s="17">
        <f t="shared" si="13"/>
        <v>263</v>
      </c>
      <c r="AD21" s="17">
        <f t="shared" si="13"/>
        <v>0</v>
      </c>
      <c r="AE21" s="31">
        <f t="shared" si="13"/>
        <v>893</v>
      </c>
      <c r="AF21" s="31">
        <f t="shared" si="13"/>
        <v>1156</v>
      </c>
    </row>
    <row r="22" spans="2:32" ht="23.1" customHeight="1" x14ac:dyDescent="0.25">
      <c r="B22" s="45" t="s">
        <v>49</v>
      </c>
      <c r="C22" s="50">
        <v>68</v>
      </c>
      <c r="D22" s="50">
        <v>22</v>
      </c>
      <c r="E22" s="50">
        <v>5</v>
      </c>
      <c r="F22" s="50">
        <v>3</v>
      </c>
      <c r="G22" s="50">
        <v>1</v>
      </c>
      <c r="H22" s="50">
        <v>0</v>
      </c>
      <c r="I22" s="50">
        <v>5</v>
      </c>
      <c r="J22" s="50">
        <v>0</v>
      </c>
      <c r="K22" s="50">
        <v>0</v>
      </c>
      <c r="L22" s="50">
        <v>0</v>
      </c>
      <c r="M22" s="50">
        <v>55</v>
      </c>
      <c r="N22" s="50">
        <v>0</v>
      </c>
      <c r="O22" s="15">
        <f t="shared" si="0"/>
        <v>104</v>
      </c>
      <c r="P22" s="15">
        <f t="shared" si="1"/>
        <v>159</v>
      </c>
      <c r="R22" s="36" t="s">
        <v>146</v>
      </c>
      <c r="S22" s="34">
        <f>SUM(C58:C61)</f>
        <v>556</v>
      </c>
      <c r="T22" s="34">
        <f t="shared" ref="T22:AF22" si="14">SUM(D58:D61)</f>
        <v>116</v>
      </c>
      <c r="U22" s="34">
        <f t="shared" si="14"/>
        <v>36</v>
      </c>
      <c r="V22" s="34">
        <f t="shared" si="14"/>
        <v>26</v>
      </c>
      <c r="W22" s="34">
        <f t="shared" si="14"/>
        <v>1</v>
      </c>
      <c r="X22" s="34">
        <f t="shared" si="14"/>
        <v>0</v>
      </c>
      <c r="Y22" s="34">
        <f t="shared" si="14"/>
        <v>8</v>
      </c>
      <c r="Z22" s="34">
        <f t="shared" si="14"/>
        <v>1</v>
      </c>
      <c r="AA22" s="34">
        <f t="shared" si="14"/>
        <v>3</v>
      </c>
      <c r="AB22" s="34">
        <f t="shared" si="14"/>
        <v>2</v>
      </c>
      <c r="AC22" s="34">
        <f t="shared" si="14"/>
        <v>322</v>
      </c>
      <c r="AD22" s="34">
        <f t="shared" si="14"/>
        <v>0</v>
      </c>
      <c r="AE22" s="31">
        <f t="shared" si="14"/>
        <v>749</v>
      </c>
      <c r="AF22" s="31">
        <f t="shared" si="14"/>
        <v>1071</v>
      </c>
    </row>
    <row r="23" spans="2:32" ht="23.1" customHeight="1" x14ac:dyDescent="0.25">
      <c r="B23" s="45" t="s">
        <v>50</v>
      </c>
      <c r="C23" s="50">
        <v>51</v>
      </c>
      <c r="D23" s="50">
        <v>13</v>
      </c>
      <c r="E23" s="50">
        <v>4</v>
      </c>
      <c r="F23" s="50">
        <v>8</v>
      </c>
      <c r="G23" s="50">
        <v>0</v>
      </c>
      <c r="H23" s="50">
        <v>0</v>
      </c>
      <c r="I23" s="50">
        <v>3</v>
      </c>
      <c r="J23" s="50">
        <v>1</v>
      </c>
      <c r="K23" s="50">
        <v>0</v>
      </c>
      <c r="L23" s="50">
        <v>0</v>
      </c>
      <c r="M23" s="50">
        <v>89</v>
      </c>
      <c r="N23" s="50">
        <v>0</v>
      </c>
      <c r="O23" s="15">
        <f t="shared" si="0"/>
        <v>80</v>
      </c>
      <c r="P23" s="15">
        <f t="shared" si="1"/>
        <v>169</v>
      </c>
      <c r="R23" s="36" t="s">
        <v>147</v>
      </c>
      <c r="S23" s="34">
        <f>SUM(C62:C65)</f>
        <v>343</v>
      </c>
      <c r="T23" s="34">
        <f t="shared" ref="T23:AF23" si="15">SUM(D62:D65)</f>
        <v>87</v>
      </c>
      <c r="U23" s="34">
        <f t="shared" si="15"/>
        <v>30</v>
      </c>
      <c r="V23" s="34">
        <f t="shared" si="15"/>
        <v>29</v>
      </c>
      <c r="W23" s="34">
        <f t="shared" si="15"/>
        <v>2</v>
      </c>
      <c r="X23" s="34">
        <f t="shared" si="15"/>
        <v>0</v>
      </c>
      <c r="Y23" s="34">
        <f t="shared" si="15"/>
        <v>2</v>
      </c>
      <c r="Z23" s="34">
        <f t="shared" si="15"/>
        <v>0</v>
      </c>
      <c r="AA23" s="34">
        <f t="shared" si="15"/>
        <v>0</v>
      </c>
      <c r="AB23" s="34">
        <f t="shared" si="15"/>
        <v>1</v>
      </c>
      <c r="AC23" s="34">
        <f t="shared" si="15"/>
        <v>303</v>
      </c>
      <c r="AD23" s="34">
        <f t="shared" si="15"/>
        <v>0</v>
      </c>
      <c r="AE23" s="31">
        <f t="shared" si="15"/>
        <v>494</v>
      </c>
      <c r="AF23" s="31">
        <f t="shared" si="15"/>
        <v>797</v>
      </c>
    </row>
    <row r="24" spans="2:32" ht="23.1" customHeight="1" x14ac:dyDescent="0.25">
      <c r="B24" s="45" t="s">
        <v>51</v>
      </c>
      <c r="C24" s="50">
        <v>51</v>
      </c>
      <c r="D24" s="50">
        <v>9</v>
      </c>
      <c r="E24" s="50">
        <v>7</v>
      </c>
      <c r="F24" s="50">
        <v>6</v>
      </c>
      <c r="G24" s="50">
        <v>0</v>
      </c>
      <c r="H24" s="50">
        <v>1</v>
      </c>
      <c r="I24" s="50">
        <v>6</v>
      </c>
      <c r="J24" s="50">
        <v>1</v>
      </c>
      <c r="K24" s="50">
        <v>2</v>
      </c>
      <c r="L24" s="50">
        <v>0</v>
      </c>
      <c r="M24" s="50">
        <v>57</v>
      </c>
      <c r="N24" s="50">
        <v>0</v>
      </c>
      <c r="O24" s="15">
        <f t="shared" si="0"/>
        <v>83</v>
      </c>
      <c r="P24" s="15">
        <f t="shared" si="1"/>
        <v>140</v>
      </c>
      <c r="R24" s="36" t="s">
        <v>148</v>
      </c>
      <c r="S24" s="34">
        <f>SUM(C66:C69)</f>
        <v>432</v>
      </c>
      <c r="T24" s="34">
        <f t="shared" ref="T24:AF24" si="16">SUM(D66:D69)</f>
        <v>98</v>
      </c>
      <c r="U24" s="34">
        <f t="shared" si="16"/>
        <v>129</v>
      </c>
      <c r="V24" s="34">
        <f t="shared" si="16"/>
        <v>18</v>
      </c>
      <c r="W24" s="34">
        <f t="shared" si="16"/>
        <v>2</v>
      </c>
      <c r="X24" s="34">
        <f t="shared" si="16"/>
        <v>0</v>
      </c>
      <c r="Y24" s="34">
        <f t="shared" si="16"/>
        <v>2</v>
      </c>
      <c r="Z24" s="34">
        <f t="shared" si="16"/>
        <v>2</v>
      </c>
      <c r="AA24" s="34">
        <f t="shared" si="16"/>
        <v>0</v>
      </c>
      <c r="AB24" s="34">
        <f t="shared" si="16"/>
        <v>0</v>
      </c>
      <c r="AC24" s="34">
        <f t="shared" si="16"/>
        <v>199</v>
      </c>
      <c r="AD24" s="34">
        <f t="shared" si="16"/>
        <v>0</v>
      </c>
      <c r="AE24" s="31">
        <f t="shared" si="16"/>
        <v>683</v>
      </c>
      <c r="AF24" s="31">
        <f t="shared" si="16"/>
        <v>882</v>
      </c>
    </row>
    <row r="25" spans="2:32" ht="23.1" customHeight="1" x14ac:dyDescent="0.25">
      <c r="B25" s="45" t="s">
        <v>52</v>
      </c>
      <c r="C25" s="50">
        <v>66</v>
      </c>
      <c r="D25" s="50">
        <v>17</v>
      </c>
      <c r="E25" s="50">
        <v>6</v>
      </c>
      <c r="F25" s="50">
        <v>7</v>
      </c>
      <c r="G25" s="50">
        <v>3</v>
      </c>
      <c r="H25" s="50">
        <v>1</v>
      </c>
      <c r="I25" s="50">
        <v>6</v>
      </c>
      <c r="J25" s="50">
        <v>4</v>
      </c>
      <c r="K25" s="50">
        <v>0</v>
      </c>
      <c r="L25" s="50">
        <v>0</v>
      </c>
      <c r="M25" s="50">
        <v>89</v>
      </c>
      <c r="N25" s="50">
        <v>0</v>
      </c>
      <c r="O25" s="15">
        <f t="shared" si="0"/>
        <v>110</v>
      </c>
      <c r="P25" s="15">
        <f t="shared" si="1"/>
        <v>199</v>
      </c>
      <c r="R25" s="36" t="s">
        <v>149</v>
      </c>
      <c r="S25" s="34">
        <f>SUM(C70:C73)</f>
        <v>325</v>
      </c>
      <c r="T25" s="34">
        <f t="shared" ref="T25:AF25" si="17">SUM(D70:D73)</f>
        <v>57</v>
      </c>
      <c r="U25" s="34">
        <f t="shared" si="17"/>
        <v>38</v>
      </c>
      <c r="V25" s="34">
        <f t="shared" si="17"/>
        <v>10</v>
      </c>
      <c r="W25" s="34">
        <f t="shared" si="17"/>
        <v>1</v>
      </c>
      <c r="X25" s="34">
        <f t="shared" si="17"/>
        <v>0</v>
      </c>
      <c r="Y25" s="34">
        <f t="shared" si="17"/>
        <v>4</v>
      </c>
      <c r="Z25" s="34">
        <f t="shared" si="17"/>
        <v>1</v>
      </c>
      <c r="AA25" s="34">
        <f t="shared" si="17"/>
        <v>0</v>
      </c>
      <c r="AB25" s="34">
        <f t="shared" si="17"/>
        <v>0</v>
      </c>
      <c r="AC25" s="34">
        <f t="shared" si="17"/>
        <v>157</v>
      </c>
      <c r="AD25" s="34">
        <f t="shared" si="17"/>
        <v>0</v>
      </c>
      <c r="AE25" s="31">
        <f t="shared" si="17"/>
        <v>436</v>
      </c>
      <c r="AF25" s="31">
        <f t="shared" si="17"/>
        <v>593</v>
      </c>
    </row>
    <row r="26" spans="2:32" ht="23.1" customHeight="1" x14ac:dyDescent="0.25">
      <c r="B26" s="45" t="s">
        <v>53</v>
      </c>
      <c r="C26" s="50">
        <v>46</v>
      </c>
      <c r="D26" s="50">
        <v>21</v>
      </c>
      <c r="E26" s="50">
        <v>7</v>
      </c>
      <c r="F26" s="50">
        <v>6</v>
      </c>
      <c r="G26" s="50">
        <v>0</v>
      </c>
      <c r="H26" s="50">
        <v>0</v>
      </c>
      <c r="I26" s="50">
        <v>0</v>
      </c>
      <c r="J26" s="50">
        <v>5</v>
      </c>
      <c r="K26" s="50">
        <v>3</v>
      </c>
      <c r="L26" s="50">
        <v>0</v>
      </c>
      <c r="M26" s="50">
        <v>55</v>
      </c>
      <c r="N26" s="50">
        <v>0</v>
      </c>
      <c r="O26" s="15">
        <f t="shared" si="0"/>
        <v>88</v>
      </c>
      <c r="P26" s="15">
        <f t="shared" si="1"/>
        <v>143</v>
      </c>
      <c r="R26" s="36" t="s">
        <v>150</v>
      </c>
      <c r="S26" s="34">
        <f>SUM(C74:C77)</f>
        <v>199</v>
      </c>
      <c r="T26" s="34">
        <f t="shared" ref="T26:AF26" si="18">SUM(D74:D77)</f>
        <v>30</v>
      </c>
      <c r="U26" s="34">
        <f t="shared" si="18"/>
        <v>13</v>
      </c>
      <c r="V26" s="34">
        <f t="shared" si="18"/>
        <v>6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55</v>
      </c>
      <c r="AD26" s="34">
        <f t="shared" si="18"/>
        <v>0</v>
      </c>
      <c r="AE26" s="31">
        <f t="shared" si="18"/>
        <v>248</v>
      </c>
      <c r="AF26" s="31">
        <f t="shared" si="18"/>
        <v>303</v>
      </c>
    </row>
    <row r="27" spans="2:32" ht="23.1" customHeight="1" x14ac:dyDescent="0.25">
      <c r="B27" s="45" t="s">
        <v>54</v>
      </c>
      <c r="C27" s="50">
        <v>61</v>
      </c>
      <c r="D27" s="50">
        <v>21</v>
      </c>
      <c r="E27" s="50">
        <v>1</v>
      </c>
      <c r="F27" s="50">
        <v>9</v>
      </c>
      <c r="G27" s="50">
        <v>1</v>
      </c>
      <c r="H27" s="50">
        <v>0</v>
      </c>
      <c r="I27" s="50">
        <v>3</v>
      </c>
      <c r="J27" s="50">
        <v>1</v>
      </c>
      <c r="K27" s="50">
        <v>0</v>
      </c>
      <c r="L27" s="50">
        <v>0</v>
      </c>
      <c r="M27" s="50">
        <v>48</v>
      </c>
      <c r="N27" s="50">
        <v>0</v>
      </c>
      <c r="O27" s="15">
        <f t="shared" si="0"/>
        <v>97</v>
      </c>
      <c r="P27" s="15">
        <f t="shared" si="1"/>
        <v>145</v>
      </c>
      <c r="R27" s="36" t="s">
        <v>151</v>
      </c>
      <c r="S27" s="34">
        <f>SUM(C78:C81)</f>
        <v>105</v>
      </c>
      <c r="T27" s="34">
        <f t="shared" ref="T27:AF27" si="19">SUM(D78:D81)</f>
        <v>16</v>
      </c>
      <c r="U27" s="34">
        <f t="shared" si="19"/>
        <v>1</v>
      </c>
      <c r="V27" s="34">
        <f t="shared" si="19"/>
        <v>2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31</v>
      </c>
      <c r="AD27" s="34">
        <f t="shared" si="19"/>
        <v>0</v>
      </c>
      <c r="AE27" s="31">
        <f t="shared" si="19"/>
        <v>124</v>
      </c>
      <c r="AF27" s="31">
        <f t="shared" si="19"/>
        <v>155</v>
      </c>
    </row>
    <row r="28" spans="2:32" ht="23.1" customHeight="1" x14ac:dyDescent="0.25">
      <c r="B28" s="45" t="s">
        <v>55</v>
      </c>
      <c r="C28" s="50">
        <v>60</v>
      </c>
      <c r="D28" s="50">
        <v>20</v>
      </c>
      <c r="E28" s="50">
        <v>6</v>
      </c>
      <c r="F28" s="50">
        <v>8</v>
      </c>
      <c r="G28" s="50">
        <v>0</v>
      </c>
      <c r="H28" s="50">
        <v>0</v>
      </c>
      <c r="I28" s="50">
        <v>4</v>
      </c>
      <c r="J28" s="50">
        <v>1</v>
      </c>
      <c r="K28" s="50">
        <v>1</v>
      </c>
      <c r="L28" s="50">
        <v>0</v>
      </c>
      <c r="M28" s="50">
        <v>60</v>
      </c>
      <c r="N28" s="50">
        <v>0</v>
      </c>
      <c r="O28" s="15">
        <f t="shared" si="0"/>
        <v>100</v>
      </c>
      <c r="P28" s="15">
        <f t="shared" si="1"/>
        <v>160</v>
      </c>
      <c r="R28" s="36" t="s">
        <v>152</v>
      </c>
      <c r="S28" s="34">
        <f>SUM(C82:C85)</f>
        <v>39</v>
      </c>
      <c r="T28" s="34">
        <f t="shared" ref="T28:AF28" si="20">SUM(D82:D85)</f>
        <v>1</v>
      </c>
      <c r="U28" s="34">
        <f t="shared" si="20"/>
        <v>4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16</v>
      </c>
      <c r="AD28" s="34">
        <f t="shared" si="20"/>
        <v>0</v>
      </c>
      <c r="AE28" s="31">
        <f t="shared" si="20"/>
        <v>44</v>
      </c>
      <c r="AF28" s="31">
        <f t="shared" si="20"/>
        <v>60</v>
      </c>
    </row>
    <row r="29" spans="2:32" ht="23.1" customHeight="1" x14ac:dyDescent="0.25">
      <c r="B29" s="45" t="s">
        <v>56</v>
      </c>
      <c r="C29" s="50">
        <v>56</v>
      </c>
      <c r="D29" s="50">
        <v>7</v>
      </c>
      <c r="E29" s="50">
        <v>3</v>
      </c>
      <c r="F29" s="50">
        <v>6</v>
      </c>
      <c r="G29" s="50">
        <v>0</v>
      </c>
      <c r="H29" s="50">
        <v>0</v>
      </c>
      <c r="I29" s="50">
        <v>6</v>
      </c>
      <c r="J29" s="50">
        <v>0</v>
      </c>
      <c r="K29" s="50">
        <v>0</v>
      </c>
      <c r="L29" s="50">
        <v>0</v>
      </c>
      <c r="M29" s="50">
        <v>45</v>
      </c>
      <c r="N29" s="50">
        <v>0</v>
      </c>
      <c r="O29" s="15">
        <f t="shared" si="0"/>
        <v>78</v>
      </c>
      <c r="P29" s="15">
        <f t="shared" si="1"/>
        <v>123</v>
      </c>
      <c r="R29" s="36" t="s">
        <v>153</v>
      </c>
      <c r="S29" s="34">
        <f>SUM(C86:C89)</f>
        <v>22</v>
      </c>
      <c r="T29" s="34">
        <f t="shared" ref="T29:AF29" si="21">SUM(D86:D89)</f>
        <v>4</v>
      </c>
      <c r="U29" s="34">
        <f t="shared" si="21"/>
        <v>2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17</v>
      </c>
      <c r="AD29" s="34">
        <f t="shared" si="21"/>
        <v>0</v>
      </c>
      <c r="AE29" s="31">
        <f t="shared" si="21"/>
        <v>28</v>
      </c>
      <c r="AF29" s="31">
        <f t="shared" si="21"/>
        <v>45</v>
      </c>
    </row>
    <row r="30" spans="2:32" ht="23.1" customHeight="1" x14ac:dyDescent="0.25">
      <c r="B30" s="45" t="s">
        <v>57</v>
      </c>
      <c r="C30" s="50">
        <v>67</v>
      </c>
      <c r="D30" s="50">
        <v>13</v>
      </c>
      <c r="E30" s="50">
        <v>3</v>
      </c>
      <c r="F30" s="50">
        <v>2</v>
      </c>
      <c r="G30" s="50">
        <v>0</v>
      </c>
      <c r="H30" s="50">
        <v>0</v>
      </c>
      <c r="I30" s="50">
        <v>7</v>
      </c>
      <c r="J30" s="50">
        <v>5</v>
      </c>
      <c r="K30" s="50">
        <v>2</v>
      </c>
      <c r="L30" s="50">
        <v>0</v>
      </c>
      <c r="M30" s="50">
        <v>35</v>
      </c>
      <c r="N30" s="50">
        <v>0</v>
      </c>
      <c r="O30" s="15">
        <f t="shared" si="0"/>
        <v>99</v>
      </c>
      <c r="P30" s="15">
        <f t="shared" si="1"/>
        <v>134</v>
      </c>
      <c r="R30" s="36" t="s">
        <v>154</v>
      </c>
      <c r="S30" s="34">
        <f>SUM(C90:C93)</f>
        <v>26</v>
      </c>
      <c r="T30" s="34">
        <f t="shared" ref="T30:AF30" si="22">SUM(D90:D93)</f>
        <v>0</v>
      </c>
      <c r="U30" s="34">
        <f t="shared" si="22"/>
        <v>4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2</v>
      </c>
      <c r="AA30" s="34">
        <f t="shared" si="22"/>
        <v>0</v>
      </c>
      <c r="AB30" s="34">
        <f t="shared" si="22"/>
        <v>0</v>
      </c>
      <c r="AC30" s="34">
        <f t="shared" si="22"/>
        <v>17</v>
      </c>
      <c r="AD30" s="34">
        <f t="shared" si="22"/>
        <v>0</v>
      </c>
      <c r="AE30" s="31">
        <f t="shared" si="22"/>
        <v>33</v>
      </c>
      <c r="AF30" s="31">
        <f t="shared" si="22"/>
        <v>50</v>
      </c>
    </row>
    <row r="31" spans="2:32" ht="23.1" customHeight="1" x14ac:dyDescent="0.25">
      <c r="B31" s="46" t="s">
        <v>58</v>
      </c>
      <c r="C31" s="50">
        <v>61</v>
      </c>
      <c r="D31" s="50">
        <v>20</v>
      </c>
      <c r="E31" s="50">
        <v>6</v>
      </c>
      <c r="F31" s="50">
        <v>7</v>
      </c>
      <c r="G31" s="50">
        <v>0</v>
      </c>
      <c r="H31" s="50">
        <v>0</v>
      </c>
      <c r="I31" s="50">
        <v>4</v>
      </c>
      <c r="J31" s="50">
        <v>1</v>
      </c>
      <c r="K31" s="50">
        <v>1</v>
      </c>
      <c r="L31" s="50">
        <v>2</v>
      </c>
      <c r="M31" s="50">
        <v>40</v>
      </c>
      <c r="N31" s="50">
        <v>0</v>
      </c>
      <c r="O31" s="15">
        <f t="shared" si="0"/>
        <v>102</v>
      </c>
      <c r="P31" s="15">
        <f t="shared" si="1"/>
        <v>142</v>
      </c>
      <c r="R31" s="36" t="s">
        <v>155</v>
      </c>
      <c r="S31" s="34">
        <f>SUM(C94:C97)</f>
        <v>25</v>
      </c>
      <c r="T31" s="34">
        <f t="shared" ref="T31:AF31" si="23">SUM(D94:D97)</f>
        <v>3</v>
      </c>
      <c r="U31" s="34">
        <f t="shared" si="23"/>
        <v>4</v>
      </c>
      <c r="V31" s="34">
        <f t="shared" si="23"/>
        <v>3</v>
      </c>
      <c r="W31" s="34">
        <f t="shared" si="23"/>
        <v>2</v>
      </c>
      <c r="X31" s="34">
        <f t="shared" si="23"/>
        <v>0</v>
      </c>
      <c r="Y31" s="34">
        <f t="shared" si="23"/>
        <v>1</v>
      </c>
      <c r="Z31" s="34">
        <f t="shared" si="23"/>
        <v>1</v>
      </c>
      <c r="AA31" s="34">
        <f t="shared" si="23"/>
        <v>2</v>
      </c>
      <c r="AB31" s="34">
        <f t="shared" si="23"/>
        <v>0</v>
      </c>
      <c r="AC31" s="34">
        <f t="shared" si="23"/>
        <v>13</v>
      </c>
      <c r="AD31" s="34">
        <f t="shared" si="23"/>
        <v>0</v>
      </c>
      <c r="AE31" s="31">
        <f t="shared" si="23"/>
        <v>41</v>
      </c>
      <c r="AF31" s="31">
        <f t="shared" si="23"/>
        <v>54</v>
      </c>
    </row>
    <row r="32" spans="2:32" ht="23.1" customHeight="1" x14ac:dyDescent="0.25">
      <c r="B32" s="46" t="s">
        <v>59</v>
      </c>
      <c r="C32" s="50">
        <v>103</v>
      </c>
      <c r="D32" s="50">
        <v>20</v>
      </c>
      <c r="E32" s="50">
        <v>2</v>
      </c>
      <c r="F32" s="50">
        <v>7</v>
      </c>
      <c r="G32" s="50">
        <v>0</v>
      </c>
      <c r="H32" s="50">
        <v>0</v>
      </c>
      <c r="I32" s="50">
        <v>5</v>
      </c>
      <c r="J32" s="50">
        <v>1</v>
      </c>
      <c r="K32" s="50">
        <v>2</v>
      </c>
      <c r="L32" s="50">
        <v>1</v>
      </c>
      <c r="M32" s="50">
        <v>27</v>
      </c>
      <c r="N32" s="50">
        <v>0</v>
      </c>
      <c r="O32" s="15">
        <f t="shared" si="0"/>
        <v>141</v>
      </c>
      <c r="P32" s="15">
        <f t="shared" si="1"/>
        <v>168</v>
      </c>
      <c r="R32" s="33" t="s">
        <v>156</v>
      </c>
      <c r="S32" s="34">
        <f>SUM(C98:C101)</f>
        <v>97</v>
      </c>
      <c r="T32" s="34">
        <f t="shared" ref="T32:AF32" si="24">SUM(D98:D101)</f>
        <v>9</v>
      </c>
      <c r="U32" s="34">
        <f t="shared" si="24"/>
        <v>1</v>
      </c>
      <c r="V32" s="34">
        <f t="shared" si="24"/>
        <v>8</v>
      </c>
      <c r="W32" s="34">
        <f t="shared" si="24"/>
        <v>0</v>
      </c>
      <c r="X32" s="34">
        <f t="shared" si="24"/>
        <v>0</v>
      </c>
      <c r="Y32" s="34">
        <f t="shared" si="24"/>
        <v>2</v>
      </c>
      <c r="Z32" s="34">
        <f t="shared" si="24"/>
        <v>1</v>
      </c>
      <c r="AA32" s="34">
        <f t="shared" si="24"/>
        <v>0</v>
      </c>
      <c r="AB32" s="34">
        <f t="shared" si="24"/>
        <v>0</v>
      </c>
      <c r="AC32" s="34">
        <f t="shared" si="24"/>
        <v>24</v>
      </c>
      <c r="AD32" s="34">
        <f t="shared" si="24"/>
        <v>0</v>
      </c>
      <c r="AE32" s="31">
        <f t="shared" si="24"/>
        <v>118</v>
      </c>
      <c r="AF32" s="31">
        <f t="shared" si="24"/>
        <v>142</v>
      </c>
    </row>
    <row r="33" spans="2:32" ht="23.1" customHeight="1" x14ac:dyDescent="0.25">
      <c r="B33" s="45" t="s">
        <v>60</v>
      </c>
      <c r="C33" s="50">
        <v>84</v>
      </c>
      <c r="D33" s="50">
        <v>18</v>
      </c>
      <c r="E33" s="50">
        <v>2</v>
      </c>
      <c r="F33" s="50">
        <v>9</v>
      </c>
      <c r="G33" s="50">
        <v>3</v>
      </c>
      <c r="H33" s="50">
        <v>0</v>
      </c>
      <c r="I33" s="50">
        <v>4</v>
      </c>
      <c r="J33" s="50">
        <v>1</v>
      </c>
      <c r="K33" s="50">
        <v>2</v>
      </c>
      <c r="L33" s="50">
        <v>0</v>
      </c>
      <c r="M33" s="50">
        <v>41</v>
      </c>
      <c r="N33" s="50">
        <v>0</v>
      </c>
      <c r="O33" s="15">
        <f t="shared" si="0"/>
        <v>123</v>
      </c>
      <c r="P33" s="15">
        <f t="shared" si="1"/>
        <v>164</v>
      </c>
      <c r="R33" s="33" t="s">
        <v>157</v>
      </c>
      <c r="S33" s="34">
        <f>SUM(C102:C105)</f>
        <v>297</v>
      </c>
      <c r="T33" s="34">
        <f t="shared" ref="T33:AF33" si="25">SUM(D102:D105)</f>
        <v>62</v>
      </c>
      <c r="U33" s="34">
        <f t="shared" si="25"/>
        <v>26</v>
      </c>
      <c r="V33" s="34">
        <f t="shared" si="25"/>
        <v>33</v>
      </c>
      <c r="W33" s="34">
        <f t="shared" si="25"/>
        <v>6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45</v>
      </c>
      <c r="AD33" s="34">
        <f t="shared" si="25"/>
        <v>0</v>
      </c>
      <c r="AE33" s="31">
        <f t="shared" si="25"/>
        <v>424</v>
      </c>
      <c r="AF33" s="31">
        <f t="shared" si="25"/>
        <v>469</v>
      </c>
    </row>
    <row r="34" spans="2:32" ht="23.1" customHeight="1" x14ac:dyDescent="0.25">
      <c r="B34" s="46" t="s">
        <v>61</v>
      </c>
      <c r="C34" s="50">
        <v>45</v>
      </c>
      <c r="D34" s="50">
        <v>6</v>
      </c>
      <c r="E34" s="50">
        <v>3</v>
      </c>
      <c r="F34" s="50">
        <v>6</v>
      </c>
      <c r="G34" s="50">
        <v>3</v>
      </c>
      <c r="H34" s="50">
        <v>0</v>
      </c>
      <c r="I34" s="50">
        <v>4</v>
      </c>
      <c r="J34" s="50">
        <v>0</v>
      </c>
      <c r="K34" s="50">
        <v>1</v>
      </c>
      <c r="L34" s="50">
        <v>0</v>
      </c>
      <c r="M34" s="50">
        <v>26</v>
      </c>
      <c r="N34" s="50">
        <v>0</v>
      </c>
      <c r="O34" s="15">
        <f t="shared" si="0"/>
        <v>68</v>
      </c>
      <c r="P34" s="15">
        <f t="shared" si="1"/>
        <v>94</v>
      </c>
      <c r="R34" s="38" t="s">
        <v>90</v>
      </c>
      <c r="S34" s="39">
        <f t="shared" ref="S34:AF34" si="26">MAX(S10:S12)</f>
        <v>482</v>
      </c>
      <c r="T34" s="39">
        <f t="shared" si="26"/>
        <v>94</v>
      </c>
      <c r="U34" s="39">
        <f t="shared" si="26"/>
        <v>13</v>
      </c>
      <c r="V34" s="39">
        <f t="shared" si="26"/>
        <v>39</v>
      </c>
      <c r="W34" s="39">
        <f t="shared" si="26"/>
        <v>3</v>
      </c>
      <c r="X34" s="39">
        <f t="shared" si="26"/>
        <v>0</v>
      </c>
      <c r="Y34" s="39">
        <f t="shared" si="26"/>
        <v>14</v>
      </c>
      <c r="Z34" s="39">
        <f t="shared" si="26"/>
        <v>2</v>
      </c>
      <c r="AA34" s="39">
        <f t="shared" si="26"/>
        <v>4</v>
      </c>
      <c r="AB34" s="39">
        <f t="shared" si="26"/>
        <v>2</v>
      </c>
      <c r="AC34" s="39">
        <f t="shared" si="26"/>
        <v>257</v>
      </c>
      <c r="AD34" s="39">
        <f t="shared" si="26"/>
        <v>0</v>
      </c>
      <c r="AE34" s="40">
        <f t="shared" si="26"/>
        <v>624</v>
      </c>
      <c r="AF34" s="40">
        <f t="shared" si="26"/>
        <v>830</v>
      </c>
    </row>
    <row r="35" spans="2:32" ht="23.1" customHeight="1" x14ac:dyDescent="0.25">
      <c r="B35" s="46" t="s">
        <v>62</v>
      </c>
      <c r="C35" s="50">
        <v>89</v>
      </c>
      <c r="D35" s="50">
        <v>21</v>
      </c>
      <c r="E35" s="50">
        <v>6</v>
      </c>
      <c r="F35" s="50">
        <v>3</v>
      </c>
      <c r="G35" s="50">
        <v>2</v>
      </c>
      <c r="H35" s="50">
        <v>0</v>
      </c>
      <c r="I35" s="50">
        <v>4</v>
      </c>
      <c r="J35" s="50">
        <v>1</v>
      </c>
      <c r="K35" s="50">
        <v>2</v>
      </c>
      <c r="L35" s="50">
        <v>0</v>
      </c>
      <c r="M35" s="50">
        <v>35</v>
      </c>
      <c r="N35" s="50">
        <v>0</v>
      </c>
      <c r="O35" s="15">
        <f t="shared" si="0"/>
        <v>128</v>
      </c>
      <c r="P35" s="15">
        <f t="shared" si="1"/>
        <v>163</v>
      </c>
      <c r="R35" s="38" t="s">
        <v>91</v>
      </c>
      <c r="S35" s="39">
        <f t="shared" ref="S35:AF35" si="27">MAX(S13:S18)</f>
        <v>393</v>
      </c>
      <c r="T35" s="39">
        <f t="shared" si="27"/>
        <v>81</v>
      </c>
      <c r="U35" s="39">
        <f t="shared" si="27"/>
        <v>22</v>
      </c>
      <c r="V35" s="39">
        <f t="shared" si="27"/>
        <v>29</v>
      </c>
      <c r="W35" s="39">
        <f t="shared" si="27"/>
        <v>8</v>
      </c>
      <c r="X35" s="39">
        <f t="shared" si="27"/>
        <v>2</v>
      </c>
      <c r="Y35" s="39">
        <f t="shared" si="27"/>
        <v>26</v>
      </c>
      <c r="Z35" s="39">
        <f t="shared" si="27"/>
        <v>8</v>
      </c>
      <c r="AA35" s="39">
        <f t="shared" si="27"/>
        <v>7</v>
      </c>
      <c r="AB35" s="39">
        <f t="shared" si="27"/>
        <v>3</v>
      </c>
      <c r="AC35" s="39">
        <f t="shared" si="27"/>
        <v>290</v>
      </c>
      <c r="AD35" s="39">
        <f t="shared" si="27"/>
        <v>0</v>
      </c>
      <c r="AE35" s="40">
        <f t="shared" si="27"/>
        <v>546</v>
      </c>
      <c r="AF35" s="40">
        <f t="shared" si="27"/>
        <v>785</v>
      </c>
    </row>
    <row r="36" spans="2:32" ht="23.1" customHeight="1" x14ac:dyDescent="0.25">
      <c r="B36" s="46" t="s">
        <v>63</v>
      </c>
      <c r="C36" s="50">
        <v>86</v>
      </c>
      <c r="D36" s="50">
        <v>26</v>
      </c>
      <c r="E36" s="50">
        <v>4</v>
      </c>
      <c r="F36" s="50">
        <v>3</v>
      </c>
      <c r="G36" s="50">
        <v>0</v>
      </c>
      <c r="H36" s="50">
        <v>0</v>
      </c>
      <c r="I36" s="50">
        <v>5</v>
      </c>
      <c r="J36" s="50">
        <v>3</v>
      </c>
      <c r="K36" s="50">
        <v>0</v>
      </c>
      <c r="L36" s="50">
        <v>0</v>
      </c>
      <c r="M36" s="50">
        <v>43</v>
      </c>
      <c r="N36" s="50">
        <v>0</v>
      </c>
      <c r="O36" s="15">
        <f t="shared" si="0"/>
        <v>127</v>
      </c>
      <c r="P36" s="15">
        <f t="shared" si="1"/>
        <v>170</v>
      </c>
      <c r="R36" s="38" t="s">
        <v>92</v>
      </c>
      <c r="S36" s="39">
        <f t="shared" ref="S36:AF36" si="28">MAX(S19:S21)</f>
        <v>698</v>
      </c>
      <c r="T36" s="39">
        <f t="shared" si="28"/>
        <v>116</v>
      </c>
      <c r="U36" s="39">
        <f t="shared" si="28"/>
        <v>16</v>
      </c>
      <c r="V36" s="39">
        <f t="shared" si="28"/>
        <v>39</v>
      </c>
      <c r="W36" s="39">
        <f t="shared" si="28"/>
        <v>5</v>
      </c>
      <c r="X36" s="39">
        <f t="shared" si="28"/>
        <v>2</v>
      </c>
      <c r="Y36" s="39">
        <f t="shared" si="28"/>
        <v>19</v>
      </c>
      <c r="Z36" s="39">
        <f t="shared" si="28"/>
        <v>13</v>
      </c>
      <c r="AA36" s="39">
        <f t="shared" si="28"/>
        <v>3</v>
      </c>
      <c r="AB36" s="39">
        <f t="shared" si="28"/>
        <v>2</v>
      </c>
      <c r="AC36" s="39">
        <f t="shared" si="28"/>
        <v>328</v>
      </c>
      <c r="AD36" s="39">
        <f t="shared" si="28"/>
        <v>0</v>
      </c>
      <c r="AE36" s="40">
        <f t="shared" si="28"/>
        <v>893</v>
      </c>
      <c r="AF36" s="40">
        <f t="shared" si="28"/>
        <v>1156</v>
      </c>
    </row>
    <row r="37" spans="2:32" ht="23.1" customHeight="1" x14ac:dyDescent="0.25">
      <c r="B37" s="45" t="s">
        <v>64</v>
      </c>
      <c r="C37" s="50">
        <v>95</v>
      </c>
      <c r="D37" s="50">
        <v>18</v>
      </c>
      <c r="E37" s="50">
        <v>2</v>
      </c>
      <c r="F37" s="50">
        <v>5</v>
      </c>
      <c r="G37" s="50">
        <v>3</v>
      </c>
      <c r="H37" s="50">
        <v>0</v>
      </c>
      <c r="I37" s="50">
        <v>4</v>
      </c>
      <c r="J37" s="50">
        <v>2</v>
      </c>
      <c r="K37" s="50">
        <v>1</v>
      </c>
      <c r="L37" s="50">
        <v>0</v>
      </c>
      <c r="M37" s="50">
        <v>45</v>
      </c>
      <c r="N37" s="50">
        <v>0</v>
      </c>
      <c r="O37" s="15">
        <f t="shared" si="0"/>
        <v>130</v>
      </c>
      <c r="P37" s="15">
        <f t="shared" si="1"/>
        <v>175</v>
      </c>
      <c r="R37" s="37" t="s">
        <v>85</v>
      </c>
      <c r="S37" s="35">
        <f t="shared" ref="S37:AF37" si="29">SUM(S10:S12)</f>
        <v>936</v>
      </c>
      <c r="T37" s="16">
        <f t="shared" si="29"/>
        <v>232</v>
      </c>
      <c r="U37" s="16">
        <f t="shared" si="29"/>
        <v>26</v>
      </c>
      <c r="V37" s="16">
        <f t="shared" si="29"/>
        <v>103</v>
      </c>
      <c r="W37" s="16">
        <f t="shared" si="29"/>
        <v>6</v>
      </c>
      <c r="X37" s="16">
        <f t="shared" si="29"/>
        <v>0</v>
      </c>
      <c r="Y37" s="16">
        <f t="shared" si="29"/>
        <v>30</v>
      </c>
      <c r="Z37" s="16">
        <f t="shared" si="29"/>
        <v>5</v>
      </c>
      <c r="AA37" s="16">
        <f t="shared" si="29"/>
        <v>6</v>
      </c>
      <c r="AB37" s="16">
        <f t="shared" si="29"/>
        <v>2</v>
      </c>
      <c r="AC37" s="16">
        <f t="shared" si="29"/>
        <v>697</v>
      </c>
      <c r="AD37" s="16">
        <f t="shared" si="29"/>
        <v>0</v>
      </c>
      <c r="AE37" s="32">
        <f t="shared" si="29"/>
        <v>1346</v>
      </c>
      <c r="AF37" s="32">
        <f t="shared" si="29"/>
        <v>2043</v>
      </c>
    </row>
    <row r="38" spans="2:32" ht="23.1" customHeight="1" x14ac:dyDescent="0.25">
      <c r="B38" s="46" t="s">
        <v>65</v>
      </c>
      <c r="C38" s="50">
        <v>80</v>
      </c>
      <c r="D38" s="50">
        <v>11</v>
      </c>
      <c r="E38" s="50">
        <v>1</v>
      </c>
      <c r="F38" s="50">
        <v>10</v>
      </c>
      <c r="G38" s="50">
        <v>0</v>
      </c>
      <c r="H38" s="50">
        <v>0</v>
      </c>
      <c r="I38" s="50">
        <v>5</v>
      </c>
      <c r="J38" s="50">
        <v>1</v>
      </c>
      <c r="K38" s="50">
        <v>1</v>
      </c>
      <c r="L38" s="50">
        <v>1</v>
      </c>
      <c r="M38" s="50">
        <v>46</v>
      </c>
      <c r="N38" s="50">
        <v>0</v>
      </c>
      <c r="O38" s="15">
        <f t="shared" si="0"/>
        <v>110</v>
      </c>
      <c r="P38" s="15">
        <f t="shared" si="1"/>
        <v>156</v>
      </c>
      <c r="R38" s="28" t="s">
        <v>86</v>
      </c>
      <c r="S38" s="16">
        <f t="shared" ref="S38:AF38" si="30">SUM(S13:S18)</f>
        <v>1818</v>
      </c>
      <c r="T38" s="16">
        <f t="shared" si="30"/>
        <v>409</v>
      </c>
      <c r="U38" s="16">
        <f t="shared" si="30"/>
        <v>87</v>
      </c>
      <c r="V38" s="16">
        <f t="shared" si="30"/>
        <v>135</v>
      </c>
      <c r="W38" s="16">
        <f t="shared" si="30"/>
        <v>19</v>
      </c>
      <c r="X38" s="16">
        <f t="shared" si="30"/>
        <v>2</v>
      </c>
      <c r="Y38" s="16">
        <f t="shared" si="30"/>
        <v>118</v>
      </c>
      <c r="Z38" s="16">
        <f t="shared" si="30"/>
        <v>35</v>
      </c>
      <c r="AA38" s="16">
        <f t="shared" si="30"/>
        <v>22</v>
      </c>
      <c r="AB38" s="16">
        <f t="shared" si="30"/>
        <v>7</v>
      </c>
      <c r="AC38" s="16">
        <f t="shared" si="30"/>
        <v>1160</v>
      </c>
      <c r="AD38" s="16">
        <f t="shared" si="30"/>
        <v>0</v>
      </c>
      <c r="AE38" s="32">
        <f t="shared" si="30"/>
        <v>2652</v>
      </c>
      <c r="AF38" s="32">
        <f t="shared" si="30"/>
        <v>3812</v>
      </c>
    </row>
    <row r="39" spans="2:32" ht="23.1" customHeight="1" x14ac:dyDescent="0.25">
      <c r="B39" s="46" t="s">
        <v>66</v>
      </c>
      <c r="C39" s="50">
        <v>94</v>
      </c>
      <c r="D39" s="50">
        <v>18</v>
      </c>
      <c r="E39" s="50">
        <v>0</v>
      </c>
      <c r="F39" s="50">
        <v>3</v>
      </c>
      <c r="G39" s="50">
        <v>1</v>
      </c>
      <c r="H39" s="50">
        <v>0</v>
      </c>
      <c r="I39" s="50">
        <v>5</v>
      </c>
      <c r="J39" s="50">
        <v>1</v>
      </c>
      <c r="K39" s="50">
        <v>0</v>
      </c>
      <c r="L39" s="50">
        <v>1</v>
      </c>
      <c r="M39" s="50">
        <v>30</v>
      </c>
      <c r="N39" s="50">
        <v>0</v>
      </c>
      <c r="O39" s="15">
        <f t="shared" si="0"/>
        <v>123</v>
      </c>
      <c r="P39" s="15">
        <f t="shared" si="1"/>
        <v>153</v>
      </c>
      <c r="R39" s="29" t="s">
        <v>87</v>
      </c>
      <c r="S39" s="16">
        <f t="shared" ref="S39:AF39" si="31">SUM(S19:S21)</f>
        <v>1995</v>
      </c>
      <c r="T39" s="16">
        <f t="shared" si="31"/>
        <v>346</v>
      </c>
      <c r="U39" s="16">
        <f t="shared" si="31"/>
        <v>38</v>
      </c>
      <c r="V39" s="16">
        <f t="shared" si="31"/>
        <v>99</v>
      </c>
      <c r="W39" s="16">
        <f t="shared" si="31"/>
        <v>12</v>
      </c>
      <c r="X39" s="16">
        <f t="shared" si="31"/>
        <v>5</v>
      </c>
      <c r="Y39" s="16">
        <f t="shared" si="31"/>
        <v>39</v>
      </c>
      <c r="Z39" s="16">
        <f t="shared" si="31"/>
        <v>29</v>
      </c>
      <c r="AA39" s="16">
        <f t="shared" si="31"/>
        <v>6</v>
      </c>
      <c r="AB39" s="16">
        <f t="shared" si="31"/>
        <v>3</v>
      </c>
      <c r="AC39" s="16">
        <f t="shared" si="31"/>
        <v>859</v>
      </c>
      <c r="AD39" s="16">
        <f t="shared" si="31"/>
        <v>0</v>
      </c>
      <c r="AE39" s="32">
        <f t="shared" si="31"/>
        <v>2572</v>
      </c>
      <c r="AF39" s="32">
        <f t="shared" si="31"/>
        <v>3431</v>
      </c>
    </row>
    <row r="40" spans="2:32" ht="23.1" customHeight="1" x14ac:dyDescent="0.25">
      <c r="B40" s="46" t="s">
        <v>67</v>
      </c>
      <c r="C40" s="50">
        <v>78</v>
      </c>
      <c r="D40" s="50">
        <v>17</v>
      </c>
      <c r="E40" s="50">
        <v>2</v>
      </c>
      <c r="F40" s="50">
        <v>5</v>
      </c>
      <c r="G40" s="50">
        <v>0</v>
      </c>
      <c r="H40" s="50">
        <v>0</v>
      </c>
      <c r="I40" s="50">
        <v>7</v>
      </c>
      <c r="J40" s="50">
        <v>1</v>
      </c>
      <c r="K40" s="50">
        <v>0</v>
      </c>
      <c r="L40" s="50">
        <v>1</v>
      </c>
      <c r="M40" s="50">
        <v>33</v>
      </c>
      <c r="N40" s="50">
        <v>0</v>
      </c>
      <c r="O40" s="15">
        <f t="shared" si="0"/>
        <v>111</v>
      </c>
      <c r="P40" s="15">
        <f t="shared" si="1"/>
        <v>144</v>
      </c>
      <c r="R40" s="5" t="s">
        <v>17</v>
      </c>
      <c r="S40" s="16">
        <f t="shared" ref="S40:AF40" si="32">SUM(S10:S21)</f>
        <v>4749</v>
      </c>
      <c r="T40" s="16">
        <f t="shared" si="32"/>
        <v>987</v>
      </c>
      <c r="U40" s="16">
        <f t="shared" si="32"/>
        <v>151</v>
      </c>
      <c r="V40" s="16">
        <f t="shared" si="32"/>
        <v>337</v>
      </c>
      <c r="W40" s="16">
        <f t="shared" si="32"/>
        <v>37</v>
      </c>
      <c r="X40" s="16">
        <f t="shared" si="32"/>
        <v>7</v>
      </c>
      <c r="Y40" s="16">
        <f t="shared" si="32"/>
        <v>187</v>
      </c>
      <c r="Z40" s="16">
        <f t="shared" si="32"/>
        <v>69</v>
      </c>
      <c r="AA40" s="16">
        <f t="shared" si="32"/>
        <v>34</v>
      </c>
      <c r="AB40" s="16">
        <f t="shared" si="32"/>
        <v>12</v>
      </c>
      <c r="AC40" s="16">
        <f t="shared" si="32"/>
        <v>2716</v>
      </c>
      <c r="AD40" s="16">
        <f t="shared" si="32"/>
        <v>0</v>
      </c>
      <c r="AE40" s="32">
        <f t="shared" si="32"/>
        <v>6570</v>
      </c>
      <c r="AF40" s="32">
        <f t="shared" si="32"/>
        <v>9286</v>
      </c>
    </row>
    <row r="41" spans="2:32" ht="23.1" customHeight="1" x14ac:dyDescent="0.25">
      <c r="B41" s="45" t="s">
        <v>68</v>
      </c>
      <c r="C41" s="50">
        <v>84</v>
      </c>
      <c r="D41" s="50">
        <v>10</v>
      </c>
      <c r="E41" s="50">
        <v>1</v>
      </c>
      <c r="F41" s="50">
        <v>3</v>
      </c>
      <c r="G41" s="50">
        <v>0</v>
      </c>
      <c r="H41" s="50">
        <v>0</v>
      </c>
      <c r="I41" s="50">
        <v>5</v>
      </c>
      <c r="J41" s="50">
        <v>1</v>
      </c>
      <c r="K41" s="50">
        <v>0</v>
      </c>
      <c r="L41" s="50">
        <v>0</v>
      </c>
      <c r="M41" s="50">
        <v>22</v>
      </c>
      <c r="N41" s="50">
        <v>0</v>
      </c>
      <c r="O41" s="15">
        <f t="shared" si="0"/>
        <v>104</v>
      </c>
      <c r="P41" s="15">
        <f t="shared" si="1"/>
        <v>126</v>
      </c>
      <c r="R41" s="5" t="s">
        <v>159</v>
      </c>
      <c r="S41" s="16">
        <f>SUM(S10:S33)</f>
        <v>7215</v>
      </c>
      <c r="T41" s="16">
        <f t="shared" ref="T41:AF41" si="33">SUM(T10:T33)</f>
        <v>1470</v>
      </c>
      <c r="U41" s="16">
        <f t="shared" si="33"/>
        <v>439</v>
      </c>
      <c r="V41" s="16">
        <f t="shared" si="33"/>
        <v>472</v>
      </c>
      <c r="W41" s="16">
        <f t="shared" si="33"/>
        <v>51</v>
      </c>
      <c r="X41" s="16">
        <f t="shared" si="33"/>
        <v>7</v>
      </c>
      <c r="Y41" s="16">
        <f t="shared" si="33"/>
        <v>207</v>
      </c>
      <c r="Z41" s="16">
        <f t="shared" si="33"/>
        <v>77</v>
      </c>
      <c r="AA41" s="16">
        <f t="shared" si="33"/>
        <v>39</v>
      </c>
      <c r="AB41" s="16">
        <f t="shared" si="33"/>
        <v>15</v>
      </c>
      <c r="AC41" s="16">
        <f t="shared" si="33"/>
        <v>3915</v>
      </c>
      <c r="AD41" s="16">
        <f t="shared" si="33"/>
        <v>0</v>
      </c>
      <c r="AE41" s="32">
        <f t="shared" si="33"/>
        <v>9992</v>
      </c>
      <c r="AF41" s="32">
        <f t="shared" si="33"/>
        <v>13907</v>
      </c>
    </row>
    <row r="42" spans="2:32" ht="23.1" customHeight="1" x14ac:dyDescent="0.25">
      <c r="B42" s="46" t="s">
        <v>69</v>
      </c>
      <c r="C42" s="50">
        <v>80</v>
      </c>
      <c r="D42" s="50">
        <v>15</v>
      </c>
      <c r="E42" s="50">
        <v>2</v>
      </c>
      <c r="F42" s="50">
        <v>7</v>
      </c>
      <c r="G42" s="50">
        <v>0</v>
      </c>
      <c r="H42" s="50">
        <v>0</v>
      </c>
      <c r="I42" s="50">
        <v>8</v>
      </c>
      <c r="J42" s="50">
        <v>0</v>
      </c>
      <c r="K42" s="50">
        <v>0</v>
      </c>
      <c r="L42" s="50">
        <v>1</v>
      </c>
      <c r="M42" s="50">
        <v>62</v>
      </c>
      <c r="N42" s="50">
        <v>0</v>
      </c>
      <c r="O42" s="15">
        <f t="shared" si="0"/>
        <v>113</v>
      </c>
      <c r="P42" s="15">
        <f t="shared" si="1"/>
        <v>175</v>
      </c>
      <c r="R42" s="5" t="s">
        <v>160</v>
      </c>
      <c r="S42" s="48">
        <f>S41/S40</f>
        <v>1.5192672141503474</v>
      </c>
      <c r="T42" s="48">
        <f t="shared" ref="T42:AF42" si="34">T41/T40</f>
        <v>1.4893617021276595</v>
      </c>
      <c r="U42" s="48">
        <f t="shared" si="34"/>
        <v>2.9072847682119205</v>
      </c>
      <c r="V42" s="48">
        <f t="shared" si="34"/>
        <v>1.400593471810089</v>
      </c>
      <c r="W42" s="48">
        <f t="shared" si="34"/>
        <v>1.3783783783783783</v>
      </c>
      <c r="X42" s="48">
        <f t="shared" si="34"/>
        <v>1</v>
      </c>
      <c r="Y42" s="48">
        <f t="shared" si="34"/>
        <v>1.106951871657754</v>
      </c>
      <c r="Z42" s="48">
        <f t="shared" si="34"/>
        <v>1.1159420289855073</v>
      </c>
      <c r="AA42" s="48">
        <f t="shared" si="34"/>
        <v>1.1470588235294117</v>
      </c>
      <c r="AB42" s="48">
        <f t="shared" si="34"/>
        <v>1.25</v>
      </c>
      <c r="AC42" s="48">
        <f t="shared" si="34"/>
        <v>1.4414580265095729</v>
      </c>
      <c r="AD42" s="48" t="e">
        <f t="shared" si="34"/>
        <v>#DIV/0!</v>
      </c>
      <c r="AE42" s="48">
        <f t="shared" si="34"/>
        <v>1.5208523592085237</v>
      </c>
      <c r="AF42" s="48">
        <f t="shared" si="34"/>
        <v>1.4976308421279345</v>
      </c>
    </row>
    <row r="43" spans="2:32" ht="23.1" customHeight="1" x14ac:dyDescent="0.25">
      <c r="B43" s="45" t="s">
        <v>70</v>
      </c>
      <c r="C43" s="50">
        <v>96</v>
      </c>
      <c r="D43" s="50">
        <v>28</v>
      </c>
      <c r="E43" s="50">
        <v>4</v>
      </c>
      <c r="F43" s="50">
        <v>1</v>
      </c>
      <c r="G43" s="50">
        <v>1</v>
      </c>
      <c r="H43" s="50">
        <v>0</v>
      </c>
      <c r="I43" s="50">
        <v>6</v>
      </c>
      <c r="J43" s="50">
        <v>2</v>
      </c>
      <c r="K43" s="50">
        <v>2</v>
      </c>
      <c r="L43" s="50">
        <v>0</v>
      </c>
      <c r="M43" s="50">
        <v>45</v>
      </c>
      <c r="N43" s="50">
        <v>0</v>
      </c>
      <c r="O43" s="15">
        <f t="shared" si="0"/>
        <v>140</v>
      </c>
      <c r="P43" s="15">
        <f t="shared" si="1"/>
        <v>185</v>
      </c>
    </row>
    <row r="44" spans="2:32" ht="23.1" customHeight="1" x14ac:dyDescent="0.25">
      <c r="B44" s="47" t="s">
        <v>71</v>
      </c>
      <c r="C44" s="50">
        <v>115</v>
      </c>
      <c r="D44" s="50">
        <v>16</v>
      </c>
      <c r="E44" s="50">
        <v>6</v>
      </c>
      <c r="F44" s="50">
        <v>7</v>
      </c>
      <c r="G44" s="50">
        <v>0</v>
      </c>
      <c r="H44" s="50">
        <v>0</v>
      </c>
      <c r="I44" s="50">
        <v>7</v>
      </c>
      <c r="J44" s="50">
        <v>0</v>
      </c>
      <c r="K44" s="50">
        <v>0</v>
      </c>
      <c r="L44" s="50">
        <v>0</v>
      </c>
      <c r="M44" s="50">
        <v>56</v>
      </c>
      <c r="N44" s="50">
        <v>0</v>
      </c>
      <c r="O44" s="15">
        <f t="shared" si="0"/>
        <v>151</v>
      </c>
      <c r="P44" s="15">
        <f t="shared" si="1"/>
        <v>207</v>
      </c>
    </row>
    <row r="45" spans="2:32" ht="23.1" customHeight="1" x14ac:dyDescent="0.25">
      <c r="B45" s="45" t="s">
        <v>72</v>
      </c>
      <c r="C45" s="50">
        <v>102</v>
      </c>
      <c r="D45" s="50">
        <v>22</v>
      </c>
      <c r="E45" s="50">
        <v>4</v>
      </c>
      <c r="F45" s="50">
        <v>4</v>
      </c>
      <c r="G45" s="50">
        <v>1</v>
      </c>
      <c r="H45" s="50">
        <v>0</v>
      </c>
      <c r="I45" s="50">
        <v>5</v>
      </c>
      <c r="J45" s="50">
        <v>2</v>
      </c>
      <c r="K45" s="50">
        <v>2</v>
      </c>
      <c r="L45" s="50">
        <v>0</v>
      </c>
      <c r="M45" s="50">
        <v>76</v>
      </c>
      <c r="N45" s="50">
        <v>0</v>
      </c>
      <c r="O45" s="15">
        <f t="shared" si="0"/>
        <v>142</v>
      </c>
      <c r="P45" s="15">
        <f t="shared" si="1"/>
        <v>218</v>
      </c>
    </row>
    <row r="46" spans="2:32" ht="23.1" customHeight="1" x14ac:dyDescent="0.25">
      <c r="B46" s="46" t="s">
        <v>73</v>
      </c>
      <c r="C46" s="50">
        <v>175</v>
      </c>
      <c r="D46" s="50">
        <v>29</v>
      </c>
      <c r="E46" s="50">
        <v>4</v>
      </c>
      <c r="F46" s="50">
        <v>4</v>
      </c>
      <c r="G46" s="50">
        <v>1</v>
      </c>
      <c r="H46" s="50">
        <v>1</v>
      </c>
      <c r="I46" s="50">
        <v>4</v>
      </c>
      <c r="J46" s="50">
        <v>2</v>
      </c>
      <c r="K46" s="50">
        <v>2</v>
      </c>
      <c r="L46" s="50">
        <v>1</v>
      </c>
      <c r="M46" s="50">
        <v>88</v>
      </c>
      <c r="N46" s="50">
        <v>0</v>
      </c>
      <c r="O46" s="15">
        <f t="shared" si="0"/>
        <v>223</v>
      </c>
      <c r="P46" s="15">
        <f t="shared" si="1"/>
        <v>311</v>
      </c>
      <c r="R46" s="8"/>
      <c r="T46"/>
    </row>
    <row r="47" spans="2:32" ht="23.1" customHeight="1" x14ac:dyDescent="0.25">
      <c r="B47" s="46" t="s">
        <v>74</v>
      </c>
      <c r="C47" s="50">
        <v>137</v>
      </c>
      <c r="D47" s="50">
        <v>33</v>
      </c>
      <c r="E47" s="50">
        <v>1</v>
      </c>
      <c r="F47" s="50">
        <v>5</v>
      </c>
      <c r="G47" s="50">
        <v>1</v>
      </c>
      <c r="H47" s="50">
        <v>0</v>
      </c>
      <c r="I47" s="50">
        <v>2</v>
      </c>
      <c r="J47" s="50">
        <v>1</v>
      </c>
      <c r="K47" s="50">
        <v>0</v>
      </c>
      <c r="L47" s="50">
        <v>0</v>
      </c>
      <c r="M47" s="50">
        <v>80</v>
      </c>
      <c r="N47" s="50">
        <v>0</v>
      </c>
      <c r="O47" s="15">
        <f t="shared" si="0"/>
        <v>180</v>
      </c>
      <c r="P47" s="15">
        <f t="shared" si="1"/>
        <v>260</v>
      </c>
      <c r="R47" s="8"/>
      <c r="T47"/>
    </row>
    <row r="48" spans="2:32" ht="23.1" customHeight="1" x14ac:dyDescent="0.25">
      <c r="B48" s="46" t="s">
        <v>75</v>
      </c>
      <c r="C48" s="50">
        <v>140</v>
      </c>
      <c r="D48" s="50">
        <v>29</v>
      </c>
      <c r="E48" s="50">
        <v>2</v>
      </c>
      <c r="F48" s="50">
        <v>8</v>
      </c>
      <c r="G48" s="50">
        <v>2</v>
      </c>
      <c r="H48" s="50">
        <v>0</v>
      </c>
      <c r="I48" s="50">
        <v>1</v>
      </c>
      <c r="J48" s="50">
        <v>7</v>
      </c>
      <c r="K48" s="50">
        <v>0</v>
      </c>
      <c r="L48" s="50">
        <v>0</v>
      </c>
      <c r="M48" s="50">
        <v>83</v>
      </c>
      <c r="N48" s="50">
        <v>0</v>
      </c>
      <c r="O48" s="15">
        <f t="shared" si="0"/>
        <v>189</v>
      </c>
      <c r="P48" s="15">
        <f t="shared" si="1"/>
        <v>272</v>
      </c>
      <c r="R48" s="8"/>
      <c r="T48"/>
    </row>
    <row r="49" spans="2:20" ht="23.1" customHeight="1" x14ac:dyDescent="0.25">
      <c r="B49" s="45" t="s">
        <v>76</v>
      </c>
      <c r="C49" s="50">
        <v>160</v>
      </c>
      <c r="D49" s="50">
        <v>24</v>
      </c>
      <c r="E49" s="50">
        <v>3</v>
      </c>
      <c r="F49" s="50">
        <v>7</v>
      </c>
      <c r="G49" s="50">
        <v>1</v>
      </c>
      <c r="H49" s="50">
        <v>1</v>
      </c>
      <c r="I49" s="50">
        <v>2</v>
      </c>
      <c r="J49" s="50">
        <v>3</v>
      </c>
      <c r="K49" s="50">
        <v>1</v>
      </c>
      <c r="L49" s="50">
        <v>0</v>
      </c>
      <c r="M49" s="50">
        <v>77</v>
      </c>
      <c r="N49" s="50">
        <v>0</v>
      </c>
      <c r="O49" s="15">
        <f t="shared" si="0"/>
        <v>202</v>
      </c>
      <c r="P49" s="15">
        <f t="shared" si="1"/>
        <v>279</v>
      </c>
      <c r="R49" s="8"/>
      <c r="T49"/>
    </row>
    <row r="50" spans="2:20" ht="23.1" customHeight="1" x14ac:dyDescent="0.25">
      <c r="B50" s="46" t="s">
        <v>77</v>
      </c>
      <c r="C50" s="50">
        <v>151</v>
      </c>
      <c r="D50" s="50">
        <v>25</v>
      </c>
      <c r="E50" s="50">
        <v>5</v>
      </c>
      <c r="F50" s="50">
        <v>12</v>
      </c>
      <c r="G50" s="50">
        <v>2</v>
      </c>
      <c r="H50" s="50">
        <v>0</v>
      </c>
      <c r="I50" s="50">
        <v>7</v>
      </c>
      <c r="J50" s="50">
        <v>2</v>
      </c>
      <c r="K50" s="50">
        <v>1</v>
      </c>
      <c r="L50" s="50">
        <v>0</v>
      </c>
      <c r="M50" s="50">
        <v>70</v>
      </c>
      <c r="N50" s="50">
        <v>0</v>
      </c>
      <c r="O50" s="15">
        <f t="shared" si="0"/>
        <v>205</v>
      </c>
      <c r="P50" s="15">
        <f t="shared" si="1"/>
        <v>275</v>
      </c>
      <c r="R50" s="8"/>
      <c r="T50"/>
    </row>
    <row r="51" spans="2:20" ht="23.1" customHeight="1" x14ac:dyDescent="0.25">
      <c r="B51" s="46" t="s">
        <v>78</v>
      </c>
      <c r="C51" s="50">
        <v>164</v>
      </c>
      <c r="D51" s="50">
        <v>34</v>
      </c>
      <c r="E51" s="50">
        <v>3</v>
      </c>
      <c r="F51" s="50">
        <v>8</v>
      </c>
      <c r="G51" s="50">
        <v>1</v>
      </c>
      <c r="H51" s="50">
        <v>1</v>
      </c>
      <c r="I51" s="50">
        <v>4</v>
      </c>
      <c r="J51" s="50">
        <v>1</v>
      </c>
      <c r="K51" s="50">
        <v>0</v>
      </c>
      <c r="L51" s="50">
        <v>2</v>
      </c>
      <c r="M51" s="50">
        <v>63</v>
      </c>
      <c r="N51" s="50">
        <v>0</v>
      </c>
      <c r="O51" s="15">
        <f t="shared" si="0"/>
        <v>218</v>
      </c>
      <c r="P51" s="15">
        <f t="shared" si="1"/>
        <v>281</v>
      </c>
      <c r="R51" s="8"/>
      <c r="T51"/>
    </row>
    <row r="52" spans="2:20" ht="23.1" customHeight="1" x14ac:dyDescent="0.25">
      <c r="B52" s="46" t="s">
        <v>79</v>
      </c>
      <c r="C52" s="50">
        <v>178</v>
      </c>
      <c r="D52" s="50">
        <v>29</v>
      </c>
      <c r="E52" s="50">
        <v>3</v>
      </c>
      <c r="F52" s="50">
        <v>7</v>
      </c>
      <c r="G52" s="50">
        <v>0</v>
      </c>
      <c r="H52" s="50">
        <v>1</v>
      </c>
      <c r="I52" s="50">
        <v>3</v>
      </c>
      <c r="J52" s="50">
        <v>3</v>
      </c>
      <c r="K52" s="50">
        <v>0</v>
      </c>
      <c r="L52" s="50">
        <v>0</v>
      </c>
      <c r="M52" s="50">
        <v>70</v>
      </c>
      <c r="N52" s="50">
        <v>0</v>
      </c>
      <c r="O52" s="15">
        <f t="shared" si="0"/>
        <v>224</v>
      </c>
      <c r="P52" s="15">
        <f t="shared" si="1"/>
        <v>294</v>
      </c>
      <c r="R52" s="8"/>
      <c r="T52"/>
    </row>
    <row r="53" spans="2:20" ht="23.1" customHeight="1" x14ac:dyDescent="0.25">
      <c r="B53" s="45" t="s">
        <v>80</v>
      </c>
      <c r="C53" s="50">
        <v>192</v>
      </c>
      <c r="D53" s="50">
        <v>27</v>
      </c>
      <c r="E53" s="50">
        <v>1</v>
      </c>
      <c r="F53" s="50">
        <v>9</v>
      </c>
      <c r="G53" s="50">
        <v>0</v>
      </c>
      <c r="H53" s="50">
        <v>0</v>
      </c>
      <c r="I53" s="50">
        <v>5</v>
      </c>
      <c r="J53" s="50">
        <v>3</v>
      </c>
      <c r="K53" s="50">
        <v>1</v>
      </c>
      <c r="L53" s="50">
        <v>0</v>
      </c>
      <c r="M53" s="50">
        <v>65</v>
      </c>
      <c r="N53" s="50">
        <v>0</v>
      </c>
      <c r="O53" s="15">
        <f t="shared" si="0"/>
        <v>238</v>
      </c>
      <c r="P53" s="15">
        <f t="shared" si="1"/>
        <v>303</v>
      </c>
      <c r="R53" s="8"/>
      <c r="T53"/>
    </row>
    <row r="54" spans="2:20" ht="23.1" customHeight="1" x14ac:dyDescent="0.25">
      <c r="B54" s="45" t="s">
        <v>81</v>
      </c>
      <c r="C54" s="50">
        <v>135</v>
      </c>
      <c r="D54" s="50">
        <v>37</v>
      </c>
      <c r="E54" s="50">
        <v>6</v>
      </c>
      <c r="F54" s="50">
        <v>11</v>
      </c>
      <c r="G54" s="50">
        <v>3</v>
      </c>
      <c r="H54" s="50">
        <v>1</v>
      </c>
      <c r="I54" s="50">
        <v>3</v>
      </c>
      <c r="J54" s="50">
        <v>1</v>
      </c>
      <c r="K54" s="50">
        <v>0</v>
      </c>
      <c r="L54" s="50">
        <v>0</v>
      </c>
      <c r="M54" s="50">
        <v>64</v>
      </c>
      <c r="N54" s="50">
        <v>0</v>
      </c>
      <c r="O54" s="15">
        <f t="shared" si="0"/>
        <v>197</v>
      </c>
      <c r="P54" s="15">
        <f t="shared" si="1"/>
        <v>261</v>
      </c>
      <c r="R54" s="8"/>
      <c r="T54"/>
    </row>
    <row r="55" spans="2:20" ht="23.1" customHeight="1" x14ac:dyDescent="0.25">
      <c r="B55" s="45" t="s">
        <v>82</v>
      </c>
      <c r="C55" s="50">
        <v>160</v>
      </c>
      <c r="D55" s="50">
        <v>18</v>
      </c>
      <c r="E55" s="50">
        <v>2</v>
      </c>
      <c r="F55" s="50">
        <v>12</v>
      </c>
      <c r="G55" s="50">
        <v>0</v>
      </c>
      <c r="H55" s="50">
        <v>0</v>
      </c>
      <c r="I55" s="50">
        <v>1</v>
      </c>
      <c r="J55" s="50">
        <v>2</v>
      </c>
      <c r="K55" s="50">
        <v>0</v>
      </c>
      <c r="L55" s="50">
        <v>0</v>
      </c>
      <c r="M55" s="50">
        <v>45</v>
      </c>
      <c r="N55" s="50">
        <v>0</v>
      </c>
      <c r="O55" s="15">
        <f t="shared" si="0"/>
        <v>195</v>
      </c>
      <c r="P55" s="15">
        <f t="shared" si="1"/>
        <v>240</v>
      </c>
      <c r="R55" s="8"/>
      <c r="T55"/>
    </row>
    <row r="56" spans="2:20" ht="23.1" customHeight="1" x14ac:dyDescent="0.25">
      <c r="B56" s="45" t="s">
        <v>83</v>
      </c>
      <c r="C56" s="50">
        <v>215</v>
      </c>
      <c r="D56" s="50">
        <v>24</v>
      </c>
      <c r="E56" s="50">
        <v>7</v>
      </c>
      <c r="F56" s="50">
        <v>9</v>
      </c>
      <c r="G56" s="50">
        <v>1</v>
      </c>
      <c r="H56" s="50">
        <v>0</v>
      </c>
      <c r="I56" s="50">
        <v>5</v>
      </c>
      <c r="J56" s="50">
        <v>1</v>
      </c>
      <c r="K56" s="50">
        <v>1</v>
      </c>
      <c r="L56" s="50">
        <v>0</v>
      </c>
      <c r="M56" s="50">
        <v>76</v>
      </c>
      <c r="N56" s="50">
        <v>0</v>
      </c>
      <c r="O56" s="15">
        <f t="shared" si="0"/>
        <v>263</v>
      </c>
      <c r="P56" s="15">
        <f t="shared" si="1"/>
        <v>339</v>
      </c>
      <c r="R56" s="8"/>
      <c r="T56"/>
    </row>
    <row r="57" spans="2:20" ht="23.1" customHeight="1" x14ac:dyDescent="0.25">
      <c r="B57" s="45" t="s">
        <v>84</v>
      </c>
      <c r="C57" s="50">
        <v>188</v>
      </c>
      <c r="D57" s="50">
        <v>37</v>
      </c>
      <c r="E57" s="50">
        <v>1</v>
      </c>
      <c r="F57" s="50">
        <v>7</v>
      </c>
      <c r="G57" s="50">
        <v>0</v>
      </c>
      <c r="H57" s="50">
        <v>0</v>
      </c>
      <c r="I57" s="50">
        <v>2</v>
      </c>
      <c r="J57" s="50">
        <v>3</v>
      </c>
      <c r="K57" s="50">
        <v>0</v>
      </c>
      <c r="L57" s="50">
        <v>0</v>
      </c>
      <c r="M57" s="50">
        <v>78</v>
      </c>
      <c r="N57" s="50">
        <v>0</v>
      </c>
      <c r="O57" s="15">
        <f t="shared" si="0"/>
        <v>238</v>
      </c>
      <c r="P57" s="15">
        <f t="shared" si="1"/>
        <v>316</v>
      </c>
      <c r="R57" s="8"/>
      <c r="T57"/>
    </row>
    <row r="58" spans="2:20" ht="23.1" customHeight="1" x14ac:dyDescent="0.25">
      <c r="B58" s="45" t="s">
        <v>99</v>
      </c>
      <c r="C58" s="50">
        <v>163</v>
      </c>
      <c r="D58" s="50">
        <v>12</v>
      </c>
      <c r="E58" s="50">
        <v>0</v>
      </c>
      <c r="F58" s="50">
        <v>5</v>
      </c>
      <c r="G58" s="50">
        <v>1</v>
      </c>
      <c r="H58" s="50">
        <v>0</v>
      </c>
      <c r="I58" s="50">
        <v>1</v>
      </c>
      <c r="J58" s="50">
        <v>0</v>
      </c>
      <c r="K58" s="50">
        <v>0</v>
      </c>
      <c r="L58" s="50">
        <v>1</v>
      </c>
      <c r="M58" s="50">
        <v>76</v>
      </c>
      <c r="N58" s="50">
        <v>0</v>
      </c>
      <c r="O58" s="15">
        <f t="shared" ref="O58:O105" si="35">SUM(C58:L58,N58)</f>
        <v>183</v>
      </c>
      <c r="P58" s="15">
        <f t="shared" ref="P58:P105" si="36">SUM(C58:N58)</f>
        <v>259</v>
      </c>
      <c r="R58" s="8"/>
      <c r="T58"/>
    </row>
    <row r="59" spans="2:20" ht="23.1" customHeight="1" x14ac:dyDescent="0.25">
      <c r="B59" s="45" t="s">
        <v>100</v>
      </c>
      <c r="C59" s="50">
        <v>160</v>
      </c>
      <c r="D59" s="50">
        <v>50</v>
      </c>
      <c r="E59" s="50">
        <v>2</v>
      </c>
      <c r="F59" s="50">
        <v>6</v>
      </c>
      <c r="G59" s="50">
        <v>0</v>
      </c>
      <c r="H59" s="50">
        <v>0</v>
      </c>
      <c r="I59" s="50">
        <v>4</v>
      </c>
      <c r="J59" s="50">
        <v>1</v>
      </c>
      <c r="K59" s="50">
        <v>1</v>
      </c>
      <c r="L59" s="50">
        <v>1</v>
      </c>
      <c r="M59" s="50">
        <v>96</v>
      </c>
      <c r="N59" s="50">
        <v>0</v>
      </c>
      <c r="O59" s="15">
        <f t="shared" si="35"/>
        <v>225</v>
      </c>
      <c r="P59" s="15">
        <f t="shared" si="36"/>
        <v>321</v>
      </c>
      <c r="R59" s="8"/>
      <c r="T59"/>
    </row>
    <row r="60" spans="2:20" ht="23.1" customHeight="1" x14ac:dyDescent="0.25">
      <c r="B60" s="45" t="s">
        <v>101</v>
      </c>
      <c r="C60" s="50">
        <v>95</v>
      </c>
      <c r="D60" s="50">
        <v>23</v>
      </c>
      <c r="E60" s="50">
        <v>17</v>
      </c>
      <c r="F60" s="50">
        <v>6</v>
      </c>
      <c r="G60" s="50">
        <v>0</v>
      </c>
      <c r="H60" s="50">
        <v>0</v>
      </c>
      <c r="I60" s="50">
        <v>2</v>
      </c>
      <c r="J60" s="50">
        <v>0</v>
      </c>
      <c r="K60" s="50">
        <v>1</v>
      </c>
      <c r="L60" s="50">
        <v>0</v>
      </c>
      <c r="M60" s="50">
        <v>73</v>
      </c>
      <c r="N60" s="50">
        <v>0</v>
      </c>
      <c r="O60" s="15">
        <f t="shared" si="35"/>
        <v>144</v>
      </c>
      <c r="P60" s="15">
        <f t="shared" si="36"/>
        <v>217</v>
      </c>
      <c r="R60" s="8"/>
      <c r="T60"/>
    </row>
    <row r="61" spans="2:20" ht="23.1" customHeight="1" x14ac:dyDescent="0.25">
      <c r="B61" s="45" t="s">
        <v>102</v>
      </c>
      <c r="C61" s="50">
        <v>138</v>
      </c>
      <c r="D61" s="50">
        <v>31</v>
      </c>
      <c r="E61" s="50">
        <v>17</v>
      </c>
      <c r="F61" s="50">
        <v>9</v>
      </c>
      <c r="G61" s="50">
        <v>0</v>
      </c>
      <c r="H61" s="50">
        <v>0</v>
      </c>
      <c r="I61" s="50">
        <v>1</v>
      </c>
      <c r="J61" s="50">
        <v>0</v>
      </c>
      <c r="K61" s="50">
        <v>1</v>
      </c>
      <c r="L61" s="50">
        <v>0</v>
      </c>
      <c r="M61" s="50">
        <v>77</v>
      </c>
      <c r="N61" s="50">
        <v>0</v>
      </c>
      <c r="O61" s="15">
        <f t="shared" si="35"/>
        <v>197</v>
      </c>
      <c r="P61" s="15">
        <f t="shared" si="36"/>
        <v>274</v>
      </c>
      <c r="R61" s="8"/>
      <c r="T61"/>
    </row>
    <row r="62" spans="2:20" ht="23.1" customHeight="1" x14ac:dyDescent="0.25">
      <c r="B62" s="45" t="s">
        <v>107</v>
      </c>
      <c r="C62" s="50">
        <v>107</v>
      </c>
      <c r="D62" s="50">
        <v>27</v>
      </c>
      <c r="E62" s="50">
        <v>15</v>
      </c>
      <c r="F62" s="50">
        <v>11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70</v>
      </c>
      <c r="N62" s="50">
        <v>0</v>
      </c>
      <c r="O62" s="15">
        <f t="shared" si="35"/>
        <v>160</v>
      </c>
      <c r="P62" s="15">
        <f t="shared" si="36"/>
        <v>230</v>
      </c>
      <c r="R62" s="8"/>
      <c r="T62"/>
    </row>
    <row r="63" spans="2:20" ht="23.1" customHeight="1" x14ac:dyDescent="0.25">
      <c r="B63" s="45" t="s">
        <v>108</v>
      </c>
      <c r="C63" s="50">
        <v>120</v>
      </c>
      <c r="D63" s="50">
        <v>22</v>
      </c>
      <c r="E63" s="50">
        <v>8</v>
      </c>
      <c r="F63" s="50">
        <v>13</v>
      </c>
      <c r="G63" s="50">
        <v>2</v>
      </c>
      <c r="H63" s="50">
        <v>0</v>
      </c>
      <c r="I63" s="50">
        <v>1</v>
      </c>
      <c r="J63" s="50">
        <v>0</v>
      </c>
      <c r="K63" s="50">
        <v>0</v>
      </c>
      <c r="L63" s="50">
        <v>1</v>
      </c>
      <c r="M63" s="50">
        <v>85</v>
      </c>
      <c r="N63" s="50">
        <v>0</v>
      </c>
      <c r="O63" s="15">
        <f t="shared" si="35"/>
        <v>167</v>
      </c>
      <c r="P63" s="15">
        <f t="shared" si="36"/>
        <v>252</v>
      </c>
      <c r="R63" s="8"/>
      <c r="T63"/>
    </row>
    <row r="64" spans="2:20" ht="23.1" customHeight="1" x14ac:dyDescent="0.25">
      <c r="B64" s="45" t="s">
        <v>109</v>
      </c>
      <c r="C64" s="50">
        <v>76</v>
      </c>
      <c r="D64" s="50">
        <v>25</v>
      </c>
      <c r="E64" s="50">
        <v>4</v>
      </c>
      <c r="F64" s="50">
        <v>3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83</v>
      </c>
      <c r="N64" s="50">
        <v>0</v>
      </c>
      <c r="O64" s="15">
        <f t="shared" si="35"/>
        <v>108</v>
      </c>
      <c r="P64" s="15">
        <f t="shared" si="36"/>
        <v>191</v>
      </c>
      <c r="R64" s="8"/>
      <c r="T64"/>
    </row>
    <row r="65" spans="2:20" ht="23.1" customHeight="1" x14ac:dyDescent="0.25">
      <c r="B65" s="45" t="s">
        <v>158</v>
      </c>
      <c r="C65" s="50">
        <v>40</v>
      </c>
      <c r="D65" s="50">
        <v>13</v>
      </c>
      <c r="E65" s="50">
        <v>3</v>
      </c>
      <c r="F65" s="50">
        <v>2</v>
      </c>
      <c r="G65" s="50">
        <v>0</v>
      </c>
      <c r="H65" s="50">
        <v>0</v>
      </c>
      <c r="I65" s="50">
        <v>1</v>
      </c>
      <c r="J65" s="50">
        <v>0</v>
      </c>
      <c r="K65" s="50">
        <v>0</v>
      </c>
      <c r="L65" s="50">
        <v>0</v>
      </c>
      <c r="M65" s="50">
        <v>65</v>
      </c>
      <c r="N65" s="50">
        <v>0</v>
      </c>
      <c r="O65" s="15">
        <f t="shared" si="35"/>
        <v>59</v>
      </c>
      <c r="P65" s="15">
        <f t="shared" si="36"/>
        <v>124</v>
      </c>
      <c r="R65" s="8"/>
      <c r="T65"/>
    </row>
    <row r="66" spans="2:20" ht="23.1" customHeight="1" x14ac:dyDescent="0.25">
      <c r="B66" s="45" t="s">
        <v>103</v>
      </c>
      <c r="C66" s="50">
        <v>140</v>
      </c>
      <c r="D66" s="50">
        <v>35</v>
      </c>
      <c r="E66" s="50">
        <v>4</v>
      </c>
      <c r="F66" s="50">
        <v>4</v>
      </c>
      <c r="G66" s="50">
        <v>1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53</v>
      </c>
      <c r="N66" s="50">
        <v>0</v>
      </c>
      <c r="O66" s="15">
        <f t="shared" si="35"/>
        <v>184</v>
      </c>
      <c r="P66" s="15">
        <f t="shared" si="36"/>
        <v>237</v>
      </c>
      <c r="R66" s="8"/>
      <c r="T66"/>
    </row>
    <row r="67" spans="2:20" ht="23.1" customHeight="1" x14ac:dyDescent="0.25">
      <c r="B67" s="45" t="s">
        <v>104</v>
      </c>
      <c r="C67" s="50">
        <v>100</v>
      </c>
      <c r="D67" s="50">
        <v>31</v>
      </c>
      <c r="E67" s="50">
        <v>18</v>
      </c>
      <c r="F67" s="50">
        <v>6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34</v>
      </c>
      <c r="N67" s="50">
        <v>0</v>
      </c>
      <c r="O67" s="15">
        <f t="shared" si="35"/>
        <v>155</v>
      </c>
      <c r="P67" s="15">
        <f t="shared" si="36"/>
        <v>189</v>
      </c>
      <c r="R67" s="8"/>
      <c r="T67"/>
    </row>
    <row r="68" spans="2:20" ht="23.1" customHeight="1" x14ac:dyDescent="0.25">
      <c r="B68" s="45" t="s">
        <v>105</v>
      </c>
      <c r="C68" s="50">
        <v>107</v>
      </c>
      <c r="D68" s="50">
        <v>18</v>
      </c>
      <c r="E68" s="50">
        <v>7</v>
      </c>
      <c r="F68" s="50">
        <v>3</v>
      </c>
      <c r="G68" s="50">
        <v>1</v>
      </c>
      <c r="H68" s="50">
        <v>0</v>
      </c>
      <c r="I68" s="50">
        <v>1</v>
      </c>
      <c r="J68" s="50">
        <v>0</v>
      </c>
      <c r="K68" s="50">
        <v>0</v>
      </c>
      <c r="L68" s="50">
        <v>0</v>
      </c>
      <c r="M68" s="50">
        <v>60</v>
      </c>
      <c r="N68" s="50">
        <v>0</v>
      </c>
      <c r="O68" s="15">
        <f t="shared" si="35"/>
        <v>137</v>
      </c>
      <c r="P68" s="15">
        <f t="shared" si="36"/>
        <v>197</v>
      </c>
      <c r="R68" s="8"/>
      <c r="T68"/>
    </row>
    <row r="69" spans="2:20" ht="23.1" customHeight="1" x14ac:dyDescent="0.25">
      <c r="B69" s="45" t="s">
        <v>106</v>
      </c>
      <c r="C69" s="50">
        <v>85</v>
      </c>
      <c r="D69" s="50">
        <v>14</v>
      </c>
      <c r="E69" s="50">
        <v>100</v>
      </c>
      <c r="F69" s="50">
        <v>5</v>
      </c>
      <c r="G69" s="50">
        <v>0</v>
      </c>
      <c r="H69" s="50">
        <v>0</v>
      </c>
      <c r="I69" s="50">
        <v>1</v>
      </c>
      <c r="J69" s="50">
        <v>2</v>
      </c>
      <c r="K69" s="50">
        <v>0</v>
      </c>
      <c r="L69" s="50">
        <v>0</v>
      </c>
      <c r="M69" s="50">
        <v>52</v>
      </c>
      <c r="N69" s="50">
        <v>0</v>
      </c>
      <c r="O69" s="15">
        <f t="shared" si="35"/>
        <v>207</v>
      </c>
      <c r="P69" s="15">
        <f t="shared" si="36"/>
        <v>259</v>
      </c>
      <c r="R69" s="8"/>
      <c r="T69"/>
    </row>
    <row r="70" spans="2:20" ht="23.1" customHeight="1" x14ac:dyDescent="0.25">
      <c r="B70" s="45" t="s">
        <v>110</v>
      </c>
      <c r="C70" s="50">
        <v>67</v>
      </c>
      <c r="D70" s="50">
        <v>11</v>
      </c>
      <c r="E70" s="50">
        <v>17</v>
      </c>
      <c r="F70" s="50">
        <v>4</v>
      </c>
      <c r="G70" s="50">
        <v>0</v>
      </c>
      <c r="H70" s="50">
        <v>0</v>
      </c>
      <c r="I70" s="50">
        <v>1</v>
      </c>
      <c r="J70" s="50">
        <v>1</v>
      </c>
      <c r="K70" s="50">
        <v>0</v>
      </c>
      <c r="L70" s="50">
        <v>0</v>
      </c>
      <c r="M70" s="50">
        <v>37</v>
      </c>
      <c r="N70" s="50">
        <v>0</v>
      </c>
      <c r="O70" s="15">
        <f t="shared" si="35"/>
        <v>101</v>
      </c>
      <c r="P70" s="15">
        <f t="shared" si="36"/>
        <v>138</v>
      </c>
      <c r="R70" s="8"/>
      <c r="T70"/>
    </row>
    <row r="71" spans="2:20" ht="23.1" customHeight="1" x14ac:dyDescent="0.25">
      <c r="B71" s="45" t="s">
        <v>111</v>
      </c>
      <c r="C71" s="50">
        <v>87</v>
      </c>
      <c r="D71" s="50">
        <v>16</v>
      </c>
      <c r="E71" s="50">
        <v>9</v>
      </c>
      <c r="F71" s="50">
        <v>2</v>
      </c>
      <c r="G71" s="50">
        <v>1</v>
      </c>
      <c r="H71" s="50">
        <v>0</v>
      </c>
      <c r="I71" s="50">
        <v>3</v>
      </c>
      <c r="J71" s="50">
        <v>0</v>
      </c>
      <c r="K71" s="50">
        <v>0</v>
      </c>
      <c r="L71" s="50">
        <v>0</v>
      </c>
      <c r="M71" s="50">
        <v>49</v>
      </c>
      <c r="N71" s="50">
        <v>0</v>
      </c>
      <c r="O71" s="15">
        <f t="shared" si="35"/>
        <v>118</v>
      </c>
      <c r="P71" s="15">
        <f t="shared" si="36"/>
        <v>167</v>
      </c>
      <c r="R71" s="8"/>
      <c r="T71"/>
    </row>
    <row r="72" spans="2:20" ht="23.1" customHeight="1" x14ac:dyDescent="0.25">
      <c r="B72" s="45" t="s">
        <v>112</v>
      </c>
      <c r="C72" s="50">
        <v>102</v>
      </c>
      <c r="D72" s="50">
        <v>7</v>
      </c>
      <c r="E72" s="50">
        <v>7</v>
      </c>
      <c r="F72" s="50">
        <v>2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39</v>
      </c>
      <c r="N72" s="50">
        <v>0</v>
      </c>
      <c r="O72" s="15">
        <f t="shared" si="35"/>
        <v>118</v>
      </c>
      <c r="P72" s="15">
        <f t="shared" si="36"/>
        <v>157</v>
      </c>
      <c r="R72" s="8"/>
      <c r="T72"/>
    </row>
    <row r="73" spans="2:20" ht="23.1" customHeight="1" x14ac:dyDescent="0.25">
      <c r="B73" s="45" t="s">
        <v>113</v>
      </c>
      <c r="C73" s="50">
        <v>69</v>
      </c>
      <c r="D73" s="50">
        <v>23</v>
      </c>
      <c r="E73" s="50">
        <v>5</v>
      </c>
      <c r="F73" s="50">
        <v>2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32</v>
      </c>
      <c r="N73" s="50">
        <v>0</v>
      </c>
      <c r="O73" s="15">
        <f t="shared" si="35"/>
        <v>99</v>
      </c>
      <c r="P73" s="15">
        <f t="shared" si="36"/>
        <v>131</v>
      </c>
      <c r="R73" s="8"/>
      <c r="T73"/>
    </row>
    <row r="74" spans="2:20" ht="23.1" customHeight="1" x14ac:dyDescent="0.25">
      <c r="B74" s="45" t="s">
        <v>114</v>
      </c>
      <c r="C74" s="50">
        <v>50</v>
      </c>
      <c r="D74" s="50">
        <v>6</v>
      </c>
      <c r="E74" s="50">
        <v>5</v>
      </c>
      <c r="F74" s="50">
        <v>4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8</v>
      </c>
      <c r="N74" s="50">
        <v>0</v>
      </c>
      <c r="O74" s="15">
        <f t="shared" si="35"/>
        <v>65</v>
      </c>
      <c r="P74" s="15">
        <f t="shared" si="36"/>
        <v>73</v>
      </c>
      <c r="R74" s="8"/>
      <c r="T74"/>
    </row>
    <row r="75" spans="2:20" ht="23.1" customHeight="1" x14ac:dyDescent="0.25">
      <c r="B75" s="45" t="s">
        <v>115</v>
      </c>
      <c r="C75" s="50">
        <v>60</v>
      </c>
      <c r="D75" s="50">
        <v>10</v>
      </c>
      <c r="E75" s="50">
        <v>4</v>
      </c>
      <c r="F75" s="50">
        <v>1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19</v>
      </c>
      <c r="N75" s="50">
        <v>0</v>
      </c>
      <c r="O75" s="15">
        <f t="shared" si="35"/>
        <v>75</v>
      </c>
      <c r="P75" s="15">
        <f t="shared" si="36"/>
        <v>94</v>
      </c>
      <c r="R75" s="8"/>
      <c r="T75"/>
    </row>
    <row r="76" spans="2:20" ht="23.1" customHeight="1" x14ac:dyDescent="0.25">
      <c r="B76" s="45" t="s">
        <v>116</v>
      </c>
      <c r="C76" s="50">
        <v>51</v>
      </c>
      <c r="D76" s="50">
        <v>9</v>
      </c>
      <c r="E76" s="50">
        <v>4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23</v>
      </c>
      <c r="N76" s="50">
        <v>0</v>
      </c>
      <c r="O76" s="15">
        <f t="shared" si="35"/>
        <v>64</v>
      </c>
      <c r="P76" s="15">
        <f t="shared" si="36"/>
        <v>87</v>
      </c>
      <c r="R76" s="8"/>
      <c r="T76"/>
    </row>
    <row r="77" spans="2:20" ht="23.1" customHeight="1" x14ac:dyDescent="0.25">
      <c r="B77" s="45" t="s">
        <v>117</v>
      </c>
      <c r="C77" s="50">
        <v>38</v>
      </c>
      <c r="D77" s="50">
        <v>5</v>
      </c>
      <c r="E77" s="50">
        <v>0</v>
      </c>
      <c r="F77" s="50">
        <v>1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5</v>
      </c>
      <c r="N77" s="50">
        <v>0</v>
      </c>
      <c r="O77" s="15">
        <f t="shared" si="35"/>
        <v>44</v>
      </c>
      <c r="P77" s="15">
        <f t="shared" si="36"/>
        <v>49</v>
      </c>
      <c r="R77" s="8"/>
      <c r="T77"/>
    </row>
    <row r="78" spans="2:20" ht="23.1" customHeight="1" x14ac:dyDescent="0.25">
      <c r="B78" s="46" t="s">
        <v>118</v>
      </c>
      <c r="C78" s="50">
        <v>23</v>
      </c>
      <c r="D78" s="50">
        <v>5</v>
      </c>
      <c r="E78" s="50">
        <v>0</v>
      </c>
      <c r="F78" s="50">
        <v>2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15</v>
      </c>
      <c r="N78" s="50">
        <v>0</v>
      </c>
      <c r="O78" s="15">
        <f t="shared" si="35"/>
        <v>30</v>
      </c>
      <c r="P78" s="15">
        <f t="shared" si="36"/>
        <v>45</v>
      </c>
      <c r="R78" s="8"/>
      <c r="T78"/>
    </row>
    <row r="79" spans="2:20" ht="23.1" customHeight="1" x14ac:dyDescent="0.25">
      <c r="B79" s="45" t="s">
        <v>119</v>
      </c>
      <c r="C79" s="50">
        <v>26</v>
      </c>
      <c r="D79" s="50">
        <v>4</v>
      </c>
      <c r="E79" s="50">
        <v>1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8</v>
      </c>
      <c r="N79" s="50">
        <v>0</v>
      </c>
      <c r="O79" s="15">
        <f t="shared" si="35"/>
        <v>31</v>
      </c>
      <c r="P79" s="15">
        <f t="shared" si="36"/>
        <v>39</v>
      </c>
      <c r="R79" s="8"/>
      <c r="T79"/>
    </row>
    <row r="80" spans="2:20" ht="23.1" customHeight="1" x14ac:dyDescent="0.25">
      <c r="B80" s="47" t="s">
        <v>120</v>
      </c>
      <c r="C80" s="50">
        <v>30</v>
      </c>
      <c r="D80" s="50">
        <v>3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33</v>
      </c>
      <c r="P80" s="15">
        <f t="shared" si="36"/>
        <v>33</v>
      </c>
      <c r="R80" s="8"/>
      <c r="T80"/>
    </row>
    <row r="81" spans="2:20" ht="23.1" customHeight="1" x14ac:dyDescent="0.25">
      <c r="B81" s="45" t="s">
        <v>121</v>
      </c>
      <c r="C81" s="50">
        <v>26</v>
      </c>
      <c r="D81" s="50">
        <v>4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8</v>
      </c>
      <c r="N81" s="50">
        <v>0</v>
      </c>
      <c r="O81" s="15">
        <f t="shared" si="35"/>
        <v>30</v>
      </c>
      <c r="P81" s="15">
        <f t="shared" si="36"/>
        <v>38</v>
      </c>
      <c r="R81" s="8"/>
      <c r="T81"/>
    </row>
    <row r="82" spans="2:20" ht="23.1" customHeight="1" x14ac:dyDescent="0.25">
      <c r="B82" s="46" t="s">
        <v>122</v>
      </c>
      <c r="C82" s="50">
        <v>21</v>
      </c>
      <c r="D82" s="50">
        <v>0</v>
      </c>
      <c r="E82" s="50">
        <v>1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7</v>
      </c>
      <c r="N82" s="50">
        <v>0</v>
      </c>
      <c r="O82" s="15">
        <f t="shared" si="35"/>
        <v>22</v>
      </c>
      <c r="P82" s="15">
        <f t="shared" si="36"/>
        <v>29</v>
      </c>
      <c r="R82" s="8"/>
      <c r="T82"/>
    </row>
    <row r="83" spans="2:20" ht="23.1" customHeight="1" x14ac:dyDescent="0.25">
      <c r="B83" s="45" t="s">
        <v>123</v>
      </c>
      <c r="C83" s="50">
        <v>6</v>
      </c>
      <c r="D83" s="50">
        <v>1</v>
      </c>
      <c r="E83" s="50">
        <v>1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4</v>
      </c>
      <c r="N83" s="50">
        <v>0</v>
      </c>
      <c r="O83" s="15">
        <f t="shared" si="35"/>
        <v>8</v>
      </c>
      <c r="P83" s="15">
        <f t="shared" si="36"/>
        <v>12</v>
      </c>
      <c r="R83" s="8"/>
      <c r="T83"/>
    </row>
    <row r="84" spans="2:20" ht="23.1" customHeight="1" x14ac:dyDescent="0.25">
      <c r="B84" s="47" t="s">
        <v>124</v>
      </c>
      <c r="C84" s="50">
        <v>7</v>
      </c>
      <c r="D84" s="50">
        <v>0</v>
      </c>
      <c r="E84" s="50">
        <v>1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4</v>
      </c>
      <c r="N84" s="50">
        <v>0</v>
      </c>
      <c r="O84" s="15">
        <f t="shared" si="35"/>
        <v>8</v>
      </c>
      <c r="P84" s="15">
        <f t="shared" si="36"/>
        <v>12</v>
      </c>
      <c r="R84" s="8"/>
      <c r="T84"/>
    </row>
    <row r="85" spans="2:20" ht="23.1" customHeight="1" x14ac:dyDescent="0.25">
      <c r="B85" s="45" t="s">
        <v>125</v>
      </c>
      <c r="C85" s="50">
        <v>5</v>
      </c>
      <c r="D85" s="50">
        <v>0</v>
      </c>
      <c r="E85" s="50">
        <v>1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1</v>
      </c>
      <c r="N85" s="50">
        <v>0</v>
      </c>
      <c r="O85" s="15">
        <f t="shared" si="35"/>
        <v>6</v>
      </c>
      <c r="P85" s="15">
        <f t="shared" si="36"/>
        <v>7</v>
      </c>
      <c r="R85" s="8"/>
      <c r="T85"/>
    </row>
    <row r="86" spans="2:20" ht="23.1" customHeight="1" x14ac:dyDescent="0.25">
      <c r="B86" s="46" t="s">
        <v>126</v>
      </c>
      <c r="C86" s="50">
        <v>8</v>
      </c>
      <c r="D86" s="50">
        <v>2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10</v>
      </c>
      <c r="P86" s="15">
        <f t="shared" si="36"/>
        <v>10</v>
      </c>
      <c r="R86" s="8"/>
      <c r="T86"/>
    </row>
    <row r="87" spans="2:20" ht="23.1" customHeight="1" x14ac:dyDescent="0.25">
      <c r="B87" s="45" t="s">
        <v>127</v>
      </c>
      <c r="C87" s="50">
        <v>7</v>
      </c>
      <c r="D87" s="50">
        <v>1</v>
      </c>
      <c r="E87" s="50">
        <v>2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4</v>
      </c>
      <c r="N87" s="50">
        <v>0</v>
      </c>
      <c r="O87" s="15">
        <f t="shared" si="35"/>
        <v>10</v>
      </c>
      <c r="P87" s="15">
        <f t="shared" si="36"/>
        <v>14</v>
      </c>
      <c r="R87" s="8"/>
      <c r="T87"/>
    </row>
    <row r="88" spans="2:20" ht="23.1" customHeight="1" x14ac:dyDescent="0.25">
      <c r="B88" s="47" t="s">
        <v>128</v>
      </c>
      <c r="C88" s="50">
        <v>2</v>
      </c>
      <c r="D88" s="50">
        <v>1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5</v>
      </c>
      <c r="N88" s="50">
        <v>0</v>
      </c>
      <c r="O88" s="15">
        <f t="shared" si="35"/>
        <v>3</v>
      </c>
      <c r="P88" s="15">
        <f t="shared" si="36"/>
        <v>8</v>
      </c>
      <c r="R88" s="8"/>
      <c r="T88"/>
    </row>
    <row r="89" spans="2:20" ht="23.1" customHeight="1" x14ac:dyDescent="0.25">
      <c r="B89" s="45" t="s">
        <v>129</v>
      </c>
      <c r="C89" s="50">
        <v>5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8</v>
      </c>
      <c r="N89" s="50">
        <v>0</v>
      </c>
      <c r="O89" s="15">
        <f t="shared" si="35"/>
        <v>5</v>
      </c>
      <c r="P89" s="15">
        <f t="shared" si="36"/>
        <v>13</v>
      </c>
      <c r="R89" s="8"/>
      <c r="T89"/>
    </row>
    <row r="90" spans="2:20" ht="23.1" customHeight="1" x14ac:dyDescent="0.25">
      <c r="B90" s="46" t="s">
        <v>130</v>
      </c>
      <c r="C90" s="50">
        <v>2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6</v>
      </c>
      <c r="N90" s="50">
        <v>0</v>
      </c>
      <c r="O90" s="15">
        <f t="shared" si="35"/>
        <v>2</v>
      </c>
      <c r="P90" s="15">
        <f t="shared" si="36"/>
        <v>8</v>
      </c>
      <c r="R90" s="8"/>
      <c r="T90"/>
    </row>
    <row r="91" spans="2:20" ht="23.1" customHeight="1" x14ac:dyDescent="0.25">
      <c r="B91" s="45" t="s">
        <v>131</v>
      </c>
      <c r="C91" s="50">
        <v>9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1</v>
      </c>
      <c r="J91" s="50">
        <v>1</v>
      </c>
      <c r="K91" s="50">
        <v>0</v>
      </c>
      <c r="L91" s="50">
        <v>0</v>
      </c>
      <c r="M91" s="50">
        <v>4</v>
      </c>
      <c r="N91" s="50">
        <v>0</v>
      </c>
      <c r="O91" s="15">
        <f t="shared" si="35"/>
        <v>11</v>
      </c>
      <c r="P91" s="15">
        <f t="shared" si="36"/>
        <v>15</v>
      </c>
      <c r="R91" s="8"/>
      <c r="T91"/>
    </row>
    <row r="92" spans="2:20" ht="23.1" customHeight="1" x14ac:dyDescent="0.25">
      <c r="B92" s="47" t="s">
        <v>132</v>
      </c>
      <c r="C92" s="50">
        <v>7</v>
      </c>
      <c r="D92" s="50">
        <v>0</v>
      </c>
      <c r="E92" s="50">
        <v>2</v>
      </c>
      <c r="F92" s="50">
        <v>0</v>
      </c>
      <c r="G92" s="50">
        <v>0</v>
      </c>
      <c r="H92" s="50">
        <v>0</v>
      </c>
      <c r="I92" s="50">
        <v>0</v>
      </c>
      <c r="J92" s="50">
        <v>1</v>
      </c>
      <c r="K92" s="50">
        <v>0</v>
      </c>
      <c r="L92" s="50">
        <v>0</v>
      </c>
      <c r="M92" s="50">
        <v>4</v>
      </c>
      <c r="N92" s="50">
        <v>0</v>
      </c>
      <c r="O92" s="15">
        <f t="shared" si="35"/>
        <v>10</v>
      </c>
      <c r="P92" s="15">
        <f t="shared" si="36"/>
        <v>14</v>
      </c>
      <c r="R92" s="8"/>
      <c r="T92"/>
    </row>
    <row r="93" spans="2:20" ht="23.1" customHeight="1" x14ac:dyDescent="0.25">
      <c r="B93" s="45" t="s">
        <v>133</v>
      </c>
      <c r="C93" s="50">
        <v>8</v>
      </c>
      <c r="D93" s="50">
        <v>0</v>
      </c>
      <c r="E93" s="50">
        <v>2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3</v>
      </c>
      <c r="N93" s="50">
        <v>0</v>
      </c>
      <c r="O93" s="15">
        <f t="shared" si="35"/>
        <v>10</v>
      </c>
      <c r="P93" s="15">
        <f t="shared" si="36"/>
        <v>13</v>
      </c>
      <c r="R93" s="8"/>
      <c r="T93"/>
    </row>
    <row r="94" spans="2:20" ht="23.1" customHeight="1" x14ac:dyDescent="0.25">
      <c r="B94" s="46" t="s">
        <v>134</v>
      </c>
      <c r="C94" s="50">
        <v>4</v>
      </c>
      <c r="D94" s="50">
        <v>1</v>
      </c>
      <c r="E94" s="50">
        <v>0</v>
      </c>
      <c r="F94" s="50">
        <v>0</v>
      </c>
      <c r="G94" s="50">
        <v>1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2</v>
      </c>
      <c r="N94" s="50">
        <v>0</v>
      </c>
      <c r="O94" s="15">
        <f t="shared" si="35"/>
        <v>6</v>
      </c>
      <c r="P94" s="15">
        <f t="shared" si="36"/>
        <v>8</v>
      </c>
      <c r="R94" s="8"/>
      <c r="T94"/>
    </row>
    <row r="95" spans="2:20" ht="23.1" customHeight="1" x14ac:dyDescent="0.25">
      <c r="B95" s="45" t="s">
        <v>135</v>
      </c>
      <c r="C95" s="50">
        <v>4</v>
      </c>
      <c r="D95" s="50">
        <v>2</v>
      </c>
      <c r="E95" s="50">
        <v>0</v>
      </c>
      <c r="F95" s="50">
        <v>3</v>
      </c>
      <c r="G95" s="50">
        <v>1</v>
      </c>
      <c r="H95" s="50">
        <v>0</v>
      </c>
      <c r="I95" s="50">
        <v>1</v>
      </c>
      <c r="J95" s="50">
        <v>0</v>
      </c>
      <c r="K95" s="50">
        <v>0</v>
      </c>
      <c r="L95" s="50">
        <v>0</v>
      </c>
      <c r="M95" s="50">
        <v>6</v>
      </c>
      <c r="N95" s="50">
        <v>0</v>
      </c>
      <c r="O95" s="15">
        <f t="shared" si="35"/>
        <v>11</v>
      </c>
      <c r="P95" s="15">
        <f t="shared" si="36"/>
        <v>17</v>
      </c>
      <c r="R95" s="8"/>
      <c r="T95"/>
    </row>
    <row r="96" spans="2:20" ht="23.1" customHeight="1" x14ac:dyDescent="0.25">
      <c r="B96" s="47" t="s">
        <v>136</v>
      </c>
      <c r="C96" s="50">
        <v>4</v>
      </c>
      <c r="D96" s="50">
        <v>0</v>
      </c>
      <c r="E96" s="50">
        <v>1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1</v>
      </c>
      <c r="L96" s="50">
        <v>0</v>
      </c>
      <c r="M96" s="50">
        <v>2</v>
      </c>
      <c r="N96" s="50">
        <v>0</v>
      </c>
      <c r="O96" s="15">
        <f t="shared" si="35"/>
        <v>6</v>
      </c>
      <c r="P96" s="15">
        <f t="shared" si="36"/>
        <v>8</v>
      </c>
      <c r="R96" s="8"/>
      <c r="T96"/>
    </row>
    <row r="97" spans="2:20" ht="23.1" customHeight="1" x14ac:dyDescent="0.25">
      <c r="B97" s="45" t="s">
        <v>137</v>
      </c>
      <c r="C97" s="50">
        <v>13</v>
      </c>
      <c r="D97" s="50">
        <v>0</v>
      </c>
      <c r="E97" s="50">
        <v>3</v>
      </c>
      <c r="F97" s="50">
        <v>0</v>
      </c>
      <c r="G97" s="50">
        <v>0</v>
      </c>
      <c r="H97" s="50">
        <v>0</v>
      </c>
      <c r="I97" s="50">
        <v>0</v>
      </c>
      <c r="J97" s="50">
        <v>1</v>
      </c>
      <c r="K97" s="50">
        <v>1</v>
      </c>
      <c r="L97" s="50">
        <v>0</v>
      </c>
      <c r="M97" s="50">
        <v>3</v>
      </c>
      <c r="N97" s="50">
        <v>0</v>
      </c>
      <c r="O97" s="15">
        <f t="shared" si="35"/>
        <v>18</v>
      </c>
      <c r="P97" s="15">
        <f t="shared" si="36"/>
        <v>21</v>
      </c>
      <c r="R97" s="8"/>
      <c r="T97"/>
    </row>
    <row r="98" spans="2:20" ht="23.1" customHeight="1" x14ac:dyDescent="0.25">
      <c r="B98" s="46" t="s">
        <v>138</v>
      </c>
      <c r="C98" s="50">
        <v>26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2</v>
      </c>
      <c r="J98" s="50">
        <v>1</v>
      </c>
      <c r="K98" s="50">
        <v>0</v>
      </c>
      <c r="L98" s="50">
        <v>0</v>
      </c>
      <c r="M98" s="50">
        <v>4</v>
      </c>
      <c r="N98" s="50">
        <v>0</v>
      </c>
      <c r="O98" s="15">
        <f t="shared" si="35"/>
        <v>29</v>
      </c>
      <c r="P98" s="15">
        <f t="shared" si="36"/>
        <v>33</v>
      </c>
      <c r="R98" s="8"/>
      <c r="T98"/>
    </row>
    <row r="99" spans="2:20" ht="23.1" customHeight="1" x14ac:dyDescent="0.25">
      <c r="B99" s="45" t="s">
        <v>139</v>
      </c>
      <c r="C99" s="50">
        <v>23</v>
      </c>
      <c r="D99" s="50">
        <v>8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4</v>
      </c>
      <c r="N99" s="50">
        <v>0</v>
      </c>
      <c r="O99" s="15">
        <f t="shared" si="35"/>
        <v>31</v>
      </c>
      <c r="P99" s="15">
        <f t="shared" si="36"/>
        <v>35</v>
      </c>
      <c r="R99" s="8"/>
      <c r="T99"/>
    </row>
    <row r="100" spans="2:20" ht="23.1" customHeight="1" x14ac:dyDescent="0.25">
      <c r="B100" s="47" t="s">
        <v>140</v>
      </c>
      <c r="C100" s="50">
        <v>25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5</v>
      </c>
      <c r="N100" s="50">
        <v>0</v>
      </c>
      <c r="O100" s="15">
        <f t="shared" si="35"/>
        <v>25</v>
      </c>
      <c r="P100" s="15">
        <f t="shared" si="36"/>
        <v>30</v>
      </c>
      <c r="R100" s="8"/>
      <c r="T100"/>
    </row>
    <row r="101" spans="2:20" ht="23.1" customHeight="1" x14ac:dyDescent="0.25">
      <c r="B101" s="45" t="s">
        <v>141</v>
      </c>
      <c r="C101" s="50">
        <v>23</v>
      </c>
      <c r="D101" s="50">
        <v>1</v>
      </c>
      <c r="E101" s="50">
        <v>1</v>
      </c>
      <c r="F101" s="50">
        <v>8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11</v>
      </c>
      <c r="N101" s="50">
        <v>0</v>
      </c>
      <c r="O101" s="15">
        <f t="shared" si="35"/>
        <v>33</v>
      </c>
      <c r="P101" s="15">
        <f t="shared" si="36"/>
        <v>44</v>
      </c>
      <c r="R101" s="8"/>
      <c r="T101"/>
    </row>
    <row r="102" spans="2:20" ht="23.1" customHeight="1" x14ac:dyDescent="0.25">
      <c r="B102" s="46" t="s">
        <v>142</v>
      </c>
      <c r="C102" s="50">
        <v>39</v>
      </c>
      <c r="D102" s="50">
        <v>6</v>
      </c>
      <c r="E102" s="50">
        <v>6</v>
      </c>
      <c r="F102" s="50">
        <v>5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2</v>
      </c>
      <c r="N102" s="50">
        <v>0</v>
      </c>
      <c r="O102" s="15">
        <f t="shared" si="35"/>
        <v>56</v>
      </c>
      <c r="P102" s="15">
        <f t="shared" si="36"/>
        <v>58</v>
      </c>
      <c r="R102" s="8"/>
      <c r="T102"/>
    </row>
    <row r="103" spans="2:20" ht="23.1" customHeight="1" x14ac:dyDescent="0.25">
      <c r="B103" s="45" t="s">
        <v>143</v>
      </c>
      <c r="C103" s="50">
        <v>65</v>
      </c>
      <c r="D103" s="50">
        <v>25</v>
      </c>
      <c r="E103" s="50">
        <v>7</v>
      </c>
      <c r="F103" s="50">
        <v>11</v>
      </c>
      <c r="G103" s="50">
        <v>1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14</v>
      </c>
      <c r="N103" s="50">
        <v>0</v>
      </c>
      <c r="O103" s="15">
        <f t="shared" si="35"/>
        <v>109</v>
      </c>
      <c r="P103" s="15">
        <f t="shared" si="36"/>
        <v>123</v>
      </c>
      <c r="R103" s="8"/>
      <c r="T103"/>
    </row>
    <row r="104" spans="2:20" ht="23.1" customHeight="1" x14ac:dyDescent="0.25">
      <c r="B104" s="47" t="s">
        <v>144</v>
      </c>
      <c r="C104" s="50">
        <v>99</v>
      </c>
      <c r="D104" s="50">
        <v>15</v>
      </c>
      <c r="E104" s="50">
        <v>8</v>
      </c>
      <c r="F104" s="50">
        <v>11</v>
      </c>
      <c r="G104" s="50">
        <v>3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15</v>
      </c>
      <c r="N104" s="50">
        <v>0</v>
      </c>
      <c r="O104" s="15">
        <f t="shared" si="35"/>
        <v>136</v>
      </c>
      <c r="P104" s="15">
        <f t="shared" si="36"/>
        <v>151</v>
      </c>
      <c r="R104" s="8"/>
      <c r="T104"/>
    </row>
    <row r="105" spans="2:20" ht="23.1" customHeight="1" x14ac:dyDescent="0.25">
      <c r="B105" s="45" t="s">
        <v>145</v>
      </c>
      <c r="C105" s="50">
        <v>94</v>
      </c>
      <c r="D105" s="50">
        <v>16</v>
      </c>
      <c r="E105" s="50">
        <v>5</v>
      </c>
      <c r="F105" s="50">
        <v>6</v>
      </c>
      <c r="G105" s="50">
        <v>2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14</v>
      </c>
      <c r="N105" s="50">
        <v>0</v>
      </c>
      <c r="O105" s="15">
        <f t="shared" si="35"/>
        <v>123</v>
      </c>
      <c r="P105" s="15">
        <f t="shared" si="36"/>
        <v>137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7215</v>
      </c>
      <c r="D106" s="16">
        <f t="shared" ref="D106:P106" si="37">SUM(D10:D105)</f>
        <v>1470</v>
      </c>
      <c r="E106" s="16">
        <f t="shared" si="37"/>
        <v>439</v>
      </c>
      <c r="F106" s="16">
        <f t="shared" si="37"/>
        <v>472</v>
      </c>
      <c r="G106" s="16">
        <f t="shared" si="37"/>
        <v>51</v>
      </c>
      <c r="H106" s="16">
        <f t="shared" si="37"/>
        <v>7</v>
      </c>
      <c r="I106" s="16">
        <f t="shared" si="37"/>
        <v>207</v>
      </c>
      <c r="J106" s="16">
        <f t="shared" si="37"/>
        <v>77</v>
      </c>
      <c r="K106" s="16">
        <f t="shared" si="37"/>
        <v>39</v>
      </c>
      <c r="L106" s="16">
        <f t="shared" si="37"/>
        <v>15</v>
      </c>
      <c r="M106" s="16">
        <f t="shared" si="37"/>
        <v>3915</v>
      </c>
      <c r="N106" s="16">
        <f t="shared" si="37"/>
        <v>0</v>
      </c>
      <c r="O106" s="16">
        <f t="shared" si="37"/>
        <v>9992</v>
      </c>
      <c r="P106" s="16">
        <f t="shared" si="37"/>
        <v>13907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0.51880348026173873</v>
      </c>
      <c r="D107" s="43">
        <f t="shared" si="38"/>
        <v>0.10570216437765154</v>
      </c>
      <c r="E107" s="43">
        <f t="shared" si="38"/>
        <v>3.1566836844754441E-2</v>
      </c>
      <c r="F107" s="43">
        <f t="shared" si="38"/>
        <v>3.393974257568131E-2</v>
      </c>
      <c r="G107" s="43">
        <f t="shared" si="38"/>
        <v>3.6672179477960738E-3</v>
      </c>
      <c r="H107" s="43">
        <f t="shared" si="38"/>
        <v>5.0334363989357873E-4</v>
      </c>
      <c r="I107" s="43">
        <f t="shared" si="38"/>
        <v>1.488459049399583E-2</v>
      </c>
      <c r="J107" s="43">
        <f t="shared" si="38"/>
        <v>5.5367800388293666E-3</v>
      </c>
      <c r="K107" s="43">
        <f t="shared" si="38"/>
        <v>2.8043431365499388E-3</v>
      </c>
      <c r="L107" s="43">
        <f t="shared" si="38"/>
        <v>1.0785935140576687E-3</v>
      </c>
      <c r="M107" s="43">
        <f t="shared" si="38"/>
        <v>0.28151290716905153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0.72207766212970381</v>
      </c>
      <c r="D108" s="44">
        <f t="shared" ref="D108:N108" si="39">D106/$O$106</f>
        <v>0.14711769415532425</v>
      </c>
      <c r="E108" s="44">
        <f t="shared" si="39"/>
        <v>4.3935148118494798E-2</v>
      </c>
      <c r="F108" s="44">
        <f t="shared" si="39"/>
        <v>4.7237790232185752E-2</v>
      </c>
      <c r="G108" s="44">
        <f t="shared" si="39"/>
        <v>5.1040832666132911E-3</v>
      </c>
      <c r="H108" s="44">
        <f t="shared" si="39"/>
        <v>7.005604483586869E-4</v>
      </c>
      <c r="I108" s="44">
        <f t="shared" si="39"/>
        <v>2.0716573258606884E-2</v>
      </c>
      <c r="J108" s="44">
        <f t="shared" si="39"/>
        <v>7.706164931945556E-3</v>
      </c>
      <c r="K108" s="44">
        <f t="shared" si="39"/>
        <v>3.9031224979983988E-3</v>
      </c>
      <c r="L108" s="44">
        <f t="shared" si="39"/>
        <v>1.5012009607686149E-3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70" zoomScale="40" zoomScaleSheetLayoutView="40" workbookViewId="0">
      <selection activeCell="K102" sqref="K10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'29.07 Ntinda-Naalya'!C3:G3</f>
        <v>MCC - C1 - STN38 - NAALYA EAST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'01.08 Ntinda-Naalya 24h'!D5</f>
        <v>01.08.19</v>
      </c>
      <c r="E5" s="3"/>
      <c r="F5" s="41" t="s">
        <v>1</v>
      </c>
      <c r="G5" s="65" t="str">
        <f>'01.08 Ntinda-Naalya 24h'!G5:H5</f>
        <v>NAALYA ROUND ABOUT</v>
      </c>
      <c r="H5" s="66"/>
      <c r="I5" s="14"/>
      <c r="J5" s="2" t="s">
        <v>5</v>
      </c>
      <c r="K5" s="65" t="str">
        <f>'01.08 Ntinda-Naalya 24h'!K5:L5</f>
        <v>HARRIET N/NASSIWA A/MUTE C/PHOEBY/KAZIBWE J/NAKAYE J.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'29.07 Naalya-Ntinda'!D6:E6</f>
        <v>NAALYA</v>
      </c>
      <c r="E6" s="66"/>
      <c r="F6" s="2" t="s">
        <v>2</v>
      </c>
      <c r="G6" s="65" t="str">
        <f>'30.07 Naalya-Ntinda'!G6:H6</f>
        <v>NTINDA</v>
      </c>
      <c r="H6" s="66"/>
      <c r="J6" s="2" t="s">
        <v>21</v>
      </c>
      <c r="K6" s="65" t="str">
        <f>'01.08 Ntinda-Naalya 24h'!K6:L6</f>
        <v>STEVEN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47</v>
      </c>
      <c r="D10" s="50">
        <v>47</v>
      </c>
      <c r="E10" s="50">
        <v>8</v>
      </c>
      <c r="F10" s="50">
        <v>1</v>
      </c>
      <c r="G10" s="50">
        <v>0</v>
      </c>
      <c r="H10" s="50">
        <v>0</v>
      </c>
      <c r="I10" s="50">
        <v>0</v>
      </c>
      <c r="J10" s="50">
        <v>3</v>
      </c>
      <c r="K10" s="50">
        <v>0</v>
      </c>
      <c r="L10" s="50">
        <v>0</v>
      </c>
      <c r="M10" s="50">
        <v>44</v>
      </c>
      <c r="N10" s="50">
        <v>0</v>
      </c>
      <c r="O10" s="15">
        <f t="shared" ref="O10:O73" si="0">SUM(C10:L10,N10)</f>
        <v>106</v>
      </c>
      <c r="P10" s="15">
        <f t="shared" ref="P10:P73" si="1">SUM(C10:N10)</f>
        <v>150</v>
      </c>
      <c r="R10" s="1" t="s">
        <v>6</v>
      </c>
      <c r="S10" s="17">
        <f t="shared" ref="S10:AF10" si="2">SUM(C10:C13)</f>
        <v>408</v>
      </c>
      <c r="T10" s="17">
        <f t="shared" si="2"/>
        <v>297</v>
      </c>
      <c r="U10" s="17">
        <f t="shared" si="2"/>
        <v>50</v>
      </c>
      <c r="V10" s="17">
        <f t="shared" si="2"/>
        <v>29</v>
      </c>
      <c r="W10" s="17">
        <f t="shared" si="2"/>
        <v>0</v>
      </c>
      <c r="X10" s="17">
        <f t="shared" si="2"/>
        <v>0</v>
      </c>
      <c r="Y10" s="17">
        <f t="shared" si="2"/>
        <v>5</v>
      </c>
      <c r="Z10" s="17">
        <f t="shared" si="2"/>
        <v>5</v>
      </c>
      <c r="AA10" s="17">
        <f t="shared" si="2"/>
        <v>1</v>
      </c>
      <c r="AB10" s="17">
        <f t="shared" si="2"/>
        <v>1</v>
      </c>
      <c r="AC10" s="17">
        <f t="shared" si="2"/>
        <v>412</v>
      </c>
      <c r="AD10" s="17">
        <f t="shared" si="2"/>
        <v>0</v>
      </c>
      <c r="AE10" s="31">
        <f t="shared" si="2"/>
        <v>796</v>
      </c>
      <c r="AF10" s="31">
        <f t="shared" si="2"/>
        <v>1208</v>
      </c>
    </row>
    <row r="11" spans="2:32" s="6" customFormat="1" ht="23.1" customHeight="1" x14ac:dyDescent="0.25">
      <c r="B11" s="45" t="s">
        <v>38</v>
      </c>
      <c r="C11" s="50">
        <v>96</v>
      </c>
      <c r="D11" s="50">
        <v>69</v>
      </c>
      <c r="E11" s="50">
        <v>10</v>
      </c>
      <c r="F11" s="50">
        <v>8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81</v>
      </c>
      <c r="N11" s="50">
        <v>0</v>
      </c>
      <c r="O11" s="15">
        <f t="shared" si="0"/>
        <v>184</v>
      </c>
      <c r="P11" s="15">
        <f t="shared" si="1"/>
        <v>265</v>
      </c>
      <c r="R11" s="1" t="s">
        <v>7</v>
      </c>
      <c r="S11" s="17">
        <f t="shared" ref="S11:AF11" si="3">SUM(C14:C17)</f>
        <v>405</v>
      </c>
      <c r="T11" s="17">
        <f t="shared" si="3"/>
        <v>261</v>
      </c>
      <c r="U11" s="17">
        <f t="shared" si="3"/>
        <v>51</v>
      </c>
      <c r="V11" s="17">
        <f t="shared" si="3"/>
        <v>41</v>
      </c>
      <c r="W11" s="17">
        <f t="shared" si="3"/>
        <v>9</v>
      </c>
      <c r="X11" s="17">
        <f t="shared" si="3"/>
        <v>0</v>
      </c>
      <c r="Y11" s="17">
        <f t="shared" si="3"/>
        <v>5</v>
      </c>
      <c r="Z11" s="17">
        <f t="shared" si="3"/>
        <v>8</v>
      </c>
      <c r="AA11" s="17">
        <f t="shared" si="3"/>
        <v>0</v>
      </c>
      <c r="AB11" s="17">
        <f t="shared" si="3"/>
        <v>0</v>
      </c>
      <c r="AC11" s="17">
        <f t="shared" si="3"/>
        <v>389</v>
      </c>
      <c r="AD11" s="17">
        <f t="shared" si="3"/>
        <v>0</v>
      </c>
      <c r="AE11" s="31">
        <f t="shared" si="3"/>
        <v>780</v>
      </c>
      <c r="AF11" s="31">
        <f t="shared" si="3"/>
        <v>1169</v>
      </c>
    </row>
    <row r="12" spans="2:32" ht="23.1" customHeight="1" x14ac:dyDescent="0.25">
      <c r="B12" s="45" t="s">
        <v>39</v>
      </c>
      <c r="C12" s="50">
        <v>150</v>
      </c>
      <c r="D12" s="50">
        <v>90</v>
      </c>
      <c r="E12" s="50">
        <v>17</v>
      </c>
      <c r="F12" s="50">
        <v>4</v>
      </c>
      <c r="G12" s="50">
        <v>0</v>
      </c>
      <c r="H12" s="50">
        <v>0</v>
      </c>
      <c r="I12" s="50">
        <v>0</v>
      </c>
      <c r="J12" s="50">
        <v>2</v>
      </c>
      <c r="K12" s="50">
        <v>0</v>
      </c>
      <c r="L12" s="50">
        <v>1</v>
      </c>
      <c r="M12" s="50">
        <v>159</v>
      </c>
      <c r="N12" s="50">
        <v>0</v>
      </c>
      <c r="O12" s="15">
        <f t="shared" si="0"/>
        <v>264</v>
      </c>
      <c r="P12" s="15">
        <f t="shared" si="1"/>
        <v>423</v>
      </c>
      <c r="R12" s="1" t="s">
        <v>8</v>
      </c>
      <c r="S12" s="17">
        <f t="shared" ref="S12:AF12" si="4">SUM(C18:C21)</f>
        <v>284</v>
      </c>
      <c r="T12" s="17">
        <f t="shared" si="4"/>
        <v>201</v>
      </c>
      <c r="U12" s="17">
        <f t="shared" si="4"/>
        <v>42</v>
      </c>
      <c r="V12" s="17">
        <f t="shared" si="4"/>
        <v>17</v>
      </c>
      <c r="W12" s="17">
        <f t="shared" si="4"/>
        <v>3</v>
      </c>
      <c r="X12" s="17">
        <f t="shared" si="4"/>
        <v>0</v>
      </c>
      <c r="Y12" s="17">
        <f t="shared" si="4"/>
        <v>11</v>
      </c>
      <c r="Z12" s="17">
        <f t="shared" si="4"/>
        <v>11</v>
      </c>
      <c r="AA12" s="17">
        <f t="shared" si="4"/>
        <v>3</v>
      </c>
      <c r="AB12" s="17">
        <f t="shared" si="4"/>
        <v>2</v>
      </c>
      <c r="AC12" s="17">
        <f t="shared" si="4"/>
        <v>388</v>
      </c>
      <c r="AD12" s="17">
        <f t="shared" si="4"/>
        <v>0</v>
      </c>
      <c r="AE12" s="31">
        <f t="shared" si="4"/>
        <v>574</v>
      </c>
      <c r="AF12" s="31">
        <f t="shared" si="4"/>
        <v>962</v>
      </c>
    </row>
    <row r="13" spans="2:32" ht="23.1" customHeight="1" x14ac:dyDescent="0.25">
      <c r="B13" s="45" t="s">
        <v>40</v>
      </c>
      <c r="C13" s="50">
        <v>115</v>
      </c>
      <c r="D13" s="50">
        <v>91</v>
      </c>
      <c r="E13" s="50">
        <v>15</v>
      </c>
      <c r="F13" s="50">
        <v>16</v>
      </c>
      <c r="G13" s="50">
        <v>0</v>
      </c>
      <c r="H13" s="50">
        <v>0</v>
      </c>
      <c r="I13" s="50">
        <v>4</v>
      </c>
      <c r="J13" s="50">
        <v>0</v>
      </c>
      <c r="K13" s="50">
        <v>1</v>
      </c>
      <c r="L13" s="50">
        <v>0</v>
      </c>
      <c r="M13" s="50">
        <v>128</v>
      </c>
      <c r="N13" s="50">
        <v>0</v>
      </c>
      <c r="O13" s="15">
        <f t="shared" si="0"/>
        <v>242</v>
      </c>
      <c r="P13" s="15">
        <f t="shared" si="1"/>
        <v>370</v>
      </c>
      <c r="R13" s="1" t="s">
        <v>9</v>
      </c>
      <c r="S13" s="17">
        <f t="shared" ref="S13:AF13" si="5">SUM(C22:C25)</f>
        <v>255</v>
      </c>
      <c r="T13" s="17">
        <f t="shared" si="5"/>
        <v>190</v>
      </c>
      <c r="U13" s="17">
        <f t="shared" si="5"/>
        <v>31</v>
      </c>
      <c r="V13" s="17">
        <f t="shared" si="5"/>
        <v>26</v>
      </c>
      <c r="W13" s="17">
        <f t="shared" si="5"/>
        <v>7</v>
      </c>
      <c r="X13" s="17">
        <f t="shared" si="5"/>
        <v>0</v>
      </c>
      <c r="Y13" s="17">
        <f t="shared" si="5"/>
        <v>16</v>
      </c>
      <c r="Z13" s="17">
        <f t="shared" si="5"/>
        <v>11</v>
      </c>
      <c r="AA13" s="17">
        <f t="shared" si="5"/>
        <v>0</v>
      </c>
      <c r="AB13" s="17">
        <f t="shared" si="5"/>
        <v>2</v>
      </c>
      <c r="AC13" s="17">
        <f t="shared" si="5"/>
        <v>385</v>
      </c>
      <c r="AD13" s="17">
        <f t="shared" si="5"/>
        <v>0</v>
      </c>
      <c r="AE13" s="31">
        <f t="shared" si="5"/>
        <v>538</v>
      </c>
      <c r="AF13" s="31">
        <f t="shared" si="5"/>
        <v>923</v>
      </c>
    </row>
    <row r="14" spans="2:32" ht="23.1" customHeight="1" x14ac:dyDescent="0.25">
      <c r="B14" s="45" t="s">
        <v>41</v>
      </c>
      <c r="C14" s="50">
        <v>132</v>
      </c>
      <c r="D14" s="50">
        <v>90</v>
      </c>
      <c r="E14" s="50">
        <v>13</v>
      </c>
      <c r="F14" s="50">
        <v>9</v>
      </c>
      <c r="G14" s="50">
        <v>1</v>
      </c>
      <c r="H14" s="50">
        <v>0</v>
      </c>
      <c r="I14" s="50">
        <v>1</v>
      </c>
      <c r="J14" s="50">
        <v>2</v>
      </c>
      <c r="K14" s="50">
        <v>0</v>
      </c>
      <c r="L14" s="50">
        <v>0</v>
      </c>
      <c r="M14" s="50">
        <v>126</v>
      </c>
      <c r="N14" s="50">
        <v>0</v>
      </c>
      <c r="O14" s="15">
        <f t="shared" si="0"/>
        <v>248</v>
      </c>
      <c r="P14" s="15">
        <f t="shared" si="1"/>
        <v>374</v>
      </c>
      <c r="R14" s="1" t="s">
        <v>10</v>
      </c>
      <c r="S14" s="17">
        <f t="shared" ref="S14:AF14" si="6">SUM(C26:C29)</f>
        <v>150</v>
      </c>
      <c r="T14" s="17">
        <f t="shared" si="6"/>
        <v>151</v>
      </c>
      <c r="U14" s="17">
        <f t="shared" si="6"/>
        <v>26</v>
      </c>
      <c r="V14" s="17">
        <f t="shared" si="6"/>
        <v>21</v>
      </c>
      <c r="W14" s="17">
        <f t="shared" si="6"/>
        <v>3</v>
      </c>
      <c r="X14" s="17">
        <f t="shared" si="6"/>
        <v>0</v>
      </c>
      <c r="Y14" s="17">
        <f t="shared" si="6"/>
        <v>4</v>
      </c>
      <c r="Z14" s="17">
        <f t="shared" si="6"/>
        <v>11</v>
      </c>
      <c r="AA14" s="17">
        <f t="shared" si="6"/>
        <v>0</v>
      </c>
      <c r="AB14" s="17">
        <f t="shared" si="6"/>
        <v>0</v>
      </c>
      <c r="AC14" s="17">
        <f t="shared" si="6"/>
        <v>347</v>
      </c>
      <c r="AD14" s="17">
        <f t="shared" si="6"/>
        <v>0</v>
      </c>
      <c r="AE14" s="31">
        <f t="shared" si="6"/>
        <v>366</v>
      </c>
      <c r="AF14" s="31">
        <f t="shared" si="6"/>
        <v>713</v>
      </c>
    </row>
    <row r="15" spans="2:32" ht="23.1" customHeight="1" x14ac:dyDescent="0.25">
      <c r="B15" s="45" t="s">
        <v>42</v>
      </c>
      <c r="C15" s="50">
        <v>108</v>
      </c>
      <c r="D15" s="50">
        <v>70</v>
      </c>
      <c r="E15" s="50">
        <v>12</v>
      </c>
      <c r="F15" s="50">
        <v>13</v>
      </c>
      <c r="G15" s="50">
        <v>4</v>
      </c>
      <c r="H15" s="50">
        <v>0</v>
      </c>
      <c r="I15" s="50">
        <v>1</v>
      </c>
      <c r="J15" s="50">
        <v>2</v>
      </c>
      <c r="K15" s="50">
        <v>0</v>
      </c>
      <c r="L15" s="50">
        <v>0</v>
      </c>
      <c r="M15" s="50">
        <v>149</v>
      </c>
      <c r="N15" s="50">
        <v>0</v>
      </c>
      <c r="O15" s="15">
        <f t="shared" si="0"/>
        <v>210</v>
      </c>
      <c r="P15" s="15">
        <f t="shared" si="1"/>
        <v>359</v>
      </c>
      <c r="R15" s="1" t="s">
        <v>11</v>
      </c>
      <c r="S15" s="17">
        <f t="shared" ref="S15:AF15" si="7">SUM(C30:C33)</f>
        <v>185</v>
      </c>
      <c r="T15" s="17">
        <f t="shared" si="7"/>
        <v>126</v>
      </c>
      <c r="U15" s="17">
        <f t="shared" si="7"/>
        <v>16</v>
      </c>
      <c r="V15" s="17">
        <f t="shared" si="7"/>
        <v>24</v>
      </c>
      <c r="W15" s="17">
        <f t="shared" si="7"/>
        <v>1</v>
      </c>
      <c r="X15" s="17">
        <f t="shared" si="7"/>
        <v>2</v>
      </c>
      <c r="Y15" s="17">
        <f t="shared" si="7"/>
        <v>6</v>
      </c>
      <c r="Z15" s="17">
        <f t="shared" si="7"/>
        <v>5</v>
      </c>
      <c r="AA15" s="17">
        <f t="shared" si="7"/>
        <v>0</v>
      </c>
      <c r="AB15" s="17">
        <f t="shared" si="7"/>
        <v>0</v>
      </c>
      <c r="AC15" s="17">
        <f t="shared" si="7"/>
        <v>339</v>
      </c>
      <c r="AD15" s="17">
        <f t="shared" si="7"/>
        <v>0</v>
      </c>
      <c r="AE15" s="31">
        <f t="shared" si="7"/>
        <v>365</v>
      </c>
      <c r="AF15" s="31">
        <f t="shared" si="7"/>
        <v>704</v>
      </c>
    </row>
    <row r="16" spans="2:32" ht="23.1" customHeight="1" x14ac:dyDescent="0.25">
      <c r="B16" s="45" t="s">
        <v>43</v>
      </c>
      <c r="C16" s="50">
        <v>101</v>
      </c>
      <c r="D16" s="50">
        <v>72</v>
      </c>
      <c r="E16" s="50">
        <v>15</v>
      </c>
      <c r="F16" s="50">
        <v>9</v>
      </c>
      <c r="G16" s="50">
        <v>1</v>
      </c>
      <c r="H16" s="50">
        <v>0</v>
      </c>
      <c r="I16" s="50">
        <v>2</v>
      </c>
      <c r="J16" s="50">
        <v>3</v>
      </c>
      <c r="K16" s="50">
        <v>0</v>
      </c>
      <c r="L16" s="50">
        <v>0</v>
      </c>
      <c r="M16" s="50">
        <v>14</v>
      </c>
      <c r="N16" s="50">
        <v>0</v>
      </c>
      <c r="O16" s="15">
        <f t="shared" si="0"/>
        <v>203</v>
      </c>
      <c r="P16" s="15">
        <f t="shared" si="1"/>
        <v>217</v>
      </c>
      <c r="R16" s="1" t="s">
        <v>12</v>
      </c>
      <c r="S16" s="17">
        <f t="shared" ref="S16:AF16" si="8">SUM(C34:C37)</f>
        <v>215</v>
      </c>
      <c r="T16" s="17">
        <f t="shared" si="8"/>
        <v>142</v>
      </c>
      <c r="U16" s="17">
        <f t="shared" si="8"/>
        <v>48</v>
      </c>
      <c r="V16" s="17">
        <f t="shared" si="8"/>
        <v>28</v>
      </c>
      <c r="W16" s="17">
        <f t="shared" si="8"/>
        <v>5</v>
      </c>
      <c r="X16" s="17">
        <f t="shared" si="8"/>
        <v>1</v>
      </c>
      <c r="Y16" s="17">
        <f t="shared" si="8"/>
        <v>27</v>
      </c>
      <c r="Z16" s="17">
        <f t="shared" si="8"/>
        <v>5</v>
      </c>
      <c r="AA16" s="17">
        <f t="shared" si="8"/>
        <v>1</v>
      </c>
      <c r="AB16" s="17">
        <f t="shared" si="8"/>
        <v>0</v>
      </c>
      <c r="AC16" s="17">
        <f t="shared" si="8"/>
        <v>192</v>
      </c>
      <c r="AD16" s="17">
        <f t="shared" si="8"/>
        <v>0</v>
      </c>
      <c r="AE16" s="31">
        <f t="shared" si="8"/>
        <v>472</v>
      </c>
      <c r="AF16" s="31">
        <f t="shared" si="8"/>
        <v>664</v>
      </c>
    </row>
    <row r="17" spans="2:32" ht="23.1" customHeight="1" x14ac:dyDescent="0.25">
      <c r="B17" s="45" t="s">
        <v>44</v>
      </c>
      <c r="C17" s="50">
        <v>64</v>
      </c>
      <c r="D17" s="50">
        <v>29</v>
      </c>
      <c r="E17" s="50">
        <v>11</v>
      </c>
      <c r="F17" s="50">
        <v>10</v>
      </c>
      <c r="G17" s="50">
        <v>3</v>
      </c>
      <c r="H17" s="50">
        <v>0</v>
      </c>
      <c r="I17" s="50">
        <v>1</v>
      </c>
      <c r="J17" s="50">
        <v>1</v>
      </c>
      <c r="K17" s="50">
        <v>0</v>
      </c>
      <c r="L17" s="50">
        <v>0</v>
      </c>
      <c r="M17" s="50">
        <v>100</v>
      </c>
      <c r="N17" s="50">
        <v>0</v>
      </c>
      <c r="O17" s="15">
        <f t="shared" si="0"/>
        <v>119</v>
      </c>
      <c r="P17" s="15">
        <f t="shared" si="1"/>
        <v>219</v>
      </c>
      <c r="R17" s="1" t="s">
        <v>13</v>
      </c>
      <c r="S17" s="17">
        <f t="shared" ref="S17:AF17" si="9">SUM(C38:C41)</f>
        <v>128</v>
      </c>
      <c r="T17" s="17">
        <f t="shared" si="9"/>
        <v>110</v>
      </c>
      <c r="U17" s="17">
        <f t="shared" si="9"/>
        <v>21</v>
      </c>
      <c r="V17" s="17">
        <f t="shared" si="9"/>
        <v>29</v>
      </c>
      <c r="W17" s="17">
        <f t="shared" si="9"/>
        <v>2</v>
      </c>
      <c r="X17" s="17">
        <f t="shared" si="9"/>
        <v>1</v>
      </c>
      <c r="Y17" s="17">
        <f t="shared" si="9"/>
        <v>12</v>
      </c>
      <c r="Z17" s="17">
        <f t="shared" si="9"/>
        <v>12</v>
      </c>
      <c r="AA17" s="17">
        <f t="shared" si="9"/>
        <v>4</v>
      </c>
      <c r="AB17" s="17">
        <f t="shared" si="9"/>
        <v>0</v>
      </c>
      <c r="AC17" s="17">
        <f t="shared" si="9"/>
        <v>271</v>
      </c>
      <c r="AD17" s="17">
        <f t="shared" si="9"/>
        <v>0</v>
      </c>
      <c r="AE17" s="31">
        <f t="shared" si="9"/>
        <v>319</v>
      </c>
      <c r="AF17" s="31">
        <f t="shared" si="9"/>
        <v>590</v>
      </c>
    </row>
    <row r="18" spans="2:32" ht="23.1" customHeight="1" x14ac:dyDescent="0.25">
      <c r="B18" s="45" t="s">
        <v>45</v>
      </c>
      <c r="C18" s="50">
        <v>74</v>
      </c>
      <c r="D18" s="50">
        <v>51</v>
      </c>
      <c r="E18" s="50">
        <v>7</v>
      </c>
      <c r="F18" s="50">
        <v>0</v>
      </c>
      <c r="G18" s="50">
        <v>0</v>
      </c>
      <c r="H18" s="50">
        <v>0</v>
      </c>
      <c r="I18" s="50">
        <v>2</v>
      </c>
      <c r="J18" s="50">
        <v>4</v>
      </c>
      <c r="K18" s="50">
        <v>0</v>
      </c>
      <c r="L18" s="50">
        <v>1</v>
      </c>
      <c r="M18" s="50">
        <v>110</v>
      </c>
      <c r="N18" s="50">
        <v>0</v>
      </c>
      <c r="O18" s="15">
        <f t="shared" si="0"/>
        <v>139</v>
      </c>
      <c r="P18" s="15">
        <f t="shared" si="1"/>
        <v>249</v>
      </c>
      <c r="R18" s="1" t="s">
        <v>14</v>
      </c>
      <c r="S18" s="17">
        <f t="shared" ref="S18:AF18" si="10">SUM(C42:C45)</f>
        <v>143</v>
      </c>
      <c r="T18" s="17">
        <f t="shared" si="10"/>
        <v>101</v>
      </c>
      <c r="U18" s="17">
        <f t="shared" si="10"/>
        <v>24</v>
      </c>
      <c r="V18" s="17">
        <f t="shared" si="10"/>
        <v>39</v>
      </c>
      <c r="W18" s="17">
        <f t="shared" si="10"/>
        <v>2</v>
      </c>
      <c r="X18" s="17">
        <f t="shared" si="10"/>
        <v>0</v>
      </c>
      <c r="Y18" s="17">
        <f t="shared" si="10"/>
        <v>10</v>
      </c>
      <c r="Z18" s="17">
        <f t="shared" si="10"/>
        <v>11</v>
      </c>
      <c r="AA18" s="17">
        <f t="shared" si="10"/>
        <v>2</v>
      </c>
      <c r="AB18" s="17">
        <f t="shared" si="10"/>
        <v>0</v>
      </c>
      <c r="AC18" s="17">
        <f t="shared" si="10"/>
        <v>300</v>
      </c>
      <c r="AD18" s="17">
        <f t="shared" si="10"/>
        <v>0</v>
      </c>
      <c r="AE18" s="31">
        <f t="shared" si="10"/>
        <v>332</v>
      </c>
      <c r="AF18" s="31">
        <f t="shared" si="10"/>
        <v>632</v>
      </c>
    </row>
    <row r="19" spans="2:32" ht="23.1" customHeight="1" x14ac:dyDescent="0.25">
      <c r="B19" s="45" t="s">
        <v>46</v>
      </c>
      <c r="C19" s="50">
        <v>85</v>
      </c>
      <c r="D19" s="50">
        <v>50</v>
      </c>
      <c r="E19" s="50">
        <v>17</v>
      </c>
      <c r="F19" s="50">
        <v>7</v>
      </c>
      <c r="G19" s="50">
        <v>2</v>
      </c>
      <c r="H19" s="50">
        <v>0</v>
      </c>
      <c r="I19" s="50">
        <v>4</v>
      </c>
      <c r="J19" s="50">
        <v>3</v>
      </c>
      <c r="K19" s="50">
        <v>3</v>
      </c>
      <c r="L19" s="50">
        <v>1</v>
      </c>
      <c r="M19" s="50">
        <v>94</v>
      </c>
      <c r="N19" s="50">
        <v>0</v>
      </c>
      <c r="O19" s="15">
        <f t="shared" si="0"/>
        <v>172</v>
      </c>
      <c r="P19" s="15">
        <f t="shared" si="1"/>
        <v>266</v>
      </c>
      <c r="R19" s="1" t="s">
        <v>15</v>
      </c>
      <c r="S19" s="17">
        <f t="shared" ref="S19:AF19" si="11">SUM(C46:C49)</f>
        <v>220</v>
      </c>
      <c r="T19" s="17">
        <f t="shared" si="11"/>
        <v>156</v>
      </c>
      <c r="U19" s="17">
        <f t="shared" si="11"/>
        <v>24</v>
      </c>
      <c r="V19" s="17">
        <f t="shared" si="11"/>
        <v>44</v>
      </c>
      <c r="W19" s="17">
        <f t="shared" si="11"/>
        <v>5</v>
      </c>
      <c r="X19" s="17">
        <f t="shared" si="11"/>
        <v>1</v>
      </c>
      <c r="Y19" s="17">
        <f t="shared" si="11"/>
        <v>11</v>
      </c>
      <c r="Z19" s="17">
        <f t="shared" si="11"/>
        <v>2</v>
      </c>
      <c r="AA19" s="17">
        <f t="shared" si="11"/>
        <v>0</v>
      </c>
      <c r="AB19" s="17">
        <f t="shared" si="11"/>
        <v>0</v>
      </c>
      <c r="AC19" s="17">
        <f t="shared" si="11"/>
        <v>265</v>
      </c>
      <c r="AD19" s="17">
        <f t="shared" si="11"/>
        <v>0</v>
      </c>
      <c r="AE19" s="31">
        <f t="shared" si="11"/>
        <v>463</v>
      </c>
      <c r="AF19" s="31">
        <f t="shared" si="11"/>
        <v>728</v>
      </c>
    </row>
    <row r="20" spans="2:32" ht="23.1" customHeight="1" x14ac:dyDescent="0.25">
      <c r="B20" s="45" t="s">
        <v>47</v>
      </c>
      <c r="C20" s="50">
        <v>63</v>
      </c>
      <c r="D20" s="50">
        <v>56</v>
      </c>
      <c r="E20" s="50">
        <v>9</v>
      </c>
      <c r="F20" s="50">
        <v>6</v>
      </c>
      <c r="G20" s="50">
        <v>0</v>
      </c>
      <c r="H20" s="50">
        <v>0</v>
      </c>
      <c r="I20" s="50">
        <v>1</v>
      </c>
      <c r="J20" s="50">
        <v>2</v>
      </c>
      <c r="K20" s="50">
        <v>0</v>
      </c>
      <c r="L20" s="50">
        <v>0</v>
      </c>
      <c r="M20" s="50">
        <v>96</v>
      </c>
      <c r="N20" s="50">
        <v>0</v>
      </c>
      <c r="O20" s="15">
        <f t="shared" si="0"/>
        <v>137</v>
      </c>
      <c r="P20" s="15">
        <f t="shared" si="1"/>
        <v>233</v>
      </c>
      <c r="R20" s="1" t="s">
        <v>16</v>
      </c>
      <c r="S20" s="17">
        <f t="shared" ref="S20:AF20" si="12">SUM(C50:C53)</f>
        <v>244</v>
      </c>
      <c r="T20" s="17">
        <f t="shared" si="12"/>
        <v>195</v>
      </c>
      <c r="U20" s="17">
        <f t="shared" si="12"/>
        <v>29</v>
      </c>
      <c r="V20" s="17">
        <f t="shared" si="12"/>
        <v>33</v>
      </c>
      <c r="W20" s="17">
        <f t="shared" si="12"/>
        <v>12</v>
      </c>
      <c r="X20" s="17">
        <f t="shared" si="12"/>
        <v>1</v>
      </c>
      <c r="Y20" s="17">
        <f t="shared" si="12"/>
        <v>11</v>
      </c>
      <c r="Z20" s="17">
        <f t="shared" si="12"/>
        <v>5</v>
      </c>
      <c r="AA20" s="17">
        <f t="shared" si="12"/>
        <v>1</v>
      </c>
      <c r="AB20" s="17">
        <f t="shared" si="12"/>
        <v>0</v>
      </c>
      <c r="AC20" s="17">
        <f t="shared" si="12"/>
        <v>346</v>
      </c>
      <c r="AD20" s="17">
        <f t="shared" si="12"/>
        <v>0</v>
      </c>
      <c r="AE20" s="31">
        <f t="shared" si="12"/>
        <v>531</v>
      </c>
      <c r="AF20" s="31">
        <f t="shared" si="12"/>
        <v>877</v>
      </c>
    </row>
    <row r="21" spans="2:32" ht="23.1" customHeight="1" x14ac:dyDescent="0.25">
      <c r="B21" s="45" t="s">
        <v>48</v>
      </c>
      <c r="C21" s="50">
        <v>62</v>
      </c>
      <c r="D21" s="50">
        <v>44</v>
      </c>
      <c r="E21" s="50">
        <v>9</v>
      </c>
      <c r="F21" s="50">
        <v>4</v>
      </c>
      <c r="G21" s="50">
        <v>1</v>
      </c>
      <c r="H21" s="50">
        <v>0</v>
      </c>
      <c r="I21" s="50">
        <v>4</v>
      </c>
      <c r="J21" s="50">
        <v>2</v>
      </c>
      <c r="K21" s="50">
        <v>0</v>
      </c>
      <c r="L21" s="50">
        <v>0</v>
      </c>
      <c r="M21" s="50">
        <v>88</v>
      </c>
      <c r="N21" s="50">
        <v>0</v>
      </c>
      <c r="O21" s="15">
        <f t="shared" si="0"/>
        <v>126</v>
      </c>
      <c r="P21" s="15">
        <f t="shared" si="1"/>
        <v>214</v>
      </c>
      <c r="R21" s="36" t="s">
        <v>20</v>
      </c>
      <c r="S21" s="34">
        <f t="shared" ref="S21:AF21" si="13">SUM(C54:C57)</f>
        <v>258</v>
      </c>
      <c r="T21" s="17">
        <f t="shared" si="13"/>
        <v>146</v>
      </c>
      <c r="U21" s="17">
        <f t="shared" si="13"/>
        <v>21</v>
      </c>
      <c r="V21" s="17">
        <f t="shared" si="13"/>
        <v>31</v>
      </c>
      <c r="W21" s="17">
        <f t="shared" si="13"/>
        <v>3</v>
      </c>
      <c r="X21" s="17">
        <f t="shared" si="13"/>
        <v>0</v>
      </c>
      <c r="Y21" s="17">
        <f t="shared" si="13"/>
        <v>3</v>
      </c>
      <c r="Z21" s="17">
        <f t="shared" si="13"/>
        <v>5</v>
      </c>
      <c r="AA21" s="17">
        <f t="shared" si="13"/>
        <v>0</v>
      </c>
      <c r="AB21" s="17">
        <f t="shared" si="13"/>
        <v>2</v>
      </c>
      <c r="AC21" s="17">
        <f t="shared" si="13"/>
        <v>437</v>
      </c>
      <c r="AD21" s="17">
        <f t="shared" si="13"/>
        <v>0</v>
      </c>
      <c r="AE21" s="31">
        <f t="shared" si="13"/>
        <v>469</v>
      </c>
      <c r="AF21" s="31">
        <f t="shared" si="13"/>
        <v>906</v>
      </c>
    </row>
    <row r="22" spans="2:32" ht="23.1" customHeight="1" x14ac:dyDescent="0.25">
      <c r="B22" s="45" t="s">
        <v>49</v>
      </c>
      <c r="C22" s="50">
        <v>48</v>
      </c>
      <c r="D22" s="50">
        <v>41</v>
      </c>
      <c r="E22" s="50">
        <v>7</v>
      </c>
      <c r="F22" s="50">
        <v>8</v>
      </c>
      <c r="G22" s="50">
        <v>1</v>
      </c>
      <c r="H22" s="50">
        <v>0</v>
      </c>
      <c r="I22" s="50">
        <v>4</v>
      </c>
      <c r="J22" s="50">
        <v>3</v>
      </c>
      <c r="K22" s="50">
        <v>0</v>
      </c>
      <c r="L22" s="50">
        <v>0</v>
      </c>
      <c r="M22" s="50">
        <v>92</v>
      </c>
      <c r="N22" s="50">
        <v>0</v>
      </c>
      <c r="O22" s="15">
        <f t="shared" si="0"/>
        <v>112</v>
      </c>
      <c r="P22" s="15">
        <f t="shared" si="1"/>
        <v>204</v>
      </c>
      <c r="R22" s="36" t="s">
        <v>146</v>
      </c>
      <c r="S22" s="34">
        <f>SUM(C58:C61)</f>
        <v>120</v>
      </c>
      <c r="T22" s="34">
        <f t="shared" ref="T22:AF22" si="14">SUM(D58:D61)</f>
        <v>113</v>
      </c>
      <c r="U22" s="34">
        <f t="shared" si="14"/>
        <v>26</v>
      </c>
      <c r="V22" s="34">
        <f t="shared" si="14"/>
        <v>23</v>
      </c>
      <c r="W22" s="34">
        <f t="shared" si="14"/>
        <v>1</v>
      </c>
      <c r="X22" s="34">
        <f t="shared" si="14"/>
        <v>3</v>
      </c>
      <c r="Y22" s="34">
        <f t="shared" si="14"/>
        <v>1</v>
      </c>
      <c r="Z22" s="34">
        <f t="shared" si="14"/>
        <v>1</v>
      </c>
      <c r="AA22" s="34">
        <f t="shared" si="14"/>
        <v>0</v>
      </c>
      <c r="AB22" s="34">
        <f t="shared" si="14"/>
        <v>1</v>
      </c>
      <c r="AC22" s="34">
        <f t="shared" si="14"/>
        <v>288</v>
      </c>
      <c r="AD22" s="34">
        <f t="shared" si="14"/>
        <v>0</v>
      </c>
      <c r="AE22" s="31">
        <f t="shared" si="14"/>
        <v>289</v>
      </c>
      <c r="AF22" s="31">
        <f t="shared" si="14"/>
        <v>577</v>
      </c>
    </row>
    <row r="23" spans="2:32" ht="23.1" customHeight="1" x14ac:dyDescent="0.25">
      <c r="B23" s="45" t="s">
        <v>50</v>
      </c>
      <c r="C23" s="50">
        <v>66</v>
      </c>
      <c r="D23" s="50">
        <v>60</v>
      </c>
      <c r="E23" s="50">
        <v>9</v>
      </c>
      <c r="F23" s="50">
        <v>8</v>
      </c>
      <c r="G23" s="50">
        <v>3</v>
      </c>
      <c r="H23" s="50">
        <v>0</v>
      </c>
      <c r="I23" s="50">
        <v>4</v>
      </c>
      <c r="J23" s="50">
        <v>2</v>
      </c>
      <c r="K23" s="50">
        <v>0</v>
      </c>
      <c r="L23" s="50">
        <v>1</v>
      </c>
      <c r="M23" s="50">
        <v>103</v>
      </c>
      <c r="N23" s="50">
        <v>0</v>
      </c>
      <c r="O23" s="15">
        <f t="shared" si="0"/>
        <v>153</v>
      </c>
      <c r="P23" s="15">
        <f t="shared" si="1"/>
        <v>256</v>
      </c>
      <c r="R23" s="36" t="s">
        <v>147</v>
      </c>
      <c r="S23" s="34">
        <f>SUM(C62:C65)</f>
        <v>56</v>
      </c>
      <c r="T23" s="34">
        <f t="shared" ref="T23:AF23" si="15">SUM(D62:D65)</f>
        <v>145</v>
      </c>
      <c r="U23" s="34">
        <f t="shared" si="15"/>
        <v>20</v>
      </c>
      <c r="V23" s="34">
        <f t="shared" si="15"/>
        <v>22</v>
      </c>
      <c r="W23" s="34">
        <f t="shared" si="15"/>
        <v>1</v>
      </c>
      <c r="X23" s="34">
        <f t="shared" si="15"/>
        <v>0</v>
      </c>
      <c r="Y23" s="34">
        <f t="shared" si="15"/>
        <v>1</v>
      </c>
      <c r="Z23" s="34">
        <f t="shared" si="15"/>
        <v>5</v>
      </c>
      <c r="AA23" s="34">
        <f t="shared" si="15"/>
        <v>0</v>
      </c>
      <c r="AB23" s="34">
        <f t="shared" si="15"/>
        <v>0</v>
      </c>
      <c r="AC23" s="34">
        <f t="shared" si="15"/>
        <v>249</v>
      </c>
      <c r="AD23" s="34">
        <f t="shared" si="15"/>
        <v>0</v>
      </c>
      <c r="AE23" s="31">
        <f t="shared" si="15"/>
        <v>250</v>
      </c>
      <c r="AF23" s="31">
        <f t="shared" si="15"/>
        <v>499</v>
      </c>
    </row>
    <row r="24" spans="2:32" ht="23.1" customHeight="1" x14ac:dyDescent="0.25">
      <c r="B24" s="45" t="s">
        <v>51</v>
      </c>
      <c r="C24" s="50">
        <v>79</v>
      </c>
      <c r="D24" s="50">
        <v>45</v>
      </c>
      <c r="E24" s="50">
        <v>4</v>
      </c>
      <c r="F24" s="50">
        <v>4</v>
      </c>
      <c r="G24" s="50">
        <v>1</v>
      </c>
      <c r="H24" s="50">
        <v>0</v>
      </c>
      <c r="I24" s="50">
        <v>5</v>
      </c>
      <c r="J24" s="50">
        <v>3</v>
      </c>
      <c r="K24" s="50">
        <v>0</v>
      </c>
      <c r="L24" s="50">
        <v>0</v>
      </c>
      <c r="M24" s="50">
        <v>79</v>
      </c>
      <c r="N24" s="50">
        <v>0</v>
      </c>
      <c r="O24" s="15">
        <f t="shared" si="0"/>
        <v>141</v>
      </c>
      <c r="P24" s="15">
        <f t="shared" si="1"/>
        <v>220</v>
      </c>
      <c r="R24" s="36" t="s">
        <v>148</v>
      </c>
      <c r="S24" s="34">
        <f>SUM(C66:C69)</f>
        <v>73</v>
      </c>
      <c r="T24" s="34">
        <f t="shared" ref="T24:AF24" si="16">SUM(D66:D69)</f>
        <v>192</v>
      </c>
      <c r="U24" s="34">
        <f t="shared" si="16"/>
        <v>29</v>
      </c>
      <c r="V24" s="34">
        <f t="shared" si="16"/>
        <v>25</v>
      </c>
      <c r="W24" s="34">
        <f t="shared" si="16"/>
        <v>1</v>
      </c>
      <c r="X24" s="34">
        <f t="shared" si="16"/>
        <v>0</v>
      </c>
      <c r="Y24" s="34">
        <f t="shared" si="16"/>
        <v>5</v>
      </c>
      <c r="Z24" s="34">
        <f t="shared" si="16"/>
        <v>2</v>
      </c>
      <c r="AA24" s="34">
        <f t="shared" si="16"/>
        <v>0</v>
      </c>
      <c r="AB24" s="34">
        <f t="shared" si="16"/>
        <v>0</v>
      </c>
      <c r="AC24" s="34">
        <f t="shared" si="16"/>
        <v>197</v>
      </c>
      <c r="AD24" s="34">
        <f t="shared" si="16"/>
        <v>0</v>
      </c>
      <c r="AE24" s="31">
        <f t="shared" si="16"/>
        <v>327</v>
      </c>
      <c r="AF24" s="31">
        <f t="shared" si="16"/>
        <v>524</v>
      </c>
    </row>
    <row r="25" spans="2:32" ht="23.1" customHeight="1" x14ac:dyDescent="0.25">
      <c r="B25" s="45" t="s">
        <v>52</v>
      </c>
      <c r="C25" s="50">
        <v>62</v>
      </c>
      <c r="D25" s="50">
        <v>44</v>
      </c>
      <c r="E25" s="50">
        <v>11</v>
      </c>
      <c r="F25" s="50">
        <v>6</v>
      </c>
      <c r="G25" s="50">
        <v>2</v>
      </c>
      <c r="H25" s="50">
        <v>0</v>
      </c>
      <c r="I25" s="50">
        <v>3</v>
      </c>
      <c r="J25" s="50">
        <v>3</v>
      </c>
      <c r="K25" s="50">
        <v>0</v>
      </c>
      <c r="L25" s="50">
        <v>1</v>
      </c>
      <c r="M25" s="50">
        <v>111</v>
      </c>
      <c r="N25" s="50">
        <v>0</v>
      </c>
      <c r="O25" s="15">
        <f t="shared" si="0"/>
        <v>132</v>
      </c>
      <c r="P25" s="15">
        <f t="shared" si="1"/>
        <v>243</v>
      </c>
      <c r="R25" s="36" t="s">
        <v>149</v>
      </c>
      <c r="S25" s="34">
        <f>SUM(C70:C73)</f>
        <v>54</v>
      </c>
      <c r="T25" s="34">
        <f t="shared" ref="T25:AF25" si="17">SUM(D70:D73)</f>
        <v>120</v>
      </c>
      <c r="U25" s="34">
        <f t="shared" si="17"/>
        <v>21</v>
      </c>
      <c r="V25" s="34">
        <f t="shared" si="17"/>
        <v>21</v>
      </c>
      <c r="W25" s="34">
        <f t="shared" si="17"/>
        <v>2</v>
      </c>
      <c r="X25" s="34">
        <f t="shared" si="17"/>
        <v>0</v>
      </c>
      <c r="Y25" s="34">
        <f t="shared" si="17"/>
        <v>0</v>
      </c>
      <c r="Z25" s="34">
        <f t="shared" si="17"/>
        <v>2</v>
      </c>
      <c r="AA25" s="34">
        <f t="shared" si="17"/>
        <v>1</v>
      </c>
      <c r="AB25" s="34">
        <f t="shared" si="17"/>
        <v>2</v>
      </c>
      <c r="AC25" s="34">
        <f t="shared" si="17"/>
        <v>156</v>
      </c>
      <c r="AD25" s="34">
        <f t="shared" si="17"/>
        <v>0</v>
      </c>
      <c r="AE25" s="31">
        <f t="shared" si="17"/>
        <v>223</v>
      </c>
      <c r="AF25" s="31">
        <f t="shared" si="17"/>
        <v>379</v>
      </c>
    </row>
    <row r="26" spans="2:32" ht="23.1" customHeight="1" x14ac:dyDescent="0.25">
      <c r="B26" s="45" t="s">
        <v>53</v>
      </c>
      <c r="C26" s="50">
        <v>38</v>
      </c>
      <c r="D26" s="50">
        <v>36</v>
      </c>
      <c r="E26" s="50">
        <v>6</v>
      </c>
      <c r="F26" s="50">
        <v>7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80</v>
      </c>
      <c r="N26" s="50">
        <v>0</v>
      </c>
      <c r="O26" s="15">
        <f t="shared" si="0"/>
        <v>88</v>
      </c>
      <c r="P26" s="15">
        <f t="shared" si="1"/>
        <v>168</v>
      </c>
      <c r="R26" s="36" t="s">
        <v>150</v>
      </c>
      <c r="S26" s="34">
        <f>SUM(C74:C77)</f>
        <v>30</v>
      </c>
      <c r="T26" s="34">
        <f t="shared" ref="T26:AF26" si="18">SUM(D74:D77)</f>
        <v>86</v>
      </c>
      <c r="U26" s="34">
        <f t="shared" si="18"/>
        <v>9</v>
      </c>
      <c r="V26" s="34">
        <f t="shared" si="18"/>
        <v>8</v>
      </c>
      <c r="W26" s="34">
        <f t="shared" si="18"/>
        <v>0</v>
      </c>
      <c r="X26" s="34">
        <f t="shared" si="18"/>
        <v>0</v>
      </c>
      <c r="Y26" s="34">
        <f t="shared" si="18"/>
        <v>2</v>
      </c>
      <c r="Z26" s="34">
        <f t="shared" si="18"/>
        <v>1</v>
      </c>
      <c r="AA26" s="34">
        <f t="shared" si="18"/>
        <v>0</v>
      </c>
      <c r="AB26" s="34">
        <f t="shared" si="18"/>
        <v>0</v>
      </c>
      <c r="AC26" s="34">
        <f t="shared" si="18"/>
        <v>94</v>
      </c>
      <c r="AD26" s="34">
        <f t="shared" si="18"/>
        <v>0</v>
      </c>
      <c r="AE26" s="31">
        <f t="shared" si="18"/>
        <v>136</v>
      </c>
      <c r="AF26" s="31">
        <f t="shared" si="18"/>
        <v>230</v>
      </c>
    </row>
    <row r="27" spans="2:32" ht="23.1" customHeight="1" x14ac:dyDescent="0.25">
      <c r="B27" s="45" t="s">
        <v>54</v>
      </c>
      <c r="C27" s="50">
        <v>34</v>
      </c>
      <c r="D27" s="50">
        <v>37</v>
      </c>
      <c r="E27" s="50">
        <v>8</v>
      </c>
      <c r="F27" s="50">
        <v>5</v>
      </c>
      <c r="G27" s="50">
        <v>1</v>
      </c>
      <c r="H27" s="50">
        <v>0</v>
      </c>
      <c r="I27" s="50">
        <v>2</v>
      </c>
      <c r="J27" s="50">
        <v>3</v>
      </c>
      <c r="K27" s="50">
        <v>0</v>
      </c>
      <c r="L27" s="50">
        <v>0</v>
      </c>
      <c r="M27" s="50">
        <v>76</v>
      </c>
      <c r="N27" s="50">
        <v>0</v>
      </c>
      <c r="O27" s="15">
        <f t="shared" si="0"/>
        <v>90</v>
      </c>
      <c r="P27" s="15">
        <f t="shared" si="1"/>
        <v>166</v>
      </c>
      <c r="R27" s="36" t="s">
        <v>151</v>
      </c>
      <c r="S27" s="34">
        <f>SUM(C78:C81)</f>
        <v>26</v>
      </c>
      <c r="T27" s="34">
        <f t="shared" ref="T27:AF27" si="19">SUM(D78:D81)</f>
        <v>38</v>
      </c>
      <c r="U27" s="34">
        <f t="shared" si="19"/>
        <v>2</v>
      </c>
      <c r="V27" s="34">
        <f t="shared" si="19"/>
        <v>4</v>
      </c>
      <c r="W27" s="34">
        <f t="shared" si="19"/>
        <v>0</v>
      </c>
      <c r="X27" s="34">
        <f t="shared" si="19"/>
        <v>0</v>
      </c>
      <c r="Y27" s="34">
        <f t="shared" si="19"/>
        <v>3</v>
      </c>
      <c r="Z27" s="34">
        <f t="shared" si="19"/>
        <v>1</v>
      </c>
      <c r="AA27" s="34">
        <f t="shared" si="19"/>
        <v>0</v>
      </c>
      <c r="AB27" s="34">
        <f t="shared" si="19"/>
        <v>0</v>
      </c>
      <c r="AC27" s="34">
        <f t="shared" si="19"/>
        <v>39</v>
      </c>
      <c r="AD27" s="34">
        <f t="shared" si="19"/>
        <v>0</v>
      </c>
      <c r="AE27" s="31">
        <f t="shared" si="19"/>
        <v>74</v>
      </c>
      <c r="AF27" s="31">
        <f t="shared" si="19"/>
        <v>113</v>
      </c>
    </row>
    <row r="28" spans="2:32" ht="23.1" customHeight="1" x14ac:dyDescent="0.25">
      <c r="B28" s="45" t="s">
        <v>55</v>
      </c>
      <c r="C28" s="50">
        <v>47</v>
      </c>
      <c r="D28" s="50">
        <v>45</v>
      </c>
      <c r="E28" s="50">
        <v>6</v>
      </c>
      <c r="F28" s="50">
        <v>4</v>
      </c>
      <c r="G28" s="50">
        <v>0</v>
      </c>
      <c r="H28" s="50">
        <v>0</v>
      </c>
      <c r="I28" s="50">
        <v>0</v>
      </c>
      <c r="J28" s="50">
        <v>4</v>
      </c>
      <c r="K28" s="50">
        <v>0</v>
      </c>
      <c r="L28" s="50">
        <v>0</v>
      </c>
      <c r="M28" s="50">
        <v>93</v>
      </c>
      <c r="N28" s="50">
        <v>0</v>
      </c>
      <c r="O28" s="15">
        <f t="shared" si="0"/>
        <v>106</v>
      </c>
      <c r="P28" s="15">
        <f t="shared" si="1"/>
        <v>199</v>
      </c>
      <c r="R28" s="36" t="s">
        <v>152</v>
      </c>
      <c r="S28" s="34">
        <f>SUM(C82:C85)</f>
        <v>29</v>
      </c>
      <c r="T28" s="34">
        <f t="shared" ref="T28:AF28" si="20">SUM(D82:D85)</f>
        <v>27</v>
      </c>
      <c r="U28" s="34">
        <f t="shared" si="20"/>
        <v>7</v>
      </c>
      <c r="V28" s="34">
        <f t="shared" si="20"/>
        <v>2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1</v>
      </c>
      <c r="AA28" s="34">
        <f t="shared" si="20"/>
        <v>2</v>
      </c>
      <c r="AB28" s="34">
        <f t="shared" si="20"/>
        <v>0</v>
      </c>
      <c r="AC28" s="34">
        <f t="shared" si="20"/>
        <v>24</v>
      </c>
      <c r="AD28" s="34">
        <f t="shared" si="20"/>
        <v>0</v>
      </c>
      <c r="AE28" s="31">
        <f t="shared" si="20"/>
        <v>69</v>
      </c>
      <c r="AF28" s="31">
        <f t="shared" si="20"/>
        <v>93</v>
      </c>
    </row>
    <row r="29" spans="2:32" ht="23.1" customHeight="1" x14ac:dyDescent="0.25">
      <c r="B29" s="45" t="s">
        <v>56</v>
      </c>
      <c r="C29" s="50">
        <v>31</v>
      </c>
      <c r="D29" s="50">
        <v>33</v>
      </c>
      <c r="E29" s="50">
        <v>6</v>
      </c>
      <c r="F29" s="50">
        <v>5</v>
      </c>
      <c r="G29" s="50">
        <v>2</v>
      </c>
      <c r="H29" s="50">
        <v>0</v>
      </c>
      <c r="I29" s="50">
        <v>1</v>
      </c>
      <c r="J29" s="50">
        <v>4</v>
      </c>
      <c r="K29" s="50">
        <v>0</v>
      </c>
      <c r="L29" s="50">
        <v>0</v>
      </c>
      <c r="M29" s="50">
        <v>98</v>
      </c>
      <c r="N29" s="50">
        <v>0</v>
      </c>
      <c r="O29" s="15">
        <f t="shared" si="0"/>
        <v>82</v>
      </c>
      <c r="P29" s="15">
        <f t="shared" si="1"/>
        <v>180</v>
      </c>
      <c r="R29" s="36" t="s">
        <v>153</v>
      </c>
      <c r="S29" s="34">
        <f>SUM(C86:C89)</f>
        <v>11</v>
      </c>
      <c r="T29" s="34">
        <f t="shared" ref="T29:AF29" si="21">SUM(D86:D89)</f>
        <v>17</v>
      </c>
      <c r="U29" s="34">
        <f t="shared" si="21"/>
        <v>3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1</v>
      </c>
      <c r="AA29" s="34">
        <f t="shared" si="21"/>
        <v>1</v>
      </c>
      <c r="AB29" s="34">
        <f t="shared" si="21"/>
        <v>1</v>
      </c>
      <c r="AC29" s="34">
        <f t="shared" si="21"/>
        <v>13</v>
      </c>
      <c r="AD29" s="34">
        <f t="shared" si="21"/>
        <v>0</v>
      </c>
      <c r="AE29" s="31">
        <f t="shared" si="21"/>
        <v>34</v>
      </c>
      <c r="AF29" s="31">
        <f t="shared" si="21"/>
        <v>47</v>
      </c>
    </row>
    <row r="30" spans="2:32" ht="23.1" customHeight="1" x14ac:dyDescent="0.25">
      <c r="B30" s="45" t="s">
        <v>57</v>
      </c>
      <c r="C30" s="50">
        <v>35</v>
      </c>
      <c r="D30" s="50">
        <v>30</v>
      </c>
      <c r="E30" s="50">
        <v>3</v>
      </c>
      <c r="F30" s="50">
        <v>7</v>
      </c>
      <c r="G30" s="50">
        <v>0</v>
      </c>
      <c r="H30" s="50">
        <v>0</v>
      </c>
      <c r="I30" s="50">
        <v>1</v>
      </c>
      <c r="J30" s="50">
        <v>3</v>
      </c>
      <c r="K30" s="50">
        <v>0</v>
      </c>
      <c r="L30" s="50">
        <v>0</v>
      </c>
      <c r="M30" s="50">
        <v>113</v>
      </c>
      <c r="N30" s="50">
        <v>0</v>
      </c>
      <c r="O30" s="15">
        <f t="shared" si="0"/>
        <v>79</v>
      </c>
      <c r="P30" s="15">
        <f t="shared" si="1"/>
        <v>192</v>
      </c>
      <c r="R30" s="36" t="s">
        <v>154</v>
      </c>
      <c r="S30" s="34">
        <f>SUM(C90:C93)</f>
        <v>8</v>
      </c>
      <c r="T30" s="34">
        <f t="shared" ref="T30:AF30" si="22">SUM(D90:D93)</f>
        <v>3</v>
      </c>
      <c r="U30" s="34">
        <f t="shared" si="22"/>
        <v>1</v>
      </c>
      <c r="V30" s="34">
        <f t="shared" si="22"/>
        <v>2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1</v>
      </c>
      <c r="AA30" s="34">
        <f t="shared" si="22"/>
        <v>0</v>
      </c>
      <c r="AB30" s="34">
        <f t="shared" si="22"/>
        <v>0</v>
      </c>
      <c r="AC30" s="34">
        <f t="shared" si="22"/>
        <v>4</v>
      </c>
      <c r="AD30" s="34">
        <f t="shared" si="22"/>
        <v>0</v>
      </c>
      <c r="AE30" s="31">
        <f t="shared" si="22"/>
        <v>16</v>
      </c>
      <c r="AF30" s="31">
        <f t="shared" si="22"/>
        <v>20</v>
      </c>
    </row>
    <row r="31" spans="2:32" ht="23.1" customHeight="1" x14ac:dyDescent="0.25">
      <c r="B31" s="46" t="s">
        <v>58</v>
      </c>
      <c r="C31" s="50">
        <v>65</v>
      </c>
      <c r="D31" s="50">
        <v>47</v>
      </c>
      <c r="E31" s="50">
        <v>4</v>
      </c>
      <c r="F31" s="50">
        <v>6</v>
      </c>
      <c r="G31" s="50">
        <v>0</v>
      </c>
      <c r="H31" s="50">
        <v>0</v>
      </c>
      <c r="I31" s="50">
        <v>5</v>
      </c>
      <c r="J31" s="50">
        <v>0</v>
      </c>
      <c r="K31" s="50">
        <v>0</v>
      </c>
      <c r="L31" s="50">
        <v>0</v>
      </c>
      <c r="M31" s="50">
        <v>64</v>
      </c>
      <c r="N31" s="50">
        <v>0</v>
      </c>
      <c r="O31" s="15">
        <f t="shared" si="0"/>
        <v>127</v>
      </c>
      <c r="P31" s="15">
        <f t="shared" si="1"/>
        <v>191</v>
      </c>
      <c r="R31" s="36" t="s">
        <v>155</v>
      </c>
      <c r="S31" s="34">
        <f>SUM(C94:C97)</f>
        <v>14</v>
      </c>
      <c r="T31" s="34">
        <f t="shared" ref="T31:AF31" si="23">SUM(D94:D97)</f>
        <v>6</v>
      </c>
      <c r="U31" s="34">
        <f t="shared" si="23"/>
        <v>2</v>
      </c>
      <c r="V31" s="34">
        <f t="shared" si="23"/>
        <v>3</v>
      </c>
      <c r="W31" s="34">
        <f t="shared" si="23"/>
        <v>1</v>
      </c>
      <c r="X31" s="34">
        <f t="shared" si="23"/>
        <v>0</v>
      </c>
      <c r="Y31" s="34">
        <f t="shared" si="23"/>
        <v>1</v>
      </c>
      <c r="Z31" s="34">
        <f t="shared" si="23"/>
        <v>1</v>
      </c>
      <c r="AA31" s="34">
        <f t="shared" si="23"/>
        <v>0</v>
      </c>
      <c r="AB31" s="34">
        <f t="shared" si="23"/>
        <v>0</v>
      </c>
      <c r="AC31" s="34">
        <f t="shared" si="23"/>
        <v>7</v>
      </c>
      <c r="AD31" s="34">
        <f t="shared" si="23"/>
        <v>0</v>
      </c>
      <c r="AE31" s="31">
        <f t="shared" si="23"/>
        <v>28</v>
      </c>
      <c r="AF31" s="31">
        <f t="shared" si="23"/>
        <v>35</v>
      </c>
    </row>
    <row r="32" spans="2:32" ht="23.1" customHeight="1" x14ac:dyDescent="0.25">
      <c r="B32" s="46" t="s">
        <v>59</v>
      </c>
      <c r="C32" s="50">
        <v>37</v>
      </c>
      <c r="D32" s="50">
        <v>16</v>
      </c>
      <c r="E32" s="50">
        <v>3</v>
      </c>
      <c r="F32" s="50">
        <v>8</v>
      </c>
      <c r="G32" s="50">
        <v>1</v>
      </c>
      <c r="H32" s="50">
        <v>2</v>
      </c>
      <c r="I32" s="50">
        <v>0</v>
      </c>
      <c r="J32" s="50">
        <v>2</v>
      </c>
      <c r="K32" s="50">
        <v>0</v>
      </c>
      <c r="L32" s="50">
        <v>0</v>
      </c>
      <c r="M32" s="50">
        <v>89</v>
      </c>
      <c r="N32" s="50">
        <v>0</v>
      </c>
      <c r="O32" s="15">
        <f t="shared" si="0"/>
        <v>69</v>
      </c>
      <c r="P32" s="15">
        <f t="shared" si="1"/>
        <v>158</v>
      </c>
      <c r="R32" s="33" t="s">
        <v>156</v>
      </c>
      <c r="S32" s="34">
        <f>SUM(C98:C101)</f>
        <v>22</v>
      </c>
      <c r="T32" s="34">
        <f t="shared" ref="T32:AF32" si="24">SUM(D98:D101)</f>
        <v>77</v>
      </c>
      <c r="U32" s="34">
        <f t="shared" si="24"/>
        <v>6</v>
      </c>
      <c r="V32" s="34">
        <f t="shared" si="24"/>
        <v>12</v>
      </c>
      <c r="W32" s="34">
        <f t="shared" si="24"/>
        <v>4</v>
      </c>
      <c r="X32" s="34">
        <f t="shared" si="24"/>
        <v>0</v>
      </c>
      <c r="Y32" s="34">
        <f t="shared" si="24"/>
        <v>2</v>
      </c>
      <c r="Z32" s="34">
        <f t="shared" si="24"/>
        <v>1</v>
      </c>
      <c r="AA32" s="34">
        <f t="shared" si="24"/>
        <v>1</v>
      </c>
      <c r="AB32" s="34">
        <f t="shared" si="24"/>
        <v>0</v>
      </c>
      <c r="AC32" s="34">
        <f t="shared" si="24"/>
        <v>16</v>
      </c>
      <c r="AD32" s="34">
        <f t="shared" si="24"/>
        <v>0</v>
      </c>
      <c r="AE32" s="31">
        <f t="shared" si="24"/>
        <v>125</v>
      </c>
      <c r="AF32" s="31">
        <f t="shared" si="24"/>
        <v>141</v>
      </c>
    </row>
    <row r="33" spans="2:32" ht="23.1" customHeight="1" x14ac:dyDescent="0.25">
      <c r="B33" s="45" t="s">
        <v>60</v>
      </c>
      <c r="C33" s="50">
        <v>48</v>
      </c>
      <c r="D33" s="50">
        <v>33</v>
      </c>
      <c r="E33" s="50">
        <v>6</v>
      </c>
      <c r="F33" s="50">
        <v>3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73</v>
      </c>
      <c r="N33" s="50">
        <v>0</v>
      </c>
      <c r="O33" s="15">
        <f t="shared" si="0"/>
        <v>90</v>
      </c>
      <c r="P33" s="15">
        <f t="shared" si="1"/>
        <v>163</v>
      </c>
      <c r="R33" s="33" t="s">
        <v>157</v>
      </c>
      <c r="S33" s="34">
        <f>SUM(C102:C105)</f>
        <v>227</v>
      </c>
      <c r="T33" s="34">
        <f t="shared" ref="T33:AF33" si="25">SUM(D102:D105)</f>
        <v>549</v>
      </c>
      <c r="U33" s="34">
        <f t="shared" si="25"/>
        <v>40</v>
      </c>
      <c r="V33" s="34">
        <f t="shared" si="25"/>
        <v>27</v>
      </c>
      <c r="W33" s="34">
        <f t="shared" si="25"/>
        <v>4</v>
      </c>
      <c r="X33" s="34">
        <f t="shared" si="25"/>
        <v>1</v>
      </c>
      <c r="Y33" s="34">
        <f t="shared" si="25"/>
        <v>1</v>
      </c>
      <c r="Z33" s="34">
        <f t="shared" si="25"/>
        <v>4</v>
      </c>
      <c r="AA33" s="34">
        <f t="shared" si="25"/>
        <v>1</v>
      </c>
      <c r="AB33" s="34">
        <f t="shared" si="25"/>
        <v>0</v>
      </c>
      <c r="AC33" s="34">
        <f t="shared" si="25"/>
        <v>50</v>
      </c>
      <c r="AD33" s="34">
        <f t="shared" si="25"/>
        <v>0</v>
      </c>
      <c r="AE33" s="31">
        <f t="shared" si="25"/>
        <v>854</v>
      </c>
      <c r="AF33" s="31">
        <f t="shared" si="25"/>
        <v>904</v>
      </c>
    </row>
    <row r="34" spans="2:32" ht="23.1" customHeight="1" x14ac:dyDescent="0.25">
      <c r="B34" s="46" t="s">
        <v>61</v>
      </c>
      <c r="C34" s="50">
        <v>38</v>
      </c>
      <c r="D34" s="50">
        <v>33</v>
      </c>
      <c r="E34" s="50">
        <v>10</v>
      </c>
      <c r="F34" s="50">
        <v>6</v>
      </c>
      <c r="G34" s="50">
        <v>1</v>
      </c>
      <c r="H34" s="50">
        <v>1</v>
      </c>
      <c r="I34" s="50">
        <v>4</v>
      </c>
      <c r="J34" s="50">
        <v>2</v>
      </c>
      <c r="K34" s="50">
        <v>0</v>
      </c>
      <c r="L34" s="50">
        <v>0</v>
      </c>
      <c r="M34" s="50">
        <v>27</v>
      </c>
      <c r="N34" s="50">
        <v>0</v>
      </c>
      <c r="O34" s="15">
        <f t="shared" si="0"/>
        <v>95</v>
      </c>
      <c r="P34" s="15">
        <f t="shared" si="1"/>
        <v>122</v>
      </c>
      <c r="R34" s="38" t="s">
        <v>90</v>
      </c>
      <c r="S34" s="39">
        <f t="shared" ref="S34:AF34" si="26">MAX(S10:S12)</f>
        <v>408</v>
      </c>
      <c r="T34" s="39">
        <f t="shared" si="26"/>
        <v>297</v>
      </c>
      <c r="U34" s="39">
        <f t="shared" si="26"/>
        <v>51</v>
      </c>
      <c r="V34" s="39">
        <f t="shared" si="26"/>
        <v>41</v>
      </c>
      <c r="W34" s="39">
        <f t="shared" si="26"/>
        <v>9</v>
      </c>
      <c r="X34" s="39">
        <f t="shared" si="26"/>
        <v>0</v>
      </c>
      <c r="Y34" s="39">
        <f t="shared" si="26"/>
        <v>11</v>
      </c>
      <c r="Z34" s="39">
        <f t="shared" si="26"/>
        <v>11</v>
      </c>
      <c r="AA34" s="39">
        <f t="shared" si="26"/>
        <v>3</v>
      </c>
      <c r="AB34" s="39">
        <f t="shared" si="26"/>
        <v>2</v>
      </c>
      <c r="AC34" s="39">
        <f t="shared" si="26"/>
        <v>412</v>
      </c>
      <c r="AD34" s="39">
        <f t="shared" si="26"/>
        <v>0</v>
      </c>
      <c r="AE34" s="40">
        <f t="shared" si="26"/>
        <v>796</v>
      </c>
      <c r="AF34" s="40">
        <f t="shared" si="26"/>
        <v>1208</v>
      </c>
    </row>
    <row r="35" spans="2:32" ht="23.1" customHeight="1" x14ac:dyDescent="0.25">
      <c r="B35" s="46" t="s">
        <v>62</v>
      </c>
      <c r="C35" s="50">
        <v>46</v>
      </c>
      <c r="D35" s="50">
        <v>32</v>
      </c>
      <c r="E35" s="50">
        <v>6</v>
      </c>
      <c r="F35" s="50">
        <v>6</v>
      </c>
      <c r="G35" s="50">
        <v>1</v>
      </c>
      <c r="H35" s="50">
        <v>0</v>
      </c>
      <c r="I35" s="50">
        <v>5</v>
      </c>
      <c r="J35" s="50">
        <v>0</v>
      </c>
      <c r="K35" s="50">
        <v>0</v>
      </c>
      <c r="L35" s="50">
        <v>0</v>
      </c>
      <c r="M35" s="50">
        <v>42</v>
      </c>
      <c r="N35" s="50">
        <v>0</v>
      </c>
      <c r="O35" s="15">
        <f t="shared" si="0"/>
        <v>96</v>
      </c>
      <c r="P35" s="15">
        <f t="shared" si="1"/>
        <v>138</v>
      </c>
      <c r="R35" s="38" t="s">
        <v>91</v>
      </c>
      <c r="S35" s="39">
        <f t="shared" ref="S35:AF35" si="27">MAX(S13:S18)</f>
        <v>255</v>
      </c>
      <c r="T35" s="39">
        <f t="shared" si="27"/>
        <v>190</v>
      </c>
      <c r="U35" s="39">
        <f t="shared" si="27"/>
        <v>48</v>
      </c>
      <c r="V35" s="39">
        <f t="shared" si="27"/>
        <v>39</v>
      </c>
      <c r="W35" s="39">
        <f t="shared" si="27"/>
        <v>7</v>
      </c>
      <c r="X35" s="39">
        <f t="shared" si="27"/>
        <v>2</v>
      </c>
      <c r="Y35" s="39">
        <f t="shared" si="27"/>
        <v>27</v>
      </c>
      <c r="Z35" s="39">
        <f t="shared" si="27"/>
        <v>12</v>
      </c>
      <c r="AA35" s="39">
        <f t="shared" si="27"/>
        <v>4</v>
      </c>
      <c r="AB35" s="39">
        <f t="shared" si="27"/>
        <v>2</v>
      </c>
      <c r="AC35" s="39">
        <f t="shared" si="27"/>
        <v>385</v>
      </c>
      <c r="AD35" s="39">
        <f t="shared" si="27"/>
        <v>0</v>
      </c>
      <c r="AE35" s="40">
        <f t="shared" si="27"/>
        <v>538</v>
      </c>
      <c r="AF35" s="40">
        <f t="shared" si="27"/>
        <v>923</v>
      </c>
    </row>
    <row r="36" spans="2:32" ht="23.1" customHeight="1" x14ac:dyDescent="0.25">
      <c r="B36" s="46" t="s">
        <v>63</v>
      </c>
      <c r="C36" s="50">
        <v>70</v>
      </c>
      <c r="D36" s="50">
        <v>43</v>
      </c>
      <c r="E36" s="50">
        <v>27</v>
      </c>
      <c r="F36" s="50">
        <v>9</v>
      </c>
      <c r="G36" s="50">
        <v>2</v>
      </c>
      <c r="H36" s="50">
        <v>0</v>
      </c>
      <c r="I36" s="50">
        <v>10</v>
      </c>
      <c r="J36" s="50">
        <v>1</v>
      </c>
      <c r="K36" s="50">
        <v>0</v>
      </c>
      <c r="L36" s="50">
        <v>0</v>
      </c>
      <c r="M36" s="50">
        <v>52</v>
      </c>
      <c r="N36" s="50">
        <v>0</v>
      </c>
      <c r="O36" s="15">
        <f t="shared" si="0"/>
        <v>162</v>
      </c>
      <c r="P36" s="15">
        <f t="shared" si="1"/>
        <v>214</v>
      </c>
      <c r="R36" s="38" t="s">
        <v>92</v>
      </c>
      <c r="S36" s="39">
        <f t="shared" ref="S36:AF36" si="28">MAX(S19:S21)</f>
        <v>258</v>
      </c>
      <c r="T36" s="39">
        <f t="shared" si="28"/>
        <v>195</v>
      </c>
      <c r="U36" s="39">
        <f t="shared" si="28"/>
        <v>29</v>
      </c>
      <c r="V36" s="39">
        <f t="shared" si="28"/>
        <v>44</v>
      </c>
      <c r="W36" s="39">
        <f t="shared" si="28"/>
        <v>12</v>
      </c>
      <c r="X36" s="39">
        <f t="shared" si="28"/>
        <v>1</v>
      </c>
      <c r="Y36" s="39">
        <f t="shared" si="28"/>
        <v>11</v>
      </c>
      <c r="Z36" s="39">
        <f t="shared" si="28"/>
        <v>5</v>
      </c>
      <c r="AA36" s="39">
        <f t="shared" si="28"/>
        <v>1</v>
      </c>
      <c r="AB36" s="39">
        <f t="shared" si="28"/>
        <v>2</v>
      </c>
      <c r="AC36" s="39">
        <f t="shared" si="28"/>
        <v>437</v>
      </c>
      <c r="AD36" s="39">
        <f t="shared" si="28"/>
        <v>0</v>
      </c>
      <c r="AE36" s="40">
        <f t="shared" si="28"/>
        <v>531</v>
      </c>
      <c r="AF36" s="40">
        <f t="shared" si="28"/>
        <v>906</v>
      </c>
    </row>
    <row r="37" spans="2:32" ht="23.1" customHeight="1" x14ac:dyDescent="0.25">
      <c r="B37" s="45" t="s">
        <v>64</v>
      </c>
      <c r="C37" s="50">
        <v>61</v>
      </c>
      <c r="D37" s="50">
        <v>34</v>
      </c>
      <c r="E37" s="50">
        <v>5</v>
      </c>
      <c r="F37" s="50">
        <v>7</v>
      </c>
      <c r="G37" s="50">
        <v>1</v>
      </c>
      <c r="H37" s="50">
        <v>0</v>
      </c>
      <c r="I37" s="50">
        <v>8</v>
      </c>
      <c r="J37" s="50">
        <v>2</v>
      </c>
      <c r="K37" s="50">
        <v>1</v>
      </c>
      <c r="L37" s="50">
        <v>0</v>
      </c>
      <c r="M37" s="50">
        <v>71</v>
      </c>
      <c r="N37" s="50">
        <v>0</v>
      </c>
      <c r="O37" s="15">
        <f t="shared" si="0"/>
        <v>119</v>
      </c>
      <c r="P37" s="15">
        <f t="shared" si="1"/>
        <v>190</v>
      </c>
      <c r="R37" s="37" t="s">
        <v>85</v>
      </c>
      <c r="S37" s="35">
        <f t="shared" ref="S37:AF37" si="29">SUM(S10:S12)</f>
        <v>1097</v>
      </c>
      <c r="T37" s="16">
        <f t="shared" si="29"/>
        <v>759</v>
      </c>
      <c r="U37" s="16">
        <f t="shared" si="29"/>
        <v>143</v>
      </c>
      <c r="V37" s="16">
        <f t="shared" si="29"/>
        <v>87</v>
      </c>
      <c r="W37" s="16">
        <f t="shared" si="29"/>
        <v>12</v>
      </c>
      <c r="X37" s="16">
        <f t="shared" si="29"/>
        <v>0</v>
      </c>
      <c r="Y37" s="16">
        <f t="shared" si="29"/>
        <v>21</v>
      </c>
      <c r="Z37" s="16">
        <f t="shared" si="29"/>
        <v>24</v>
      </c>
      <c r="AA37" s="16">
        <f t="shared" si="29"/>
        <v>4</v>
      </c>
      <c r="AB37" s="16">
        <f t="shared" si="29"/>
        <v>3</v>
      </c>
      <c r="AC37" s="16">
        <f t="shared" si="29"/>
        <v>1189</v>
      </c>
      <c r="AD37" s="16">
        <f t="shared" si="29"/>
        <v>0</v>
      </c>
      <c r="AE37" s="32">
        <f t="shared" si="29"/>
        <v>2150</v>
      </c>
      <c r="AF37" s="32">
        <f t="shared" si="29"/>
        <v>3339</v>
      </c>
    </row>
    <row r="38" spans="2:32" ht="23.1" customHeight="1" x14ac:dyDescent="0.25">
      <c r="B38" s="46" t="s">
        <v>65</v>
      </c>
      <c r="C38" s="50">
        <v>31</v>
      </c>
      <c r="D38" s="50">
        <v>25</v>
      </c>
      <c r="E38" s="50">
        <v>6</v>
      </c>
      <c r="F38" s="50">
        <v>16</v>
      </c>
      <c r="G38" s="50">
        <v>1</v>
      </c>
      <c r="H38" s="50">
        <v>1</v>
      </c>
      <c r="I38" s="50">
        <v>5</v>
      </c>
      <c r="J38" s="50">
        <v>4</v>
      </c>
      <c r="K38" s="50">
        <v>3</v>
      </c>
      <c r="L38" s="50">
        <v>0</v>
      </c>
      <c r="M38" s="50">
        <v>61</v>
      </c>
      <c r="N38" s="50">
        <v>0</v>
      </c>
      <c r="O38" s="15">
        <f t="shared" si="0"/>
        <v>92</v>
      </c>
      <c r="P38" s="15">
        <f t="shared" si="1"/>
        <v>153</v>
      </c>
      <c r="R38" s="28" t="s">
        <v>86</v>
      </c>
      <c r="S38" s="16">
        <f t="shared" ref="S38:AF38" si="30">SUM(S13:S18)</f>
        <v>1076</v>
      </c>
      <c r="T38" s="16">
        <f t="shared" si="30"/>
        <v>820</v>
      </c>
      <c r="U38" s="16">
        <f t="shared" si="30"/>
        <v>166</v>
      </c>
      <c r="V38" s="16">
        <f t="shared" si="30"/>
        <v>167</v>
      </c>
      <c r="W38" s="16">
        <f t="shared" si="30"/>
        <v>20</v>
      </c>
      <c r="X38" s="16">
        <f t="shared" si="30"/>
        <v>4</v>
      </c>
      <c r="Y38" s="16">
        <f t="shared" si="30"/>
        <v>75</v>
      </c>
      <c r="Z38" s="16">
        <f t="shared" si="30"/>
        <v>55</v>
      </c>
      <c r="AA38" s="16">
        <f t="shared" si="30"/>
        <v>7</v>
      </c>
      <c r="AB38" s="16">
        <f t="shared" si="30"/>
        <v>2</v>
      </c>
      <c r="AC38" s="16">
        <f t="shared" si="30"/>
        <v>1834</v>
      </c>
      <c r="AD38" s="16">
        <f t="shared" si="30"/>
        <v>0</v>
      </c>
      <c r="AE38" s="32">
        <f t="shared" si="30"/>
        <v>2392</v>
      </c>
      <c r="AF38" s="32">
        <f t="shared" si="30"/>
        <v>4226</v>
      </c>
    </row>
    <row r="39" spans="2:32" ht="23.1" customHeight="1" x14ac:dyDescent="0.25">
      <c r="B39" s="46" t="s">
        <v>66</v>
      </c>
      <c r="C39" s="50">
        <v>32</v>
      </c>
      <c r="D39" s="50">
        <v>32</v>
      </c>
      <c r="E39" s="50">
        <v>5</v>
      </c>
      <c r="F39" s="50">
        <v>3</v>
      </c>
      <c r="G39" s="50">
        <v>1</v>
      </c>
      <c r="H39" s="50">
        <v>0</v>
      </c>
      <c r="I39" s="50">
        <v>4</v>
      </c>
      <c r="J39" s="50">
        <v>2</v>
      </c>
      <c r="K39" s="50">
        <v>1</v>
      </c>
      <c r="L39" s="50">
        <v>0</v>
      </c>
      <c r="M39" s="50">
        <v>68</v>
      </c>
      <c r="N39" s="50">
        <v>0</v>
      </c>
      <c r="O39" s="15">
        <f t="shared" si="0"/>
        <v>80</v>
      </c>
      <c r="P39" s="15">
        <f t="shared" si="1"/>
        <v>148</v>
      </c>
      <c r="R39" s="29" t="s">
        <v>87</v>
      </c>
      <c r="S39" s="16">
        <f t="shared" ref="S39:AF39" si="31">SUM(S19:S21)</f>
        <v>722</v>
      </c>
      <c r="T39" s="16">
        <f t="shared" si="31"/>
        <v>497</v>
      </c>
      <c r="U39" s="16">
        <f t="shared" si="31"/>
        <v>74</v>
      </c>
      <c r="V39" s="16">
        <f t="shared" si="31"/>
        <v>108</v>
      </c>
      <c r="W39" s="16">
        <f t="shared" si="31"/>
        <v>20</v>
      </c>
      <c r="X39" s="16">
        <f t="shared" si="31"/>
        <v>2</v>
      </c>
      <c r="Y39" s="16">
        <f t="shared" si="31"/>
        <v>25</v>
      </c>
      <c r="Z39" s="16">
        <f t="shared" si="31"/>
        <v>12</v>
      </c>
      <c r="AA39" s="16">
        <f t="shared" si="31"/>
        <v>1</v>
      </c>
      <c r="AB39" s="16">
        <f t="shared" si="31"/>
        <v>2</v>
      </c>
      <c r="AC39" s="16">
        <f t="shared" si="31"/>
        <v>1048</v>
      </c>
      <c r="AD39" s="16">
        <f t="shared" si="31"/>
        <v>0</v>
      </c>
      <c r="AE39" s="32">
        <f t="shared" si="31"/>
        <v>1463</v>
      </c>
      <c r="AF39" s="32">
        <f t="shared" si="31"/>
        <v>2511</v>
      </c>
    </row>
    <row r="40" spans="2:32" ht="23.1" customHeight="1" x14ac:dyDescent="0.25">
      <c r="B40" s="46" t="s">
        <v>67</v>
      </c>
      <c r="C40" s="50">
        <v>39</v>
      </c>
      <c r="D40" s="50">
        <v>39</v>
      </c>
      <c r="E40" s="50">
        <v>9</v>
      </c>
      <c r="F40" s="50">
        <v>6</v>
      </c>
      <c r="G40" s="50">
        <v>0</v>
      </c>
      <c r="H40" s="50">
        <v>0</v>
      </c>
      <c r="I40" s="50">
        <v>3</v>
      </c>
      <c r="J40" s="50">
        <v>6</v>
      </c>
      <c r="K40" s="50">
        <v>0</v>
      </c>
      <c r="L40" s="50">
        <v>0</v>
      </c>
      <c r="M40" s="50">
        <v>76</v>
      </c>
      <c r="N40" s="50">
        <v>0</v>
      </c>
      <c r="O40" s="15">
        <f t="shared" si="0"/>
        <v>102</v>
      </c>
      <c r="P40" s="15">
        <f t="shared" si="1"/>
        <v>178</v>
      </c>
      <c r="R40" s="5" t="s">
        <v>17</v>
      </c>
      <c r="S40" s="16">
        <f t="shared" ref="S40:AF40" si="32">SUM(S10:S21)</f>
        <v>2895</v>
      </c>
      <c r="T40" s="16">
        <f t="shared" si="32"/>
        <v>2076</v>
      </c>
      <c r="U40" s="16">
        <f t="shared" si="32"/>
        <v>383</v>
      </c>
      <c r="V40" s="16">
        <f t="shared" si="32"/>
        <v>362</v>
      </c>
      <c r="W40" s="16">
        <f t="shared" si="32"/>
        <v>52</v>
      </c>
      <c r="X40" s="16">
        <f t="shared" si="32"/>
        <v>6</v>
      </c>
      <c r="Y40" s="16">
        <f t="shared" si="32"/>
        <v>121</v>
      </c>
      <c r="Z40" s="16">
        <f t="shared" si="32"/>
        <v>91</v>
      </c>
      <c r="AA40" s="16">
        <f t="shared" si="32"/>
        <v>12</v>
      </c>
      <c r="AB40" s="16">
        <f t="shared" si="32"/>
        <v>7</v>
      </c>
      <c r="AC40" s="16">
        <f t="shared" si="32"/>
        <v>4071</v>
      </c>
      <c r="AD40" s="16">
        <f t="shared" si="32"/>
        <v>0</v>
      </c>
      <c r="AE40" s="32">
        <f t="shared" si="32"/>
        <v>6005</v>
      </c>
      <c r="AF40" s="32">
        <f t="shared" si="32"/>
        <v>10076</v>
      </c>
    </row>
    <row r="41" spans="2:32" ht="23.1" customHeight="1" x14ac:dyDescent="0.25">
      <c r="B41" s="45" t="s">
        <v>68</v>
      </c>
      <c r="C41" s="50">
        <v>26</v>
      </c>
      <c r="D41" s="50">
        <v>14</v>
      </c>
      <c r="E41" s="50">
        <v>1</v>
      </c>
      <c r="F41" s="50">
        <v>4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66</v>
      </c>
      <c r="N41" s="50">
        <v>0</v>
      </c>
      <c r="O41" s="15">
        <f t="shared" si="0"/>
        <v>45</v>
      </c>
      <c r="P41" s="15">
        <f t="shared" si="1"/>
        <v>111</v>
      </c>
      <c r="R41" s="5" t="s">
        <v>159</v>
      </c>
      <c r="S41" s="16">
        <f>SUM(S10:S33)</f>
        <v>3565</v>
      </c>
      <c r="T41" s="16">
        <f t="shared" ref="T41:AF41" si="33">SUM(T10:T33)</f>
        <v>3449</v>
      </c>
      <c r="U41" s="16">
        <f t="shared" si="33"/>
        <v>549</v>
      </c>
      <c r="V41" s="16">
        <f t="shared" si="33"/>
        <v>511</v>
      </c>
      <c r="W41" s="16">
        <f t="shared" si="33"/>
        <v>66</v>
      </c>
      <c r="X41" s="16">
        <f t="shared" si="33"/>
        <v>10</v>
      </c>
      <c r="Y41" s="16">
        <f t="shared" si="33"/>
        <v>139</v>
      </c>
      <c r="Z41" s="16">
        <f t="shared" si="33"/>
        <v>112</v>
      </c>
      <c r="AA41" s="16">
        <f t="shared" si="33"/>
        <v>18</v>
      </c>
      <c r="AB41" s="16">
        <f t="shared" si="33"/>
        <v>11</v>
      </c>
      <c r="AC41" s="16">
        <f t="shared" si="33"/>
        <v>5208</v>
      </c>
      <c r="AD41" s="16">
        <f t="shared" si="33"/>
        <v>0</v>
      </c>
      <c r="AE41" s="32">
        <f t="shared" si="33"/>
        <v>8430</v>
      </c>
      <c r="AF41" s="32">
        <f t="shared" si="33"/>
        <v>13638</v>
      </c>
    </row>
    <row r="42" spans="2:32" ht="23.1" customHeight="1" x14ac:dyDescent="0.25">
      <c r="B42" s="46" t="s">
        <v>69</v>
      </c>
      <c r="C42" s="50">
        <v>26</v>
      </c>
      <c r="D42" s="50">
        <v>20</v>
      </c>
      <c r="E42" s="50">
        <v>5</v>
      </c>
      <c r="F42" s="50">
        <v>6</v>
      </c>
      <c r="G42" s="50">
        <v>1</v>
      </c>
      <c r="H42" s="50">
        <v>0</v>
      </c>
      <c r="I42" s="50">
        <v>0</v>
      </c>
      <c r="J42" s="50">
        <v>1</v>
      </c>
      <c r="K42" s="50">
        <v>0</v>
      </c>
      <c r="L42" s="50">
        <v>0</v>
      </c>
      <c r="M42" s="50">
        <v>65</v>
      </c>
      <c r="N42" s="50">
        <v>0</v>
      </c>
      <c r="O42" s="15">
        <f t="shared" si="0"/>
        <v>59</v>
      </c>
      <c r="P42" s="15">
        <f t="shared" si="1"/>
        <v>124</v>
      </c>
      <c r="R42" s="5" t="s">
        <v>160</v>
      </c>
      <c r="S42" s="48">
        <f>S41/S40</f>
        <v>1.2314335060449051</v>
      </c>
      <c r="T42" s="48">
        <f t="shared" ref="T42:AF42" si="34">T41/T40</f>
        <v>1.6613680154142583</v>
      </c>
      <c r="U42" s="48">
        <f t="shared" si="34"/>
        <v>1.433420365535248</v>
      </c>
      <c r="V42" s="48">
        <f t="shared" si="34"/>
        <v>1.4116022099447514</v>
      </c>
      <c r="W42" s="48">
        <f t="shared" si="34"/>
        <v>1.2692307692307692</v>
      </c>
      <c r="X42" s="48">
        <f t="shared" si="34"/>
        <v>1.6666666666666667</v>
      </c>
      <c r="Y42" s="48">
        <f t="shared" si="34"/>
        <v>1.1487603305785123</v>
      </c>
      <c r="Z42" s="48">
        <f t="shared" si="34"/>
        <v>1.2307692307692308</v>
      </c>
      <c r="AA42" s="48">
        <f t="shared" si="34"/>
        <v>1.5</v>
      </c>
      <c r="AB42" s="48">
        <f t="shared" si="34"/>
        <v>1.5714285714285714</v>
      </c>
      <c r="AC42" s="48">
        <f t="shared" si="34"/>
        <v>1.2792925571112748</v>
      </c>
      <c r="AD42" s="48" t="e">
        <f t="shared" si="34"/>
        <v>#DIV/0!</v>
      </c>
      <c r="AE42" s="48">
        <f t="shared" si="34"/>
        <v>1.4038301415487093</v>
      </c>
      <c r="AF42" s="48">
        <f t="shared" si="34"/>
        <v>1.353513298928146</v>
      </c>
    </row>
    <row r="43" spans="2:32" ht="23.1" customHeight="1" x14ac:dyDescent="0.25">
      <c r="B43" s="45" t="s">
        <v>70</v>
      </c>
      <c r="C43" s="50">
        <v>35</v>
      </c>
      <c r="D43" s="50">
        <v>22</v>
      </c>
      <c r="E43" s="50">
        <v>7</v>
      </c>
      <c r="F43" s="50">
        <v>11</v>
      </c>
      <c r="G43" s="50">
        <v>0</v>
      </c>
      <c r="H43" s="50">
        <v>0</v>
      </c>
      <c r="I43" s="50">
        <v>3</v>
      </c>
      <c r="J43" s="50">
        <v>4</v>
      </c>
      <c r="K43" s="50">
        <v>0</v>
      </c>
      <c r="L43" s="50">
        <v>0</v>
      </c>
      <c r="M43" s="50">
        <v>70</v>
      </c>
      <c r="N43" s="50">
        <v>0</v>
      </c>
      <c r="O43" s="15">
        <f t="shared" si="0"/>
        <v>82</v>
      </c>
      <c r="P43" s="15">
        <f t="shared" si="1"/>
        <v>152</v>
      </c>
    </row>
    <row r="44" spans="2:32" ht="23.1" customHeight="1" x14ac:dyDescent="0.25">
      <c r="B44" s="47" t="s">
        <v>71</v>
      </c>
      <c r="C44" s="50">
        <v>46</v>
      </c>
      <c r="D44" s="50">
        <v>22</v>
      </c>
      <c r="E44" s="50">
        <v>5</v>
      </c>
      <c r="F44" s="50">
        <v>6</v>
      </c>
      <c r="G44" s="50">
        <v>1</v>
      </c>
      <c r="H44" s="50">
        <v>0</v>
      </c>
      <c r="I44" s="50">
        <v>7</v>
      </c>
      <c r="J44" s="50">
        <v>4</v>
      </c>
      <c r="K44" s="50">
        <v>2</v>
      </c>
      <c r="L44" s="50">
        <v>0</v>
      </c>
      <c r="M44" s="50">
        <v>85</v>
      </c>
      <c r="N44" s="50">
        <v>0</v>
      </c>
      <c r="O44" s="15">
        <f t="shared" si="0"/>
        <v>93</v>
      </c>
      <c r="P44" s="15">
        <f t="shared" si="1"/>
        <v>178</v>
      </c>
    </row>
    <row r="45" spans="2:32" ht="23.1" customHeight="1" x14ac:dyDescent="0.25">
      <c r="B45" s="45" t="s">
        <v>72</v>
      </c>
      <c r="C45" s="50">
        <v>36</v>
      </c>
      <c r="D45" s="50">
        <v>37</v>
      </c>
      <c r="E45" s="50">
        <v>7</v>
      </c>
      <c r="F45" s="50">
        <v>16</v>
      </c>
      <c r="G45" s="50">
        <v>0</v>
      </c>
      <c r="H45" s="50">
        <v>0</v>
      </c>
      <c r="I45" s="50">
        <v>0</v>
      </c>
      <c r="J45" s="50">
        <v>2</v>
      </c>
      <c r="K45" s="50">
        <v>0</v>
      </c>
      <c r="L45" s="50">
        <v>0</v>
      </c>
      <c r="M45" s="50">
        <v>80</v>
      </c>
      <c r="N45" s="50">
        <v>0</v>
      </c>
      <c r="O45" s="15">
        <f t="shared" si="0"/>
        <v>98</v>
      </c>
      <c r="P45" s="15">
        <f t="shared" si="1"/>
        <v>178</v>
      </c>
    </row>
    <row r="46" spans="2:32" ht="23.1" customHeight="1" x14ac:dyDescent="0.25">
      <c r="B46" s="46" t="s">
        <v>73</v>
      </c>
      <c r="C46" s="50">
        <v>30</v>
      </c>
      <c r="D46" s="50">
        <v>20</v>
      </c>
      <c r="E46" s="50">
        <v>4</v>
      </c>
      <c r="F46" s="50">
        <v>5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64</v>
      </c>
      <c r="N46" s="50">
        <v>0</v>
      </c>
      <c r="O46" s="15">
        <f t="shared" si="0"/>
        <v>59</v>
      </c>
      <c r="P46" s="15">
        <f t="shared" si="1"/>
        <v>123</v>
      </c>
      <c r="R46" s="8"/>
      <c r="T46"/>
    </row>
    <row r="47" spans="2:32" ht="23.1" customHeight="1" x14ac:dyDescent="0.25">
      <c r="B47" s="46" t="s">
        <v>74</v>
      </c>
      <c r="C47" s="50">
        <v>34</v>
      </c>
      <c r="D47" s="50">
        <v>28</v>
      </c>
      <c r="E47" s="50">
        <v>4</v>
      </c>
      <c r="F47" s="50">
        <v>9</v>
      </c>
      <c r="G47" s="50">
        <v>0</v>
      </c>
      <c r="H47" s="50">
        <v>0</v>
      </c>
      <c r="I47" s="50">
        <v>1</v>
      </c>
      <c r="J47" s="50">
        <v>2</v>
      </c>
      <c r="K47" s="50">
        <v>0</v>
      </c>
      <c r="L47" s="50">
        <v>0</v>
      </c>
      <c r="M47" s="50">
        <v>72</v>
      </c>
      <c r="N47" s="50">
        <v>0</v>
      </c>
      <c r="O47" s="15">
        <f t="shared" si="0"/>
        <v>78</v>
      </c>
      <c r="P47" s="15">
        <f t="shared" si="1"/>
        <v>150</v>
      </c>
      <c r="R47" s="8"/>
      <c r="T47"/>
    </row>
    <row r="48" spans="2:32" ht="23.1" customHeight="1" x14ac:dyDescent="0.25">
      <c r="B48" s="46" t="s">
        <v>75</v>
      </c>
      <c r="C48" s="50">
        <v>91</v>
      </c>
      <c r="D48" s="50">
        <v>55</v>
      </c>
      <c r="E48" s="50">
        <v>5</v>
      </c>
      <c r="F48" s="50">
        <v>15</v>
      </c>
      <c r="G48" s="50">
        <v>2</v>
      </c>
      <c r="H48" s="50">
        <v>0</v>
      </c>
      <c r="I48" s="50">
        <v>3</v>
      </c>
      <c r="J48" s="50">
        <v>0</v>
      </c>
      <c r="K48" s="50">
        <v>0</v>
      </c>
      <c r="L48" s="50">
        <v>0</v>
      </c>
      <c r="M48" s="50">
        <v>61</v>
      </c>
      <c r="N48" s="50">
        <v>0</v>
      </c>
      <c r="O48" s="15">
        <f t="shared" si="0"/>
        <v>171</v>
      </c>
      <c r="P48" s="15">
        <f t="shared" si="1"/>
        <v>232</v>
      </c>
      <c r="R48" s="8"/>
      <c r="T48"/>
    </row>
    <row r="49" spans="2:20" ht="23.1" customHeight="1" x14ac:dyDescent="0.25">
      <c r="B49" s="45" t="s">
        <v>76</v>
      </c>
      <c r="C49" s="50">
        <v>65</v>
      </c>
      <c r="D49" s="50">
        <v>53</v>
      </c>
      <c r="E49" s="50">
        <v>11</v>
      </c>
      <c r="F49" s="50">
        <v>15</v>
      </c>
      <c r="G49" s="50">
        <v>3</v>
      </c>
      <c r="H49" s="50">
        <v>1</v>
      </c>
      <c r="I49" s="50">
        <v>7</v>
      </c>
      <c r="J49" s="50">
        <v>0</v>
      </c>
      <c r="K49" s="50">
        <v>0</v>
      </c>
      <c r="L49" s="50">
        <v>0</v>
      </c>
      <c r="M49" s="50">
        <v>68</v>
      </c>
      <c r="N49" s="50">
        <v>0</v>
      </c>
      <c r="O49" s="15">
        <f t="shared" si="0"/>
        <v>155</v>
      </c>
      <c r="P49" s="15">
        <f t="shared" si="1"/>
        <v>223</v>
      </c>
      <c r="R49" s="8"/>
      <c r="T49"/>
    </row>
    <row r="50" spans="2:20" ht="23.1" customHeight="1" x14ac:dyDescent="0.25">
      <c r="B50" s="46" t="s">
        <v>77</v>
      </c>
      <c r="C50" s="50">
        <v>61</v>
      </c>
      <c r="D50" s="50">
        <v>42</v>
      </c>
      <c r="E50" s="50">
        <v>7</v>
      </c>
      <c r="F50" s="50">
        <v>8</v>
      </c>
      <c r="G50" s="50">
        <v>0</v>
      </c>
      <c r="H50" s="50">
        <v>0</v>
      </c>
      <c r="I50" s="50">
        <v>3</v>
      </c>
      <c r="J50" s="50">
        <v>1</v>
      </c>
      <c r="K50" s="50">
        <v>0</v>
      </c>
      <c r="L50" s="50">
        <v>0</v>
      </c>
      <c r="M50" s="50">
        <v>82</v>
      </c>
      <c r="N50" s="50">
        <v>0</v>
      </c>
      <c r="O50" s="15">
        <f t="shared" si="0"/>
        <v>122</v>
      </c>
      <c r="P50" s="15">
        <f t="shared" si="1"/>
        <v>204</v>
      </c>
      <c r="R50" s="8"/>
      <c r="T50"/>
    </row>
    <row r="51" spans="2:20" ht="23.1" customHeight="1" x14ac:dyDescent="0.25">
      <c r="B51" s="46" t="s">
        <v>78</v>
      </c>
      <c r="C51" s="50">
        <v>66</v>
      </c>
      <c r="D51" s="50">
        <v>50</v>
      </c>
      <c r="E51" s="50">
        <v>14</v>
      </c>
      <c r="F51" s="50">
        <v>10</v>
      </c>
      <c r="G51" s="50">
        <v>7</v>
      </c>
      <c r="H51" s="50">
        <v>0</v>
      </c>
      <c r="I51" s="50">
        <v>4</v>
      </c>
      <c r="J51" s="50">
        <v>2</v>
      </c>
      <c r="K51" s="50">
        <v>0</v>
      </c>
      <c r="L51" s="50">
        <v>0</v>
      </c>
      <c r="M51" s="50">
        <v>56</v>
      </c>
      <c r="N51" s="50">
        <v>0</v>
      </c>
      <c r="O51" s="15">
        <f t="shared" si="0"/>
        <v>153</v>
      </c>
      <c r="P51" s="15">
        <f t="shared" si="1"/>
        <v>209</v>
      </c>
      <c r="R51" s="8"/>
      <c r="T51"/>
    </row>
    <row r="52" spans="2:20" ht="23.1" customHeight="1" x14ac:dyDescent="0.25">
      <c r="B52" s="46" t="s">
        <v>79</v>
      </c>
      <c r="C52" s="50">
        <v>65</v>
      </c>
      <c r="D52" s="50">
        <v>72</v>
      </c>
      <c r="E52" s="50">
        <v>4</v>
      </c>
      <c r="F52" s="50">
        <v>4</v>
      </c>
      <c r="G52" s="50">
        <v>5</v>
      </c>
      <c r="H52" s="50">
        <v>1</v>
      </c>
      <c r="I52" s="50">
        <v>3</v>
      </c>
      <c r="J52" s="50">
        <v>1</v>
      </c>
      <c r="K52" s="50">
        <v>1</v>
      </c>
      <c r="L52" s="50">
        <v>0</v>
      </c>
      <c r="M52" s="50">
        <v>103</v>
      </c>
      <c r="N52" s="50">
        <v>0</v>
      </c>
      <c r="O52" s="15">
        <f t="shared" si="0"/>
        <v>156</v>
      </c>
      <c r="P52" s="15">
        <f t="shared" si="1"/>
        <v>259</v>
      </c>
      <c r="R52" s="8"/>
      <c r="T52"/>
    </row>
    <row r="53" spans="2:20" ht="23.1" customHeight="1" x14ac:dyDescent="0.25">
      <c r="B53" s="45" t="s">
        <v>80</v>
      </c>
      <c r="C53" s="50">
        <v>52</v>
      </c>
      <c r="D53" s="50">
        <v>31</v>
      </c>
      <c r="E53" s="50">
        <v>4</v>
      </c>
      <c r="F53" s="50">
        <v>11</v>
      </c>
      <c r="G53" s="50">
        <v>0</v>
      </c>
      <c r="H53" s="50">
        <v>0</v>
      </c>
      <c r="I53" s="50">
        <v>1</v>
      </c>
      <c r="J53" s="50">
        <v>1</v>
      </c>
      <c r="K53" s="50">
        <v>0</v>
      </c>
      <c r="L53" s="50">
        <v>0</v>
      </c>
      <c r="M53" s="50">
        <v>105</v>
      </c>
      <c r="N53" s="50">
        <v>0</v>
      </c>
      <c r="O53" s="15">
        <f t="shared" si="0"/>
        <v>100</v>
      </c>
      <c r="P53" s="15">
        <f t="shared" si="1"/>
        <v>205</v>
      </c>
      <c r="R53" s="8"/>
      <c r="T53"/>
    </row>
    <row r="54" spans="2:20" ht="23.1" customHeight="1" x14ac:dyDescent="0.25">
      <c r="B54" s="45" t="s">
        <v>81</v>
      </c>
      <c r="C54" s="50">
        <v>78</v>
      </c>
      <c r="D54" s="50">
        <v>32</v>
      </c>
      <c r="E54" s="50">
        <v>5</v>
      </c>
      <c r="F54" s="50">
        <v>9</v>
      </c>
      <c r="G54" s="50">
        <v>0</v>
      </c>
      <c r="H54" s="50">
        <v>0</v>
      </c>
      <c r="I54" s="50">
        <v>1</v>
      </c>
      <c r="J54" s="50">
        <v>2</v>
      </c>
      <c r="K54" s="50">
        <v>0</v>
      </c>
      <c r="L54" s="50">
        <v>0</v>
      </c>
      <c r="M54" s="50">
        <v>80</v>
      </c>
      <c r="N54" s="50">
        <v>0</v>
      </c>
      <c r="O54" s="15">
        <f t="shared" si="0"/>
        <v>127</v>
      </c>
      <c r="P54" s="15">
        <f t="shared" si="1"/>
        <v>207</v>
      </c>
      <c r="R54" s="8"/>
      <c r="T54"/>
    </row>
    <row r="55" spans="2:20" ht="23.1" customHeight="1" x14ac:dyDescent="0.25">
      <c r="B55" s="45" t="s">
        <v>82</v>
      </c>
      <c r="C55" s="50">
        <v>36</v>
      </c>
      <c r="D55" s="50">
        <v>25</v>
      </c>
      <c r="E55" s="50">
        <v>4</v>
      </c>
      <c r="F55" s="50">
        <v>7</v>
      </c>
      <c r="G55" s="50">
        <v>2</v>
      </c>
      <c r="H55" s="50">
        <v>0</v>
      </c>
      <c r="I55" s="50">
        <v>0</v>
      </c>
      <c r="J55" s="50">
        <v>1</v>
      </c>
      <c r="K55" s="50">
        <v>0</v>
      </c>
      <c r="L55" s="50">
        <v>1</v>
      </c>
      <c r="M55" s="50">
        <v>106</v>
      </c>
      <c r="N55" s="50">
        <v>0</v>
      </c>
      <c r="O55" s="15">
        <f t="shared" si="0"/>
        <v>76</v>
      </c>
      <c r="P55" s="15">
        <f t="shared" si="1"/>
        <v>182</v>
      </c>
      <c r="R55" s="8"/>
      <c r="T55"/>
    </row>
    <row r="56" spans="2:20" ht="23.1" customHeight="1" x14ac:dyDescent="0.25">
      <c r="B56" s="45" t="s">
        <v>83</v>
      </c>
      <c r="C56" s="50">
        <v>79</v>
      </c>
      <c r="D56" s="50">
        <v>42</v>
      </c>
      <c r="E56" s="50">
        <v>5</v>
      </c>
      <c r="F56" s="50">
        <v>9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149</v>
      </c>
      <c r="N56" s="50">
        <v>0</v>
      </c>
      <c r="O56" s="15">
        <f t="shared" si="0"/>
        <v>136</v>
      </c>
      <c r="P56" s="15">
        <f t="shared" si="1"/>
        <v>285</v>
      </c>
      <c r="R56" s="8"/>
      <c r="T56"/>
    </row>
    <row r="57" spans="2:20" ht="23.1" customHeight="1" x14ac:dyDescent="0.25">
      <c r="B57" s="45" t="s">
        <v>84</v>
      </c>
      <c r="C57" s="50">
        <v>65</v>
      </c>
      <c r="D57" s="50">
        <v>47</v>
      </c>
      <c r="E57" s="50">
        <v>7</v>
      </c>
      <c r="F57" s="50">
        <v>6</v>
      </c>
      <c r="G57" s="50">
        <v>1</v>
      </c>
      <c r="H57" s="50">
        <v>0</v>
      </c>
      <c r="I57" s="50">
        <v>1</v>
      </c>
      <c r="J57" s="50">
        <v>2</v>
      </c>
      <c r="K57" s="50">
        <v>0</v>
      </c>
      <c r="L57" s="50">
        <v>1</v>
      </c>
      <c r="M57" s="50">
        <v>102</v>
      </c>
      <c r="N57" s="50">
        <v>0</v>
      </c>
      <c r="O57" s="15">
        <f t="shared" si="0"/>
        <v>130</v>
      </c>
      <c r="P57" s="15">
        <f t="shared" si="1"/>
        <v>232</v>
      </c>
      <c r="R57" s="8"/>
      <c r="T57"/>
    </row>
    <row r="58" spans="2:20" ht="23.1" customHeight="1" x14ac:dyDescent="0.25">
      <c r="B58" s="45" t="s">
        <v>99</v>
      </c>
      <c r="C58" s="50">
        <v>43</v>
      </c>
      <c r="D58" s="50">
        <v>18</v>
      </c>
      <c r="E58" s="50">
        <v>8</v>
      </c>
      <c r="F58" s="50">
        <v>8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80</v>
      </c>
      <c r="N58" s="50">
        <v>0</v>
      </c>
      <c r="O58" s="15">
        <f t="shared" si="0"/>
        <v>77</v>
      </c>
      <c r="P58" s="15">
        <f t="shared" si="1"/>
        <v>157</v>
      </c>
      <c r="R58" s="8"/>
      <c r="T58"/>
    </row>
    <row r="59" spans="2:20" ht="23.1" customHeight="1" x14ac:dyDescent="0.25">
      <c r="B59" s="45" t="s">
        <v>100</v>
      </c>
      <c r="C59" s="50">
        <v>24</v>
      </c>
      <c r="D59" s="50">
        <v>12</v>
      </c>
      <c r="E59" s="50">
        <v>2</v>
      </c>
      <c r="F59" s="50">
        <v>5</v>
      </c>
      <c r="G59" s="50">
        <v>0</v>
      </c>
      <c r="H59" s="50">
        <v>2</v>
      </c>
      <c r="I59" s="50">
        <v>0</v>
      </c>
      <c r="J59" s="50">
        <v>0</v>
      </c>
      <c r="K59" s="50">
        <v>0</v>
      </c>
      <c r="L59" s="50">
        <v>1</v>
      </c>
      <c r="M59" s="50">
        <v>70</v>
      </c>
      <c r="N59" s="50">
        <v>0</v>
      </c>
      <c r="O59" s="15">
        <f t="shared" si="0"/>
        <v>46</v>
      </c>
      <c r="P59" s="15">
        <f t="shared" si="1"/>
        <v>116</v>
      </c>
      <c r="R59" s="8"/>
      <c r="T59"/>
    </row>
    <row r="60" spans="2:20" ht="23.1" customHeight="1" x14ac:dyDescent="0.25">
      <c r="B60" s="45" t="s">
        <v>101</v>
      </c>
      <c r="C60" s="50">
        <v>35</v>
      </c>
      <c r="D60" s="50">
        <v>47</v>
      </c>
      <c r="E60" s="50">
        <v>11</v>
      </c>
      <c r="F60" s="50">
        <v>8</v>
      </c>
      <c r="G60" s="50">
        <v>1</v>
      </c>
      <c r="H60" s="50">
        <v>1</v>
      </c>
      <c r="I60" s="50">
        <v>1</v>
      </c>
      <c r="J60" s="50">
        <v>1</v>
      </c>
      <c r="K60" s="50">
        <v>0</v>
      </c>
      <c r="L60" s="50">
        <v>0</v>
      </c>
      <c r="M60" s="50">
        <v>66</v>
      </c>
      <c r="N60" s="50">
        <v>0</v>
      </c>
      <c r="O60" s="15">
        <f t="shared" si="0"/>
        <v>105</v>
      </c>
      <c r="P60" s="15">
        <f t="shared" si="1"/>
        <v>171</v>
      </c>
      <c r="R60" s="8"/>
      <c r="T60"/>
    </row>
    <row r="61" spans="2:20" ht="23.1" customHeight="1" x14ac:dyDescent="0.25">
      <c r="B61" s="45" t="s">
        <v>102</v>
      </c>
      <c r="C61" s="50">
        <v>18</v>
      </c>
      <c r="D61" s="50">
        <v>36</v>
      </c>
      <c r="E61" s="50">
        <v>5</v>
      </c>
      <c r="F61" s="50">
        <v>2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72</v>
      </c>
      <c r="N61" s="50">
        <v>0</v>
      </c>
      <c r="O61" s="15">
        <f t="shared" si="0"/>
        <v>61</v>
      </c>
      <c r="P61" s="15">
        <f t="shared" si="1"/>
        <v>133</v>
      </c>
      <c r="R61" s="8"/>
      <c r="T61"/>
    </row>
    <row r="62" spans="2:20" ht="23.1" customHeight="1" x14ac:dyDescent="0.25">
      <c r="B62" s="45" t="s">
        <v>107</v>
      </c>
      <c r="C62" s="50">
        <v>6</v>
      </c>
      <c r="D62" s="50">
        <v>25</v>
      </c>
      <c r="E62" s="50">
        <v>1</v>
      </c>
      <c r="F62" s="50">
        <v>1</v>
      </c>
      <c r="G62" s="50">
        <v>0</v>
      </c>
      <c r="H62" s="50">
        <v>0</v>
      </c>
      <c r="I62" s="50">
        <v>1</v>
      </c>
      <c r="J62" s="50">
        <v>0</v>
      </c>
      <c r="K62" s="50">
        <v>0</v>
      </c>
      <c r="L62" s="50">
        <v>0</v>
      </c>
      <c r="M62" s="50">
        <v>57</v>
      </c>
      <c r="N62" s="50">
        <v>0</v>
      </c>
      <c r="O62" s="15">
        <f t="shared" si="0"/>
        <v>34</v>
      </c>
      <c r="P62" s="15">
        <f t="shared" si="1"/>
        <v>91</v>
      </c>
      <c r="R62" s="8"/>
      <c r="T62"/>
    </row>
    <row r="63" spans="2:20" ht="23.1" customHeight="1" x14ac:dyDescent="0.25">
      <c r="B63" s="45" t="s">
        <v>108</v>
      </c>
      <c r="C63" s="50">
        <v>13</v>
      </c>
      <c r="D63" s="50">
        <v>35</v>
      </c>
      <c r="E63" s="50">
        <v>4</v>
      </c>
      <c r="F63" s="50">
        <v>9</v>
      </c>
      <c r="G63" s="50">
        <v>0</v>
      </c>
      <c r="H63" s="50">
        <v>0</v>
      </c>
      <c r="I63" s="50">
        <v>0</v>
      </c>
      <c r="J63" s="50">
        <v>1</v>
      </c>
      <c r="K63" s="50">
        <v>0</v>
      </c>
      <c r="L63" s="50">
        <v>0</v>
      </c>
      <c r="M63" s="50">
        <v>77</v>
      </c>
      <c r="N63" s="50">
        <v>0</v>
      </c>
      <c r="O63" s="15">
        <f t="shared" si="0"/>
        <v>62</v>
      </c>
      <c r="P63" s="15">
        <f t="shared" si="1"/>
        <v>139</v>
      </c>
      <c r="R63" s="8"/>
      <c r="T63"/>
    </row>
    <row r="64" spans="2:20" ht="23.1" customHeight="1" x14ac:dyDescent="0.25">
      <c r="B64" s="45" t="s">
        <v>109</v>
      </c>
      <c r="C64" s="50">
        <v>18</v>
      </c>
      <c r="D64" s="50">
        <v>45</v>
      </c>
      <c r="E64" s="50">
        <v>6</v>
      </c>
      <c r="F64" s="50">
        <v>8</v>
      </c>
      <c r="G64" s="50">
        <v>1</v>
      </c>
      <c r="H64" s="50">
        <v>0</v>
      </c>
      <c r="I64" s="50">
        <v>0</v>
      </c>
      <c r="J64" s="50">
        <v>2</v>
      </c>
      <c r="K64" s="50">
        <v>0</v>
      </c>
      <c r="L64" s="50">
        <v>0</v>
      </c>
      <c r="M64" s="50">
        <v>65</v>
      </c>
      <c r="N64" s="50">
        <v>0</v>
      </c>
      <c r="O64" s="15">
        <f t="shared" si="0"/>
        <v>80</v>
      </c>
      <c r="P64" s="15">
        <f t="shared" si="1"/>
        <v>145</v>
      </c>
      <c r="R64" s="8"/>
      <c r="T64"/>
    </row>
    <row r="65" spans="2:20" ht="23.1" customHeight="1" x14ac:dyDescent="0.25">
      <c r="B65" s="45" t="s">
        <v>158</v>
      </c>
      <c r="C65" s="50">
        <v>19</v>
      </c>
      <c r="D65" s="50">
        <v>40</v>
      </c>
      <c r="E65" s="50">
        <v>9</v>
      </c>
      <c r="F65" s="50">
        <v>4</v>
      </c>
      <c r="G65" s="50">
        <v>0</v>
      </c>
      <c r="H65" s="50">
        <v>0</v>
      </c>
      <c r="I65" s="50">
        <v>0</v>
      </c>
      <c r="J65" s="50">
        <v>2</v>
      </c>
      <c r="K65" s="50">
        <v>0</v>
      </c>
      <c r="L65" s="50">
        <v>0</v>
      </c>
      <c r="M65" s="50">
        <v>50</v>
      </c>
      <c r="N65" s="50">
        <v>0</v>
      </c>
      <c r="O65" s="15">
        <f t="shared" si="0"/>
        <v>74</v>
      </c>
      <c r="P65" s="15">
        <f t="shared" si="1"/>
        <v>124</v>
      </c>
      <c r="R65" s="8"/>
      <c r="T65"/>
    </row>
    <row r="66" spans="2:20" ht="23.1" customHeight="1" x14ac:dyDescent="0.25">
      <c r="B66" s="45" t="s">
        <v>103</v>
      </c>
      <c r="C66" s="50">
        <v>14</v>
      </c>
      <c r="D66" s="50">
        <v>47</v>
      </c>
      <c r="E66" s="50">
        <v>7</v>
      </c>
      <c r="F66" s="50">
        <v>9</v>
      </c>
      <c r="G66" s="50">
        <v>0</v>
      </c>
      <c r="H66" s="50">
        <v>0</v>
      </c>
      <c r="I66" s="50">
        <v>1</v>
      </c>
      <c r="J66" s="50">
        <v>0</v>
      </c>
      <c r="K66" s="50">
        <v>0</v>
      </c>
      <c r="L66" s="50">
        <v>0</v>
      </c>
      <c r="M66" s="50">
        <v>70</v>
      </c>
      <c r="N66" s="50">
        <v>0</v>
      </c>
      <c r="O66" s="15">
        <f t="shared" si="0"/>
        <v>78</v>
      </c>
      <c r="P66" s="15">
        <f t="shared" si="1"/>
        <v>148</v>
      </c>
      <c r="R66" s="8"/>
      <c r="T66"/>
    </row>
    <row r="67" spans="2:20" ht="23.1" customHeight="1" x14ac:dyDescent="0.25">
      <c r="B67" s="45" t="s">
        <v>104</v>
      </c>
      <c r="C67" s="50">
        <v>20</v>
      </c>
      <c r="D67" s="50">
        <v>66</v>
      </c>
      <c r="E67" s="50">
        <v>9</v>
      </c>
      <c r="F67" s="50">
        <v>5</v>
      </c>
      <c r="G67" s="50">
        <v>0</v>
      </c>
      <c r="H67" s="50">
        <v>0</v>
      </c>
      <c r="I67" s="50">
        <v>2</v>
      </c>
      <c r="J67" s="50">
        <v>0</v>
      </c>
      <c r="K67" s="50">
        <v>0</v>
      </c>
      <c r="L67" s="50">
        <v>0</v>
      </c>
      <c r="M67" s="50">
        <v>41</v>
      </c>
      <c r="N67" s="50">
        <v>0</v>
      </c>
      <c r="O67" s="15">
        <f t="shared" si="0"/>
        <v>102</v>
      </c>
      <c r="P67" s="15">
        <f t="shared" si="1"/>
        <v>143</v>
      </c>
      <c r="R67" s="8"/>
      <c r="T67"/>
    </row>
    <row r="68" spans="2:20" ht="23.1" customHeight="1" x14ac:dyDescent="0.25">
      <c r="B68" s="45" t="s">
        <v>105</v>
      </c>
      <c r="C68" s="50">
        <v>28</v>
      </c>
      <c r="D68" s="50">
        <v>49</v>
      </c>
      <c r="E68" s="50">
        <v>11</v>
      </c>
      <c r="F68" s="50">
        <v>4</v>
      </c>
      <c r="G68" s="50">
        <v>1</v>
      </c>
      <c r="H68" s="50">
        <v>0</v>
      </c>
      <c r="I68" s="50">
        <v>2</v>
      </c>
      <c r="J68" s="50">
        <v>2</v>
      </c>
      <c r="K68" s="50">
        <v>0</v>
      </c>
      <c r="L68" s="50">
        <v>0</v>
      </c>
      <c r="M68" s="50">
        <v>38</v>
      </c>
      <c r="N68" s="50">
        <v>0</v>
      </c>
      <c r="O68" s="15">
        <f t="shared" si="0"/>
        <v>97</v>
      </c>
      <c r="P68" s="15">
        <f t="shared" si="1"/>
        <v>135</v>
      </c>
      <c r="R68" s="8"/>
      <c r="T68"/>
    </row>
    <row r="69" spans="2:20" ht="23.1" customHeight="1" x14ac:dyDescent="0.25">
      <c r="B69" s="45" t="s">
        <v>106</v>
      </c>
      <c r="C69" s="50">
        <v>11</v>
      </c>
      <c r="D69" s="50">
        <v>30</v>
      </c>
      <c r="E69" s="50">
        <v>2</v>
      </c>
      <c r="F69" s="50">
        <v>7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48</v>
      </c>
      <c r="N69" s="50">
        <v>0</v>
      </c>
      <c r="O69" s="15">
        <f t="shared" si="0"/>
        <v>50</v>
      </c>
      <c r="P69" s="15">
        <f t="shared" si="1"/>
        <v>98</v>
      </c>
      <c r="R69" s="8"/>
      <c r="T69"/>
    </row>
    <row r="70" spans="2:20" ht="23.1" customHeight="1" x14ac:dyDescent="0.25">
      <c r="B70" s="45" t="s">
        <v>110</v>
      </c>
      <c r="C70" s="50">
        <v>31</v>
      </c>
      <c r="D70" s="50">
        <v>15</v>
      </c>
      <c r="E70" s="50">
        <v>4</v>
      </c>
      <c r="F70" s="50">
        <v>4</v>
      </c>
      <c r="G70" s="50">
        <v>0</v>
      </c>
      <c r="H70" s="50">
        <v>0</v>
      </c>
      <c r="I70" s="50">
        <v>0</v>
      </c>
      <c r="J70" s="50">
        <v>1</v>
      </c>
      <c r="K70" s="50">
        <v>1</v>
      </c>
      <c r="L70" s="50">
        <v>2</v>
      </c>
      <c r="M70" s="50">
        <v>37</v>
      </c>
      <c r="N70" s="50">
        <v>0</v>
      </c>
      <c r="O70" s="15">
        <f t="shared" si="0"/>
        <v>58</v>
      </c>
      <c r="P70" s="15">
        <f t="shared" si="1"/>
        <v>95</v>
      </c>
      <c r="R70" s="8"/>
      <c r="T70"/>
    </row>
    <row r="71" spans="2:20" ht="23.1" customHeight="1" x14ac:dyDescent="0.25">
      <c r="B71" s="45" t="s">
        <v>111</v>
      </c>
      <c r="C71" s="50">
        <v>7</v>
      </c>
      <c r="D71" s="50">
        <v>42</v>
      </c>
      <c r="E71" s="50">
        <v>9</v>
      </c>
      <c r="F71" s="50">
        <v>8</v>
      </c>
      <c r="G71" s="50">
        <v>0</v>
      </c>
      <c r="H71" s="50">
        <v>0</v>
      </c>
      <c r="I71" s="50">
        <v>0</v>
      </c>
      <c r="J71" s="50">
        <v>1</v>
      </c>
      <c r="K71" s="50">
        <v>0</v>
      </c>
      <c r="L71" s="50">
        <v>0</v>
      </c>
      <c r="M71" s="50">
        <v>52</v>
      </c>
      <c r="N71" s="50">
        <v>0</v>
      </c>
      <c r="O71" s="15">
        <f t="shared" si="0"/>
        <v>67</v>
      </c>
      <c r="P71" s="15">
        <f t="shared" si="1"/>
        <v>119</v>
      </c>
      <c r="R71" s="8"/>
      <c r="T71"/>
    </row>
    <row r="72" spans="2:20" ht="23.1" customHeight="1" x14ac:dyDescent="0.25">
      <c r="B72" s="45" t="s">
        <v>112</v>
      </c>
      <c r="C72" s="50">
        <v>14</v>
      </c>
      <c r="D72" s="50">
        <v>33</v>
      </c>
      <c r="E72" s="50">
        <v>4</v>
      </c>
      <c r="F72" s="50">
        <v>3</v>
      </c>
      <c r="G72" s="50">
        <v>2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34</v>
      </c>
      <c r="N72" s="50">
        <v>0</v>
      </c>
      <c r="O72" s="15">
        <f t="shared" si="0"/>
        <v>56</v>
      </c>
      <c r="P72" s="15">
        <f t="shared" si="1"/>
        <v>90</v>
      </c>
      <c r="R72" s="8"/>
      <c r="T72"/>
    </row>
    <row r="73" spans="2:20" ht="23.1" customHeight="1" x14ac:dyDescent="0.25">
      <c r="B73" s="45" t="s">
        <v>113</v>
      </c>
      <c r="C73" s="50">
        <v>2</v>
      </c>
      <c r="D73" s="50">
        <v>30</v>
      </c>
      <c r="E73" s="50">
        <v>4</v>
      </c>
      <c r="F73" s="50">
        <v>6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33</v>
      </c>
      <c r="N73" s="50">
        <v>0</v>
      </c>
      <c r="O73" s="15">
        <f t="shared" si="0"/>
        <v>42</v>
      </c>
      <c r="P73" s="15">
        <f t="shared" si="1"/>
        <v>75</v>
      </c>
      <c r="R73" s="8"/>
      <c r="T73"/>
    </row>
    <row r="74" spans="2:20" ht="23.1" customHeight="1" x14ac:dyDescent="0.25">
      <c r="B74" s="45" t="s">
        <v>114</v>
      </c>
      <c r="C74" s="50">
        <v>13</v>
      </c>
      <c r="D74" s="50">
        <v>22</v>
      </c>
      <c r="E74" s="50">
        <v>5</v>
      </c>
      <c r="F74" s="50">
        <v>2</v>
      </c>
      <c r="G74" s="50">
        <v>0</v>
      </c>
      <c r="H74" s="50">
        <v>0</v>
      </c>
      <c r="I74" s="50">
        <v>1</v>
      </c>
      <c r="J74" s="50">
        <v>0</v>
      </c>
      <c r="K74" s="50">
        <v>0</v>
      </c>
      <c r="L74" s="50">
        <v>0</v>
      </c>
      <c r="M74" s="50">
        <v>25</v>
      </c>
      <c r="N74" s="50">
        <v>0</v>
      </c>
      <c r="O74" s="15">
        <f t="shared" ref="O74:O105" si="35">SUM(C74:L74,N74)</f>
        <v>43</v>
      </c>
      <c r="P74" s="15">
        <f t="shared" ref="P74:P105" si="36">SUM(C74:N74)</f>
        <v>68</v>
      </c>
      <c r="R74" s="8"/>
      <c r="T74"/>
    </row>
    <row r="75" spans="2:20" ht="23.1" customHeight="1" x14ac:dyDescent="0.25">
      <c r="B75" s="45" t="s">
        <v>115</v>
      </c>
      <c r="C75" s="50">
        <v>1</v>
      </c>
      <c r="D75" s="50">
        <v>20</v>
      </c>
      <c r="E75" s="50">
        <v>0</v>
      </c>
      <c r="F75" s="50">
        <v>1</v>
      </c>
      <c r="G75" s="50">
        <v>0</v>
      </c>
      <c r="H75" s="50">
        <v>0</v>
      </c>
      <c r="I75" s="50">
        <v>1</v>
      </c>
      <c r="J75" s="50">
        <v>0</v>
      </c>
      <c r="K75" s="50">
        <v>0</v>
      </c>
      <c r="L75" s="50">
        <v>0</v>
      </c>
      <c r="M75" s="50">
        <v>23</v>
      </c>
      <c r="N75" s="50">
        <v>0</v>
      </c>
      <c r="O75" s="15">
        <f t="shared" si="35"/>
        <v>23</v>
      </c>
      <c r="P75" s="15">
        <f t="shared" si="36"/>
        <v>46</v>
      </c>
      <c r="R75" s="8"/>
      <c r="T75"/>
    </row>
    <row r="76" spans="2:20" ht="23.1" customHeight="1" x14ac:dyDescent="0.25">
      <c r="B76" s="45" t="s">
        <v>116</v>
      </c>
      <c r="C76" s="50">
        <v>7</v>
      </c>
      <c r="D76" s="50">
        <v>24</v>
      </c>
      <c r="E76" s="50">
        <v>4</v>
      </c>
      <c r="F76" s="50">
        <v>3</v>
      </c>
      <c r="G76" s="50">
        <v>0</v>
      </c>
      <c r="H76" s="50">
        <v>0</v>
      </c>
      <c r="I76" s="50">
        <v>0</v>
      </c>
      <c r="J76" s="50">
        <v>1</v>
      </c>
      <c r="K76" s="50">
        <v>0</v>
      </c>
      <c r="L76" s="50">
        <v>0</v>
      </c>
      <c r="M76" s="50">
        <v>24</v>
      </c>
      <c r="N76" s="50">
        <v>0</v>
      </c>
      <c r="O76" s="15">
        <f t="shared" si="35"/>
        <v>39</v>
      </c>
      <c r="P76" s="15">
        <f t="shared" si="36"/>
        <v>63</v>
      </c>
      <c r="R76" s="8"/>
      <c r="T76"/>
    </row>
    <row r="77" spans="2:20" ht="23.1" customHeight="1" x14ac:dyDescent="0.25">
      <c r="B77" s="45" t="s">
        <v>117</v>
      </c>
      <c r="C77" s="50">
        <v>9</v>
      </c>
      <c r="D77" s="50">
        <v>20</v>
      </c>
      <c r="E77" s="50">
        <v>0</v>
      </c>
      <c r="F77" s="50">
        <v>2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22</v>
      </c>
      <c r="N77" s="50">
        <v>0</v>
      </c>
      <c r="O77" s="15">
        <f t="shared" si="35"/>
        <v>31</v>
      </c>
      <c r="P77" s="15">
        <f t="shared" si="36"/>
        <v>53</v>
      </c>
      <c r="R77" s="8"/>
      <c r="T77"/>
    </row>
    <row r="78" spans="2:20" ht="23.1" customHeight="1" x14ac:dyDescent="0.25">
      <c r="B78" s="46" t="s">
        <v>118</v>
      </c>
      <c r="C78" s="50">
        <v>10</v>
      </c>
      <c r="D78" s="50">
        <v>19</v>
      </c>
      <c r="E78" s="50">
        <v>1</v>
      </c>
      <c r="F78" s="50">
        <v>1</v>
      </c>
      <c r="G78" s="50">
        <v>0</v>
      </c>
      <c r="H78" s="50">
        <v>0</v>
      </c>
      <c r="I78" s="50">
        <v>2</v>
      </c>
      <c r="J78" s="50">
        <v>0</v>
      </c>
      <c r="K78" s="50">
        <v>0</v>
      </c>
      <c r="L78" s="50">
        <v>0</v>
      </c>
      <c r="M78" s="50">
        <v>12</v>
      </c>
      <c r="N78" s="50">
        <v>0</v>
      </c>
      <c r="O78" s="15">
        <f t="shared" si="35"/>
        <v>33</v>
      </c>
      <c r="P78" s="15">
        <f t="shared" si="36"/>
        <v>45</v>
      </c>
      <c r="R78" s="8"/>
      <c r="T78"/>
    </row>
    <row r="79" spans="2:20" ht="23.1" customHeight="1" x14ac:dyDescent="0.25">
      <c r="B79" s="45" t="s">
        <v>119</v>
      </c>
      <c r="C79" s="50">
        <v>4</v>
      </c>
      <c r="D79" s="50">
        <v>17</v>
      </c>
      <c r="E79" s="50">
        <v>1</v>
      </c>
      <c r="F79" s="50">
        <v>2</v>
      </c>
      <c r="G79" s="50">
        <v>0</v>
      </c>
      <c r="H79" s="50">
        <v>0</v>
      </c>
      <c r="I79" s="50">
        <v>1</v>
      </c>
      <c r="J79" s="50">
        <v>1</v>
      </c>
      <c r="K79" s="50">
        <v>0</v>
      </c>
      <c r="L79" s="50">
        <v>0</v>
      </c>
      <c r="M79" s="50">
        <v>11</v>
      </c>
      <c r="N79" s="50">
        <v>0</v>
      </c>
      <c r="O79" s="15">
        <f t="shared" si="35"/>
        <v>26</v>
      </c>
      <c r="P79" s="15">
        <f t="shared" si="36"/>
        <v>37</v>
      </c>
      <c r="R79" s="8"/>
      <c r="T79"/>
    </row>
    <row r="80" spans="2:20" ht="23.1" customHeight="1" x14ac:dyDescent="0.25">
      <c r="B80" s="47" t="s">
        <v>120</v>
      </c>
      <c r="C80" s="50">
        <v>3</v>
      </c>
      <c r="D80" s="50">
        <v>1</v>
      </c>
      <c r="E80" s="50">
        <v>0</v>
      </c>
      <c r="F80" s="50">
        <v>1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10</v>
      </c>
      <c r="N80" s="50">
        <v>0</v>
      </c>
      <c r="O80" s="15">
        <f t="shared" si="35"/>
        <v>5</v>
      </c>
      <c r="P80" s="15">
        <f t="shared" si="36"/>
        <v>15</v>
      </c>
      <c r="R80" s="8"/>
      <c r="T80"/>
    </row>
    <row r="81" spans="2:20" ht="23.1" customHeight="1" x14ac:dyDescent="0.25">
      <c r="B81" s="45" t="s">
        <v>121</v>
      </c>
      <c r="C81" s="50">
        <v>9</v>
      </c>
      <c r="D81" s="50">
        <v>1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6</v>
      </c>
      <c r="N81" s="50">
        <v>0</v>
      </c>
      <c r="O81" s="15">
        <f t="shared" si="35"/>
        <v>10</v>
      </c>
      <c r="P81" s="15">
        <f t="shared" si="36"/>
        <v>16</v>
      </c>
      <c r="R81" s="8"/>
      <c r="T81"/>
    </row>
    <row r="82" spans="2:20" ht="23.1" customHeight="1" x14ac:dyDescent="0.25">
      <c r="B82" s="46" t="s">
        <v>122</v>
      </c>
      <c r="C82" s="50">
        <v>6</v>
      </c>
      <c r="D82" s="50">
        <v>7</v>
      </c>
      <c r="E82" s="50">
        <v>4</v>
      </c>
      <c r="F82" s="50">
        <v>1</v>
      </c>
      <c r="G82" s="50">
        <v>0</v>
      </c>
      <c r="H82" s="50">
        <v>0</v>
      </c>
      <c r="I82" s="50">
        <v>1</v>
      </c>
      <c r="J82" s="50">
        <v>1</v>
      </c>
      <c r="K82" s="50">
        <v>2</v>
      </c>
      <c r="L82" s="50">
        <v>0</v>
      </c>
      <c r="M82" s="50">
        <v>8</v>
      </c>
      <c r="N82" s="50">
        <v>0</v>
      </c>
      <c r="O82" s="15">
        <f t="shared" si="35"/>
        <v>22</v>
      </c>
      <c r="P82" s="15">
        <f t="shared" si="36"/>
        <v>30</v>
      </c>
      <c r="R82" s="8"/>
      <c r="T82"/>
    </row>
    <row r="83" spans="2:20" ht="23.1" customHeight="1" x14ac:dyDescent="0.25">
      <c r="B83" s="45" t="s">
        <v>123</v>
      </c>
      <c r="C83" s="50">
        <v>12</v>
      </c>
      <c r="D83" s="50">
        <v>9</v>
      </c>
      <c r="E83" s="50">
        <v>2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6</v>
      </c>
      <c r="N83" s="50">
        <v>0</v>
      </c>
      <c r="O83" s="15">
        <f t="shared" si="35"/>
        <v>23</v>
      </c>
      <c r="P83" s="15">
        <f t="shared" si="36"/>
        <v>29</v>
      </c>
      <c r="R83" s="8"/>
      <c r="T83"/>
    </row>
    <row r="84" spans="2:20" ht="23.1" customHeight="1" x14ac:dyDescent="0.25">
      <c r="B84" s="47" t="s">
        <v>124</v>
      </c>
      <c r="C84" s="50">
        <v>4</v>
      </c>
      <c r="D84" s="50">
        <v>8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6</v>
      </c>
      <c r="N84" s="50">
        <v>0</v>
      </c>
      <c r="O84" s="15">
        <f t="shared" si="35"/>
        <v>12</v>
      </c>
      <c r="P84" s="15">
        <f t="shared" si="36"/>
        <v>18</v>
      </c>
      <c r="R84" s="8"/>
      <c r="T84"/>
    </row>
    <row r="85" spans="2:20" ht="23.1" customHeight="1" x14ac:dyDescent="0.25">
      <c r="B85" s="45" t="s">
        <v>125</v>
      </c>
      <c r="C85" s="50">
        <v>7</v>
      </c>
      <c r="D85" s="50">
        <v>3</v>
      </c>
      <c r="E85" s="50">
        <v>1</v>
      </c>
      <c r="F85" s="50">
        <v>1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4</v>
      </c>
      <c r="N85" s="50">
        <v>0</v>
      </c>
      <c r="O85" s="15">
        <f t="shared" si="35"/>
        <v>12</v>
      </c>
      <c r="P85" s="15">
        <f t="shared" si="36"/>
        <v>16</v>
      </c>
      <c r="R85" s="8"/>
      <c r="T85"/>
    </row>
    <row r="86" spans="2:20" ht="23.1" customHeight="1" x14ac:dyDescent="0.25">
      <c r="B86" s="46" t="s">
        <v>126</v>
      </c>
      <c r="C86" s="50">
        <v>4</v>
      </c>
      <c r="D86" s="50">
        <v>6</v>
      </c>
      <c r="E86" s="50">
        <v>2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2</v>
      </c>
      <c r="N86" s="50">
        <v>0</v>
      </c>
      <c r="O86" s="15">
        <f t="shared" si="35"/>
        <v>12</v>
      </c>
      <c r="P86" s="15">
        <f t="shared" si="36"/>
        <v>14</v>
      </c>
      <c r="R86" s="8"/>
      <c r="T86"/>
    </row>
    <row r="87" spans="2:20" ht="23.1" customHeight="1" x14ac:dyDescent="0.25">
      <c r="B87" s="45" t="s">
        <v>127</v>
      </c>
      <c r="C87" s="50">
        <v>2</v>
      </c>
      <c r="D87" s="50">
        <v>6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7</v>
      </c>
      <c r="N87" s="50">
        <v>0</v>
      </c>
      <c r="O87" s="15">
        <f t="shared" si="35"/>
        <v>8</v>
      </c>
      <c r="P87" s="15">
        <f t="shared" si="36"/>
        <v>15</v>
      </c>
      <c r="R87" s="8"/>
      <c r="T87"/>
    </row>
    <row r="88" spans="2:20" ht="23.1" customHeight="1" x14ac:dyDescent="0.25">
      <c r="B88" s="47" t="s">
        <v>128</v>
      </c>
      <c r="C88" s="50">
        <v>5</v>
      </c>
      <c r="D88" s="50">
        <v>1</v>
      </c>
      <c r="E88" s="50">
        <v>1</v>
      </c>
      <c r="F88" s="50">
        <v>0</v>
      </c>
      <c r="G88" s="50">
        <v>0</v>
      </c>
      <c r="H88" s="50">
        <v>0</v>
      </c>
      <c r="I88" s="50">
        <v>0</v>
      </c>
      <c r="J88" s="50">
        <v>1</v>
      </c>
      <c r="K88" s="50">
        <v>0</v>
      </c>
      <c r="L88" s="50">
        <v>1</v>
      </c>
      <c r="M88" s="50">
        <v>3</v>
      </c>
      <c r="N88" s="50">
        <v>0</v>
      </c>
      <c r="O88" s="15">
        <f t="shared" si="35"/>
        <v>9</v>
      </c>
      <c r="P88" s="15">
        <f t="shared" si="36"/>
        <v>12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4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1</v>
      </c>
      <c r="L89" s="50">
        <v>0</v>
      </c>
      <c r="M89" s="50">
        <v>1</v>
      </c>
      <c r="N89" s="50">
        <v>0</v>
      </c>
      <c r="O89" s="15">
        <f t="shared" si="35"/>
        <v>5</v>
      </c>
      <c r="P89" s="15">
        <f t="shared" si="36"/>
        <v>6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1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1</v>
      </c>
      <c r="P90" s="15">
        <f t="shared" si="36"/>
        <v>1</v>
      </c>
      <c r="R90" s="8"/>
      <c r="T90"/>
    </row>
    <row r="91" spans="2:20" ht="23.1" customHeight="1" x14ac:dyDescent="0.25">
      <c r="B91" s="45" t="s">
        <v>131</v>
      </c>
      <c r="C91" s="50">
        <v>2</v>
      </c>
      <c r="D91" s="50">
        <v>1</v>
      </c>
      <c r="E91" s="50">
        <v>0</v>
      </c>
      <c r="F91" s="50">
        <v>1</v>
      </c>
      <c r="G91" s="50">
        <v>0</v>
      </c>
      <c r="H91" s="50">
        <v>0</v>
      </c>
      <c r="I91" s="50">
        <v>1</v>
      </c>
      <c r="J91" s="50">
        <v>0</v>
      </c>
      <c r="K91" s="50">
        <v>0</v>
      </c>
      <c r="L91" s="50">
        <v>0</v>
      </c>
      <c r="M91" s="50">
        <v>2</v>
      </c>
      <c r="N91" s="50">
        <v>0</v>
      </c>
      <c r="O91" s="15">
        <f t="shared" si="35"/>
        <v>5</v>
      </c>
      <c r="P91" s="15">
        <f t="shared" si="36"/>
        <v>7</v>
      </c>
      <c r="R91" s="8"/>
      <c r="T91"/>
    </row>
    <row r="92" spans="2:20" ht="23.1" customHeight="1" x14ac:dyDescent="0.25">
      <c r="B92" s="47" t="s">
        <v>132</v>
      </c>
      <c r="C92" s="50">
        <v>2</v>
      </c>
      <c r="D92" s="50">
        <v>0</v>
      </c>
      <c r="E92" s="50">
        <v>0</v>
      </c>
      <c r="F92" s="50">
        <v>1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1</v>
      </c>
      <c r="N92" s="50">
        <v>0</v>
      </c>
      <c r="O92" s="15">
        <f t="shared" si="35"/>
        <v>3</v>
      </c>
      <c r="P92" s="15">
        <f t="shared" si="36"/>
        <v>4</v>
      </c>
      <c r="R92" s="8"/>
      <c r="T92"/>
    </row>
    <row r="93" spans="2:20" ht="23.1" customHeight="1" x14ac:dyDescent="0.25">
      <c r="B93" s="45" t="s">
        <v>133</v>
      </c>
      <c r="C93" s="50">
        <v>4</v>
      </c>
      <c r="D93" s="50">
        <v>1</v>
      </c>
      <c r="E93" s="50">
        <v>1</v>
      </c>
      <c r="F93" s="50">
        <v>0</v>
      </c>
      <c r="G93" s="50">
        <v>0</v>
      </c>
      <c r="H93" s="50">
        <v>0</v>
      </c>
      <c r="I93" s="50">
        <v>0</v>
      </c>
      <c r="J93" s="50">
        <v>1</v>
      </c>
      <c r="K93" s="50">
        <v>0</v>
      </c>
      <c r="L93" s="50">
        <v>0</v>
      </c>
      <c r="M93" s="50">
        <v>1</v>
      </c>
      <c r="N93" s="50">
        <v>0</v>
      </c>
      <c r="O93" s="15">
        <f t="shared" si="35"/>
        <v>7</v>
      </c>
      <c r="P93" s="15">
        <f t="shared" si="36"/>
        <v>8</v>
      </c>
      <c r="R93" s="8"/>
      <c r="T93"/>
    </row>
    <row r="94" spans="2:20" ht="23.1" customHeight="1" x14ac:dyDescent="0.25">
      <c r="B94" s="46" t="s">
        <v>134</v>
      </c>
      <c r="C94" s="50">
        <v>4</v>
      </c>
      <c r="D94" s="50">
        <v>5</v>
      </c>
      <c r="E94" s="50">
        <v>1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1</v>
      </c>
      <c r="N94" s="50">
        <v>0</v>
      </c>
      <c r="O94" s="15">
        <f t="shared" si="35"/>
        <v>10</v>
      </c>
      <c r="P94" s="15">
        <f t="shared" si="36"/>
        <v>11</v>
      </c>
      <c r="R94" s="8"/>
      <c r="T94"/>
    </row>
    <row r="95" spans="2:20" ht="23.1" customHeight="1" x14ac:dyDescent="0.25">
      <c r="B95" s="45" t="s">
        <v>135</v>
      </c>
      <c r="C95" s="50">
        <v>5</v>
      </c>
      <c r="D95" s="50">
        <v>0</v>
      </c>
      <c r="E95" s="50">
        <v>1</v>
      </c>
      <c r="F95" s="50">
        <v>1</v>
      </c>
      <c r="G95" s="50">
        <v>1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2</v>
      </c>
      <c r="N95" s="50">
        <v>0</v>
      </c>
      <c r="O95" s="15">
        <f t="shared" si="35"/>
        <v>8</v>
      </c>
      <c r="P95" s="15">
        <f t="shared" si="36"/>
        <v>10</v>
      </c>
      <c r="R95" s="8"/>
      <c r="T95"/>
    </row>
    <row r="96" spans="2:20" ht="23.1" customHeight="1" x14ac:dyDescent="0.25">
      <c r="B96" s="47" t="s">
        <v>136</v>
      </c>
      <c r="C96" s="50">
        <v>2</v>
      </c>
      <c r="D96" s="50">
        <v>1</v>
      </c>
      <c r="E96" s="50">
        <v>0</v>
      </c>
      <c r="F96" s="50">
        <v>2</v>
      </c>
      <c r="G96" s="50">
        <v>0</v>
      </c>
      <c r="H96" s="50">
        <v>0</v>
      </c>
      <c r="I96" s="50">
        <v>0</v>
      </c>
      <c r="J96" s="50">
        <v>1</v>
      </c>
      <c r="K96" s="50">
        <v>0</v>
      </c>
      <c r="L96" s="50">
        <v>0</v>
      </c>
      <c r="M96" s="50">
        <v>2</v>
      </c>
      <c r="N96" s="50">
        <v>0</v>
      </c>
      <c r="O96" s="15">
        <f t="shared" si="35"/>
        <v>6</v>
      </c>
      <c r="P96" s="15">
        <f t="shared" si="36"/>
        <v>8</v>
      </c>
      <c r="R96" s="8"/>
      <c r="T96"/>
    </row>
    <row r="97" spans="2:20" ht="23.1" customHeight="1" x14ac:dyDescent="0.25">
      <c r="B97" s="45" t="s">
        <v>137</v>
      </c>
      <c r="C97" s="50">
        <v>3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1</v>
      </c>
      <c r="J97" s="50">
        <v>0</v>
      </c>
      <c r="K97" s="50">
        <v>0</v>
      </c>
      <c r="L97" s="50">
        <v>0</v>
      </c>
      <c r="M97" s="50">
        <v>2</v>
      </c>
      <c r="N97" s="50">
        <v>0</v>
      </c>
      <c r="O97" s="15">
        <f t="shared" si="35"/>
        <v>4</v>
      </c>
      <c r="P97" s="15">
        <f t="shared" si="36"/>
        <v>6</v>
      </c>
      <c r="R97" s="8"/>
      <c r="T97"/>
    </row>
    <row r="98" spans="2:20" ht="23.1" customHeight="1" x14ac:dyDescent="0.25">
      <c r="B98" s="46" t="s">
        <v>138</v>
      </c>
      <c r="C98" s="50">
        <v>4</v>
      </c>
      <c r="D98" s="50">
        <v>14</v>
      </c>
      <c r="E98" s="50">
        <v>0</v>
      </c>
      <c r="F98" s="50">
        <v>1</v>
      </c>
      <c r="G98" s="50">
        <v>3</v>
      </c>
      <c r="H98" s="50">
        <v>0</v>
      </c>
      <c r="I98" s="50">
        <v>1</v>
      </c>
      <c r="J98" s="50">
        <v>0</v>
      </c>
      <c r="K98" s="50">
        <v>0</v>
      </c>
      <c r="L98" s="50">
        <v>0</v>
      </c>
      <c r="M98" s="50">
        <v>3</v>
      </c>
      <c r="N98" s="50">
        <v>0</v>
      </c>
      <c r="O98" s="15">
        <f t="shared" si="35"/>
        <v>23</v>
      </c>
      <c r="P98" s="15">
        <f t="shared" si="36"/>
        <v>26</v>
      </c>
      <c r="R98" s="8"/>
      <c r="T98"/>
    </row>
    <row r="99" spans="2:20" ht="23.1" customHeight="1" x14ac:dyDescent="0.25">
      <c r="B99" s="45" t="s">
        <v>139</v>
      </c>
      <c r="C99" s="50">
        <v>5</v>
      </c>
      <c r="D99" s="50">
        <v>8</v>
      </c>
      <c r="E99" s="50">
        <v>0</v>
      </c>
      <c r="F99" s="50">
        <v>3</v>
      </c>
      <c r="G99" s="50">
        <v>1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1</v>
      </c>
      <c r="N99" s="50">
        <v>0</v>
      </c>
      <c r="O99" s="15">
        <f t="shared" si="35"/>
        <v>17</v>
      </c>
      <c r="P99" s="15">
        <f t="shared" si="36"/>
        <v>18</v>
      </c>
      <c r="R99" s="8"/>
      <c r="T99"/>
    </row>
    <row r="100" spans="2:20" ht="23.1" customHeight="1" x14ac:dyDescent="0.25">
      <c r="B100" s="47" t="s">
        <v>140</v>
      </c>
      <c r="C100" s="50">
        <v>3</v>
      </c>
      <c r="D100" s="50">
        <v>0</v>
      </c>
      <c r="E100" s="50">
        <v>2</v>
      </c>
      <c r="F100" s="50">
        <v>0</v>
      </c>
      <c r="G100" s="50">
        <v>0</v>
      </c>
      <c r="H100" s="50">
        <v>0</v>
      </c>
      <c r="I100" s="50">
        <v>1</v>
      </c>
      <c r="J100" s="50">
        <v>1</v>
      </c>
      <c r="K100" s="50">
        <v>0</v>
      </c>
      <c r="L100" s="50">
        <v>0</v>
      </c>
      <c r="M100" s="50">
        <v>4</v>
      </c>
      <c r="N100" s="50">
        <v>0</v>
      </c>
      <c r="O100" s="15">
        <f t="shared" si="35"/>
        <v>7</v>
      </c>
      <c r="P100" s="15">
        <f t="shared" si="36"/>
        <v>11</v>
      </c>
      <c r="R100" s="8"/>
      <c r="T100"/>
    </row>
    <row r="101" spans="2:20" ht="23.1" customHeight="1" x14ac:dyDescent="0.25">
      <c r="B101" s="45" t="s">
        <v>141</v>
      </c>
      <c r="C101" s="50">
        <v>10</v>
      </c>
      <c r="D101" s="50">
        <v>55</v>
      </c>
      <c r="E101" s="50">
        <v>4</v>
      </c>
      <c r="F101" s="50">
        <v>8</v>
      </c>
      <c r="G101" s="50">
        <v>0</v>
      </c>
      <c r="H101" s="50">
        <v>0</v>
      </c>
      <c r="I101" s="50">
        <v>0</v>
      </c>
      <c r="J101" s="50">
        <v>0</v>
      </c>
      <c r="K101" s="50">
        <v>1</v>
      </c>
      <c r="L101" s="50">
        <v>0</v>
      </c>
      <c r="M101" s="50">
        <v>8</v>
      </c>
      <c r="N101" s="50">
        <v>0</v>
      </c>
      <c r="O101" s="15">
        <f t="shared" si="35"/>
        <v>78</v>
      </c>
      <c r="P101" s="15">
        <f t="shared" si="36"/>
        <v>86</v>
      </c>
      <c r="R101" s="8"/>
      <c r="T101"/>
    </row>
    <row r="102" spans="2:20" ht="23.1" customHeight="1" x14ac:dyDescent="0.25">
      <c r="B102" s="46" t="s">
        <v>142</v>
      </c>
      <c r="C102" s="50">
        <v>42</v>
      </c>
      <c r="D102" s="50">
        <v>122</v>
      </c>
      <c r="E102" s="50">
        <v>6</v>
      </c>
      <c r="F102" s="50">
        <v>2</v>
      </c>
      <c r="G102" s="50">
        <v>1</v>
      </c>
      <c r="H102" s="50">
        <v>0</v>
      </c>
      <c r="I102" s="50">
        <v>0</v>
      </c>
      <c r="J102" s="50">
        <v>0</v>
      </c>
      <c r="K102" s="50">
        <v>1</v>
      </c>
      <c r="L102" s="50">
        <v>0</v>
      </c>
      <c r="M102" s="50">
        <v>11</v>
      </c>
      <c r="N102" s="50">
        <v>0</v>
      </c>
      <c r="O102" s="15">
        <f t="shared" si="35"/>
        <v>174</v>
      </c>
      <c r="P102" s="15">
        <f t="shared" si="36"/>
        <v>185</v>
      </c>
      <c r="R102" s="8"/>
      <c r="T102"/>
    </row>
    <row r="103" spans="2:20" ht="23.1" customHeight="1" x14ac:dyDescent="0.25">
      <c r="B103" s="45" t="s">
        <v>143</v>
      </c>
      <c r="C103" s="50">
        <v>32</v>
      </c>
      <c r="D103" s="50">
        <v>133</v>
      </c>
      <c r="E103" s="50">
        <v>10</v>
      </c>
      <c r="F103" s="50">
        <v>9</v>
      </c>
      <c r="G103" s="50">
        <v>1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16</v>
      </c>
      <c r="N103" s="50">
        <v>0</v>
      </c>
      <c r="O103" s="15">
        <f t="shared" si="35"/>
        <v>185</v>
      </c>
      <c r="P103" s="15">
        <f t="shared" si="36"/>
        <v>201</v>
      </c>
      <c r="R103" s="8"/>
      <c r="T103"/>
    </row>
    <row r="104" spans="2:20" ht="23.1" customHeight="1" x14ac:dyDescent="0.25">
      <c r="B104" s="47" t="s">
        <v>144</v>
      </c>
      <c r="C104" s="50">
        <v>24</v>
      </c>
      <c r="D104" s="50">
        <v>139</v>
      </c>
      <c r="E104" s="50">
        <v>13</v>
      </c>
      <c r="F104" s="50">
        <v>12</v>
      </c>
      <c r="G104" s="50">
        <v>2</v>
      </c>
      <c r="H104" s="50">
        <v>0</v>
      </c>
      <c r="I104" s="50">
        <v>0</v>
      </c>
      <c r="J104" s="50">
        <v>3</v>
      </c>
      <c r="K104" s="50">
        <v>0</v>
      </c>
      <c r="L104" s="50">
        <v>0</v>
      </c>
      <c r="M104" s="50">
        <v>9</v>
      </c>
      <c r="N104" s="50">
        <v>0</v>
      </c>
      <c r="O104" s="15">
        <f t="shared" si="35"/>
        <v>193</v>
      </c>
      <c r="P104" s="15">
        <f t="shared" si="36"/>
        <v>202</v>
      </c>
      <c r="R104" s="8"/>
      <c r="T104"/>
    </row>
    <row r="105" spans="2:20" ht="23.1" customHeight="1" x14ac:dyDescent="0.25">
      <c r="B105" s="45" t="s">
        <v>145</v>
      </c>
      <c r="C105" s="50">
        <v>129</v>
      </c>
      <c r="D105" s="50">
        <v>155</v>
      </c>
      <c r="E105" s="50">
        <v>11</v>
      </c>
      <c r="F105" s="50">
        <v>4</v>
      </c>
      <c r="G105" s="50">
        <v>0</v>
      </c>
      <c r="H105" s="50">
        <v>1</v>
      </c>
      <c r="I105" s="50">
        <v>1</v>
      </c>
      <c r="J105" s="50">
        <v>1</v>
      </c>
      <c r="K105" s="50">
        <v>0</v>
      </c>
      <c r="L105" s="50">
        <v>0</v>
      </c>
      <c r="M105" s="50">
        <v>14</v>
      </c>
      <c r="N105" s="50">
        <v>0</v>
      </c>
      <c r="O105" s="15">
        <f t="shared" si="35"/>
        <v>302</v>
      </c>
      <c r="P105" s="15">
        <f t="shared" si="36"/>
        <v>316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3565</v>
      </c>
      <c r="D106" s="16">
        <f t="shared" ref="D106:P106" si="37">SUM(D10:D105)</f>
        <v>3449</v>
      </c>
      <c r="E106" s="16">
        <f t="shared" si="37"/>
        <v>549</v>
      </c>
      <c r="F106" s="16">
        <f t="shared" si="37"/>
        <v>511</v>
      </c>
      <c r="G106" s="16">
        <f t="shared" si="37"/>
        <v>66</v>
      </c>
      <c r="H106" s="16">
        <f t="shared" si="37"/>
        <v>10</v>
      </c>
      <c r="I106" s="16">
        <f t="shared" si="37"/>
        <v>139</v>
      </c>
      <c r="J106" s="16">
        <f t="shared" si="37"/>
        <v>112</v>
      </c>
      <c r="K106" s="16">
        <f t="shared" si="37"/>
        <v>18</v>
      </c>
      <c r="L106" s="16">
        <f t="shared" si="37"/>
        <v>11</v>
      </c>
      <c r="M106" s="16">
        <f t="shared" si="37"/>
        <v>5208</v>
      </c>
      <c r="N106" s="16">
        <f t="shared" si="37"/>
        <v>0</v>
      </c>
      <c r="O106" s="16">
        <f t="shared" si="37"/>
        <v>8430</v>
      </c>
      <c r="P106" s="16">
        <f t="shared" si="37"/>
        <v>13638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0.26140196509752162</v>
      </c>
      <c r="D107" s="43">
        <f t="shared" si="38"/>
        <v>0.25289631910837368</v>
      </c>
      <c r="E107" s="43">
        <f t="shared" si="38"/>
        <v>4.0255169379674438E-2</v>
      </c>
      <c r="F107" s="43">
        <f t="shared" si="38"/>
        <v>3.7468837072884585E-2</v>
      </c>
      <c r="G107" s="43">
        <f t="shared" si="38"/>
        <v>4.8394192696876379E-3</v>
      </c>
      <c r="H107" s="43">
        <f t="shared" si="38"/>
        <v>7.3324534389206629E-4</v>
      </c>
      <c r="I107" s="43">
        <f t="shared" si="38"/>
        <v>1.0192110280099722E-2</v>
      </c>
      <c r="J107" s="43">
        <f t="shared" si="38"/>
        <v>8.2123478515911431E-3</v>
      </c>
      <c r="K107" s="43">
        <f t="shared" si="38"/>
        <v>1.3198416190057193E-3</v>
      </c>
      <c r="L107" s="43">
        <f t="shared" si="38"/>
        <v>8.0656987828127294E-4</v>
      </c>
      <c r="M107" s="43">
        <f t="shared" si="38"/>
        <v>0.38187417509898813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0.42289442467378413</v>
      </c>
      <c r="D108" s="44">
        <f t="shared" ref="D108:N108" si="39">D106/$O$106</f>
        <v>0.4091340450771056</v>
      </c>
      <c r="E108" s="44">
        <f t="shared" si="39"/>
        <v>6.5124555160142344E-2</v>
      </c>
      <c r="F108" s="44">
        <f t="shared" si="39"/>
        <v>6.0616844602609729E-2</v>
      </c>
      <c r="G108" s="44">
        <f t="shared" si="39"/>
        <v>7.8291814946619218E-3</v>
      </c>
      <c r="H108" s="44">
        <f t="shared" si="39"/>
        <v>1.1862396204033216E-3</v>
      </c>
      <c r="I108" s="44">
        <f t="shared" si="39"/>
        <v>1.6488730723606168E-2</v>
      </c>
      <c r="J108" s="44">
        <f t="shared" si="39"/>
        <v>1.32858837485172E-2</v>
      </c>
      <c r="K108" s="44">
        <f t="shared" si="39"/>
        <v>2.1352313167259788E-3</v>
      </c>
      <c r="L108" s="44">
        <f t="shared" si="39"/>
        <v>1.3048635824436537E-3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40" zoomScale="40" zoomScaleSheetLayoutView="40" workbookViewId="0">
      <selection activeCell="K54" sqref="K5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'29.07 Ntinda-Naalya'!C3:G3</f>
        <v>MCC - C1 - STN38 - NAALYA EAST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172</v>
      </c>
      <c r="E5" s="3"/>
      <c r="F5" s="41" t="s">
        <v>1</v>
      </c>
      <c r="G5" s="65" t="str">
        <f>'31.07 Naalya-Ntinda'!G5:H5</f>
        <v>NAALYA ROUND ABOUT</v>
      </c>
      <c r="H5" s="66"/>
      <c r="I5" s="14"/>
      <c r="J5" s="2" t="s">
        <v>5</v>
      </c>
      <c r="K5" s="65" t="str">
        <f>'31.07 Naalya-Ntinda'!K5:L5</f>
        <v>HARRIET N/NASSIWA A/MUTE C/PHOEBY/KAZIBWE J/NAKAYE J.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'29.07 Ntinda-Naalya'!D6:E6</f>
        <v>NTINDA</v>
      </c>
      <c r="E6" s="66"/>
      <c r="F6" s="2" t="s">
        <v>2</v>
      </c>
      <c r="G6" s="65" t="str">
        <f>'29.07 Ntinda-Naalya'!G6:H6</f>
        <v>NAALYA</v>
      </c>
      <c r="H6" s="66"/>
      <c r="J6" s="2" t="s">
        <v>21</v>
      </c>
      <c r="K6" s="65" t="str">
        <f>'31.07 Naalya-Ntinda'!K6:L6</f>
        <v>STEVEN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110</v>
      </c>
      <c r="D10" s="50">
        <v>9</v>
      </c>
      <c r="E10" s="50">
        <v>1</v>
      </c>
      <c r="F10" s="50">
        <v>6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27</v>
      </c>
      <c r="N10" s="50">
        <v>0</v>
      </c>
      <c r="O10" s="15">
        <f t="shared" ref="O10:O57" si="0">SUM(C10:L10,N10)</f>
        <v>126</v>
      </c>
      <c r="P10" s="15">
        <f t="shared" ref="P10:P57" si="1">SUM(C10:N10)</f>
        <v>153</v>
      </c>
      <c r="R10" s="1" t="s">
        <v>6</v>
      </c>
      <c r="S10" s="17">
        <f t="shared" ref="S10:AF10" si="2">SUM(C10:C13)</f>
        <v>554</v>
      </c>
      <c r="T10" s="17">
        <f t="shared" si="2"/>
        <v>78</v>
      </c>
      <c r="U10" s="17">
        <f t="shared" si="2"/>
        <v>6</v>
      </c>
      <c r="V10" s="17">
        <f t="shared" si="2"/>
        <v>27</v>
      </c>
      <c r="W10" s="17">
        <f t="shared" si="2"/>
        <v>1</v>
      </c>
      <c r="X10" s="17">
        <f t="shared" si="2"/>
        <v>0</v>
      </c>
      <c r="Y10" s="17">
        <f t="shared" si="2"/>
        <v>5</v>
      </c>
      <c r="Z10" s="17">
        <f t="shared" si="2"/>
        <v>1</v>
      </c>
      <c r="AA10" s="17">
        <f t="shared" si="2"/>
        <v>0</v>
      </c>
      <c r="AB10" s="17">
        <f t="shared" si="2"/>
        <v>1</v>
      </c>
      <c r="AC10" s="17">
        <f t="shared" si="2"/>
        <v>146</v>
      </c>
      <c r="AD10" s="17">
        <f t="shared" si="2"/>
        <v>0</v>
      </c>
      <c r="AE10" s="31">
        <f t="shared" si="2"/>
        <v>673</v>
      </c>
      <c r="AF10" s="31">
        <f t="shared" si="2"/>
        <v>819</v>
      </c>
    </row>
    <row r="11" spans="2:32" s="6" customFormat="1" ht="23.1" customHeight="1" x14ac:dyDescent="0.25">
      <c r="B11" s="23" t="s">
        <v>38</v>
      </c>
      <c r="C11" s="50">
        <v>160</v>
      </c>
      <c r="D11" s="50">
        <v>18</v>
      </c>
      <c r="E11" s="50">
        <v>0</v>
      </c>
      <c r="F11" s="50">
        <v>5</v>
      </c>
      <c r="G11" s="50">
        <v>0</v>
      </c>
      <c r="H11" s="50">
        <v>0</v>
      </c>
      <c r="I11" s="50">
        <v>1</v>
      </c>
      <c r="J11" s="50">
        <v>1</v>
      </c>
      <c r="K11" s="50">
        <v>0</v>
      </c>
      <c r="L11" s="50">
        <v>0</v>
      </c>
      <c r="M11" s="50">
        <v>20</v>
      </c>
      <c r="N11" s="50">
        <v>0</v>
      </c>
      <c r="O11" s="15">
        <f t="shared" si="0"/>
        <v>185</v>
      </c>
      <c r="P11" s="15">
        <f t="shared" si="1"/>
        <v>205</v>
      </c>
      <c r="R11" s="1" t="s">
        <v>7</v>
      </c>
      <c r="S11" s="17">
        <f t="shared" ref="S11:AF11" si="3">SUM(C14:C17)</f>
        <v>394</v>
      </c>
      <c r="T11" s="17">
        <f t="shared" si="3"/>
        <v>75</v>
      </c>
      <c r="U11" s="17">
        <f t="shared" si="3"/>
        <v>11</v>
      </c>
      <c r="V11" s="17">
        <f t="shared" si="3"/>
        <v>48</v>
      </c>
      <c r="W11" s="17">
        <f t="shared" si="3"/>
        <v>3</v>
      </c>
      <c r="X11" s="17">
        <f t="shared" si="3"/>
        <v>0</v>
      </c>
      <c r="Y11" s="17">
        <f t="shared" si="3"/>
        <v>13</v>
      </c>
      <c r="Z11" s="17">
        <f t="shared" si="3"/>
        <v>8</v>
      </c>
      <c r="AA11" s="17">
        <f t="shared" si="3"/>
        <v>2</v>
      </c>
      <c r="AB11" s="17">
        <f t="shared" si="3"/>
        <v>0</v>
      </c>
      <c r="AC11" s="17">
        <f t="shared" si="3"/>
        <v>217</v>
      </c>
      <c r="AD11" s="17">
        <f t="shared" si="3"/>
        <v>1</v>
      </c>
      <c r="AE11" s="31">
        <f t="shared" si="3"/>
        <v>555</v>
      </c>
      <c r="AF11" s="31">
        <f t="shared" si="3"/>
        <v>772</v>
      </c>
    </row>
    <row r="12" spans="2:32" ht="23.1" customHeight="1" x14ac:dyDescent="0.25">
      <c r="B12" s="23" t="s">
        <v>39</v>
      </c>
      <c r="C12" s="50">
        <v>157</v>
      </c>
      <c r="D12" s="50">
        <v>32</v>
      </c>
      <c r="E12" s="50">
        <v>3</v>
      </c>
      <c r="F12" s="50">
        <v>8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1</v>
      </c>
      <c r="M12" s="50">
        <v>48</v>
      </c>
      <c r="N12" s="50">
        <v>0</v>
      </c>
      <c r="O12" s="15">
        <f t="shared" si="0"/>
        <v>202</v>
      </c>
      <c r="P12" s="15">
        <f t="shared" si="1"/>
        <v>250</v>
      </c>
      <c r="R12" s="1" t="s">
        <v>8</v>
      </c>
      <c r="S12" s="17">
        <f t="shared" ref="S12:AF12" si="4">SUM(C18:C21)</f>
        <v>238</v>
      </c>
      <c r="T12" s="17">
        <f t="shared" si="4"/>
        <v>65</v>
      </c>
      <c r="U12" s="17">
        <f t="shared" si="4"/>
        <v>16</v>
      </c>
      <c r="V12" s="17">
        <f t="shared" si="4"/>
        <v>29</v>
      </c>
      <c r="W12" s="17">
        <f t="shared" si="4"/>
        <v>3</v>
      </c>
      <c r="X12" s="17">
        <f t="shared" si="4"/>
        <v>2</v>
      </c>
      <c r="Y12" s="17">
        <f t="shared" si="4"/>
        <v>14</v>
      </c>
      <c r="Z12" s="17">
        <f t="shared" si="4"/>
        <v>16</v>
      </c>
      <c r="AA12" s="17">
        <f t="shared" si="4"/>
        <v>3</v>
      </c>
      <c r="AB12" s="17">
        <f t="shared" si="4"/>
        <v>0</v>
      </c>
      <c r="AC12" s="17">
        <f t="shared" si="4"/>
        <v>273</v>
      </c>
      <c r="AD12" s="17">
        <f t="shared" si="4"/>
        <v>0</v>
      </c>
      <c r="AE12" s="31">
        <f t="shared" si="4"/>
        <v>386</v>
      </c>
      <c r="AF12" s="31">
        <f t="shared" si="4"/>
        <v>659</v>
      </c>
    </row>
    <row r="13" spans="2:32" ht="23.1" customHeight="1" x14ac:dyDescent="0.25">
      <c r="B13" s="23" t="s">
        <v>40</v>
      </c>
      <c r="C13" s="50">
        <v>127</v>
      </c>
      <c r="D13" s="50">
        <v>19</v>
      </c>
      <c r="E13" s="50">
        <v>2</v>
      </c>
      <c r="F13" s="50">
        <v>8</v>
      </c>
      <c r="G13" s="50">
        <v>1</v>
      </c>
      <c r="H13" s="50">
        <v>0</v>
      </c>
      <c r="I13" s="50">
        <v>3</v>
      </c>
      <c r="J13" s="50">
        <v>0</v>
      </c>
      <c r="K13" s="50">
        <v>0</v>
      </c>
      <c r="L13" s="50">
        <v>0</v>
      </c>
      <c r="M13" s="50">
        <v>51</v>
      </c>
      <c r="N13" s="50">
        <v>0</v>
      </c>
      <c r="O13" s="15">
        <f t="shared" si="0"/>
        <v>160</v>
      </c>
      <c r="P13" s="15">
        <f t="shared" si="1"/>
        <v>211</v>
      </c>
      <c r="R13" s="1" t="s">
        <v>9</v>
      </c>
      <c r="S13" s="17">
        <f t="shared" ref="S13:AF13" si="5">SUM(C22:C25)</f>
        <v>239</v>
      </c>
      <c r="T13" s="17">
        <f t="shared" si="5"/>
        <v>76</v>
      </c>
      <c r="U13" s="17">
        <f t="shared" si="5"/>
        <v>16</v>
      </c>
      <c r="V13" s="17">
        <f t="shared" si="5"/>
        <v>19</v>
      </c>
      <c r="W13" s="17">
        <f t="shared" si="5"/>
        <v>7</v>
      </c>
      <c r="X13" s="17">
        <f t="shared" si="5"/>
        <v>0</v>
      </c>
      <c r="Y13" s="17">
        <f t="shared" si="5"/>
        <v>12</v>
      </c>
      <c r="Z13" s="17">
        <f t="shared" si="5"/>
        <v>5</v>
      </c>
      <c r="AA13" s="17">
        <f t="shared" si="5"/>
        <v>2</v>
      </c>
      <c r="AB13" s="17">
        <f t="shared" si="5"/>
        <v>2</v>
      </c>
      <c r="AC13" s="17">
        <f t="shared" si="5"/>
        <v>274</v>
      </c>
      <c r="AD13" s="17">
        <f t="shared" si="5"/>
        <v>0</v>
      </c>
      <c r="AE13" s="31">
        <f t="shared" si="5"/>
        <v>378</v>
      </c>
      <c r="AF13" s="31">
        <f t="shared" si="5"/>
        <v>652</v>
      </c>
    </row>
    <row r="14" spans="2:32" ht="23.1" customHeight="1" x14ac:dyDescent="0.25">
      <c r="B14" s="23" t="s">
        <v>41</v>
      </c>
      <c r="C14" s="50">
        <v>92</v>
      </c>
      <c r="D14" s="50">
        <v>18</v>
      </c>
      <c r="E14" s="50">
        <v>1</v>
      </c>
      <c r="F14" s="50">
        <v>12</v>
      </c>
      <c r="G14" s="50">
        <v>1</v>
      </c>
      <c r="H14" s="50">
        <v>0</v>
      </c>
      <c r="I14" s="50">
        <v>2</v>
      </c>
      <c r="J14" s="50">
        <v>3</v>
      </c>
      <c r="K14" s="50">
        <v>0</v>
      </c>
      <c r="L14" s="50">
        <v>0</v>
      </c>
      <c r="M14" s="50">
        <v>69</v>
      </c>
      <c r="N14" s="50">
        <v>0</v>
      </c>
      <c r="O14" s="15">
        <f t="shared" si="0"/>
        <v>129</v>
      </c>
      <c r="P14" s="15">
        <f t="shared" si="1"/>
        <v>198</v>
      </c>
      <c r="R14" s="1" t="s">
        <v>10</v>
      </c>
      <c r="S14" s="17">
        <f t="shared" ref="S14:AF14" si="6">SUM(C26:C29)</f>
        <v>283</v>
      </c>
      <c r="T14" s="17">
        <f t="shared" si="6"/>
        <v>58</v>
      </c>
      <c r="U14" s="17">
        <f t="shared" si="6"/>
        <v>11</v>
      </c>
      <c r="V14" s="17">
        <f t="shared" si="6"/>
        <v>29</v>
      </c>
      <c r="W14" s="17">
        <f t="shared" si="6"/>
        <v>6</v>
      </c>
      <c r="X14" s="17">
        <f t="shared" si="6"/>
        <v>0</v>
      </c>
      <c r="Y14" s="17">
        <f t="shared" si="6"/>
        <v>15</v>
      </c>
      <c r="Z14" s="17">
        <f t="shared" si="6"/>
        <v>5</v>
      </c>
      <c r="AA14" s="17">
        <f t="shared" si="6"/>
        <v>1</v>
      </c>
      <c r="AB14" s="17">
        <f t="shared" si="6"/>
        <v>1</v>
      </c>
      <c r="AC14" s="17">
        <f t="shared" si="6"/>
        <v>235</v>
      </c>
      <c r="AD14" s="17">
        <f t="shared" si="6"/>
        <v>0</v>
      </c>
      <c r="AE14" s="31">
        <f t="shared" si="6"/>
        <v>409</v>
      </c>
      <c r="AF14" s="31">
        <f t="shared" si="6"/>
        <v>644</v>
      </c>
    </row>
    <row r="15" spans="2:32" ht="23.1" customHeight="1" x14ac:dyDescent="0.25">
      <c r="B15" s="23" t="s">
        <v>42</v>
      </c>
      <c r="C15" s="50">
        <v>131</v>
      </c>
      <c r="D15" s="50">
        <v>15</v>
      </c>
      <c r="E15" s="50">
        <v>4</v>
      </c>
      <c r="F15" s="50">
        <v>14</v>
      </c>
      <c r="G15" s="50">
        <v>1</v>
      </c>
      <c r="H15" s="50">
        <v>0</v>
      </c>
      <c r="I15" s="50">
        <v>5</v>
      </c>
      <c r="J15" s="50">
        <v>1</v>
      </c>
      <c r="K15" s="50">
        <v>1</v>
      </c>
      <c r="L15" s="50">
        <v>0</v>
      </c>
      <c r="M15" s="50">
        <v>50</v>
      </c>
      <c r="N15" s="50">
        <v>0</v>
      </c>
      <c r="O15" s="15">
        <f t="shared" si="0"/>
        <v>172</v>
      </c>
      <c r="P15" s="15">
        <f t="shared" si="1"/>
        <v>222</v>
      </c>
      <c r="R15" s="1" t="s">
        <v>11</v>
      </c>
      <c r="S15" s="17">
        <f t="shared" ref="S15:AF15" si="7">SUM(C30:C33)</f>
        <v>315</v>
      </c>
      <c r="T15" s="17">
        <f t="shared" si="7"/>
        <v>66</v>
      </c>
      <c r="U15" s="17">
        <f t="shared" si="7"/>
        <v>24</v>
      </c>
      <c r="V15" s="17">
        <f t="shared" si="7"/>
        <v>19</v>
      </c>
      <c r="W15" s="17">
        <f t="shared" si="7"/>
        <v>3</v>
      </c>
      <c r="X15" s="17">
        <f t="shared" si="7"/>
        <v>2</v>
      </c>
      <c r="Y15" s="17">
        <f t="shared" si="7"/>
        <v>21</v>
      </c>
      <c r="Z15" s="17">
        <f t="shared" si="7"/>
        <v>6</v>
      </c>
      <c r="AA15" s="17">
        <f t="shared" si="7"/>
        <v>3</v>
      </c>
      <c r="AB15" s="17">
        <f t="shared" si="7"/>
        <v>0</v>
      </c>
      <c r="AC15" s="17">
        <f t="shared" si="7"/>
        <v>155</v>
      </c>
      <c r="AD15" s="17">
        <f t="shared" si="7"/>
        <v>1</v>
      </c>
      <c r="AE15" s="31">
        <f t="shared" si="7"/>
        <v>460</v>
      </c>
      <c r="AF15" s="31">
        <f t="shared" si="7"/>
        <v>615</v>
      </c>
    </row>
    <row r="16" spans="2:32" ht="23.1" customHeight="1" x14ac:dyDescent="0.25">
      <c r="B16" s="23" t="s">
        <v>43</v>
      </c>
      <c r="C16" s="50">
        <v>90</v>
      </c>
      <c r="D16" s="50">
        <v>18</v>
      </c>
      <c r="E16" s="50">
        <v>3</v>
      </c>
      <c r="F16" s="50">
        <v>10</v>
      </c>
      <c r="G16" s="50">
        <v>1</v>
      </c>
      <c r="H16" s="50">
        <v>0</v>
      </c>
      <c r="I16" s="50">
        <v>3</v>
      </c>
      <c r="J16" s="50">
        <v>2</v>
      </c>
      <c r="K16" s="50">
        <v>0</v>
      </c>
      <c r="L16" s="50">
        <v>0</v>
      </c>
      <c r="M16" s="50">
        <v>58</v>
      </c>
      <c r="N16" s="50">
        <v>1</v>
      </c>
      <c r="O16" s="15">
        <f t="shared" si="0"/>
        <v>128</v>
      </c>
      <c r="P16" s="15">
        <f t="shared" si="1"/>
        <v>186</v>
      </c>
      <c r="R16" s="1" t="s">
        <v>12</v>
      </c>
      <c r="S16" s="17">
        <f t="shared" ref="S16:AF16" si="8">SUM(C34:C37)</f>
        <v>294</v>
      </c>
      <c r="T16" s="17">
        <f t="shared" si="8"/>
        <v>80</v>
      </c>
      <c r="U16" s="17">
        <f t="shared" si="8"/>
        <v>21</v>
      </c>
      <c r="V16" s="17">
        <f t="shared" si="8"/>
        <v>24</v>
      </c>
      <c r="W16" s="17">
        <f t="shared" si="8"/>
        <v>2</v>
      </c>
      <c r="X16" s="17">
        <f t="shared" si="8"/>
        <v>1</v>
      </c>
      <c r="Y16" s="17">
        <f t="shared" si="8"/>
        <v>7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165</v>
      </c>
      <c r="AD16" s="17">
        <f t="shared" si="8"/>
        <v>0</v>
      </c>
      <c r="AE16" s="31">
        <f t="shared" si="8"/>
        <v>431</v>
      </c>
      <c r="AF16" s="31">
        <f t="shared" si="8"/>
        <v>596</v>
      </c>
    </row>
    <row r="17" spans="2:32" ht="23.1" customHeight="1" x14ac:dyDescent="0.25">
      <c r="B17" s="23" t="s">
        <v>44</v>
      </c>
      <c r="C17" s="50">
        <v>81</v>
      </c>
      <c r="D17" s="50">
        <v>24</v>
      </c>
      <c r="E17" s="50">
        <v>3</v>
      </c>
      <c r="F17" s="50">
        <v>12</v>
      </c>
      <c r="G17" s="50">
        <v>0</v>
      </c>
      <c r="H17" s="50">
        <v>0</v>
      </c>
      <c r="I17" s="50">
        <v>3</v>
      </c>
      <c r="J17" s="50">
        <v>2</v>
      </c>
      <c r="K17" s="50">
        <v>1</v>
      </c>
      <c r="L17" s="50">
        <v>0</v>
      </c>
      <c r="M17" s="50">
        <v>40</v>
      </c>
      <c r="N17" s="50">
        <v>0</v>
      </c>
      <c r="O17" s="15">
        <f t="shared" si="0"/>
        <v>126</v>
      </c>
      <c r="P17" s="15">
        <f t="shared" si="1"/>
        <v>166</v>
      </c>
      <c r="R17" s="1" t="s">
        <v>13</v>
      </c>
      <c r="S17" s="17">
        <f t="shared" ref="S17:AF17" si="9">SUM(C38:C41)</f>
        <v>340</v>
      </c>
      <c r="T17" s="17">
        <f t="shared" si="9"/>
        <v>61</v>
      </c>
      <c r="U17" s="17">
        <f t="shared" si="9"/>
        <v>10</v>
      </c>
      <c r="V17" s="17">
        <f t="shared" si="9"/>
        <v>20</v>
      </c>
      <c r="W17" s="17">
        <f t="shared" si="9"/>
        <v>4</v>
      </c>
      <c r="X17" s="17">
        <f t="shared" si="9"/>
        <v>0</v>
      </c>
      <c r="Y17" s="17">
        <f t="shared" si="9"/>
        <v>15</v>
      </c>
      <c r="Z17" s="17">
        <f t="shared" si="9"/>
        <v>16</v>
      </c>
      <c r="AA17" s="17">
        <f t="shared" si="9"/>
        <v>2</v>
      </c>
      <c r="AB17" s="17">
        <f t="shared" si="9"/>
        <v>1</v>
      </c>
      <c r="AC17" s="17">
        <f t="shared" si="9"/>
        <v>260</v>
      </c>
      <c r="AD17" s="17">
        <f t="shared" si="9"/>
        <v>0</v>
      </c>
      <c r="AE17" s="31">
        <f t="shared" si="9"/>
        <v>469</v>
      </c>
      <c r="AF17" s="31">
        <f t="shared" si="9"/>
        <v>729</v>
      </c>
    </row>
    <row r="18" spans="2:32" ht="23.1" customHeight="1" x14ac:dyDescent="0.25">
      <c r="B18" s="23" t="s">
        <v>45</v>
      </c>
      <c r="C18" s="50">
        <v>56</v>
      </c>
      <c r="D18" s="50">
        <v>14</v>
      </c>
      <c r="E18" s="50">
        <v>4</v>
      </c>
      <c r="F18" s="50">
        <v>11</v>
      </c>
      <c r="G18" s="50">
        <v>2</v>
      </c>
      <c r="H18" s="50">
        <v>1</v>
      </c>
      <c r="I18" s="50">
        <v>10</v>
      </c>
      <c r="J18" s="50">
        <v>5</v>
      </c>
      <c r="K18" s="50">
        <v>0</v>
      </c>
      <c r="L18" s="50">
        <v>0</v>
      </c>
      <c r="M18" s="50">
        <v>68</v>
      </c>
      <c r="N18" s="50">
        <v>0</v>
      </c>
      <c r="O18" s="15">
        <f t="shared" si="0"/>
        <v>103</v>
      </c>
      <c r="P18" s="15">
        <f t="shared" si="1"/>
        <v>171</v>
      </c>
      <c r="R18" s="1" t="s">
        <v>14</v>
      </c>
      <c r="S18" s="17">
        <f t="shared" ref="S18:AF18" si="10">SUM(C42:C45)</f>
        <v>413</v>
      </c>
      <c r="T18" s="17">
        <f t="shared" si="10"/>
        <v>66</v>
      </c>
      <c r="U18" s="17">
        <f t="shared" si="10"/>
        <v>7</v>
      </c>
      <c r="V18" s="17">
        <f t="shared" si="10"/>
        <v>20</v>
      </c>
      <c r="W18" s="17">
        <f t="shared" si="10"/>
        <v>5</v>
      </c>
      <c r="X18" s="17">
        <f t="shared" si="10"/>
        <v>0</v>
      </c>
      <c r="Y18" s="17">
        <f t="shared" si="10"/>
        <v>28</v>
      </c>
      <c r="Z18" s="17">
        <f t="shared" si="10"/>
        <v>14</v>
      </c>
      <c r="AA18" s="17">
        <f t="shared" si="10"/>
        <v>1</v>
      </c>
      <c r="AB18" s="17">
        <f t="shared" si="10"/>
        <v>1</v>
      </c>
      <c r="AC18" s="17">
        <f t="shared" si="10"/>
        <v>317</v>
      </c>
      <c r="AD18" s="17">
        <f t="shared" si="10"/>
        <v>0</v>
      </c>
      <c r="AE18" s="31">
        <f t="shared" si="10"/>
        <v>555</v>
      </c>
      <c r="AF18" s="31">
        <f t="shared" si="10"/>
        <v>872</v>
      </c>
    </row>
    <row r="19" spans="2:32" ht="23.1" customHeight="1" x14ac:dyDescent="0.25">
      <c r="B19" s="23" t="s">
        <v>46</v>
      </c>
      <c r="C19" s="50">
        <v>53</v>
      </c>
      <c r="D19" s="50">
        <v>20</v>
      </c>
      <c r="E19" s="50">
        <v>2</v>
      </c>
      <c r="F19" s="50">
        <v>8</v>
      </c>
      <c r="G19" s="50">
        <v>0</v>
      </c>
      <c r="H19" s="50">
        <v>0</v>
      </c>
      <c r="I19" s="50">
        <v>0</v>
      </c>
      <c r="J19" s="50">
        <v>0</v>
      </c>
      <c r="K19" s="50">
        <v>1</v>
      </c>
      <c r="L19" s="50">
        <v>0</v>
      </c>
      <c r="M19" s="50">
        <v>61</v>
      </c>
      <c r="N19" s="50">
        <v>0</v>
      </c>
      <c r="O19" s="15">
        <f t="shared" si="0"/>
        <v>84</v>
      </c>
      <c r="P19" s="15">
        <f t="shared" si="1"/>
        <v>145</v>
      </c>
      <c r="R19" s="1" t="s">
        <v>15</v>
      </c>
      <c r="S19" s="17">
        <f t="shared" ref="S19:AF19" si="11">SUM(C46:C49)</f>
        <v>559</v>
      </c>
      <c r="T19" s="17">
        <f t="shared" si="11"/>
        <v>115</v>
      </c>
      <c r="U19" s="17">
        <f t="shared" si="11"/>
        <v>11</v>
      </c>
      <c r="V19" s="17">
        <f t="shared" si="11"/>
        <v>26</v>
      </c>
      <c r="W19" s="17">
        <f t="shared" si="11"/>
        <v>2</v>
      </c>
      <c r="X19" s="17">
        <f t="shared" si="11"/>
        <v>0</v>
      </c>
      <c r="Y19" s="17">
        <f t="shared" si="11"/>
        <v>17</v>
      </c>
      <c r="Z19" s="17">
        <f t="shared" si="11"/>
        <v>3</v>
      </c>
      <c r="AA19" s="17">
        <f t="shared" si="11"/>
        <v>4</v>
      </c>
      <c r="AB19" s="17">
        <f t="shared" si="11"/>
        <v>0</v>
      </c>
      <c r="AC19" s="17">
        <f t="shared" si="11"/>
        <v>375</v>
      </c>
      <c r="AD19" s="17">
        <f t="shared" si="11"/>
        <v>0</v>
      </c>
      <c r="AE19" s="31">
        <f t="shared" si="11"/>
        <v>737</v>
      </c>
      <c r="AF19" s="31">
        <f t="shared" si="11"/>
        <v>1112</v>
      </c>
    </row>
    <row r="20" spans="2:32" ht="23.1" customHeight="1" x14ac:dyDescent="0.25">
      <c r="B20" s="23" t="s">
        <v>47</v>
      </c>
      <c r="C20" s="50">
        <v>66</v>
      </c>
      <c r="D20" s="50">
        <v>17</v>
      </c>
      <c r="E20" s="50">
        <v>4</v>
      </c>
      <c r="F20" s="50">
        <v>5</v>
      </c>
      <c r="G20" s="50">
        <v>1</v>
      </c>
      <c r="H20" s="50">
        <v>1</v>
      </c>
      <c r="I20" s="50">
        <v>3</v>
      </c>
      <c r="J20" s="50">
        <v>5</v>
      </c>
      <c r="K20" s="50">
        <v>1</v>
      </c>
      <c r="L20" s="50">
        <v>0</v>
      </c>
      <c r="M20" s="50">
        <v>68</v>
      </c>
      <c r="N20" s="50">
        <v>0</v>
      </c>
      <c r="O20" s="15">
        <f t="shared" si="0"/>
        <v>103</v>
      </c>
      <c r="P20" s="15">
        <f t="shared" si="1"/>
        <v>171</v>
      </c>
      <c r="R20" s="1" t="s">
        <v>16</v>
      </c>
      <c r="S20" s="17">
        <f t="shared" ref="S20:AF20" si="12">SUM(C50:C53)</f>
        <v>545</v>
      </c>
      <c r="T20" s="17">
        <f t="shared" si="12"/>
        <v>117</v>
      </c>
      <c r="U20" s="17">
        <f t="shared" si="12"/>
        <v>16</v>
      </c>
      <c r="V20" s="17">
        <f t="shared" si="12"/>
        <v>39</v>
      </c>
      <c r="W20" s="17">
        <f t="shared" si="12"/>
        <v>8</v>
      </c>
      <c r="X20" s="17">
        <f t="shared" si="12"/>
        <v>3</v>
      </c>
      <c r="Y20" s="17">
        <f t="shared" si="12"/>
        <v>22</v>
      </c>
      <c r="Z20" s="17">
        <f t="shared" si="12"/>
        <v>3</v>
      </c>
      <c r="AA20" s="17">
        <f t="shared" si="12"/>
        <v>2</v>
      </c>
      <c r="AB20" s="17">
        <f t="shared" si="12"/>
        <v>2</v>
      </c>
      <c r="AC20" s="17">
        <f t="shared" si="12"/>
        <v>379</v>
      </c>
      <c r="AD20" s="17">
        <f t="shared" si="12"/>
        <v>0</v>
      </c>
      <c r="AE20" s="31">
        <f t="shared" si="12"/>
        <v>757</v>
      </c>
      <c r="AF20" s="31">
        <f t="shared" si="12"/>
        <v>1136</v>
      </c>
    </row>
    <row r="21" spans="2:32" ht="23.1" customHeight="1" x14ac:dyDescent="0.25">
      <c r="B21" s="23" t="s">
        <v>48</v>
      </c>
      <c r="C21" s="50">
        <v>63</v>
      </c>
      <c r="D21" s="50">
        <v>14</v>
      </c>
      <c r="E21" s="50">
        <v>6</v>
      </c>
      <c r="F21" s="50">
        <v>5</v>
      </c>
      <c r="G21" s="50">
        <v>0</v>
      </c>
      <c r="H21" s="50">
        <v>0</v>
      </c>
      <c r="I21" s="50">
        <v>1</v>
      </c>
      <c r="J21" s="50">
        <v>6</v>
      </c>
      <c r="K21" s="50">
        <v>1</v>
      </c>
      <c r="L21" s="50">
        <v>0</v>
      </c>
      <c r="M21" s="50">
        <v>76</v>
      </c>
      <c r="N21" s="50">
        <v>0</v>
      </c>
      <c r="O21" s="15">
        <f t="shared" si="0"/>
        <v>96</v>
      </c>
      <c r="P21" s="15">
        <f t="shared" si="1"/>
        <v>172</v>
      </c>
      <c r="R21" s="36" t="s">
        <v>20</v>
      </c>
      <c r="S21" s="34">
        <f t="shared" ref="S21:AF21" si="13">SUM(C54:C57)</f>
        <v>448</v>
      </c>
      <c r="T21" s="17">
        <f t="shared" si="13"/>
        <v>112</v>
      </c>
      <c r="U21" s="17">
        <f t="shared" si="13"/>
        <v>8</v>
      </c>
      <c r="V21" s="17">
        <f t="shared" si="13"/>
        <v>14</v>
      </c>
      <c r="W21" s="17">
        <f t="shared" si="13"/>
        <v>46</v>
      </c>
      <c r="X21" s="17">
        <f t="shared" si="13"/>
        <v>6</v>
      </c>
      <c r="Y21" s="17">
        <f t="shared" si="13"/>
        <v>11</v>
      </c>
      <c r="Z21" s="17">
        <f t="shared" si="13"/>
        <v>3</v>
      </c>
      <c r="AA21" s="17">
        <f t="shared" si="13"/>
        <v>1</v>
      </c>
      <c r="AB21" s="17">
        <f t="shared" si="13"/>
        <v>0</v>
      </c>
      <c r="AC21" s="17">
        <f t="shared" si="13"/>
        <v>258</v>
      </c>
      <c r="AD21" s="17">
        <f t="shared" si="13"/>
        <v>0</v>
      </c>
      <c r="AE21" s="31">
        <f t="shared" si="13"/>
        <v>649</v>
      </c>
      <c r="AF21" s="31">
        <f t="shared" si="13"/>
        <v>907</v>
      </c>
    </row>
    <row r="22" spans="2:32" ht="23.1" customHeight="1" x14ac:dyDescent="0.25">
      <c r="B22" s="23" t="s">
        <v>49</v>
      </c>
      <c r="C22" s="50">
        <v>57</v>
      </c>
      <c r="D22" s="50">
        <v>19</v>
      </c>
      <c r="E22" s="50">
        <v>3</v>
      </c>
      <c r="F22" s="50">
        <v>4</v>
      </c>
      <c r="G22" s="50">
        <v>3</v>
      </c>
      <c r="H22" s="50">
        <v>0</v>
      </c>
      <c r="I22" s="50">
        <v>3</v>
      </c>
      <c r="J22" s="50">
        <v>1</v>
      </c>
      <c r="K22" s="50">
        <v>0</v>
      </c>
      <c r="L22" s="50">
        <v>0</v>
      </c>
      <c r="M22" s="50">
        <v>78</v>
      </c>
      <c r="N22" s="50">
        <v>0</v>
      </c>
      <c r="O22" s="15">
        <f t="shared" si="0"/>
        <v>90</v>
      </c>
      <c r="P22" s="15">
        <f t="shared" si="1"/>
        <v>168</v>
      </c>
      <c r="R22" s="38" t="s">
        <v>90</v>
      </c>
      <c r="S22" s="39">
        <f>MAX(S10:S12)</f>
        <v>554</v>
      </c>
      <c r="T22" s="39">
        <f t="shared" ref="T22:AF22" si="14">MAX(T10:T12)</f>
        <v>78</v>
      </c>
      <c r="U22" s="39">
        <f t="shared" si="14"/>
        <v>16</v>
      </c>
      <c r="V22" s="39">
        <f t="shared" si="14"/>
        <v>48</v>
      </c>
      <c r="W22" s="39">
        <f t="shared" si="14"/>
        <v>3</v>
      </c>
      <c r="X22" s="39">
        <f t="shared" si="14"/>
        <v>2</v>
      </c>
      <c r="Y22" s="39">
        <f t="shared" si="14"/>
        <v>14</v>
      </c>
      <c r="Z22" s="39">
        <f t="shared" si="14"/>
        <v>16</v>
      </c>
      <c r="AA22" s="39">
        <f t="shared" si="14"/>
        <v>3</v>
      </c>
      <c r="AB22" s="39">
        <f t="shared" si="14"/>
        <v>1</v>
      </c>
      <c r="AC22" s="39">
        <f t="shared" si="14"/>
        <v>273</v>
      </c>
      <c r="AD22" s="39">
        <f t="shared" si="14"/>
        <v>1</v>
      </c>
      <c r="AE22" s="40">
        <f t="shared" si="14"/>
        <v>673</v>
      </c>
      <c r="AF22" s="40">
        <f t="shared" si="14"/>
        <v>819</v>
      </c>
    </row>
    <row r="23" spans="2:32" ht="23.1" customHeight="1" x14ac:dyDescent="0.25">
      <c r="B23" s="23" t="s">
        <v>50</v>
      </c>
      <c r="C23" s="50">
        <v>68</v>
      </c>
      <c r="D23" s="50">
        <v>24</v>
      </c>
      <c r="E23" s="50">
        <v>5</v>
      </c>
      <c r="F23" s="50">
        <v>4</v>
      </c>
      <c r="G23" s="50">
        <v>3</v>
      </c>
      <c r="H23" s="50">
        <v>0</v>
      </c>
      <c r="I23" s="50">
        <v>4</v>
      </c>
      <c r="J23" s="50">
        <v>0</v>
      </c>
      <c r="K23" s="50">
        <v>1</v>
      </c>
      <c r="L23" s="50">
        <v>2</v>
      </c>
      <c r="M23" s="50">
        <v>55</v>
      </c>
      <c r="N23" s="50">
        <v>0</v>
      </c>
      <c r="O23" s="15">
        <f t="shared" si="0"/>
        <v>111</v>
      </c>
      <c r="P23" s="15">
        <f t="shared" si="1"/>
        <v>166</v>
      </c>
      <c r="R23" s="38" t="s">
        <v>91</v>
      </c>
      <c r="S23" s="39">
        <f>MAX(S13:S18)</f>
        <v>413</v>
      </c>
      <c r="T23" s="39">
        <f t="shared" ref="T23:AF23" si="15">MAX(T13:T18)</f>
        <v>80</v>
      </c>
      <c r="U23" s="39">
        <f t="shared" si="15"/>
        <v>24</v>
      </c>
      <c r="V23" s="39">
        <f t="shared" si="15"/>
        <v>29</v>
      </c>
      <c r="W23" s="39">
        <f t="shared" si="15"/>
        <v>7</v>
      </c>
      <c r="X23" s="39">
        <f t="shared" si="15"/>
        <v>2</v>
      </c>
      <c r="Y23" s="39">
        <f t="shared" si="15"/>
        <v>28</v>
      </c>
      <c r="Z23" s="39">
        <f t="shared" si="15"/>
        <v>16</v>
      </c>
      <c r="AA23" s="39">
        <f t="shared" si="15"/>
        <v>3</v>
      </c>
      <c r="AB23" s="39">
        <f t="shared" si="15"/>
        <v>2</v>
      </c>
      <c r="AC23" s="39">
        <f t="shared" si="15"/>
        <v>317</v>
      </c>
      <c r="AD23" s="39">
        <f t="shared" si="15"/>
        <v>1</v>
      </c>
      <c r="AE23" s="40">
        <f t="shared" si="15"/>
        <v>555</v>
      </c>
      <c r="AF23" s="40">
        <f t="shared" si="15"/>
        <v>872</v>
      </c>
    </row>
    <row r="24" spans="2:32" ht="23.1" customHeight="1" x14ac:dyDescent="0.25">
      <c r="B24" s="23" t="s">
        <v>51</v>
      </c>
      <c r="C24" s="50">
        <v>61</v>
      </c>
      <c r="D24" s="50">
        <v>22</v>
      </c>
      <c r="E24" s="50">
        <v>5</v>
      </c>
      <c r="F24" s="50">
        <v>6</v>
      </c>
      <c r="G24" s="50">
        <v>0</v>
      </c>
      <c r="H24" s="50">
        <v>0</v>
      </c>
      <c r="I24" s="50">
        <v>2</v>
      </c>
      <c r="J24" s="50">
        <v>2</v>
      </c>
      <c r="K24" s="50">
        <v>1</v>
      </c>
      <c r="L24" s="50">
        <v>0</v>
      </c>
      <c r="M24" s="50">
        <v>60</v>
      </c>
      <c r="N24" s="50">
        <v>0</v>
      </c>
      <c r="O24" s="15">
        <f t="shared" si="0"/>
        <v>99</v>
      </c>
      <c r="P24" s="15">
        <f t="shared" si="1"/>
        <v>159</v>
      </c>
      <c r="R24" s="38" t="s">
        <v>92</v>
      </c>
      <c r="S24" s="39">
        <f>MAX(S19:S21)</f>
        <v>559</v>
      </c>
      <c r="T24" s="39">
        <f t="shared" ref="T24:AF24" si="16">MAX(T19:T21)</f>
        <v>117</v>
      </c>
      <c r="U24" s="39">
        <f t="shared" si="16"/>
        <v>16</v>
      </c>
      <c r="V24" s="39">
        <f t="shared" si="16"/>
        <v>39</v>
      </c>
      <c r="W24" s="39">
        <f t="shared" si="16"/>
        <v>46</v>
      </c>
      <c r="X24" s="39">
        <f t="shared" si="16"/>
        <v>6</v>
      </c>
      <c r="Y24" s="39">
        <f t="shared" si="16"/>
        <v>22</v>
      </c>
      <c r="Z24" s="39">
        <f t="shared" si="16"/>
        <v>3</v>
      </c>
      <c r="AA24" s="39">
        <f t="shared" si="16"/>
        <v>4</v>
      </c>
      <c r="AB24" s="39">
        <f t="shared" si="16"/>
        <v>2</v>
      </c>
      <c r="AC24" s="39">
        <f t="shared" si="16"/>
        <v>379</v>
      </c>
      <c r="AD24" s="39">
        <f t="shared" si="16"/>
        <v>0</v>
      </c>
      <c r="AE24" s="40">
        <f t="shared" si="16"/>
        <v>757</v>
      </c>
      <c r="AF24" s="40">
        <f t="shared" si="16"/>
        <v>1136</v>
      </c>
    </row>
    <row r="25" spans="2:32" ht="23.1" customHeight="1" x14ac:dyDescent="0.25">
      <c r="B25" s="23" t="s">
        <v>52</v>
      </c>
      <c r="C25" s="50">
        <v>53</v>
      </c>
      <c r="D25" s="50">
        <v>11</v>
      </c>
      <c r="E25" s="50">
        <v>3</v>
      </c>
      <c r="F25" s="50">
        <v>5</v>
      </c>
      <c r="G25" s="50">
        <v>1</v>
      </c>
      <c r="H25" s="50">
        <v>0</v>
      </c>
      <c r="I25" s="50">
        <v>3</v>
      </c>
      <c r="J25" s="50">
        <v>2</v>
      </c>
      <c r="K25" s="50">
        <v>0</v>
      </c>
      <c r="L25" s="50">
        <v>0</v>
      </c>
      <c r="M25" s="50">
        <v>81</v>
      </c>
      <c r="N25" s="50">
        <v>0</v>
      </c>
      <c r="O25" s="15">
        <f t="shared" si="0"/>
        <v>78</v>
      </c>
      <c r="P25" s="15">
        <f t="shared" si="1"/>
        <v>159</v>
      </c>
      <c r="R25" s="37" t="s">
        <v>85</v>
      </c>
      <c r="S25" s="35">
        <f t="shared" ref="S25:AF25" si="17">SUM(S10:S12)</f>
        <v>1186</v>
      </c>
      <c r="T25" s="16">
        <f t="shared" si="17"/>
        <v>218</v>
      </c>
      <c r="U25" s="16">
        <f t="shared" si="17"/>
        <v>33</v>
      </c>
      <c r="V25" s="16">
        <f t="shared" si="17"/>
        <v>104</v>
      </c>
      <c r="W25" s="16">
        <f t="shared" si="17"/>
        <v>7</v>
      </c>
      <c r="X25" s="16">
        <f t="shared" si="17"/>
        <v>2</v>
      </c>
      <c r="Y25" s="16">
        <f t="shared" si="17"/>
        <v>32</v>
      </c>
      <c r="Z25" s="16">
        <f t="shared" si="17"/>
        <v>25</v>
      </c>
      <c r="AA25" s="16">
        <f t="shared" si="17"/>
        <v>5</v>
      </c>
      <c r="AB25" s="16">
        <f t="shared" si="17"/>
        <v>1</v>
      </c>
      <c r="AC25" s="16">
        <f t="shared" si="17"/>
        <v>636</v>
      </c>
      <c r="AD25" s="16">
        <f t="shared" si="17"/>
        <v>1</v>
      </c>
      <c r="AE25" s="32">
        <f t="shared" si="17"/>
        <v>1614</v>
      </c>
      <c r="AF25" s="32">
        <f t="shared" si="17"/>
        <v>2250</v>
      </c>
    </row>
    <row r="26" spans="2:32" ht="23.1" customHeight="1" x14ac:dyDescent="0.25">
      <c r="B26" s="23" t="s">
        <v>53</v>
      </c>
      <c r="C26" s="50">
        <v>72</v>
      </c>
      <c r="D26" s="50">
        <v>19</v>
      </c>
      <c r="E26" s="50">
        <v>4</v>
      </c>
      <c r="F26" s="50">
        <v>4</v>
      </c>
      <c r="G26" s="50">
        <v>0</v>
      </c>
      <c r="H26" s="50">
        <v>0</v>
      </c>
      <c r="I26" s="50">
        <v>4</v>
      </c>
      <c r="J26" s="50">
        <v>0</v>
      </c>
      <c r="K26" s="50">
        <v>0</v>
      </c>
      <c r="L26" s="50">
        <v>0</v>
      </c>
      <c r="M26" s="50">
        <v>63</v>
      </c>
      <c r="N26" s="50">
        <v>0</v>
      </c>
      <c r="O26" s="15">
        <f t="shared" si="0"/>
        <v>103</v>
      </c>
      <c r="P26" s="15">
        <f t="shared" si="1"/>
        <v>166</v>
      </c>
      <c r="R26" s="28" t="s">
        <v>86</v>
      </c>
      <c r="S26" s="16">
        <f t="shared" ref="S26:AF26" si="18">SUM(S13:S18)</f>
        <v>1884</v>
      </c>
      <c r="T26" s="16">
        <f t="shared" si="18"/>
        <v>407</v>
      </c>
      <c r="U26" s="16">
        <f t="shared" si="18"/>
        <v>89</v>
      </c>
      <c r="V26" s="16">
        <f t="shared" si="18"/>
        <v>131</v>
      </c>
      <c r="W26" s="16">
        <f t="shared" si="18"/>
        <v>27</v>
      </c>
      <c r="X26" s="16">
        <f t="shared" si="18"/>
        <v>3</v>
      </c>
      <c r="Y26" s="16">
        <f t="shared" si="18"/>
        <v>98</v>
      </c>
      <c r="Z26" s="16">
        <f t="shared" si="18"/>
        <v>48</v>
      </c>
      <c r="AA26" s="16">
        <f t="shared" si="18"/>
        <v>9</v>
      </c>
      <c r="AB26" s="16">
        <f t="shared" si="18"/>
        <v>5</v>
      </c>
      <c r="AC26" s="16">
        <f t="shared" si="18"/>
        <v>1406</v>
      </c>
      <c r="AD26" s="16">
        <f t="shared" si="18"/>
        <v>1</v>
      </c>
      <c r="AE26" s="32">
        <f t="shared" si="18"/>
        <v>2702</v>
      </c>
      <c r="AF26" s="32">
        <f t="shared" si="18"/>
        <v>4108</v>
      </c>
    </row>
    <row r="27" spans="2:32" ht="23.1" customHeight="1" x14ac:dyDescent="0.25">
      <c r="B27" s="23" t="s">
        <v>54</v>
      </c>
      <c r="C27" s="50">
        <v>63</v>
      </c>
      <c r="D27" s="50">
        <v>13</v>
      </c>
      <c r="E27" s="50">
        <v>1</v>
      </c>
      <c r="F27" s="50">
        <v>7</v>
      </c>
      <c r="G27" s="50">
        <v>3</v>
      </c>
      <c r="H27" s="50">
        <v>0</v>
      </c>
      <c r="I27" s="50">
        <v>3</v>
      </c>
      <c r="J27" s="50">
        <v>1</v>
      </c>
      <c r="K27" s="50">
        <v>1</v>
      </c>
      <c r="L27" s="50">
        <v>1</v>
      </c>
      <c r="M27" s="50">
        <v>60</v>
      </c>
      <c r="N27" s="50">
        <v>0</v>
      </c>
      <c r="O27" s="15">
        <f t="shared" si="0"/>
        <v>93</v>
      </c>
      <c r="P27" s="15">
        <f t="shared" si="1"/>
        <v>153</v>
      </c>
      <c r="R27" s="29" t="s">
        <v>87</v>
      </c>
      <c r="S27" s="16">
        <f t="shared" ref="S27:AF27" si="19">SUM(S19:S21)</f>
        <v>1552</v>
      </c>
      <c r="T27" s="16">
        <f t="shared" si="19"/>
        <v>344</v>
      </c>
      <c r="U27" s="16">
        <f t="shared" si="19"/>
        <v>35</v>
      </c>
      <c r="V27" s="16">
        <f t="shared" si="19"/>
        <v>79</v>
      </c>
      <c r="W27" s="16">
        <f t="shared" si="19"/>
        <v>56</v>
      </c>
      <c r="X27" s="16">
        <f t="shared" si="19"/>
        <v>9</v>
      </c>
      <c r="Y27" s="16">
        <f t="shared" si="19"/>
        <v>50</v>
      </c>
      <c r="Z27" s="16">
        <f t="shared" si="19"/>
        <v>9</v>
      </c>
      <c r="AA27" s="16">
        <f t="shared" si="19"/>
        <v>7</v>
      </c>
      <c r="AB27" s="16">
        <f t="shared" si="19"/>
        <v>2</v>
      </c>
      <c r="AC27" s="16">
        <f t="shared" si="19"/>
        <v>1012</v>
      </c>
      <c r="AD27" s="16">
        <f t="shared" si="19"/>
        <v>0</v>
      </c>
      <c r="AE27" s="32">
        <f t="shared" si="19"/>
        <v>2143</v>
      </c>
      <c r="AF27" s="32">
        <f t="shared" si="19"/>
        <v>3155</v>
      </c>
    </row>
    <row r="28" spans="2:32" ht="23.1" customHeight="1" x14ac:dyDescent="0.25">
      <c r="B28" s="23" t="s">
        <v>55</v>
      </c>
      <c r="C28" s="50">
        <v>71</v>
      </c>
      <c r="D28" s="50">
        <v>12</v>
      </c>
      <c r="E28" s="50">
        <v>5</v>
      </c>
      <c r="F28" s="50">
        <v>12</v>
      </c>
      <c r="G28" s="50">
        <v>2</v>
      </c>
      <c r="H28" s="50">
        <v>0</v>
      </c>
      <c r="I28" s="50">
        <v>6</v>
      </c>
      <c r="J28" s="50">
        <v>4</v>
      </c>
      <c r="K28" s="50">
        <v>0</v>
      </c>
      <c r="L28" s="50">
        <v>0</v>
      </c>
      <c r="M28" s="50">
        <v>72</v>
      </c>
      <c r="N28" s="50">
        <v>0</v>
      </c>
      <c r="O28" s="15">
        <f t="shared" si="0"/>
        <v>112</v>
      </c>
      <c r="P28" s="15">
        <f t="shared" si="1"/>
        <v>184</v>
      </c>
      <c r="R28" s="5" t="s">
        <v>17</v>
      </c>
      <c r="S28" s="16">
        <f t="shared" ref="S28:AF28" si="20">SUM(S10:S21)</f>
        <v>4622</v>
      </c>
      <c r="T28" s="16">
        <f t="shared" si="20"/>
        <v>969</v>
      </c>
      <c r="U28" s="16">
        <f t="shared" si="20"/>
        <v>157</v>
      </c>
      <c r="V28" s="16">
        <f t="shared" si="20"/>
        <v>314</v>
      </c>
      <c r="W28" s="16">
        <f t="shared" si="20"/>
        <v>90</v>
      </c>
      <c r="X28" s="16">
        <f t="shared" si="20"/>
        <v>14</v>
      </c>
      <c r="Y28" s="16">
        <f t="shared" si="20"/>
        <v>180</v>
      </c>
      <c r="Z28" s="16">
        <f t="shared" si="20"/>
        <v>82</v>
      </c>
      <c r="AA28" s="16">
        <f t="shared" si="20"/>
        <v>21</v>
      </c>
      <c r="AB28" s="16">
        <f t="shared" si="20"/>
        <v>8</v>
      </c>
      <c r="AC28" s="16">
        <f t="shared" si="20"/>
        <v>3054</v>
      </c>
      <c r="AD28" s="16">
        <f t="shared" si="20"/>
        <v>2</v>
      </c>
      <c r="AE28" s="32">
        <f t="shared" si="20"/>
        <v>6459</v>
      </c>
      <c r="AF28" s="32">
        <f t="shared" si="20"/>
        <v>9513</v>
      </c>
    </row>
    <row r="29" spans="2:32" ht="23.1" customHeight="1" x14ac:dyDescent="0.25">
      <c r="B29" s="23" t="s">
        <v>56</v>
      </c>
      <c r="C29" s="50">
        <v>77</v>
      </c>
      <c r="D29" s="50">
        <v>14</v>
      </c>
      <c r="E29" s="50">
        <v>1</v>
      </c>
      <c r="F29" s="50">
        <v>6</v>
      </c>
      <c r="G29" s="50">
        <v>1</v>
      </c>
      <c r="H29" s="50">
        <v>0</v>
      </c>
      <c r="I29" s="50">
        <v>2</v>
      </c>
      <c r="J29" s="50">
        <v>0</v>
      </c>
      <c r="K29" s="50">
        <v>0</v>
      </c>
      <c r="L29" s="50">
        <v>0</v>
      </c>
      <c r="M29" s="50">
        <v>40</v>
      </c>
      <c r="N29" s="50">
        <v>0</v>
      </c>
      <c r="O29" s="15">
        <f t="shared" si="0"/>
        <v>101</v>
      </c>
      <c r="P29" s="15">
        <f t="shared" si="1"/>
        <v>141</v>
      </c>
      <c r="R29"/>
      <c r="S29" s="20"/>
      <c r="T29" s="19"/>
    </row>
    <row r="30" spans="2:32" ht="23.1" customHeight="1" x14ac:dyDescent="0.25">
      <c r="B30" s="23" t="s">
        <v>57</v>
      </c>
      <c r="C30" s="50">
        <v>88</v>
      </c>
      <c r="D30" s="50">
        <v>11</v>
      </c>
      <c r="E30" s="50">
        <v>8</v>
      </c>
      <c r="F30" s="50">
        <v>5</v>
      </c>
      <c r="G30" s="50">
        <v>1</v>
      </c>
      <c r="H30" s="50">
        <v>2</v>
      </c>
      <c r="I30" s="50">
        <v>3</v>
      </c>
      <c r="J30" s="50">
        <v>0</v>
      </c>
      <c r="K30" s="50">
        <v>0</v>
      </c>
      <c r="L30" s="50">
        <v>0</v>
      </c>
      <c r="M30" s="50">
        <v>45</v>
      </c>
      <c r="N30" s="50">
        <v>0</v>
      </c>
      <c r="O30" s="15">
        <f t="shared" si="0"/>
        <v>118</v>
      </c>
      <c r="P30" s="15">
        <f t="shared" si="1"/>
        <v>163</v>
      </c>
    </row>
    <row r="31" spans="2:32" ht="23.1" customHeight="1" x14ac:dyDescent="0.25">
      <c r="B31" s="24" t="s">
        <v>58</v>
      </c>
      <c r="C31" s="50">
        <v>61</v>
      </c>
      <c r="D31" s="50">
        <v>14</v>
      </c>
      <c r="E31" s="50">
        <v>4</v>
      </c>
      <c r="F31" s="50">
        <v>3</v>
      </c>
      <c r="G31" s="50">
        <v>2</v>
      </c>
      <c r="H31" s="50">
        <v>0</v>
      </c>
      <c r="I31" s="50">
        <v>6</v>
      </c>
      <c r="J31" s="50">
        <v>2</v>
      </c>
      <c r="K31" s="50">
        <v>0</v>
      </c>
      <c r="L31" s="50">
        <v>0</v>
      </c>
      <c r="M31" s="50">
        <v>52</v>
      </c>
      <c r="N31" s="50">
        <v>0</v>
      </c>
      <c r="O31" s="15">
        <f t="shared" si="0"/>
        <v>92</v>
      </c>
      <c r="P31" s="15">
        <f t="shared" si="1"/>
        <v>144</v>
      </c>
    </row>
    <row r="32" spans="2:32" ht="23.1" customHeight="1" x14ac:dyDescent="0.25">
      <c r="B32" s="24" t="s">
        <v>59</v>
      </c>
      <c r="C32" s="50">
        <v>83</v>
      </c>
      <c r="D32" s="50">
        <v>15</v>
      </c>
      <c r="E32" s="50">
        <v>7</v>
      </c>
      <c r="F32" s="50">
        <v>4</v>
      </c>
      <c r="G32" s="50">
        <v>0</v>
      </c>
      <c r="H32" s="50">
        <v>0</v>
      </c>
      <c r="I32" s="50">
        <v>5</v>
      </c>
      <c r="J32" s="50">
        <v>2</v>
      </c>
      <c r="K32" s="50">
        <v>3</v>
      </c>
      <c r="L32" s="50">
        <v>0</v>
      </c>
      <c r="M32" s="50">
        <v>30</v>
      </c>
      <c r="N32" s="50">
        <v>1</v>
      </c>
      <c r="O32" s="15">
        <f t="shared" si="0"/>
        <v>120</v>
      </c>
      <c r="P32" s="15">
        <f t="shared" si="1"/>
        <v>150</v>
      </c>
    </row>
    <row r="33" spans="2:20" ht="23.1" customHeight="1" x14ac:dyDescent="0.25">
      <c r="B33" s="23" t="s">
        <v>60</v>
      </c>
      <c r="C33" s="50">
        <v>83</v>
      </c>
      <c r="D33" s="50">
        <v>26</v>
      </c>
      <c r="E33" s="50">
        <v>5</v>
      </c>
      <c r="F33" s="50">
        <v>7</v>
      </c>
      <c r="G33" s="50">
        <v>0</v>
      </c>
      <c r="H33" s="50">
        <v>0</v>
      </c>
      <c r="I33" s="50">
        <v>7</v>
      </c>
      <c r="J33" s="50">
        <v>2</v>
      </c>
      <c r="K33" s="50">
        <v>0</v>
      </c>
      <c r="L33" s="50">
        <v>0</v>
      </c>
      <c r="M33" s="50">
        <v>28</v>
      </c>
      <c r="N33" s="50">
        <v>0</v>
      </c>
      <c r="O33" s="15">
        <f t="shared" si="0"/>
        <v>130</v>
      </c>
      <c r="P33" s="15">
        <f t="shared" si="1"/>
        <v>158</v>
      </c>
    </row>
    <row r="34" spans="2:20" ht="23.1" customHeight="1" x14ac:dyDescent="0.25">
      <c r="B34" s="24" t="s">
        <v>61</v>
      </c>
      <c r="C34" s="50">
        <v>75</v>
      </c>
      <c r="D34" s="50">
        <v>28</v>
      </c>
      <c r="E34" s="50">
        <v>7</v>
      </c>
      <c r="F34" s="50">
        <v>8</v>
      </c>
      <c r="G34" s="50">
        <v>1</v>
      </c>
      <c r="H34" s="50">
        <v>0</v>
      </c>
      <c r="I34" s="50">
        <v>3</v>
      </c>
      <c r="J34" s="50">
        <v>0</v>
      </c>
      <c r="K34" s="50">
        <v>0</v>
      </c>
      <c r="L34" s="50">
        <v>0</v>
      </c>
      <c r="M34" s="50">
        <v>28</v>
      </c>
      <c r="N34" s="50">
        <v>0</v>
      </c>
      <c r="O34" s="15">
        <f t="shared" si="0"/>
        <v>122</v>
      </c>
      <c r="P34" s="15">
        <f t="shared" si="1"/>
        <v>150</v>
      </c>
    </row>
    <row r="35" spans="2:20" ht="23.1" customHeight="1" x14ac:dyDescent="0.25">
      <c r="B35" s="24" t="s">
        <v>62</v>
      </c>
      <c r="C35" s="50">
        <v>59</v>
      </c>
      <c r="D35" s="50">
        <v>8</v>
      </c>
      <c r="E35" s="50">
        <v>2</v>
      </c>
      <c r="F35" s="50">
        <v>8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34</v>
      </c>
      <c r="N35" s="50">
        <v>0</v>
      </c>
      <c r="O35" s="15">
        <f t="shared" si="0"/>
        <v>78</v>
      </c>
      <c r="P35" s="15">
        <f t="shared" si="1"/>
        <v>112</v>
      </c>
    </row>
    <row r="36" spans="2:20" ht="23.1" customHeight="1" x14ac:dyDescent="0.25">
      <c r="B36" s="24" t="s">
        <v>63</v>
      </c>
      <c r="C36" s="50">
        <v>85</v>
      </c>
      <c r="D36" s="50">
        <v>23</v>
      </c>
      <c r="E36" s="50">
        <v>7</v>
      </c>
      <c r="F36" s="50">
        <v>2</v>
      </c>
      <c r="G36" s="50">
        <v>1</v>
      </c>
      <c r="H36" s="50">
        <v>1</v>
      </c>
      <c r="I36" s="50">
        <v>1</v>
      </c>
      <c r="J36" s="50">
        <v>2</v>
      </c>
      <c r="K36" s="50">
        <v>0</v>
      </c>
      <c r="L36" s="50">
        <v>0</v>
      </c>
      <c r="M36" s="50">
        <v>61</v>
      </c>
      <c r="N36" s="50">
        <v>0</v>
      </c>
      <c r="O36" s="15">
        <f t="shared" si="0"/>
        <v>122</v>
      </c>
      <c r="P36" s="15">
        <f t="shared" si="1"/>
        <v>183</v>
      </c>
    </row>
    <row r="37" spans="2:20" ht="23.1" customHeight="1" x14ac:dyDescent="0.25">
      <c r="B37" s="23" t="s">
        <v>64</v>
      </c>
      <c r="C37" s="50">
        <v>75</v>
      </c>
      <c r="D37" s="50">
        <v>21</v>
      </c>
      <c r="E37" s="50">
        <v>5</v>
      </c>
      <c r="F37" s="50">
        <v>6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42</v>
      </c>
      <c r="N37" s="50">
        <v>0</v>
      </c>
      <c r="O37" s="15">
        <f t="shared" si="0"/>
        <v>109</v>
      </c>
      <c r="P37" s="15">
        <f t="shared" si="1"/>
        <v>151</v>
      </c>
    </row>
    <row r="38" spans="2:20" ht="23.1" customHeight="1" x14ac:dyDescent="0.25">
      <c r="B38" s="24" t="s">
        <v>65</v>
      </c>
      <c r="C38" s="50">
        <v>84</v>
      </c>
      <c r="D38" s="50">
        <v>14</v>
      </c>
      <c r="E38" s="50">
        <v>2</v>
      </c>
      <c r="F38" s="50">
        <v>5</v>
      </c>
      <c r="G38" s="50">
        <v>1</v>
      </c>
      <c r="H38" s="50">
        <v>0</v>
      </c>
      <c r="I38" s="50">
        <v>0</v>
      </c>
      <c r="J38" s="50">
        <v>9</v>
      </c>
      <c r="K38" s="50">
        <v>0</v>
      </c>
      <c r="L38" s="50">
        <v>1</v>
      </c>
      <c r="M38" s="50">
        <v>57</v>
      </c>
      <c r="N38" s="50">
        <v>0</v>
      </c>
      <c r="O38" s="15">
        <f t="shared" si="0"/>
        <v>116</v>
      </c>
      <c r="P38" s="15">
        <f t="shared" si="1"/>
        <v>173</v>
      </c>
    </row>
    <row r="39" spans="2:20" ht="23.1" customHeight="1" x14ac:dyDescent="0.25">
      <c r="B39" s="24" t="s">
        <v>66</v>
      </c>
      <c r="C39" s="50">
        <v>78</v>
      </c>
      <c r="D39" s="50">
        <v>15</v>
      </c>
      <c r="E39" s="50">
        <v>2</v>
      </c>
      <c r="F39" s="50">
        <v>5</v>
      </c>
      <c r="G39" s="50">
        <v>1</v>
      </c>
      <c r="H39" s="50">
        <v>0</v>
      </c>
      <c r="I39" s="50">
        <v>5</v>
      </c>
      <c r="J39" s="50">
        <v>2</v>
      </c>
      <c r="K39" s="50">
        <v>0</v>
      </c>
      <c r="L39" s="50">
        <v>0</v>
      </c>
      <c r="M39" s="50">
        <v>54</v>
      </c>
      <c r="N39" s="50">
        <v>0</v>
      </c>
      <c r="O39" s="15">
        <f t="shared" si="0"/>
        <v>108</v>
      </c>
      <c r="P39" s="15">
        <f t="shared" si="1"/>
        <v>162</v>
      </c>
    </row>
    <row r="40" spans="2:20" ht="23.1" customHeight="1" x14ac:dyDescent="0.25">
      <c r="B40" s="24" t="s">
        <v>67</v>
      </c>
      <c r="C40" s="50">
        <v>78</v>
      </c>
      <c r="D40" s="50">
        <v>14</v>
      </c>
      <c r="E40" s="50">
        <v>4</v>
      </c>
      <c r="F40" s="50">
        <v>9</v>
      </c>
      <c r="G40" s="50">
        <v>0</v>
      </c>
      <c r="H40" s="50">
        <v>0</v>
      </c>
      <c r="I40" s="50">
        <v>4</v>
      </c>
      <c r="J40" s="50">
        <v>1</v>
      </c>
      <c r="K40" s="50">
        <v>0</v>
      </c>
      <c r="L40" s="50">
        <v>0</v>
      </c>
      <c r="M40" s="50">
        <v>80</v>
      </c>
      <c r="N40" s="50">
        <v>0</v>
      </c>
      <c r="O40" s="15">
        <f t="shared" si="0"/>
        <v>110</v>
      </c>
      <c r="P40" s="15">
        <f t="shared" si="1"/>
        <v>190</v>
      </c>
    </row>
    <row r="41" spans="2:20" ht="23.1" customHeight="1" x14ac:dyDescent="0.25">
      <c r="B41" s="23" t="s">
        <v>68</v>
      </c>
      <c r="C41" s="50">
        <v>100</v>
      </c>
      <c r="D41" s="50">
        <v>18</v>
      </c>
      <c r="E41" s="50">
        <v>2</v>
      </c>
      <c r="F41" s="50">
        <v>1</v>
      </c>
      <c r="G41" s="50">
        <v>2</v>
      </c>
      <c r="H41" s="50">
        <v>0</v>
      </c>
      <c r="I41" s="50">
        <v>6</v>
      </c>
      <c r="J41" s="50">
        <v>4</v>
      </c>
      <c r="K41" s="50">
        <v>2</v>
      </c>
      <c r="L41" s="50">
        <v>0</v>
      </c>
      <c r="M41" s="50">
        <v>69</v>
      </c>
      <c r="N41" s="50">
        <v>0</v>
      </c>
      <c r="O41" s="15">
        <f t="shared" si="0"/>
        <v>135</v>
      </c>
      <c r="P41" s="15">
        <f t="shared" si="1"/>
        <v>204</v>
      </c>
    </row>
    <row r="42" spans="2:20" ht="23.1" customHeight="1" x14ac:dyDescent="0.25">
      <c r="B42" s="24" t="s">
        <v>69</v>
      </c>
      <c r="C42" s="50">
        <v>97</v>
      </c>
      <c r="D42" s="50">
        <v>9</v>
      </c>
      <c r="E42" s="50">
        <v>4</v>
      </c>
      <c r="F42" s="50">
        <v>2</v>
      </c>
      <c r="G42" s="50">
        <v>2</v>
      </c>
      <c r="H42" s="50">
        <v>0</v>
      </c>
      <c r="I42" s="50">
        <v>8</v>
      </c>
      <c r="J42" s="50">
        <v>3</v>
      </c>
      <c r="K42" s="50">
        <v>0</v>
      </c>
      <c r="L42" s="50">
        <v>0</v>
      </c>
      <c r="M42" s="50">
        <v>69</v>
      </c>
      <c r="N42" s="50">
        <v>0</v>
      </c>
      <c r="O42" s="15">
        <f t="shared" si="0"/>
        <v>125</v>
      </c>
      <c r="P42" s="15">
        <f t="shared" si="1"/>
        <v>194</v>
      </c>
    </row>
    <row r="43" spans="2:20" ht="23.1" customHeight="1" x14ac:dyDescent="0.25">
      <c r="B43" s="23" t="s">
        <v>70</v>
      </c>
      <c r="C43" s="50">
        <v>121</v>
      </c>
      <c r="D43" s="50">
        <v>24</v>
      </c>
      <c r="E43" s="50">
        <v>0</v>
      </c>
      <c r="F43" s="50">
        <v>8</v>
      </c>
      <c r="G43" s="50">
        <v>1</v>
      </c>
      <c r="H43" s="50">
        <v>0</v>
      </c>
      <c r="I43" s="50">
        <v>7</v>
      </c>
      <c r="J43" s="50">
        <v>3</v>
      </c>
      <c r="K43" s="50">
        <v>0</v>
      </c>
      <c r="L43" s="50">
        <v>1</v>
      </c>
      <c r="M43" s="50">
        <v>68</v>
      </c>
      <c r="N43" s="50">
        <v>0</v>
      </c>
      <c r="O43" s="15">
        <f t="shared" si="0"/>
        <v>165</v>
      </c>
      <c r="P43" s="15">
        <f t="shared" si="1"/>
        <v>233</v>
      </c>
    </row>
    <row r="44" spans="2:20" ht="23.1" customHeight="1" x14ac:dyDescent="0.25">
      <c r="B44" s="25" t="s">
        <v>71</v>
      </c>
      <c r="C44" s="50">
        <v>75</v>
      </c>
      <c r="D44" s="50">
        <v>15</v>
      </c>
      <c r="E44" s="50">
        <v>0</v>
      </c>
      <c r="F44" s="50">
        <v>5</v>
      </c>
      <c r="G44" s="50">
        <v>0</v>
      </c>
      <c r="H44" s="50">
        <v>0</v>
      </c>
      <c r="I44" s="50">
        <v>5</v>
      </c>
      <c r="J44" s="50">
        <v>3</v>
      </c>
      <c r="K44" s="50">
        <v>1</v>
      </c>
      <c r="L44" s="50">
        <v>0</v>
      </c>
      <c r="M44" s="50">
        <v>95</v>
      </c>
      <c r="N44" s="50">
        <v>0</v>
      </c>
      <c r="O44" s="15">
        <f t="shared" si="0"/>
        <v>104</v>
      </c>
      <c r="P44" s="15">
        <f t="shared" si="1"/>
        <v>199</v>
      </c>
    </row>
    <row r="45" spans="2:20" ht="23.1" customHeight="1" x14ac:dyDescent="0.25">
      <c r="B45" s="23" t="s">
        <v>72</v>
      </c>
      <c r="C45" s="50">
        <v>120</v>
      </c>
      <c r="D45" s="50">
        <v>18</v>
      </c>
      <c r="E45" s="50">
        <v>3</v>
      </c>
      <c r="F45" s="50">
        <v>5</v>
      </c>
      <c r="G45" s="50">
        <v>2</v>
      </c>
      <c r="H45" s="50">
        <v>0</v>
      </c>
      <c r="I45" s="50">
        <v>8</v>
      </c>
      <c r="J45" s="50">
        <v>5</v>
      </c>
      <c r="K45" s="50">
        <v>0</v>
      </c>
      <c r="L45" s="50">
        <v>0</v>
      </c>
      <c r="M45" s="50">
        <v>85</v>
      </c>
      <c r="N45" s="50">
        <v>0</v>
      </c>
      <c r="O45" s="15">
        <f t="shared" si="0"/>
        <v>161</v>
      </c>
      <c r="P45" s="15">
        <f t="shared" si="1"/>
        <v>246</v>
      </c>
    </row>
    <row r="46" spans="2:20" ht="23.1" customHeight="1" x14ac:dyDescent="0.25">
      <c r="B46" s="24" t="s">
        <v>73</v>
      </c>
      <c r="C46" s="50">
        <v>105</v>
      </c>
      <c r="D46" s="50">
        <v>33</v>
      </c>
      <c r="E46" s="50">
        <v>3</v>
      </c>
      <c r="F46" s="50">
        <v>6</v>
      </c>
      <c r="G46" s="50">
        <v>1</v>
      </c>
      <c r="H46" s="50">
        <v>0</v>
      </c>
      <c r="I46" s="50">
        <v>5</v>
      </c>
      <c r="J46" s="50">
        <v>0</v>
      </c>
      <c r="K46" s="50">
        <v>2</v>
      </c>
      <c r="L46" s="50">
        <v>0</v>
      </c>
      <c r="M46" s="50">
        <v>99</v>
      </c>
      <c r="N46" s="50">
        <v>0</v>
      </c>
      <c r="O46" s="15">
        <f t="shared" si="0"/>
        <v>155</v>
      </c>
      <c r="P46" s="15">
        <f t="shared" si="1"/>
        <v>254</v>
      </c>
      <c r="R46" s="8"/>
      <c r="T46"/>
    </row>
    <row r="47" spans="2:20" ht="23.1" customHeight="1" x14ac:dyDescent="0.25">
      <c r="B47" s="24" t="s">
        <v>74</v>
      </c>
      <c r="C47" s="50">
        <v>140</v>
      </c>
      <c r="D47" s="50">
        <v>22</v>
      </c>
      <c r="E47" s="50">
        <v>3</v>
      </c>
      <c r="F47" s="50">
        <v>3</v>
      </c>
      <c r="G47" s="50">
        <v>0</v>
      </c>
      <c r="H47" s="50">
        <v>0</v>
      </c>
      <c r="I47" s="50">
        <v>2</v>
      </c>
      <c r="J47" s="50">
        <v>0</v>
      </c>
      <c r="K47" s="50">
        <v>0</v>
      </c>
      <c r="L47" s="50">
        <v>0</v>
      </c>
      <c r="M47" s="50">
        <v>83</v>
      </c>
      <c r="N47" s="50">
        <v>0</v>
      </c>
      <c r="O47" s="15">
        <f t="shared" si="0"/>
        <v>170</v>
      </c>
      <c r="P47" s="15">
        <f t="shared" si="1"/>
        <v>253</v>
      </c>
      <c r="R47" s="8"/>
      <c r="T47"/>
    </row>
    <row r="48" spans="2:20" ht="23.1" customHeight="1" x14ac:dyDescent="0.25">
      <c r="B48" s="24" t="s">
        <v>75</v>
      </c>
      <c r="C48" s="50">
        <v>156</v>
      </c>
      <c r="D48" s="50">
        <v>26</v>
      </c>
      <c r="E48" s="50">
        <v>1</v>
      </c>
      <c r="F48" s="50">
        <v>13</v>
      </c>
      <c r="G48" s="50">
        <v>0</v>
      </c>
      <c r="H48" s="50">
        <v>0</v>
      </c>
      <c r="I48" s="50">
        <v>7</v>
      </c>
      <c r="J48" s="50">
        <v>0</v>
      </c>
      <c r="K48" s="50">
        <v>1</v>
      </c>
      <c r="L48" s="50">
        <v>0</v>
      </c>
      <c r="M48" s="50">
        <v>90</v>
      </c>
      <c r="N48" s="50">
        <v>0</v>
      </c>
      <c r="O48" s="15">
        <f t="shared" si="0"/>
        <v>204</v>
      </c>
      <c r="P48" s="15">
        <f t="shared" si="1"/>
        <v>294</v>
      </c>
      <c r="R48" s="8"/>
      <c r="T48"/>
    </row>
    <row r="49" spans="2:20" ht="23.1" customHeight="1" x14ac:dyDescent="0.25">
      <c r="B49" s="23" t="s">
        <v>76</v>
      </c>
      <c r="C49" s="50">
        <v>158</v>
      </c>
      <c r="D49" s="50">
        <v>34</v>
      </c>
      <c r="E49" s="50">
        <v>4</v>
      </c>
      <c r="F49" s="50">
        <v>4</v>
      </c>
      <c r="G49" s="50">
        <v>1</v>
      </c>
      <c r="H49" s="50">
        <v>0</v>
      </c>
      <c r="I49" s="50">
        <v>3</v>
      </c>
      <c r="J49" s="50">
        <v>3</v>
      </c>
      <c r="K49" s="50">
        <v>1</v>
      </c>
      <c r="L49" s="50">
        <v>0</v>
      </c>
      <c r="M49" s="50">
        <v>103</v>
      </c>
      <c r="N49" s="50">
        <v>0</v>
      </c>
      <c r="O49" s="15">
        <f t="shared" si="0"/>
        <v>208</v>
      </c>
      <c r="P49" s="15">
        <f t="shared" si="1"/>
        <v>311</v>
      </c>
      <c r="R49" s="8"/>
      <c r="T49"/>
    </row>
    <row r="50" spans="2:20" ht="23.1" customHeight="1" x14ac:dyDescent="0.25">
      <c r="B50" s="24" t="s">
        <v>77</v>
      </c>
      <c r="C50" s="50">
        <v>145</v>
      </c>
      <c r="D50" s="50">
        <v>34</v>
      </c>
      <c r="E50" s="50">
        <v>5</v>
      </c>
      <c r="F50" s="50">
        <v>7</v>
      </c>
      <c r="G50" s="50">
        <v>3</v>
      </c>
      <c r="H50" s="50">
        <v>1</v>
      </c>
      <c r="I50" s="50">
        <v>4</v>
      </c>
      <c r="J50" s="50">
        <v>0</v>
      </c>
      <c r="K50" s="50">
        <v>1</v>
      </c>
      <c r="L50" s="50">
        <v>1</v>
      </c>
      <c r="M50" s="50">
        <v>79</v>
      </c>
      <c r="N50" s="50">
        <v>0</v>
      </c>
      <c r="O50" s="15">
        <f t="shared" si="0"/>
        <v>201</v>
      </c>
      <c r="P50" s="15">
        <f t="shared" si="1"/>
        <v>280</v>
      </c>
      <c r="R50" s="8"/>
      <c r="T50"/>
    </row>
    <row r="51" spans="2:20" ht="23.1" customHeight="1" x14ac:dyDescent="0.25">
      <c r="B51" s="24" t="s">
        <v>78</v>
      </c>
      <c r="C51" s="50">
        <v>141</v>
      </c>
      <c r="D51" s="50">
        <v>28</v>
      </c>
      <c r="E51" s="50">
        <v>1</v>
      </c>
      <c r="F51" s="50">
        <v>12</v>
      </c>
      <c r="G51" s="50">
        <v>0</v>
      </c>
      <c r="H51" s="50">
        <v>0</v>
      </c>
      <c r="I51" s="50">
        <v>7</v>
      </c>
      <c r="J51" s="50">
        <v>0</v>
      </c>
      <c r="K51" s="50">
        <v>0</v>
      </c>
      <c r="L51" s="50">
        <v>1</v>
      </c>
      <c r="M51" s="50">
        <v>103</v>
      </c>
      <c r="N51" s="50">
        <v>0</v>
      </c>
      <c r="O51" s="15">
        <f t="shared" si="0"/>
        <v>190</v>
      </c>
      <c r="P51" s="15">
        <f t="shared" si="1"/>
        <v>293</v>
      </c>
      <c r="R51" s="8"/>
      <c r="T51"/>
    </row>
    <row r="52" spans="2:20" ht="23.1" customHeight="1" x14ac:dyDescent="0.25">
      <c r="B52" s="24" t="s">
        <v>79</v>
      </c>
      <c r="C52" s="50">
        <v>124</v>
      </c>
      <c r="D52" s="50">
        <v>26</v>
      </c>
      <c r="E52" s="50">
        <v>4</v>
      </c>
      <c r="F52" s="50">
        <v>11</v>
      </c>
      <c r="G52" s="50">
        <v>1</v>
      </c>
      <c r="H52" s="50">
        <v>0</v>
      </c>
      <c r="I52" s="50">
        <v>5</v>
      </c>
      <c r="J52" s="50">
        <v>3</v>
      </c>
      <c r="K52" s="50">
        <v>1</v>
      </c>
      <c r="L52" s="50">
        <v>0</v>
      </c>
      <c r="M52" s="50">
        <v>119</v>
      </c>
      <c r="N52" s="50">
        <v>0</v>
      </c>
      <c r="O52" s="15">
        <f t="shared" si="0"/>
        <v>175</v>
      </c>
      <c r="P52" s="15">
        <f t="shared" si="1"/>
        <v>294</v>
      </c>
      <c r="R52" s="8"/>
      <c r="T52"/>
    </row>
    <row r="53" spans="2:20" ht="23.1" customHeight="1" x14ac:dyDescent="0.25">
      <c r="B53" s="23" t="s">
        <v>80</v>
      </c>
      <c r="C53" s="50">
        <v>135</v>
      </c>
      <c r="D53" s="50">
        <v>29</v>
      </c>
      <c r="E53" s="50">
        <v>6</v>
      </c>
      <c r="F53" s="50">
        <v>9</v>
      </c>
      <c r="G53" s="50">
        <v>4</v>
      </c>
      <c r="H53" s="50">
        <v>2</v>
      </c>
      <c r="I53" s="50">
        <v>6</v>
      </c>
      <c r="J53" s="50">
        <v>0</v>
      </c>
      <c r="K53" s="50">
        <v>0</v>
      </c>
      <c r="L53" s="50">
        <v>0</v>
      </c>
      <c r="M53" s="50">
        <v>78</v>
      </c>
      <c r="N53" s="50">
        <v>0</v>
      </c>
      <c r="O53" s="15">
        <f t="shared" si="0"/>
        <v>191</v>
      </c>
      <c r="P53" s="15">
        <f t="shared" si="1"/>
        <v>269</v>
      </c>
      <c r="R53" s="8"/>
      <c r="T53"/>
    </row>
    <row r="54" spans="2:20" ht="23.1" customHeight="1" x14ac:dyDescent="0.25">
      <c r="B54" s="23" t="s">
        <v>81</v>
      </c>
      <c r="C54" s="50">
        <v>116</v>
      </c>
      <c r="D54" s="50">
        <v>18</v>
      </c>
      <c r="E54" s="50">
        <v>2</v>
      </c>
      <c r="F54" s="50">
        <v>2</v>
      </c>
      <c r="G54" s="50">
        <v>16</v>
      </c>
      <c r="H54" s="50">
        <v>1</v>
      </c>
      <c r="I54" s="50">
        <v>2</v>
      </c>
      <c r="J54" s="50">
        <v>1</v>
      </c>
      <c r="K54" s="50">
        <v>1</v>
      </c>
      <c r="L54" s="50">
        <v>0</v>
      </c>
      <c r="M54" s="50">
        <v>75</v>
      </c>
      <c r="N54" s="50">
        <v>0</v>
      </c>
      <c r="O54" s="15">
        <f t="shared" si="0"/>
        <v>159</v>
      </c>
      <c r="P54" s="15">
        <f t="shared" si="1"/>
        <v>234</v>
      </c>
      <c r="R54" s="8"/>
      <c r="T54"/>
    </row>
    <row r="55" spans="2:20" ht="23.1" customHeight="1" x14ac:dyDescent="0.25">
      <c r="B55" s="23" t="s">
        <v>82</v>
      </c>
      <c r="C55" s="50">
        <v>107</v>
      </c>
      <c r="D55" s="50">
        <v>43</v>
      </c>
      <c r="E55" s="50">
        <v>3</v>
      </c>
      <c r="F55" s="50">
        <v>3</v>
      </c>
      <c r="G55" s="50">
        <v>15</v>
      </c>
      <c r="H55" s="50">
        <v>3</v>
      </c>
      <c r="I55" s="50">
        <v>1</v>
      </c>
      <c r="J55" s="50">
        <v>0</v>
      </c>
      <c r="K55" s="50">
        <v>0</v>
      </c>
      <c r="L55" s="50">
        <v>0</v>
      </c>
      <c r="M55" s="50">
        <v>80</v>
      </c>
      <c r="N55" s="50">
        <v>0</v>
      </c>
      <c r="O55" s="15">
        <f t="shared" si="0"/>
        <v>175</v>
      </c>
      <c r="P55" s="15">
        <f t="shared" si="1"/>
        <v>255</v>
      </c>
      <c r="R55" s="8"/>
      <c r="T55"/>
    </row>
    <row r="56" spans="2:20" ht="23.1" customHeight="1" x14ac:dyDescent="0.25">
      <c r="B56" s="23" t="s">
        <v>83</v>
      </c>
      <c r="C56" s="50">
        <v>128</v>
      </c>
      <c r="D56" s="50">
        <v>31</v>
      </c>
      <c r="E56" s="50">
        <v>2</v>
      </c>
      <c r="F56" s="50">
        <v>2</v>
      </c>
      <c r="G56" s="50">
        <v>8</v>
      </c>
      <c r="H56" s="50">
        <v>0</v>
      </c>
      <c r="I56" s="50">
        <v>3</v>
      </c>
      <c r="J56" s="50">
        <v>0</v>
      </c>
      <c r="K56" s="50">
        <v>0</v>
      </c>
      <c r="L56" s="50">
        <v>0</v>
      </c>
      <c r="M56" s="50">
        <v>50</v>
      </c>
      <c r="N56" s="50">
        <v>0</v>
      </c>
      <c r="O56" s="15">
        <f t="shared" si="0"/>
        <v>174</v>
      </c>
      <c r="P56" s="15">
        <f t="shared" si="1"/>
        <v>224</v>
      </c>
      <c r="R56" s="8"/>
      <c r="T56"/>
    </row>
    <row r="57" spans="2:20" ht="23.1" customHeight="1" x14ac:dyDescent="0.25">
      <c r="B57" s="23" t="s">
        <v>84</v>
      </c>
      <c r="C57" s="50">
        <v>97</v>
      </c>
      <c r="D57" s="50">
        <v>20</v>
      </c>
      <c r="E57" s="50">
        <v>1</v>
      </c>
      <c r="F57" s="50">
        <v>7</v>
      </c>
      <c r="G57" s="50">
        <v>7</v>
      </c>
      <c r="H57" s="50">
        <v>2</v>
      </c>
      <c r="I57" s="50">
        <v>5</v>
      </c>
      <c r="J57" s="50">
        <v>2</v>
      </c>
      <c r="K57" s="50">
        <v>0</v>
      </c>
      <c r="L57" s="50">
        <v>0</v>
      </c>
      <c r="M57" s="50">
        <v>53</v>
      </c>
      <c r="N57" s="50">
        <v>0</v>
      </c>
      <c r="O57" s="15">
        <f t="shared" si="0"/>
        <v>141</v>
      </c>
      <c r="P57" s="15">
        <f t="shared" si="1"/>
        <v>194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4622</v>
      </c>
      <c r="D58" s="16">
        <f t="shared" si="21"/>
        <v>969</v>
      </c>
      <c r="E58" s="16">
        <f t="shared" si="21"/>
        <v>157</v>
      </c>
      <c r="F58" s="16">
        <f t="shared" si="21"/>
        <v>314</v>
      </c>
      <c r="G58" s="16">
        <f t="shared" si="21"/>
        <v>90</v>
      </c>
      <c r="H58" s="16">
        <f t="shared" si="21"/>
        <v>14</v>
      </c>
      <c r="I58" s="16">
        <f t="shared" si="21"/>
        <v>180</v>
      </c>
      <c r="J58" s="16">
        <f t="shared" si="21"/>
        <v>82</v>
      </c>
      <c r="K58" s="16">
        <f t="shared" si="21"/>
        <v>21</v>
      </c>
      <c r="L58" s="16">
        <f t="shared" si="21"/>
        <v>8</v>
      </c>
      <c r="M58" s="16">
        <f t="shared" si="21"/>
        <v>3054</v>
      </c>
      <c r="N58" s="16">
        <f t="shared" si="21"/>
        <v>2</v>
      </c>
      <c r="O58" s="16">
        <f t="shared" si="21"/>
        <v>6459</v>
      </c>
      <c r="P58" s="16">
        <f t="shared" si="21"/>
        <v>9513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0.48586145274886999</v>
      </c>
      <c r="D59" s="43">
        <f t="shared" si="22"/>
        <v>0.10186061179438663</v>
      </c>
      <c r="E59" s="43">
        <f t="shared" si="22"/>
        <v>1.6503731735519816E-2</v>
      </c>
      <c r="F59" s="43">
        <f t="shared" si="22"/>
        <v>3.3007463471039632E-2</v>
      </c>
      <c r="G59" s="43">
        <f t="shared" si="22"/>
        <v>9.4607379375591296E-3</v>
      </c>
      <c r="H59" s="43">
        <f t="shared" si="22"/>
        <v>1.4716703458425313E-3</v>
      </c>
      <c r="I59" s="43">
        <f t="shared" si="22"/>
        <v>1.8921475875118259E-2</v>
      </c>
      <c r="J59" s="43">
        <f t="shared" si="22"/>
        <v>8.6197834542205403E-3</v>
      </c>
      <c r="K59" s="43">
        <f t="shared" si="22"/>
        <v>2.2075055187637969E-3</v>
      </c>
      <c r="L59" s="43">
        <f t="shared" si="22"/>
        <v>8.409544833385893E-4</v>
      </c>
      <c r="M59" s="43">
        <f t="shared" si="22"/>
        <v>0.32103437401450646</v>
      </c>
      <c r="N59" s="43">
        <f t="shared" si="22"/>
        <v>2.1023862083464732E-4</v>
      </c>
      <c r="R59" s="8"/>
      <c r="T59"/>
    </row>
    <row r="60" spans="2:20" ht="23.1" customHeight="1" x14ac:dyDescent="0.25">
      <c r="B60" s="42" t="s">
        <v>94</v>
      </c>
      <c r="C60" s="44">
        <f>C58/$O$58</f>
        <v>0.71559064870723021</v>
      </c>
      <c r="D60" s="44">
        <f t="shared" ref="D60:N60" si="23">D58/$O$58</f>
        <v>0.15002322340919647</v>
      </c>
      <c r="E60" s="44">
        <f t="shared" si="23"/>
        <v>2.4307168292305309E-2</v>
      </c>
      <c r="F60" s="44">
        <f t="shared" si="23"/>
        <v>4.8614336584610618E-2</v>
      </c>
      <c r="G60" s="44">
        <f t="shared" si="23"/>
        <v>1.3934045517882025E-2</v>
      </c>
      <c r="H60" s="44">
        <f t="shared" si="23"/>
        <v>2.1675181916705373E-3</v>
      </c>
      <c r="I60" s="44">
        <f t="shared" si="23"/>
        <v>2.7868091035764049E-2</v>
      </c>
      <c r="J60" s="44">
        <f t="shared" si="23"/>
        <v>1.269546369407029E-2</v>
      </c>
      <c r="K60" s="44">
        <f t="shared" si="23"/>
        <v>3.251277287505806E-3</v>
      </c>
      <c r="L60" s="44">
        <f t="shared" si="23"/>
        <v>1.2385818238117355E-3</v>
      </c>
      <c r="M60" s="44"/>
      <c r="N60" s="44">
        <f t="shared" si="23"/>
        <v>3.0964545595293388E-4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25" zoomScale="40" zoomScaleSheetLayoutView="40" workbookViewId="0">
      <selection activeCell="L55" sqref="L5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'29.07 Naalya-Ntinda'!C3:G3</f>
        <v>MCC - C1 - STN38 - NAALYA EAST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'02.08 Ntinda-Naalya'!D5</f>
        <v>02.08.19</v>
      </c>
      <c r="E5" s="3"/>
      <c r="F5" s="41" t="s">
        <v>1</v>
      </c>
      <c r="G5" s="65" t="str">
        <f>'02.08 Ntinda-Naalya'!G5:H5</f>
        <v>NAALYA ROUND ABOUT</v>
      </c>
      <c r="H5" s="66"/>
      <c r="I5" s="14"/>
      <c r="J5" s="2" t="s">
        <v>5</v>
      </c>
      <c r="K5" s="65" t="str">
        <f>'02.08 Ntinda-Naalya'!K5:L5</f>
        <v>HARRIET N/NASSIWA A/MUTE C/PHOEBY/KAZIBWE J/NAKAYE J.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'29.07 Naalya-Ntinda'!D6:E6</f>
        <v>NAALYA</v>
      </c>
      <c r="E6" s="66"/>
      <c r="F6" s="2" t="s">
        <v>2</v>
      </c>
      <c r="G6" s="65" t="str">
        <f>'29.07 Naalya-Ntinda'!G6:H6</f>
        <v>NTINDA</v>
      </c>
      <c r="H6" s="66"/>
      <c r="J6" s="2" t="s">
        <v>21</v>
      </c>
      <c r="K6" s="65" t="str">
        <f>'02.08 Ntinda-Naalya'!K6:L6</f>
        <v>STEVEN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110</v>
      </c>
      <c r="D10" s="50">
        <v>85</v>
      </c>
      <c r="E10" s="50">
        <v>10</v>
      </c>
      <c r="F10" s="50">
        <v>4</v>
      </c>
      <c r="G10" s="50">
        <v>0</v>
      </c>
      <c r="H10" s="50">
        <v>0</v>
      </c>
      <c r="I10" s="50">
        <v>0</v>
      </c>
      <c r="J10" s="50">
        <v>0</v>
      </c>
      <c r="K10" s="50">
        <v>1</v>
      </c>
      <c r="L10" s="50">
        <v>0</v>
      </c>
      <c r="M10" s="50">
        <v>38</v>
      </c>
      <c r="N10" s="50">
        <v>0</v>
      </c>
      <c r="O10" s="15">
        <f t="shared" ref="O10:O57" si="0">SUM(C10:L10,N10)</f>
        <v>210</v>
      </c>
      <c r="P10" s="15">
        <f t="shared" ref="P10:P57" si="1">SUM(C10:N10)</f>
        <v>248</v>
      </c>
      <c r="R10" s="1" t="s">
        <v>6</v>
      </c>
      <c r="S10" s="17">
        <f t="shared" ref="S10:AF10" si="2">SUM(C10:C13)</f>
        <v>457</v>
      </c>
      <c r="T10" s="17">
        <f t="shared" si="2"/>
        <v>341</v>
      </c>
      <c r="U10" s="17">
        <f t="shared" si="2"/>
        <v>56</v>
      </c>
      <c r="V10" s="17">
        <f t="shared" si="2"/>
        <v>24</v>
      </c>
      <c r="W10" s="17">
        <f t="shared" si="2"/>
        <v>2</v>
      </c>
      <c r="X10" s="17">
        <f t="shared" si="2"/>
        <v>0</v>
      </c>
      <c r="Y10" s="17">
        <f t="shared" si="2"/>
        <v>8</v>
      </c>
      <c r="Z10" s="17">
        <f t="shared" si="2"/>
        <v>4</v>
      </c>
      <c r="AA10" s="17">
        <f t="shared" si="2"/>
        <v>1</v>
      </c>
      <c r="AB10" s="17">
        <f t="shared" si="2"/>
        <v>0</v>
      </c>
      <c r="AC10" s="17">
        <f t="shared" si="2"/>
        <v>341</v>
      </c>
      <c r="AD10" s="17">
        <f t="shared" si="2"/>
        <v>0</v>
      </c>
      <c r="AE10" s="31">
        <f t="shared" si="2"/>
        <v>893</v>
      </c>
      <c r="AF10" s="31">
        <f t="shared" si="2"/>
        <v>1234</v>
      </c>
    </row>
    <row r="11" spans="2:32" s="6" customFormat="1" ht="23.1" customHeight="1" x14ac:dyDescent="0.25">
      <c r="B11" s="23" t="s">
        <v>38</v>
      </c>
      <c r="C11" s="50">
        <v>102</v>
      </c>
      <c r="D11" s="50">
        <v>85</v>
      </c>
      <c r="E11" s="50">
        <v>14</v>
      </c>
      <c r="F11" s="50">
        <v>3</v>
      </c>
      <c r="G11" s="50">
        <v>0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65</v>
      </c>
      <c r="N11" s="50">
        <v>0</v>
      </c>
      <c r="O11" s="15">
        <f t="shared" si="0"/>
        <v>206</v>
      </c>
      <c r="P11" s="15">
        <f t="shared" si="1"/>
        <v>271</v>
      </c>
      <c r="R11" s="1" t="s">
        <v>7</v>
      </c>
      <c r="S11" s="17">
        <f t="shared" ref="S11:AF11" si="3">SUM(C14:C17)</f>
        <v>315</v>
      </c>
      <c r="T11" s="17">
        <f t="shared" si="3"/>
        <v>233</v>
      </c>
      <c r="U11" s="17">
        <f t="shared" si="3"/>
        <v>34</v>
      </c>
      <c r="V11" s="17">
        <f t="shared" si="3"/>
        <v>40</v>
      </c>
      <c r="W11" s="17">
        <f t="shared" si="3"/>
        <v>1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459</v>
      </c>
      <c r="AD11" s="17">
        <f t="shared" si="3"/>
        <v>0</v>
      </c>
      <c r="AE11" s="31">
        <f t="shared" si="3"/>
        <v>623</v>
      </c>
      <c r="AF11" s="31">
        <f t="shared" si="3"/>
        <v>1082</v>
      </c>
    </row>
    <row r="12" spans="2:32" ht="23.1" customHeight="1" x14ac:dyDescent="0.25">
      <c r="B12" s="23" t="s">
        <v>39</v>
      </c>
      <c r="C12" s="50">
        <v>130</v>
      </c>
      <c r="D12" s="50">
        <v>90</v>
      </c>
      <c r="E12" s="50">
        <v>10</v>
      </c>
      <c r="F12" s="50">
        <v>10</v>
      </c>
      <c r="G12" s="50">
        <v>2</v>
      </c>
      <c r="H12" s="50">
        <v>0</v>
      </c>
      <c r="I12" s="50">
        <v>4</v>
      </c>
      <c r="J12" s="50">
        <v>3</v>
      </c>
      <c r="K12" s="50">
        <v>0</v>
      </c>
      <c r="L12" s="50">
        <v>0</v>
      </c>
      <c r="M12" s="50">
        <v>103</v>
      </c>
      <c r="N12" s="50">
        <v>0</v>
      </c>
      <c r="O12" s="15">
        <f t="shared" si="0"/>
        <v>249</v>
      </c>
      <c r="P12" s="15">
        <f t="shared" si="1"/>
        <v>352</v>
      </c>
      <c r="R12" s="1" t="s">
        <v>8</v>
      </c>
      <c r="S12" s="17">
        <f t="shared" ref="S12:AF12" si="4">SUM(C18:C21)</f>
        <v>284</v>
      </c>
      <c r="T12" s="17">
        <f t="shared" si="4"/>
        <v>203</v>
      </c>
      <c r="U12" s="17">
        <f t="shared" si="4"/>
        <v>45</v>
      </c>
      <c r="V12" s="17">
        <f t="shared" si="4"/>
        <v>37</v>
      </c>
      <c r="W12" s="17">
        <f t="shared" si="4"/>
        <v>2</v>
      </c>
      <c r="X12" s="17">
        <f t="shared" si="4"/>
        <v>0</v>
      </c>
      <c r="Y12" s="17">
        <f t="shared" si="4"/>
        <v>0</v>
      </c>
      <c r="Z12" s="17">
        <f t="shared" si="4"/>
        <v>7</v>
      </c>
      <c r="AA12" s="17">
        <f t="shared" si="4"/>
        <v>4</v>
      </c>
      <c r="AB12" s="17">
        <f t="shared" si="4"/>
        <v>3</v>
      </c>
      <c r="AC12" s="17">
        <f t="shared" si="4"/>
        <v>418</v>
      </c>
      <c r="AD12" s="17">
        <f t="shared" si="4"/>
        <v>0</v>
      </c>
      <c r="AE12" s="31">
        <f t="shared" si="4"/>
        <v>585</v>
      </c>
      <c r="AF12" s="31">
        <f t="shared" si="4"/>
        <v>1003</v>
      </c>
    </row>
    <row r="13" spans="2:32" ht="23.1" customHeight="1" x14ac:dyDescent="0.25">
      <c r="B13" s="23" t="s">
        <v>40</v>
      </c>
      <c r="C13" s="50">
        <v>115</v>
      </c>
      <c r="D13" s="50">
        <v>81</v>
      </c>
      <c r="E13" s="50">
        <v>22</v>
      </c>
      <c r="F13" s="50">
        <v>7</v>
      </c>
      <c r="G13" s="50">
        <v>0</v>
      </c>
      <c r="H13" s="50">
        <v>0</v>
      </c>
      <c r="I13" s="50">
        <v>2</v>
      </c>
      <c r="J13" s="50">
        <v>1</v>
      </c>
      <c r="K13" s="50">
        <v>0</v>
      </c>
      <c r="L13" s="50">
        <v>0</v>
      </c>
      <c r="M13" s="50">
        <v>135</v>
      </c>
      <c r="N13" s="50">
        <v>0</v>
      </c>
      <c r="O13" s="15">
        <f t="shared" si="0"/>
        <v>228</v>
      </c>
      <c r="P13" s="15">
        <f t="shared" si="1"/>
        <v>363</v>
      </c>
      <c r="R13" s="1" t="s">
        <v>9</v>
      </c>
      <c r="S13" s="17">
        <f t="shared" ref="S13:AF13" si="5">SUM(C22:C25)</f>
        <v>255</v>
      </c>
      <c r="T13" s="17">
        <f t="shared" si="5"/>
        <v>216</v>
      </c>
      <c r="U13" s="17">
        <f t="shared" si="5"/>
        <v>28</v>
      </c>
      <c r="V13" s="17">
        <f t="shared" si="5"/>
        <v>39</v>
      </c>
      <c r="W13" s="17">
        <f t="shared" si="5"/>
        <v>8</v>
      </c>
      <c r="X13" s="17">
        <f t="shared" si="5"/>
        <v>0</v>
      </c>
      <c r="Y13" s="17">
        <f t="shared" si="5"/>
        <v>12</v>
      </c>
      <c r="Z13" s="17">
        <f t="shared" si="5"/>
        <v>9</v>
      </c>
      <c r="AA13" s="17">
        <f t="shared" si="5"/>
        <v>1</v>
      </c>
      <c r="AB13" s="17">
        <f t="shared" si="5"/>
        <v>1</v>
      </c>
      <c r="AC13" s="17">
        <f t="shared" si="5"/>
        <v>382</v>
      </c>
      <c r="AD13" s="17">
        <f t="shared" si="5"/>
        <v>0</v>
      </c>
      <c r="AE13" s="31">
        <f t="shared" si="5"/>
        <v>569</v>
      </c>
      <c r="AF13" s="31">
        <f t="shared" si="5"/>
        <v>951</v>
      </c>
    </row>
    <row r="14" spans="2:32" ht="23.1" customHeight="1" x14ac:dyDescent="0.25">
      <c r="B14" s="23" t="s">
        <v>41</v>
      </c>
      <c r="C14" s="50">
        <v>110</v>
      </c>
      <c r="D14" s="50">
        <v>85</v>
      </c>
      <c r="E14" s="50">
        <v>6</v>
      </c>
      <c r="F14" s="50">
        <v>15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141</v>
      </c>
      <c r="N14" s="50">
        <v>0</v>
      </c>
      <c r="O14" s="15">
        <f t="shared" si="0"/>
        <v>216</v>
      </c>
      <c r="P14" s="15">
        <f t="shared" si="1"/>
        <v>357</v>
      </c>
      <c r="R14" s="1" t="s">
        <v>10</v>
      </c>
      <c r="S14" s="17">
        <f t="shared" ref="S14:AF14" si="6">SUM(C26:C29)</f>
        <v>198</v>
      </c>
      <c r="T14" s="17">
        <f t="shared" si="6"/>
        <v>164</v>
      </c>
      <c r="U14" s="17">
        <f t="shared" si="6"/>
        <v>28</v>
      </c>
      <c r="V14" s="17">
        <f t="shared" si="6"/>
        <v>48</v>
      </c>
      <c r="W14" s="17">
        <f t="shared" si="6"/>
        <v>1</v>
      </c>
      <c r="X14" s="17">
        <f t="shared" si="6"/>
        <v>0</v>
      </c>
      <c r="Y14" s="17">
        <f t="shared" si="6"/>
        <v>2</v>
      </c>
      <c r="Z14" s="17">
        <f t="shared" si="6"/>
        <v>3</v>
      </c>
      <c r="AA14" s="17">
        <f t="shared" si="6"/>
        <v>1</v>
      </c>
      <c r="AB14" s="17">
        <f t="shared" si="6"/>
        <v>1</v>
      </c>
      <c r="AC14" s="17">
        <f t="shared" si="6"/>
        <v>280</v>
      </c>
      <c r="AD14" s="17">
        <f t="shared" si="6"/>
        <v>0</v>
      </c>
      <c r="AE14" s="31">
        <f t="shared" si="6"/>
        <v>446</v>
      </c>
      <c r="AF14" s="31">
        <f t="shared" si="6"/>
        <v>726</v>
      </c>
    </row>
    <row r="15" spans="2:32" ht="23.1" customHeight="1" x14ac:dyDescent="0.25">
      <c r="B15" s="23" t="s">
        <v>42</v>
      </c>
      <c r="C15" s="50">
        <v>85</v>
      </c>
      <c r="D15" s="50">
        <v>41</v>
      </c>
      <c r="E15" s="50">
        <v>9</v>
      </c>
      <c r="F15" s="50">
        <v>12</v>
      </c>
      <c r="G15" s="50">
        <v>1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117</v>
      </c>
      <c r="N15" s="50">
        <v>0</v>
      </c>
      <c r="O15" s="15">
        <f t="shared" si="0"/>
        <v>148</v>
      </c>
      <c r="P15" s="15">
        <f t="shared" si="1"/>
        <v>265</v>
      </c>
      <c r="R15" s="1" t="s">
        <v>11</v>
      </c>
      <c r="S15" s="17">
        <f t="shared" ref="S15:AF15" si="7">SUM(C30:C33)</f>
        <v>156</v>
      </c>
      <c r="T15" s="17">
        <f t="shared" si="7"/>
        <v>128</v>
      </c>
      <c r="U15" s="17">
        <f t="shared" si="7"/>
        <v>24</v>
      </c>
      <c r="V15" s="17">
        <f t="shared" si="7"/>
        <v>46</v>
      </c>
      <c r="W15" s="17">
        <f t="shared" si="7"/>
        <v>2</v>
      </c>
      <c r="X15" s="17">
        <f t="shared" si="7"/>
        <v>0</v>
      </c>
      <c r="Y15" s="17">
        <f t="shared" si="7"/>
        <v>5</v>
      </c>
      <c r="Z15" s="17">
        <f t="shared" si="7"/>
        <v>7</v>
      </c>
      <c r="AA15" s="17">
        <f t="shared" si="7"/>
        <v>7</v>
      </c>
      <c r="AB15" s="17">
        <f t="shared" si="7"/>
        <v>1</v>
      </c>
      <c r="AC15" s="17">
        <f t="shared" si="7"/>
        <v>281</v>
      </c>
      <c r="AD15" s="17">
        <f t="shared" si="7"/>
        <v>0</v>
      </c>
      <c r="AE15" s="31">
        <f t="shared" si="7"/>
        <v>376</v>
      </c>
      <c r="AF15" s="31">
        <f t="shared" si="7"/>
        <v>657</v>
      </c>
    </row>
    <row r="16" spans="2:32" ht="23.1" customHeight="1" x14ac:dyDescent="0.25">
      <c r="B16" s="23" t="s">
        <v>43</v>
      </c>
      <c r="C16" s="50">
        <v>58</v>
      </c>
      <c r="D16" s="50">
        <v>42</v>
      </c>
      <c r="E16" s="50">
        <v>10</v>
      </c>
      <c r="F16" s="50">
        <v>5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95</v>
      </c>
      <c r="N16" s="50">
        <v>0</v>
      </c>
      <c r="O16" s="15">
        <f t="shared" si="0"/>
        <v>115</v>
      </c>
      <c r="P16" s="15">
        <f t="shared" si="1"/>
        <v>210</v>
      </c>
      <c r="R16" s="1" t="s">
        <v>12</v>
      </c>
      <c r="S16" s="17">
        <f t="shared" ref="S16:AF16" si="8">SUM(C34:C37)</f>
        <v>204</v>
      </c>
      <c r="T16" s="17">
        <f t="shared" si="8"/>
        <v>180</v>
      </c>
      <c r="U16" s="17">
        <f t="shared" si="8"/>
        <v>24</v>
      </c>
      <c r="V16" s="17">
        <f t="shared" si="8"/>
        <v>31</v>
      </c>
      <c r="W16" s="17">
        <f t="shared" si="8"/>
        <v>2</v>
      </c>
      <c r="X16" s="17">
        <f t="shared" si="8"/>
        <v>0</v>
      </c>
      <c r="Y16" s="17">
        <f t="shared" si="8"/>
        <v>8</v>
      </c>
      <c r="Z16" s="17">
        <f t="shared" si="8"/>
        <v>7</v>
      </c>
      <c r="AA16" s="17">
        <f t="shared" si="8"/>
        <v>6</v>
      </c>
      <c r="AB16" s="17">
        <f t="shared" si="8"/>
        <v>0</v>
      </c>
      <c r="AC16" s="17">
        <f t="shared" si="8"/>
        <v>254</v>
      </c>
      <c r="AD16" s="17">
        <f t="shared" si="8"/>
        <v>0</v>
      </c>
      <c r="AE16" s="31">
        <f t="shared" si="8"/>
        <v>462</v>
      </c>
      <c r="AF16" s="31">
        <f t="shared" si="8"/>
        <v>716</v>
      </c>
    </row>
    <row r="17" spans="2:32" ht="23.1" customHeight="1" x14ac:dyDescent="0.25">
      <c r="B17" s="23" t="s">
        <v>44</v>
      </c>
      <c r="C17" s="50">
        <v>62</v>
      </c>
      <c r="D17" s="50">
        <v>65</v>
      </c>
      <c r="E17" s="50">
        <v>9</v>
      </c>
      <c r="F17" s="50">
        <v>8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106</v>
      </c>
      <c r="N17" s="50">
        <v>0</v>
      </c>
      <c r="O17" s="15">
        <f t="shared" si="0"/>
        <v>144</v>
      </c>
      <c r="P17" s="15">
        <f t="shared" si="1"/>
        <v>250</v>
      </c>
      <c r="R17" s="1" t="s">
        <v>13</v>
      </c>
      <c r="S17" s="17">
        <f t="shared" ref="S17:AF17" si="9">SUM(C38:C41)</f>
        <v>165</v>
      </c>
      <c r="T17" s="17">
        <f t="shared" si="9"/>
        <v>132</v>
      </c>
      <c r="U17" s="17">
        <f t="shared" si="9"/>
        <v>26</v>
      </c>
      <c r="V17" s="17">
        <f t="shared" si="9"/>
        <v>31</v>
      </c>
      <c r="W17" s="17">
        <f t="shared" si="9"/>
        <v>5</v>
      </c>
      <c r="X17" s="17">
        <f t="shared" si="9"/>
        <v>1</v>
      </c>
      <c r="Y17" s="17">
        <f t="shared" si="9"/>
        <v>4</v>
      </c>
      <c r="Z17" s="17">
        <f t="shared" si="9"/>
        <v>8</v>
      </c>
      <c r="AA17" s="17">
        <f t="shared" si="9"/>
        <v>1</v>
      </c>
      <c r="AB17" s="17">
        <f t="shared" si="9"/>
        <v>1</v>
      </c>
      <c r="AC17" s="17">
        <f t="shared" si="9"/>
        <v>335</v>
      </c>
      <c r="AD17" s="17">
        <f t="shared" si="9"/>
        <v>0</v>
      </c>
      <c r="AE17" s="31">
        <f t="shared" si="9"/>
        <v>374</v>
      </c>
      <c r="AF17" s="31">
        <f t="shared" si="9"/>
        <v>709</v>
      </c>
    </row>
    <row r="18" spans="2:32" ht="23.1" customHeight="1" x14ac:dyDescent="0.25">
      <c r="B18" s="23" t="s">
        <v>45</v>
      </c>
      <c r="C18" s="50">
        <v>87</v>
      </c>
      <c r="D18" s="50">
        <v>54</v>
      </c>
      <c r="E18" s="50">
        <v>11</v>
      </c>
      <c r="F18" s="50">
        <v>14</v>
      </c>
      <c r="G18" s="50">
        <v>0</v>
      </c>
      <c r="H18" s="50">
        <v>0</v>
      </c>
      <c r="I18" s="50">
        <v>0</v>
      </c>
      <c r="J18" s="50">
        <v>3</v>
      </c>
      <c r="K18" s="50">
        <v>1</v>
      </c>
      <c r="L18" s="50">
        <v>1</v>
      </c>
      <c r="M18" s="50">
        <v>86</v>
      </c>
      <c r="N18" s="50">
        <v>0</v>
      </c>
      <c r="O18" s="15">
        <f t="shared" si="0"/>
        <v>171</v>
      </c>
      <c r="P18" s="15">
        <f t="shared" si="1"/>
        <v>257</v>
      </c>
      <c r="R18" s="1" t="s">
        <v>14</v>
      </c>
      <c r="S18" s="17">
        <f t="shared" ref="S18:AF18" si="10">SUM(C42:C45)</f>
        <v>218</v>
      </c>
      <c r="T18" s="17">
        <f t="shared" si="10"/>
        <v>151</v>
      </c>
      <c r="U18" s="17">
        <f t="shared" si="10"/>
        <v>30</v>
      </c>
      <c r="V18" s="17">
        <f t="shared" si="10"/>
        <v>37</v>
      </c>
      <c r="W18" s="17">
        <f t="shared" si="10"/>
        <v>2</v>
      </c>
      <c r="X18" s="17">
        <f t="shared" si="10"/>
        <v>0</v>
      </c>
      <c r="Y18" s="17">
        <f t="shared" si="10"/>
        <v>13</v>
      </c>
      <c r="Z18" s="17">
        <f t="shared" si="10"/>
        <v>11</v>
      </c>
      <c r="AA18" s="17">
        <f t="shared" si="10"/>
        <v>1</v>
      </c>
      <c r="AB18" s="17">
        <f t="shared" si="10"/>
        <v>0</v>
      </c>
      <c r="AC18" s="17">
        <f t="shared" si="10"/>
        <v>244</v>
      </c>
      <c r="AD18" s="17">
        <f t="shared" si="10"/>
        <v>0</v>
      </c>
      <c r="AE18" s="31">
        <f t="shared" si="10"/>
        <v>463</v>
      </c>
      <c r="AF18" s="31">
        <f t="shared" si="10"/>
        <v>707</v>
      </c>
    </row>
    <row r="19" spans="2:32" ht="23.1" customHeight="1" x14ac:dyDescent="0.25">
      <c r="B19" s="23" t="s">
        <v>46</v>
      </c>
      <c r="C19" s="50">
        <v>85</v>
      </c>
      <c r="D19" s="50">
        <v>57</v>
      </c>
      <c r="E19" s="50">
        <v>15</v>
      </c>
      <c r="F19" s="50">
        <v>5</v>
      </c>
      <c r="G19" s="50">
        <v>0</v>
      </c>
      <c r="H19" s="50">
        <v>0</v>
      </c>
      <c r="I19" s="50">
        <v>0</v>
      </c>
      <c r="J19" s="50">
        <v>1</v>
      </c>
      <c r="K19" s="50">
        <v>2</v>
      </c>
      <c r="L19" s="50">
        <v>1</v>
      </c>
      <c r="M19" s="50">
        <v>97</v>
      </c>
      <c r="N19" s="50">
        <v>0</v>
      </c>
      <c r="O19" s="15">
        <f t="shared" si="0"/>
        <v>166</v>
      </c>
      <c r="P19" s="15">
        <f t="shared" si="1"/>
        <v>263</v>
      </c>
      <c r="R19" s="1" t="s">
        <v>15</v>
      </c>
      <c r="S19" s="17">
        <f t="shared" ref="S19:AF19" si="11">SUM(C46:C49)</f>
        <v>311</v>
      </c>
      <c r="T19" s="17">
        <f t="shared" si="11"/>
        <v>192</v>
      </c>
      <c r="U19" s="17">
        <f t="shared" si="11"/>
        <v>35</v>
      </c>
      <c r="V19" s="17">
        <f t="shared" si="11"/>
        <v>49</v>
      </c>
      <c r="W19" s="17">
        <f t="shared" si="11"/>
        <v>6</v>
      </c>
      <c r="X19" s="17">
        <f t="shared" si="11"/>
        <v>1</v>
      </c>
      <c r="Y19" s="17">
        <f t="shared" si="11"/>
        <v>18</v>
      </c>
      <c r="Z19" s="17">
        <f t="shared" si="11"/>
        <v>8</v>
      </c>
      <c r="AA19" s="17">
        <f t="shared" si="11"/>
        <v>2</v>
      </c>
      <c r="AB19" s="17">
        <f t="shared" si="11"/>
        <v>1</v>
      </c>
      <c r="AC19" s="17">
        <f t="shared" si="11"/>
        <v>353</v>
      </c>
      <c r="AD19" s="17">
        <f t="shared" si="11"/>
        <v>0</v>
      </c>
      <c r="AE19" s="31">
        <f t="shared" si="11"/>
        <v>623</v>
      </c>
      <c r="AF19" s="31">
        <f t="shared" si="11"/>
        <v>976</v>
      </c>
    </row>
    <row r="20" spans="2:32" ht="23.1" customHeight="1" x14ac:dyDescent="0.25">
      <c r="B20" s="23" t="s">
        <v>47</v>
      </c>
      <c r="C20" s="50">
        <v>64</v>
      </c>
      <c r="D20" s="50">
        <v>49</v>
      </c>
      <c r="E20" s="50">
        <v>9</v>
      </c>
      <c r="F20" s="50">
        <v>8</v>
      </c>
      <c r="G20" s="50">
        <v>0</v>
      </c>
      <c r="H20" s="50">
        <v>0</v>
      </c>
      <c r="I20" s="50">
        <v>0</v>
      </c>
      <c r="J20" s="50">
        <v>1</v>
      </c>
      <c r="K20" s="50">
        <v>0</v>
      </c>
      <c r="L20" s="50">
        <v>1</v>
      </c>
      <c r="M20" s="50">
        <v>115</v>
      </c>
      <c r="N20" s="50">
        <v>0</v>
      </c>
      <c r="O20" s="15">
        <f t="shared" si="0"/>
        <v>132</v>
      </c>
      <c r="P20" s="15">
        <f t="shared" si="1"/>
        <v>247</v>
      </c>
      <c r="R20" s="1" t="s">
        <v>16</v>
      </c>
      <c r="S20" s="17">
        <f t="shared" ref="S20:AF20" si="12">SUM(C50:C53)</f>
        <v>336</v>
      </c>
      <c r="T20" s="17">
        <f t="shared" si="12"/>
        <v>195</v>
      </c>
      <c r="U20" s="17">
        <f t="shared" si="12"/>
        <v>47</v>
      </c>
      <c r="V20" s="17">
        <f t="shared" si="12"/>
        <v>42</v>
      </c>
      <c r="W20" s="17">
        <f t="shared" si="12"/>
        <v>7</v>
      </c>
      <c r="X20" s="17">
        <f t="shared" si="12"/>
        <v>0</v>
      </c>
      <c r="Y20" s="17">
        <f t="shared" si="12"/>
        <v>9</v>
      </c>
      <c r="Z20" s="17">
        <f t="shared" si="12"/>
        <v>11</v>
      </c>
      <c r="AA20" s="17">
        <f t="shared" si="12"/>
        <v>1</v>
      </c>
      <c r="AB20" s="17">
        <f t="shared" si="12"/>
        <v>0</v>
      </c>
      <c r="AC20" s="17">
        <f t="shared" si="12"/>
        <v>372</v>
      </c>
      <c r="AD20" s="17">
        <f t="shared" si="12"/>
        <v>0</v>
      </c>
      <c r="AE20" s="31">
        <f t="shared" si="12"/>
        <v>648</v>
      </c>
      <c r="AF20" s="31">
        <f t="shared" si="12"/>
        <v>1020</v>
      </c>
    </row>
    <row r="21" spans="2:32" ht="23.1" customHeight="1" x14ac:dyDescent="0.25">
      <c r="B21" s="23" t="s">
        <v>48</v>
      </c>
      <c r="C21" s="50">
        <v>48</v>
      </c>
      <c r="D21" s="50">
        <v>43</v>
      </c>
      <c r="E21" s="50">
        <v>10</v>
      </c>
      <c r="F21" s="50">
        <v>10</v>
      </c>
      <c r="G21" s="50">
        <v>2</v>
      </c>
      <c r="H21" s="50">
        <v>0</v>
      </c>
      <c r="I21" s="50">
        <v>0</v>
      </c>
      <c r="J21" s="50">
        <v>2</v>
      </c>
      <c r="K21" s="50">
        <v>1</v>
      </c>
      <c r="L21" s="50">
        <v>0</v>
      </c>
      <c r="M21" s="50">
        <v>120</v>
      </c>
      <c r="N21" s="50">
        <v>0</v>
      </c>
      <c r="O21" s="15">
        <f t="shared" si="0"/>
        <v>116</v>
      </c>
      <c r="P21" s="15">
        <f t="shared" si="1"/>
        <v>236</v>
      </c>
      <c r="R21" s="36" t="s">
        <v>20</v>
      </c>
      <c r="S21" s="34">
        <f t="shared" ref="S21:AF21" si="13">SUM(C54:C57)</f>
        <v>292</v>
      </c>
      <c r="T21" s="17">
        <f t="shared" si="13"/>
        <v>276</v>
      </c>
      <c r="U21" s="17">
        <f t="shared" si="13"/>
        <v>31</v>
      </c>
      <c r="V21" s="17">
        <f t="shared" si="13"/>
        <v>22</v>
      </c>
      <c r="W21" s="17">
        <f t="shared" si="13"/>
        <v>0</v>
      </c>
      <c r="X21" s="17">
        <f t="shared" si="13"/>
        <v>0</v>
      </c>
      <c r="Y21" s="17">
        <f t="shared" si="13"/>
        <v>9</v>
      </c>
      <c r="Z21" s="17">
        <f t="shared" si="13"/>
        <v>8</v>
      </c>
      <c r="AA21" s="17">
        <f t="shared" si="13"/>
        <v>1</v>
      </c>
      <c r="AB21" s="17">
        <f t="shared" si="13"/>
        <v>1</v>
      </c>
      <c r="AC21" s="17">
        <f t="shared" si="13"/>
        <v>374</v>
      </c>
      <c r="AD21" s="17">
        <f t="shared" si="13"/>
        <v>0</v>
      </c>
      <c r="AE21" s="31">
        <f t="shared" si="13"/>
        <v>640</v>
      </c>
      <c r="AF21" s="31">
        <f t="shared" si="13"/>
        <v>1014</v>
      </c>
    </row>
    <row r="22" spans="2:32" ht="23.1" customHeight="1" x14ac:dyDescent="0.25">
      <c r="B22" s="23" t="s">
        <v>49</v>
      </c>
      <c r="C22" s="50">
        <v>50</v>
      </c>
      <c r="D22" s="50">
        <v>56</v>
      </c>
      <c r="E22" s="50">
        <v>7</v>
      </c>
      <c r="F22" s="50">
        <v>10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118</v>
      </c>
      <c r="N22" s="50">
        <v>0</v>
      </c>
      <c r="O22" s="15">
        <f t="shared" si="0"/>
        <v>123</v>
      </c>
      <c r="P22" s="15">
        <f t="shared" si="1"/>
        <v>241</v>
      </c>
      <c r="R22" s="38" t="s">
        <v>90</v>
      </c>
      <c r="S22" s="39">
        <f>MAX(S10:S12)</f>
        <v>457</v>
      </c>
      <c r="T22" s="39">
        <f t="shared" ref="T22:AF22" si="14">MAX(T10:T12)</f>
        <v>341</v>
      </c>
      <c r="U22" s="39">
        <f t="shared" si="14"/>
        <v>56</v>
      </c>
      <c r="V22" s="39">
        <f t="shared" si="14"/>
        <v>40</v>
      </c>
      <c r="W22" s="39">
        <f t="shared" si="14"/>
        <v>2</v>
      </c>
      <c r="X22" s="39">
        <f t="shared" si="14"/>
        <v>0</v>
      </c>
      <c r="Y22" s="39">
        <f t="shared" si="14"/>
        <v>8</v>
      </c>
      <c r="Z22" s="39">
        <f t="shared" si="14"/>
        <v>7</v>
      </c>
      <c r="AA22" s="39">
        <f t="shared" si="14"/>
        <v>4</v>
      </c>
      <c r="AB22" s="39">
        <f t="shared" si="14"/>
        <v>3</v>
      </c>
      <c r="AC22" s="39">
        <f t="shared" si="14"/>
        <v>459</v>
      </c>
      <c r="AD22" s="39">
        <f t="shared" si="14"/>
        <v>0</v>
      </c>
      <c r="AE22" s="40">
        <f t="shared" si="14"/>
        <v>893</v>
      </c>
      <c r="AF22" s="40">
        <f t="shared" si="14"/>
        <v>1234</v>
      </c>
    </row>
    <row r="23" spans="2:32" ht="23.1" customHeight="1" x14ac:dyDescent="0.25">
      <c r="B23" s="23" t="s">
        <v>50</v>
      </c>
      <c r="C23" s="50">
        <v>70</v>
      </c>
      <c r="D23" s="50">
        <v>69</v>
      </c>
      <c r="E23" s="50">
        <v>8</v>
      </c>
      <c r="F23" s="50">
        <v>8</v>
      </c>
      <c r="G23" s="50">
        <v>4</v>
      </c>
      <c r="H23" s="50">
        <v>0</v>
      </c>
      <c r="I23" s="50">
        <v>4</v>
      </c>
      <c r="J23" s="50">
        <v>2</v>
      </c>
      <c r="K23" s="50">
        <v>1</v>
      </c>
      <c r="L23" s="50">
        <v>0</v>
      </c>
      <c r="M23" s="50">
        <v>72</v>
      </c>
      <c r="N23" s="50">
        <v>0</v>
      </c>
      <c r="O23" s="15">
        <f t="shared" si="0"/>
        <v>166</v>
      </c>
      <c r="P23" s="15">
        <f t="shared" si="1"/>
        <v>238</v>
      </c>
      <c r="R23" s="38" t="s">
        <v>91</v>
      </c>
      <c r="S23" s="39">
        <f>MAX(S13:S18)</f>
        <v>255</v>
      </c>
      <c r="T23" s="39">
        <f t="shared" ref="T23:AF23" si="15">MAX(T13:T18)</f>
        <v>216</v>
      </c>
      <c r="U23" s="39">
        <f t="shared" si="15"/>
        <v>30</v>
      </c>
      <c r="V23" s="39">
        <f t="shared" si="15"/>
        <v>48</v>
      </c>
      <c r="W23" s="39">
        <f t="shared" si="15"/>
        <v>8</v>
      </c>
      <c r="X23" s="39">
        <f t="shared" si="15"/>
        <v>1</v>
      </c>
      <c r="Y23" s="39">
        <f t="shared" si="15"/>
        <v>13</v>
      </c>
      <c r="Z23" s="39">
        <f t="shared" si="15"/>
        <v>11</v>
      </c>
      <c r="AA23" s="39">
        <f t="shared" si="15"/>
        <v>7</v>
      </c>
      <c r="AB23" s="39">
        <f t="shared" si="15"/>
        <v>1</v>
      </c>
      <c r="AC23" s="39">
        <f t="shared" si="15"/>
        <v>382</v>
      </c>
      <c r="AD23" s="39">
        <f t="shared" si="15"/>
        <v>0</v>
      </c>
      <c r="AE23" s="40">
        <f t="shared" si="15"/>
        <v>569</v>
      </c>
      <c r="AF23" s="40">
        <f t="shared" si="15"/>
        <v>951</v>
      </c>
    </row>
    <row r="24" spans="2:32" ht="23.1" customHeight="1" x14ac:dyDescent="0.25">
      <c r="B24" s="23" t="s">
        <v>51</v>
      </c>
      <c r="C24" s="50">
        <v>55</v>
      </c>
      <c r="D24" s="50">
        <v>46</v>
      </c>
      <c r="E24" s="50">
        <v>5</v>
      </c>
      <c r="F24" s="50">
        <v>10</v>
      </c>
      <c r="G24" s="50">
        <v>2</v>
      </c>
      <c r="H24" s="50">
        <v>0</v>
      </c>
      <c r="I24" s="50">
        <v>3</v>
      </c>
      <c r="J24" s="50">
        <v>2</v>
      </c>
      <c r="K24" s="50">
        <v>0</v>
      </c>
      <c r="L24" s="50">
        <v>0</v>
      </c>
      <c r="M24" s="50">
        <v>92</v>
      </c>
      <c r="N24" s="50">
        <v>0</v>
      </c>
      <c r="O24" s="15">
        <f t="shared" si="0"/>
        <v>123</v>
      </c>
      <c r="P24" s="15">
        <f t="shared" si="1"/>
        <v>215</v>
      </c>
      <c r="R24" s="38" t="s">
        <v>92</v>
      </c>
      <c r="S24" s="39">
        <f>MAX(S19:S21)</f>
        <v>336</v>
      </c>
      <c r="T24" s="39">
        <f t="shared" ref="T24:AF24" si="16">MAX(T19:T21)</f>
        <v>276</v>
      </c>
      <c r="U24" s="39">
        <f t="shared" si="16"/>
        <v>47</v>
      </c>
      <c r="V24" s="39">
        <f t="shared" si="16"/>
        <v>49</v>
      </c>
      <c r="W24" s="39">
        <f t="shared" si="16"/>
        <v>7</v>
      </c>
      <c r="X24" s="39">
        <f t="shared" si="16"/>
        <v>1</v>
      </c>
      <c r="Y24" s="39">
        <f t="shared" si="16"/>
        <v>18</v>
      </c>
      <c r="Z24" s="39">
        <f t="shared" si="16"/>
        <v>11</v>
      </c>
      <c r="AA24" s="39">
        <f t="shared" si="16"/>
        <v>2</v>
      </c>
      <c r="AB24" s="39">
        <f t="shared" si="16"/>
        <v>1</v>
      </c>
      <c r="AC24" s="39">
        <f t="shared" si="16"/>
        <v>374</v>
      </c>
      <c r="AD24" s="39">
        <f t="shared" si="16"/>
        <v>0</v>
      </c>
      <c r="AE24" s="40">
        <f t="shared" si="16"/>
        <v>648</v>
      </c>
      <c r="AF24" s="40">
        <f t="shared" si="16"/>
        <v>1020</v>
      </c>
    </row>
    <row r="25" spans="2:32" ht="23.1" customHeight="1" x14ac:dyDescent="0.25">
      <c r="B25" s="23" t="s">
        <v>52</v>
      </c>
      <c r="C25" s="50">
        <v>80</v>
      </c>
      <c r="D25" s="50">
        <v>45</v>
      </c>
      <c r="E25" s="50">
        <v>8</v>
      </c>
      <c r="F25" s="50">
        <v>11</v>
      </c>
      <c r="G25" s="50">
        <v>2</v>
      </c>
      <c r="H25" s="50">
        <v>0</v>
      </c>
      <c r="I25" s="50">
        <v>5</v>
      </c>
      <c r="J25" s="50">
        <v>5</v>
      </c>
      <c r="K25" s="50">
        <v>0</v>
      </c>
      <c r="L25" s="50">
        <v>1</v>
      </c>
      <c r="M25" s="50">
        <v>100</v>
      </c>
      <c r="N25" s="50">
        <v>0</v>
      </c>
      <c r="O25" s="15">
        <f t="shared" si="0"/>
        <v>157</v>
      </c>
      <c r="P25" s="15">
        <f t="shared" si="1"/>
        <v>257</v>
      </c>
      <c r="R25" s="37" t="s">
        <v>85</v>
      </c>
      <c r="S25" s="35">
        <f t="shared" ref="S25:AF25" si="17">SUM(S10:S12)</f>
        <v>1056</v>
      </c>
      <c r="T25" s="16">
        <f t="shared" si="17"/>
        <v>777</v>
      </c>
      <c r="U25" s="16">
        <f t="shared" si="17"/>
        <v>135</v>
      </c>
      <c r="V25" s="16">
        <f t="shared" si="17"/>
        <v>101</v>
      </c>
      <c r="W25" s="16">
        <f t="shared" si="17"/>
        <v>5</v>
      </c>
      <c r="X25" s="16">
        <f t="shared" si="17"/>
        <v>0</v>
      </c>
      <c r="Y25" s="16">
        <f t="shared" si="17"/>
        <v>8</v>
      </c>
      <c r="Z25" s="16">
        <f t="shared" si="17"/>
        <v>11</v>
      </c>
      <c r="AA25" s="16">
        <f t="shared" si="17"/>
        <v>5</v>
      </c>
      <c r="AB25" s="16">
        <f t="shared" si="17"/>
        <v>3</v>
      </c>
      <c r="AC25" s="16">
        <f t="shared" si="17"/>
        <v>1218</v>
      </c>
      <c r="AD25" s="16">
        <f t="shared" si="17"/>
        <v>0</v>
      </c>
      <c r="AE25" s="32">
        <f t="shared" si="17"/>
        <v>2101</v>
      </c>
      <c r="AF25" s="32">
        <f t="shared" si="17"/>
        <v>3319</v>
      </c>
    </row>
    <row r="26" spans="2:32" ht="23.1" customHeight="1" x14ac:dyDescent="0.25">
      <c r="B26" s="23" t="s">
        <v>53</v>
      </c>
      <c r="C26" s="50">
        <v>63</v>
      </c>
      <c r="D26" s="50">
        <v>48</v>
      </c>
      <c r="E26" s="50">
        <v>8</v>
      </c>
      <c r="F26" s="50">
        <v>12</v>
      </c>
      <c r="G26" s="50">
        <v>0</v>
      </c>
      <c r="H26" s="50">
        <v>0</v>
      </c>
      <c r="I26" s="50">
        <v>0</v>
      </c>
      <c r="J26" s="50">
        <v>1</v>
      </c>
      <c r="K26" s="50">
        <v>0</v>
      </c>
      <c r="L26" s="50">
        <v>1</v>
      </c>
      <c r="M26" s="50">
        <v>70</v>
      </c>
      <c r="N26" s="50">
        <v>0</v>
      </c>
      <c r="O26" s="15">
        <f t="shared" si="0"/>
        <v>133</v>
      </c>
      <c r="P26" s="15">
        <f t="shared" si="1"/>
        <v>203</v>
      </c>
      <c r="R26" s="28" t="s">
        <v>86</v>
      </c>
      <c r="S26" s="16">
        <f t="shared" ref="S26:AF26" si="18">SUM(S13:S18)</f>
        <v>1196</v>
      </c>
      <c r="T26" s="16">
        <f t="shared" si="18"/>
        <v>971</v>
      </c>
      <c r="U26" s="16">
        <f t="shared" si="18"/>
        <v>160</v>
      </c>
      <c r="V26" s="16">
        <f t="shared" si="18"/>
        <v>232</v>
      </c>
      <c r="W26" s="16">
        <f t="shared" si="18"/>
        <v>20</v>
      </c>
      <c r="X26" s="16">
        <f t="shared" si="18"/>
        <v>1</v>
      </c>
      <c r="Y26" s="16">
        <f t="shared" si="18"/>
        <v>44</v>
      </c>
      <c r="Z26" s="16">
        <f t="shared" si="18"/>
        <v>45</v>
      </c>
      <c r="AA26" s="16">
        <f t="shared" si="18"/>
        <v>17</v>
      </c>
      <c r="AB26" s="16">
        <f t="shared" si="18"/>
        <v>4</v>
      </c>
      <c r="AC26" s="16">
        <f t="shared" si="18"/>
        <v>1776</v>
      </c>
      <c r="AD26" s="16">
        <f t="shared" si="18"/>
        <v>0</v>
      </c>
      <c r="AE26" s="32">
        <f t="shared" si="18"/>
        <v>2690</v>
      </c>
      <c r="AF26" s="32">
        <f t="shared" si="18"/>
        <v>4466</v>
      </c>
    </row>
    <row r="27" spans="2:32" ht="23.1" customHeight="1" x14ac:dyDescent="0.25">
      <c r="B27" s="23" t="s">
        <v>54</v>
      </c>
      <c r="C27" s="50">
        <v>65</v>
      </c>
      <c r="D27" s="50">
        <v>46</v>
      </c>
      <c r="E27" s="50">
        <v>10</v>
      </c>
      <c r="F27" s="50">
        <v>18</v>
      </c>
      <c r="G27" s="50">
        <v>0</v>
      </c>
      <c r="H27" s="50">
        <v>0</v>
      </c>
      <c r="I27" s="50">
        <v>1</v>
      </c>
      <c r="J27" s="50">
        <v>2</v>
      </c>
      <c r="K27" s="50">
        <v>1</v>
      </c>
      <c r="L27" s="50">
        <v>0</v>
      </c>
      <c r="M27" s="50">
        <v>67</v>
      </c>
      <c r="N27" s="50">
        <v>0</v>
      </c>
      <c r="O27" s="15">
        <f t="shared" si="0"/>
        <v>143</v>
      </c>
      <c r="P27" s="15">
        <f t="shared" si="1"/>
        <v>210</v>
      </c>
      <c r="R27" s="29" t="s">
        <v>87</v>
      </c>
      <c r="S27" s="16">
        <f t="shared" ref="S27:AF27" si="19">SUM(S19:S21)</f>
        <v>939</v>
      </c>
      <c r="T27" s="16">
        <f t="shared" si="19"/>
        <v>663</v>
      </c>
      <c r="U27" s="16">
        <f t="shared" si="19"/>
        <v>113</v>
      </c>
      <c r="V27" s="16">
        <f t="shared" si="19"/>
        <v>113</v>
      </c>
      <c r="W27" s="16">
        <f t="shared" si="19"/>
        <v>13</v>
      </c>
      <c r="X27" s="16">
        <f t="shared" si="19"/>
        <v>1</v>
      </c>
      <c r="Y27" s="16">
        <f t="shared" si="19"/>
        <v>36</v>
      </c>
      <c r="Z27" s="16">
        <f t="shared" si="19"/>
        <v>27</v>
      </c>
      <c r="AA27" s="16">
        <f t="shared" si="19"/>
        <v>4</v>
      </c>
      <c r="AB27" s="16">
        <f t="shared" si="19"/>
        <v>2</v>
      </c>
      <c r="AC27" s="16">
        <f t="shared" si="19"/>
        <v>1099</v>
      </c>
      <c r="AD27" s="16">
        <f t="shared" si="19"/>
        <v>0</v>
      </c>
      <c r="AE27" s="32">
        <f t="shared" si="19"/>
        <v>1911</v>
      </c>
      <c r="AF27" s="32">
        <f t="shared" si="19"/>
        <v>3010</v>
      </c>
    </row>
    <row r="28" spans="2:32" ht="23.1" customHeight="1" x14ac:dyDescent="0.25">
      <c r="B28" s="23" t="s">
        <v>55</v>
      </c>
      <c r="C28" s="50">
        <v>30</v>
      </c>
      <c r="D28" s="50">
        <v>25</v>
      </c>
      <c r="E28" s="50">
        <v>4</v>
      </c>
      <c r="F28" s="50">
        <v>10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70</v>
      </c>
      <c r="N28" s="50">
        <v>0</v>
      </c>
      <c r="O28" s="15">
        <f t="shared" si="0"/>
        <v>70</v>
      </c>
      <c r="P28" s="15">
        <f t="shared" si="1"/>
        <v>140</v>
      </c>
      <c r="R28" s="5" t="s">
        <v>17</v>
      </c>
      <c r="S28" s="16">
        <f t="shared" ref="S28:AF28" si="20">SUM(S10:S21)</f>
        <v>3191</v>
      </c>
      <c r="T28" s="16">
        <f t="shared" si="20"/>
        <v>2411</v>
      </c>
      <c r="U28" s="16">
        <f t="shared" si="20"/>
        <v>408</v>
      </c>
      <c r="V28" s="16">
        <f t="shared" si="20"/>
        <v>446</v>
      </c>
      <c r="W28" s="16">
        <f t="shared" si="20"/>
        <v>38</v>
      </c>
      <c r="X28" s="16">
        <f t="shared" si="20"/>
        <v>2</v>
      </c>
      <c r="Y28" s="16">
        <f t="shared" si="20"/>
        <v>88</v>
      </c>
      <c r="Z28" s="16">
        <f t="shared" si="20"/>
        <v>83</v>
      </c>
      <c r="AA28" s="16">
        <f t="shared" si="20"/>
        <v>26</v>
      </c>
      <c r="AB28" s="16">
        <f t="shared" si="20"/>
        <v>9</v>
      </c>
      <c r="AC28" s="16">
        <f t="shared" si="20"/>
        <v>4093</v>
      </c>
      <c r="AD28" s="16">
        <f t="shared" si="20"/>
        <v>0</v>
      </c>
      <c r="AE28" s="32">
        <f t="shared" si="20"/>
        <v>6702</v>
      </c>
      <c r="AF28" s="32">
        <f t="shared" si="20"/>
        <v>10795</v>
      </c>
    </row>
    <row r="29" spans="2:32" ht="23.1" customHeight="1" x14ac:dyDescent="0.25">
      <c r="B29" s="23" t="s">
        <v>56</v>
      </c>
      <c r="C29" s="50">
        <v>40</v>
      </c>
      <c r="D29" s="50">
        <v>45</v>
      </c>
      <c r="E29" s="50">
        <v>6</v>
      </c>
      <c r="F29" s="50">
        <v>8</v>
      </c>
      <c r="G29" s="50">
        <v>1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73</v>
      </c>
      <c r="N29" s="50">
        <v>0</v>
      </c>
      <c r="O29" s="15">
        <f t="shared" si="0"/>
        <v>100</v>
      </c>
      <c r="P29" s="15">
        <f t="shared" si="1"/>
        <v>173</v>
      </c>
      <c r="R29"/>
      <c r="S29" s="20"/>
      <c r="T29" s="19"/>
    </row>
    <row r="30" spans="2:32" ht="23.1" customHeight="1" x14ac:dyDescent="0.25">
      <c r="B30" s="23" t="s">
        <v>57</v>
      </c>
      <c r="C30" s="50">
        <v>31</v>
      </c>
      <c r="D30" s="50">
        <v>35</v>
      </c>
      <c r="E30" s="50">
        <v>8</v>
      </c>
      <c r="F30" s="50">
        <v>11</v>
      </c>
      <c r="G30" s="50">
        <v>0</v>
      </c>
      <c r="H30" s="50">
        <v>0</v>
      </c>
      <c r="I30" s="50">
        <v>1</v>
      </c>
      <c r="J30" s="50">
        <v>1</v>
      </c>
      <c r="K30" s="50">
        <v>3</v>
      </c>
      <c r="L30" s="50">
        <v>0</v>
      </c>
      <c r="M30" s="50">
        <v>79</v>
      </c>
      <c r="N30" s="50">
        <v>0</v>
      </c>
      <c r="O30" s="15">
        <f t="shared" si="0"/>
        <v>90</v>
      </c>
      <c r="P30" s="15">
        <f t="shared" si="1"/>
        <v>169</v>
      </c>
    </row>
    <row r="31" spans="2:32" ht="23.1" customHeight="1" x14ac:dyDescent="0.25">
      <c r="B31" s="24" t="s">
        <v>58</v>
      </c>
      <c r="C31" s="50">
        <v>50</v>
      </c>
      <c r="D31" s="50">
        <v>38</v>
      </c>
      <c r="E31" s="50">
        <v>6</v>
      </c>
      <c r="F31" s="50">
        <v>11</v>
      </c>
      <c r="G31" s="50">
        <v>2</v>
      </c>
      <c r="H31" s="50">
        <v>0</v>
      </c>
      <c r="I31" s="50">
        <v>3</v>
      </c>
      <c r="J31" s="50">
        <v>4</v>
      </c>
      <c r="K31" s="50">
        <v>2</v>
      </c>
      <c r="L31" s="50">
        <v>1</v>
      </c>
      <c r="M31" s="50">
        <v>51</v>
      </c>
      <c r="N31" s="50">
        <v>0</v>
      </c>
      <c r="O31" s="15">
        <f t="shared" si="0"/>
        <v>117</v>
      </c>
      <c r="P31" s="15">
        <f t="shared" si="1"/>
        <v>168</v>
      </c>
    </row>
    <row r="32" spans="2:32" ht="23.1" customHeight="1" x14ac:dyDescent="0.25">
      <c r="B32" s="24" t="s">
        <v>59</v>
      </c>
      <c r="C32" s="50">
        <v>30</v>
      </c>
      <c r="D32" s="50">
        <v>19</v>
      </c>
      <c r="E32" s="50">
        <v>3</v>
      </c>
      <c r="F32" s="50">
        <v>15</v>
      </c>
      <c r="G32" s="50">
        <v>0</v>
      </c>
      <c r="H32" s="50">
        <v>0</v>
      </c>
      <c r="I32" s="50">
        <v>0</v>
      </c>
      <c r="J32" s="50">
        <v>2</v>
      </c>
      <c r="K32" s="50">
        <v>1</v>
      </c>
      <c r="L32" s="50">
        <v>0</v>
      </c>
      <c r="M32" s="50">
        <v>70</v>
      </c>
      <c r="N32" s="50">
        <v>0</v>
      </c>
      <c r="O32" s="15">
        <f t="shared" si="0"/>
        <v>70</v>
      </c>
      <c r="P32" s="15">
        <f t="shared" si="1"/>
        <v>140</v>
      </c>
    </row>
    <row r="33" spans="2:20" ht="23.1" customHeight="1" x14ac:dyDescent="0.25">
      <c r="B33" s="23" t="s">
        <v>60</v>
      </c>
      <c r="C33" s="50">
        <v>45</v>
      </c>
      <c r="D33" s="50">
        <v>36</v>
      </c>
      <c r="E33" s="50">
        <v>7</v>
      </c>
      <c r="F33" s="50">
        <v>9</v>
      </c>
      <c r="G33" s="50">
        <v>0</v>
      </c>
      <c r="H33" s="50">
        <v>0</v>
      </c>
      <c r="I33" s="50">
        <v>1</v>
      </c>
      <c r="J33" s="50">
        <v>0</v>
      </c>
      <c r="K33" s="50">
        <v>1</v>
      </c>
      <c r="L33" s="50">
        <v>0</v>
      </c>
      <c r="M33" s="50">
        <v>81</v>
      </c>
      <c r="N33" s="50">
        <v>0</v>
      </c>
      <c r="O33" s="15">
        <f t="shared" si="0"/>
        <v>99</v>
      </c>
      <c r="P33" s="15">
        <f t="shared" si="1"/>
        <v>180</v>
      </c>
    </row>
    <row r="34" spans="2:20" ht="23.1" customHeight="1" x14ac:dyDescent="0.25">
      <c r="B34" s="24" t="s">
        <v>61</v>
      </c>
      <c r="C34" s="50">
        <v>60</v>
      </c>
      <c r="D34" s="50">
        <v>34</v>
      </c>
      <c r="E34" s="50">
        <v>1</v>
      </c>
      <c r="F34" s="50">
        <v>7</v>
      </c>
      <c r="G34" s="50">
        <v>1</v>
      </c>
      <c r="H34" s="50">
        <v>0</v>
      </c>
      <c r="I34" s="50">
        <v>2</v>
      </c>
      <c r="J34" s="50">
        <v>2</v>
      </c>
      <c r="K34" s="50">
        <v>2</v>
      </c>
      <c r="L34" s="50">
        <v>0</v>
      </c>
      <c r="M34" s="50">
        <v>75</v>
      </c>
      <c r="N34" s="50">
        <v>0</v>
      </c>
      <c r="O34" s="15">
        <f t="shared" si="0"/>
        <v>109</v>
      </c>
      <c r="P34" s="15">
        <f t="shared" si="1"/>
        <v>184</v>
      </c>
    </row>
    <row r="35" spans="2:20" ht="23.1" customHeight="1" x14ac:dyDescent="0.25">
      <c r="B35" s="24" t="s">
        <v>62</v>
      </c>
      <c r="C35" s="50">
        <v>43</v>
      </c>
      <c r="D35" s="50">
        <v>41</v>
      </c>
      <c r="E35" s="50">
        <v>13</v>
      </c>
      <c r="F35" s="50">
        <v>11</v>
      </c>
      <c r="G35" s="50">
        <v>0</v>
      </c>
      <c r="H35" s="50">
        <v>0</v>
      </c>
      <c r="I35" s="50">
        <v>2</v>
      </c>
      <c r="J35" s="50">
        <v>2</v>
      </c>
      <c r="K35" s="50">
        <v>2</v>
      </c>
      <c r="L35" s="50">
        <v>0</v>
      </c>
      <c r="M35" s="50">
        <v>48</v>
      </c>
      <c r="N35" s="50">
        <v>0</v>
      </c>
      <c r="O35" s="15">
        <f t="shared" si="0"/>
        <v>114</v>
      </c>
      <c r="P35" s="15">
        <f t="shared" si="1"/>
        <v>162</v>
      </c>
    </row>
    <row r="36" spans="2:20" ht="23.1" customHeight="1" x14ac:dyDescent="0.25">
      <c r="B36" s="24" t="s">
        <v>63</v>
      </c>
      <c r="C36" s="50">
        <v>51</v>
      </c>
      <c r="D36" s="50">
        <v>55</v>
      </c>
      <c r="E36" s="50">
        <v>5</v>
      </c>
      <c r="F36" s="50">
        <v>4</v>
      </c>
      <c r="G36" s="50">
        <v>1</v>
      </c>
      <c r="H36" s="50">
        <v>0</v>
      </c>
      <c r="I36" s="50">
        <v>3</v>
      </c>
      <c r="J36" s="50">
        <v>1</v>
      </c>
      <c r="K36" s="50">
        <v>0</v>
      </c>
      <c r="L36" s="50">
        <v>0</v>
      </c>
      <c r="M36" s="50">
        <v>62</v>
      </c>
      <c r="N36" s="50">
        <v>0</v>
      </c>
      <c r="O36" s="15">
        <f t="shared" si="0"/>
        <v>120</v>
      </c>
      <c r="P36" s="15">
        <f t="shared" si="1"/>
        <v>182</v>
      </c>
    </row>
    <row r="37" spans="2:20" ht="23.1" customHeight="1" x14ac:dyDescent="0.25">
      <c r="B37" s="23" t="s">
        <v>64</v>
      </c>
      <c r="C37" s="50">
        <v>50</v>
      </c>
      <c r="D37" s="50">
        <v>50</v>
      </c>
      <c r="E37" s="50">
        <v>5</v>
      </c>
      <c r="F37" s="50">
        <v>9</v>
      </c>
      <c r="G37" s="50">
        <v>0</v>
      </c>
      <c r="H37" s="50">
        <v>0</v>
      </c>
      <c r="I37" s="50">
        <v>1</v>
      </c>
      <c r="J37" s="50">
        <v>2</v>
      </c>
      <c r="K37" s="50">
        <v>2</v>
      </c>
      <c r="L37" s="50">
        <v>0</v>
      </c>
      <c r="M37" s="50">
        <v>69</v>
      </c>
      <c r="N37" s="50">
        <v>0</v>
      </c>
      <c r="O37" s="15">
        <f t="shared" si="0"/>
        <v>119</v>
      </c>
      <c r="P37" s="15">
        <f t="shared" si="1"/>
        <v>188</v>
      </c>
    </row>
    <row r="38" spans="2:20" ht="23.1" customHeight="1" x14ac:dyDescent="0.25">
      <c r="B38" s="24" t="s">
        <v>65</v>
      </c>
      <c r="C38" s="50">
        <v>50</v>
      </c>
      <c r="D38" s="50">
        <v>43</v>
      </c>
      <c r="E38" s="50">
        <v>10</v>
      </c>
      <c r="F38" s="50">
        <v>10</v>
      </c>
      <c r="G38" s="50">
        <v>0</v>
      </c>
      <c r="H38" s="50">
        <v>0</v>
      </c>
      <c r="I38" s="50">
        <v>2</v>
      </c>
      <c r="J38" s="50">
        <v>3</v>
      </c>
      <c r="K38" s="50">
        <v>1</v>
      </c>
      <c r="L38" s="50">
        <v>0</v>
      </c>
      <c r="M38" s="50">
        <v>52</v>
      </c>
      <c r="N38" s="50">
        <v>0</v>
      </c>
      <c r="O38" s="15">
        <f t="shared" si="0"/>
        <v>119</v>
      </c>
      <c r="P38" s="15">
        <f t="shared" si="1"/>
        <v>171</v>
      </c>
    </row>
    <row r="39" spans="2:20" ht="23.1" customHeight="1" x14ac:dyDescent="0.25">
      <c r="B39" s="24" t="s">
        <v>66</v>
      </c>
      <c r="C39" s="50">
        <v>34</v>
      </c>
      <c r="D39" s="50">
        <v>41</v>
      </c>
      <c r="E39" s="50">
        <v>2</v>
      </c>
      <c r="F39" s="50">
        <v>12</v>
      </c>
      <c r="G39" s="50">
        <v>5</v>
      </c>
      <c r="H39" s="50">
        <v>0</v>
      </c>
      <c r="I39" s="50">
        <v>0</v>
      </c>
      <c r="J39" s="50">
        <v>2</v>
      </c>
      <c r="K39" s="50">
        <v>0</v>
      </c>
      <c r="L39" s="50">
        <v>0</v>
      </c>
      <c r="M39" s="50">
        <v>90</v>
      </c>
      <c r="N39" s="50">
        <v>0</v>
      </c>
      <c r="O39" s="15">
        <f t="shared" si="0"/>
        <v>96</v>
      </c>
      <c r="P39" s="15">
        <f t="shared" si="1"/>
        <v>186</v>
      </c>
    </row>
    <row r="40" spans="2:20" ht="23.1" customHeight="1" x14ac:dyDescent="0.25">
      <c r="B40" s="24" t="s">
        <v>67</v>
      </c>
      <c r="C40" s="50">
        <v>40</v>
      </c>
      <c r="D40" s="50">
        <v>21</v>
      </c>
      <c r="E40" s="50">
        <v>9</v>
      </c>
      <c r="F40" s="50">
        <v>7</v>
      </c>
      <c r="G40" s="50">
        <v>0</v>
      </c>
      <c r="H40" s="50">
        <v>0</v>
      </c>
      <c r="I40" s="50">
        <v>1</v>
      </c>
      <c r="J40" s="50">
        <v>2</v>
      </c>
      <c r="K40" s="50">
        <v>0</v>
      </c>
      <c r="L40" s="50">
        <v>0</v>
      </c>
      <c r="M40" s="50">
        <v>104</v>
      </c>
      <c r="N40" s="50">
        <v>0</v>
      </c>
      <c r="O40" s="15">
        <f t="shared" si="0"/>
        <v>80</v>
      </c>
      <c r="P40" s="15">
        <f t="shared" si="1"/>
        <v>184</v>
      </c>
    </row>
    <row r="41" spans="2:20" ht="23.1" customHeight="1" x14ac:dyDescent="0.25">
      <c r="B41" s="23" t="s">
        <v>68</v>
      </c>
      <c r="C41" s="50">
        <v>41</v>
      </c>
      <c r="D41" s="50">
        <v>27</v>
      </c>
      <c r="E41" s="50">
        <v>5</v>
      </c>
      <c r="F41" s="50">
        <v>2</v>
      </c>
      <c r="G41" s="50">
        <v>0</v>
      </c>
      <c r="H41" s="50">
        <v>1</v>
      </c>
      <c r="I41" s="50">
        <v>1</v>
      </c>
      <c r="J41" s="50">
        <v>1</v>
      </c>
      <c r="K41" s="50">
        <v>0</v>
      </c>
      <c r="L41" s="50">
        <v>1</v>
      </c>
      <c r="M41" s="50">
        <v>89</v>
      </c>
      <c r="N41" s="50">
        <v>0</v>
      </c>
      <c r="O41" s="15">
        <f t="shared" si="0"/>
        <v>79</v>
      </c>
      <c r="P41" s="15">
        <f t="shared" si="1"/>
        <v>168</v>
      </c>
    </row>
    <row r="42" spans="2:20" ht="23.1" customHeight="1" x14ac:dyDescent="0.25">
      <c r="B42" s="24" t="s">
        <v>69</v>
      </c>
      <c r="C42" s="50">
        <v>60</v>
      </c>
      <c r="D42" s="50">
        <v>33</v>
      </c>
      <c r="E42" s="50">
        <v>4</v>
      </c>
      <c r="F42" s="50">
        <v>9</v>
      </c>
      <c r="G42" s="50">
        <v>0</v>
      </c>
      <c r="H42" s="50">
        <v>0</v>
      </c>
      <c r="I42" s="50">
        <v>3</v>
      </c>
      <c r="J42" s="50">
        <v>3</v>
      </c>
      <c r="K42" s="50">
        <v>0</v>
      </c>
      <c r="L42" s="50">
        <v>0</v>
      </c>
      <c r="M42" s="50">
        <v>65</v>
      </c>
      <c r="N42" s="50">
        <v>0</v>
      </c>
      <c r="O42" s="15">
        <f t="shared" si="0"/>
        <v>112</v>
      </c>
      <c r="P42" s="15">
        <f t="shared" si="1"/>
        <v>177</v>
      </c>
    </row>
    <row r="43" spans="2:20" ht="23.1" customHeight="1" x14ac:dyDescent="0.25">
      <c r="B43" s="23" t="s">
        <v>70</v>
      </c>
      <c r="C43" s="50">
        <v>59</v>
      </c>
      <c r="D43" s="50">
        <v>37</v>
      </c>
      <c r="E43" s="50">
        <v>11</v>
      </c>
      <c r="F43" s="50">
        <v>9</v>
      </c>
      <c r="G43" s="50">
        <v>0</v>
      </c>
      <c r="H43" s="50">
        <v>0</v>
      </c>
      <c r="I43" s="50">
        <v>2</v>
      </c>
      <c r="J43" s="50">
        <v>4</v>
      </c>
      <c r="K43" s="50">
        <v>1</v>
      </c>
      <c r="L43" s="50">
        <v>0</v>
      </c>
      <c r="M43" s="50">
        <v>50</v>
      </c>
      <c r="N43" s="50">
        <v>0</v>
      </c>
      <c r="O43" s="15">
        <f t="shared" si="0"/>
        <v>123</v>
      </c>
      <c r="P43" s="15">
        <f t="shared" si="1"/>
        <v>173</v>
      </c>
    </row>
    <row r="44" spans="2:20" ht="23.1" customHeight="1" x14ac:dyDescent="0.25">
      <c r="B44" s="25" t="s">
        <v>71</v>
      </c>
      <c r="C44" s="50">
        <v>65</v>
      </c>
      <c r="D44" s="50">
        <v>60</v>
      </c>
      <c r="E44" s="50">
        <v>11</v>
      </c>
      <c r="F44" s="50">
        <v>13</v>
      </c>
      <c r="G44" s="50">
        <v>1</v>
      </c>
      <c r="H44" s="50">
        <v>0</v>
      </c>
      <c r="I44" s="50">
        <v>1</v>
      </c>
      <c r="J44" s="50">
        <v>2</v>
      </c>
      <c r="K44" s="50">
        <v>0</v>
      </c>
      <c r="L44" s="50">
        <v>0</v>
      </c>
      <c r="M44" s="50">
        <v>74</v>
      </c>
      <c r="N44" s="50">
        <v>0</v>
      </c>
      <c r="O44" s="15">
        <f t="shared" si="0"/>
        <v>153</v>
      </c>
      <c r="P44" s="15">
        <f t="shared" si="1"/>
        <v>227</v>
      </c>
    </row>
    <row r="45" spans="2:20" ht="23.1" customHeight="1" x14ac:dyDescent="0.25">
      <c r="B45" s="23" t="s">
        <v>72</v>
      </c>
      <c r="C45" s="50">
        <v>34</v>
      </c>
      <c r="D45" s="50">
        <v>21</v>
      </c>
      <c r="E45" s="50">
        <v>4</v>
      </c>
      <c r="F45" s="50">
        <v>6</v>
      </c>
      <c r="G45" s="50">
        <v>1</v>
      </c>
      <c r="H45" s="50">
        <v>0</v>
      </c>
      <c r="I45" s="50">
        <v>7</v>
      </c>
      <c r="J45" s="50">
        <v>2</v>
      </c>
      <c r="K45" s="50">
        <v>0</v>
      </c>
      <c r="L45" s="50">
        <v>0</v>
      </c>
      <c r="M45" s="50">
        <v>55</v>
      </c>
      <c r="N45" s="50">
        <v>0</v>
      </c>
      <c r="O45" s="15">
        <f t="shared" si="0"/>
        <v>75</v>
      </c>
      <c r="P45" s="15">
        <f t="shared" si="1"/>
        <v>130</v>
      </c>
    </row>
    <row r="46" spans="2:20" ht="23.1" customHeight="1" x14ac:dyDescent="0.25">
      <c r="B46" s="24" t="s">
        <v>73</v>
      </c>
      <c r="C46" s="50">
        <v>66</v>
      </c>
      <c r="D46" s="50">
        <v>37</v>
      </c>
      <c r="E46" s="50">
        <v>6</v>
      </c>
      <c r="F46" s="50">
        <v>11</v>
      </c>
      <c r="G46" s="50">
        <v>2</v>
      </c>
      <c r="H46" s="50">
        <v>0</v>
      </c>
      <c r="I46" s="50">
        <v>10</v>
      </c>
      <c r="J46" s="50">
        <v>1</v>
      </c>
      <c r="K46" s="50">
        <v>1</v>
      </c>
      <c r="L46" s="50">
        <v>1</v>
      </c>
      <c r="M46" s="50">
        <v>76</v>
      </c>
      <c r="N46" s="50">
        <v>0</v>
      </c>
      <c r="O46" s="15">
        <f t="shared" si="0"/>
        <v>135</v>
      </c>
      <c r="P46" s="15">
        <f t="shared" si="1"/>
        <v>211</v>
      </c>
      <c r="R46" s="8"/>
      <c r="T46"/>
    </row>
    <row r="47" spans="2:20" ht="23.1" customHeight="1" x14ac:dyDescent="0.25">
      <c r="B47" s="24" t="s">
        <v>74</v>
      </c>
      <c r="C47" s="50">
        <v>74</v>
      </c>
      <c r="D47" s="50">
        <v>26</v>
      </c>
      <c r="E47" s="50">
        <v>14</v>
      </c>
      <c r="F47" s="50">
        <v>13</v>
      </c>
      <c r="G47" s="50">
        <v>0</v>
      </c>
      <c r="H47" s="50">
        <v>0</v>
      </c>
      <c r="I47" s="50">
        <v>1</v>
      </c>
      <c r="J47" s="50">
        <v>2</v>
      </c>
      <c r="K47" s="50">
        <v>0</v>
      </c>
      <c r="L47" s="50">
        <v>0</v>
      </c>
      <c r="M47" s="50">
        <v>101</v>
      </c>
      <c r="N47" s="50">
        <v>0</v>
      </c>
      <c r="O47" s="15">
        <f t="shared" si="0"/>
        <v>130</v>
      </c>
      <c r="P47" s="15">
        <f t="shared" si="1"/>
        <v>231</v>
      </c>
      <c r="R47" s="8"/>
      <c r="T47"/>
    </row>
    <row r="48" spans="2:20" ht="23.1" customHeight="1" x14ac:dyDescent="0.25">
      <c r="B48" s="24" t="s">
        <v>75</v>
      </c>
      <c r="C48" s="50">
        <v>95</v>
      </c>
      <c r="D48" s="50">
        <v>75</v>
      </c>
      <c r="E48" s="50">
        <v>8</v>
      </c>
      <c r="F48" s="50">
        <v>7</v>
      </c>
      <c r="G48" s="50">
        <v>0</v>
      </c>
      <c r="H48" s="50">
        <v>0</v>
      </c>
      <c r="I48" s="50">
        <v>3</v>
      </c>
      <c r="J48" s="50">
        <v>1</v>
      </c>
      <c r="K48" s="50">
        <v>0</v>
      </c>
      <c r="L48" s="50">
        <v>0</v>
      </c>
      <c r="M48" s="50">
        <v>84</v>
      </c>
      <c r="N48" s="50">
        <v>0</v>
      </c>
      <c r="O48" s="15">
        <f t="shared" si="0"/>
        <v>189</v>
      </c>
      <c r="P48" s="15">
        <f t="shared" si="1"/>
        <v>273</v>
      </c>
      <c r="R48" s="8"/>
      <c r="T48"/>
    </row>
    <row r="49" spans="2:20" ht="23.1" customHeight="1" x14ac:dyDescent="0.25">
      <c r="B49" s="23" t="s">
        <v>76</v>
      </c>
      <c r="C49" s="50">
        <v>76</v>
      </c>
      <c r="D49" s="50">
        <v>54</v>
      </c>
      <c r="E49" s="50">
        <v>7</v>
      </c>
      <c r="F49" s="50">
        <v>18</v>
      </c>
      <c r="G49" s="50">
        <v>4</v>
      </c>
      <c r="H49" s="50">
        <v>1</v>
      </c>
      <c r="I49" s="50">
        <v>4</v>
      </c>
      <c r="J49" s="50">
        <v>4</v>
      </c>
      <c r="K49" s="50">
        <v>1</v>
      </c>
      <c r="L49" s="50">
        <v>0</v>
      </c>
      <c r="M49" s="50">
        <v>92</v>
      </c>
      <c r="N49" s="50">
        <v>0</v>
      </c>
      <c r="O49" s="15">
        <f t="shared" si="0"/>
        <v>169</v>
      </c>
      <c r="P49" s="15">
        <f t="shared" si="1"/>
        <v>261</v>
      </c>
      <c r="R49" s="8"/>
      <c r="T49"/>
    </row>
    <row r="50" spans="2:20" ht="23.1" customHeight="1" x14ac:dyDescent="0.25">
      <c r="B50" s="24" t="s">
        <v>77</v>
      </c>
      <c r="C50" s="50">
        <v>110</v>
      </c>
      <c r="D50" s="50">
        <v>75</v>
      </c>
      <c r="E50" s="50">
        <v>16</v>
      </c>
      <c r="F50" s="50">
        <v>12</v>
      </c>
      <c r="G50" s="50">
        <v>2</v>
      </c>
      <c r="H50" s="50">
        <v>0</v>
      </c>
      <c r="I50" s="50">
        <v>2</v>
      </c>
      <c r="J50" s="50">
        <v>7</v>
      </c>
      <c r="K50" s="50">
        <v>0</v>
      </c>
      <c r="L50" s="50">
        <v>0</v>
      </c>
      <c r="M50" s="50">
        <v>107</v>
      </c>
      <c r="N50" s="50">
        <v>0</v>
      </c>
      <c r="O50" s="15">
        <f t="shared" si="0"/>
        <v>224</v>
      </c>
      <c r="P50" s="15">
        <f t="shared" si="1"/>
        <v>331</v>
      </c>
      <c r="R50" s="8"/>
      <c r="T50"/>
    </row>
    <row r="51" spans="2:20" ht="23.1" customHeight="1" x14ac:dyDescent="0.25">
      <c r="B51" s="24" t="s">
        <v>78</v>
      </c>
      <c r="C51" s="50">
        <v>68</v>
      </c>
      <c r="D51" s="50">
        <v>49</v>
      </c>
      <c r="E51" s="50">
        <v>12</v>
      </c>
      <c r="F51" s="50">
        <v>12</v>
      </c>
      <c r="G51" s="50">
        <v>1</v>
      </c>
      <c r="H51" s="50">
        <v>0</v>
      </c>
      <c r="I51" s="50">
        <v>3</v>
      </c>
      <c r="J51" s="50">
        <v>0</v>
      </c>
      <c r="K51" s="50">
        <v>0</v>
      </c>
      <c r="L51" s="50">
        <v>0</v>
      </c>
      <c r="M51" s="50">
        <v>90</v>
      </c>
      <c r="N51" s="50">
        <v>0</v>
      </c>
      <c r="O51" s="15">
        <f t="shared" si="0"/>
        <v>145</v>
      </c>
      <c r="P51" s="15">
        <f t="shared" si="1"/>
        <v>235</v>
      </c>
      <c r="R51" s="8"/>
      <c r="T51"/>
    </row>
    <row r="52" spans="2:20" ht="23.1" customHeight="1" x14ac:dyDescent="0.25">
      <c r="B52" s="24" t="s">
        <v>79</v>
      </c>
      <c r="C52" s="50">
        <v>87</v>
      </c>
      <c r="D52" s="50">
        <v>40</v>
      </c>
      <c r="E52" s="50">
        <v>14</v>
      </c>
      <c r="F52" s="50">
        <v>9</v>
      </c>
      <c r="G52" s="50">
        <v>1</v>
      </c>
      <c r="H52" s="50">
        <v>0</v>
      </c>
      <c r="I52" s="50">
        <v>3</v>
      </c>
      <c r="J52" s="50">
        <v>1</v>
      </c>
      <c r="K52" s="50">
        <v>1</v>
      </c>
      <c r="L52" s="50">
        <v>0</v>
      </c>
      <c r="M52" s="50">
        <v>100</v>
      </c>
      <c r="N52" s="50">
        <v>0</v>
      </c>
      <c r="O52" s="15">
        <f t="shared" si="0"/>
        <v>156</v>
      </c>
      <c r="P52" s="15">
        <f t="shared" si="1"/>
        <v>256</v>
      </c>
      <c r="R52" s="8"/>
      <c r="T52"/>
    </row>
    <row r="53" spans="2:20" ht="23.1" customHeight="1" x14ac:dyDescent="0.25">
      <c r="B53" s="23" t="s">
        <v>80</v>
      </c>
      <c r="C53" s="50">
        <v>71</v>
      </c>
      <c r="D53" s="50">
        <v>31</v>
      </c>
      <c r="E53" s="50">
        <v>5</v>
      </c>
      <c r="F53" s="50">
        <v>9</v>
      </c>
      <c r="G53" s="50">
        <v>3</v>
      </c>
      <c r="H53" s="50">
        <v>0</v>
      </c>
      <c r="I53" s="50">
        <v>1</v>
      </c>
      <c r="J53" s="50">
        <v>3</v>
      </c>
      <c r="K53" s="50">
        <v>0</v>
      </c>
      <c r="L53" s="50">
        <v>0</v>
      </c>
      <c r="M53" s="50">
        <v>75</v>
      </c>
      <c r="N53" s="50">
        <v>0</v>
      </c>
      <c r="O53" s="15">
        <f t="shared" si="0"/>
        <v>123</v>
      </c>
      <c r="P53" s="15">
        <f t="shared" si="1"/>
        <v>198</v>
      </c>
      <c r="R53" s="8"/>
      <c r="T53"/>
    </row>
    <row r="54" spans="2:20" ht="23.1" customHeight="1" x14ac:dyDescent="0.25">
      <c r="B54" s="23" t="s">
        <v>81</v>
      </c>
      <c r="C54" s="50">
        <v>48</v>
      </c>
      <c r="D54" s="50">
        <v>41</v>
      </c>
      <c r="E54" s="50">
        <v>12</v>
      </c>
      <c r="F54" s="50">
        <v>9</v>
      </c>
      <c r="G54" s="50">
        <v>0</v>
      </c>
      <c r="H54" s="50">
        <v>0</v>
      </c>
      <c r="I54" s="50">
        <v>4</v>
      </c>
      <c r="J54" s="50">
        <v>2</v>
      </c>
      <c r="K54" s="50">
        <v>1</v>
      </c>
      <c r="L54" s="50">
        <v>0</v>
      </c>
      <c r="M54" s="50">
        <v>66</v>
      </c>
      <c r="N54" s="50">
        <v>0</v>
      </c>
      <c r="O54" s="15">
        <f t="shared" si="0"/>
        <v>117</v>
      </c>
      <c r="P54" s="15">
        <f t="shared" si="1"/>
        <v>183</v>
      </c>
      <c r="R54" s="8"/>
      <c r="T54"/>
    </row>
    <row r="55" spans="2:20" ht="23.1" customHeight="1" x14ac:dyDescent="0.25">
      <c r="B55" s="23" t="s">
        <v>82</v>
      </c>
      <c r="C55" s="50">
        <v>77</v>
      </c>
      <c r="D55" s="50">
        <v>75</v>
      </c>
      <c r="E55" s="50">
        <v>7</v>
      </c>
      <c r="F55" s="50">
        <v>3</v>
      </c>
      <c r="G55" s="50">
        <v>0</v>
      </c>
      <c r="H55" s="50">
        <v>0</v>
      </c>
      <c r="I55" s="50">
        <v>0</v>
      </c>
      <c r="J55" s="50">
        <v>3</v>
      </c>
      <c r="K55" s="50">
        <v>0</v>
      </c>
      <c r="L55" s="50">
        <v>1</v>
      </c>
      <c r="M55" s="50">
        <v>84</v>
      </c>
      <c r="N55" s="50">
        <v>0</v>
      </c>
      <c r="O55" s="15">
        <f t="shared" si="0"/>
        <v>166</v>
      </c>
      <c r="P55" s="15">
        <f t="shared" si="1"/>
        <v>250</v>
      </c>
      <c r="R55" s="8"/>
      <c r="T55"/>
    </row>
    <row r="56" spans="2:20" ht="23.1" customHeight="1" x14ac:dyDescent="0.25">
      <c r="B56" s="23" t="s">
        <v>83</v>
      </c>
      <c r="C56" s="50">
        <v>62</v>
      </c>
      <c r="D56" s="50">
        <v>70</v>
      </c>
      <c r="E56" s="50">
        <v>8</v>
      </c>
      <c r="F56" s="50">
        <v>8</v>
      </c>
      <c r="G56" s="50">
        <v>0</v>
      </c>
      <c r="H56" s="50">
        <v>0</v>
      </c>
      <c r="I56" s="50">
        <v>1</v>
      </c>
      <c r="J56" s="50">
        <v>2</v>
      </c>
      <c r="K56" s="50">
        <v>0</v>
      </c>
      <c r="L56" s="50">
        <v>0</v>
      </c>
      <c r="M56" s="50">
        <v>107</v>
      </c>
      <c r="N56" s="50">
        <v>0</v>
      </c>
      <c r="O56" s="15">
        <f t="shared" si="0"/>
        <v>151</v>
      </c>
      <c r="P56" s="15">
        <f t="shared" si="1"/>
        <v>258</v>
      </c>
      <c r="R56" s="8"/>
      <c r="T56"/>
    </row>
    <row r="57" spans="2:20" ht="23.1" customHeight="1" x14ac:dyDescent="0.25">
      <c r="B57" s="23" t="s">
        <v>84</v>
      </c>
      <c r="C57" s="50">
        <v>105</v>
      </c>
      <c r="D57" s="50">
        <v>90</v>
      </c>
      <c r="E57" s="50">
        <v>4</v>
      </c>
      <c r="F57" s="50">
        <v>2</v>
      </c>
      <c r="G57" s="50">
        <v>0</v>
      </c>
      <c r="H57" s="50">
        <v>0</v>
      </c>
      <c r="I57" s="50">
        <v>4</v>
      </c>
      <c r="J57" s="50">
        <v>1</v>
      </c>
      <c r="K57" s="50">
        <v>0</v>
      </c>
      <c r="L57" s="50">
        <v>0</v>
      </c>
      <c r="M57" s="50">
        <v>117</v>
      </c>
      <c r="N57" s="50">
        <v>0</v>
      </c>
      <c r="O57" s="15">
        <f t="shared" si="0"/>
        <v>206</v>
      </c>
      <c r="P57" s="15">
        <f t="shared" si="1"/>
        <v>323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3191</v>
      </c>
      <c r="D58" s="16">
        <f t="shared" si="21"/>
        <v>2411</v>
      </c>
      <c r="E58" s="16">
        <f t="shared" si="21"/>
        <v>408</v>
      </c>
      <c r="F58" s="16">
        <f t="shared" si="21"/>
        <v>446</v>
      </c>
      <c r="G58" s="16">
        <f t="shared" si="21"/>
        <v>38</v>
      </c>
      <c r="H58" s="16">
        <f t="shared" si="21"/>
        <v>2</v>
      </c>
      <c r="I58" s="16">
        <f t="shared" si="21"/>
        <v>88</v>
      </c>
      <c r="J58" s="16">
        <f t="shared" si="21"/>
        <v>83</v>
      </c>
      <c r="K58" s="16">
        <f t="shared" si="21"/>
        <v>26</v>
      </c>
      <c r="L58" s="16">
        <f t="shared" si="21"/>
        <v>9</v>
      </c>
      <c r="M58" s="16">
        <f t="shared" si="21"/>
        <v>4093</v>
      </c>
      <c r="N58" s="16">
        <f t="shared" si="21"/>
        <v>0</v>
      </c>
      <c r="O58" s="16">
        <f t="shared" si="21"/>
        <v>6702</v>
      </c>
      <c r="P58" s="16">
        <f t="shared" si="21"/>
        <v>10795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0.29559981472904123</v>
      </c>
      <c r="D59" s="43">
        <f t="shared" si="22"/>
        <v>0.22334414080592868</v>
      </c>
      <c r="E59" s="43">
        <f t="shared" si="22"/>
        <v>3.7795275590551181E-2</v>
      </c>
      <c r="F59" s="43">
        <f t="shared" si="22"/>
        <v>4.1315423807318202E-2</v>
      </c>
      <c r="G59" s="43">
        <f t="shared" si="22"/>
        <v>3.5201482167670217E-3</v>
      </c>
      <c r="H59" s="43">
        <f t="shared" si="22"/>
        <v>1.8527095877721167E-4</v>
      </c>
      <c r="I59" s="43">
        <f t="shared" si="22"/>
        <v>8.1519221861973135E-3</v>
      </c>
      <c r="J59" s="43">
        <f t="shared" si="22"/>
        <v>7.6887447892542843E-3</v>
      </c>
      <c r="K59" s="43">
        <f t="shared" si="22"/>
        <v>2.4085224641037517E-3</v>
      </c>
      <c r="L59" s="43">
        <f t="shared" si="22"/>
        <v>8.3371931449745251E-4</v>
      </c>
      <c r="M59" s="43">
        <f t="shared" si="22"/>
        <v>0.37915701713756367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0.47612652939421068</v>
      </c>
      <c r="D60" s="44">
        <f t="shared" ref="D60:N60" si="23">D58/$O$58</f>
        <v>0.35974336019098774</v>
      </c>
      <c r="E60" s="44">
        <f t="shared" si="23"/>
        <v>6.087735004476276E-2</v>
      </c>
      <c r="F60" s="44">
        <f t="shared" si="23"/>
        <v>6.6547299313637717E-2</v>
      </c>
      <c r="G60" s="44">
        <f t="shared" si="23"/>
        <v>5.6699492688749627E-3</v>
      </c>
      <c r="H60" s="44">
        <f t="shared" si="23"/>
        <v>2.9841838257236647E-4</v>
      </c>
      <c r="I60" s="44">
        <f t="shared" si="23"/>
        <v>1.3130408833184124E-2</v>
      </c>
      <c r="J60" s="44">
        <f t="shared" si="23"/>
        <v>1.2384362876753208E-2</v>
      </c>
      <c r="K60" s="44">
        <f t="shared" si="23"/>
        <v>3.879438973440764E-3</v>
      </c>
      <c r="L60" s="44">
        <f t="shared" si="23"/>
        <v>1.3428827215756492E-3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64" zoomScale="40" zoomScaleSheetLayoutView="40" workbookViewId="0">
      <selection activeCell="K106" sqref="K10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'29.07 Ntinda-Naalya'!C3:G3</f>
        <v>MCC - C1 - STN38 - NAALYA EAST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173</v>
      </c>
      <c r="E5" s="3"/>
      <c r="F5" s="41" t="s">
        <v>1</v>
      </c>
      <c r="G5" s="65" t="str">
        <f>'01.08 Naalya-Ntinda 24h'!G5:H5</f>
        <v>NAALYA ROUND ABOUT</v>
      </c>
      <c r="H5" s="66"/>
      <c r="I5" s="14"/>
      <c r="J5" s="2" t="s">
        <v>5</v>
      </c>
      <c r="K5" s="65" t="str">
        <f>'01.08 Naalya-Ntinda 24h'!K5:L5</f>
        <v>HARRIET N/NASSIWA A/MUTE C/PHOEBY/KAZIBWE J/NAKAYE J.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'29.07 Ntinda-Naalya'!D6:E6</f>
        <v>NTINDA</v>
      </c>
      <c r="E6" s="66"/>
      <c r="F6" s="2" t="s">
        <v>2</v>
      </c>
      <c r="G6" s="65" t="str">
        <f>'29.07 Ntinda-Naalya'!G6:H6</f>
        <v>NAALYA</v>
      </c>
      <c r="H6" s="66"/>
      <c r="J6" s="2" t="s">
        <v>21</v>
      </c>
      <c r="K6" s="65" t="str">
        <f>'01.08 Naalya-Ntinda 24h'!K6:L6</f>
        <v>STEVEN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33</v>
      </c>
      <c r="D10" s="50">
        <v>1</v>
      </c>
      <c r="E10" s="50">
        <v>1</v>
      </c>
      <c r="F10" s="50">
        <v>6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26</v>
      </c>
      <c r="N10" s="50">
        <v>0</v>
      </c>
      <c r="O10" s="15">
        <f t="shared" ref="O10:O73" si="0">SUM(C10:L10,N10)</f>
        <v>42</v>
      </c>
      <c r="P10" s="15">
        <f t="shared" ref="P10:P73" si="1">SUM(C10:N10)</f>
        <v>68</v>
      </c>
      <c r="R10" s="1" t="s">
        <v>6</v>
      </c>
      <c r="S10" s="17">
        <f t="shared" ref="S10:AF10" si="2">SUM(C10:C13)</f>
        <v>152</v>
      </c>
      <c r="T10" s="17">
        <f t="shared" si="2"/>
        <v>35</v>
      </c>
      <c r="U10" s="17">
        <f t="shared" si="2"/>
        <v>7</v>
      </c>
      <c r="V10" s="17">
        <f t="shared" si="2"/>
        <v>20</v>
      </c>
      <c r="W10" s="17">
        <f t="shared" si="2"/>
        <v>1</v>
      </c>
      <c r="X10" s="17">
        <f t="shared" si="2"/>
        <v>0</v>
      </c>
      <c r="Y10" s="17">
        <f t="shared" si="2"/>
        <v>4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116</v>
      </c>
      <c r="AD10" s="17">
        <f t="shared" si="2"/>
        <v>0</v>
      </c>
      <c r="AE10" s="31">
        <f t="shared" si="2"/>
        <v>220</v>
      </c>
      <c r="AF10" s="31">
        <f t="shared" si="2"/>
        <v>336</v>
      </c>
    </row>
    <row r="11" spans="2:32" s="6" customFormat="1" ht="23.1" customHeight="1" x14ac:dyDescent="0.25">
      <c r="B11" s="45" t="s">
        <v>38</v>
      </c>
      <c r="C11" s="50">
        <v>35</v>
      </c>
      <c r="D11" s="50">
        <v>5</v>
      </c>
      <c r="E11" s="50">
        <v>1</v>
      </c>
      <c r="F11" s="50">
        <v>7</v>
      </c>
      <c r="G11" s="50">
        <v>0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40</v>
      </c>
      <c r="N11" s="50">
        <v>0</v>
      </c>
      <c r="O11" s="15">
        <f t="shared" si="0"/>
        <v>50</v>
      </c>
      <c r="P11" s="15">
        <f t="shared" si="1"/>
        <v>90</v>
      </c>
      <c r="R11" s="1" t="s">
        <v>7</v>
      </c>
      <c r="S11" s="17">
        <f t="shared" ref="S11:AF11" si="3">SUM(C14:C17)</f>
        <v>272</v>
      </c>
      <c r="T11" s="17">
        <f t="shared" si="3"/>
        <v>51</v>
      </c>
      <c r="U11" s="17">
        <f t="shared" si="3"/>
        <v>8</v>
      </c>
      <c r="V11" s="17">
        <f t="shared" si="3"/>
        <v>20</v>
      </c>
      <c r="W11" s="17">
        <f t="shared" si="3"/>
        <v>4</v>
      </c>
      <c r="X11" s="17">
        <f t="shared" si="3"/>
        <v>2</v>
      </c>
      <c r="Y11" s="17">
        <f t="shared" si="3"/>
        <v>11</v>
      </c>
      <c r="Z11" s="17">
        <f t="shared" si="3"/>
        <v>2</v>
      </c>
      <c r="AA11" s="17">
        <f t="shared" si="3"/>
        <v>0</v>
      </c>
      <c r="AB11" s="17">
        <f t="shared" si="3"/>
        <v>0</v>
      </c>
      <c r="AC11" s="17">
        <f t="shared" si="3"/>
        <v>198</v>
      </c>
      <c r="AD11" s="17">
        <f t="shared" si="3"/>
        <v>0</v>
      </c>
      <c r="AE11" s="31">
        <f t="shared" si="3"/>
        <v>370</v>
      </c>
      <c r="AF11" s="31">
        <f t="shared" si="3"/>
        <v>568</v>
      </c>
    </row>
    <row r="12" spans="2:32" ht="23.1" customHeight="1" x14ac:dyDescent="0.25">
      <c r="B12" s="45" t="s">
        <v>39</v>
      </c>
      <c r="C12" s="50">
        <v>38</v>
      </c>
      <c r="D12" s="50">
        <v>12</v>
      </c>
      <c r="E12" s="50">
        <v>2</v>
      </c>
      <c r="F12" s="50">
        <v>1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23</v>
      </c>
      <c r="N12" s="50">
        <v>0</v>
      </c>
      <c r="O12" s="15">
        <f t="shared" si="0"/>
        <v>53</v>
      </c>
      <c r="P12" s="15">
        <f t="shared" si="1"/>
        <v>76</v>
      </c>
      <c r="R12" s="1" t="s">
        <v>8</v>
      </c>
      <c r="S12" s="17">
        <f t="shared" ref="S12:AF12" si="4">SUM(C18:C21)</f>
        <v>368</v>
      </c>
      <c r="T12" s="17">
        <f t="shared" si="4"/>
        <v>69</v>
      </c>
      <c r="U12" s="17">
        <f t="shared" si="4"/>
        <v>17</v>
      </c>
      <c r="V12" s="17">
        <f t="shared" si="4"/>
        <v>28</v>
      </c>
      <c r="W12" s="17">
        <f t="shared" si="4"/>
        <v>1</v>
      </c>
      <c r="X12" s="17">
        <f t="shared" si="4"/>
        <v>0</v>
      </c>
      <c r="Y12" s="17">
        <f t="shared" si="4"/>
        <v>13</v>
      </c>
      <c r="Z12" s="17">
        <f t="shared" si="4"/>
        <v>3</v>
      </c>
      <c r="AA12" s="17">
        <f t="shared" si="4"/>
        <v>2</v>
      </c>
      <c r="AB12" s="17">
        <f t="shared" si="4"/>
        <v>0</v>
      </c>
      <c r="AC12" s="17">
        <f t="shared" si="4"/>
        <v>265</v>
      </c>
      <c r="AD12" s="17">
        <f t="shared" si="4"/>
        <v>0</v>
      </c>
      <c r="AE12" s="31">
        <f t="shared" si="4"/>
        <v>501</v>
      </c>
      <c r="AF12" s="31">
        <f t="shared" si="4"/>
        <v>766</v>
      </c>
    </row>
    <row r="13" spans="2:32" ht="23.1" customHeight="1" x14ac:dyDescent="0.25">
      <c r="B13" s="45" t="s">
        <v>40</v>
      </c>
      <c r="C13" s="50">
        <v>46</v>
      </c>
      <c r="D13" s="50">
        <v>17</v>
      </c>
      <c r="E13" s="50">
        <v>3</v>
      </c>
      <c r="F13" s="50">
        <v>6</v>
      </c>
      <c r="G13" s="50">
        <v>1</v>
      </c>
      <c r="H13" s="50">
        <v>0</v>
      </c>
      <c r="I13" s="50">
        <v>1</v>
      </c>
      <c r="J13" s="50">
        <v>1</v>
      </c>
      <c r="K13" s="50">
        <v>0</v>
      </c>
      <c r="L13" s="50">
        <v>0</v>
      </c>
      <c r="M13" s="50">
        <v>27</v>
      </c>
      <c r="N13" s="50">
        <v>0</v>
      </c>
      <c r="O13" s="15">
        <f t="shared" si="0"/>
        <v>75</v>
      </c>
      <c r="P13" s="15">
        <f t="shared" si="1"/>
        <v>102</v>
      </c>
      <c r="R13" s="1" t="s">
        <v>9</v>
      </c>
      <c r="S13" s="17">
        <f t="shared" ref="S13:AF13" si="5">SUM(C22:C25)</f>
        <v>386</v>
      </c>
      <c r="T13" s="17">
        <f t="shared" si="5"/>
        <v>95</v>
      </c>
      <c r="U13" s="17">
        <f t="shared" si="5"/>
        <v>15</v>
      </c>
      <c r="V13" s="17">
        <f t="shared" si="5"/>
        <v>34</v>
      </c>
      <c r="W13" s="17">
        <f t="shared" si="5"/>
        <v>0</v>
      </c>
      <c r="X13" s="17">
        <f t="shared" si="5"/>
        <v>0</v>
      </c>
      <c r="Y13" s="17">
        <f t="shared" si="5"/>
        <v>16</v>
      </c>
      <c r="Z13" s="17">
        <f t="shared" si="5"/>
        <v>6</v>
      </c>
      <c r="AA13" s="17">
        <f t="shared" si="5"/>
        <v>1</v>
      </c>
      <c r="AB13" s="17">
        <f t="shared" si="5"/>
        <v>0</v>
      </c>
      <c r="AC13" s="17">
        <f t="shared" si="5"/>
        <v>298</v>
      </c>
      <c r="AD13" s="17">
        <f t="shared" si="5"/>
        <v>0</v>
      </c>
      <c r="AE13" s="31">
        <f t="shared" si="5"/>
        <v>553</v>
      </c>
      <c r="AF13" s="31">
        <f t="shared" si="5"/>
        <v>851</v>
      </c>
    </row>
    <row r="14" spans="2:32" ht="23.1" customHeight="1" x14ac:dyDescent="0.25">
      <c r="B14" s="45" t="s">
        <v>41</v>
      </c>
      <c r="C14" s="50">
        <v>71</v>
      </c>
      <c r="D14" s="50">
        <v>6</v>
      </c>
      <c r="E14" s="50">
        <v>0</v>
      </c>
      <c r="F14" s="50">
        <v>7</v>
      </c>
      <c r="G14" s="50">
        <v>1</v>
      </c>
      <c r="H14" s="50">
        <v>0</v>
      </c>
      <c r="I14" s="50">
        <v>4</v>
      </c>
      <c r="J14" s="50">
        <v>0</v>
      </c>
      <c r="K14" s="50">
        <v>0</v>
      </c>
      <c r="L14" s="50">
        <v>0</v>
      </c>
      <c r="M14" s="50">
        <v>38</v>
      </c>
      <c r="N14" s="50">
        <v>0</v>
      </c>
      <c r="O14" s="15">
        <f t="shared" si="0"/>
        <v>89</v>
      </c>
      <c r="P14" s="15">
        <f t="shared" si="1"/>
        <v>127</v>
      </c>
      <c r="R14" s="1" t="s">
        <v>10</v>
      </c>
      <c r="S14" s="17">
        <f t="shared" ref="S14:AF14" si="6">SUM(C26:C29)</f>
        <v>403</v>
      </c>
      <c r="T14" s="17">
        <f t="shared" si="6"/>
        <v>100</v>
      </c>
      <c r="U14" s="17">
        <f t="shared" si="6"/>
        <v>16</v>
      </c>
      <c r="V14" s="17">
        <f t="shared" si="6"/>
        <v>21</v>
      </c>
      <c r="W14" s="17">
        <f t="shared" si="6"/>
        <v>2</v>
      </c>
      <c r="X14" s="17">
        <f t="shared" si="6"/>
        <v>0</v>
      </c>
      <c r="Y14" s="17">
        <f t="shared" si="6"/>
        <v>16</v>
      </c>
      <c r="Z14" s="17">
        <f t="shared" si="6"/>
        <v>6</v>
      </c>
      <c r="AA14" s="17">
        <f t="shared" si="6"/>
        <v>0</v>
      </c>
      <c r="AB14" s="17">
        <f t="shared" si="6"/>
        <v>0</v>
      </c>
      <c r="AC14" s="17">
        <f t="shared" si="6"/>
        <v>319</v>
      </c>
      <c r="AD14" s="17">
        <f t="shared" si="6"/>
        <v>0</v>
      </c>
      <c r="AE14" s="31">
        <f t="shared" si="6"/>
        <v>564</v>
      </c>
      <c r="AF14" s="31">
        <f t="shared" si="6"/>
        <v>883</v>
      </c>
    </row>
    <row r="15" spans="2:32" ht="23.1" customHeight="1" x14ac:dyDescent="0.25">
      <c r="B15" s="45" t="s">
        <v>42</v>
      </c>
      <c r="C15" s="50">
        <v>46</v>
      </c>
      <c r="D15" s="50">
        <v>14</v>
      </c>
      <c r="E15" s="50">
        <v>4</v>
      </c>
      <c r="F15" s="50">
        <v>4</v>
      </c>
      <c r="G15" s="50">
        <v>2</v>
      </c>
      <c r="H15" s="50">
        <v>2</v>
      </c>
      <c r="I15" s="50">
        <v>3</v>
      </c>
      <c r="J15" s="50">
        <v>0</v>
      </c>
      <c r="K15" s="50">
        <v>0</v>
      </c>
      <c r="L15" s="50">
        <v>0</v>
      </c>
      <c r="M15" s="50">
        <v>42</v>
      </c>
      <c r="N15" s="50">
        <v>0</v>
      </c>
      <c r="O15" s="15">
        <f t="shared" si="0"/>
        <v>75</v>
      </c>
      <c r="P15" s="15">
        <f t="shared" si="1"/>
        <v>117</v>
      </c>
      <c r="R15" s="1" t="s">
        <v>11</v>
      </c>
      <c r="S15" s="17">
        <f t="shared" ref="S15:AF15" si="7">SUM(C30:C33)</f>
        <v>465</v>
      </c>
      <c r="T15" s="17">
        <f t="shared" si="7"/>
        <v>97</v>
      </c>
      <c r="U15" s="17">
        <f t="shared" si="7"/>
        <v>9</v>
      </c>
      <c r="V15" s="17">
        <f t="shared" si="7"/>
        <v>19</v>
      </c>
      <c r="W15" s="17">
        <f t="shared" si="7"/>
        <v>0</v>
      </c>
      <c r="X15" s="17">
        <f t="shared" si="7"/>
        <v>0</v>
      </c>
      <c r="Y15" s="17">
        <f t="shared" si="7"/>
        <v>18</v>
      </c>
      <c r="Z15" s="17">
        <f t="shared" si="7"/>
        <v>6</v>
      </c>
      <c r="AA15" s="17">
        <f t="shared" si="7"/>
        <v>4</v>
      </c>
      <c r="AB15" s="17">
        <f t="shared" si="7"/>
        <v>0</v>
      </c>
      <c r="AC15" s="17">
        <f t="shared" si="7"/>
        <v>241</v>
      </c>
      <c r="AD15" s="17">
        <f t="shared" si="7"/>
        <v>0</v>
      </c>
      <c r="AE15" s="31">
        <f t="shared" si="7"/>
        <v>618</v>
      </c>
      <c r="AF15" s="31">
        <f t="shared" si="7"/>
        <v>859</v>
      </c>
    </row>
    <row r="16" spans="2:32" ht="23.1" customHeight="1" x14ac:dyDescent="0.25">
      <c r="B16" s="45" t="s">
        <v>43</v>
      </c>
      <c r="C16" s="50">
        <v>65</v>
      </c>
      <c r="D16" s="50">
        <v>14</v>
      </c>
      <c r="E16" s="50">
        <v>0</v>
      </c>
      <c r="F16" s="50">
        <v>1</v>
      </c>
      <c r="G16" s="50">
        <v>1</v>
      </c>
      <c r="H16" s="50">
        <v>0</v>
      </c>
      <c r="I16" s="50">
        <v>2</v>
      </c>
      <c r="J16" s="50">
        <v>1</v>
      </c>
      <c r="K16" s="50">
        <v>0</v>
      </c>
      <c r="L16" s="50">
        <v>0</v>
      </c>
      <c r="M16" s="50">
        <v>58</v>
      </c>
      <c r="N16" s="50">
        <v>0</v>
      </c>
      <c r="O16" s="15">
        <f t="shared" si="0"/>
        <v>84</v>
      </c>
      <c r="P16" s="15">
        <f t="shared" si="1"/>
        <v>142</v>
      </c>
      <c r="R16" s="1" t="s">
        <v>12</v>
      </c>
      <c r="S16" s="17">
        <f t="shared" ref="S16:AF16" si="8">SUM(C34:C37)</f>
        <v>450</v>
      </c>
      <c r="T16" s="17">
        <f t="shared" si="8"/>
        <v>112</v>
      </c>
      <c r="U16" s="17">
        <f t="shared" si="8"/>
        <v>20</v>
      </c>
      <c r="V16" s="17">
        <f t="shared" si="8"/>
        <v>22</v>
      </c>
      <c r="W16" s="17">
        <f t="shared" si="8"/>
        <v>2</v>
      </c>
      <c r="X16" s="17">
        <f t="shared" si="8"/>
        <v>0</v>
      </c>
      <c r="Y16" s="17">
        <f t="shared" si="8"/>
        <v>27</v>
      </c>
      <c r="Z16" s="17">
        <f t="shared" si="8"/>
        <v>7</v>
      </c>
      <c r="AA16" s="17">
        <f t="shared" si="8"/>
        <v>2</v>
      </c>
      <c r="AB16" s="17">
        <f t="shared" si="8"/>
        <v>1</v>
      </c>
      <c r="AC16" s="17">
        <f t="shared" si="8"/>
        <v>199</v>
      </c>
      <c r="AD16" s="17">
        <f t="shared" si="8"/>
        <v>0</v>
      </c>
      <c r="AE16" s="31">
        <f t="shared" si="8"/>
        <v>643</v>
      </c>
      <c r="AF16" s="31">
        <f t="shared" si="8"/>
        <v>842</v>
      </c>
    </row>
    <row r="17" spans="2:32" ht="23.1" customHeight="1" x14ac:dyDescent="0.25">
      <c r="B17" s="45" t="s">
        <v>44</v>
      </c>
      <c r="C17" s="50">
        <v>90</v>
      </c>
      <c r="D17" s="50">
        <v>17</v>
      </c>
      <c r="E17" s="50">
        <v>4</v>
      </c>
      <c r="F17" s="50">
        <v>8</v>
      </c>
      <c r="G17" s="50">
        <v>0</v>
      </c>
      <c r="H17" s="50">
        <v>0</v>
      </c>
      <c r="I17" s="50">
        <v>2</v>
      </c>
      <c r="J17" s="50">
        <v>1</v>
      </c>
      <c r="K17" s="50">
        <v>0</v>
      </c>
      <c r="L17" s="50">
        <v>0</v>
      </c>
      <c r="M17" s="50">
        <v>60</v>
      </c>
      <c r="N17" s="50">
        <v>0</v>
      </c>
      <c r="O17" s="15">
        <f t="shared" si="0"/>
        <v>122</v>
      </c>
      <c r="P17" s="15">
        <f t="shared" si="1"/>
        <v>182</v>
      </c>
      <c r="R17" s="1" t="s">
        <v>13</v>
      </c>
      <c r="S17" s="17">
        <f t="shared" ref="S17:AF17" si="9">SUM(C38:C41)</f>
        <v>525</v>
      </c>
      <c r="T17" s="17">
        <f t="shared" si="9"/>
        <v>132</v>
      </c>
      <c r="U17" s="17">
        <f t="shared" si="9"/>
        <v>13</v>
      </c>
      <c r="V17" s="17">
        <f t="shared" si="9"/>
        <v>21</v>
      </c>
      <c r="W17" s="17">
        <f t="shared" si="9"/>
        <v>1</v>
      </c>
      <c r="X17" s="17">
        <f t="shared" si="9"/>
        <v>0</v>
      </c>
      <c r="Y17" s="17">
        <f t="shared" si="9"/>
        <v>14</v>
      </c>
      <c r="Z17" s="17">
        <f t="shared" si="9"/>
        <v>3</v>
      </c>
      <c r="AA17" s="17">
        <f t="shared" si="9"/>
        <v>2</v>
      </c>
      <c r="AB17" s="17">
        <f t="shared" si="9"/>
        <v>0</v>
      </c>
      <c r="AC17" s="17">
        <f t="shared" si="9"/>
        <v>185</v>
      </c>
      <c r="AD17" s="17">
        <f t="shared" si="9"/>
        <v>0</v>
      </c>
      <c r="AE17" s="31">
        <f t="shared" si="9"/>
        <v>711</v>
      </c>
      <c r="AF17" s="31">
        <f t="shared" si="9"/>
        <v>896</v>
      </c>
    </row>
    <row r="18" spans="2:32" ht="23.1" customHeight="1" x14ac:dyDescent="0.25">
      <c r="B18" s="45" t="s">
        <v>45</v>
      </c>
      <c r="C18" s="50">
        <v>79</v>
      </c>
      <c r="D18" s="50">
        <v>17</v>
      </c>
      <c r="E18" s="50">
        <v>4</v>
      </c>
      <c r="F18" s="50">
        <v>9</v>
      </c>
      <c r="G18" s="50">
        <v>0</v>
      </c>
      <c r="H18" s="50">
        <v>0</v>
      </c>
      <c r="I18" s="50">
        <v>4</v>
      </c>
      <c r="J18" s="50">
        <v>0</v>
      </c>
      <c r="K18" s="50">
        <v>0</v>
      </c>
      <c r="L18" s="50">
        <v>0</v>
      </c>
      <c r="M18" s="50">
        <v>78</v>
      </c>
      <c r="N18" s="50">
        <v>0</v>
      </c>
      <c r="O18" s="15">
        <f t="shared" si="0"/>
        <v>113</v>
      </c>
      <c r="P18" s="15">
        <f t="shared" si="1"/>
        <v>191</v>
      </c>
      <c r="R18" s="1" t="s">
        <v>14</v>
      </c>
      <c r="S18" s="17">
        <f t="shared" ref="S18:AF18" si="10">SUM(C42:C45)</f>
        <v>567</v>
      </c>
      <c r="T18" s="17">
        <f t="shared" si="10"/>
        <v>106</v>
      </c>
      <c r="U18" s="17">
        <f t="shared" si="10"/>
        <v>18</v>
      </c>
      <c r="V18" s="17">
        <f t="shared" si="10"/>
        <v>18</v>
      </c>
      <c r="W18" s="17">
        <f t="shared" si="10"/>
        <v>2</v>
      </c>
      <c r="X18" s="17">
        <f t="shared" si="10"/>
        <v>0</v>
      </c>
      <c r="Y18" s="17">
        <f t="shared" si="10"/>
        <v>24</v>
      </c>
      <c r="Z18" s="17">
        <f t="shared" si="10"/>
        <v>6</v>
      </c>
      <c r="AA18" s="17">
        <f t="shared" si="10"/>
        <v>3</v>
      </c>
      <c r="AB18" s="17">
        <f t="shared" si="10"/>
        <v>0</v>
      </c>
      <c r="AC18" s="17">
        <f t="shared" si="10"/>
        <v>271</v>
      </c>
      <c r="AD18" s="17">
        <f t="shared" si="10"/>
        <v>0</v>
      </c>
      <c r="AE18" s="31">
        <f t="shared" si="10"/>
        <v>744</v>
      </c>
      <c r="AF18" s="31">
        <f t="shared" si="10"/>
        <v>1015</v>
      </c>
    </row>
    <row r="19" spans="2:32" ht="23.1" customHeight="1" x14ac:dyDescent="0.25">
      <c r="B19" s="45" t="s">
        <v>46</v>
      </c>
      <c r="C19" s="50">
        <v>100</v>
      </c>
      <c r="D19" s="50">
        <v>21</v>
      </c>
      <c r="E19" s="50">
        <v>2</v>
      </c>
      <c r="F19" s="50">
        <v>9</v>
      </c>
      <c r="G19" s="50">
        <v>0</v>
      </c>
      <c r="H19" s="50">
        <v>0</v>
      </c>
      <c r="I19" s="50">
        <v>3</v>
      </c>
      <c r="J19" s="50">
        <v>2</v>
      </c>
      <c r="K19" s="50">
        <v>1</v>
      </c>
      <c r="L19" s="50">
        <v>0</v>
      </c>
      <c r="M19" s="50">
        <v>52</v>
      </c>
      <c r="N19" s="50">
        <v>0</v>
      </c>
      <c r="O19" s="15">
        <f t="shared" si="0"/>
        <v>138</v>
      </c>
      <c r="P19" s="15">
        <f t="shared" si="1"/>
        <v>190</v>
      </c>
      <c r="R19" s="1" t="s">
        <v>15</v>
      </c>
      <c r="S19" s="17">
        <f t="shared" ref="S19:AF19" si="11">SUM(C46:C49)</f>
        <v>623</v>
      </c>
      <c r="T19" s="17">
        <f t="shared" si="11"/>
        <v>100</v>
      </c>
      <c r="U19" s="17">
        <f t="shared" si="11"/>
        <v>15</v>
      </c>
      <c r="V19" s="17">
        <f t="shared" si="11"/>
        <v>26</v>
      </c>
      <c r="W19" s="17">
        <f t="shared" si="11"/>
        <v>4</v>
      </c>
      <c r="X19" s="17">
        <f t="shared" si="11"/>
        <v>0</v>
      </c>
      <c r="Y19" s="17">
        <f t="shared" si="11"/>
        <v>23</v>
      </c>
      <c r="Z19" s="17">
        <f t="shared" si="11"/>
        <v>6</v>
      </c>
      <c r="AA19" s="17">
        <f t="shared" si="11"/>
        <v>2</v>
      </c>
      <c r="AB19" s="17">
        <f t="shared" si="11"/>
        <v>0</v>
      </c>
      <c r="AC19" s="17">
        <f t="shared" si="11"/>
        <v>266</v>
      </c>
      <c r="AD19" s="17">
        <f t="shared" si="11"/>
        <v>0</v>
      </c>
      <c r="AE19" s="31">
        <f t="shared" si="11"/>
        <v>799</v>
      </c>
      <c r="AF19" s="31">
        <f t="shared" si="11"/>
        <v>1065</v>
      </c>
    </row>
    <row r="20" spans="2:32" ht="23.1" customHeight="1" x14ac:dyDescent="0.25">
      <c r="B20" s="45" t="s">
        <v>47</v>
      </c>
      <c r="C20" s="50">
        <v>96</v>
      </c>
      <c r="D20" s="50">
        <v>13</v>
      </c>
      <c r="E20" s="50">
        <v>2</v>
      </c>
      <c r="F20" s="50">
        <v>4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v>0</v>
      </c>
      <c r="M20" s="50">
        <v>65</v>
      </c>
      <c r="N20" s="50">
        <v>0</v>
      </c>
      <c r="O20" s="15">
        <f t="shared" si="0"/>
        <v>117</v>
      </c>
      <c r="P20" s="15">
        <f t="shared" si="1"/>
        <v>182</v>
      </c>
      <c r="R20" s="1" t="s">
        <v>16</v>
      </c>
      <c r="S20" s="17">
        <f t="shared" ref="S20:AF20" si="12">SUM(C50:C53)</f>
        <v>490</v>
      </c>
      <c r="T20" s="17">
        <f t="shared" si="12"/>
        <v>79</v>
      </c>
      <c r="U20" s="17">
        <f t="shared" si="12"/>
        <v>9</v>
      </c>
      <c r="V20" s="17">
        <f t="shared" si="12"/>
        <v>26</v>
      </c>
      <c r="W20" s="17">
        <f t="shared" si="12"/>
        <v>4</v>
      </c>
      <c r="X20" s="17">
        <f t="shared" si="12"/>
        <v>0</v>
      </c>
      <c r="Y20" s="17">
        <f t="shared" si="12"/>
        <v>17</v>
      </c>
      <c r="Z20" s="17">
        <f t="shared" si="12"/>
        <v>11</v>
      </c>
      <c r="AA20" s="17">
        <f t="shared" si="12"/>
        <v>3</v>
      </c>
      <c r="AB20" s="17">
        <f t="shared" si="12"/>
        <v>1</v>
      </c>
      <c r="AC20" s="17">
        <f t="shared" si="12"/>
        <v>199</v>
      </c>
      <c r="AD20" s="17">
        <f t="shared" si="12"/>
        <v>0</v>
      </c>
      <c r="AE20" s="31">
        <f t="shared" si="12"/>
        <v>640</v>
      </c>
      <c r="AF20" s="31">
        <f t="shared" si="12"/>
        <v>839</v>
      </c>
    </row>
    <row r="21" spans="2:32" ht="23.1" customHeight="1" x14ac:dyDescent="0.25">
      <c r="B21" s="45" t="s">
        <v>48</v>
      </c>
      <c r="C21" s="50">
        <v>93</v>
      </c>
      <c r="D21" s="50">
        <v>18</v>
      </c>
      <c r="E21" s="50">
        <v>9</v>
      </c>
      <c r="F21" s="50">
        <v>6</v>
      </c>
      <c r="G21" s="50">
        <v>1</v>
      </c>
      <c r="H21" s="50">
        <v>0</v>
      </c>
      <c r="I21" s="50">
        <v>4</v>
      </c>
      <c r="J21" s="50">
        <v>1</v>
      </c>
      <c r="K21" s="50">
        <v>1</v>
      </c>
      <c r="L21" s="50">
        <v>0</v>
      </c>
      <c r="M21" s="50">
        <v>70</v>
      </c>
      <c r="N21" s="50">
        <v>0</v>
      </c>
      <c r="O21" s="15">
        <f t="shared" si="0"/>
        <v>133</v>
      </c>
      <c r="P21" s="15">
        <f t="shared" si="1"/>
        <v>203</v>
      </c>
      <c r="R21" s="36" t="s">
        <v>20</v>
      </c>
      <c r="S21" s="34">
        <f t="shared" ref="S21:AF21" si="13">SUM(C54:C57)</f>
        <v>489</v>
      </c>
      <c r="T21" s="17">
        <f t="shared" si="13"/>
        <v>111</v>
      </c>
      <c r="U21" s="17">
        <f t="shared" si="13"/>
        <v>10</v>
      </c>
      <c r="V21" s="17">
        <f t="shared" si="13"/>
        <v>24</v>
      </c>
      <c r="W21" s="17">
        <f t="shared" si="13"/>
        <v>9</v>
      </c>
      <c r="X21" s="17">
        <f t="shared" si="13"/>
        <v>0</v>
      </c>
      <c r="Y21" s="17">
        <f t="shared" si="13"/>
        <v>15</v>
      </c>
      <c r="Z21" s="17">
        <f t="shared" si="13"/>
        <v>4</v>
      </c>
      <c r="AA21" s="17">
        <f t="shared" si="13"/>
        <v>1</v>
      </c>
      <c r="AB21" s="17">
        <f t="shared" si="13"/>
        <v>0</v>
      </c>
      <c r="AC21" s="17">
        <f t="shared" si="13"/>
        <v>180</v>
      </c>
      <c r="AD21" s="17">
        <f t="shared" si="13"/>
        <v>0</v>
      </c>
      <c r="AE21" s="31">
        <f t="shared" si="13"/>
        <v>663</v>
      </c>
      <c r="AF21" s="31">
        <f t="shared" si="13"/>
        <v>843</v>
      </c>
    </row>
    <row r="22" spans="2:32" ht="23.1" customHeight="1" x14ac:dyDescent="0.25">
      <c r="B22" s="45" t="s">
        <v>49</v>
      </c>
      <c r="C22" s="50">
        <v>97</v>
      </c>
      <c r="D22" s="50">
        <v>34</v>
      </c>
      <c r="E22" s="50">
        <v>1</v>
      </c>
      <c r="F22" s="50">
        <v>13</v>
      </c>
      <c r="G22" s="50">
        <v>0</v>
      </c>
      <c r="H22" s="50">
        <v>0</v>
      </c>
      <c r="I22" s="50">
        <v>5</v>
      </c>
      <c r="J22" s="50">
        <v>2</v>
      </c>
      <c r="K22" s="50">
        <v>1</v>
      </c>
      <c r="L22" s="50">
        <v>0</v>
      </c>
      <c r="M22" s="50">
        <v>70</v>
      </c>
      <c r="N22" s="50">
        <v>0</v>
      </c>
      <c r="O22" s="15">
        <f t="shared" si="0"/>
        <v>153</v>
      </c>
      <c r="P22" s="15">
        <f t="shared" si="1"/>
        <v>223</v>
      </c>
      <c r="R22" s="36" t="s">
        <v>146</v>
      </c>
      <c r="S22" s="34">
        <f>SUM(C58:C61)</f>
        <v>421</v>
      </c>
      <c r="T22" s="34">
        <f t="shared" ref="T22:AF22" si="14">SUM(D58:D61)</f>
        <v>88</v>
      </c>
      <c r="U22" s="34">
        <f t="shared" si="14"/>
        <v>14</v>
      </c>
      <c r="V22" s="34">
        <f t="shared" si="14"/>
        <v>37</v>
      </c>
      <c r="W22" s="34">
        <f t="shared" si="14"/>
        <v>0</v>
      </c>
      <c r="X22" s="34">
        <f t="shared" si="14"/>
        <v>3</v>
      </c>
      <c r="Y22" s="34">
        <f t="shared" si="14"/>
        <v>4</v>
      </c>
      <c r="Z22" s="34">
        <f t="shared" si="14"/>
        <v>3</v>
      </c>
      <c r="AA22" s="34">
        <f t="shared" si="14"/>
        <v>0</v>
      </c>
      <c r="AB22" s="34">
        <f t="shared" si="14"/>
        <v>0</v>
      </c>
      <c r="AC22" s="34">
        <f t="shared" si="14"/>
        <v>366</v>
      </c>
      <c r="AD22" s="34">
        <f t="shared" si="14"/>
        <v>0</v>
      </c>
      <c r="AE22" s="31">
        <f t="shared" si="14"/>
        <v>570</v>
      </c>
      <c r="AF22" s="31">
        <f t="shared" si="14"/>
        <v>936</v>
      </c>
    </row>
    <row r="23" spans="2:32" ht="23.1" customHeight="1" x14ac:dyDescent="0.25">
      <c r="B23" s="45" t="s">
        <v>50</v>
      </c>
      <c r="C23" s="50">
        <v>83</v>
      </c>
      <c r="D23" s="50">
        <v>23</v>
      </c>
      <c r="E23" s="50">
        <v>4</v>
      </c>
      <c r="F23" s="50">
        <v>2</v>
      </c>
      <c r="G23" s="50">
        <v>0</v>
      </c>
      <c r="H23" s="50">
        <v>0</v>
      </c>
      <c r="I23" s="50">
        <v>0</v>
      </c>
      <c r="J23" s="50">
        <v>1</v>
      </c>
      <c r="K23" s="50">
        <v>0</v>
      </c>
      <c r="L23" s="50">
        <v>0</v>
      </c>
      <c r="M23" s="50">
        <v>91</v>
      </c>
      <c r="N23" s="50">
        <v>0</v>
      </c>
      <c r="O23" s="15">
        <f t="shared" si="0"/>
        <v>113</v>
      </c>
      <c r="P23" s="15">
        <f t="shared" si="1"/>
        <v>204</v>
      </c>
      <c r="R23" s="36" t="s">
        <v>147</v>
      </c>
      <c r="S23" s="34">
        <f>SUM(C62:C65)</f>
        <v>458</v>
      </c>
      <c r="T23" s="34">
        <f t="shared" ref="T23:AF23" si="15">SUM(D62:D65)</f>
        <v>99</v>
      </c>
      <c r="U23" s="34">
        <f t="shared" si="15"/>
        <v>14</v>
      </c>
      <c r="V23" s="34">
        <f t="shared" si="15"/>
        <v>62</v>
      </c>
      <c r="W23" s="34">
        <f t="shared" si="15"/>
        <v>1</v>
      </c>
      <c r="X23" s="34">
        <f t="shared" si="15"/>
        <v>1</v>
      </c>
      <c r="Y23" s="34">
        <f t="shared" si="15"/>
        <v>5</v>
      </c>
      <c r="Z23" s="34">
        <f t="shared" si="15"/>
        <v>3</v>
      </c>
      <c r="AA23" s="34">
        <f t="shared" si="15"/>
        <v>1</v>
      </c>
      <c r="AB23" s="34">
        <f t="shared" si="15"/>
        <v>0</v>
      </c>
      <c r="AC23" s="34">
        <f t="shared" si="15"/>
        <v>489</v>
      </c>
      <c r="AD23" s="34">
        <f t="shared" si="15"/>
        <v>0</v>
      </c>
      <c r="AE23" s="31">
        <f t="shared" si="15"/>
        <v>644</v>
      </c>
      <c r="AF23" s="31">
        <f t="shared" si="15"/>
        <v>1133</v>
      </c>
    </row>
    <row r="24" spans="2:32" ht="23.1" customHeight="1" x14ac:dyDescent="0.25">
      <c r="B24" s="45" t="s">
        <v>51</v>
      </c>
      <c r="C24" s="50">
        <v>101</v>
      </c>
      <c r="D24" s="50">
        <v>19</v>
      </c>
      <c r="E24" s="50">
        <v>4</v>
      </c>
      <c r="F24" s="50">
        <v>10</v>
      </c>
      <c r="G24" s="50">
        <v>0</v>
      </c>
      <c r="H24" s="50">
        <v>0</v>
      </c>
      <c r="I24" s="50">
        <v>5</v>
      </c>
      <c r="J24" s="50">
        <v>2</v>
      </c>
      <c r="K24" s="50">
        <v>0</v>
      </c>
      <c r="L24" s="50">
        <v>0</v>
      </c>
      <c r="M24" s="50">
        <v>50</v>
      </c>
      <c r="N24" s="50">
        <v>0</v>
      </c>
      <c r="O24" s="15">
        <f t="shared" si="0"/>
        <v>141</v>
      </c>
      <c r="P24" s="15">
        <f t="shared" si="1"/>
        <v>191</v>
      </c>
      <c r="R24" s="36" t="s">
        <v>148</v>
      </c>
      <c r="S24" s="34">
        <f>SUM(C66:C69)</f>
        <v>513</v>
      </c>
      <c r="T24" s="34">
        <f t="shared" ref="T24:AF24" si="16">SUM(D66:D69)</f>
        <v>119</v>
      </c>
      <c r="U24" s="34">
        <f t="shared" si="16"/>
        <v>32</v>
      </c>
      <c r="V24" s="34">
        <f t="shared" si="16"/>
        <v>19</v>
      </c>
      <c r="W24" s="34">
        <f t="shared" si="16"/>
        <v>0</v>
      </c>
      <c r="X24" s="34">
        <f t="shared" si="16"/>
        <v>0</v>
      </c>
      <c r="Y24" s="34">
        <f t="shared" si="16"/>
        <v>1</v>
      </c>
      <c r="Z24" s="34">
        <f t="shared" si="16"/>
        <v>4</v>
      </c>
      <c r="AA24" s="34">
        <f t="shared" si="16"/>
        <v>1</v>
      </c>
      <c r="AB24" s="34">
        <f t="shared" si="16"/>
        <v>0</v>
      </c>
      <c r="AC24" s="34">
        <f t="shared" si="16"/>
        <v>213</v>
      </c>
      <c r="AD24" s="34">
        <f t="shared" si="16"/>
        <v>0</v>
      </c>
      <c r="AE24" s="31">
        <f t="shared" si="16"/>
        <v>689</v>
      </c>
      <c r="AF24" s="31">
        <f t="shared" si="16"/>
        <v>902</v>
      </c>
    </row>
    <row r="25" spans="2:32" ht="23.1" customHeight="1" x14ac:dyDescent="0.25">
      <c r="B25" s="45" t="s">
        <v>52</v>
      </c>
      <c r="C25" s="50">
        <v>105</v>
      </c>
      <c r="D25" s="50">
        <v>19</v>
      </c>
      <c r="E25" s="50">
        <v>6</v>
      </c>
      <c r="F25" s="50">
        <v>9</v>
      </c>
      <c r="G25" s="50">
        <v>0</v>
      </c>
      <c r="H25" s="50">
        <v>0</v>
      </c>
      <c r="I25" s="50">
        <v>6</v>
      </c>
      <c r="J25" s="50">
        <v>1</v>
      </c>
      <c r="K25" s="50">
        <v>0</v>
      </c>
      <c r="L25" s="50">
        <v>0</v>
      </c>
      <c r="M25" s="50">
        <v>87</v>
      </c>
      <c r="N25" s="50">
        <v>0</v>
      </c>
      <c r="O25" s="15">
        <f t="shared" si="0"/>
        <v>146</v>
      </c>
      <c r="P25" s="15">
        <f t="shared" si="1"/>
        <v>233</v>
      </c>
      <c r="R25" s="36" t="s">
        <v>149</v>
      </c>
      <c r="S25" s="34">
        <f>SUM(C70:C73)</f>
        <v>415</v>
      </c>
      <c r="T25" s="34">
        <f t="shared" ref="T25:AF25" si="17">SUM(D70:D73)</f>
        <v>67</v>
      </c>
      <c r="U25" s="34">
        <f t="shared" si="17"/>
        <v>18</v>
      </c>
      <c r="V25" s="34">
        <f t="shared" si="17"/>
        <v>3</v>
      </c>
      <c r="W25" s="34">
        <f t="shared" si="17"/>
        <v>0</v>
      </c>
      <c r="X25" s="34">
        <f t="shared" si="17"/>
        <v>1</v>
      </c>
      <c r="Y25" s="34">
        <f t="shared" si="17"/>
        <v>3</v>
      </c>
      <c r="Z25" s="34">
        <f t="shared" si="17"/>
        <v>2</v>
      </c>
      <c r="AA25" s="34">
        <f t="shared" si="17"/>
        <v>2</v>
      </c>
      <c r="AB25" s="34">
        <f t="shared" si="17"/>
        <v>0</v>
      </c>
      <c r="AC25" s="34">
        <f t="shared" si="17"/>
        <v>179</v>
      </c>
      <c r="AD25" s="34">
        <f t="shared" si="17"/>
        <v>0</v>
      </c>
      <c r="AE25" s="31">
        <f t="shared" si="17"/>
        <v>511</v>
      </c>
      <c r="AF25" s="31">
        <f t="shared" si="17"/>
        <v>690</v>
      </c>
    </row>
    <row r="26" spans="2:32" ht="23.1" customHeight="1" x14ac:dyDescent="0.25">
      <c r="B26" s="45" t="s">
        <v>53</v>
      </c>
      <c r="C26" s="50">
        <v>105</v>
      </c>
      <c r="D26" s="50">
        <v>28</v>
      </c>
      <c r="E26" s="50">
        <v>5</v>
      </c>
      <c r="F26" s="50">
        <v>5</v>
      </c>
      <c r="G26" s="50">
        <v>1</v>
      </c>
      <c r="H26" s="50">
        <v>0</v>
      </c>
      <c r="I26" s="50">
        <v>4</v>
      </c>
      <c r="J26" s="50">
        <v>1</v>
      </c>
      <c r="K26" s="50">
        <v>0</v>
      </c>
      <c r="L26" s="50">
        <v>0</v>
      </c>
      <c r="M26" s="50">
        <v>103</v>
      </c>
      <c r="N26" s="50">
        <v>0</v>
      </c>
      <c r="O26" s="15">
        <f t="shared" si="0"/>
        <v>149</v>
      </c>
      <c r="P26" s="15">
        <f t="shared" si="1"/>
        <v>252</v>
      </c>
      <c r="R26" s="36" t="s">
        <v>150</v>
      </c>
      <c r="S26" s="34">
        <f>SUM(C74:C77)</f>
        <v>381</v>
      </c>
      <c r="T26" s="34">
        <f t="shared" ref="T26:AF26" si="18">SUM(D74:D77)</f>
        <v>65</v>
      </c>
      <c r="U26" s="34">
        <f t="shared" si="18"/>
        <v>14</v>
      </c>
      <c r="V26" s="34">
        <f t="shared" si="18"/>
        <v>10</v>
      </c>
      <c r="W26" s="34">
        <f t="shared" si="18"/>
        <v>0</v>
      </c>
      <c r="X26" s="34">
        <f t="shared" si="18"/>
        <v>0</v>
      </c>
      <c r="Y26" s="34">
        <f t="shared" si="18"/>
        <v>1</v>
      </c>
      <c r="Z26" s="34">
        <f t="shared" si="18"/>
        <v>2</v>
      </c>
      <c r="AA26" s="34">
        <f t="shared" si="18"/>
        <v>0</v>
      </c>
      <c r="AB26" s="34">
        <f t="shared" si="18"/>
        <v>0</v>
      </c>
      <c r="AC26" s="34">
        <f t="shared" si="18"/>
        <v>129</v>
      </c>
      <c r="AD26" s="34">
        <f t="shared" si="18"/>
        <v>0</v>
      </c>
      <c r="AE26" s="31">
        <f t="shared" si="18"/>
        <v>473</v>
      </c>
      <c r="AF26" s="31">
        <f t="shared" si="18"/>
        <v>602</v>
      </c>
    </row>
    <row r="27" spans="2:32" ht="23.1" customHeight="1" x14ac:dyDescent="0.25">
      <c r="B27" s="45" t="s">
        <v>54</v>
      </c>
      <c r="C27" s="50">
        <v>101</v>
      </c>
      <c r="D27" s="50">
        <v>26</v>
      </c>
      <c r="E27" s="50">
        <v>6</v>
      </c>
      <c r="F27" s="50">
        <v>5</v>
      </c>
      <c r="G27" s="50">
        <v>0</v>
      </c>
      <c r="H27" s="50">
        <v>0</v>
      </c>
      <c r="I27" s="50">
        <v>5</v>
      </c>
      <c r="J27" s="50">
        <v>1</v>
      </c>
      <c r="K27" s="50">
        <v>0</v>
      </c>
      <c r="L27" s="50">
        <v>0</v>
      </c>
      <c r="M27" s="50">
        <v>93</v>
      </c>
      <c r="N27" s="50">
        <v>0</v>
      </c>
      <c r="O27" s="15">
        <f t="shared" si="0"/>
        <v>144</v>
      </c>
      <c r="P27" s="15">
        <f t="shared" si="1"/>
        <v>237</v>
      </c>
      <c r="R27" s="36" t="s">
        <v>151</v>
      </c>
      <c r="S27" s="34">
        <f>SUM(C78:C81)</f>
        <v>143</v>
      </c>
      <c r="T27" s="34">
        <f t="shared" ref="T27:AF27" si="19">SUM(D78:D81)</f>
        <v>35</v>
      </c>
      <c r="U27" s="34">
        <f t="shared" si="19"/>
        <v>13</v>
      </c>
      <c r="V27" s="34">
        <f t="shared" si="19"/>
        <v>7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4</v>
      </c>
      <c r="AA27" s="34">
        <f t="shared" si="19"/>
        <v>9</v>
      </c>
      <c r="AB27" s="34">
        <f t="shared" si="19"/>
        <v>0</v>
      </c>
      <c r="AC27" s="34">
        <f t="shared" si="19"/>
        <v>46</v>
      </c>
      <c r="AD27" s="34">
        <f t="shared" si="19"/>
        <v>0</v>
      </c>
      <c r="AE27" s="31">
        <f t="shared" si="19"/>
        <v>211</v>
      </c>
      <c r="AF27" s="31">
        <f t="shared" si="19"/>
        <v>257</v>
      </c>
    </row>
    <row r="28" spans="2:32" ht="23.1" customHeight="1" x14ac:dyDescent="0.25">
      <c r="B28" s="45" t="s">
        <v>55</v>
      </c>
      <c r="C28" s="50">
        <v>98</v>
      </c>
      <c r="D28" s="50">
        <v>27</v>
      </c>
      <c r="E28" s="50">
        <v>1</v>
      </c>
      <c r="F28" s="50">
        <v>6</v>
      </c>
      <c r="G28" s="50">
        <v>1</v>
      </c>
      <c r="H28" s="50">
        <v>0</v>
      </c>
      <c r="I28" s="50">
        <v>2</v>
      </c>
      <c r="J28" s="50">
        <v>2</v>
      </c>
      <c r="K28" s="50">
        <v>0</v>
      </c>
      <c r="L28" s="50">
        <v>0</v>
      </c>
      <c r="M28" s="50">
        <v>65</v>
      </c>
      <c r="N28" s="50">
        <v>0</v>
      </c>
      <c r="O28" s="15">
        <f t="shared" si="0"/>
        <v>137</v>
      </c>
      <c r="P28" s="15">
        <f t="shared" si="1"/>
        <v>202</v>
      </c>
      <c r="R28" s="36" t="s">
        <v>152</v>
      </c>
      <c r="S28" s="34">
        <f>SUM(C82:C85)</f>
        <v>81</v>
      </c>
      <c r="T28" s="34">
        <f t="shared" ref="T28:AF28" si="20">SUM(D82:D85)</f>
        <v>24</v>
      </c>
      <c r="U28" s="34">
        <f t="shared" si="20"/>
        <v>3</v>
      </c>
      <c r="V28" s="34">
        <f t="shared" si="20"/>
        <v>2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3</v>
      </c>
      <c r="AA28" s="34">
        <f t="shared" si="20"/>
        <v>0</v>
      </c>
      <c r="AB28" s="34">
        <f t="shared" si="20"/>
        <v>0</v>
      </c>
      <c r="AC28" s="34">
        <f t="shared" si="20"/>
        <v>30</v>
      </c>
      <c r="AD28" s="34">
        <f t="shared" si="20"/>
        <v>0</v>
      </c>
      <c r="AE28" s="31">
        <f t="shared" si="20"/>
        <v>113</v>
      </c>
      <c r="AF28" s="31">
        <f t="shared" si="20"/>
        <v>143</v>
      </c>
    </row>
    <row r="29" spans="2:32" ht="23.1" customHeight="1" x14ac:dyDescent="0.25">
      <c r="B29" s="45" t="s">
        <v>56</v>
      </c>
      <c r="C29" s="50">
        <v>99</v>
      </c>
      <c r="D29" s="50">
        <v>19</v>
      </c>
      <c r="E29" s="50">
        <v>4</v>
      </c>
      <c r="F29" s="50">
        <v>5</v>
      </c>
      <c r="G29" s="50">
        <v>0</v>
      </c>
      <c r="H29" s="50">
        <v>0</v>
      </c>
      <c r="I29" s="50">
        <v>5</v>
      </c>
      <c r="J29" s="50">
        <v>2</v>
      </c>
      <c r="K29" s="50">
        <v>0</v>
      </c>
      <c r="L29" s="50">
        <v>0</v>
      </c>
      <c r="M29" s="50">
        <v>58</v>
      </c>
      <c r="N29" s="50">
        <v>0</v>
      </c>
      <c r="O29" s="15">
        <f t="shared" si="0"/>
        <v>134</v>
      </c>
      <c r="P29" s="15">
        <f t="shared" si="1"/>
        <v>192</v>
      </c>
      <c r="R29" s="36" t="s">
        <v>153</v>
      </c>
      <c r="S29" s="34">
        <f>SUM(C86:C89)</f>
        <v>60</v>
      </c>
      <c r="T29" s="34">
        <f t="shared" ref="T29:AF29" si="21">SUM(D86:D89)</f>
        <v>22</v>
      </c>
      <c r="U29" s="34">
        <f t="shared" si="21"/>
        <v>6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1</v>
      </c>
      <c r="AA29" s="34">
        <f t="shared" si="21"/>
        <v>0</v>
      </c>
      <c r="AB29" s="34">
        <f t="shared" si="21"/>
        <v>0</v>
      </c>
      <c r="AC29" s="34">
        <f t="shared" si="21"/>
        <v>42</v>
      </c>
      <c r="AD29" s="34">
        <f t="shared" si="21"/>
        <v>0</v>
      </c>
      <c r="AE29" s="31">
        <f t="shared" si="21"/>
        <v>90</v>
      </c>
      <c r="AF29" s="31">
        <f t="shared" si="21"/>
        <v>132</v>
      </c>
    </row>
    <row r="30" spans="2:32" ht="23.1" customHeight="1" x14ac:dyDescent="0.25">
      <c r="B30" s="45" t="s">
        <v>57</v>
      </c>
      <c r="C30" s="50">
        <v>105</v>
      </c>
      <c r="D30" s="50">
        <v>18</v>
      </c>
      <c r="E30" s="50">
        <v>1</v>
      </c>
      <c r="F30" s="50">
        <v>4</v>
      </c>
      <c r="G30" s="50">
        <v>0</v>
      </c>
      <c r="H30" s="50">
        <v>0</v>
      </c>
      <c r="I30" s="50">
        <v>7</v>
      </c>
      <c r="J30" s="50">
        <v>3</v>
      </c>
      <c r="K30" s="50">
        <v>1</v>
      </c>
      <c r="L30" s="50">
        <v>0</v>
      </c>
      <c r="M30" s="50">
        <v>51</v>
      </c>
      <c r="N30" s="50">
        <v>0</v>
      </c>
      <c r="O30" s="15">
        <f t="shared" si="0"/>
        <v>139</v>
      </c>
      <c r="P30" s="15">
        <f t="shared" si="1"/>
        <v>190</v>
      </c>
      <c r="R30" s="36" t="s">
        <v>154</v>
      </c>
      <c r="S30" s="34">
        <f>SUM(C90:C93)</f>
        <v>41</v>
      </c>
      <c r="T30" s="34">
        <f t="shared" ref="T30:AF30" si="22">SUM(D90:D93)</f>
        <v>16</v>
      </c>
      <c r="U30" s="34">
        <f t="shared" si="22"/>
        <v>0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10</v>
      </c>
      <c r="AD30" s="34">
        <f t="shared" si="22"/>
        <v>0</v>
      </c>
      <c r="AE30" s="31">
        <f t="shared" si="22"/>
        <v>58</v>
      </c>
      <c r="AF30" s="31">
        <f t="shared" si="22"/>
        <v>68</v>
      </c>
    </row>
    <row r="31" spans="2:32" ht="23.1" customHeight="1" x14ac:dyDescent="0.25">
      <c r="B31" s="46" t="s">
        <v>58</v>
      </c>
      <c r="C31" s="50">
        <v>105</v>
      </c>
      <c r="D31" s="50">
        <v>38</v>
      </c>
      <c r="E31" s="50">
        <v>3</v>
      </c>
      <c r="F31" s="50">
        <v>7</v>
      </c>
      <c r="G31" s="50">
        <v>0</v>
      </c>
      <c r="H31" s="50">
        <v>0</v>
      </c>
      <c r="I31" s="50">
        <v>7</v>
      </c>
      <c r="J31" s="50">
        <v>1</v>
      </c>
      <c r="K31" s="50">
        <v>2</v>
      </c>
      <c r="L31" s="50">
        <v>0</v>
      </c>
      <c r="M31" s="50">
        <v>60</v>
      </c>
      <c r="N31" s="50">
        <v>0</v>
      </c>
      <c r="O31" s="15">
        <f t="shared" si="0"/>
        <v>163</v>
      </c>
      <c r="P31" s="15">
        <f t="shared" si="1"/>
        <v>223</v>
      </c>
      <c r="R31" s="36" t="s">
        <v>155</v>
      </c>
      <c r="S31" s="34">
        <f>SUM(C94:C97)</f>
        <v>26</v>
      </c>
      <c r="T31" s="34">
        <f t="shared" ref="T31:AF31" si="23">SUM(D94:D97)</f>
        <v>7</v>
      </c>
      <c r="U31" s="34">
        <f t="shared" si="23"/>
        <v>0</v>
      </c>
      <c r="V31" s="34">
        <f t="shared" si="23"/>
        <v>1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9</v>
      </c>
      <c r="AD31" s="34">
        <f t="shared" si="23"/>
        <v>0</v>
      </c>
      <c r="AE31" s="31">
        <f t="shared" si="23"/>
        <v>34</v>
      </c>
      <c r="AF31" s="31">
        <f t="shared" si="23"/>
        <v>43</v>
      </c>
    </row>
    <row r="32" spans="2:32" ht="23.1" customHeight="1" x14ac:dyDescent="0.25">
      <c r="B32" s="46" t="s">
        <v>59</v>
      </c>
      <c r="C32" s="50">
        <v>135</v>
      </c>
      <c r="D32" s="50">
        <v>29</v>
      </c>
      <c r="E32" s="50">
        <v>3</v>
      </c>
      <c r="F32" s="50">
        <v>3</v>
      </c>
      <c r="G32" s="50">
        <v>0</v>
      </c>
      <c r="H32" s="50">
        <v>0</v>
      </c>
      <c r="I32" s="50">
        <v>1</v>
      </c>
      <c r="J32" s="50">
        <v>1</v>
      </c>
      <c r="K32" s="50">
        <v>0</v>
      </c>
      <c r="L32" s="50">
        <v>0</v>
      </c>
      <c r="M32" s="50">
        <v>80</v>
      </c>
      <c r="N32" s="50">
        <v>0</v>
      </c>
      <c r="O32" s="15">
        <f t="shared" si="0"/>
        <v>172</v>
      </c>
      <c r="P32" s="15">
        <f t="shared" si="1"/>
        <v>252</v>
      </c>
      <c r="R32" s="33" t="s">
        <v>156</v>
      </c>
      <c r="S32" s="34">
        <f>SUM(C98:C101)</f>
        <v>61</v>
      </c>
      <c r="T32" s="34">
        <f t="shared" ref="T32:AF32" si="24">SUM(D98:D101)</f>
        <v>5</v>
      </c>
      <c r="U32" s="34">
        <f t="shared" si="24"/>
        <v>3</v>
      </c>
      <c r="V32" s="34">
        <f t="shared" si="24"/>
        <v>1</v>
      </c>
      <c r="W32" s="34">
        <f t="shared" si="24"/>
        <v>0</v>
      </c>
      <c r="X32" s="34">
        <f t="shared" si="24"/>
        <v>1</v>
      </c>
      <c r="Y32" s="34">
        <f t="shared" si="24"/>
        <v>1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13</v>
      </c>
      <c r="AD32" s="34">
        <f t="shared" si="24"/>
        <v>0</v>
      </c>
      <c r="AE32" s="31">
        <f t="shared" si="24"/>
        <v>72</v>
      </c>
      <c r="AF32" s="31">
        <f t="shared" si="24"/>
        <v>85</v>
      </c>
    </row>
    <row r="33" spans="2:32" ht="23.1" customHeight="1" x14ac:dyDescent="0.25">
      <c r="B33" s="45" t="s">
        <v>60</v>
      </c>
      <c r="C33" s="50">
        <v>120</v>
      </c>
      <c r="D33" s="50">
        <v>12</v>
      </c>
      <c r="E33" s="50">
        <v>2</v>
      </c>
      <c r="F33" s="50">
        <v>5</v>
      </c>
      <c r="G33" s="50">
        <v>0</v>
      </c>
      <c r="H33" s="50">
        <v>0</v>
      </c>
      <c r="I33" s="50">
        <v>3</v>
      </c>
      <c r="J33" s="50">
        <v>1</v>
      </c>
      <c r="K33" s="50">
        <v>1</v>
      </c>
      <c r="L33" s="50">
        <v>0</v>
      </c>
      <c r="M33" s="50">
        <v>50</v>
      </c>
      <c r="N33" s="50">
        <v>0</v>
      </c>
      <c r="O33" s="15">
        <f t="shared" si="0"/>
        <v>144</v>
      </c>
      <c r="P33" s="15">
        <f t="shared" si="1"/>
        <v>194</v>
      </c>
      <c r="R33" s="33" t="s">
        <v>157</v>
      </c>
      <c r="S33" s="34">
        <f>SUM(C102:C105)</f>
        <v>30</v>
      </c>
      <c r="T33" s="34">
        <f t="shared" ref="T33:AF33" si="25">SUM(D102:D105)</f>
        <v>9</v>
      </c>
      <c r="U33" s="34">
        <f t="shared" si="25"/>
        <v>3</v>
      </c>
      <c r="V33" s="34">
        <f t="shared" si="25"/>
        <v>4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14</v>
      </c>
      <c r="AD33" s="34">
        <f t="shared" si="25"/>
        <v>0</v>
      </c>
      <c r="AE33" s="31">
        <f t="shared" si="25"/>
        <v>46</v>
      </c>
      <c r="AF33" s="31">
        <f t="shared" si="25"/>
        <v>60</v>
      </c>
    </row>
    <row r="34" spans="2:32" ht="23.1" customHeight="1" x14ac:dyDescent="0.25">
      <c r="B34" s="46" t="s">
        <v>61</v>
      </c>
      <c r="C34" s="50">
        <v>83</v>
      </c>
      <c r="D34" s="50">
        <v>20</v>
      </c>
      <c r="E34" s="50">
        <v>0</v>
      </c>
      <c r="F34" s="50">
        <v>5</v>
      </c>
      <c r="G34" s="50">
        <v>1</v>
      </c>
      <c r="H34" s="50">
        <v>0</v>
      </c>
      <c r="I34" s="50">
        <v>2</v>
      </c>
      <c r="J34" s="50">
        <v>0</v>
      </c>
      <c r="K34" s="50">
        <v>0</v>
      </c>
      <c r="L34" s="50">
        <v>0</v>
      </c>
      <c r="M34" s="50">
        <v>49</v>
      </c>
      <c r="N34" s="50">
        <v>0</v>
      </c>
      <c r="O34" s="15">
        <f t="shared" si="0"/>
        <v>111</v>
      </c>
      <c r="P34" s="15">
        <f t="shared" si="1"/>
        <v>160</v>
      </c>
      <c r="R34" s="38" t="s">
        <v>90</v>
      </c>
      <c r="S34" s="39">
        <f t="shared" ref="S34:AF34" si="26">MAX(S10:S12)</f>
        <v>368</v>
      </c>
      <c r="T34" s="39">
        <f t="shared" si="26"/>
        <v>69</v>
      </c>
      <c r="U34" s="39">
        <f t="shared" si="26"/>
        <v>17</v>
      </c>
      <c r="V34" s="39">
        <f t="shared" si="26"/>
        <v>28</v>
      </c>
      <c r="W34" s="39">
        <f t="shared" si="26"/>
        <v>4</v>
      </c>
      <c r="X34" s="39">
        <f t="shared" si="26"/>
        <v>2</v>
      </c>
      <c r="Y34" s="39">
        <f t="shared" si="26"/>
        <v>13</v>
      </c>
      <c r="Z34" s="39">
        <f t="shared" si="26"/>
        <v>3</v>
      </c>
      <c r="AA34" s="39">
        <f t="shared" si="26"/>
        <v>2</v>
      </c>
      <c r="AB34" s="39">
        <f t="shared" si="26"/>
        <v>0</v>
      </c>
      <c r="AC34" s="39">
        <f t="shared" si="26"/>
        <v>265</v>
      </c>
      <c r="AD34" s="39">
        <f t="shared" si="26"/>
        <v>0</v>
      </c>
      <c r="AE34" s="40">
        <f t="shared" si="26"/>
        <v>501</v>
      </c>
      <c r="AF34" s="40">
        <f t="shared" si="26"/>
        <v>766</v>
      </c>
    </row>
    <row r="35" spans="2:32" ht="23.1" customHeight="1" x14ac:dyDescent="0.25">
      <c r="B35" s="46" t="s">
        <v>62</v>
      </c>
      <c r="C35" s="50">
        <v>119</v>
      </c>
      <c r="D35" s="50">
        <v>25</v>
      </c>
      <c r="E35" s="50">
        <v>8</v>
      </c>
      <c r="F35" s="50">
        <v>5</v>
      </c>
      <c r="G35" s="50">
        <v>0</v>
      </c>
      <c r="H35" s="50">
        <v>0</v>
      </c>
      <c r="I35" s="50">
        <v>8</v>
      </c>
      <c r="J35" s="50">
        <v>1</v>
      </c>
      <c r="K35" s="50">
        <v>0</v>
      </c>
      <c r="L35" s="50">
        <v>1</v>
      </c>
      <c r="M35" s="50">
        <v>62</v>
      </c>
      <c r="N35" s="50">
        <v>0</v>
      </c>
      <c r="O35" s="15">
        <f t="shared" si="0"/>
        <v>167</v>
      </c>
      <c r="P35" s="15">
        <f t="shared" si="1"/>
        <v>229</v>
      </c>
      <c r="R35" s="38" t="s">
        <v>91</v>
      </c>
      <c r="S35" s="39">
        <f t="shared" ref="S35:AF35" si="27">MAX(S13:S18)</f>
        <v>567</v>
      </c>
      <c r="T35" s="39">
        <f t="shared" si="27"/>
        <v>132</v>
      </c>
      <c r="U35" s="39">
        <f t="shared" si="27"/>
        <v>20</v>
      </c>
      <c r="V35" s="39">
        <f t="shared" si="27"/>
        <v>34</v>
      </c>
      <c r="W35" s="39">
        <f t="shared" si="27"/>
        <v>2</v>
      </c>
      <c r="X35" s="39">
        <f t="shared" si="27"/>
        <v>0</v>
      </c>
      <c r="Y35" s="39">
        <f t="shared" si="27"/>
        <v>27</v>
      </c>
      <c r="Z35" s="39">
        <f t="shared" si="27"/>
        <v>7</v>
      </c>
      <c r="AA35" s="39">
        <f t="shared" si="27"/>
        <v>4</v>
      </c>
      <c r="AB35" s="39">
        <f t="shared" si="27"/>
        <v>1</v>
      </c>
      <c r="AC35" s="39">
        <f t="shared" si="27"/>
        <v>319</v>
      </c>
      <c r="AD35" s="39">
        <f t="shared" si="27"/>
        <v>0</v>
      </c>
      <c r="AE35" s="40">
        <f t="shared" si="27"/>
        <v>744</v>
      </c>
      <c r="AF35" s="40">
        <f t="shared" si="27"/>
        <v>1015</v>
      </c>
    </row>
    <row r="36" spans="2:32" ht="23.1" customHeight="1" x14ac:dyDescent="0.25">
      <c r="B36" s="46" t="s">
        <v>63</v>
      </c>
      <c r="C36" s="50">
        <v>108</v>
      </c>
      <c r="D36" s="50">
        <v>37</v>
      </c>
      <c r="E36" s="50">
        <v>5</v>
      </c>
      <c r="F36" s="50">
        <v>7</v>
      </c>
      <c r="G36" s="50">
        <v>0</v>
      </c>
      <c r="H36" s="50">
        <v>0</v>
      </c>
      <c r="I36" s="50">
        <v>10</v>
      </c>
      <c r="J36" s="50">
        <v>2</v>
      </c>
      <c r="K36" s="50">
        <v>1</v>
      </c>
      <c r="L36" s="50">
        <v>0</v>
      </c>
      <c r="M36" s="50">
        <v>35</v>
      </c>
      <c r="N36" s="50">
        <v>0</v>
      </c>
      <c r="O36" s="15">
        <f t="shared" si="0"/>
        <v>170</v>
      </c>
      <c r="P36" s="15">
        <f t="shared" si="1"/>
        <v>205</v>
      </c>
      <c r="R36" s="38" t="s">
        <v>92</v>
      </c>
      <c r="S36" s="39">
        <f t="shared" ref="S36:AF36" si="28">MAX(S19:S21)</f>
        <v>623</v>
      </c>
      <c r="T36" s="39">
        <f t="shared" si="28"/>
        <v>111</v>
      </c>
      <c r="U36" s="39">
        <f t="shared" si="28"/>
        <v>15</v>
      </c>
      <c r="V36" s="39">
        <f t="shared" si="28"/>
        <v>26</v>
      </c>
      <c r="W36" s="39">
        <f t="shared" si="28"/>
        <v>9</v>
      </c>
      <c r="X36" s="39">
        <f t="shared" si="28"/>
        <v>0</v>
      </c>
      <c r="Y36" s="39">
        <f t="shared" si="28"/>
        <v>23</v>
      </c>
      <c r="Z36" s="39">
        <f t="shared" si="28"/>
        <v>11</v>
      </c>
      <c r="AA36" s="39">
        <f t="shared" si="28"/>
        <v>3</v>
      </c>
      <c r="AB36" s="39">
        <f t="shared" si="28"/>
        <v>1</v>
      </c>
      <c r="AC36" s="39">
        <f t="shared" si="28"/>
        <v>266</v>
      </c>
      <c r="AD36" s="39">
        <f t="shared" si="28"/>
        <v>0</v>
      </c>
      <c r="AE36" s="40">
        <f t="shared" si="28"/>
        <v>799</v>
      </c>
      <c r="AF36" s="40">
        <f t="shared" si="28"/>
        <v>1065</v>
      </c>
    </row>
    <row r="37" spans="2:32" ht="23.1" customHeight="1" x14ac:dyDescent="0.25">
      <c r="B37" s="45" t="s">
        <v>64</v>
      </c>
      <c r="C37" s="50">
        <v>140</v>
      </c>
      <c r="D37" s="50">
        <v>30</v>
      </c>
      <c r="E37" s="50">
        <v>7</v>
      </c>
      <c r="F37" s="50">
        <v>5</v>
      </c>
      <c r="G37" s="50">
        <v>1</v>
      </c>
      <c r="H37" s="50">
        <v>0</v>
      </c>
      <c r="I37" s="50">
        <v>7</v>
      </c>
      <c r="J37" s="50">
        <v>4</v>
      </c>
      <c r="K37" s="50">
        <v>1</v>
      </c>
      <c r="L37" s="50">
        <v>0</v>
      </c>
      <c r="M37" s="50">
        <v>53</v>
      </c>
      <c r="N37" s="50">
        <v>0</v>
      </c>
      <c r="O37" s="15">
        <f t="shared" si="0"/>
        <v>195</v>
      </c>
      <c r="P37" s="15">
        <f t="shared" si="1"/>
        <v>248</v>
      </c>
      <c r="R37" s="37" t="s">
        <v>85</v>
      </c>
      <c r="S37" s="35">
        <f t="shared" ref="S37:AF37" si="29">SUM(S10:S12)</f>
        <v>792</v>
      </c>
      <c r="T37" s="16">
        <f t="shared" si="29"/>
        <v>155</v>
      </c>
      <c r="U37" s="16">
        <f t="shared" si="29"/>
        <v>32</v>
      </c>
      <c r="V37" s="16">
        <f t="shared" si="29"/>
        <v>68</v>
      </c>
      <c r="W37" s="16">
        <f t="shared" si="29"/>
        <v>6</v>
      </c>
      <c r="X37" s="16">
        <f t="shared" si="29"/>
        <v>2</v>
      </c>
      <c r="Y37" s="16">
        <f t="shared" si="29"/>
        <v>28</v>
      </c>
      <c r="Z37" s="16">
        <f t="shared" si="29"/>
        <v>6</v>
      </c>
      <c r="AA37" s="16">
        <f t="shared" si="29"/>
        <v>2</v>
      </c>
      <c r="AB37" s="16">
        <f t="shared" si="29"/>
        <v>0</v>
      </c>
      <c r="AC37" s="16">
        <f t="shared" si="29"/>
        <v>579</v>
      </c>
      <c r="AD37" s="16">
        <f t="shared" si="29"/>
        <v>0</v>
      </c>
      <c r="AE37" s="32">
        <f t="shared" si="29"/>
        <v>1091</v>
      </c>
      <c r="AF37" s="32">
        <f t="shared" si="29"/>
        <v>1670</v>
      </c>
    </row>
    <row r="38" spans="2:32" ht="23.1" customHeight="1" x14ac:dyDescent="0.25">
      <c r="B38" s="46" t="s">
        <v>65</v>
      </c>
      <c r="C38" s="50">
        <v>95</v>
      </c>
      <c r="D38" s="50">
        <v>23</v>
      </c>
      <c r="E38" s="50">
        <v>6</v>
      </c>
      <c r="F38" s="50">
        <v>5</v>
      </c>
      <c r="G38" s="50">
        <v>0</v>
      </c>
      <c r="H38" s="50">
        <v>0</v>
      </c>
      <c r="I38" s="50">
        <v>2</v>
      </c>
      <c r="J38" s="50">
        <v>0</v>
      </c>
      <c r="K38" s="50">
        <v>0</v>
      </c>
      <c r="L38" s="50">
        <v>0</v>
      </c>
      <c r="M38" s="50">
        <v>31</v>
      </c>
      <c r="N38" s="50">
        <v>0</v>
      </c>
      <c r="O38" s="15">
        <f t="shared" si="0"/>
        <v>131</v>
      </c>
      <c r="P38" s="15">
        <f t="shared" si="1"/>
        <v>162</v>
      </c>
      <c r="R38" s="28" t="s">
        <v>86</v>
      </c>
      <c r="S38" s="16">
        <f t="shared" ref="S38:AF38" si="30">SUM(S13:S18)</f>
        <v>2796</v>
      </c>
      <c r="T38" s="16">
        <f t="shared" si="30"/>
        <v>642</v>
      </c>
      <c r="U38" s="16">
        <f t="shared" si="30"/>
        <v>91</v>
      </c>
      <c r="V38" s="16">
        <f t="shared" si="30"/>
        <v>135</v>
      </c>
      <c r="W38" s="16">
        <f t="shared" si="30"/>
        <v>7</v>
      </c>
      <c r="X38" s="16">
        <f t="shared" si="30"/>
        <v>0</v>
      </c>
      <c r="Y38" s="16">
        <f t="shared" si="30"/>
        <v>115</v>
      </c>
      <c r="Z38" s="16">
        <f t="shared" si="30"/>
        <v>34</v>
      </c>
      <c r="AA38" s="16">
        <f t="shared" si="30"/>
        <v>12</v>
      </c>
      <c r="AB38" s="16">
        <f t="shared" si="30"/>
        <v>1</v>
      </c>
      <c r="AC38" s="16">
        <f t="shared" si="30"/>
        <v>1513</v>
      </c>
      <c r="AD38" s="16">
        <f t="shared" si="30"/>
        <v>0</v>
      </c>
      <c r="AE38" s="32">
        <f t="shared" si="30"/>
        <v>3833</v>
      </c>
      <c r="AF38" s="32">
        <f t="shared" si="30"/>
        <v>5346</v>
      </c>
    </row>
    <row r="39" spans="2:32" ht="23.1" customHeight="1" x14ac:dyDescent="0.25">
      <c r="B39" s="46" t="s">
        <v>66</v>
      </c>
      <c r="C39" s="50">
        <v>125</v>
      </c>
      <c r="D39" s="50">
        <v>38</v>
      </c>
      <c r="E39" s="50">
        <v>2</v>
      </c>
      <c r="F39" s="50">
        <v>2</v>
      </c>
      <c r="G39" s="50">
        <v>1</v>
      </c>
      <c r="H39" s="50">
        <v>0</v>
      </c>
      <c r="I39" s="50">
        <v>4</v>
      </c>
      <c r="J39" s="50">
        <v>2</v>
      </c>
      <c r="K39" s="50">
        <v>0</v>
      </c>
      <c r="L39" s="50">
        <v>0</v>
      </c>
      <c r="M39" s="50">
        <v>45</v>
      </c>
      <c r="N39" s="50">
        <v>0</v>
      </c>
      <c r="O39" s="15">
        <f t="shared" si="0"/>
        <v>174</v>
      </c>
      <c r="P39" s="15">
        <f t="shared" si="1"/>
        <v>219</v>
      </c>
      <c r="R39" s="29" t="s">
        <v>87</v>
      </c>
      <c r="S39" s="16">
        <f t="shared" ref="S39:AF39" si="31">SUM(S19:S21)</f>
        <v>1602</v>
      </c>
      <c r="T39" s="16">
        <f t="shared" si="31"/>
        <v>290</v>
      </c>
      <c r="U39" s="16">
        <f t="shared" si="31"/>
        <v>34</v>
      </c>
      <c r="V39" s="16">
        <f t="shared" si="31"/>
        <v>76</v>
      </c>
      <c r="W39" s="16">
        <f t="shared" si="31"/>
        <v>17</v>
      </c>
      <c r="X39" s="16">
        <f t="shared" si="31"/>
        <v>0</v>
      </c>
      <c r="Y39" s="16">
        <f t="shared" si="31"/>
        <v>55</v>
      </c>
      <c r="Z39" s="16">
        <f t="shared" si="31"/>
        <v>21</v>
      </c>
      <c r="AA39" s="16">
        <f t="shared" si="31"/>
        <v>6</v>
      </c>
      <c r="AB39" s="16">
        <f t="shared" si="31"/>
        <v>1</v>
      </c>
      <c r="AC39" s="16">
        <f t="shared" si="31"/>
        <v>645</v>
      </c>
      <c r="AD39" s="16">
        <f t="shared" si="31"/>
        <v>0</v>
      </c>
      <c r="AE39" s="32">
        <f t="shared" si="31"/>
        <v>2102</v>
      </c>
      <c r="AF39" s="32">
        <f t="shared" si="31"/>
        <v>2747</v>
      </c>
    </row>
    <row r="40" spans="2:32" ht="23.1" customHeight="1" x14ac:dyDescent="0.25">
      <c r="B40" s="46" t="s">
        <v>67</v>
      </c>
      <c r="C40" s="50">
        <v>140</v>
      </c>
      <c r="D40" s="50">
        <v>32</v>
      </c>
      <c r="E40" s="50">
        <v>4</v>
      </c>
      <c r="F40" s="50">
        <v>9</v>
      </c>
      <c r="G40" s="50">
        <v>0</v>
      </c>
      <c r="H40" s="50">
        <v>0</v>
      </c>
      <c r="I40" s="50">
        <v>4</v>
      </c>
      <c r="J40" s="50">
        <v>1</v>
      </c>
      <c r="K40" s="50">
        <v>1</v>
      </c>
      <c r="L40" s="50">
        <v>0</v>
      </c>
      <c r="M40" s="50">
        <v>53</v>
      </c>
      <c r="N40" s="50">
        <v>0</v>
      </c>
      <c r="O40" s="15">
        <f t="shared" si="0"/>
        <v>191</v>
      </c>
      <c r="P40" s="15">
        <f t="shared" si="1"/>
        <v>244</v>
      </c>
      <c r="R40" s="5" t="s">
        <v>17</v>
      </c>
      <c r="S40" s="16">
        <f t="shared" ref="S40:AF40" si="32">SUM(S10:S21)</f>
        <v>5190</v>
      </c>
      <c r="T40" s="16">
        <f t="shared" si="32"/>
        <v>1087</v>
      </c>
      <c r="U40" s="16">
        <f t="shared" si="32"/>
        <v>157</v>
      </c>
      <c r="V40" s="16">
        <f t="shared" si="32"/>
        <v>279</v>
      </c>
      <c r="W40" s="16">
        <f t="shared" si="32"/>
        <v>30</v>
      </c>
      <c r="X40" s="16">
        <f t="shared" si="32"/>
        <v>2</v>
      </c>
      <c r="Y40" s="16">
        <f t="shared" si="32"/>
        <v>198</v>
      </c>
      <c r="Z40" s="16">
        <f t="shared" si="32"/>
        <v>61</v>
      </c>
      <c r="AA40" s="16">
        <f t="shared" si="32"/>
        <v>20</v>
      </c>
      <c r="AB40" s="16">
        <f t="shared" si="32"/>
        <v>2</v>
      </c>
      <c r="AC40" s="16">
        <f t="shared" si="32"/>
        <v>2737</v>
      </c>
      <c r="AD40" s="16">
        <f t="shared" si="32"/>
        <v>0</v>
      </c>
      <c r="AE40" s="32">
        <f t="shared" si="32"/>
        <v>7026</v>
      </c>
      <c r="AF40" s="32">
        <f t="shared" si="32"/>
        <v>9763</v>
      </c>
    </row>
    <row r="41" spans="2:32" ht="23.1" customHeight="1" x14ac:dyDescent="0.25">
      <c r="B41" s="45" t="s">
        <v>68</v>
      </c>
      <c r="C41" s="50">
        <v>165</v>
      </c>
      <c r="D41" s="50">
        <v>39</v>
      </c>
      <c r="E41" s="50">
        <v>1</v>
      </c>
      <c r="F41" s="50">
        <v>5</v>
      </c>
      <c r="G41" s="50">
        <v>0</v>
      </c>
      <c r="H41" s="50">
        <v>0</v>
      </c>
      <c r="I41" s="50">
        <v>4</v>
      </c>
      <c r="J41" s="50">
        <v>0</v>
      </c>
      <c r="K41" s="50">
        <v>1</v>
      </c>
      <c r="L41" s="50">
        <v>0</v>
      </c>
      <c r="M41" s="50">
        <v>56</v>
      </c>
      <c r="N41" s="50">
        <v>0</v>
      </c>
      <c r="O41" s="15">
        <f t="shared" si="0"/>
        <v>215</v>
      </c>
      <c r="P41" s="15">
        <f t="shared" si="1"/>
        <v>271</v>
      </c>
      <c r="R41" s="5" t="s">
        <v>159</v>
      </c>
      <c r="S41" s="16">
        <f>SUM(S10:S33)</f>
        <v>7820</v>
      </c>
      <c r="T41" s="16">
        <f t="shared" ref="T41:AF41" si="33">SUM(T10:T33)</f>
        <v>1643</v>
      </c>
      <c r="U41" s="16">
        <f t="shared" si="33"/>
        <v>277</v>
      </c>
      <c r="V41" s="16">
        <f t="shared" si="33"/>
        <v>427</v>
      </c>
      <c r="W41" s="16">
        <f t="shared" si="33"/>
        <v>31</v>
      </c>
      <c r="X41" s="16">
        <f t="shared" si="33"/>
        <v>8</v>
      </c>
      <c r="Y41" s="16">
        <f t="shared" si="33"/>
        <v>213</v>
      </c>
      <c r="Z41" s="16">
        <f t="shared" si="33"/>
        <v>83</v>
      </c>
      <c r="AA41" s="16">
        <f t="shared" si="33"/>
        <v>33</v>
      </c>
      <c r="AB41" s="16">
        <f t="shared" si="33"/>
        <v>2</v>
      </c>
      <c r="AC41" s="16">
        <f t="shared" si="33"/>
        <v>4277</v>
      </c>
      <c r="AD41" s="16">
        <f t="shared" si="33"/>
        <v>0</v>
      </c>
      <c r="AE41" s="32">
        <f t="shared" si="33"/>
        <v>10537</v>
      </c>
      <c r="AF41" s="32">
        <f t="shared" si="33"/>
        <v>14814</v>
      </c>
    </row>
    <row r="42" spans="2:32" ht="23.1" customHeight="1" x14ac:dyDescent="0.25">
      <c r="B42" s="46" t="s">
        <v>69</v>
      </c>
      <c r="C42" s="50">
        <v>133</v>
      </c>
      <c r="D42" s="50">
        <v>33</v>
      </c>
      <c r="E42" s="50">
        <v>4</v>
      </c>
      <c r="F42" s="50">
        <v>7</v>
      </c>
      <c r="G42" s="50">
        <v>1</v>
      </c>
      <c r="H42" s="50">
        <v>0</v>
      </c>
      <c r="I42" s="50">
        <v>6</v>
      </c>
      <c r="J42" s="50">
        <v>1</v>
      </c>
      <c r="K42" s="50">
        <v>1</v>
      </c>
      <c r="L42" s="50">
        <v>0</v>
      </c>
      <c r="M42" s="50">
        <v>67</v>
      </c>
      <c r="N42" s="50">
        <v>0</v>
      </c>
      <c r="O42" s="15">
        <f t="shared" si="0"/>
        <v>186</v>
      </c>
      <c r="P42" s="15">
        <f t="shared" si="1"/>
        <v>253</v>
      </c>
      <c r="R42" s="5" t="s">
        <v>160</v>
      </c>
      <c r="S42" s="48">
        <f>S41/S40</f>
        <v>1.5067437379576107</v>
      </c>
      <c r="T42" s="48">
        <f t="shared" ref="T42:AF42" si="34">T41/T40</f>
        <v>1.5114995400183993</v>
      </c>
      <c r="U42" s="48">
        <f t="shared" si="34"/>
        <v>1.7643312101910829</v>
      </c>
      <c r="V42" s="48">
        <f t="shared" si="34"/>
        <v>1.5304659498207884</v>
      </c>
      <c r="W42" s="48">
        <f t="shared" si="34"/>
        <v>1.0333333333333334</v>
      </c>
      <c r="X42" s="48">
        <f t="shared" si="34"/>
        <v>4</v>
      </c>
      <c r="Y42" s="48">
        <f t="shared" si="34"/>
        <v>1.0757575757575757</v>
      </c>
      <c r="Z42" s="48">
        <f t="shared" si="34"/>
        <v>1.360655737704918</v>
      </c>
      <c r="AA42" s="48">
        <f t="shared" si="34"/>
        <v>1.65</v>
      </c>
      <c r="AB42" s="48">
        <f t="shared" si="34"/>
        <v>1</v>
      </c>
      <c r="AC42" s="48">
        <f t="shared" si="34"/>
        <v>1.5626598465473145</v>
      </c>
      <c r="AD42" s="48" t="e">
        <f t="shared" si="34"/>
        <v>#DIV/0!</v>
      </c>
      <c r="AE42" s="48">
        <f t="shared" si="34"/>
        <v>1.499715343011671</v>
      </c>
      <c r="AF42" s="48">
        <f t="shared" si="34"/>
        <v>1.5173614667622657</v>
      </c>
    </row>
    <row r="43" spans="2:32" ht="23.1" customHeight="1" x14ac:dyDescent="0.25">
      <c r="B43" s="45" t="s">
        <v>70</v>
      </c>
      <c r="C43" s="50">
        <v>140</v>
      </c>
      <c r="D43" s="50">
        <v>35</v>
      </c>
      <c r="E43" s="50">
        <v>5</v>
      </c>
      <c r="F43" s="50">
        <v>2</v>
      </c>
      <c r="G43" s="50">
        <v>0</v>
      </c>
      <c r="H43" s="50">
        <v>0</v>
      </c>
      <c r="I43" s="50">
        <v>8</v>
      </c>
      <c r="J43" s="50">
        <v>2</v>
      </c>
      <c r="K43" s="50">
        <v>0</v>
      </c>
      <c r="L43" s="50">
        <v>0</v>
      </c>
      <c r="M43" s="50">
        <v>55</v>
      </c>
      <c r="N43" s="50">
        <v>0</v>
      </c>
      <c r="O43" s="15">
        <f t="shared" si="0"/>
        <v>192</v>
      </c>
      <c r="P43" s="15">
        <f t="shared" si="1"/>
        <v>247</v>
      </c>
    </row>
    <row r="44" spans="2:32" ht="23.1" customHeight="1" x14ac:dyDescent="0.25">
      <c r="B44" s="47" t="s">
        <v>71</v>
      </c>
      <c r="C44" s="50">
        <v>139</v>
      </c>
      <c r="D44" s="50">
        <v>12</v>
      </c>
      <c r="E44" s="50">
        <v>6</v>
      </c>
      <c r="F44" s="50">
        <v>2</v>
      </c>
      <c r="G44" s="50">
        <v>0</v>
      </c>
      <c r="H44" s="50">
        <v>0</v>
      </c>
      <c r="I44" s="50">
        <v>7</v>
      </c>
      <c r="J44" s="50">
        <v>1</v>
      </c>
      <c r="K44" s="50">
        <v>2</v>
      </c>
      <c r="L44" s="50">
        <v>0</v>
      </c>
      <c r="M44" s="50">
        <v>73</v>
      </c>
      <c r="N44" s="50">
        <v>0</v>
      </c>
      <c r="O44" s="15">
        <f t="shared" si="0"/>
        <v>169</v>
      </c>
      <c r="P44" s="15">
        <f t="shared" si="1"/>
        <v>242</v>
      </c>
    </row>
    <row r="45" spans="2:32" ht="23.1" customHeight="1" x14ac:dyDescent="0.25">
      <c r="B45" s="45" t="s">
        <v>72</v>
      </c>
      <c r="C45" s="50">
        <v>155</v>
      </c>
      <c r="D45" s="50">
        <v>26</v>
      </c>
      <c r="E45" s="50">
        <v>3</v>
      </c>
      <c r="F45" s="50">
        <v>7</v>
      </c>
      <c r="G45" s="50">
        <v>1</v>
      </c>
      <c r="H45" s="50">
        <v>0</v>
      </c>
      <c r="I45" s="50">
        <v>3</v>
      </c>
      <c r="J45" s="50">
        <v>2</v>
      </c>
      <c r="K45" s="50">
        <v>0</v>
      </c>
      <c r="L45" s="50">
        <v>0</v>
      </c>
      <c r="M45" s="50">
        <v>76</v>
      </c>
      <c r="N45" s="50">
        <v>0</v>
      </c>
      <c r="O45" s="15">
        <f t="shared" si="0"/>
        <v>197</v>
      </c>
      <c r="P45" s="15">
        <f t="shared" si="1"/>
        <v>273</v>
      </c>
    </row>
    <row r="46" spans="2:32" ht="23.1" customHeight="1" x14ac:dyDescent="0.25">
      <c r="B46" s="46" t="s">
        <v>73</v>
      </c>
      <c r="C46" s="50">
        <v>110</v>
      </c>
      <c r="D46" s="50">
        <v>20</v>
      </c>
      <c r="E46" s="50">
        <v>4</v>
      </c>
      <c r="F46" s="50">
        <v>5</v>
      </c>
      <c r="G46" s="50">
        <v>0</v>
      </c>
      <c r="H46" s="50">
        <v>0</v>
      </c>
      <c r="I46" s="50">
        <v>8</v>
      </c>
      <c r="J46" s="50">
        <v>2</v>
      </c>
      <c r="K46" s="50">
        <v>2</v>
      </c>
      <c r="L46" s="50">
        <v>0</v>
      </c>
      <c r="M46" s="50">
        <v>53</v>
      </c>
      <c r="N46" s="50">
        <v>0</v>
      </c>
      <c r="O46" s="15">
        <f t="shared" si="0"/>
        <v>151</v>
      </c>
      <c r="P46" s="15">
        <f t="shared" si="1"/>
        <v>204</v>
      </c>
      <c r="R46" s="8"/>
      <c r="T46"/>
    </row>
    <row r="47" spans="2:32" ht="23.1" customHeight="1" x14ac:dyDescent="0.25">
      <c r="B47" s="46" t="s">
        <v>74</v>
      </c>
      <c r="C47" s="50">
        <v>185</v>
      </c>
      <c r="D47" s="50">
        <v>27</v>
      </c>
      <c r="E47" s="50">
        <v>7</v>
      </c>
      <c r="F47" s="50">
        <v>5</v>
      </c>
      <c r="G47" s="50">
        <v>0</v>
      </c>
      <c r="H47" s="50">
        <v>0</v>
      </c>
      <c r="I47" s="50">
        <v>6</v>
      </c>
      <c r="J47" s="50">
        <v>1</v>
      </c>
      <c r="K47" s="50">
        <v>0</v>
      </c>
      <c r="L47" s="50">
        <v>0</v>
      </c>
      <c r="M47" s="50">
        <v>66</v>
      </c>
      <c r="N47" s="50">
        <v>0</v>
      </c>
      <c r="O47" s="15">
        <f t="shared" si="0"/>
        <v>231</v>
      </c>
      <c r="P47" s="15">
        <f t="shared" si="1"/>
        <v>297</v>
      </c>
      <c r="R47" s="8"/>
      <c r="T47"/>
    </row>
    <row r="48" spans="2:32" ht="23.1" customHeight="1" x14ac:dyDescent="0.25">
      <c r="B48" s="46" t="s">
        <v>75</v>
      </c>
      <c r="C48" s="50">
        <v>158</v>
      </c>
      <c r="D48" s="50">
        <v>24</v>
      </c>
      <c r="E48" s="50">
        <v>3</v>
      </c>
      <c r="F48" s="50">
        <v>7</v>
      </c>
      <c r="G48" s="50">
        <v>2</v>
      </c>
      <c r="H48" s="50">
        <v>0</v>
      </c>
      <c r="I48" s="50">
        <v>5</v>
      </c>
      <c r="J48" s="50">
        <v>2</v>
      </c>
      <c r="K48" s="50">
        <v>0</v>
      </c>
      <c r="L48" s="50">
        <v>0</v>
      </c>
      <c r="M48" s="50">
        <v>73</v>
      </c>
      <c r="N48" s="50">
        <v>0</v>
      </c>
      <c r="O48" s="15">
        <f t="shared" si="0"/>
        <v>201</v>
      </c>
      <c r="P48" s="15">
        <f t="shared" si="1"/>
        <v>274</v>
      </c>
      <c r="R48" s="8"/>
      <c r="T48"/>
    </row>
    <row r="49" spans="2:20" ht="23.1" customHeight="1" x14ac:dyDescent="0.25">
      <c r="B49" s="45" t="s">
        <v>76</v>
      </c>
      <c r="C49" s="50">
        <v>170</v>
      </c>
      <c r="D49" s="50">
        <v>29</v>
      </c>
      <c r="E49" s="50">
        <v>1</v>
      </c>
      <c r="F49" s="50">
        <v>9</v>
      </c>
      <c r="G49" s="50">
        <v>2</v>
      </c>
      <c r="H49" s="50">
        <v>0</v>
      </c>
      <c r="I49" s="50">
        <v>4</v>
      </c>
      <c r="J49" s="50">
        <v>1</v>
      </c>
      <c r="K49" s="50">
        <v>0</v>
      </c>
      <c r="L49" s="50">
        <v>0</v>
      </c>
      <c r="M49" s="50">
        <v>74</v>
      </c>
      <c r="N49" s="50">
        <v>0</v>
      </c>
      <c r="O49" s="15">
        <f t="shared" si="0"/>
        <v>216</v>
      </c>
      <c r="P49" s="15">
        <f t="shared" si="1"/>
        <v>290</v>
      </c>
      <c r="R49" s="8"/>
      <c r="T49"/>
    </row>
    <row r="50" spans="2:20" ht="23.1" customHeight="1" x14ac:dyDescent="0.25">
      <c r="B50" s="46" t="s">
        <v>77</v>
      </c>
      <c r="C50" s="50">
        <v>130</v>
      </c>
      <c r="D50" s="50">
        <v>27</v>
      </c>
      <c r="E50" s="50">
        <v>4</v>
      </c>
      <c r="F50" s="50">
        <v>7</v>
      </c>
      <c r="G50" s="50">
        <v>1</v>
      </c>
      <c r="H50" s="50">
        <v>0</v>
      </c>
      <c r="I50" s="50">
        <v>5</v>
      </c>
      <c r="J50" s="50">
        <v>2</v>
      </c>
      <c r="K50" s="50">
        <v>1</v>
      </c>
      <c r="L50" s="50">
        <v>0</v>
      </c>
      <c r="M50" s="50">
        <v>60</v>
      </c>
      <c r="N50" s="50">
        <v>0</v>
      </c>
      <c r="O50" s="15">
        <f t="shared" si="0"/>
        <v>177</v>
      </c>
      <c r="P50" s="15">
        <f t="shared" si="1"/>
        <v>237</v>
      </c>
      <c r="R50" s="8"/>
      <c r="T50"/>
    </row>
    <row r="51" spans="2:20" ht="23.1" customHeight="1" x14ac:dyDescent="0.25">
      <c r="B51" s="46" t="s">
        <v>78</v>
      </c>
      <c r="C51" s="50">
        <v>145</v>
      </c>
      <c r="D51" s="50">
        <v>15</v>
      </c>
      <c r="E51" s="50">
        <v>1</v>
      </c>
      <c r="F51" s="50">
        <v>5</v>
      </c>
      <c r="G51" s="50">
        <v>0</v>
      </c>
      <c r="H51" s="50">
        <v>0</v>
      </c>
      <c r="I51" s="50">
        <v>1</v>
      </c>
      <c r="J51" s="50">
        <v>8</v>
      </c>
      <c r="K51" s="50">
        <v>1</v>
      </c>
      <c r="L51" s="50">
        <v>0</v>
      </c>
      <c r="M51" s="50">
        <v>47</v>
      </c>
      <c r="N51" s="50">
        <v>0</v>
      </c>
      <c r="O51" s="15">
        <f t="shared" si="0"/>
        <v>176</v>
      </c>
      <c r="P51" s="15">
        <f t="shared" si="1"/>
        <v>223</v>
      </c>
      <c r="R51" s="8"/>
      <c r="T51"/>
    </row>
    <row r="52" spans="2:20" ht="23.1" customHeight="1" x14ac:dyDescent="0.25">
      <c r="B52" s="46" t="s">
        <v>79</v>
      </c>
      <c r="C52" s="50">
        <v>115</v>
      </c>
      <c r="D52" s="50">
        <v>20</v>
      </c>
      <c r="E52" s="50">
        <v>3</v>
      </c>
      <c r="F52" s="50">
        <v>7</v>
      </c>
      <c r="G52" s="50">
        <v>2</v>
      </c>
      <c r="H52" s="50">
        <v>0</v>
      </c>
      <c r="I52" s="50">
        <v>6</v>
      </c>
      <c r="J52" s="50">
        <v>1</v>
      </c>
      <c r="K52" s="50">
        <v>1</v>
      </c>
      <c r="L52" s="50">
        <v>0</v>
      </c>
      <c r="M52" s="50">
        <v>44</v>
      </c>
      <c r="N52" s="50">
        <v>0</v>
      </c>
      <c r="O52" s="15">
        <f t="shared" si="0"/>
        <v>155</v>
      </c>
      <c r="P52" s="15">
        <f t="shared" si="1"/>
        <v>199</v>
      </c>
      <c r="R52" s="8"/>
      <c r="T52"/>
    </row>
    <row r="53" spans="2:20" ht="23.1" customHeight="1" x14ac:dyDescent="0.25">
      <c r="B53" s="45" t="s">
        <v>80</v>
      </c>
      <c r="C53" s="50">
        <v>100</v>
      </c>
      <c r="D53" s="50">
        <v>17</v>
      </c>
      <c r="E53" s="50">
        <v>1</v>
      </c>
      <c r="F53" s="50">
        <v>7</v>
      </c>
      <c r="G53" s="50">
        <v>1</v>
      </c>
      <c r="H53" s="50">
        <v>0</v>
      </c>
      <c r="I53" s="50">
        <v>5</v>
      </c>
      <c r="J53" s="50">
        <v>0</v>
      </c>
      <c r="K53" s="50">
        <v>0</v>
      </c>
      <c r="L53" s="50">
        <v>1</v>
      </c>
      <c r="M53" s="50">
        <v>48</v>
      </c>
      <c r="N53" s="50">
        <v>0</v>
      </c>
      <c r="O53" s="15">
        <f t="shared" si="0"/>
        <v>132</v>
      </c>
      <c r="P53" s="15">
        <f t="shared" si="1"/>
        <v>180</v>
      </c>
      <c r="R53" s="8"/>
      <c r="T53"/>
    </row>
    <row r="54" spans="2:20" ht="23.1" customHeight="1" x14ac:dyDescent="0.25">
      <c r="B54" s="45" t="s">
        <v>81</v>
      </c>
      <c r="C54" s="50">
        <v>131</v>
      </c>
      <c r="D54" s="50">
        <v>26</v>
      </c>
      <c r="E54" s="50">
        <v>3</v>
      </c>
      <c r="F54" s="50">
        <v>7</v>
      </c>
      <c r="G54" s="50">
        <v>2</v>
      </c>
      <c r="H54" s="50">
        <v>0</v>
      </c>
      <c r="I54" s="50">
        <v>2</v>
      </c>
      <c r="J54" s="50">
        <v>2</v>
      </c>
      <c r="K54" s="50">
        <v>0</v>
      </c>
      <c r="L54" s="50">
        <v>0</v>
      </c>
      <c r="M54" s="50">
        <v>50</v>
      </c>
      <c r="N54" s="50">
        <v>0</v>
      </c>
      <c r="O54" s="15">
        <f t="shared" si="0"/>
        <v>173</v>
      </c>
      <c r="P54" s="15">
        <f t="shared" si="1"/>
        <v>223</v>
      </c>
      <c r="R54" s="8"/>
      <c r="T54"/>
    </row>
    <row r="55" spans="2:20" ht="23.1" customHeight="1" x14ac:dyDescent="0.25">
      <c r="B55" s="45" t="s">
        <v>82</v>
      </c>
      <c r="C55" s="50">
        <v>115</v>
      </c>
      <c r="D55" s="50">
        <v>19</v>
      </c>
      <c r="E55" s="50">
        <v>3</v>
      </c>
      <c r="F55" s="50">
        <v>6</v>
      </c>
      <c r="G55" s="50">
        <v>1</v>
      </c>
      <c r="H55" s="50">
        <v>0</v>
      </c>
      <c r="I55" s="50">
        <v>3</v>
      </c>
      <c r="J55" s="50">
        <v>0</v>
      </c>
      <c r="K55" s="50">
        <v>0</v>
      </c>
      <c r="L55" s="50">
        <v>0</v>
      </c>
      <c r="M55" s="50">
        <v>42</v>
      </c>
      <c r="N55" s="50">
        <v>0</v>
      </c>
      <c r="O55" s="15">
        <f t="shared" si="0"/>
        <v>147</v>
      </c>
      <c r="P55" s="15">
        <f t="shared" si="1"/>
        <v>189</v>
      </c>
      <c r="R55" s="8"/>
      <c r="T55"/>
    </row>
    <row r="56" spans="2:20" ht="23.1" customHeight="1" x14ac:dyDescent="0.25">
      <c r="B56" s="45" t="s">
        <v>83</v>
      </c>
      <c r="C56" s="50">
        <v>145</v>
      </c>
      <c r="D56" s="50">
        <v>31</v>
      </c>
      <c r="E56" s="50">
        <v>1</v>
      </c>
      <c r="F56" s="50">
        <v>7</v>
      </c>
      <c r="G56" s="50">
        <v>2</v>
      </c>
      <c r="H56" s="50">
        <v>0</v>
      </c>
      <c r="I56" s="50">
        <v>5</v>
      </c>
      <c r="J56" s="50">
        <v>2</v>
      </c>
      <c r="K56" s="50">
        <v>1</v>
      </c>
      <c r="L56" s="50">
        <v>0</v>
      </c>
      <c r="M56" s="50">
        <v>39</v>
      </c>
      <c r="N56" s="50">
        <v>0</v>
      </c>
      <c r="O56" s="15">
        <f t="shared" si="0"/>
        <v>194</v>
      </c>
      <c r="P56" s="15">
        <f t="shared" si="1"/>
        <v>233</v>
      </c>
      <c r="R56" s="8"/>
      <c r="T56"/>
    </row>
    <row r="57" spans="2:20" ht="23.1" customHeight="1" x14ac:dyDescent="0.25">
      <c r="B57" s="45" t="s">
        <v>84</v>
      </c>
      <c r="C57" s="50">
        <v>98</v>
      </c>
      <c r="D57" s="50">
        <v>35</v>
      </c>
      <c r="E57" s="50">
        <v>3</v>
      </c>
      <c r="F57" s="50">
        <v>4</v>
      </c>
      <c r="G57" s="50">
        <v>4</v>
      </c>
      <c r="H57" s="50">
        <v>0</v>
      </c>
      <c r="I57" s="50">
        <v>5</v>
      </c>
      <c r="J57" s="50">
        <v>0</v>
      </c>
      <c r="K57" s="50">
        <v>0</v>
      </c>
      <c r="L57" s="50">
        <v>0</v>
      </c>
      <c r="M57" s="50">
        <v>49</v>
      </c>
      <c r="N57" s="50">
        <v>0</v>
      </c>
      <c r="O57" s="15">
        <f t="shared" si="0"/>
        <v>149</v>
      </c>
      <c r="P57" s="15">
        <f t="shared" si="1"/>
        <v>198</v>
      </c>
      <c r="R57" s="8"/>
      <c r="T57"/>
    </row>
    <row r="58" spans="2:20" ht="23.1" customHeight="1" x14ac:dyDescent="0.25">
      <c r="B58" s="45" t="s">
        <v>99</v>
      </c>
      <c r="C58" s="50">
        <v>135</v>
      </c>
      <c r="D58" s="50">
        <v>31</v>
      </c>
      <c r="E58" s="50">
        <v>5</v>
      </c>
      <c r="F58" s="50">
        <v>10</v>
      </c>
      <c r="G58" s="50">
        <v>0</v>
      </c>
      <c r="H58" s="50">
        <v>2</v>
      </c>
      <c r="I58" s="50">
        <v>2</v>
      </c>
      <c r="J58" s="50">
        <v>1</v>
      </c>
      <c r="K58" s="50">
        <v>0</v>
      </c>
      <c r="L58" s="50">
        <v>0</v>
      </c>
      <c r="M58" s="50">
        <v>77</v>
      </c>
      <c r="N58" s="50">
        <v>0</v>
      </c>
      <c r="O58" s="15">
        <f t="shared" si="0"/>
        <v>186</v>
      </c>
      <c r="P58" s="15">
        <f t="shared" si="1"/>
        <v>263</v>
      </c>
      <c r="R58" s="8"/>
      <c r="T58"/>
    </row>
    <row r="59" spans="2:20" ht="23.1" customHeight="1" x14ac:dyDescent="0.25">
      <c r="B59" s="45" t="s">
        <v>100</v>
      </c>
      <c r="C59" s="50">
        <v>56</v>
      </c>
      <c r="D59" s="50">
        <v>13</v>
      </c>
      <c r="E59" s="50">
        <v>1</v>
      </c>
      <c r="F59" s="50">
        <v>4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90</v>
      </c>
      <c r="N59" s="50">
        <v>0</v>
      </c>
      <c r="O59" s="15">
        <f t="shared" si="0"/>
        <v>74</v>
      </c>
      <c r="P59" s="15">
        <f t="shared" si="1"/>
        <v>164</v>
      </c>
      <c r="R59" s="8"/>
      <c r="T59"/>
    </row>
    <row r="60" spans="2:20" ht="23.1" customHeight="1" x14ac:dyDescent="0.25">
      <c r="B60" s="45" t="s">
        <v>101</v>
      </c>
      <c r="C60" s="50">
        <v>95</v>
      </c>
      <c r="D60" s="50">
        <v>17</v>
      </c>
      <c r="E60" s="50">
        <v>1</v>
      </c>
      <c r="F60" s="50">
        <v>7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78</v>
      </c>
      <c r="N60" s="50">
        <v>0</v>
      </c>
      <c r="O60" s="15">
        <f t="shared" si="0"/>
        <v>120</v>
      </c>
      <c r="P60" s="15">
        <f t="shared" si="1"/>
        <v>198</v>
      </c>
      <c r="R60" s="8"/>
      <c r="T60"/>
    </row>
    <row r="61" spans="2:20" ht="23.1" customHeight="1" x14ac:dyDescent="0.25">
      <c r="B61" s="45" t="s">
        <v>102</v>
      </c>
      <c r="C61" s="50">
        <v>135</v>
      </c>
      <c r="D61" s="50">
        <v>27</v>
      </c>
      <c r="E61" s="50">
        <v>7</v>
      </c>
      <c r="F61" s="50">
        <v>16</v>
      </c>
      <c r="G61" s="50">
        <v>0</v>
      </c>
      <c r="H61" s="50">
        <v>1</v>
      </c>
      <c r="I61" s="50">
        <v>2</v>
      </c>
      <c r="J61" s="50">
        <v>2</v>
      </c>
      <c r="K61" s="50">
        <v>0</v>
      </c>
      <c r="L61" s="50">
        <v>0</v>
      </c>
      <c r="M61" s="50">
        <v>121</v>
      </c>
      <c r="N61" s="50">
        <v>0</v>
      </c>
      <c r="O61" s="15">
        <f t="shared" si="0"/>
        <v>190</v>
      </c>
      <c r="P61" s="15">
        <f t="shared" si="1"/>
        <v>311</v>
      </c>
      <c r="R61" s="8"/>
      <c r="T61"/>
    </row>
    <row r="62" spans="2:20" ht="23.1" customHeight="1" x14ac:dyDescent="0.25">
      <c r="B62" s="45" t="s">
        <v>107</v>
      </c>
      <c r="C62" s="50">
        <v>36</v>
      </c>
      <c r="D62" s="50">
        <v>21</v>
      </c>
      <c r="E62" s="50">
        <v>2</v>
      </c>
      <c r="F62" s="50">
        <v>21</v>
      </c>
      <c r="G62" s="50">
        <v>0</v>
      </c>
      <c r="H62" s="50">
        <v>1</v>
      </c>
      <c r="I62" s="50">
        <v>1</v>
      </c>
      <c r="J62" s="50">
        <v>2</v>
      </c>
      <c r="K62" s="50">
        <v>0</v>
      </c>
      <c r="L62" s="50">
        <v>0</v>
      </c>
      <c r="M62" s="50">
        <v>129</v>
      </c>
      <c r="N62" s="50">
        <v>0</v>
      </c>
      <c r="O62" s="15">
        <f t="shared" si="0"/>
        <v>84</v>
      </c>
      <c r="P62" s="15">
        <f t="shared" si="1"/>
        <v>213</v>
      </c>
      <c r="R62" s="8"/>
      <c r="T62"/>
    </row>
    <row r="63" spans="2:20" ht="23.1" customHeight="1" x14ac:dyDescent="0.25">
      <c r="B63" s="45" t="s">
        <v>108</v>
      </c>
      <c r="C63" s="50">
        <v>158</v>
      </c>
      <c r="D63" s="50">
        <v>11</v>
      </c>
      <c r="E63" s="50">
        <v>0</v>
      </c>
      <c r="F63" s="50">
        <v>31</v>
      </c>
      <c r="G63" s="50">
        <v>1</v>
      </c>
      <c r="H63" s="50">
        <v>0</v>
      </c>
      <c r="I63" s="50">
        <v>1</v>
      </c>
      <c r="J63" s="50">
        <v>0</v>
      </c>
      <c r="K63" s="50">
        <v>1</v>
      </c>
      <c r="L63" s="50">
        <v>0</v>
      </c>
      <c r="M63" s="50">
        <v>152</v>
      </c>
      <c r="N63" s="50">
        <v>0</v>
      </c>
      <c r="O63" s="15">
        <f t="shared" si="0"/>
        <v>203</v>
      </c>
      <c r="P63" s="15">
        <f t="shared" si="1"/>
        <v>355</v>
      </c>
      <c r="R63" s="8"/>
      <c r="T63"/>
    </row>
    <row r="64" spans="2:20" ht="23.1" customHeight="1" x14ac:dyDescent="0.25">
      <c r="B64" s="45" t="s">
        <v>109</v>
      </c>
      <c r="C64" s="50">
        <v>135</v>
      </c>
      <c r="D64" s="50">
        <v>27</v>
      </c>
      <c r="E64" s="50">
        <v>6</v>
      </c>
      <c r="F64" s="50">
        <v>3</v>
      </c>
      <c r="G64" s="50">
        <v>0</v>
      </c>
      <c r="H64" s="50">
        <v>0</v>
      </c>
      <c r="I64" s="50">
        <v>1</v>
      </c>
      <c r="J64" s="50">
        <v>0</v>
      </c>
      <c r="K64" s="50">
        <v>0</v>
      </c>
      <c r="L64" s="50">
        <v>0</v>
      </c>
      <c r="M64" s="50">
        <v>105</v>
      </c>
      <c r="N64" s="50">
        <v>0</v>
      </c>
      <c r="O64" s="15">
        <f t="shared" si="0"/>
        <v>172</v>
      </c>
      <c r="P64" s="15">
        <f t="shared" si="1"/>
        <v>277</v>
      </c>
      <c r="R64" s="8"/>
      <c r="T64"/>
    </row>
    <row r="65" spans="2:20" ht="23.1" customHeight="1" x14ac:dyDescent="0.25">
      <c r="B65" s="45" t="s">
        <v>158</v>
      </c>
      <c r="C65" s="50">
        <v>129</v>
      </c>
      <c r="D65" s="50">
        <v>40</v>
      </c>
      <c r="E65" s="50">
        <v>6</v>
      </c>
      <c r="F65" s="50">
        <v>7</v>
      </c>
      <c r="G65" s="50">
        <v>0</v>
      </c>
      <c r="H65" s="50">
        <v>0</v>
      </c>
      <c r="I65" s="50">
        <v>2</v>
      </c>
      <c r="J65" s="50">
        <v>1</v>
      </c>
      <c r="K65" s="50">
        <v>0</v>
      </c>
      <c r="L65" s="50">
        <v>0</v>
      </c>
      <c r="M65" s="50">
        <v>103</v>
      </c>
      <c r="N65" s="50">
        <v>0</v>
      </c>
      <c r="O65" s="15">
        <f t="shared" si="0"/>
        <v>185</v>
      </c>
      <c r="P65" s="15">
        <f t="shared" si="1"/>
        <v>288</v>
      </c>
      <c r="R65" s="8"/>
      <c r="T65"/>
    </row>
    <row r="66" spans="2:20" ht="23.1" customHeight="1" x14ac:dyDescent="0.25">
      <c r="B66" s="45" t="s">
        <v>103</v>
      </c>
      <c r="C66" s="50">
        <v>110</v>
      </c>
      <c r="D66" s="50">
        <v>40</v>
      </c>
      <c r="E66" s="50">
        <v>2</v>
      </c>
      <c r="F66" s="50">
        <v>3</v>
      </c>
      <c r="G66" s="50">
        <v>0</v>
      </c>
      <c r="H66" s="50">
        <v>0</v>
      </c>
      <c r="I66" s="50">
        <v>0</v>
      </c>
      <c r="J66" s="50">
        <v>1</v>
      </c>
      <c r="K66" s="50">
        <v>1</v>
      </c>
      <c r="L66" s="50">
        <v>0</v>
      </c>
      <c r="M66" s="50">
        <v>52</v>
      </c>
      <c r="N66" s="50">
        <v>0</v>
      </c>
      <c r="O66" s="15">
        <f t="shared" si="0"/>
        <v>157</v>
      </c>
      <c r="P66" s="15">
        <f t="shared" si="1"/>
        <v>209</v>
      </c>
      <c r="R66" s="8"/>
      <c r="T66"/>
    </row>
    <row r="67" spans="2:20" ht="23.1" customHeight="1" x14ac:dyDescent="0.25">
      <c r="B67" s="45" t="s">
        <v>104</v>
      </c>
      <c r="C67" s="50">
        <v>140</v>
      </c>
      <c r="D67" s="50">
        <v>23</v>
      </c>
      <c r="E67" s="50">
        <v>15</v>
      </c>
      <c r="F67" s="50">
        <v>6</v>
      </c>
      <c r="G67" s="50">
        <v>0</v>
      </c>
      <c r="H67" s="50">
        <v>0</v>
      </c>
      <c r="I67" s="50">
        <v>1</v>
      </c>
      <c r="J67" s="50">
        <v>2</v>
      </c>
      <c r="K67" s="50">
        <v>0</v>
      </c>
      <c r="L67" s="50">
        <v>0</v>
      </c>
      <c r="M67" s="50">
        <v>51</v>
      </c>
      <c r="N67" s="50">
        <v>0</v>
      </c>
      <c r="O67" s="15">
        <f t="shared" si="0"/>
        <v>187</v>
      </c>
      <c r="P67" s="15">
        <f t="shared" si="1"/>
        <v>238</v>
      </c>
      <c r="R67" s="8"/>
      <c r="T67"/>
    </row>
    <row r="68" spans="2:20" ht="23.1" customHeight="1" x14ac:dyDescent="0.25">
      <c r="B68" s="45" t="s">
        <v>105</v>
      </c>
      <c r="C68" s="50">
        <v>128</v>
      </c>
      <c r="D68" s="50">
        <v>28</v>
      </c>
      <c r="E68" s="50">
        <v>10</v>
      </c>
      <c r="F68" s="50">
        <v>5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34</v>
      </c>
      <c r="N68" s="50">
        <v>0</v>
      </c>
      <c r="O68" s="15">
        <f t="shared" si="0"/>
        <v>171</v>
      </c>
      <c r="P68" s="15">
        <f t="shared" si="1"/>
        <v>205</v>
      </c>
      <c r="R68" s="8"/>
      <c r="T68"/>
    </row>
    <row r="69" spans="2:20" ht="23.1" customHeight="1" x14ac:dyDescent="0.25">
      <c r="B69" s="45" t="s">
        <v>106</v>
      </c>
      <c r="C69" s="50">
        <v>135</v>
      </c>
      <c r="D69" s="50">
        <v>28</v>
      </c>
      <c r="E69" s="50">
        <v>5</v>
      </c>
      <c r="F69" s="50">
        <v>5</v>
      </c>
      <c r="G69" s="50">
        <v>0</v>
      </c>
      <c r="H69" s="50">
        <v>0</v>
      </c>
      <c r="I69" s="50">
        <v>0</v>
      </c>
      <c r="J69" s="50">
        <v>1</v>
      </c>
      <c r="K69" s="50">
        <v>0</v>
      </c>
      <c r="L69" s="50">
        <v>0</v>
      </c>
      <c r="M69" s="50">
        <v>76</v>
      </c>
      <c r="N69" s="50">
        <v>0</v>
      </c>
      <c r="O69" s="15">
        <f t="shared" si="0"/>
        <v>174</v>
      </c>
      <c r="P69" s="15">
        <f t="shared" si="1"/>
        <v>250</v>
      </c>
      <c r="R69" s="8"/>
      <c r="T69"/>
    </row>
    <row r="70" spans="2:20" ht="23.1" customHeight="1" x14ac:dyDescent="0.25">
      <c r="B70" s="45" t="s">
        <v>110</v>
      </c>
      <c r="C70" s="50">
        <v>82</v>
      </c>
      <c r="D70" s="50">
        <v>15</v>
      </c>
      <c r="E70" s="50">
        <v>7</v>
      </c>
      <c r="F70" s="50">
        <v>0</v>
      </c>
      <c r="G70" s="50">
        <v>0</v>
      </c>
      <c r="H70" s="50">
        <v>0</v>
      </c>
      <c r="I70" s="50">
        <v>1</v>
      </c>
      <c r="J70" s="50">
        <v>0</v>
      </c>
      <c r="K70" s="50">
        <v>1</v>
      </c>
      <c r="L70" s="50">
        <v>0</v>
      </c>
      <c r="M70" s="50">
        <v>53</v>
      </c>
      <c r="N70" s="50">
        <v>0</v>
      </c>
      <c r="O70" s="15">
        <f t="shared" si="0"/>
        <v>106</v>
      </c>
      <c r="P70" s="15">
        <f t="shared" si="1"/>
        <v>159</v>
      </c>
      <c r="R70" s="8"/>
      <c r="T70"/>
    </row>
    <row r="71" spans="2:20" ht="23.1" customHeight="1" x14ac:dyDescent="0.25">
      <c r="B71" s="45" t="s">
        <v>111</v>
      </c>
      <c r="C71" s="50">
        <v>125</v>
      </c>
      <c r="D71" s="50">
        <v>8</v>
      </c>
      <c r="E71" s="50">
        <v>1</v>
      </c>
      <c r="F71" s="50">
        <v>0</v>
      </c>
      <c r="G71" s="50">
        <v>0</v>
      </c>
      <c r="H71" s="50">
        <v>0</v>
      </c>
      <c r="I71" s="50">
        <v>0</v>
      </c>
      <c r="J71" s="50">
        <v>1</v>
      </c>
      <c r="K71" s="50">
        <v>0</v>
      </c>
      <c r="L71" s="50">
        <v>0</v>
      </c>
      <c r="M71" s="50">
        <v>29</v>
      </c>
      <c r="N71" s="50">
        <v>0</v>
      </c>
      <c r="O71" s="15">
        <f t="shared" si="0"/>
        <v>135</v>
      </c>
      <c r="P71" s="15">
        <f t="shared" si="1"/>
        <v>164</v>
      </c>
      <c r="R71" s="8"/>
      <c r="T71"/>
    </row>
    <row r="72" spans="2:20" ht="23.1" customHeight="1" x14ac:dyDescent="0.25">
      <c r="B72" s="45" t="s">
        <v>112</v>
      </c>
      <c r="C72" s="50">
        <v>88</v>
      </c>
      <c r="D72" s="50">
        <v>12</v>
      </c>
      <c r="E72" s="50">
        <v>4</v>
      </c>
      <c r="F72" s="50">
        <v>0</v>
      </c>
      <c r="G72" s="50">
        <v>0</v>
      </c>
      <c r="H72" s="50">
        <v>1</v>
      </c>
      <c r="I72" s="50">
        <v>1</v>
      </c>
      <c r="J72" s="50">
        <v>1</v>
      </c>
      <c r="K72" s="50">
        <v>0</v>
      </c>
      <c r="L72" s="50">
        <v>0</v>
      </c>
      <c r="M72" s="50">
        <v>50</v>
      </c>
      <c r="N72" s="50">
        <v>0</v>
      </c>
      <c r="O72" s="15">
        <f t="shared" si="0"/>
        <v>107</v>
      </c>
      <c r="P72" s="15">
        <f t="shared" si="1"/>
        <v>157</v>
      </c>
      <c r="R72" s="8"/>
      <c r="T72"/>
    </row>
    <row r="73" spans="2:20" ht="23.1" customHeight="1" x14ac:dyDescent="0.25">
      <c r="B73" s="45" t="s">
        <v>113</v>
      </c>
      <c r="C73" s="50">
        <v>120</v>
      </c>
      <c r="D73" s="50">
        <v>32</v>
      </c>
      <c r="E73" s="50">
        <v>6</v>
      </c>
      <c r="F73" s="50">
        <v>3</v>
      </c>
      <c r="G73" s="50">
        <v>0</v>
      </c>
      <c r="H73" s="50">
        <v>0</v>
      </c>
      <c r="I73" s="50">
        <v>1</v>
      </c>
      <c r="J73" s="50">
        <v>0</v>
      </c>
      <c r="K73" s="50">
        <v>1</v>
      </c>
      <c r="L73" s="50">
        <v>0</v>
      </c>
      <c r="M73" s="50">
        <v>47</v>
      </c>
      <c r="N73" s="50">
        <v>0</v>
      </c>
      <c r="O73" s="15">
        <f t="shared" si="0"/>
        <v>163</v>
      </c>
      <c r="P73" s="15">
        <f t="shared" si="1"/>
        <v>210</v>
      </c>
      <c r="R73" s="8"/>
      <c r="T73"/>
    </row>
    <row r="74" spans="2:20" ht="23.1" customHeight="1" x14ac:dyDescent="0.25">
      <c r="B74" s="45" t="s">
        <v>114</v>
      </c>
      <c r="C74" s="50">
        <v>105</v>
      </c>
      <c r="D74" s="50">
        <v>17</v>
      </c>
      <c r="E74" s="50">
        <v>5</v>
      </c>
      <c r="F74" s="50">
        <v>1</v>
      </c>
      <c r="G74" s="50">
        <v>0</v>
      </c>
      <c r="H74" s="50">
        <v>0</v>
      </c>
      <c r="I74" s="50">
        <v>0</v>
      </c>
      <c r="J74" s="50">
        <v>1</v>
      </c>
      <c r="K74" s="50">
        <v>0</v>
      </c>
      <c r="L74" s="50">
        <v>0</v>
      </c>
      <c r="M74" s="50">
        <v>21</v>
      </c>
      <c r="N74" s="50">
        <v>0</v>
      </c>
      <c r="O74" s="15">
        <f t="shared" ref="O74:O105" si="35">SUM(C74:L74,N74)</f>
        <v>129</v>
      </c>
      <c r="P74" s="15">
        <f t="shared" ref="P74:P105" si="36">SUM(C74:N74)</f>
        <v>150</v>
      </c>
      <c r="R74" s="8"/>
      <c r="T74"/>
    </row>
    <row r="75" spans="2:20" ht="23.1" customHeight="1" x14ac:dyDescent="0.25">
      <c r="B75" s="45" t="s">
        <v>115</v>
      </c>
      <c r="C75" s="50">
        <v>125</v>
      </c>
      <c r="D75" s="50">
        <v>24</v>
      </c>
      <c r="E75" s="50">
        <v>4</v>
      </c>
      <c r="F75" s="50">
        <v>4</v>
      </c>
      <c r="G75" s="50">
        <v>0</v>
      </c>
      <c r="H75" s="50">
        <v>0</v>
      </c>
      <c r="I75" s="50">
        <v>1</v>
      </c>
      <c r="J75" s="50">
        <v>0</v>
      </c>
      <c r="K75" s="50">
        <v>0</v>
      </c>
      <c r="L75" s="50">
        <v>0</v>
      </c>
      <c r="M75" s="50">
        <v>40</v>
      </c>
      <c r="N75" s="50">
        <v>0</v>
      </c>
      <c r="O75" s="15">
        <f t="shared" si="35"/>
        <v>158</v>
      </c>
      <c r="P75" s="15">
        <f t="shared" si="36"/>
        <v>198</v>
      </c>
      <c r="R75" s="8"/>
      <c r="T75"/>
    </row>
    <row r="76" spans="2:20" ht="23.1" customHeight="1" x14ac:dyDescent="0.25">
      <c r="B76" s="45" t="s">
        <v>116</v>
      </c>
      <c r="C76" s="50">
        <v>88</v>
      </c>
      <c r="D76" s="50">
        <v>9</v>
      </c>
      <c r="E76" s="50">
        <v>3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36</v>
      </c>
      <c r="N76" s="50">
        <v>0</v>
      </c>
      <c r="O76" s="15">
        <f t="shared" si="35"/>
        <v>100</v>
      </c>
      <c r="P76" s="15">
        <f t="shared" si="36"/>
        <v>136</v>
      </c>
      <c r="R76" s="8"/>
      <c r="T76"/>
    </row>
    <row r="77" spans="2:20" ht="23.1" customHeight="1" x14ac:dyDescent="0.25">
      <c r="B77" s="45" t="s">
        <v>117</v>
      </c>
      <c r="C77" s="50">
        <v>63</v>
      </c>
      <c r="D77" s="50">
        <v>15</v>
      </c>
      <c r="E77" s="50">
        <v>2</v>
      </c>
      <c r="F77" s="50">
        <v>5</v>
      </c>
      <c r="G77" s="50">
        <v>0</v>
      </c>
      <c r="H77" s="50">
        <v>0</v>
      </c>
      <c r="I77" s="50">
        <v>0</v>
      </c>
      <c r="J77" s="50">
        <v>1</v>
      </c>
      <c r="K77" s="50">
        <v>0</v>
      </c>
      <c r="L77" s="50">
        <v>0</v>
      </c>
      <c r="M77" s="50">
        <v>32</v>
      </c>
      <c r="N77" s="50">
        <v>0</v>
      </c>
      <c r="O77" s="15">
        <f t="shared" si="35"/>
        <v>86</v>
      </c>
      <c r="P77" s="15">
        <f t="shared" si="36"/>
        <v>118</v>
      </c>
      <c r="R77" s="8"/>
      <c r="T77"/>
    </row>
    <row r="78" spans="2:20" ht="23.1" customHeight="1" x14ac:dyDescent="0.25">
      <c r="B78" s="46" t="s">
        <v>118</v>
      </c>
      <c r="C78" s="50">
        <v>45</v>
      </c>
      <c r="D78" s="50">
        <v>9</v>
      </c>
      <c r="E78" s="50">
        <v>2</v>
      </c>
      <c r="F78" s="50">
        <v>1</v>
      </c>
      <c r="G78" s="50">
        <v>0</v>
      </c>
      <c r="H78" s="50">
        <v>0</v>
      </c>
      <c r="I78" s="50">
        <v>0</v>
      </c>
      <c r="J78" s="50">
        <v>1</v>
      </c>
      <c r="K78" s="50">
        <v>0</v>
      </c>
      <c r="L78" s="50">
        <v>0</v>
      </c>
      <c r="M78" s="50">
        <v>16</v>
      </c>
      <c r="N78" s="50">
        <v>0</v>
      </c>
      <c r="O78" s="15">
        <f t="shared" si="35"/>
        <v>58</v>
      </c>
      <c r="P78" s="15">
        <f t="shared" si="36"/>
        <v>74</v>
      </c>
      <c r="R78" s="8"/>
      <c r="T78"/>
    </row>
    <row r="79" spans="2:20" ht="23.1" customHeight="1" x14ac:dyDescent="0.25">
      <c r="B79" s="45" t="s">
        <v>119</v>
      </c>
      <c r="C79" s="50">
        <v>47</v>
      </c>
      <c r="D79" s="50">
        <v>8</v>
      </c>
      <c r="E79" s="50">
        <v>5</v>
      </c>
      <c r="F79" s="50">
        <v>1</v>
      </c>
      <c r="G79" s="50">
        <v>0</v>
      </c>
      <c r="H79" s="50">
        <v>0</v>
      </c>
      <c r="I79" s="50">
        <v>0</v>
      </c>
      <c r="J79" s="50">
        <v>2</v>
      </c>
      <c r="K79" s="50">
        <v>0</v>
      </c>
      <c r="L79" s="50">
        <v>0</v>
      </c>
      <c r="M79" s="50">
        <v>15</v>
      </c>
      <c r="N79" s="50">
        <v>0</v>
      </c>
      <c r="O79" s="15">
        <f t="shared" si="35"/>
        <v>63</v>
      </c>
      <c r="P79" s="15">
        <f t="shared" si="36"/>
        <v>78</v>
      </c>
      <c r="R79" s="8"/>
      <c r="T79"/>
    </row>
    <row r="80" spans="2:20" ht="23.1" customHeight="1" x14ac:dyDescent="0.25">
      <c r="B80" s="47" t="s">
        <v>120</v>
      </c>
      <c r="C80" s="50">
        <v>20</v>
      </c>
      <c r="D80" s="50">
        <v>7</v>
      </c>
      <c r="E80" s="50">
        <v>1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6</v>
      </c>
      <c r="N80" s="50">
        <v>0</v>
      </c>
      <c r="O80" s="15">
        <f t="shared" si="35"/>
        <v>28</v>
      </c>
      <c r="P80" s="15">
        <f t="shared" si="36"/>
        <v>34</v>
      </c>
      <c r="R80" s="8"/>
      <c r="T80"/>
    </row>
    <row r="81" spans="2:20" ht="23.1" customHeight="1" x14ac:dyDescent="0.25">
      <c r="B81" s="45" t="s">
        <v>121</v>
      </c>
      <c r="C81" s="50">
        <v>31</v>
      </c>
      <c r="D81" s="50">
        <v>11</v>
      </c>
      <c r="E81" s="50">
        <v>5</v>
      </c>
      <c r="F81" s="50">
        <v>5</v>
      </c>
      <c r="G81" s="50">
        <v>0</v>
      </c>
      <c r="H81" s="50">
        <v>0</v>
      </c>
      <c r="I81" s="50">
        <v>0</v>
      </c>
      <c r="J81" s="50">
        <v>1</v>
      </c>
      <c r="K81" s="50">
        <v>9</v>
      </c>
      <c r="L81" s="50">
        <v>0</v>
      </c>
      <c r="M81" s="50">
        <v>9</v>
      </c>
      <c r="N81" s="50">
        <v>0</v>
      </c>
      <c r="O81" s="15">
        <f t="shared" si="35"/>
        <v>62</v>
      </c>
      <c r="P81" s="15">
        <f t="shared" si="36"/>
        <v>71</v>
      </c>
      <c r="R81" s="8"/>
      <c r="T81"/>
    </row>
    <row r="82" spans="2:20" ht="23.1" customHeight="1" x14ac:dyDescent="0.25">
      <c r="B82" s="46" t="s">
        <v>122</v>
      </c>
      <c r="C82" s="50">
        <v>16</v>
      </c>
      <c r="D82" s="50">
        <v>8</v>
      </c>
      <c r="E82" s="50">
        <v>2</v>
      </c>
      <c r="F82" s="50">
        <v>0</v>
      </c>
      <c r="G82" s="50">
        <v>0</v>
      </c>
      <c r="H82" s="50">
        <v>0</v>
      </c>
      <c r="I82" s="50">
        <v>0</v>
      </c>
      <c r="J82" s="50">
        <v>1</v>
      </c>
      <c r="K82" s="50">
        <v>0</v>
      </c>
      <c r="L82" s="50">
        <v>0</v>
      </c>
      <c r="M82" s="50">
        <v>14</v>
      </c>
      <c r="N82" s="50">
        <v>0</v>
      </c>
      <c r="O82" s="15">
        <f t="shared" si="35"/>
        <v>27</v>
      </c>
      <c r="P82" s="15">
        <f t="shared" si="36"/>
        <v>41</v>
      </c>
      <c r="R82" s="8"/>
      <c r="T82"/>
    </row>
    <row r="83" spans="2:20" ht="23.1" customHeight="1" x14ac:dyDescent="0.25">
      <c r="B83" s="45" t="s">
        <v>123</v>
      </c>
      <c r="C83" s="50">
        <v>20</v>
      </c>
      <c r="D83" s="50">
        <v>9</v>
      </c>
      <c r="E83" s="50">
        <v>1</v>
      </c>
      <c r="F83" s="50">
        <v>0</v>
      </c>
      <c r="G83" s="50">
        <v>0</v>
      </c>
      <c r="H83" s="50">
        <v>0</v>
      </c>
      <c r="I83" s="50">
        <v>0</v>
      </c>
      <c r="J83" s="50">
        <v>1</v>
      </c>
      <c r="K83" s="50">
        <v>0</v>
      </c>
      <c r="L83" s="50">
        <v>0</v>
      </c>
      <c r="M83" s="50">
        <v>3</v>
      </c>
      <c r="N83" s="50">
        <v>0</v>
      </c>
      <c r="O83" s="15">
        <f t="shared" si="35"/>
        <v>31</v>
      </c>
      <c r="P83" s="15">
        <f t="shared" si="36"/>
        <v>34</v>
      </c>
      <c r="R83" s="8"/>
      <c r="T83"/>
    </row>
    <row r="84" spans="2:20" ht="23.1" customHeight="1" x14ac:dyDescent="0.25">
      <c r="B84" s="47" t="s">
        <v>124</v>
      </c>
      <c r="C84" s="50">
        <v>20</v>
      </c>
      <c r="D84" s="50">
        <v>3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9</v>
      </c>
      <c r="N84" s="50">
        <v>0</v>
      </c>
      <c r="O84" s="15">
        <f t="shared" si="35"/>
        <v>23</v>
      </c>
      <c r="P84" s="15">
        <f t="shared" si="36"/>
        <v>32</v>
      </c>
      <c r="R84" s="8"/>
      <c r="T84"/>
    </row>
    <row r="85" spans="2:20" ht="23.1" customHeight="1" x14ac:dyDescent="0.25">
      <c r="B85" s="45" t="s">
        <v>125</v>
      </c>
      <c r="C85" s="50">
        <v>25</v>
      </c>
      <c r="D85" s="50">
        <v>4</v>
      </c>
      <c r="E85" s="50">
        <v>0</v>
      </c>
      <c r="F85" s="50">
        <v>2</v>
      </c>
      <c r="G85" s="50">
        <v>0</v>
      </c>
      <c r="H85" s="50">
        <v>0</v>
      </c>
      <c r="I85" s="50">
        <v>0</v>
      </c>
      <c r="J85" s="50">
        <v>1</v>
      </c>
      <c r="K85" s="50">
        <v>0</v>
      </c>
      <c r="L85" s="50">
        <v>0</v>
      </c>
      <c r="M85" s="50">
        <v>4</v>
      </c>
      <c r="N85" s="50">
        <v>0</v>
      </c>
      <c r="O85" s="15">
        <f t="shared" si="35"/>
        <v>32</v>
      </c>
      <c r="P85" s="15">
        <f t="shared" si="36"/>
        <v>36</v>
      </c>
      <c r="R85" s="8"/>
      <c r="T85"/>
    </row>
    <row r="86" spans="2:20" ht="23.1" customHeight="1" x14ac:dyDescent="0.25">
      <c r="B86" s="46" t="s">
        <v>126</v>
      </c>
      <c r="C86" s="50">
        <v>14</v>
      </c>
      <c r="D86" s="50">
        <v>5</v>
      </c>
      <c r="E86" s="50">
        <v>2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9</v>
      </c>
      <c r="N86" s="50">
        <v>0</v>
      </c>
      <c r="O86" s="15">
        <f t="shared" si="35"/>
        <v>21</v>
      </c>
      <c r="P86" s="15">
        <f t="shared" si="36"/>
        <v>30</v>
      </c>
      <c r="R86" s="8"/>
      <c r="T86"/>
    </row>
    <row r="87" spans="2:20" ht="23.1" customHeight="1" x14ac:dyDescent="0.25">
      <c r="B87" s="45" t="s">
        <v>127</v>
      </c>
      <c r="C87" s="50">
        <v>11</v>
      </c>
      <c r="D87" s="50">
        <v>5</v>
      </c>
      <c r="E87" s="50">
        <v>1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10</v>
      </c>
      <c r="N87" s="50">
        <v>0</v>
      </c>
      <c r="O87" s="15">
        <f t="shared" si="35"/>
        <v>17</v>
      </c>
      <c r="P87" s="15">
        <f t="shared" si="36"/>
        <v>27</v>
      </c>
      <c r="R87" s="8"/>
      <c r="T87"/>
    </row>
    <row r="88" spans="2:20" ht="23.1" customHeight="1" x14ac:dyDescent="0.25">
      <c r="B88" s="47" t="s">
        <v>128</v>
      </c>
      <c r="C88" s="50">
        <v>15</v>
      </c>
      <c r="D88" s="50">
        <v>9</v>
      </c>
      <c r="E88" s="50">
        <v>2</v>
      </c>
      <c r="F88" s="50">
        <v>1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12</v>
      </c>
      <c r="N88" s="50">
        <v>0</v>
      </c>
      <c r="O88" s="15">
        <f t="shared" si="35"/>
        <v>27</v>
      </c>
      <c r="P88" s="15">
        <f t="shared" si="36"/>
        <v>39</v>
      </c>
      <c r="R88" s="8"/>
      <c r="T88"/>
    </row>
    <row r="89" spans="2:20" ht="23.1" customHeight="1" x14ac:dyDescent="0.25">
      <c r="B89" s="45" t="s">
        <v>129</v>
      </c>
      <c r="C89" s="50">
        <v>20</v>
      </c>
      <c r="D89" s="50">
        <v>3</v>
      </c>
      <c r="E89" s="50">
        <v>1</v>
      </c>
      <c r="F89" s="50">
        <v>0</v>
      </c>
      <c r="G89" s="50">
        <v>0</v>
      </c>
      <c r="H89" s="50">
        <v>0</v>
      </c>
      <c r="I89" s="50">
        <v>0</v>
      </c>
      <c r="J89" s="50">
        <v>1</v>
      </c>
      <c r="K89" s="50">
        <v>0</v>
      </c>
      <c r="L89" s="50">
        <v>0</v>
      </c>
      <c r="M89" s="50">
        <v>11</v>
      </c>
      <c r="N89" s="50">
        <v>0</v>
      </c>
      <c r="O89" s="15">
        <f t="shared" si="35"/>
        <v>25</v>
      </c>
      <c r="P89" s="15">
        <f t="shared" si="36"/>
        <v>36</v>
      </c>
      <c r="R89" s="8"/>
      <c r="T89"/>
    </row>
    <row r="90" spans="2:20" ht="23.1" customHeight="1" x14ac:dyDescent="0.25">
      <c r="B90" s="46" t="s">
        <v>130</v>
      </c>
      <c r="C90" s="50">
        <v>28</v>
      </c>
      <c r="D90" s="50">
        <v>9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5</v>
      </c>
      <c r="N90" s="50">
        <v>0</v>
      </c>
      <c r="O90" s="15">
        <f t="shared" si="35"/>
        <v>37</v>
      </c>
      <c r="P90" s="15">
        <f t="shared" si="36"/>
        <v>42</v>
      </c>
      <c r="R90" s="8"/>
      <c r="T90"/>
    </row>
    <row r="91" spans="2:20" ht="23.1" customHeight="1" x14ac:dyDescent="0.25">
      <c r="B91" s="45" t="s">
        <v>131</v>
      </c>
      <c r="C91" s="50">
        <v>12</v>
      </c>
      <c r="D91" s="50">
        <v>7</v>
      </c>
      <c r="E91" s="50">
        <v>0</v>
      </c>
      <c r="F91" s="50">
        <v>1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5</v>
      </c>
      <c r="N91" s="50">
        <v>0</v>
      </c>
      <c r="O91" s="15">
        <f t="shared" si="35"/>
        <v>20</v>
      </c>
      <c r="P91" s="15">
        <f t="shared" si="36"/>
        <v>25</v>
      </c>
      <c r="R91" s="8"/>
      <c r="T91"/>
    </row>
    <row r="92" spans="2:20" ht="23.1" customHeight="1" x14ac:dyDescent="0.25">
      <c r="B92" s="47" t="s">
        <v>132</v>
      </c>
      <c r="C92" s="50">
        <v>1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1</v>
      </c>
      <c r="P92" s="15">
        <f t="shared" si="36"/>
        <v>1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45" t="s">
        <v>135</v>
      </c>
      <c r="C95" s="50">
        <v>17</v>
      </c>
      <c r="D95" s="50">
        <v>5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3</v>
      </c>
      <c r="N95" s="50">
        <v>0</v>
      </c>
      <c r="O95" s="15">
        <f t="shared" si="35"/>
        <v>22</v>
      </c>
      <c r="P95" s="15">
        <f t="shared" si="36"/>
        <v>25</v>
      </c>
      <c r="R95" s="8"/>
      <c r="T95"/>
    </row>
    <row r="96" spans="2:20" ht="23.1" customHeight="1" x14ac:dyDescent="0.25">
      <c r="B96" s="47" t="s">
        <v>136</v>
      </c>
      <c r="C96" s="50">
        <v>5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2</v>
      </c>
      <c r="N96" s="50">
        <v>0</v>
      </c>
      <c r="O96" s="15">
        <f t="shared" si="35"/>
        <v>5</v>
      </c>
      <c r="P96" s="15">
        <f t="shared" si="36"/>
        <v>7</v>
      </c>
      <c r="R96" s="8"/>
      <c r="T96"/>
    </row>
    <row r="97" spans="2:20" ht="23.1" customHeight="1" x14ac:dyDescent="0.25">
      <c r="B97" s="45" t="s">
        <v>137</v>
      </c>
      <c r="C97" s="50">
        <v>4</v>
      </c>
      <c r="D97" s="50">
        <v>2</v>
      </c>
      <c r="E97" s="50">
        <v>0</v>
      </c>
      <c r="F97" s="50">
        <v>1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4</v>
      </c>
      <c r="N97" s="50">
        <v>0</v>
      </c>
      <c r="O97" s="15">
        <f t="shared" si="35"/>
        <v>7</v>
      </c>
      <c r="P97" s="15">
        <f t="shared" si="36"/>
        <v>11</v>
      </c>
      <c r="R97" s="8"/>
      <c r="T97"/>
    </row>
    <row r="98" spans="2:20" ht="23.1" customHeight="1" x14ac:dyDescent="0.25">
      <c r="B98" s="46" t="s">
        <v>138</v>
      </c>
      <c r="C98" s="50">
        <v>15</v>
      </c>
      <c r="D98" s="50">
        <v>2</v>
      </c>
      <c r="E98" s="50">
        <v>1</v>
      </c>
      <c r="F98" s="50">
        <v>0</v>
      </c>
      <c r="G98" s="50">
        <v>0</v>
      </c>
      <c r="H98" s="50">
        <v>0</v>
      </c>
      <c r="I98" s="50">
        <v>1</v>
      </c>
      <c r="J98" s="50">
        <v>0</v>
      </c>
      <c r="K98" s="50">
        <v>0</v>
      </c>
      <c r="L98" s="50">
        <v>0</v>
      </c>
      <c r="M98" s="50">
        <v>2</v>
      </c>
      <c r="N98" s="50">
        <v>0</v>
      </c>
      <c r="O98" s="15">
        <f t="shared" si="35"/>
        <v>19</v>
      </c>
      <c r="P98" s="15">
        <f t="shared" si="36"/>
        <v>21</v>
      </c>
      <c r="R98" s="8"/>
      <c r="T98"/>
    </row>
    <row r="99" spans="2:20" ht="23.1" customHeight="1" x14ac:dyDescent="0.25">
      <c r="B99" s="45" t="s">
        <v>139</v>
      </c>
      <c r="C99" s="50">
        <v>10</v>
      </c>
      <c r="D99" s="50">
        <v>1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3</v>
      </c>
      <c r="N99" s="50">
        <v>0</v>
      </c>
      <c r="O99" s="15">
        <f t="shared" si="35"/>
        <v>11</v>
      </c>
      <c r="P99" s="15">
        <f t="shared" si="36"/>
        <v>14</v>
      </c>
      <c r="R99" s="8"/>
      <c r="T99"/>
    </row>
    <row r="100" spans="2:20" ht="23.1" customHeight="1" x14ac:dyDescent="0.25">
      <c r="B100" s="47" t="s">
        <v>140</v>
      </c>
      <c r="C100" s="50">
        <v>20</v>
      </c>
      <c r="D100" s="50">
        <v>1</v>
      </c>
      <c r="E100" s="50">
        <v>2</v>
      </c>
      <c r="F100" s="50">
        <v>1</v>
      </c>
      <c r="G100" s="50">
        <v>0</v>
      </c>
      <c r="H100" s="50">
        <v>1</v>
      </c>
      <c r="I100" s="50">
        <v>0</v>
      </c>
      <c r="J100" s="50">
        <v>0</v>
      </c>
      <c r="K100" s="50">
        <v>0</v>
      </c>
      <c r="L100" s="50">
        <v>0</v>
      </c>
      <c r="M100" s="50">
        <v>6</v>
      </c>
      <c r="N100" s="50">
        <v>0</v>
      </c>
      <c r="O100" s="15">
        <f t="shared" si="35"/>
        <v>25</v>
      </c>
      <c r="P100" s="15">
        <f t="shared" si="36"/>
        <v>31</v>
      </c>
      <c r="R100" s="8"/>
      <c r="T100"/>
    </row>
    <row r="101" spans="2:20" ht="23.1" customHeight="1" x14ac:dyDescent="0.25">
      <c r="B101" s="45" t="s">
        <v>141</v>
      </c>
      <c r="C101" s="50">
        <v>16</v>
      </c>
      <c r="D101" s="50">
        <v>1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2</v>
      </c>
      <c r="N101" s="50">
        <v>0</v>
      </c>
      <c r="O101" s="15">
        <f t="shared" si="35"/>
        <v>17</v>
      </c>
      <c r="P101" s="15">
        <f t="shared" si="36"/>
        <v>19</v>
      </c>
      <c r="R101" s="8"/>
      <c r="T101"/>
    </row>
    <row r="102" spans="2:20" ht="23.1" customHeight="1" x14ac:dyDescent="0.25">
      <c r="B102" s="46" t="s">
        <v>142</v>
      </c>
      <c r="C102" s="50">
        <v>10</v>
      </c>
      <c r="D102" s="50">
        <v>1</v>
      </c>
      <c r="E102" s="50">
        <v>1</v>
      </c>
      <c r="F102" s="50">
        <v>1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6</v>
      </c>
      <c r="N102" s="50">
        <v>0</v>
      </c>
      <c r="O102" s="15">
        <f t="shared" si="35"/>
        <v>13</v>
      </c>
      <c r="P102" s="15">
        <f t="shared" si="36"/>
        <v>19</v>
      </c>
      <c r="R102" s="8"/>
      <c r="T102"/>
    </row>
    <row r="103" spans="2:20" ht="23.1" customHeight="1" x14ac:dyDescent="0.25">
      <c r="B103" s="45" t="s">
        <v>143</v>
      </c>
      <c r="C103" s="50">
        <v>7</v>
      </c>
      <c r="D103" s="50">
        <v>0</v>
      </c>
      <c r="E103" s="50">
        <v>1</v>
      </c>
      <c r="F103" s="50">
        <v>2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2</v>
      </c>
      <c r="N103" s="50">
        <v>0</v>
      </c>
      <c r="O103" s="15">
        <f t="shared" si="35"/>
        <v>10</v>
      </c>
      <c r="P103" s="15">
        <f t="shared" si="36"/>
        <v>12</v>
      </c>
      <c r="R103" s="8"/>
      <c r="T103"/>
    </row>
    <row r="104" spans="2:20" ht="23.1" customHeight="1" x14ac:dyDescent="0.25">
      <c r="B104" s="47" t="s">
        <v>144</v>
      </c>
      <c r="C104" s="50">
        <v>10</v>
      </c>
      <c r="D104" s="50">
        <v>2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5</v>
      </c>
      <c r="N104" s="50">
        <v>0</v>
      </c>
      <c r="O104" s="15">
        <f t="shared" si="35"/>
        <v>12</v>
      </c>
      <c r="P104" s="15">
        <f t="shared" si="36"/>
        <v>17</v>
      </c>
      <c r="R104" s="8"/>
      <c r="T104"/>
    </row>
    <row r="105" spans="2:20" ht="23.1" customHeight="1" x14ac:dyDescent="0.25">
      <c r="B105" s="45" t="s">
        <v>145</v>
      </c>
      <c r="C105" s="50">
        <v>3</v>
      </c>
      <c r="D105" s="50">
        <v>6</v>
      </c>
      <c r="E105" s="50">
        <v>1</v>
      </c>
      <c r="F105" s="50">
        <v>1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1</v>
      </c>
      <c r="N105" s="50">
        <v>0</v>
      </c>
      <c r="O105" s="15">
        <f t="shared" si="35"/>
        <v>11</v>
      </c>
      <c r="P105" s="15">
        <f t="shared" si="36"/>
        <v>12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7820</v>
      </c>
      <c r="D106" s="16">
        <f t="shared" ref="D106:P106" si="37">SUM(D10:D105)</f>
        <v>1643</v>
      </c>
      <c r="E106" s="16">
        <f t="shared" si="37"/>
        <v>277</v>
      </c>
      <c r="F106" s="16">
        <f t="shared" si="37"/>
        <v>427</v>
      </c>
      <c r="G106" s="16">
        <f t="shared" si="37"/>
        <v>31</v>
      </c>
      <c r="H106" s="16">
        <f t="shared" si="37"/>
        <v>8</v>
      </c>
      <c r="I106" s="16">
        <f t="shared" si="37"/>
        <v>213</v>
      </c>
      <c r="J106" s="16">
        <f t="shared" si="37"/>
        <v>83</v>
      </c>
      <c r="K106" s="16">
        <f t="shared" si="37"/>
        <v>33</v>
      </c>
      <c r="L106" s="16">
        <f t="shared" si="37"/>
        <v>2</v>
      </c>
      <c r="M106" s="16">
        <f t="shared" si="37"/>
        <v>4277</v>
      </c>
      <c r="N106" s="16">
        <f t="shared" si="37"/>
        <v>0</v>
      </c>
      <c r="O106" s="16">
        <f t="shared" si="37"/>
        <v>10537</v>
      </c>
      <c r="P106" s="16">
        <f t="shared" si="37"/>
        <v>14814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0.52787903334683406</v>
      </c>
      <c r="D107" s="43">
        <f t="shared" si="38"/>
        <v>0.11090859997299851</v>
      </c>
      <c r="E107" s="43">
        <f t="shared" si="38"/>
        <v>1.8698528419063047E-2</v>
      </c>
      <c r="F107" s="43">
        <f t="shared" si="38"/>
        <v>2.8824085324692859E-2</v>
      </c>
      <c r="G107" s="43">
        <f t="shared" si="38"/>
        <v>2.0926150938301606E-3</v>
      </c>
      <c r="H107" s="43">
        <f t="shared" si="38"/>
        <v>5.400297016335898E-4</v>
      </c>
      <c r="I107" s="43">
        <f t="shared" si="38"/>
        <v>1.437829080599433E-2</v>
      </c>
      <c r="J107" s="43">
        <f t="shared" si="38"/>
        <v>5.6028081544484947E-3</v>
      </c>
      <c r="K107" s="43">
        <f t="shared" si="38"/>
        <v>2.2276225192385582E-3</v>
      </c>
      <c r="L107" s="43">
        <f t="shared" si="38"/>
        <v>1.3500742540839745E-4</v>
      </c>
      <c r="M107" s="43">
        <f t="shared" si="38"/>
        <v>0.28871337923585799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0.74214672107810575</v>
      </c>
      <c r="D108" s="44">
        <f t="shared" ref="D108:N108" si="39">D106/$O$106</f>
        <v>0.1559267343646199</v>
      </c>
      <c r="E108" s="44">
        <f t="shared" si="39"/>
        <v>2.6288317357881751E-2</v>
      </c>
      <c r="F108" s="44">
        <f t="shared" si="39"/>
        <v>4.052386827370219E-2</v>
      </c>
      <c r="G108" s="44">
        <f t="shared" si="39"/>
        <v>2.9420138559362249E-3</v>
      </c>
      <c r="H108" s="44">
        <f t="shared" si="39"/>
        <v>7.5922938217709026E-4</v>
      </c>
      <c r="I108" s="44">
        <f t="shared" si="39"/>
        <v>2.0214482300465027E-2</v>
      </c>
      <c r="J108" s="44">
        <f t="shared" si="39"/>
        <v>7.8770048400873122E-3</v>
      </c>
      <c r="K108" s="44">
        <f t="shared" si="39"/>
        <v>3.1318212014804971E-3</v>
      </c>
      <c r="L108" s="44">
        <f t="shared" si="39"/>
        <v>1.8980734554427256E-4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37" zoomScale="40" zoomScaleSheetLayoutView="40" workbookViewId="0">
      <selection activeCell="H104" sqref="H10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'29.07 Ntinda-Naalya'!C3:G3</f>
        <v>MCC - C1 - STN38 - NAALYA EAST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'03.08 Ntinda-Naalya 24h'!D5</f>
        <v>03.08.19</v>
      </c>
      <c r="E5" s="3"/>
      <c r="F5" s="41" t="s">
        <v>1</v>
      </c>
      <c r="G5" s="65" t="str">
        <f>'03.08 Ntinda-Naalya 24h'!G5:H5</f>
        <v>NAALYA ROUND ABOUT</v>
      </c>
      <c r="H5" s="66"/>
      <c r="I5" s="14"/>
      <c r="J5" s="2" t="s">
        <v>5</v>
      </c>
      <c r="K5" s="65" t="str">
        <f>'03.08 Ntinda-Naalya 24h'!K5:L5</f>
        <v>HARRIET N/NASSIWA A/MUTE C/PHOEBY/KAZIBWE J/NAKAYE J.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'29.07 Naalya-Ntinda'!D6:E6</f>
        <v>NAALYA</v>
      </c>
      <c r="E6" s="66"/>
      <c r="F6" s="2" t="s">
        <v>2</v>
      </c>
      <c r="G6" s="65" t="str">
        <f>'29.07 Naalya-Ntinda'!G6:H6</f>
        <v>NTINDA</v>
      </c>
      <c r="H6" s="66"/>
      <c r="J6" s="2" t="s">
        <v>21</v>
      </c>
      <c r="K6" s="65" t="str">
        <f>'03.08 Ntinda-Naalya 24h'!K6:L6</f>
        <v>STEVEN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26</v>
      </c>
      <c r="D10" s="50">
        <v>19</v>
      </c>
      <c r="E10" s="50">
        <v>5</v>
      </c>
      <c r="F10" s="50">
        <v>3</v>
      </c>
      <c r="G10" s="50">
        <v>2</v>
      </c>
      <c r="H10" s="50">
        <v>1</v>
      </c>
      <c r="I10" s="50">
        <v>2</v>
      </c>
      <c r="J10" s="50">
        <v>1</v>
      </c>
      <c r="K10" s="50">
        <v>0</v>
      </c>
      <c r="L10" s="50">
        <v>0</v>
      </c>
      <c r="M10" s="50">
        <v>29</v>
      </c>
      <c r="N10" s="50">
        <v>0</v>
      </c>
      <c r="O10" s="15">
        <f t="shared" ref="O10:O73" si="0">SUM(C10:L10,N10)</f>
        <v>59</v>
      </c>
      <c r="P10" s="15">
        <f t="shared" ref="P10:P73" si="1">SUM(C10:N10)</f>
        <v>88</v>
      </c>
      <c r="R10" s="1" t="s">
        <v>6</v>
      </c>
      <c r="S10" s="17">
        <f t="shared" ref="S10:AF10" si="2">SUM(C10:C13)</f>
        <v>141</v>
      </c>
      <c r="T10" s="17">
        <f t="shared" si="2"/>
        <v>119</v>
      </c>
      <c r="U10" s="17">
        <f t="shared" si="2"/>
        <v>25</v>
      </c>
      <c r="V10" s="17">
        <f t="shared" si="2"/>
        <v>22</v>
      </c>
      <c r="W10" s="17">
        <f t="shared" si="2"/>
        <v>5</v>
      </c>
      <c r="X10" s="17">
        <f t="shared" si="2"/>
        <v>1</v>
      </c>
      <c r="Y10" s="17">
        <f t="shared" si="2"/>
        <v>7</v>
      </c>
      <c r="Z10" s="17">
        <f t="shared" si="2"/>
        <v>6</v>
      </c>
      <c r="AA10" s="17">
        <f t="shared" si="2"/>
        <v>1</v>
      </c>
      <c r="AB10" s="17">
        <f t="shared" si="2"/>
        <v>0</v>
      </c>
      <c r="AC10" s="17">
        <f t="shared" si="2"/>
        <v>166</v>
      </c>
      <c r="AD10" s="17">
        <f t="shared" si="2"/>
        <v>0</v>
      </c>
      <c r="AE10" s="31">
        <f t="shared" si="2"/>
        <v>327</v>
      </c>
      <c r="AF10" s="31">
        <f t="shared" si="2"/>
        <v>493</v>
      </c>
    </row>
    <row r="11" spans="2:32" s="6" customFormat="1" ht="23.1" customHeight="1" x14ac:dyDescent="0.25">
      <c r="B11" s="45" t="s">
        <v>38</v>
      </c>
      <c r="C11" s="50">
        <v>26</v>
      </c>
      <c r="D11" s="50">
        <v>29</v>
      </c>
      <c r="E11" s="50">
        <v>5</v>
      </c>
      <c r="F11" s="50">
        <v>4</v>
      </c>
      <c r="G11" s="50">
        <v>1</v>
      </c>
      <c r="H11" s="50">
        <v>0</v>
      </c>
      <c r="I11" s="50">
        <v>2</v>
      </c>
      <c r="J11" s="50">
        <v>1</v>
      </c>
      <c r="K11" s="50">
        <v>0</v>
      </c>
      <c r="L11" s="50">
        <v>0</v>
      </c>
      <c r="M11" s="50">
        <v>38</v>
      </c>
      <c r="N11" s="50">
        <v>0</v>
      </c>
      <c r="O11" s="15">
        <f t="shared" si="0"/>
        <v>68</v>
      </c>
      <c r="P11" s="15">
        <f t="shared" si="1"/>
        <v>106</v>
      </c>
      <c r="R11" s="1" t="s">
        <v>7</v>
      </c>
      <c r="S11" s="17">
        <f t="shared" ref="S11:AF11" si="3">SUM(C14:C17)</f>
        <v>310</v>
      </c>
      <c r="T11" s="17">
        <f t="shared" si="3"/>
        <v>201</v>
      </c>
      <c r="U11" s="17">
        <f t="shared" si="3"/>
        <v>33</v>
      </c>
      <c r="V11" s="17">
        <f t="shared" si="3"/>
        <v>43</v>
      </c>
      <c r="W11" s="17">
        <f t="shared" si="3"/>
        <v>2</v>
      </c>
      <c r="X11" s="17">
        <f t="shared" si="3"/>
        <v>0</v>
      </c>
      <c r="Y11" s="17">
        <f t="shared" si="3"/>
        <v>4</v>
      </c>
      <c r="Z11" s="17">
        <f t="shared" si="3"/>
        <v>7</v>
      </c>
      <c r="AA11" s="17">
        <f t="shared" si="3"/>
        <v>0</v>
      </c>
      <c r="AB11" s="17">
        <f t="shared" si="3"/>
        <v>4</v>
      </c>
      <c r="AC11" s="17">
        <f t="shared" si="3"/>
        <v>374</v>
      </c>
      <c r="AD11" s="17">
        <f t="shared" si="3"/>
        <v>0</v>
      </c>
      <c r="AE11" s="31">
        <f t="shared" si="3"/>
        <v>604</v>
      </c>
      <c r="AF11" s="31">
        <f t="shared" si="3"/>
        <v>978</v>
      </c>
    </row>
    <row r="12" spans="2:32" ht="23.1" customHeight="1" x14ac:dyDescent="0.25">
      <c r="B12" s="45" t="s">
        <v>39</v>
      </c>
      <c r="C12" s="50">
        <v>41</v>
      </c>
      <c r="D12" s="50">
        <v>27</v>
      </c>
      <c r="E12" s="50">
        <v>4</v>
      </c>
      <c r="F12" s="50">
        <v>7</v>
      </c>
      <c r="G12" s="50">
        <v>0</v>
      </c>
      <c r="H12" s="50">
        <v>0</v>
      </c>
      <c r="I12" s="50">
        <v>1</v>
      </c>
      <c r="J12" s="50">
        <v>1</v>
      </c>
      <c r="K12" s="50">
        <v>0</v>
      </c>
      <c r="L12" s="50">
        <v>0</v>
      </c>
      <c r="M12" s="50">
        <v>28</v>
      </c>
      <c r="N12" s="50">
        <v>0</v>
      </c>
      <c r="O12" s="15">
        <f t="shared" si="0"/>
        <v>81</v>
      </c>
      <c r="P12" s="15">
        <f t="shared" si="1"/>
        <v>109</v>
      </c>
      <c r="R12" s="1" t="s">
        <v>8</v>
      </c>
      <c r="S12" s="17">
        <f t="shared" ref="S12:AF12" si="4">SUM(C18:C21)</f>
        <v>363</v>
      </c>
      <c r="T12" s="17">
        <f t="shared" si="4"/>
        <v>198</v>
      </c>
      <c r="U12" s="17">
        <f t="shared" si="4"/>
        <v>32</v>
      </c>
      <c r="V12" s="17">
        <f t="shared" si="4"/>
        <v>49</v>
      </c>
      <c r="W12" s="17">
        <f t="shared" si="4"/>
        <v>6</v>
      </c>
      <c r="X12" s="17">
        <f t="shared" si="4"/>
        <v>0</v>
      </c>
      <c r="Y12" s="17">
        <f t="shared" si="4"/>
        <v>9</v>
      </c>
      <c r="Z12" s="17">
        <f t="shared" si="4"/>
        <v>16</v>
      </c>
      <c r="AA12" s="17">
        <f t="shared" si="4"/>
        <v>1</v>
      </c>
      <c r="AB12" s="17">
        <f t="shared" si="4"/>
        <v>0</v>
      </c>
      <c r="AC12" s="17">
        <f t="shared" si="4"/>
        <v>396</v>
      </c>
      <c r="AD12" s="17">
        <f t="shared" si="4"/>
        <v>0</v>
      </c>
      <c r="AE12" s="31">
        <f t="shared" si="4"/>
        <v>674</v>
      </c>
      <c r="AF12" s="31">
        <f t="shared" si="4"/>
        <v>1070</v>
      </c>
    </row>
    <row r="13" spans="2:32" ht="23.1" customHeight="1" x14ac:dyDescent="0.25">
      <c r="B13" s="45" t="s">
        <v>40</v>
      </c>
      <c r="C13" s="50">
        <v>48</v>
      </c>
      <c r="D13" s="50">
        <v>44</v>
      </c>
      <c r="E13" s="50">
        <v>11</v>
      </c>
      <c r="F13" s="50">
        <v>8</v>
      </c>
      <c r="G13" s="50">
        <v>2</v>
      </c>
      <c r="H13" s="50">
        <v>0</v>
      </c>
      <c r="I13" s="50">
        <v>2</v>
      </c>
      <c r="J13" s="50">
        <v>3</v>
      </c>
      <c r="K13" s="50">
        <v>1</v>
      </c>
      <c r="L13" s="50">
        <v>0</v>
      </c>
      <c r="M13" s="50">
        <v>71</v>
      </c>
      <c r="N13" s="50">
        <v>0</v>
      </c>
      <c r="O13" s="15">
        <f t="shared" si="0"/>
        <v>119</v>
      </c>
      <c r="P13" s="15">
        <f t="shared" si="1"/>
        <v>190</v>
      </c>
      <c r="R13" s="1" t="s">
        <v>9</v>
      </c>
      <c r="S13" s="17">
        <f t="shared" ref="S13:AF13" si="5">SUM(C22:C25)</f>
        <v>429</v>
      </c>
      <c r="T13" s="17">
        <f t="shared" si="5"/>
        <v>264</v>
      </c>
      <c r="U13" s="17">
        <f t="shared" si="5"/>
        <v>45</v>
      </c>
      <c r="V13" s="17">
        <f t="shared" si="5"/>
        <v>38</v>
      </c>
      <c r="W13" s="17">
        <f t="shared" si="5"/>
        <v>11</v>
      </c>
      <c r="X13" s="17">
        <f t="shared" si="5"/>
        <v>0</v>
      </c>
      <c r="Y13" s="17">
        <f t="shared" si="5"/>
        <v>7</v>
      </c>
      <c r="Z13" s="17">
        <f t="shared" si="5"/>
        <v>7</v>
      </c>
      <c r="AA13" s="17">
        <f t="shared" si="5"/>
        <v>2</v>
      </c>
      <c r="AB13" s="17">
        <f t="shared" si="5"/>
        <v>0</v>
      </c>
      <c r="AC13" s="17">
        <f t="shared" si="5"/>
        <v>340</v>
      </c>
      <c r="AD13" s="17">
        <f t="shared" si="5"/>
        <v>0</v>
      </c>
      <c r="AE13" s="31">
        <f t="shared" si="5"/>
        <v>803</v>
      </c>
      <c r="AF13" s="31">
        <f t="shared" si="5"/>
        <v>1143</v>
      </c>
    </row>
    <row r="14" spans="2:32" ht="23.1" customHeight="1" x14ac:dyDescent="0.25">
      <c r="B14" s="45" t="s">
        <v>41</v>
      </c>
      <c r="C14" s="50">
        <v>63</v>
      </c>
      <c r="D14" s="50">
        <v>42</v>
      </c>
      <c r="E14" s="50">
        <v>5</v>
      </c>
      <c r="F14" s="50">
        <v>10</v>
      </c>
      <c r="G14" s="50">
        <v>0</v>
      </c>
      <c r="H14" s="50">
        <v>0</v>
      </c>
      <c r="I14" s="50">
        <v>1</v>
      </c>
      <c r="J14" s="50">
        <v>2</v>
      </c>
      <c r="K14" s="50">
        <v>0</v>
      </c>
      <c r="L14" s="50">
        <v>4</v>
      </c>
      <c r="M14" s="50">
        <v>67</v>
      </c>
      <c r="N14" s="50">
        <v>0</v>
      </c>
      <c r="O14" s="15">
        <f t="shared" si="0"/>
        <v>127</v>
      </c>
      <c r="P14" s="15">
        <f t="shared" si="1"/>
        <v>194</v>
      </c>
      <c r="R14" s="1" t="s">
        <v>10</v>
      </c>
      <c r="S14" s="17">
        <f t="shared" ref="S14:AF14" si="6">SUM(C26:C29)</f>
        <v>357</v>
      </c>
      <c r="T14" s="17">
        <f t="shared" si="6"/>
        <v>65</v>
      </c>
      <c r="U14" s="17">
        <f t="shared" si="6"/>
        <v>46</v>
      </c>
      <c r="V14" s="17">
        <f t="shared" si="6"/>
        <v>37</v>
      </c>
      <c r="W14" s="17">
        <f t="shared" si="6"/>
        <v>6</v>
      </c>
      <c r="X14" s="17">
        <f t="shared" si="6"/>
        <v>0</v>
      </c>
      <c r="Y14" s="17">
        <f t="shared" si="6"/>
        <v>8</v>
      </c>
      <c r="Z14" s="17">
        <f t="shared" si="6"/>
        <v>9</v>
      </c>
      <c r="AA14" s="17">
        <f t="shared" si="6"/>
        <v>2</v>
      </c>
      <c r="AB14" s="17">
        <f t="shared" si="6"/>
        <v>0</v>
      </c>
      <c r="AC14" s="17">
        <f t="shared" si="6"/>
        <v>318</v>
      </c>
      <c r="AD14" s="17">
        <f t="shared" si="6"/>
        <v>0</v>
      </c>
      <c r="AE14" s="31">
        <f t="shared" si="6"/>
        <v>530</v>
      </c>
      <c r="AF14" s="31">
        <f t="shared" si="6"/>
        <v>848</v>
      </c>
    </row>
    <row r="15" spans="2:32" ht="23.1" customHeight="1" x14ac:dyDescent="0.25">
      <c r="B15" s="45" t="s">
        <v>42</v>
      </c>
      <c r="C15" s="50">
        <v>75</v>
      </c>
      <c r="D15" s="50">
        <v>50</v>
      </c>
      <c r="E15" s="50">
        <v>7</v>
      </c>
      <c r="F15" s="50">
        <v>7</v>
      </c>
      <c r="G15" s="50">
        <v>1</v>
      </c>
      <c r="H15" s="50">
        <v>0</v>
      </c>
      <c r="I15" s="50">
        <v>1</v>
      </c>
      <c r="J15" s="50">
        <v>1</v>
      </c>
      <c r="K15" s="50">
        <v>0</v>
      </c>
      <c r="L15" s="50">
        <v>0</v>
      </c>
      <c r="M15" s="50">
        <v>99</v>
      </c>
      <c r="N15" s="50">
        <v>0</v>
      </c>
      <c r="O15" s="15">
        <f t="shared" si="0"/>
        <v>142</v>
      </c>
      <c r="P15" s="15">
        <f t="shared" si="1"/>
        <v>241</v>
      </c>
      <c r="R15" s="1" t="s">
        <v>11</v>
      </c>
      <c r="S15" s="17">
        <f t="shared" ref="S15:AF15" si="7">SUM(C30:C33)</f>
        <v>321</v>
      </c>
      <c r="T15" s="17">
        <f t="shared" si="7"/>
        <v>223</v>
      </c>
      <c r="U15" s="17">
        <f t="shared" si="7"/>
        <v>38</v>
      </c>
      <c r="V15" s="17">
        <f t="shared" si="7"/>
        <v>38</v>
      </c>
      <c r="W15" s="17">
        <f t="shared" si="7"/>
        <v>2</v>
      </c>
      <c r="X15" s="17">
        <f t="shared" si="7"/>
        <v>0</v>
      </c>
      <c r="Y15" s="17">
        <f t="shared" si="7"/>
        <v>19</v>
      </c>
      <c r="Z15" s="17">
        <f t="shared" si="7"/>
        <v>15</v>
      </c>
      <c r="AA15" s="17">
        <f t="shared" si="7"/>
        <v>3</v>
      </c>
      <c r="AB15" s="17">
        <f t="shared" si="7"/>
        <v>4</v>
      </c>
      <c r="AC15" s="17">
        <f t="shared" si="7"/>
        <v>253</v>
      </c>
      <c r="AD15" s="17">
        <f t="shared" si="7"/>
        <v>0</v>
      </c>
      <c r="AE15" s="31">
        <f t="shared" si="7"/>
        <v>663</v>
      </c>
      <c r="AF15" s="31">
        <f t="shared" si="7"/>
        <v>916</v>
      </c>
    </row>
    <row r="16" spans="2:32" ht="23.1" customHeight="1" x14ac:dyDescent="0.25">
      <c r="B16" s="45" t="s">
        <v>43</v>
      </c>
      <c r="C16" s="50">
        <v>77</v>
      </c>
      <c r="D16" s="50">
        <v>47</v>
      </c>
      <c r="E16" s="50">
        <v>11</v>
      </c>
      <c r="F16" s="50">
        <v>10</v>
      </c>
      <c r="G16" s="50">
        <v>0</v>
      </c>
      <c r="H16" s="50">
        <v>0</v>
      </c>
      <c r="I16" s="50">
        <v>2</v>
      </c>
      <c r="J16" s="50">
        <v>1</v>
      </c>
      <c r="K16" s="50">
        <v>0</v>
      </c>
      <c r="L16" s="50">
        <v>0</v>
      </c>
      <c r="M16" s="50">
        <v>102</v>
      </c>
      <c r="N16" s="50">
        <v>0</v>
      </c>
      <c r="O16" s="15">
        <f t="shared" si="0"/>
        <v>148</v>
      </c>
      <c r="P16" s="15">
        <f t="shared" si="1"/>
        <v>250</v>
      </c>
      <c r="R16" s="1" t="s">
        <v>12</v>
      </c>
      <c r="S16" s="17">
        <f t="shared" ref="S16:AF16" si="8">SUM(C34:C37)</f>
        <v>332</v>
      </c>
      <c r="T16" s="17">
        <f t="shared" si="8"/>
        <v>262</v>
      </c>
      <c r="U16" s="17">
        <f t="shared" si="8"/>
        <v>40</v>
      </c>
      <c r="V16" s="17">
        <f t="shared" si="8"/>
        <v>28</v>
      </c>
      <c r="W16" s="17">
        <f t="shared" si="8"/>
        <v>1</v>
      </c>
      <c r="X16" s="17">
        <f t="shared" si="8"/>
        <v>0</v>
      </c>
      <c r="Y16" s="17">
        <f t="shared" si="8"/>
        <v>27</v>
      </c>
      <c r="Z16" s="17">
        <f t="shared" si="8"/>
        <v>8</v>
      </c>
      <c r="AA16" s="17">
        <f t="shared" si="8"/>
        <v>2</v>
      </c>
      <c r="AB16" s="17">
        <f t="shared" si="8"/>
        <v>0</v>
      </c>
      <c r="AC16" s="17">
        <f t="shared" si="8"/>
        <v>222</v>
      </c>
      <c r="AD16" s="17">
        <f t="shared" si="8"/>
        <v>0</v>
      </c>
      <c r="AE16" s="31">
        <f t="shared" si="8"/>
        <v>700</v>
      </c>
      <c r="AF16" s="31">
        <f t="shared" si="8"/>
        <v>922</v>
      </c>
    </row>
    <row r="17" spans="2:32" ht="23.1" customHeight="1" x14ac:dyDescent="0.25">
      <c r="B17" s="45" t="s">
        <v>44</v>
      </c>
      <c r="C17" s="50">
        <v>95</v>
      </c>
      <c r="D17" s="50">
        <v>62</v>
      </c>
      <c r="E17" s="50">
        <v>10</v>
      </c>
      <c r="F17" s="50">
        <v>16</v>
      </c>
      <c r="G17" s="50">
        <v>1</v>
      </c>
      <c r="H17" s="50">
        <v>0</v>
      </c>
      <c r="I17" s="50">
        <v>0</v>
      </c>
      <c r="J17" s="50">
        <v>3</v>
      </c>
      <c r="K17" s="50">
        <v>0</v>
      </c>
      <c r="L17" s="50">
        <v>0</v>
      </c>
      <c r="M17" s="50">
        <v>106</v>
      </c>
      <c r="N17" s="50">
        <v>0</v>
      </c>
      <c r="O17" s="15">
        <f t="shared" si="0"/>
        <v>187</v>
      </c>
      <c r="P17" s="15">
        <f t="shared" si="1"/>
        <v>293</v>
      </c>
      <c r="R17" s="1" t="s">
        <v>13</v>
      </c>
      <c r="S17" s="17">
        <f t="shared" ref="S17:AF17" si="9">SUM(C38:C41)</f>
        <v>385</v>
      </c>
      <c r="T17" s="17">
        <f t="shared" si="9"/>
        <v>254</v>
      </c>
      <c r="U17" s="17">
        <f t="shared" si="9"/>
        <v>43</v>
      </c>
      <c r="V17" s="17">
        <f t="shared" si="9"/>
        <v>29</v>
      </c>
      <c r="W17" s="17">
        <f t="shared" si="9"/>
        <v>1</v>
      </c>
      <c r="X17" s="17">
        <f t="shared" si="9"/>
        <v>0</v>
      </c>
      <c r="Y17" s="17">
        <f t="shared" si="9"/>
        <v>24</v>
      </c>
      <c r="Z17" s="17">
        <f t="shared" si="9"/>
        <v>12</v>
      </c>
      <c r="AA17" s="17">
        <f t="shared" si="9"/>
        <v>0</v>
      </c>
      <c r="AB17" s="17">
        <f t="shared" si="9"/>
        <v>1</v>
      </c>
      <c r="AC17" s="17">
        <f t="shared" si="9"/>
        <v>286</v>
      </c>
      <c r="AD17" s="17">
        <f t="shared" si="9"/>
        <v>0</v>
      </c>
      <c r="AE17" s="31">
        <f t="shared" si="9"/>
        <v>749</v>
      </c>
      <c r="AF17" s="31">
        <f t="shared" si="9"/>
        <v>1035</v>
      </c>
    </row>
    <row r="18" spans="2:32" ht="23.1" customHeight="1" x14ac:dyDescent="0.25">
      <c r="B18" s="45" t="s">
        <v>45</v>
      </c>
      <c r="C18" s="50">
        <v>90</v>
      </c>
      <c r="D18" s="50">
        <v>59</v>
      </c>
      <c r="E18" s="50">
        <v>9</v>
      </c>
      <c r="F18" s="50">
        <v>16</v>
      </c>
      <c r="G18" s="50">
        <v>2</v>
      </c>
      <c r="H18" s="50">
        <v>0</v>
      </c>
      <c r="I18" s="50">
        <v>3</v>
      </c>
      <c r="J18" s="50">
        <v>3</v>
      </c>
      <c r="K18" s="50">
        <v>0</v>
      </c>
      <c r="L18" s="50">
        <v>0</v>
      </c>
      <c r="M18" s="50">
        <v>75</v>
      </c>
      <c r="N18" s="50">
        <v>0</v>
      </c>
      <c r="O18" s="15">
        <f t="shared" si="0"/>
        <v>182</v>
      </c>
      <c r="P18" s="15">
        <f t="shared" si="1"/>
        <v>257</v>
      </c>
      <c r="R18" s="1" t="s">
        <v>14</v>
      </c>
      <c r="S18" s="17">
        <f t="shared" ref="S18:AF18" si="10">SUM(C42:C45)</f>
        <v>425</v>
      </c>
      <c r="T18" s="17">
        <f t="shared" si="10"/>
        <v>332</v>
      </c>
      <c r="U18" s="17">
        <f t="shared" si="10"/>
        <v>39</v>
      </c>
      <c r="V18" s="17">
        <f t="shared" si="10"/>
        <v>40</v>
      </c>
      <c r="W18" s="17">
        <f t="shared" si="10"/>
        <v>5</v>
      </c>
      <c r="X18" s="17">
        <f t="shared" si="10"/>
        <v>0</v>
      </c>
      <c r="Y18" s="17">
        <f t="shared" si="10"/>
        <v>27</v>
      </c>
      <c r="Z18" s="17">
        <f t="shared" si="10"/>
        <v>13</v>
      </c>
      <c r="AA18" s="17">
        <f t="shared" si="10"/>
        <v>5</v>
      </c>
      <c r="AB18" s="17">
        <f t="shared" si="10"/>
        <v>0</v>
      </c>
      <c r="AC18" s="17">
        <f t="shared" si="10"/>
        <v>405</v>
      </c>
      <c r="AD18" s="17">
        <f t="shared" si="10"/>
        <v>0</v>
      </c>
      <c r="AE18" s="31">
        <f t="shared" si="10"/>
        <v>886</v>
      </c>
      <c r="AF18" s="31">
        <f t="shared" si="10"/>
        <v>1291</v>
      </c>
    </row>
    <row r="19" spans="2:32" ht="23.1" customHeight="1" x14ac:dyDescent="0.25">
      <c r="B19" s="45" t="s">
        <v>46</v>
      </c>
      <c r="C19" s="50">
        <v>85</v>
      </c>
      <c r="D19" s="50">
        <v>37</v>
      </c>
      <c r="E19" s="50">
        <v>9</v>
      </c>
      <c r="F19" s="50">
        <v>13</v>
      </c>
      <c r="G19" s="50">
        <v>1</v>
      </c>
      <c r="H19" s="50">
        <v>0</v>
      </c>
      <c r="I19" s="50">
        <v>2</v>
      </c>
      <c r="J19" s="50">
        <v>4</v>
      </c>
      <c r="K19" s="50">
        <v>0</v>
      </c>
      <c r="L19" s="50">
        <v>0</v>
      </c>
      <c r="M19" s="50">
        <v>81</v>
      </c>
      <c r="N19" s="50">
        <v>0</v>
      </c>
      <c r="O19" s="15">
        <f t="shared" si="0"/>
        <v>151</v>
      </c>
      <c r="P19" s="15">
        <f t="shared" si="1"/>
        <v>232</v>
      </c>
      <c r="R19" s="1" t="s">
        <v>15</v>
      </c>
      <c r="S19" s="17">
        <f t="shared" ref="S19:AF19" si="11">SUM(C46:C49)</f>
        <v>291</v>
      </c>
      <c r="T19" s="17">
        <f t="shared" si="11"/>
        <v>239</v>
      </c>
      <c r="U19" s="17">
        <f t="shared" si="11"/>
        <v>38</v>
      </c>
      <c r="V19" s="17">
        <f t="shared" si="11"/>
        <v>41</v>
      </c>
      <c r="W19" s="17">
        <f t="shared" si="11"/>
        <v>4</v>
      </c>
      <c r="X19" s="17">
        <f t="shared" si="11"/>
        <v>0</v>
      </c>
      <c r="Y19" s="17">
        <f t="shared" si="11"/>
        <v>7</v>
      </c>
      <c r="Z19" s="17">
        <f t="shared" si="11"/>
        <v>5</v>
      </c>
      <c r="AA19" s="17">
        <f t="shared" si="11"/>
        <v>1</v>
      </c>
      <c r="AB19" s="17">
        <f t="shared" si="11"/>
        <v>0</v>
      </c>
      <c r="AC19" s="17">
        <f t="shared" si="11"/>
        <v>304</v>
      </c>
      <c r="AD19" s="17">
        <f t="shared" si="11"/>
        <v>0</v>
      </c>
      <c r="AE19" s="31">
        <f t="shared" si="11"/>
        <v>626</v>
      </c>
      <c r="AF19" s="31">
        <f t="shared" si="11"/>
        <v>930</v>
      </c>
    </row>
    <row r="20" spans="2:32" ht="23.1" customHeight="1" x14ac:dyDescent="0.25">
      <c r="B20" s="45" t="s">
        <v>47</v>
      </c>
      <c r="C20" s="50">
        <v>87</v>
      </c>
      <c r="D20" s="50">
        <v>34</v>
      </c>
      <c r="E20" s="50">
        <v>8</v>
      </c>
      <c r="F20" s="50">
        <v>7</v>
      </c>
      <c r="G20" s="50">
        <v>1</v>
      </c>
      <c r="H20" s="50">
        <v>0</v>
      </c>
      <c r="I20" s="50">
        <v>2</v>
      </c>
      <c r="J20" s="50">
        <v>3</v>
      </c>
      <c r="K20" s="50">
        <v>0</v>
      </c>
      <c r="L20" s="50">
        <v>0</v>
      </c>
      <c r="M20" s="50">
        <v>134</v>
      </c>
      <c r="N20" s="50">
        <v>0</v>
      </c>
      <c r="O20" s="15">
        <f t="shared" si="0"/>
        <v>142</v>
      </c>
      <c r="P20" s="15">
        <f t="shared" si="1"/>
        <v>276</v>
      </c>
      <c r="R20" s="1" t="s">
        <v>16</v>
      </c>
      <c r="S20" s="17">
        <f t="shared" ref="S20:AF20" si="12">SUM(C50:C53)</f>
        <v>321</v>
      </c>
      <c r="T20" s="17">
        <f t="shared" si="12"/>
        <v>220</v>
      </c>
      <c r="U20" s="17">
        <f t="shared" si="12"/>
        <v>46</v>
      </c>
      <c r="V20" s="17">
        <f t="shared" si="12"/>
        <v>36</v>
      </c>
      <c r="W20" s="17">
        <f t="shared" si="12"/>
        <v>5</v>
      </c>
      <c r="X20" s="17">
        <f t="shared" si="12"/>
        <v>0</v>
      </c>
      <c r="Y20" s="17">
        <f t="shared" si="12"/>
        <v>8</v>
      </c>
      <c r="Z20" s="17">
        <f t="shared" si="12"/>
        <v>5</v>
      </c>
      <c r="AA20" s="17">
        <f t="shared" si="12"/>
        <v>1</v>
      </c>
      <c r="AB20" s="17">
        <f t="shared" si="12"/>
        <v>1</v>
      </c>
      <c r="AC20" s="17">
        <f t="shared" si="12"/>
        <v>286</v>
      </c>
      <c r="AD20" s="17">
        <f t="shared" si="12"/>
        <v>0</v>
      </c>
      <c r="AE20" s="31">
        <f t="shared" si="12"/>
        <v>643</v>
      </c>
      <c r="AF20" s="31">
        <f t="shared" si="12"/>
        <v>929</v>
      </c>
    </row>
    <row r="21" spans="2:32" ht="23.1" customHeight="1" x14ac:dyDescent="0.25">
      <c r="B21" s="45" t="s">
        <v>48</v>
      </c>
      <c r="C21" s="50">
        <v>101</v>
      </c>
      <c r="D21" s="50">
        <v>68</v>
      </c>
      <c r="E21" s="50">
        <v>6</v>
      </c>
      <c r="F21" s="50">
        <v>13</v>
      </c>
      <c r="G21" s="50">
        <v>2</v>
      </c>
      <c r="H21" s="50">
        <v>0</v>
      </c>
      <c r="I21" s="50">
        <v>2</v>
      </c>
      <c r="J21" s="50">
        <v>6</v>
      </c>
      <c r="K21" s="50">
        <v>1</v>
      </c>
      <c r="L21" s="50">
        <v>0</v>
      </c>
      <c r="M21" s="50">
        <v>106</v>
      </c>
      <c r="N21" s="50">
        <v>0</v>
      </c>
      <c r="O21" s="15">
        <f t="shared" si="0"/>
        <v>199</v>
      </c>
      <c r="P21" s="15">
        <f t="shared" si="1"/>
        <v>305</v>
      </c>
      <c r="R21" s="36" t="s">
        <v>20</v>
      </c>
      <c r="S21" s="34">
        <f t="shared" ref="S21:AF21" si="13">SUM(C54:C57)</f>
        <v>275</v>
      </c>
      <c r="T21" s="17">
        <f t="shared" si="13"/>
        <v>270</v>
      </c>
      <c r="U21" s="17">
        <f t="shared" si="13"/>
        <v>30</v>
      </c>
      <c r="V21" s="17">
        <f t="shared" si="13"/>
        <v>32</v>
      </c>
      <c r="W21" s="17">
        <f t="shared" si="13"/>
        <v>3</v>
      </c>
      <c r="X21" s="17">
        <f t="shared" si="13"/>
        <v>2</v>
      </c>
      <c r="Y21" s="17">
        <f t="shared" si="13"/>
        <v>22</v>
      </c>
      <c r="Z21" s="17">
        <f t="shared" si="13"/>
        <v>5</v>
      </c>
      <c r="AA21" s="17">
        <f t="shared" si="13"/>
        <v>2</v>
      </c>
      <c r="AB21" s="17">
        <f t="shared" si="13"/>
        <v>0</v>
      </c>
      <c r="AC21" s="17">
        <f t="shared" si="13"/>
        <v>362</v>
      </c>
      <c r="AD21" s="17">
        <f t="shared" si="13"/>
        <v>0</v>
      </c>
      <c r="AE21" s="31">
        <f t="shared" si="13"/>
        <v>641</v>
      </c>
      <c r="AF21" s="31">
        <f t="shared" si="13"/>
        <v>1003</v>
      </c>
    </row>
    <row r="22" spans="2:32" ht="23.1" customHeight="1" x14ac:dyDescent="0.25">
      <c r="B22" s="45" t="s">
        <v>49</v>
      </c>
      <c r="C22" s="50">
        <v>90</v>
      </c>
      <c r="D22" s="50">
        <v>65</v>
      </c>
      <c r="E22" s="50">
        <v>11</v>
      </c>
      <c r="F22" s="50">
        <v>9</v>
      </c>
      <c r="G22" s="50">
        <v>2</v>
      </c>
      <c r="H22" s="50">
        <v>0</v>
      </c>
      <c r="I22" s="50">
        <v>0</v>
      </c>
      <c r="J22" s="50">
        <v>3</v>
      </c>
      <c r="K22" s="50">
        <v>1</v>
      </c>
      <c r="L22" s="50">
        <v>0</v>
      </c>
      <c r="M22" s="50">
        <v>91</v>
      </c>
      <c r="N22" s="50">
        <v>0</v>
      </c>
      <c r="O22" s="15">
        <f t="shared" si="0"/>
        <v>181</v>
      </c>
      <c r="P22" s="15">
        <f t="shared" si="1"/>
        <v>272</v>
      </c>
      <c r="R22" s="36" t="s">
        <v>146</v>
      </c>
      <c r="S22" s="34">
        <f>SUM(C58:C61)</f>
        <v>195</v>
      </c>
      <c r="T22" s="34">
        <f t="shared" ref="T22:AF22" si="14">SUM(D58:D61)</f>
        <v>110</v>
      </c>
      <c r="U22" s="34">
        <f t="shared" si="14"/>
        <v>39</v>
      </c>
      <c r="V22" s="34">
        <f t="shared" si="14"/>
        <v>19</v>
      </c>
      <c r="W22" s="34">
        <f t="shared" si="14"/>
        <v>2</v>
      </c>
      <c r="X22" s="34">
        <f t="shared" si="14"/>
        <v>0</v>
      </c>
      <c r="Y22" s="34">
        <f t="shared" si="14"/>
        <v>1</v>
      </c>
      <c r="Z22" s="34">
        <f t="shared" si="14"/>
        <v>5</v>
      </c>
      <c r="AA22" s="34">
        <f t="shared" si="14"/>
        <v>0</v>
      </c>
      <c r="AB22" s="34">
        <f t="shared" si="14"/>
        <v>1</v>
      </c>
      <c r="AC22" s="34">
        <f t="shared" si="14"/>
        <v>75</v>
      </c>
      <c r="AD22" s="34">
        <f t="shared" si="14"/>
        <v>0</v>
      </c>
      <c r="AE22" s="31">
        <f t="shared" si="14"/>
        <v>372</v>
      </c>
      <c r="AF22" s="31">
        <f t="shared" si="14"/>
        <v>447</v>
      </c>
    </row>
    <row r="23" spans="2:32" ht="23.1" customHeight="1" x14ac:dyDescent="0.25">
      <c r="B23" s="45" t="s">
        <v>50</v>
      </c>
      <c r="C23" s="50">
        <v>110</v>
      </c>
      <c r="D23" s="50">
        <v>77</v>
      </c>
      <c r="E23" s="50">
        <v>17</v>
      </c>
      <c r="F23" s="50">
        <v>8</v>
      </c>
      <c r="G23" s="50">
        <v>2</v>
      </c>
      <c r="H23" s="50">
        <v>0</v>
      </c>
      <c r="I23" s="50">
        <v>0</v>
      </c>
      <c r="J23" s="50">
        <v>1</v>
      </c>
      <c r="K23" s="50">
        <v>0</v>
      </c>
      <c r="L23" s="50">
        <v>0</v>
      </c>
      <c r="M23" s="50">
        <v>80</v>
      </c>
      <c r="N23" s="50">
        <v>0</v>
      </c>
      <c r="O23" s="15">
        <f t="shared" si="0"/>
        <v>215</v>
      </c>
      <c r="P23" s="15">
        <f t="shared" si="1"/>
        <v>295</v>
      </c>
      <c r="R23" s="36" t="s">
        <v>147</v>
      </c>
      <c r="S23" s="34">
        <f>SUM(C62:C65)</f>
        <v>265</v>
      </c>
      <c r="T23" s="34">
        <f t="shared" ref="T23:AF23" si="15">SUM(D62:D65)</f>
        <v>141</v>
      </c>
      <c r="U23" s="34">
        <f t="shared" si="15"/>
        <v>26</v>
      </c>
      <c r="V23" s="34">
        <f t="shared" si="15"/>
        <v>27</v>
      </c>
      <c r="W23" s="34">
        <f t="shared" si="15"/>
        <v>8</v>
      </c>
      <c r="X23" s="34">
        <f t="shared" si="15"/>
        <v>0</v>
      </c>
      <c r="Y23" s="34">
        <f t="shared" si="15"/>
        <v>7</v>
      </c>
      <c r="Z23" s="34">
        <f t="shared" si="15"/>
        <v>7</v>
      </c>
      <c r="AA23" s="34">
        <f t="shared" si="15"/>
        <v>0</v>
      </c>
      <c r="AB23" s="34">
        <f t="shared" si="15"/>
        <v>0</v>
      </c>
      <c r="AC23" s="34">
        <f t="shared" si="15"/>
        <v>361</v>
      </c>
      <c r="AD23" s="34">
        <f t="shared" si="15"/>
        <v>0</v>
      </c>
      <c r="AE23" s="31">
        <f t="shared" si="15"/>
        <v>481</v>
      </c>
      <c r="AF23" s="31">
        <f t="shared" si="15"/>
        <v>842</v>
      </c>
    </row>
    <row r="24" spans="2:32" ht="23.1" customHeight="1" x14ac:dyDescent="0.25">
      <c r="B24" s="45" t="s">
        <v>51</v>
      </c>
      <c r="C24" s="50">
        <v>120</v>
      </c>
      <c r="D24" s="50">
        <v>61</v>
      </c>
      <c r="E24" s="50">
        <v>11</v>
      </c>
      <c r="F24" s="50">
        <v>10</v>
      </c>
      <c r="G24" s="50">
        <v>5</v>
      </c>
      <c r="H24" s="50">
        <v>0</v>
      </c>
      <c r="I24" s="50">
        <v>3</v>
      </c>
      <c r="J24" s="50">
        <v>0</v>
      </c>
      <c r="K24" s="50">
        <v>1</v>
      </c>
      <c r="L24" s="50">
        <v>0</v>
      </c>
      <c r="M24" s="50">
        <v>74</v>
      </c>
      <c r="N24" s="50">
        <v>0</v>
      </c>
      <c r="O24" s="15">
        <f t="shared" si="0"/>
        <v>211</v>
      </c>
      <c r="P24" s="15">
        <f t="shared" si="1"/>
        <v>285</v>
      </c>
      <c r="R24" s="36" t="s">
        <v>148</v>
      </c>
      <c r="S24" s="34">
        <f>SUM(C66:C69)</f>
        <v>250</v>
      </c>
      <c r="T24" s="34">
        <f t="shared" ref="T24:AF24" si="16">SUM(D66:D69)</f>
        <v>105</v>
      </c>
      <c r="U24" s="34">
        <f t="shared" si="16"/>
        <v>35</v>
      </c>
      <c r="V24" s="34">
        <f t="shared" si="16"/>
        <v>35</v>
      </c>
      <c r="W24" s="34">
        <f t="shared" si="16"/>
        <v>1</v>
      </c>
      <c r="X24" s="34">
        <f t="shared" si="16"/>
        <v>0</v>
      </c>
      <c r="Y24" s="34">
        <f t="shared" si="16"/>
        <v>2</v>
      </c>
      <c r="Z24" s="34">
        <f t="shared" si="16"/>
        <v>4</v>
      </c>
      <c r="AA24" s="34">
        <f t="shared" si="16"/>
        <v>0</v>
      </c>
      <c r="AB24" s="34">
        <f t="shared" si="16"/>
        <v>0</v>
      </c>
      <c r="AC24" s="34">
        <f t="shared" si="16"/>
        <v>264</v>
      </c>
      <c r="AD24" s="34">
        <f t="shared" si="16"/>
        <v>0</v>
      </c>
      <c r="AE24" s="31">
        <f t="shared" si="16"/>
        <v>432</v>
      </c>
      <c r="AF24" s="31">
        <f t="shared" si="16"/>
        <v>696</v>
      </c>
    </row>
    <row r="25" spans="2:32" ht="23.1" customHeight="1" x14ac:dyDescent="0.25">
      <c r="B25" s="45" t="s">
        <v>52</v>
      </c>
      <c r="C25" s="50">
        <v>109</v>
      </c>
      <c r="D25" s="50">
        <v>61</v>
      </c>
      <c r="E25" s="50">
        <v>6</v>
      </c>
      <c r="F25" s="50">
        <v>11</v>
      </c>
      <c r="G25" s="50">
        <v>2</v>
      </c>
      <c r="H25" s="50">
        <v>0</v>
      </c>
      <c r="I25" s="50">
        <v>4</v>
      </c>
      <c r="J25" s="50">
        <v>3</v>
      </c>
      <c r="K25" s="50">
        <v>0</v>
      </c>
      <c r="L25" s="50">
        <v>0</v>
      </c>
      <c r="M25" s="50">
        <v>95</v>
      </c>
      <c r="N25" s="50">
        <v>0</v>
      </c>
      <c r="O25" s="15">
        <f t="shared" si="0"/>
        <v>196</v>
      </c>
      <c r="P25" s="15">
        <f t="shared" si="1"/>
        <v>291</v>
      </c>
      <c r="R25" s="36" t="s">
        <v>149</v>
      </c>
      <c r="S25" s="34">
        <f>SUM(C70:C73)</f>
        <v>156</v>
      </c>
      <c r="T25" s="34">
        <f t="shared" ref="T25:AF25" si="17">SUM(D70:D73)</f>
        <v>81</v>
      </c>
      <c r="U25" s="34">
        <f t="shared" si="17"/>
        <v>32</v>
      </c>
      <c r="V25" s="34">
        <f t="shared" si="17"/>
        <v>20</v>
      </c>
      <c r="W25" s="34">
        <f t="shared" si="17"/>
        <v>1</v>
      </c>
      <c r="X25" s="34">
        <f t="shared" si="17"/>
        <v>0</v>
      </c>
      <c r="Y25" s="34">
        <f t="shared" si="17"/>
        <v>4</v>
      </c>
      <c r="Z25" s="34">
        <f t="shared" si="17"/>
        <v>2</v>
      </c>
      <c r="AA25" s="34">
        <f t="shared" si="17"/>
        <v>1</v>
      </c>
      <c r="AB25" s="34">
        <f t="shared" si="17"/>
        <v>1</v>
      </c>
      <c r="AC25" s="34">
        <f t="shared" si="17"/>
        <v>149</v>
      </c>
      <c r="AD25" s="34">
        <f t="shared" si="17"/>
        <v>0</v>
      </c>
      <c r="AE25" s="31">
        <f t="shared" si="17"/>
        <v>298</v>
      </c>
      <c r="AF25" s="31">
        <f t="shared" si="17"/>
        <v>447</v>
      </c>
    </row>
    <row r="26" spans="2:32" ht="23.1" customHeight="1" x14ac:dyDescent="0.25">
      <c r="B26" s="45" t="s">
        <v>53</v>
      </c>
      <c r="C26" s="50">
        <v>92</v>
      </c>
      <c r="D26" s="50">
        <v>0</v>
      </c>
      <c r="E26" s="50">
        <v>14</v>
      </c>
      <c r="F26" s="50">
        <v>12</v>
      </c>
      <c r="G26" s="50">
        <v>2</v>
      </c>
      <c r="H26" s="50">
        <v>0</v>
      </c>
      <c r="I26" s="50">
        <v>4</v>
      </c>
      <c r="J26" s="50">
        <v>4</v>
      </c>
      <c r="K26" s="50">
        <v>0</v>
      </c>
      <c r="L26" s="50">
        <v>0</v>
      </c>
      <c r="M26" s="50">
        <v>78</v>
      </c>
      <c r="N26" s="50">
        <v>0</v>
      </c>
      <c r="O26" s="15">
        <f t="shared" si="0"/>
        <v>128</v>
      </c>
      <c r="P26" s="15">
        <f t="shared" si="1"/>
        <v>206</v>
      </c>
      <c r="R26" s="36" t="s">
        <v>150</v>
      </c>
      <c r="S26" s="34">
        <f>SUM(C74:C77)</f>
        <v>182</v>
      </c>
      <c r="T26" s="34">
        <f t="shared" ref="T26:AF26" si="18">SUM(D74:D77)</f>
        <v>67</v>
      </c>
      <c r="U26" s="34">
        <f t="shared" si="18"/>
        <v>17</v>
      </c>
      <c r="V26" s="34">
        <f t="shared" si="18"/>
        <v>17</v>
      </c>
      <c r="W26" s="34">
        <f t="shared" si="18"/>
        <v>2</v>
      </c>
      <c r="X26" s="34">
        <f t="shared" si="18"/>
        <v>0</v>
      </c>
      <c r="Y26" s="34">
        <f t="shared" si="18"/>
        <v>1</v>
      </c>
      <c r="Z26" s="34">
        <f t="shared" si="18"/>
        <v>2</v>
      </c>
      <c r="AA26" s="34">
        <f t="shared" si="18"/>
        <v>0</v>
      </c>
      <c r="AB26" s="34">
        <f t="shared" si="18"/>
        <v>1</v>
      </c>
      <c r="AC26" s="34">
        <f t="shared" si="18"/>
        <v>152</v>
      </c>
      <c r="AD26" s="34">
        <f t="shared" si="18"/>
        <v>0</v>
      </c>
      <c r="AE26" s="31">
        <f t="shared" si="18"/>
        <v>289</v>
      </c>
      <c r="AF26" s="31">
        <f t="shared" si="18"/>
        <v>441</v>
      </c>
    </row>
    <row r="27" spans="2:32" ht="23.1" customHeight="1" x14ac:dyDescent="0.25">
      <c r="B27" s="45" t="s">
        <v>54</v>
      </c>
      <c r="C27" s="50">
        <v>90</v>
      </c>
      <c r="D27" s="50">
        <v>0</v>
      </c>
      <c r="E27" s="50">
        <v>10</v>
      </c>
      <c r="F27" s="50">
        <v>4</v>
      </c>
      <c r="G27" s="50">
        <v>3</v>
      </c>
      <c r="H27" s="50">
        <v>0</v>
      </c>
      <c r="I27" s="50">
        <v>2</v>
      </c>
      <c r="J27" s="50">
        <v>1</v>
      </c>
      <c r="K27" s="50">
        <v>2</v>
      </c>
      <c r="L27" s="50">
        <v>0</v>
      </c>
      <c r="M27" s="50">
        <v>90</v>
      </c>
      <c r="N27" s="50">
        <v>0</v>
      </c>
      <c r="O27" s="15">
        <f t="shared" si="0"/>
        <v>112</v>
      </c>
      <c r="P27" s="15">
        <f t="shared" si="1"/>
        <v>202</v>
      </c>
      <c r="R27" s="36" t="s">
        <v>151</v>
      </c>
      <c r="S27" s="34">
        <f>SUM(C78:C81)</f>
        <v>133</v>
      </c>
      <c r="T27" s="34">
        <f t="shared" ref="T27:AF27" si="19">SUM(D78:D81)</f>
        <v>42</v>
      </c>
      <c r="U27" s="34">
        <f t="shared" si="19"/>
        <v>8</v>
      </c>
      <c r="V27" s="34">
        <f t="shared" si="19"/>
        <v>7</v>
      </c>
      <c r="W27" s="34">
        <f t="shared" si="19"/>
        <v>0</v>
      </c>
      <c r="X27" s="34">
        <f t="shared" si="19"/>
        <v>0</v>
      </c>
      <c r="Y27" s="34">
        <f t="shared" si="19"/>
        <v>2</v>
      </c>
      <c r="Z27" s="34">
        <f t="shared" si="19"/>
        <v>1</v>
      </c>
      <c r="AA27" s="34">
        <f t="shared" si="19"/>
        <v>1</v>
      </c>
      <c r="AB27" s="34">
        <f t="shared" si="19"/>
        <v>0</v>
      </c>
      <c r="AC27" s="34">
        <f t="shared" si="19"/>
        <v>74</v>
      </c>
      <c r="AD27" s="34">
        <f t="shared" si="19"/>
        <v>0</v>
      </c>
      <c r="AE27" s="31">
        <f t="shared" si="19"/>
        <v>194</v>
      </c>
      <c r="AF27" s="31">
        <f t="shared" si="19"/>
        <v>268</v>
      </c>
    </row>
    <row r="28" spans="2:32" ht="23.1" customHeight="1" x14ac:dyDescent="0.25">
      <c r="B28" s="45" t="s">
        <v>55</v>
      </c>
      <c r="C28" s="50">
        <v>102</v>
      </c>
      <c r="D28" s="50">
        <v>0</v>
      </c>
      <c r="E28" s="50">
        <v>9</v>
      </c>
      <c r="F28" s="50">
        <v>10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83</v>
      </c>
      <c r="N28" s="50">
        <v>0</v>
      </c>
      <c r="O28" s="15">
        <f t="shared" si="0"/>
        <v>121</v>
      </c>
      <c r="P28" s="15">
        <f t="shared" si="1"/>
        <v>204</v>
      </c>
      <c r="R28" s="36" t="s">
        <v>152</v>
      </c>
      <c r="S28" s="34">
        <f>SUM(C82:C85)</f>
        <v>50</v>
      </c>
      <c r="T28" s="34">
        <f t="shared" ref="T28:AF28" si="20">SUM(D82:D85)</f>
        <v>11</v>
      </c>
      <c r="U28" s="34">
        <f t="shared" si="20"/>
        <v>1</v>
      </c>
      <c r="V28" s="34">
        <f t="shared" si="20"/>
        <v>1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1</v>
      </c>
      <c r="AA28" s="34">
        <f t="shared" si="20"/>
        <v>0</v>
      </c>
      <c r="AB28" s="34">
        <f t="shared" si="20"/>
        <v>0</v>
      </c>
      <c r="AC28" s="34">
        <f t="shared" si="20"/>
        <v>31</v>
      </c>
      <c r="AD28" s="34">
        <f t="shared" si="20"/>
        <v>0</v>
      </c>
      <c r="AE28" s="31">
        <f t="shared" si="20"/>
        <v>65</v>
      </c>
      <c r="AF28" s="31">
        <f t="shared" si="20"/>
        <v>96</v>
      </c>
    </row>
    <row r="29" spans="2:32" ht="23.1" customHeight="1" x14ac:dyDescent="0.25">
      <c r="B29" s="45" t="s">
        <v>56</v>
      </c>
      <c r="C29" s="50">
        <v>73</v>
      </c>
      <c r="D29" s="50">
        <v>65</v>
      </c>
      <c r="E29" s="50">
        <v>13</v>
      </c>
      <c r="F29" s="50">
        <v>11</v>
      </c>
      <c r="G29" s="50">
        <v>1</v>
      </c>
      <c r="H29" s="50">
        <v>0</v>
      </c>
      <c r="I29" s="50">
        <v>2</v>
      </c>
      <c r="J29" s="50">
        <v>4</v>
      </c>
      <c r="K29" s="50">
        <v>0</v>
      </c>
      <c r="L29" s="50">
        <v>0</v>
      </c>
      <c r="M29" s="50">
        <v>67</v>
      </c>
      <c r="N29" s="50">
        <v>0</v>
      </c>
      <c r="O29" s="15">
        <f t="shared" si="0"/>
        <v>169</v>
      </c>
      <c r="P29" s="15">
        <f t="shared" si="1"/>
        <v>236</v>
      </c>
      <c r="R29" s="36" t="s">
        <v>153</v>
      </c>
      <c r="S29" s="34">
        <f>SUM(C86:C89)</f>
        <v>66</v>
      </c>
      <c r="T29" s="34">
        <f t="shared" ref="T29:AF29" si="21">SUM(D86:D89)</f>
        <v>12</v>
      </c>
      <c r="U29" s="34">
        <f t="shared" si="21"/>
        <v>3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48</v>
      </c>
      <c r="AD29" s="34">
        <f t="shared" si="21"/>
        <v>0</v>
      </c>
      <c r="AE29" s="31">
        <f t="shared" si="21"/>
        <v>81</v>
      </c>
      <c r="AF29" s="31">
        <f t="shared" si="21"/>
        <v>129</v>
      </c>
    </row>
    <row r="30" spans="2:32" ht="23.1" customHeight="1" x14ac:dyDescent="0.25">
      <c r="B30" s="45" t="s">
        <v>57</v>
      </c>
      <c r="C30" s="50">
        <v>81</v>
      </c>
      <c r="D30" s="50">
        <v>54</v>
      </c>
      <c r="E30" s="50">
        <v>13</v>
      </c>
      <c r="F30" s="50">
        <v>11</v>
      </c>
      <c r="G30" s="50">
        <v>2</v>
      </c>
      <c r="H30" s="50">
        <v>0</v>
      </c>
      <c r="I30" s="50">
        <v>4</v>
      </c>
      <c r="J30" s="50">
        <v>7</v>
      </c>
      <c r="K30" s="50">
        <v>1</v>
      </c>
      <c r="L30" s="50">
        <v>2</v>
      </c>
      <c r="M30" s="50">
        <v>76</v>
      </c>
      <c r="N30" s="50">
        <v>0</v>
      </c>
      <c r="O30" s="15">
        <f t="shared" si="0"/>
        <v>175</v>
      </c>
      <c r="P30" s="15">
        <f t="shared" si="1"/>
        <v>251</v>
      </c>
      <c r="R30" s="36" t="s">
        <v>154</v>
      </c>
      <c r="S30" s="34">
        <f>SUM(C90:C93)</f>
        <v>21</v>
      </c>
      <c r="T30" s="34">
        <f t="shared" ref="T30:AF30" si="22">SUM(D90:D93)</f>
        <v>6</v>
      </c>
      <c r="U30" s="34">
        <f t="shared" si="22"/>
        <v>3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5</v>
      </c>
      <c r="AD30" s="34">
        <f t="shared" si="22"/>
        <v>0</v>
      </c>
      <c r="AE30" s="31">
        <f t="shared" si="22"/>
        <v>31</v>
      </c>
      <c r="AF30" s="31">
        <f t="shared" si="22"/>
        <v>36</v>
      </c>
    </row>
    <row r="31" spans="2:32" ht="23.1" customHeight="1" x14ac:dyDescent="0.25">
      <c r="B31" s="46" t="s">
        <v>58</v>
      </c>
      <c r="C31" s="50">
        <v>65</v>
      </c>
      <c r="D31" s="50">
        <v>56</v>
      </c>
      <c r="E31" s="50">
        <v>5</v>
      </c>
      <c r="F31" s="50">
        <v>6</v>
      </c>
      <c r="G31" s="50">
        <v>0</v>
      </c>
      <c r="H31" s="50">
        <v>0</v>
      </c>
      <c r="I31" s="50">
        <v>7</v>
      </c>
      <c r="J31" s="50">
        <v>2</v>
      </c>
      <c r="K31" s="50">
        <v>0</v>
      </c>
      <c r="L31" s="50">
        <v>1</v>
      </c>
      <c r="M31" s="50">
        <v>60</v>
      </c>
      <c r="N31" s="50">
        <v>0</v>
      </c>
      <c r="O31" s="15">
        <f t="shared" si="0"/>
        <v>142</v>
      </c>
      <c r="P31" s="15">
        <f t="shared" si="1"/>
        <v>202</v>
      </c>
      <c r="R31" s="36" t="s">
        <v>155</v>
      </c>
      <c r="S31" s="34">
        <f>SUM(C94:C97)</f>
        <v>43</v>
      </c>
      <c r="T31" s="34">
        <f t="shared" ref="T31:AF31" si="23">SUM(D94:D97)</f>
        <v>8</v>
      </c>
      <c r="U31" s="34">
        <f t="shared" si="23"/>
        <v>2</v>
      </c>
      <c r="V31" s="34">
        <f t="shared" si="23"/>
        <v>1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3</v>
      </c>
      <c r="AD31" s="34">
        <f t="shared" si="23"/>
        <v>0</v>
      </c>
      <c r="AE31" s="31">
        <f t="shared" si="23"/>
        <v>54</v>
      </c>
      <c r="AF31" s="31">
        <f t="shared" si="23"/>
        <v>57</v>
      </c>
    </row>
    <row r="32" spans="2:32" ht="23.1" customHeight="1" x14ac:dyDescent="0.25">
      <c r="B32" s="46" t="s">
        <v>59</v>
      </c>
      <c r="C32" s="50">
        <v>75</v>
      </c>
      <c r="D32" s="50">
        <v>50</v>
      </c>
      <c r="E32" s="50">
        <v>11</v>
      </c>
      <c r="F32" s="50">
        <v>8</v>
      </c>
      <c r="G32" s="50">
        <v>0</v>
      </c>
      <c r="H32" s="50">
        <v>0</v>
      </c>
      <c r="I32" s="50">
        <v>2</v>
      </c>
      <c r="J32" s="50">
        <v>4</v>
      </c>
      <c r="K32" s="50">
        <v>1</v>
      </c>
      <c r="L32" s="50">
        <v>1</v>
      </c>
      <c r="M32" s="50">
        <v>52</v>
      </c>
      <c r="N32" s="50">
        <v>0</v>
      </c>
      <c r="O32" s="15">
        <f t="shared" si="0"/>
        <v>152</v>
      </c>
      <c r="P32" s="15">
        <f t="shared" si="1"/>
        <v>204</v>
      </c>
      <c r="R32" s="33" t="s">
        <v>156</v>
      </c>
      <c r="S32" s="34">
        <f>SUM(C98:C101)</f>
        <v>34</v>
      </c>
      <c r="T32" s="34">
        <f t="shared" ref="T32:AF32" si="24">SUM(D98:D101)</f>
        <v>20</v>
      </c>
      <c r="U32" s="34">
        <f t="shared" si="24"/>
        <v>2</v>
      </c>
      <c r="V32" s="34">
        <f t="shared" si="24"/>
        <v>4</v>
      </c>
      <c r="W32" s="34">
        <f t="shared" si="24"/>
        <v>2</v>
      </c>
      <c r="X32" s="34">
        <f t="shared" si="24"/>
        <v>0</v>
      </c>
      <c r="Y32" s="34">
        <f t="shared" si="24"/>
        <v>3</v>
      </c>
      <c r="Z32" s="34">
        <f t="shared" si="24"/>
        <v>1</v>
      </c>
      <c r="AA32" s="34">
        <f t="shared" si="24"/>
        <v>0</v>
      </c>
      <c r="AB32" s="34">
        <f t="shared" si="24"/>
        <v>0</v>
      </c>
      <c r="AC32" s="34">
        <f t="shared" si="24"/>
        <v>11</v>
      </c>
      <c r="AD32" s="34">
        <f t="shared" si="24"/>
        <v>0</v>
      </c>
      <c r="AE32" s="31">
        <f t="shared" si="24"/>
        <v>66</v>
      </c>
      <c r="AF32" s="31">
        <f t="shared" si="24"/>
        <v>77</v>
      </c>
    </row>
    <row r="33" spans="2:32" ht="23.1" customHeight="1" x14ac:dyDescent="0.25">
      <c r="B33" s="45" t="s">
        <v>60</v>
      </c>
      <c r="C33" s="50">
        <v>100</v>
      </c>
      <c r="D33" s="50">
        <v>63</v>
      </c>
      <c r="E33" s="50">
        <v>9</v>
      </c>
      <c r="F33" s="50">
        <v>13</v>
      </c>
      <c r="G33" s="50">
        <v>0</v>
      </c>
      <c r="H33" s="50">
        <v>0</v>
      </c>
      <c r="I33" s="50">
        <v>6</v>
      </c>
      <c r="J33" s="50">
        <v>2</v>
      </c>
      <c r="K33" s="50">
        <v>1</v>
      </c>
      <c r="L33" s="50">
        <v>0</v>
      </c>
      <c r="M33" s="50">
        <v>65</v>
      </c>
      <c r="N33" s="50">
        <v>0</v>
      </c>
      <c r="O33" s="15">
        <f t="shared" si="0"/>
        <v>194</v>
      </c>
      <c r="P33" s="15">
        <f t="shared" si="1"/>
        <v>259</v>
      </c>
      <c r="R33" s="33" t="s">
        <v>157</v>
      </c>
      <c r="S33" s="34">
        <f>SUM(C102:C105)</f>
        <v>26</v>
      </c>
      <c r="T33" s="34">
        <f t="shared" ref="T33:AF33" si="25">SUM(D102:D105)</f>
        <v>7</v>
      </c>
      <c r="U33" s="34">
        <f t="shared" si="25"/>
        <v>4</v>
      </c>
      <c r="V33" s="34">
        <f t="shared" si="25"/>
        <v>3</v>
      </c>
      <c r="W33" s="34">
        <f t="shared" si="25"/>
        <v>0</v>
      </c>
      <c r="X33" s="34">
        <f t="shared" si="25"/>
        <v>3</v>
      </c>
      <c r="Y33" s="34">
        <f t="shared" si="25"/>
        <v>0</v>
      </c>
      <c r="Z33" s="34">
        <f t="shared" si="25"/>
        <v>2</v>
      </c>
      <c r="AA33" s="34">
        <f t="shared" si="25"/>
        <v>0</v>
      </c>
      <c r="AB33" s="34">
        <f t="shared" si="25"/>
        <v>0</v>
      </c>
      <c r="AC33" s="34">
        <f t="shared" si="25"/>
        <v>28</v>
      </c>
      <c r="AD33" s="34">
        <f t="shared" si="25"/>
        <v>0</v>
      </c>
      <c r="AE33" s="31">
        <f t="shared" si="25"/>
        <v>45</v>
      </c>
      <c r="AF33" s="31">
        <f t="shared" si="25"/>
        <v>73</v>
      </c>
    </row>
    <row r="34" spans="2:32" ht="23.1" customHeight="1" x14ac:dyDescent="0.25">
      <c r="B34" s="46" t="s">
        <v>61</v>
      </c>
      <c r="C34" s="50">
        <v>66</v>
      </c>
      <c r="D34" s="50">
        <v>41</v>
      </c>
      <c r="E34" s="50">
        <v>8</v>
      </c>
      <c r="F34" s="50">
        <v>2</v>
      </c>
      <c r="G34" s="50">
        <v>0</v>
      </c>
      <c r="H34" s="50">
        <v>0</v>
      </c>
      <c r="I34" s="50">
        <v>2</v>
      </c>
      <c r="J34" s="50">
        <v>1</v>
      </c>
      <c r="K34" s="50">
        <v>0</v>
      </c>
      <c r="L34" s="50">
        <v>0</v>
      </c>
      <c r="M34" s="50">
        <v>46</v>
      </c>
      <c r="N34" s="50">
        <v>0</v>
      </c>
      <c r="O34" s="15">
        <f t="shared" si="0"/>
        <v>120</v>
      </c>
      <c r="P34" s="15">
        <f t="shared" si="1"/>
        <v>166</v>
      </c>
      <c r="R34" s="38" t="s">
        <v>90</v>
      </c>
      <c r="S34" s="39">
        <f t="shared" ref="S34:AF34" si="26">MAX(S10:S12)</f>
        <v>363</v>
      </c>
      <c r="T34" s="39">
        <f t="shared" si="26"/>
        <v>201</v>
      </c>
      <c r="U34" s="39">
        <f t="shared" si="26"/>
        <v>33</v>
      </c>
      <c r="V34" s="39">
        <f t="shared" si="26"/>
        <v>49</v>
      </c>
      <c r="W34" s="39">
        <f t="shared" si="26"/>
        <v>6</v>
      </c>
      <c r="X34" s="39">
        <f t="shared" si="26"/>
        <v>1</v>
      </c>
      <c r="Y34" s="39">
        <f t="shared" si="26"/>
        <v>9</v>
      </c>
      <c r="Z34" s="39">
        <f t="shared" si="26"/>
        <v>16</v>
      </c>
      <c r="AA34" s="39">
        <f t="shared" si="26"/>
        <v>1</v>
      </c>
      <c r="AB34" s="39">
        <f t="shared" si="26"/>
        <v>4</v>
      </c>
      <c r="AC34" s="39">
        <f t="shared" si="26"/>
        <v>396</v>
      </c>
      <c r="AD34" s="39">
        <f t="shared" si="26"/>
        <v>0</v>
      </c>
      <c r="AE34" s="40">
        <f t="shared" si="26"/>
        <v>674</v>
      </c>
      <c r="AF34" s="40">
        <f t="shared" si="26"/>
        <v>1070</v>
      </c>
    </row>
    <row r="35" spans="2:32" ht="23.1" customHeight="1" x14ac:dyDescent="0.25">
      <c r="B35" s="46" t="s">
        <v>62</v>
      </c>
      <c r="C35" s="50">
        <v>87</v>
      </c>
      <c r="D35" s="50">
        <v>75</v>
      </c>
      <c r="E35" s="50">
        <v>9</v>
      </c>
      <c r="F35" s="50">
        <v>7</v>
      </c>
      <c r="G35" s="50">
        <v>0</v>
      </c>
      <c r="H35" s="50">
        <v>0</v>
      </c>
      <c r="I35" s="50">
        <v>14</v>
      </c>
      <c r="J35" s="50">
        <v>3</v>
      </c>
      <c r="K35" s="50">
        <v>1</v>
      </c>
      <c r="L35" s="50">
        <v>0</v>
      </c>
      <c r="M35" s="50">
        <v>60</v>
      </c>
      <c r="N35" s="50">
        <v>0</v>
      </c>
      <c r="O35" s="15">
        <f t="shared" si="0"/>
        <v>196</v>
      </c>
      <c r="P35" s="15">
        <f t="shared" si="1"/>
        <v>256</v>
      </c>
      <c r="R35" s="38" t="s">
        <v>91</v>
      </c>
      <c r="S35" s="39">
        <f t="shared" ref="S35:AF35" si="27">MAX(S13:S18)</f>
        <v>429</v>
      </c>
      <c r="T35" s="39">
        <f t="shared" si="27"/>
        <v>332</v>
      </c>
      <c r="U35" s="39">
        <f t="shared" si="27"/>
        <v>46</v>
      </c>
      <c r="V35" s="39">
        <f t="shared" si="27"/>
        <v>40</v>
      </c>
      <c r="W35" s="39">
        <f t="shared" si="27"/>
        <v>11</v>
      </c>
      <c r="X35" s="39">
        <f t="shared" si="27"/>
        <v>0</v>
      </c>
      <c r="Y35" s="39">
        <f t="shared" si="27"/>
        <v>27</v>
      </c>
      <c r="Z35" s="39">
        <f t="shared" si="27"/>
        <v>15</v>
      </c>
      <c r="AA35" s="39">
        <f t="shared" si="27"/>
        <v>5</v>
      </c>
      <c r="AB35" s="39">
        <f t="shared" si="27"/>
        <v>4</v>
      </c>
      <c r="AC35" s="39">
        <f t="shared" si="27"/>
        <v>405</v>
      </c>
      <c r="AD35" s="39">
        <f t="shared" si="27"/>
        <v>0</v>
      </c>
      <c r="AE35" s="40">
        <f t="shared" si="27"/>
        <v>886</v>
      </c>
      <c r="AF35" s="40">
        <f t="shared" si="27"/>
        <v>1291</v>
      </c>
    </row>
    <row r="36" spans="2:32" ht="23.1" customHeight="1" x14ac:dyDescent="0.25">
      <c r="B36" s="46" t="s">
        <v>63</v>
      </c>
      <c r="C36" s="50">
        <v>105</v>
      </c>
      <c r="D36" s="50">
        <v>75</v>
      </c>
      <c r="E36" s="50">
        <v>8</v>
      </c>
      <c r="F36" s="50">
        <v>7</v>
      </c>
      <c r="G36" s="50">
        <v>0</v>
      </c>
      <c r="H36" s="50">
        <v>0</v>
      </c>
      <c r="I36" s="50">
        <v>7</v>
      </c>
      <c r="J36" s="50">
        <v>1</v>
      </c>
      <c r="K36" s="50">
        <v>1</v>
      </c>
      <c r="L36" s="50">
        <v>0</v>
      </c>
      <c r="M36" s="50">
        <v>52</v>
      </c>
      <c r="N36" s="50">
        <v>0</v>
      </c>
      <c r="O36" s="15">
        <f t="shared" si="0"/>
        <v>204</v>
      </c>
      <c r="P36" s="15">
        <f t="shared" si="1"/>
        <v>256</v>
      </c>
      <c r="R36" s="38" t="s">
        <v>92</v>
      </c>
      <c r="S36" s="39">
        <f t="shared" ref="S36:AF36" si="28">MAX(S19:S21)</f>
        <v>321</v>
      </c>
      <c r="T36" s="39">
        <f t="shared" si="28"/>
        <v>270</v>
      </c>
      <c r="U36" s="39">
        <f t="shared" si="28"/>
        <v>46</v>
      </c>
      <c r="V36" s="39">
        <f t="shared" si="28"/>
        <v>41</v>
      </c>
      <c r="W36" s="39">
        <f t="shared" si="28"/>
        <v>5</v>
      </c>
      <c r="X36" s="39">
        <f t="shared" si="28"/>
        <v>2</v>
      </c>
      <c r="Y36" s="39">
        <f t="shared" si="28"/>
        <v>22</v>
      </c>
      <c r="Z36" s="39">
        <f t="shared" si="28"/>
        <v>5</v>
      </c>
      <c r="AA36" s="39">
        <f t="shared" si="28"/>
        <v>2</v>
      </c>
      <c r="AB36" s="39">
        <f t="shared" si="28"/>
        <v>1</v>
      </c>
      <c r="AC36" s="39">
        <f t="shared" si="28"/>
        <v>362</v>
      </c>
      <c r="AD36" s="39">
        <f t="shared" si="28"/>
        <v>0</v>
      </c>
      <c r="AE36" s="40">
        <f t="shared" si="28"/>
        <v>643</v>
      </c>
      <c r="AF36" s="40">
        <f t="shared" si="28"/>
        <v>1003</v>
      </c>
    </row>
    <row r="37" spans="2:32" ht="23.1" customHeight="1" x14ac:dyDescent="0.25">
      <c r="B37" s="45" t="s">
        <v>64</v>
      </c>
      <c r="C37" s="50">
        <v>74</v>
      </c>
      <c r="D37" s="50">
        <v>71</v>
      </c>
      <c r="E37" s="50">
        <v>15</v>
      </c>
      <c r="F37" s="50">
        <v>12</v>
      </c>
      <c r="G37" s="50">
        <v>1</v>
      </c>
      <c r="H37" s="50">
        <v>0</v>
      </c>
      <c r="I37" s="50">
        <v>4</v>
      </c>
      <c r="J37" s="50">
        <v>3</v>
      </c>
      <c r="K37" s="50">
        <v>0</v>
      </c>
      <c r="L37" s="50">
        <v>0</v>
      </c>
      <c r="M37" s="50">
        <v>64</v>
      </c>
      <c r="N37" s="50">
        <v>0</v>
      </c>
      <c r="O37" s="15">
        <f t="shared" si="0"/>
        <v>180</v>
      </c>
      <c r="P37" s="15">
        <f t="shared" si="1"/>
        <v>244</v>
      </c>
      <c r="R37" s="37" t="s">
        <v>85</v>
      </c>
      <c r="S37" s="35">
        <f t="shared" ref="S37:AF37" si="29">SUM(S10:S12)</f>
        <v>814</v>
      </c>
      <c r="T37" s="16">
        <f t="shared" si="29"/>
        <v>518</v>
      </c>
      <c r="U37" s="16">
        <f t="shared" si="29"/>
        <v>90</v>
      </c>
      <c r="V37" s="16">
        <f t="shared" si="29"/>
        <v>114</v>
      </c>
      <c r="W37" s="16">
        <f t="shared" si="29"/>
        <v>13</v>
      </c>
      <c r="X37" s="16">
        <f t="shared" si="29"/>
        <v>1</v>
      </c>
      <c r="Y37" s="16">
        <f t="shared" si="29"/>
        <v>20</v>
      </c>
      <c r="Z37" s="16">
        <f t="shared" si="29"/>
        <v>29</v>
      </c>
      <c r="AA37" s="16">
        <f t="shared" si="29"/>
        <v>2</v>
      </c>
      <c r="AB37" s="16">
        <f t="shared" si="29"/>
        <v>4</v>
      </c>
      <c r="AC37" s="16">
        <f t="shared" si="29"/>
        <v>936</v>
      </c>
      <c r="AD37" s="16">
        <f t="shared" si="29"/>
        <v>0</v>
      </c>
      <c r="AE37" s="32">
        <f t="shared" si="29"/>
        <v>1605</v>
      </c>
      <c r="AF37" s="32">
        <f t="shared" si="29"/>
        <v>2541</v>
      </c>
    </row>
    <row r="38" spans="2:32" ht="23.1" customHeight="1" x14ac:dyDescent="0.25">
      <c r="B38" s="46" t="s">
        <v>65</v>
      </c>
      <c r="C38" s="50">
        <v>79</v>
      </c>
      <c r="D38" s="50">
        <v>57</v>
      </c>
      <c r="E38" s="50">
        <v>8</v>
      </c>
      <c r="F38" s="50">
        <v>14</v>
      </c>
      <c r="G38" s="50">
        <v>1</v>
      </c>
      <c r="H38" s="50">
        <v>0</v>
      </c>
      <c r="I38" s="50">
        <v>5</v>
      </c>
      <c r="J38" s="50">
        <v>0</v>
      </c>
      <c r="K38" s="50">
        <v>0</v>
      </c>
      <c r="L38" s="50">
        <v>0</v>
      </c>
      <c r="M38" s="50">
        <v>48</v>
      </c>
      <c r="N38" s="50">
        <v>0</v>
      </c>
      <c r="O38" s="15">
        <f t="shared" si="0"/>
        <v>164</v>
      </c>
      <c r="P38" s="15">
        <f t="shared" si="1"/>
        <v>212</v>
      </c>
      <c r="R38" s="28" t="s">
        <v>86</v>
      </c>
      <c r="S38" s="16">
        <f t="shared" ref="S38:AF38" si="30">SUM(S13:S18)</f>
        <v>2249</v>
      </c>
      <c r="T38" s="16">
        <f t="shared" si="30"/>
        <v>1400</v>
      </c>
      <c r="U38" s="16">
        <f t="shared" si="30"/>
        <v>251</v>
      </c>
      <c r="V38" s="16">
        <f t="shared" si="30"/>
        <v>210</v>
      </c>
      <c r="W38" s="16">
        <f t="shared" si="30"/>
        <v>26</v>
      </c>
      <c r="X38" s="16">
        <f t="shared" si="30"/>
        <v>0</v>
      </c>
      <c r="Y38" s="16">
        <f t="shared" si="30"/>
        <v>112</v>
      </c>
      <c r="Z38" s="16">
        <f t="shared" si="30"/>
        <v>64</v>
      </c>
      <c r="AA38" s="16">
        <f t="shared" si="30"/>
        <v>14</v>
      </c>
      <c r="AB38" s="16">
        <f t="shared" si="30"/>
        <v>5</v>
      </c>
      <c r="AC38" s="16">
        <f t="shared" si="30"/>
        <v>1824</v>
      </c>
      <c r="AD38" s="16">
        <f t="shared" si="30"/>
        <v>0</v>
      </c>
      <c r="AE38" s="32">
        <f t="shared" si="30"/>
        <v>4331</v>
      </c>
      <c r="AF38" s="32">
        <f t="shared" si="30"/>
        <v>6155</v>
      </c>
    </row>
    <row r="39" spans="2:32" ht="23.1" customHeight="1" x14ac:dyDescent="0.25">
      <c r="B39" s="46" t="s">
        <v>66</v>
      </c>
      <c r="C39" s="50">
        <v>125</v>
      </c>
      <c r="D39" s="50">
        <v>85</v>
      </c>
      <c r="E39" s="50">
        <v>9</v>
      </c>
      <c r="F39" s="50">
        <v>6</v>
      </c>
      <c r="G39" s="50">
        <v>0</v>
      </c>
      <c r="H39" s="50">
        <v>0</v>
      </c>
      <c r="I39" s="50">
        <v>4</v>
      </c>
      <c r="J39" s="50">
        <v>3</v>
      </c>
      <c r="K39" s="50">
        <v>0</v>
      </c>
      <c r="L39" s="50">
        <v>0</v>
      </c>
      <c r="M39" s="50">
        <v>83</v>
      </c>
      <c r="N39" s="50">
        <v>0</v>
      </c>
      <c r="O39" s="15">
        <f t="shared" si="0"/>
        <v>232</v>
      </c>
      <c r="P39" s="15">
        <f t="shared" si="1"/>
        <v>315</v>
      </c>
      <c r="R39" s="29" t="s">
        <v>87</v>
      </c>
      <c r="S39" s="16">
        <f t="shared" ref="S39:AF39" si="31">SUM(S19:S21)</f>
        <v>887</v>
      </c>
      <c r="T39" s="16">
        <f t="shared" si="31"/>
        <v>729</v>
      </c>
      <c r="U39" s="16">
        <f t="shared" si="31"/>
        <v>114</v>
      </c>
      <c r="V39" s="16">
        <f t="shared" si="31"/>
        <v>109</v>
      </c>
      <c r="W39" s="16">
        <f t="shared" si="31"/>
        <v>12</v>
      </c>
      <c r="X39" s="16">
        <f t="shared" si="31"/>
        <v>2</v>
      </c>
      <c r="Y39" s="16">
        <f t="shared" si="31"/>
        <v>37</v>
      </c>
      <c r="Z39" s="16">
        <f t="shared" si="31"/>
        <v>15</v>
      </c>
      <c r="AA39" s="16">
        <f t="shared" si="31"/>
        <v>4</v>
      </c>
      <c r="AB39" s="16">
        <f t="shared" si="31"/>
        <v>1</v>
      </c>
      <c r="AC39" s="16">
        <f t="shared" si="31"/>
        <v>952</v>
      </c>
      <c r="AD39" s="16">
        <f t="shared" si="31"/>
        <v>0</v>
      </c>
      <c r="AE39" s="32">
        <f t="shared" si="31"/>
        <v>1910</v>
      </c>
      <c r="AF39" s="32">
        <f t="shared" si="31"/>
        <v>2862</v>
      </c>
    </row>
    <row r="40" spans="2:32" ht="23.1" customHeight="1" x14ac:dyDescent="0.25">
      <c r="B40" s="46" t="s">
        <v>67</v>
      </c>
      <c r="C40" s="50">
        <v>115</v>
      </c>
      <c r="D40" s="50">
        <v>75</v>
      </c>
      <c r="E40" s="50">
        <v>19</v>
      </c>
      <c r="F40" s="50">
        <v>7</v>
      </c>
      <c r="G40" s="50">
        <v>0</v>
      </c>
      <c r="H40" s="50">
        <v>0</v>
      </c>
      <c r="I40" s="50">
        <v>9</v>
      </c>
      <c r="J40" s="50">
        <v>6</v>
      </c>
      <c r="K40" s="50">
        <v>0</v>
      </c>
      <c r="L40" s="50">
        <v>0</v>
      </c>
      <c r="M40" s="50">
        <v>85</v>
      </c>
      <c r="N40" s="50">
        <v>0</v>
      </c>
      <c r="O40" s="15">
        <f t="shared" si="0"/>
        <v>231</v>
      </c>
      <c r="P40" s="15">
        <f t="shared" si="1"/>
        <v>316</v>
      </c>
      <c r="R40" s="5" t="s">
        <v>17</v>
      </c>
      <c r="S40" s="16">
        <f t="shared" ref="S40:AF40" si="32">SUM(S10:S21)</f>
        <v>3950</v>
      </c>
      <c r="T40" s="16">
        <f t="shared" si="32"/>
        <v>2647</v>
      </c>
      <c r="U40" s="16">
        <f t="shared" si="32"/>
        <v>455</v>
      </c>
      <c r="V40" s="16">
        <f t="shared" si="32"/>
        <v>433</v>
      </c>
      <c r="W40" s="16">
        <f t="shared" si="32"/>
        <v>51</v>
      </c>
      <c r="X40" s="16">
        <f t="shared" si="32"/>
        <v>3</v>
      </c>
      <c r="Y40" s="16">
        <f t="shared" si="32"/>
        <v>169</v>
      </c>
      <c r="Z40" s="16">
        <f t="shared" si="32"/>
        <v>108</v>
      </c>
      <c r="AA40" s="16">
        <f t="shared" si="32"/>
        <v>20</v>
      </c>
      <c r="AB40" s="16">
        <f t="shared" si="32"/>
        <v>10</v>
      </c>
      <c r="AC40" s="16">
        <f t="shared" si="32"/>
        <v>3712</v>
      </c>
      <c r="AD40" s="16">
        <f t="shared" si="32"/>
        <v>0</v>
      </c>
      <c r="AE40" s="32">
        <f t="shared" si="32"/>
        <v>7846</v>
      </c>
      <c r="AF40" s="32">
        <f t="shared" si="32"/>
        <v>11558</v>
      </c>
    </row>
    <row r="41" spans="2:32" ht="23.1" customHeight="1" x14ac:dyDescent="0.25">
      <c r="B41" s="45" t="s">
        <v>68</v>
      </c>
      <c r="C41" s="50">
        <v>66</v>
      </c>
      <c r="D41" s="50">
        <v>37</v>
      </c>
      <c r="E41" s="50">
        <v>7</v>
      </c>
      <c r="F41" s="50">
        <v>2</v>
      </c>
      <c r="G41" s="50">
        <v>0</v>
      </c>
      <c r="H41" s="50">
        <v>0</v>
      </c>
      <c r="I41" s="50">
        <v>6</v>
      </c>
      <c r="J41" s="50">
        <v>3</v>
      </c>
      <c r="K41" s="50">
        <v>0</v>
      </c>
      <c r="L41" s="50">
        <v>1</v>
      </c>
      <c r="M41" s="50">
        <v>70</v>
      </c>
      <c r="N41" s="50">
        <v>0</v>
      </c>
      <c r="O41" s="15">
        <f t="shared" si="0"/>
        <v>122</v>
      </c>
      <c r="P41" s="15">
        <f t="shared" si="1"/>
        <v>192</v>
      </c>
      <c r="R41" s="5" t="s">
        <v>159</v>
      </c>
      <c r="S41" s="16">
        <f>SUM(S10:S33)</f>
        <v>5371</v>
      </c>
      <c r="T41" s="16">
        <f t="shared" ref="T41:AF41" si="33">SUM(T10:T33)</f>
        <v>3257</v>
      </c>
      <c r="U41" s="16">
        <f t="shared" si="33"/>
        <v>627</v>
      </c>
      <c r="V41" s="16">
        <f t="shared" si="33"/>
        <v>568</v>
      </c>
      <c r="W41" s="16">
        <f t="shared" si="33"/>
        <v>67</v>
      </c>
      <c r="X41" s="16">
        <f t="shared" si="33"/>
        <v>6</v>
      </c>
      <c r="Y41" s="16">
        <f t="shared" si="33"/>
        <v>190</v>
      </c>
      <c r="Z41" s="16">
        <f t="shared" si="33"/>
        <v>133</v>
      </c>
      <c r="AA41" s="16">
        <f t="shared" si="33"/>
        <v>22</v>
      </c>
      <c r="AB41" s="16">
        <f t="shared" si="33"/>
        <v>13</v>
      </c>
      <c r="AC41" s="16">
        <f t="shared" si="33"/>
        <v>4913</v>
      </c>
      <c r="AD41" s="16">
        <f t="shared" si="33"/>
        <v>0</v>
      </c>
      <c r="AE41" s="32">
        <f t="shared" si="33"/>
        <v>10254</v>
      </c>
      <c r="AF41" s="32">
        <f t="shared" si="33"/>
        <v>15167</v>
      </c>
    </row>
    <row r="42" spans="2:32" ht="23.1" customHeight="1" x14ac:dyDescent="0.25">
      <c r="B42" s="46" t="s">
        <v>69</v>
      </c>
      <c r="C42" s="50">
        <v>111</v>
      </c>
      <c r="D42" s="50">
        <v>75</v>
      </c>
      <c r="E42" s="50">
        <v>12</v>
      </c>
      <c r="F42" s="50">
        <v>8</v>
      </c>
      <c r="G42" s="50">
        <v>3</v>
      </c>
      <c r="H42" s="50">
        <v>0</v>
      </c>
      <c r="I42" s="50">
        <v>10</v>
      </c>
      <c r="J42" s="50">
        <v>3</v>
      </c>
      <c r="K42" s="50">
        <v>2</v>
      </c>
      <c r="L42" s="50">
        <v>0</v>
      </c>
      <c r="M42" s="50">
        <v>117</v>
      </c>
      <c r="N42" s="50">
        <v>0</v>
      </c>
      <c r="O42" s="15">
        <f t="shared" si="0"/>
        <v>224</v>
      </c>
      <c r="P42" s="15">
        <f t="shared" si="1"/>
        <v>341</v>
      </c>
      <c r="R42" s="5" t="s">
        <v>160</v>
      </c>
      <c r="S42" s="48">
        <f>S41/S40</f>
        <v>1.359746835443038</v>
      </c>
      <c r="T42" s="48">
        <f t="shared" ref="T42:AF42" si="34">T41/T40</f>
        <v>1.2304495655459011</v>
      </c>
      <c r="U42" s="48">
        <f t="shared" si="34"/>
        <v>1.378021978021978</v>
      </c>
      <c r="V42" s="48">
        <f t="shared" si="34"/>
        <v>1.3117782909930715</v>
      </c>
      <c r="W42" s="48">
        <f t="shared" si="34"/>
        <v>1.3137254901960784</v>
      </c>
      <c r="X42" s="48">
        <f t="shared" si="34"/>
        <v>2</v>
      </c>
      <c r="Y42" s="48">
        <f t="shared" si="34"/>
        <v>1.1242603550295858</v>
      </c>
      <c r="Z42" s="48">
        <f t="shared" si="34"/>
        <v>1.2314814814814814</v>
      </c>
      <c r="AA42" s="48">
        <f t="shared" si="34"/>
        <v>1.1000000000000001</v>
      </c>
      <c r="AB42" s="48">
        <f t="shared" si="34"/>
        <v>1.3</v>
      </c>
      <c r="AC42" s="48">
        <f t="shared" si="34"/>
        <v>1.3235452586206897</v>
      </c>
      <c r="AD42" s="48" t="e">
        <f t="shared" si="34"/>
        <v>#DIV/0!</v>
      </c>
      <c r="AE42" s="48">
        <f t="shared" si="34"/>
        <v>1.3069079785878155</v>
      </c>
      <c r="AF42" s="48">
        <f t="shared" si="34"/>
        <v>1.3122512545423084</v>
      </c>
    </row>
    <row r="43" spans="2:32" ht="23.1" customHeight="1" x14ac:dyDescent="0.25">
      <c r="B43" s="45" t="s">
        <v>70</v>
      </c>
      <c r="C43" s="50">
        <v>90</v>
      </c>
      <c r="D43" s="50">
        <v>72</v>
      </c>
      <c r="E43" s="50">
        <v>8</v>
      </c>
      <c r="F43" s="50">
        <v>5</v>
      </c>
      <c r="G43" s="50">
        <v>0</v>
      </c>
      <c r="H43" s="50">
        <v>0</v>
      </c>
      <c r="I43" s="50">
        <v>6</v>
      </c>
      <c r="J43" s="50">
        <v>6</v>
      </c>
      <c r="K43" s="50">
        <v>0</v>
      </c>
      <c r="L43" s="50">
        <v>0</v>
      </c>
      <c r="M43" s="50">
        <v>91</v>
      </c>
      <c r="N43" s="50">
        <v>0</v>
      </c>
      <c r="O43" s="15">
        <f t="shared" si="0"/>
        <v>187</v>
      </c>
      <c r="P43" s="15">
        <f t="shared" si="1"/>
        <v>278</v>
      </c>
    </row>
    <row r="44" spans="2:32" ht="23.1" customHeight="1" x14ac:dyDescent="0.25">
      <c r="B44" s="47" t="s">
        <v>71</v>
      </c>
      <c r="C44" s="50">
        <v>154</v>
      </c>
      <c r="D44" s="50">
        <v>125</v>
      </c>
      <c r="E44" s="50">
        <v>8</v>
      </c>
      <c r="F44" s="50">
        <v>13</v>
      </c>
      <c r="G44" s="50">
        <v>0</v>
      </c>
      <c r="H44" s="50">
        <v>0</v>
      </c>
      <c r="I44" s="50">
        <v>7</v>
      </c>
      <c r="J44" s="50">
        <v>3</v>
      </c>
      <c r="K44" s="50">
        <v>3</v>
      </c>
      <c r="L44" s="50">
        <v>0</v>
      </c>
      <c r="M44" s="50">
        <v>100</v>
      </c>
      <c r="N44" s="50">
        <v>0</v>
      </c>
      <c r="O44" s="15">
        <f t="shared" si="0"/>
        <v>313</v>
      </c>
      <c r="P44" s="15">
        <f t="shared" si="1"/>
        <v>413</v>
      </c>
    </row>
    <row r="45" spans="2:32" ht="23.1" customHeight="1" x14ac:dyDescent="0.25">
      <c r="B45" s="45" t="s">
        <v>72</v>
      </c>
      <c r="C45" s="50">
        <v>70</v>
      </c>
      <c r="D45" s="50">
        <v>60</v>
      </c>
      <c r="E45" s="50">
        <v>11</v>
      </c>
      <c r="F45" s="50">
        <v>14</v>
      </c>
      <c r="G45" s="50">
        <v>2</v>
      </c>
      <c r="H45" s="50">
        <v>0</v>
      </c>
      <c r="I45" s="50">
        <v>4</v>
      </c>
      <c r="J45" s="50">
        <v>1</v>
      </c>
      <c r="K45" s="50">
        <v>0</v>
      </c>
      <c r="L45" s="50">
        <v>0</v>
      </c>
      <c r="M45" s="50">
        <v>97</v>
      </c>
      <c r="N45" s="50">
        <v>0</v>
      </c>
      <c r="O45" s="15">
        <f t="shared" si="0"/>
        <v>162</v>
      </c>
      <c r="P45" s="15">
        <f t="shared" si="1"/>
        <v>259</v>
      </c>
    </row>
    <row r="46" spans="2:32" ht="23.1" customHeight="1" x14ac:dyDescent="0.25">
      <c r="B46" s="46" t="s">
        <v>73</v>
      </c>
      <c r="C46" s="50">
        <v>58</v>
      </c>
      <c r="D46" s="50">
        <v>56</v>
      </c>
      <c r="E46" s="50">
        <v>13</v>
      </c>
      <c r="F46" s="50">
        <v>12</v>
      </c>
      <c r="G46" s="50">
        <v>2</v>
      </c>
      <c r="H46" s="50">
        <v>0</v>
      </c>
      <c r="I46" s="50">
        <v>2</v>
      </c>
      <c r="J46" s="50">
        <v>0</v>
      </c>
      <c r="K46" s="50">
        <v>0</v>
      </c>
      <c r="L46" s="50">
        <v>0</v>
      </c>
      <c r="M46" s="50">
        <v>77</v>
      </c>
      <c r="N46" s="50">
        <v>0</v>
      </c>
      <c r="O46" s="15">
        <f t="shared" si="0"/>
        <v>143</v>
      </c>
      <c r="P46" s="15">
        <f t="shared" si="1"/>
        <v>220</v>
      </c>
      <c r="R46" s="8"/>
      <c r="T46"/>
    </row>
    <row r="47" spans="2:32" ht="23.1" customHeight="1" x14ac:dyDescent="0.25">
      <c r="B47" s="46" t="s">
        <v>74</v>
      </c>
      <c r="C47" s="50">
        <v>66</v>
      </c>
      <c r="D47" s="50">
        <v>85</v>
      </c>
      <c r="E47" s="50">
        <v>13</v>
      </c>
      <c r="F47" s="50">
        <v>9</v>
      </c>
      <c r="G47" s="50">
        <v>1</v>
      </c>
      <c r="H47" s="50">
        <v>0</v>
      </c>
      <c r="I47" s="50">
        <v>1</v>
      </c>
      <c r="J47" s="50">
        <v>3</v>
      </c>
      <c r="K47" s="50">
        <v>0</v>
      </c>
      <c r="L47" s="50">
        <v>0</v>
      </c>
      <c r="M47" s="50">
        <v>72</v>
      </c>
      <c r="N47" s="50">
        <v>0</v>
      </c>
      <c r="O47" s="15">
        <f t="shared" si="0"/>
        <v>178</v>
      </c>
      <c r="P47" s="15">
        <f t="shared" si="1"/>
        <v>250</v>
      </c>
      <c r="R47" s="8"/>
      <c r="T47"/>
    </row>
    <row r="48" spans="2:32" ht="23.1" customHeight="1" x14ac:dyDescent="0.25">
      <c r="B48" s="46" t="s">
        <v>75</v>
      </c>
      <c r="C48" s="50">
        <v>70</v>
      </c>
      <c r="D48" s="50">
        <v>45</v>
      </c>
      <c r="E48" s="50">
        <v>6</v>
      </c>
      <c r="F48" s="50">
        <v>13</v>
      </c>
      <c r="G48" s="50">
        <v>0</v>
      </c>
      <c r="H48" s="50">
        <v>0</v>
      </c>
      <c r="I48" s="50">
        <v>1</v>
      </c>
      <c r="J48" s="50">
        <v>2</v>
      </c>
      <c r="K48" s="50">
        <v>1</v>
      </c>
      <c r="L48" s="50">
        <v>0</v>
      </c>
      <c r="M48" s="50">
        <v>85</v>
      </c>
      <c r="N48" s="50">
        <v>0</v>
      </c>
      <c r="O48" s="15">
        <f t="shared" si="0"/>
        <v>138</v>
      </c>
      <c r="P48" s="15">
        <f t="shared" si="1"/>
        <v>223</v>
      </c>
      <c r="R48" s="8"/>
      <c r="T48"/>
    </row>
    <row r="49" spans="2:20" ht="23.1" customHeight="1" x14ac:dyDescent="0.25">
      <c r="B49" s="45" t="s">
        <v>76</v>
      </c>
      <c r="C49" s="50">
        <v>97</v>
      </c>
      <c r="D49" s="50">
        <v>53</v>
      </c>
      <c r="E49" s="50">
        <v>6</v>
      </c>
      <c r="F49" s="50">
        <v>7</v>
      </c>
      <c r="G49" s="50">
        <v>1</v>
      </c>
      <c r="H49" s="50">
        <v>0</v>
      </c>
      <c r="I49" s="50">
        <v>3</v>
      </c>
      <c r="J49" s="50">
        <v>0</v>
      </c>
      <c r="K49" s="50">
        <v>0</v>
      </c>
      <c r="L49" s="50">
        <v>0</v>
      </c>
      <c r="M49" s="50">
        <v>70</v>
      </c>
      <c r="N49" s="50">
        <v>0</v>
      </c>
      <c r="O49" s="15">
        <f t="shared" si="0"/>
        <v>167</v>
      </c>
      <c r="P49" s="15">
        <f t="shared" si="1"/>
        <v>237</v>
      </c>
      <c r="R49" s="8"/>
      <c r="T49"/>
    </row>
    <row r="50" spans="2:20" ht="23.1" customHeight="1" x14ac:dyDescent="0.25">
      <c r="B50" s="46" t="s">
        <v>77</v>
      </c>
      <c r="C50" s="50">
        <v>59</v>
      </c>
      <c r="D50" s="50">
        <v>56</v>
      </c>
      <c r="E50" s="50">
        <v>14</v>
      </c>
      <c r="F50" s="50">
        <v>11</v>
      </c>
      <c r="G50" s="50">
        <v>0</v>
      </c>
      <c r="H50" s="50">
        <v>0</v>
      </c>
      <c r="I50" s="50">
        <v>3</v>
      </c>
      <c r="J50" s="50">
        <v>0</v>
      </c>
      <c r="K50" s="50">
        <v>0</v>
      </c>
      <c r="L50" s="50">
        <v>0</v>
      </c>
      <c r="M50" s="50">
        <v>60</v>
      </c>
      <c r="N50" s="50">
        <v>0</v>
      </c>
      <c r="O50" s="15">
        <f t="shared" si="0"/>
        <v>143</v>
      </c>
      <c r="P50" s="15">
        <f t="shared" si="1"/>
        <v>203</v>
      </c>
      <c r="R50" s="8"/>
      <c r="T50"/>
    </row>
    <row r="51" spans="2:20" ht="23.1" customHeight="1" x14ac:dyDescent="0.25">
      <c r="B51" s="46" t="s">
        <v>78</v>
      </c>
      <c r="C51" s="50">
        <v>96</v>
      </c>
      <c r="D51" s="50">
        <v>62</v>
      </c>
      <c r="E51" s="50">
        <v>15</v>
      </c>
      <c r="F51" s="50">
        <v>6</v>
      </c>
      <c r="G51" s="50">
        <v>4</v>
      </c>
      <c r="H51" s="50">
        <v>0</v>
      </c>
      <c r="I51" s="50">
        <v>1</v>
      </c>
      <c r="J51" s="50">
        <v>2</v>
      </c>
      <c r="K51" s="50">
        <v>0</v>
      </c>
      <c r="L51" s="50">
        <v>0</v>
      </c>
      <c r="M51" s="50">
        <v>63</v>
      </c>
      <c r="N51" s="50">
        <v>0</v>
      </c>
      <c r="O51" s="15">
        <f t="shared" si="0"/>
        <v>186</v>
      </c>
      <c r="P51" s="15">
        <f t="shared" si="1"/>
        <v>249</v>
      </c>
      <c r="R51" s="8"/>
      <c r="T51"/>
    </row>
    <row r="52" spans="2:20" ht="23.1" customHeight="1" x14ac:dyDescent="0.25">
      <c r="B52" s="46" t="s">
        <v>79</v>
      </c>
      <c r="C52" s="50">
        <v>85</v>
      </c>
      <c r="D52" s="50">
        <v>60</v>
      </c>
      <c r="E52" s="50">
        <v>10</v>
      </c>
      <c r="F52" s="50">
        <v>6</v>
      </c>
      <c r="G52" s="50">
        <v>1</v>
      </c>
      <c r="H52" s="50">
        <v>0</v>
      </c>
      <c r="I52" s="50">
        <v>2</v>
      </c>
      <c r="J52" s="50">
        <v>2</v>
      </c>
      <c r="K52" s="50">
        <v>1</v>
      </c>
      <c r="L52" s="50">
        <v>0</v>
      </c>
      <c r="M52" s="50">
        <v>82</v>
      </c>
      <c r="N52" s="50">
        <v>0</v>
      </c>
      <c r="O52" s="15">
        <f t="shared" si="0"/>
        <v>167</v>
      </c>
      <c r="P52" s="15">
        <f t="shared" si="1"/>
        <v>249</v>
      </c>
      <c r="R52" s="8"/>
      <c r="T52"/>
    </row>
    <row r="53" spans="2:20" ht="23.1" customHeight="1" x14ac:dyDescent="0.25">
      <c r="B53" s="45" t="s">
        <v>80</v>
      </c>
      <c r="C53" s="50">
        <v>81</v>
      </c>
      <c r="D53" s="50">
        <v>42</v>
      </c>
      <c r="E53" s="50">
        <v>7</v>
      </c>
      <c r="F53" s="50">
        <v>13</v>
      </c>
      <c r="G53" s="50">
        <v>0</v>
      </c>
      <c r="H53" s="50">
        <v>0</v>
      </c>
      <c r="I53" s="50">
        <v>2</v>
      </c>
      <c r="J53" s="50">
        <v>1</v>
      </c>
      <c r="K53" s="50">
        <v>0</v>
      </c>
      <c r="L53" s="50">
        <v>1</v>
      </c>
      <c r="M53" s="50">
        <v>81</v>
      </c>
      <c r="N53" s="50">
        <v>0</v>
      </c>
      <c r="O53" s="15">
        <f t="shared" si="0"/>
        <v>147</v>
      </c>
      <c r="P53" s="15">
        <f t="shared" si="1"/>
        <v>228</v>
      </c>
      <c r="R53" s="8"/>
      <c r="T53"/>
    </row>
    <row r="54" spans="2:20" ht="23.1" customHeight="1" x14ac:dyDescent="0.25">
      <c r="B54" s="45" t="s">
        <v>81</v>
      </c>
      <c r="C54" s="50">
        <v>40</v>
      </c>
      <c r="D54" s="50">
        <v>45</v>
      </c>
      <c r="E54" s="50">
        <v>11</v>
      </c>
      <c r="F54" s="50">
        <v>7</v>
      </c>
      <c r="G54" s="50">
        <v>0</v>
      </c>
      <c r="H54" s="50">
        <v>1</v>
      </c>
      <c r="I54" s="50">
        <v>3</v>
      </c>
      <c r="J54" s="50">
        <v>0</v>
      </c>
      <c r="K54" s="50">
        <v>2</v>
      </c>
      <c r="L54" s="50">
        <v>0</v>
      </c>
      <c r="M54" s="50">
        <v>69</v>
      </c>
      <c r="N54" s="50">
        <v>0</v>
      </c>
      <c r="O54" s="15">
        <f t="shared" si="0"/>
        <v>109</v>
      </c>
      <c r="P54" s="15">
        <f t="shared" si="1"/>
        <v>178</v>
      </c>
      <c r="R54" s="8"/>
      <c r="T54"/>
    </row>
    <row r="55" spans="2:20" ht="23.1" customHeight="1" x14ac:dyDescent="0.25">
      <c r="B55" s="45" t="s">
        <v>82</v>
      </c>
      <c r="C55" s="50">
        <v>98</v>
      </c>
      <c r="D55" s="50">
        <v>90</v>
      </c>
      <c r="E55" s="50">
        <v>4</v>
      </c>
      <c r="F55" s="50">
        <v>9</v>
      </c>
      <c r="G55" s="50">
        <v>2</v>
      </c>
      <c r="H55" s="50">
        <v>0</v>
      </c>
      <c r="I55" s="50">
        <v>6</v>
      </c>
      <c r="J55" s="50">
        <v>1</v>
      </c>
      <c r="K55" s="50">
        <v>0</v>
      </c>
      <c r="L55" s="50">
        <v>0</v>
      </c>
      <c r="M55" s="50">
        <v>56</v>
      </c>
      <c r="N55" s="50">
        <v>0</v>
      </c>
      <c r="O55" s="15">
        <f t="shared" si="0"/>
        <v>210</v>
      </c>
      <c r="P55" s="15">
        <f t="shared" si="1"/>
        <v>266</v>
      </c>
      <c r="R55" s="8"/>
      <c r="T55"/>
    </row>
    <row r="56" spans="2:20" ht="23.1" customHeight="1" x14ac:dyDescent="0.25">
      <c r="B56" s="45" t="s">
        <v>83</v>
      </c>
      <c r="C56" s="50">
        <v>82</v>
      </c>
      <c r="D56" s="50">
        <v>70</v>
      </c>
      <c r="E56" s="50">
        <v>8</v>
      </c>
      <c r="F56" s="50">
        <v>8</v>
      </c>
      <c r="G56" s="50">
        <v>1</v>
      </c>
      <c r="H56" s="50">
        <v>1</v>
      </c>
      <c r="I56" s="50">
        <v>6</v>
      </c>
      <c r="J56" s="50">
        <v>3</v>
      </c>
      <c r="K56" s="50">
        <v>0</v>
      </c>
      <c r="L56" s="50">
        <v>0</v>
      </c>
      <c r="M56" s="50">
        <v>122</v>
      </c>
      <c r="N56" s="50">
        <v>0</v>
      </c>
      <c r="O56" s="15">
        <f t="shared" si="0"/>
        <v>179</v>
      </c>
      <c r="P56" s="15">
        <f t="shared" si="1"/>
        <v>301</v>
      </c>
      <c r="R56" s="8"/>
      <c r="T56"/>
    </row>
    <row r="57" spans="2:20" ht="23.1" customHeight="1" x14ac:dyDescent="0.25">
      <c r="B57" s="45" t="s">
        <v>84</v>
      </c>
      <c r="C57" s="50">
        <v>55</v>
      </c>
      <c r="D57" s="50">
        <v>65</v>
      </c>
      <c r="E57" s="50">
        <v>7</v>
      </c>
      <c r="F57" s="50">
        <v>8</v>
      </c>
      <c r="G57" s="50">
        <v>0</v>
      </c>
      <c r="H57" s="50">
        <v>0</v>
      </c>
      <c r="I57" s="50">
        <v>7</v>
      </c>
      <c r="J57" s="50">
        <v>1</v>
      </c>
      <c r="K57" s="50">
        <v>0</v>
      </c>
      <c r="L57" s="50">
        <v>0</v>
      </c>
      <c r="M57" s="50">
        <v>115</v>
      </c>
      <c r="N57" s="50">
        <v>0</v>
      </c>
      <c r="O57" s="15">
        <f t="shared" si="0"/>
        <v>143</v>
      </c>
      <c r="P57" s="15">
        <f t="shared" si="1"/>
        <v>258</v>
      </c>
      <c r="R57" s="8"/>
      <c r="T57"/>
    </row>
    <row r="58" spans="2:20" ht="23.1" customHeight="1" x14ac:dyDescent="0.25">
      <c r="B58" s="45" t="s">
        <v>99</v>
      </c>
      <c r="C58" s="50">
        <v>61</v>
      </c>
      <c r="D58" s="50">
        <v>33</v>
      </c>
      <c r="E58" s="50">
        <v>17</v>
      </c>
      <c r="F58" s="50">
        <v>8</v>
      </c>
      <c r="G58" s="50">
        <v>1</v>
      </c>
      <c r="H58" s="50">
        <v>0</v>
      </c>
      <c r="I58" s="50">
        <v>1</v>
      </c>
      <c r="J58" s="50">
        <v>5</v>
      </c>
      <c r="K58" s="50">
        <v>0</v>
      </c>
      <c r="L58" s="50">
        <v>1</v>
      </c>
      <c r="M58" s="50">
        <v>70</v>
      </c>
      <c r="N58" s="50">
        <v>0</v>
      </c>
      <c r="O58" s="15">
        <f t="shared" si="0"/>
        <v>127</v>
      </c>
      <c r="P58" s="15">
        <f t="shared" si="1"/>
        <v>197</v>
      </c>
      <c r="R58" s="8"/>
      <c r="T58"/>
    </row>
    <row r="59" spans="2:20" ht="23.1" customHeight="1" x14ac:dyDescent="0.25">
      <c r="B59" s="45" t="s">
        <v>100</v>
      </c>
      <c r="C59" s="50">
        <v>47</v>
      </c>
      <c r="D59" s="50">
        <v>22</v>
      </c>
      <c r="E59" s="50">
        <v>5</v>
      </c>
      <c r="F59" s="50">
        <v>6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5</v>
      </c>
      <c r="N59" s="50">
        <v>0</v>
      </c>
      <c r="O59" s="15">
        <f t="shared" si="0"/>
        <v>80</v>
      </c>
      <c r="P59" s="15">
        <f t="shared" si="1"/>
        <v>85</v>
      </c>
      <c r="R59" s="8"/>
      <c r="T59"/>
    </row>
    <row r="60" spans="2:20" ht="23.1" customHeight="1" x14ac:dyDescent="0.25">
      <c r="B60" s="45" t="s">
        <v>101</v>
      </c>
      <c r="C60" s="50">
        <v>39</v>
      </c>
      <c r="D60" s="50">
        <v>21</v>
      </c>
      <c r="E60" s="50">
        <v>6</v>
      </c>
      <c r="F60" s="50">
        <v>3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0</v>
      </c>
      <c r="N60" s="50">
        <v>0</v>
      </c>
      <c r="O60" s="15">
        <f t="shared" si="0"/>
        <v>69</v>
      </c>
      <c r="P60" s="15">
        <f t="shared" si="1"/>
        <v>69</v>
      </c>
      <c r="R60" s="8"/>
      <c r="T60"/>
    </row>
    <row r="61" spans="2:20" ht="23.1" customHeight="1" x14ac:dyDescent="0.25">
      <c r="B61" s="45" t="s">
        <v>102</v>
      </c>
      <c r="C61" s="50">
        <v>48</v>
      </c>
      <c r="D61" s="50">
        <v>34</v>
      </c>
      <c r="E61" s="50">
        <v>11</v>
      </c>
      <c r="F61" s="50">
        <v>2</v>
      </c>
      <c r="G61" s="50">
        <v>1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0</v>
      </c>
      <c r="N61" s="50">
        <v>0</v>
      </c>
      <c r="O61" s="15">
        <f t="shared" si="0"/>
        <v>96</v>
      </c>
      <c r="P61" s="15">
        <f t="shared" si="1"/>
        <v>96</v>
      </c>
      <c r="R61" s="8"/>
      <c r="T61"/>
    </row>
    <row r="62" spans="2:20" ht="23.1" customHeight="1" x14ac:dyDescent="0.25">
      <c r="B62" s="45" t="s">
        <v>107</v>
      </c>
      <c r="C62" s="50">
        <v>61</v>
      </c>
      <c r="D62" s="50">
        <v>38</v>
      </c>
      <c r="E62" s="50">
        <v>2</v>
      </c>
      <c r="F62" s="50">
        <v>5</v>
      </c>
      <c r="G62" s="50">
        <v>3</v>
      </c>
      <c r="H62" s="50">
        <v>0</v>
      </c>
      <c r="I62" s="50">
        <v>1</v>
      </c>
      <c r="J62" s="50">
        <v>0</v>
      </c>
      <c r="K62" s="50">
        <v>0</v>
      </c>
      <c r="L62" s="50">
        <v>0</v>
      </c>
      <c r="M62" s="50">
        <v>100</v>
      </c>
      <c r="N62" s="50">
        <v>0</v>
      </c>
      <c r="O62" s="15">
        <f t="shared" si="0"/>
        <v>110</v>
      </c>
      <c r="P62" s="15">
        <f t="shared" si="1"/>
        <v>210</v>
      </c>
      <c r="R62" s="8"/>
      <c r="T62"/>
    </row>
    <row r="63" spans="2:20" ht="23.1" customHeight="1" x14ac:dyDescent="0.25">
      <c r="B63" s="45" t="s">
        <v>108</v>
      </c>
      <c r="C63" s="50">
        <v>64</v>
      </c>
      <c r="D63" s="50">
        <v>43</v>
      </c>
      <c r="E63" s="50">
        <v>10</v>
      </c>
      <c r="F63" s="50">
        <v>8</v>
      </c>
      <c r="G63" s="50">
        <v>5</v>
      </c>
      <c r="H63" s="50">
        <v>0</v>
      </c>
      <c r="I63" s="50">
        <v>1</v>
      </c>
      <c r="J63" s="50">
        <v>1</v>
      </c>
      <c r="K63" s="50">
        <v>0</v>
      </c>
      <c r="L63" s="50">
        <v>0</v>
      </c>
      <c r="M63" s="50">
        <v>83</v>
      </c>
      <c r="N63" s="50">
        <v>0</v>
      </c>
      <c r="O63" s="15">
        <f t="shared" si="0"/>
        <v>132</v>
      </c>
      <c r="P63" s="15">
        <f t="shared" si="1"/>
        <v>215</v>
      </c>
      <c r="R63" s="8"/>
      <c r="T63"/>
    </row>
    <row r="64" spans="2:20" ht="23.1" customHeight="1" x14ac:dyDescent="0.25">
      <c r="B64" s="45" t="s">
        <v>109</v>
      </c>
      <c r="C64" s="50">
        <v>72</v>
      </c>
      <c r="D64" s="50">
        <v>38</v>
      </c>
      <c r="E64" s="50">
        <v>6</v>
      </c>
      <c r="F64" s="50">
        <v>8</v>
      </c>
      <c r="G64" s="50">
        <v>0</v>
      </c>
      <c r="H64" s="50">
        <v>0</v>
      </c>
      <c r="I64" s="50">
        <v>3</v>
      </c>
      <c r="J64" s="50">
        <v>2</v>
      </c>
      <c r="K64" s="50">
        <v>0</v>
      </c>
      <c r="L64" s="50">
        <v>0</v>
      </c>
      <c r="M64" s="50">
        <v>103</v>
      </c>
      <c r="N64" s="50">
        <v>0</v>
      </c>
      <c r="O64" s="15">
        <f t="shared" si="0"/>
        <v>129</v>
      </c>
      <c r="P64" s="15">
        <f t="shared" si="1"/>
        <v>232</v>
      </c>
      <c r="R64" s="8"/>
      <c r="T64"/>
    </row>
    <row r="65" spans="2:20" ht="23.1" customHeight="1" x14ac:dyDescent="0.25">
      <c r="B65" s="45" t="s">
        <v>158</v>
      </c>
      <c r="C65" s="50">
        <v>68</v>
      </c>
      <c r="D65" s="50">
        <v>22</v>
      </c>
      <c r="E65" s="50">
        <v>8</v>
      </c>
      <c r="F65" s="50">
        <v>6</v>
      </c>
      <c r="G65" s="50">
        <v>0</v>
      </c>
      <c r="H65" s="50">
        <v>0</v>
      </c>
      <c r="I65" s="50">
        <v>2</v>
      </c>
      <c r="J65" s="50">
        <v>4</v>
      </c>
      <c r="K65" s="50">
        <v>0</v>
      </c>
      <c r="L65" s="50">
        <v>0</v>
      </c>
      <c r="M65" s="50">
        <v>75</v>
      </c>
      <c r="N65" s="50">
        <v>0</v>
      </c>
      <c r="O65" s="15">
        <f t="shared" si="0"/>
        <v>110</v>
      </c>
      <c r="P65" s="15">
        <f t="shared" si="1"/>
        <v>185</v>
      </c>
      <c r="R65" s="8"/>
      <c r="T65"/>
    </row>
    <row r="66" spans="2:20" ht="23.1" customHeight="1" x14ac:dyDescent="0.25">
      <c r="B66" s="45" t="s">
        <v>103</v>
      </c>
      <c r="C66" s="50">
        <v>65</v>
      </c>
      <c r="D66" s="50">
        <v>25</v>
      </c>
      <c r="E66" s="50">
        <v>4</v>
      </c>
      <c r="F66" s="50">
        <v>8</v>
      </c>
      <c r="G66" s="50">
        <v>0</v>
      </c>
      <c r="H66" s="50">
        <v>0</v>
      </c>
      <c r="I66" s="50">
        <v>0</v>
      </c>
      <c r="J66" s="50">
        <v>1</v>
      </c>
      <c r="K66" s="50">
        <v>0</v>
      </c>
      <c r="L66" s="50">
        <v>0</v>
      </c>
      <c r="M66" s="50">
        <v>70</v>
      </c>
      <c r="N66" s="50">
        <v>0</v>
      </c>
      <c r="O66" s="15">
        <f t="shared" si="0"/>
        <v>103</v>
      </c>
      <c r="P66" s="15">
        <f t="shared" si="1"/>
        <v>173</v>
      </c>
      <c r="R66" s="8"/>
      <c r="T66"/>
    </row>
    <row r="67" spans="2:20" ht="23.1" customHeight="1" x14ac:dyDescent="0.25">
      <c r="B67" s="45" t="s">
        <v>104</v>
      </c>
      <c r="C67" s="50">
        <v>71</v>
      </c>
      <c r="D67" s="50">
        <v>23</v>
      </c>
      <c r="E67" s="50">
        <v>4</v>
      </c>
      <c r="F67" s="50">
        <v>7</v>
      </c>
      <c r="G67" s="50">
        <v>0</v>
      </c>
      <c r="H67" s="50">
        <v>0</v>
      </c>
      <c r="I67" s="50">
        <v>1</v>
      </c>
      <c r="J67" s="50">
        <v>3</v>
      </c>
      <c r="K67" s="50">
        <v>0</v>
      </c>
      <c r="L67" s="50">
        <v>0</v>
      </c>
      <c r="M67" s="50">
        <v>76</v>
      </c>
      <c r="N67" s="50">
        <v>0</v>
      </c>
      <c r="O67" s="15">
        <f t="shared" si="0"/>
        <v>109</v>
      </c>
      <c r="P67" s="15">
        <f t="shared" si="1"/>
        <v>185</v>
      </c>
      <c r="R67" s="8"/>
      <c r="T67"/>
    </row>
    <row r="68" spans="2:20" ht="23.1" customHeight="1" x14ac:dyDescent="0.25">
      <c r="B68" s="45" t="s">
        <v>105</v>
      </c>
      <c r="C68" s="50">
        <v>63</v>
      </c>
      <c r="D68" s="50">
        <v>34</v>
      </c>
      <c r="E68" s="50">
        <v>19</v>
      </c>
      <c r="F68" s="50">
        <v>14</v>
      </c>
      <c r="G68" s="50">
        <v>1</v>
      </c>
      <c r="H68" s="50">
        <v>0</v>
      </c>
      <c r="I68" s="50">
        <v>1</v>
      </c>
      <c r="J68" s="50">
        <v>0</v>
      </c>
      <c r="K68" s="50">
        <v>0</v>
      </c>
      <c r="L68" s="50">
        <v>0</v>
      </c>
      <c r="M68" s="50">
        <v>67</v>
      </c>
      <c r="N68" s="50">
        <v>0</v>
      </c>
      <c r="O68" s="15">
        <f t="shared" si="0"/>
        <v>132</v>
      </c>
      <c r="P68" s="15">
        <f t="shared" si="1"/>
        <v>199</v>
      </c>
      <c r="R68" s="8"/>
      <c r="T68"/>
    </row>
    <row r="69" spans="2:20" ht="23.1" customHeight="1" x14ac:dyDescent="0.25">
      <c r="B69" s="45" t="s">
        <v>106</v>
      </c>
      <c r="C69" s="50">
        <v>51</v>
      </c>
      <c r="D69" s="50">
        <v>23</v>
      </c>
      <c r="E69" s="50">
        <v>8</v>
      </c>
      <c r="F69" s="50">
        <v>6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51</v>
      </c>
      <c r="N69" s="50">
        <v>0</v>
      </c>
      <c r="O69" s="15">
        <f t="shared" si="0"/>
        <v>88</v>
      </c>
      <c r="P69" s="15">
        <f t="shared" si="1"/>
        <v>139</v>
      </c>
      <c r="R69" s="8"/>
      <c r="T69"/>
    </row>
    <row r="70" spans="2:20" ht="23.1" customHeight="1" x14ac:dyDescent="0.25">
      <c r="B70" s="45" t="s">
        <v>110</v>
      </c>
      <c r="C70" s="50">
        <v>35</v>
      </c>
      <c r="D70" s="50">
        <v>16</v>
      </c>
      <c r="E70" s="50">
        <v>7</v>
      </c>
      <c r="F70" s="50">
        <v>9</v>
      </c>
      <c r="G70" s="50">
        <v>0</v>
      </c>
      <c r="H70" s="50">
        <v>0</v>
      </c>
      <c r="I70" s="50">
        <v>1</v>
      </c>
      <c r="J70" s="50">
        <v>0</v>
      </c>
      <c r="K70" s="50">
        <v>0</v>
      </c>
      <c r="L70" s="50">
        <v>0</v>
      </c>
      <c r="M70" s="50">
        <v>40</v>
      </c>
      <c r="N70" s="50">
        <v>0</v>
      </c>
      <c r="O70" s="15">
        <f t="shared" si="0"/>
        <v>68</v>
      </c>
      <c r="P70" s="15">
        <f t="shared" si="1"/>
        <v>108</v>
      </c>
      <c r="R70" s="8"/>
      <c r="T70"/>
    </row>
    <row r="71" spans="2:20" ht="23.1" customHeight="1" x14ac:dyDescent="0.25">
      <c r="B71" s="45" t="s">
        <v>111</v>
      </c>
      <c r="C71" s="50">
        <v>48</v>
      </c>
      <c r="D71" s="50">
        <v>25</v>
      </c>
      <c r="E71" s="50">
        <v>10</v>
      </c>
      <c r="F71" s="50">
        <v>6</v>
      </c>
      <c r="G71" s="50">
        <v>1</v>
      </c>
      <c r="H71" s="50">
        <v>0</v>
      </c>
      <c r="I71" s="50">
        <v>1</v>
      </c>
      <c r="J71" s="50">
        <v>0</v>
      </c>
      <c r="K71" s="50">
        <v>0</v>
      </c>
      <c r="L71" s="50">
        <v>0</v>
      </c>
      <c r="M71" s="50">
        <v>36</v>
      </c>
      <c r="N71" s="50">
        <v>0</v>
      </c>
      <c r="O71" s="15">
        <f t="shared" si="0"/>
        <v>91</v>
      </c>
      <c r="P71" s="15">
        <f t="shared" si="1"/>
        <v>127</v>
      </c>
      <c r="R71" s="8"/>
      <c r="T71"/>
    </row>
    <row r="72" spans="2:20" ht="23.1" customHeight="1" x14ac:dyDescent="0.25">
      <c r="B72" s="45" t="s">
        <v>112</v>
      </c>
      <c r="C72" s="50">
        <v>21</v>
      </c>
      <c r="D72" s="50">
        <v>11</v>
      </c>
      <c r="E72" s="50">
        <v>11</v>
      </c>
      <c r="F72" s="50">
        <v>0</v>
      </c>
      <c r="G72" s="50">
        <v>0</v>
      </c>
      <c r="H72" s="50">
        <v>0</v>
      </c>
      <c r="I72" s="50">
        <v>2</v>
      </c>
      <c r="J72" s="50">
        <v>1</v>
      </c>
      <c r="K72" s="50">
        <v>0</v>
      </c>
      <c r="L72" s="50">
        <v>1</v>
      </c>
      <c r="M72" s="50">
        <v>30</v>
      </c>
      <c r="N72" s="50">
        <v>0</v>
      </c>
      <c r="O72" s="15">
        <f t="shared" si="0"/>
        <v>47</v>
      </c>
      <c r="P72" s="15">
        <f t="shared" si="1"/>
        <v>77</v>
      </c>
      <c r="R72" s="8"/>
      <c r="T72"/>
    </row>
    <row r="73" spans="2:20" ht="23.1" customHeight="1" x14ac:dyDescent="0.25">
      <c r="B73" s="45" t="s">
        <v>113</v>
      </c>
      <c r="C73" s="50">
        <v>52</v>
      </c>
      <c r="D73" s="50">
        <v>29</v>
      </c>
      <c r="E73" s="50">
        <v>4</v>
      </c>
      <c r="F73" s="50">
        <v>5</v>
      </c>
      <c r="G73" s="50">
        <v>0</v>
      </c>
      <c r="H73" s="50">
        <v>0</v>
      </c>
      <c r="I73" s="50">
        <v>0</v>
      </c>
      <c r="J73" s="50">
        <v>1</v>
      </c>
      <c r="K73" s="50">
        <v>1</v>
      </c>
      <c r="L73" s="50">
        <v>0</v>
      </c>
      <c r="M73" s="50">
        <v>43</v>
      </c>
      <c r="N73" s="50">
        <v>0</v>
      </c>
      <c r="O73" s="15">
        <f t="shared" si="0"/>
        <v>92</v>
      </c>
      <c r="P73" s="15">
        <f t="shared" si="1"/>
        <v>135</v>
      </c>
      <c r="R73" s="8"/>
      <c r="T73"/>
    </row>
    <row r="74" spans="2:20" ht="23.1" customHeight="1" x14ac:dyDescent="0.25">
      <c r="B74" s="45" t="s">
        <v>114</v>
      </c>
      <c r="C74" s="50">
        <v>39</v>
      </c>
      <c r="D74" s="50">
        <v>14</v>
      </c>
      <c r="E74" s="50">
        <v>2</v>
      </c>
      <c r="F74" s="50">
        <v>3</v>
      </c>
      <c r="G74" s="50">
        <v>0</v>
      </c>
      <c r="H74" s="50">
        <v>0</v>
      </c>
      <c r="I74" s="50">
        <v>1</v>
      </c>
      <c r="J74" s="50">
        <v>1</v>
      </c>
      <c r="K74" s="50">
        <v>0</v>
      </c>
      <c r="L74" s="50">
        <v>0</v>
      </c>
      <c r="M74" s="50">
        <v>37</v>
      </c>
      <c r="N74" s="50">
        <v>0</v>
      </c>
      <c r="O74" s="15">
        <f t="shared" ref="O74:O105" si="35">SUM(C74:L74,N74)</f>
        <v>60</v>
      </c>
      <c r="P74" s="15">
        <f t="shared" ref="P74:P105" si="36">SUM(C74:N74)</f>
        <v>97</v>
      </c>
      <c r="R74" s="8"/>
      <c r="T74"/>
    </row>
    <row r="75" spans="2:20" ht="23.1" customHeight="1" x14ac:dyDescent="0.25">
      <c r="B75" s="45" t="s">
        <v>115</v>
      </c>
      <c r="C75" s="50">
        <v>51</v>
      </c>
      <c r="D75" s="50">
        <v>15</v>
      </c>
      <c r="E75" s="50">
        <v>9</v>
      </c>
      <c r="F75" s="50">
        <v>5</v>
      </c>
      <c r="G75" s="50">
        <v>1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60</v>
      </c>
      <c r="N75" s="50">
        <v>0</v>
      </c>
      <c r="O75" s="15">
        <f t="shared" si="35"/>
        <v>81</v>
      </c>
      <c r="P75" s="15">
        <f t="shared" si="36"/>
        <v>141</v>
      </c>
      <c r="R75" s="8"/>
      <c r="T75"/>
    </row>
    <row r="76" spans="2:20" ht="23.1" customHeight="1" x14ac:dyDescent="0.25">
      <c r="B76" s="45" t="s">
        <v>116</v>
      </c>
      <c r="C76" s="50">
        <v>48</v>
      </c>
      <c r="D76" s="50">
        <v>23</v>
      </c>
      <c r="E76" s="50">
        <v>1</v>
      </c>
      <c r="F76" s="50">
        <v>8</v>
      </c>
      <c r="G76" s="50">
        <v>1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32</v>
      </c>
      <c r="N76" s="50">
        <v>0</v>
      </c>
      <c r="O76" s="15">
        <f t="shared" si="35"/>
        <v>81</v>
      </c>
      <c r="P76" s="15">
        <f t="shared" si="36"/>
        <v>113</v>
      </c>
      <c r="R76" s="8"/>
      <c r="T76"/>
    </row>
    <row r="77" spans="2:20" ht="23.1" customHeight="1" x14ac:dyDescent="0.25">
      <c r="B77" s="45" t="s">
        <v>117</v>
      </c>
      <c r="C77" s="50">
        <v>44</v>
      </c>
      <c r="D77" s="50">
        <v>15</v>
      </c>
      <c r="E77" s="50">
        <v>5</v>
      </c>
      <c r="F77" s="50">
        <v>1</v>
      </c>
      <c r="G77" s="50">
        <v>0</v>
      </c>
      <c r="H77" s="50">
        <v>0</v>
      </c>
      <c r="I77" s="50">
        <v>0</v>
      </c>
      <c r="J77" s="50">
        <v>1</v>
      </c>
      <c r="K77" s="50">
        <v>0</v>
      </c>
      <c r="L77" s="50">
        <v>1</v>
      </c>
      <c r="M77" s="50">
        <v>23</v>
      </c>
      <c r="N77" s="50">
        <v>0</v>
      </c>
      <c r="O77" s="15">
        <f t="shared" si="35"/>
        <v>67</v>
      </c>
      <c r="P77" s="15">
        <f t="shared" si="36"/>
        <v>90</v>
      </c>
      <c r="R77" s="8"/>
      <c r="T77"/>
    </row>
    <row r="78" spans="2:20" ht="23.1" customHeight="1" x14ac:dyDescent="0.25">
      <c r="B78" s="46" t="s">
        <v>118</v>
      </c>
      <c r="C78" s="50">
        <v>56</v>
      </c>
      <c r="D78" s="50">
        <v>15</v>
      </c>
      <c r="E78" s="50">
        <v>2</v>
      </c>
      <c r="F78" s="50">
        <v>4</v>
      </c>
      <c r="G78" s="50">
        <v>0</v>
      </c>
      <c r="H78" s="50">
        <v>0</v>
      </c>
      <c r="I78" s="50">
        <v>0</v>
      </c>
      <c r="J78" s="50">
        <v>1</v>
      </c>
      <c r="K78" s="50">
        <v>0</v>
      </c>
      <c r="L78" s="50">
        <v>0</v>
      </c>
      <c r="M78" s="50">
        <v>23</v>
      </c>
      <c r="N78" s="50">
        <v>0</v>
      </c>
      <c r="O78" s="15">
        <f t="shared" si="35"/>
        <v>78</v>
      </c>
      <c r="P78" s="15">
        <f t="shared" si="36"/>
        <v>101</v>
      </c>
      <c r="R78" s="8"/>
      <c r="T78"/>
    </row>
    <row r="79" spans="2:20" ht="23.1" customHeight="1" x14ac:dyDescent="0.25">
      <c r="B79" s="45" t="s">
        <v>119</v>
      </c>
      <c r="C79" s="50">
        <v>31</v>
      </c>
      <c r="D79" s="50">
        <v>9</v>
      </c>
      <c r="E79" s="50">
        <v>4</v>
      </c>
      <c r="F79" s="50">
        <v>1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18</v>
      </c>
      <c r="N79" s="50">
        <v>0</v>
      </c>
      <c r="O79" s="15">
        <f t="shared" si="35"/>
        <v>45</v>
      </c>
      <c r="P79" s="15">
        <f t="shared" si="36"/>
        <v>63</v>
      </c>
      <c r="R79" s="8"/>
      <c r="T79"/>
    </row>
    <row r="80" spans="2:20" ht="23.1" customHeight="1" x14ac:dyDescent="0.25">
      <c r="B80" s="47" t="s">
        <v>120</v>
      </c>
      <c r="C80" s="50">
        <v>28</v>
      </c>
      <c r="D80" s="50">
        <v>8</v>
      </c>
      <c r="E80" s="50">
        <v>2</v>
      </c>
      <c r="F80" s="50">
        <v>2</v>
      </c>
      <c r="G80" s="50">
        <v>0</v>
      </c>
      <c r="H80" s="50">
        <v>0</v>
      </c>
      <c r="I80" s="50">
        <v>2</v>
      </c>
      <c r="J80" s="50">
        <v>0</v>
      </c>
      <c r="K80" s="50">
        <v>1</v>
      </c>
      <c r="L80" s="50">
        <v>0</v>
      </c>
      <c r="M80" s="50">
        <v>21</v>
      </c>
      <c r="N80" s="50">
        <v>0</v>
      </c>
      <c r="O80" s="15">
        <f t="shared" si="35"/>
        <v>43</v>
      </c>
      <c r="P80" s="15">
        <f t="shared" si="36"/>
        <v>64</v>
      </c>
      <c r="R80" s="8"/>
      <c r="T80"/>
    </row>
    <row r="81" spans="2:20" ht="23.1" customHeight="1" x14ac:dyDescent="0.25">
      <c r="B81" s="45" t="s">
        <v>121</v>
      </c>
      <c r="C81" s="50">
        <v>18</v>
      </c>
      <c r="D81" s="50">
        <v>10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12</v>
      </c>
      <c r="N81" s="50">
        <v>0</v>
      </c>
      <c r="O81" s="15">
        <f t="shared" si="35"/>
        <v>28</v>
      </c>
      <c r="P81" s="15">
        <f t="shared" si="36"/>
        <v>40</v>
      </c>
      <c r="R81" s="8"/>
      <c r="T81"/>
    </row>
    <row r="82" spans="2:20" ht="23.1" customHeight="1" x14ac:dyDescent="0.25">
      <c r="B82" s="46" t="s">
        <v>122</v>
      </c>
      <c r="C82" s="50">
        <v>19</v>
      </c>
      <c r="D82" s="50">
        <v>2</v>
      </c>
      <c r="E82" s="50">
        <v>1</v>
      </c>
      <c r="F82" s="50">
        <v>0</v>
      </c>
      <c r="G82" s="50">
        <v>0</v>
      </c>
      <c r="H82" s="50">
        <v>0</v>
      </c>
      <c r="I82" s="50">
        <v>1</v>
      </c>
      <c r="J82" s="50">
        <v>1</v>
      </c>
      <c r="K82" s="50">
        <v>0</v>
      </c>
      <c r="L82" s="50">
        <v>0</v>
      </c>
      <c r="M82" s="50">
        <v>7</v>
      </c>
      <c r="N82" s="50">
        <v>0</v>
      </c>
      <c r="O82" s="15">
        <f t="shared" si="35"/>
        <v>24</v>
      </c>
      <c r="P82" s="15">
        <f t="shared" si="36"/>
        <v>31</v>
      </c>
      <c r="R82" s="8"/>
      <c r="T82"/>
    </row>
    <row r="83" spans="2:20" ht="23.1" customHeight="1" x14ac:dyDescent="0.25">
      <c r="B83" s="45" t="s">
        <v>123</v>
      </c>
      <c r="C83" s="50">
        <v>8</v>
      </c>
      <c r="D83" s="50">
        <v>4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10</v>
      </c>
      <c r="N83" s="50">
        <v>0</v>
      </c>
      <c r="O83" s="15">
        <f t="shared" si="35"/>
        <v>12</v>
      </c>
      <c r="P83" s="15">
        <f t="shared" si="36"/>
        <v>22</v>
      </c>
      <c r="R83" s="8"/>
      <c r="T83"/>
    </row>
    <row r="84" spans="2:20" ht="23.1" customHeight="1" x14ac:dyDescent="0.25">
      <c r="B84" s="47" t="s">
        <v>124</v>
      </c>
      <c r="C84" s="50">
        <v>14</v>
      </c>
      <c r="D84" s="50">
        <v>1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6</v>
      </c>
      <c r="N84" s="50">
        <v>0</v>
      </c>
      <c r="O84" s="15">
        <f t="shared" si="35"/>
        <v>15</v>
      </c>
      <c r="P84" s="15">
        <f t="shared" si="36"/>
        <v>21</v>
      </c>
      <c r="R84" s="8"/>
      <c r="T84"/>
    </row>
    <row r="85" spans="2:20" ht="23.1" customHeight="1" x14ac:dyDescent="0.25">
      <c r="B85" s="45" t="s">
        <v>125</v>
      </c>
      <c r="C85" s="50">
        <v>9</v>
      </c>
      <c r="D85" s="50">
        <v>4</v>
      </c>
      <c r="E85" s="50">
        <v>0</v>
      </c>
      <c r="F85" s="50">
        <v>1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8</v>
      </c>
      <c r="N85" s="50">
        <v>0</v>
      </c>
      <c r="O85" s="15">
        <f t="shared" si="35"/>
        <v>14</v>
      </c>
      <c r="P85" s="15">
        <f t="shared" si="36"/>
        <v>22</v>
      </c>
      <c r="R85" s="8"/>
      <c r="T85"/>
    </row>
    <row r="86" spans="2:20" ht="23.1" customHeight="1" x14ac:dyDescent="0.25">
      <c r="B86" s="46" t="s">
        <v>126</v>
      </c>
      <c r="C86" s="50">
        <v>21</v>
      </c>
      <c r="D86" s="50">
        <v>6</v>
      </c>
      <c r="E86" s="50">
        <v>2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19</v>
      </c>
      <c r="N86" s="50">
        <v>0</v>
      </c>
      <c r="O86" s="15">
        <f t="shared" si="35"/>
        <v>29</v>
      </c>
      <c r="P86" s="15">
        <f t="shared" si="36"/>
        <v>48</v>
      </c>
      <c r="R86" s="8"/>
      <c r="T86"/>
    </row>
    <row r="87" spans="2:20" ht="23.1" customHeight="1" x14ac:dyDescent="0.25">
      <c r="B87" s="45" t="s">
        <v>127</v>
      </c>
      <c r="C87" s="50">
        <v>25</v>
      </c>
      <c r="D87" s="50">
        <v>1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8</v>
      </c>
      <c r="N87" s="50">
        <v>0</v>
      </c>
      <c r="O87" s="15">
        <f t="shared" si="35"/>
        <v>26</v>
      </c>
      <c r="P87" s="15">
        <f t="shared" si="36"/>
        <v>34</v>
      </c>
      <c r="R87" s="8"/>
      <c r="T87"/>
    </row>
    <row r="88" spans="2:20" ht="23.1" customHeight="1" x14ac:dyDescent="0.25">
      <c r="B88" s="47" t="s">
        <v>128</v>
      </c>
      <c r="C88" s="50">
        <v>16</v>
      </c>
      <c r="D88" s="50">
        <v>4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11</v>
      </c>
      <c r="N88" s="50">
        <v>0</v>
      </c>
      <c r="O88" s="15">
        <f t="shared" si="35"/>
        <v>20</v>
      </c>
      <c r="P88" s="15">
        <f t="shared" si="36"/>
        <v>31</v>
      </c>
      <c r="R88" s="8"/>
      <c r="T88"/>
    </row>
    <row r="89" spans="2:20" ht="23.1" customHeight="1" x14ac:dyDescent="0.25">
      <c r="B89" s="45" t="s">
        <v>129</v>
      </c>
      <c r="C89" s="50">
        <v>4</v>
      </c>
      <c r="D89" s="50">
        <v>1</v>
      </c>
      <c r="E89" s="50">
        <v>1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10</v>
      </c>
      <c r="N89" s="50">
        <v>0</v>
      </c>
      <c r="O89" s="15">
        <f t="shared" si="35"/>
        <v>6</v>
      </c>
      <c r="P89" s="15">
        <f t="shared" si="36"/>
        <v>16</v>
      </c>
      <c r="R89" s="8"/>
      <c r="T89"/>
    </row>
    <row r="90" spans="2:20" ht="23.1" customHeight="1" x14ac:dyDescent="0.25">
      <c r="B90" s="46" t="s">
        <v>130</v>
      </c>
      <c r="C90" s="50">
        <v>9</v>
      </c>
      <c r="D90" s="50">
        <v>1</v>
      </c>
      <c r="E90" s="50">
        <v>2</v>
      </c>
      <c r="F90" s="50">
        <v>1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2</v>
      </c>
      <c r="N90" s="50">
        <v>0</v>
      </c>
      <c r="O90" s="15">
        <f t="shared" si="35"/>
        <v>13</v>
      </c>
      <c r="P90" s="15">
        <f t="shared" si="36"/>
        <v>15</v>
      </c>
      <c r="R90" s="8"/>
      <c r="T90"/>
    </row>
    <row r="91" spans="2:20" ht="23.1" customHeight="1" x14ac:dyDescent="0.25">
      <c r="B91" s="45" t="s">
        <v>131</v>
      </c>
      <c r="C91" s="50">
        <v>12</v>
      </c>
      <c r="D91" s="50">
        <v>5</v>
      </c>
      <c r="E91" s="50">
        <v>1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3</v>
      </c>
      <c r="N91" s="50">
        <v>0</v>
      </c>
      <c r="O91" s="15">
        <f t="shared" si="35"/>
        <v>18</v>
      </c>
      <c r="P91" s="15">
        <f t="shared" si="36"/>
        <v>21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45" t="s">
        <v>135</v>
      </c>
      <c r="C95" s="50">
        <v>12</v>
      </c>
      <c r="D95" s="50">
        <v>5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17</v>
      </c>
      <c r="P95" s="15">
        <f t="shared" si="36"/>
        <v>17</v>
      </c>
      <c r="R95" s="8"/>
      <c r="T95"/>
    </row>
    <row r="96" spans="2:20" ht="23.1" customHeight="1" x14ac:dyDescent="0.25">
      <c r="B96" s="47" t="s">
        <v>136</v>
      </c>
      <c r="C96" s="50">
        <v>14</v>
      </c>
      <c r="D96" s="50">
        <v>2</v>
      </c>
      <c r="E96" s="50">
        <v>0</v>
      </c>
      <c r="F96" s="50">
        <v>1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2</v>
      </c>
      <c r="N96" s="50">
        <v>0</v>
      </c>
      <c r="O96" s="15">
        <f t="shared" si="35"/>
        <v>17</v>
      </c>
      <c r="P96" s="15">
        <f t="shared" si="36"/>
        <v>19</v>
      </c>
      <c r="R96" s="8"/>
      <c r="T96"/>
    </row>
    <row r="97" spans="2:20" ht="23.1" customHeight="1" x14ac:dyDescent="0.25">
      <c r="B97" s="45" t="s">
        <v>137</v>
      </c>
      <c r="C97" s="50">
        <v>17</v>
      </c>
      <c r="D97" s="50">
        <v>1</v>
      </c>
      <c r="E97" s="50">
        <v>2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1</v>
      </c>
      <c r="N97" s="50">
        <v>0</v>
      </c>
      <c r="O97" s="15">
        <f t="shared" si="35"/>
        <v>20</v>
      </c>
      <c r="P97" s="15">
        <f t="shared" si="36"/>
        <v>21</v>
      </c>
      <c r="R97" s="8"/>
      <c r="T97"/>
    </row>
    <row r="98" spans="2:20" ht="23.1" customHeight="1" x14ac:dyDescent="0.25">
      <c r="B98" s="46" t="s">
        <v>138</v>
      </c>
      <c r="C98" s="50">
        <v>8</v>
      </c>
      <c r="D98" s="50">
        <v>1</v>
      </c>
      <c r="E98" s="50">
        <v>1</v>
      </c>
      <c r="F98" s="50">
        <v>1</v>
      </c>
      <c r="G98" s="50">
        <v>0</v>
      </c>
      <c r="H98" s="50">
        <v>0</v>
      </c>
      <c r="I98" s="50">
        <v>3</v>
      </c>
      <c r="J98" s="50">
        <v>0</v>
      </c>
      <c r="K98" s="50">
        <v>0</v>
      </c>
      <c r="L98" s="50">
        <v>0</v>
      </c>
      <c r="M98" s="50">
        <v>3</v>
      </c>
      <c r="N98" s="50">
        <v>0</v>
      </c>
      <c r="O98" s="15">
        <f t="shared" si="35"/>
        <v>14</v>
      </c>
      <c r="P98" s="15">
        <f t="shared" si="36"/>
        <v>17</v>
      </c>
      <c r="R98" s="8"/>
      <c r="T98"/>
    </row>
    <row r="99" spans="2:20" ht="23.1" customHeight="1" x14ac:dyDescent="0.25">
      <c r="B99" s="45" t="s">
        <v>139</v>
      </c>
      <c r="C99" s="50">
        <v>5</v>
      </c>
      <c r="D99" s="50">
        <v>1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15">
        <f t="shared" si="35"/>
        <v>6</v>
      </c>
      <c r="P99" s="15">
        <f t="shared" si="36"/>
        <v>6</v>
      </c>
      <c r="R99" s="8"/>
      <c r="T99"/>
    </row>
    <row r="100" spans="2:20" ht="23.1" customHeight="1" x14ac:dyDescent="0.25">
      <c r="B100" s="47" t="s">
        <v>140</v>
      </c>
      <c r="C100" s="50">
        <v>9</v>
      </c>
      <c r="D100" s="50">
        <v>13</v>
      </c>
      <c r="E100" s="50">
        <v>0</v>
      </c>
      <c r="F100" s="50">
        <v>1</v>
      </c>
      <c r="G100" s="50">
        <v>2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3</v>
      </c>
      <c r="N100" s="50">
        <v>0</v>
      </c>
      <c r="O100" s="15">
        <f t="shared" si="35"/>
        <v>25</v>
      </c>
      <c r="P100" s="15">
        <f t="shared" si="36"/>
        <v>28</v>
      </c>
      <c r="R100" s="8"/>
      <c r="T100"/>
    </row>
    <row r="101" spans="2:20" ht="23.1" customHeight="1" x14ac:dyDescent="0.25">
      <c r="B101" s="45" t="s">
        <v>141</v>
      </c>
      <c r="C101" s="50">
        <v>12</v>
      </c>
      <c r="D101" s="50">
        <v>5</v>
      </c>
      <c r="E101" s="50">
        <v>1</v>
      </c>
      <c r="F101" s="50">
        <v>2</v>
      </c>
      <c r="G101" s="50">
        <v>0</v>
      </c>
      <c r="H101" s="50">
        <v>0</v>
      </c>
      <c r="I101" s="50">
        <v>0</v>
      </c>
      <c r="J101" s="50">
        <v>1</v>
      </c>
      <c r="K101" s="50">
        <v>0</v>
      </c>
      <c r="L101" s="50">
        <v>0</v>
      </c>
      <c r="M101" s="50">
        <v>5</v>
      </c>
      <c r="N101" s="50">
        <v>0</v>
      </c>
      <c r="O101" s="15">
        <f t="shared" si="35"/>
        <v>21</v>
      </c>
      <c r="P101" s="15">
        <f t="shared" si="36"/>
        <v>26</v>
      </c>
      <c r="R101" s="8"/>
      <c r="T101"/>
    </row>
    <row r="102" spans="2:20" ht="23.1" customHeight="1" x14ac:dyDescent="0.25">
      <c r="B102" s="46" t="s">
        <v>142</v>
      </c>
      <c r="C102" s="50">
        <v>8</v>
      </c>
      <c r="D102" s="50">
        <v>1</v>
      </c>
      <c r="E102" s="50">
        <v>2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6</v>
      </c>
      <c r="N102" s="50">
        <v>0</v>
      </c>
      <c r="O102" s="15">
        <f t="shared" si="35"/>
        <v>11</v>
      </c>
      <c r="P102" s="15">
        <f t="shared" si="36"/>
        <v>17</v>
      </c>
      <c r="R102" s="8"/>
      <c r="T102"/>
    </row>
    <row r="103" spans="2:20" ht="23.1" customHeight="1" x14ac:dyDescent="0.25">
      <c r="B103" s="45" t="s">
        <v>143</v>
      </c>
      <c r="C103" s="50">
        <v>9</v>
      </c>
      <c r="D103" s="50">
        <v>3</v>
      </c>
      <c r="E103" s="50">
        <v>0</v>
      </c>
      <c r="F103" s="50">
        <v>3</v>
      </c>
      <c r="G103" s="50">
        <v>0</v>
      </c>
      <c r="H103" s="50">
        <v>0</v>
      </c>
      <c r="I103" s="50">
        <v>0</v>
      </c>
      <c r="J103" s="50">
        <v>2</v>
      </c>
      <c r="K103" s="50">
        <v>0</v>
      </c>
      <c r="L103" s="50">
        <v>0</v>
      </c>
      <c r="M103" s="50">
        <v>12</v>
      </c>
      <c r="N103" s="50">
        <v>0</v>
      </c>
      <c r="O103" s="15">
        <f t="shared" si="35"/>
        <v>17</v>
      </c>
      <c r="P103" s="15">
        <f t="shared" si="36"/>
        <v>29</v>
      </c>
      <c r="R103" s="8"/>
      <c r="T103"/>
    </row>
    <row r="104" spans="2:20" ht="23.1" customHeight="1" x14ac:dyDescent="0.25">
      <c r="B104" s="47" t="s">
        <v>144</v>
      </c>
      <c r="C104" s="50">
        <v>6</v>
      </c>
      <c r="D104" s="50">
        <v>3</v>
      </c>
      <c r="E104" s="50">
        <v>1</v>
      </c>
      <c r="F104" s="50">
        <v>0</v>
      </c>
      <c r="G104" s="50">
        <v>0</v>
      </c>
      <c r="H104" s="50">
        <v>3</v>
      </c>
      <c r="I104" s="50">
        <v>0</v>
      </c>
      <c r="J104" s="50">
        <v>0</v>
      </c>
      <c r="K104" s="50">
        <v>0</v>
      </c>
      <c r="L104" s="50">
        <v>0</v>
      </c>
      <c r="M104" s="50">
        <v>6</v>
      </c>
      <c r="N104" s="50">
        <v>0</v>
      </c>
      <c r="O104" s="15">
        <f t="shared" si="35"/>
        <v>13</v>
      </c>
      <c r="P104" s="15">
        <f t="shared" si="36"/>
        <v>19</v>
      </c>
      <c r="R104" s="8"/>
      <c r="T104"/>
    </row>
    <row r="105" spans="2:20" ht="23.1" customHeight="1" x14ac:dyDescent="0.25">
      <c r="B105" s="45" t="s">
        <v>145</v>
      </c>
      <c r="C105" s="50">
        <v>3</v>
      </c>
      <c r="D105" s="50">
        <v>0</v>
      </c>
      <c r="E105" s="50">
        <v>1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4</v>
      </c>
      <c r="N105" s="50">
        <v>0</v>
      </c>
      <c r="O105" s="15">
        <f t="shared" si="35"/>
        <v>4</v>
      </c>
      <c r="P105" s="15">
        <f t="shared" si="36"/>
        <v>8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5371</v>
      </c>
      <c r="D106" s="16">
        <f t="shared" ref="D106:P106" si="37">SUM(D10:D105)</f>
        <v>3257</v>
      </c>
      <c r="E106" s="16">
        <f t="shared" si="37"/>
        <v>627</v>
      </c>
      <c r="F106" s="16">
        <f t="shared" si="37"/>
        <v>568</v>
      </c>
      <c r="G106" s="16">
        <f t="shared" si="37"/>
        <v>67</v>
      </c>
      <c r="H106" s="16">
        <f t="shared" si="37"/>
        <v>6</v>
      </c>
      <c r="I106" s="16">
        <f t="shared" si="37"/>
        <v>190</v>
      </c>
      <c r="J106" s="16">
        <f t="shared" si="37"/>
        <v>133</v>
      </c>
      <c r="K106" s="16">
        <f t="shared" si="37"/>
        <v>22</v>
      </c>
      <c r="L106" s="16">
        <f t="shared" si="37"/>
        <v>13</v>
      </c>
      <c r="M106" s="16">
        <f t="shared" si="37"/>
        <v>4913</v>
      </c>
      <c r="N106" s="16">
        <f t="shared" si="37"/>
        <v>0</v>
      </c>
      <c r="O106" s="16">
        <f t="shared" si="37"/>
        <v>10254</v>
      </c>
      <c r="P106" s="16">
        <f t="shared" si="37"/>
        <v>15167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0.35412408518494098</v>
      </c>
      <c r="D107" s="43">
        <f t="shared" si="38"/>
        <v>0.21474253313113997</v>
      </c>
      <c r="E107" s="43">
        <f t="shared" si="38"/>
        <v>4.133975077470825E-2</v>
      </c>
      <c r="F107" s="43">
        <f t="shared" si="38"/>
        <v>3.744972637964001E-2</v>
      </c>
      <c r="G107" s="43">
        <f t="shared" si="38"/>
        <v>4.4174853299927472E-3</v>
      </c>
      <c r="H107" s="43">
        <f t="shared" si="38"/>
        <v>3.9559570119338037E-4</v>
      </c>
      <c r="I107" s="43">
        <f t="shared" si="38"/>
        <v>1.2527197204457045E-2</v>
      </c>
      <c r="J107" s="43">
        <f t="shared" si="38"/>
        <v>8.7690380431199311E-3</v>
      </c>
      <c r="K107" s="43">
        <f t="shared" si="38"/>
        <v>1.4505175710423947E-3</v>
      </c>
      <c r="L107" s="43">
        <f t="shared" si="38"/>
        <v>8.5712401925232414E-4</v>
      </c>
      <c r="M107" s="43">
        <f t="shared" si="38"/>
        <v>0.32392694666051297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0.52379559196411152</v>
      </c>
      <c r="D108" s="44">
        <f t="shared" ref="D108:N108" si="39">D106/$O$106</f>
        <v>0.31763214355373515</v>
      </c>
      <c r="E108" s="44">
        <f t="shared" si="39"/>
        <v>6.1146869514335872E-2</v>
      </c>
      <c r="F108" s="44">
        <f t="shared" si="39"/>
        <v>5.5393017359079387E-2</v>
      </c>
      <c r="G108" s="44">
        <f t="shared" si="39"/>
        <v>6.5340354983421103E-3</v>
      </c>
      <c r="H108" s="44">
        <f t="shared" si="39"/>
        <v>5.8513750731421885E-4</v>
      </c>
      <c r="I108" s="44">
        <f t="shared" si="39"/>
        <v>1.8529354398283595E-2</v>
      </c>
      <c r="J108" s="44">
        <f t="shared" si="39"/>
        <v>1.2970548078798518E-2</v>
      </c>
      <c r="K108" s="44">
        <f t="shared" si="39"/>
        <v>2.1455041934854693E-3</v>
      </c>
      <c r="L108" s="44">
        <f t="shared" si="39"/>
        <v>1.2677979325141408E-3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50" zoomScaleSheetLayoutView="50" workbookViewId="0">
      <selection activeCell="E26" sqref="E2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'29.07 Ntinda-Naalya'!C3:G3</f>
        <v>MCC - C1 - STN38 - NAALYA EAST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174</v>
      </c>
      <c r="E5" s="3"/>
      <c r="F5" s="41" t="s">
        <v>1</v>
      </c>
      <c r="G5" s="65" t="str">
        <f>'03.08 Naalya-Ntinda-24h'!G5:H5</f>
        <v>NAALYA ROUND ABOUT</v>
      </c>
      <c r="H5" s="66"/>
      <c r="I5" s="14"/>
      <c r="J5" s="2" t="s">
        <v>5</v>
      </c>
      <c r="K5" s="65" t="str">
        <f>'03.08 Naalya-Ntinda-24h'!K5:L5</f>
        <v>HARRIET N/NASSIWA A/MUTE C/PHOEBY/KAZIBWE J/NAKAYE J.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'29.07 Ntinda-Naalya'!D6:E6</f>
        <v>NTINDA</v>
      </c>
      <c r="E6" s="66"/>
      <c r="F6" s="2" t="s">
        <v>2</v>
      </c>
      <c r="G6" s="65" t="str">
        <f>'29.07 Ntinda-Naalya'!G6:H6</f>
        <v>NAALYA</v>
      </c>
      <c r="H6" s="66"/>
      <c r="J6" s="2" t="s">
        <v>21</v>
      </c>
      <c r="K6" s="65" t="str">
        <f>'03.08 Naalya-Ntinda-24h'!K6:L6</f>
        <v>STEVEN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36</v>
      </c>
      <c r="D10" s="50">
        <v>1</v>
      </c>
      <c r="E10" s="50">
        <v>0</v>
      </c>
      <c r="F10" s="50">
        <v>4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12</v>
      </c>
      <c r="N10" s="50">
        <v>0</v>
      </c>
      <c r="O10" s="15">
        <f t="shared" ref="O10:O57" si="0">SUM(C10:L10,N10)</f>
        <v>42</v>
      </c>
      <c r="P10" s="15">
        <f t="shared" ref="P10:P57" si="1">SUM(C10:N10)</f>
        <v>54</v>
      </c>
      <c r="R10" s="1" t="s">
        <v>6</v>
      </c>
      <c r="S10" s="17">
        <f t="shared" ref="S10:AF10" si="2">SUM(C10:C13)</f>
        <v>122</v>
      </c>
      <c r="T10" s="17">
        <f t="shared" si="2"/>
        <v>14</v>
      </c>
      <c r="U10" s="17">
        <f t="shared" si="2"/>
        <v>4</v>
      </c>
      <c r="V10" s="17">
        <f t="shared" si="2"/>
        <v>11</v>
      </c>
      <c r="W10" s="17">
        <f t="shared" si="2"/>
        <v>0</v>
      </c>
      <c r="X10" s="17">
        <f t="shared" si="2"/>
        <v>0</v>
      </c>
      <c r="Y10" s="17">
        <f t="shared" si="2"/>
        <v>4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98</v>
      </c>
      <c r="AD10" s="17">
        <f t="shared" si="2"/>
        <v>0</v>
      </c>
      <c r="AE10" s="31">
        <f t="shared" si="2"/>
        <v>156</v>
      </c>
      <c r="AF10" s="31">
        <f t="shared" si="2"/>
        <v>254</v>
      </c>
    </row>
    <row r="11" spans="2:32" s="6" customFormat="1" ht="23.1" customHeight="1" x14ac:dyDescent="0.25">
      <c r="B11" s="23" t="s">
        <v>38</v>
      </c>
      <c r="C11" s="50">
        <v>17</v>
      </c>
      <c r="D11" s="50">
        <v>1</v>
      </c>
      <c r="E11" s="50">
        <v>1</v>
      </c>
      <c r="F11" s="50">
        <v>3</v>
      </c>
      <c r="G11" s="50">
        <v>0</v>
      </c>
      <c r="H11" s="50">
        <v>0</v>
      </c>
      <c r="I11" s="50">
        <v>0</v>
      </c>
      <c r="J11" s="50">
        <v>1</v>
      </c>
      <c r="K11" s="50">
        <v>0</v>
      </c>
      <c r="L11" s="50">
        <v>0</v>
      </c>
      <c r="M11" s="50">
        <v>23</v>
      </c>
      <c r="N11" s="50">
        <v>0</v>
      </c>
      <c r="O11" s="15">
        <f t="shared" si="0"/>
        <v>23</v>
      </c>
      <c r="P11" s="15">
        <f t="shared" si="1"/>
        <v>46</v>
      </c>
      <c r="R11" s="1" t="s">
        <v>7</v>
      </c>
      <c r="S11" s="17">
        <f t="shared" ref="S11:AF11" si="3">SUM(C14:C17)</f>
        <v>186</v>
      </c>
      <c r="T11" s="17">
        <f t="shared" si="3"/>
        <v>39</v>
      </c>
      <c r="U11" s="17">
        <f t="shared" si="3"/>
        <v>8</v>
      </c>
      <c r="V11" s="17">
        <f t="shared" si="3"/>
        <v>23</v>
      </c>
      <c r="W11" s="17">
        <f t="shared" si="3"/>
        <v>0</v>
      </c>
      <c r="X11" s="17">
        <f t="shared" si="3"/>
        <v>0</v>
      </c>
      <c r="Y11" s="17">
        <f t="shared" si="3"/>
        <v>4</v>
      </c>
      <c r="Z11" s="17">
        <f t="shared" si="3"/>
        <v>5</v>
      </c>
      <c r="AA11" s="17">
        <f t="shared" si="3"/>
        <v>1</v>
      </c>
      <c r="AB11" s="17">
        <f t="shared" si="3"/>
        <v>0</v>
      </c>
      <c r="AC11" s="17">
        <f t="shared" si="3"/>
        <v>165</v>
      </c>
      <c r="AD11" s="17">
        <f t="shared" si="3"/>
        <v>0</v>
      </c>
      <c r="AE11" s="31">
        <f t="shared" si="3"/>
        <v>266</v>
      </c>
      <c r="AF11" s="31">
        <f t="shared" si="3"/>
        <v>431</v>
      </c>
    </row>
    <row r="12" spans="2:32" ht="23.1" customHeight="1" x14ac:dyDescent="0.25">
      <c r="B12" s="23" t="s">
        <v>39</v>
      </c>
      <c r="C12" s="50">
        <v>36</v>
      </c>
      <c r="D12" s="50">
        <v>5</v>
      </c>
      <c r="E12" s="50">
        <v>1</v>
      </c>
      <c r="F12" s="50">
        <v>2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36</v>
      </c>
      <c r="N12" s="50">
        <v>0</v>
      </c>
      <c r="O12" s="15">
        <f t="shared" si="0"/>
        <v>46</v>
      </c>
      <c r="P12" s="15">
        <f t="shared" si="1"/>
        <v>82</v>
      </c>
      <c r="R12" s="1" t="s">
        <v>8</v>
      </c>
      <c r="S12" s="17">
        <f t="shared" ref="S12:AF12" si="4">SUM(C18:C21)</f>
        <v>253</v>
      </c>
      <c r="T12" s="17">
        <f t="shared" si="4"/>
        <v>64</v>
      </c>
      <c r="U12" s="17">
        <f t="shared" si="4"/>
        <v>10</v>
      </c>
      <c r="V12" s="17">
        <f t="shared" si="4"/>
        <v>26</v>
      </c>
      <c r="W12" s="17">
        <f t="shared" si="4"/>
        <v>0</v>
      </c>
      <c r="X12" s="17">
        <f t="shared" si="4"/>
        <v>0</v>
      </c>
      <c r="Y12" s="17">
        <f t="shared" si="4"/>
        <v>10</v>
      </c>
      <c r="Z12" s="17">
        <f t="shared" si="4"/>
        <v>1</v>
      </c>
      <c r="AA12" s="17">
        <f t="shared" si="4"/>
        <v>0</v>
      </c>
      <c r="AB12" s="17">
        <f t="shared" si="4"/>
        <v>1</v>
      </c>
      <c r="AC12" s="17">
        <f t="shared" si="4"/>
        <v>193</v>
      </c>
      <c r="AD12" s="17">
        <f t="shared" si="4"/>
        <v>0</v>
      </c>
      <c r="AE12" s="31">
        <f t="shared" si="4"/>
        <v>365</v>
      </c>
      <c r="AF12" s="31">
        <f t="shared" si="4"/>
        <v>558</v>
      </c>
    </row>
    <row r="13" spans="2:32" ht="23.1" customHeight="1" x14ac:dyDescent="0.25">
      <c r="B13" s="23" t="s">
        <v>40</v>
      </c>
      <c r="C13" s="50">
        <v>33</v>
      </c>
      <c r="D13" s="50">
        <v>7</v>
      </c>
      <c r="E13" s="50">
        <v>2</v>
      </c>
      <c r="F13" s="50">
        <v>2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27</v>
      </c>
      <c r="N13" s="50">
        <v>0</v>
      </c>
      <c r="O13" s="15">
        <f t="shared" si="0"/>
        <v>45</v>
      </c>
      <c r="P13" s="15">
        <f t="shared" si="1"/>
        <v>72</v>
      </c>
      <c r="R13" s="1" t="s">
        <v>9</v>
      </c>
      <c r="S13" s="17">
        <f t="shared" ref="S13:AF13" si="5">SUM(C22:C25)</f>
        <v>420</v>
      </c>
      <c r="T13" s="17">
        <f t="shared" si="5"/>
        <v>93</v>
      </c>
      <c r="U13" s="17">
        <f t="shared" si="5"/>
        <v>8</v>
      </c>
      <c r="V13" s="17">
        <f t="shared" si="5"/>
        <v>22</v>
      </c>
      <c r="W13" s="17">
        <f t="shared" si="5"/>
        <v>0</v>
      </c>
      <c r="X13" s="17">
        <f t="shared" si="5"/>
        <v>0</v>
      </c>
      <c r="Y13" s="17">
        <f t="shared" si="5"/>
        <v>9</v>
      </c>
      <c r="Z13" s="17">
        <f t="shared" si="5"/>
        <v>1</v>
      </c>
      <c r="AA13" s="17">
        <f t="shared" si="5"/>
        <v>1</v>
      </c>
      <c r="AB13" s="17">
        <f t="shared" si="5"/>
        <v>0</v>
      </c>
      <c r="AC13" s="17">
        <f t="shared" si="5"/>
        <v>218</v>
      </c>
      <c r="AD13" s="17">
        <f t="shared" si="5"/>
        <v>0</v>
      </c>
      <c r="AE13" s="31">
        <f t="shared" si="5"/>
        <v>554</v>
      </c>
      <c r="AF13" s="31">
        <f t="shared" si="5"/>
        <v>772</v>
      </c>
    </row>
    <row r="14" spans="2:32" ht="23.1" customHeight="1" x14ac:dyDescent="0.25">
      <c r="B14" s="23" t="s">
        <v>41</v>
      </c>
      <c r="C14" s="50">
        <v>36</v>
      </c>
      <c r="D14" s="50">
        <v>5</v>
      </c>
      <c r="E14" s="50">
        <v>4</v>
      </c>
      <c r="F14" s="50">
        <v>7</v>
      </c>
      <c r="G14" s="50">
        <v>0</v>
      </c>
      <c r="H14" s="50">
        <v>0</v>
      </c>
      <c r="I14" s="50">
        <v>1</v>
      </c>
      <c r="J14" s="50">
        <v>1</v>
      </c>
      <c r="K14" s="50">
        <v>0</v>
      </c>
      <c r="L14" s="50">
        <v>0</v>
      </c>
      <c r="M14" s="50">
        <v>42</v>
      </c>
      <c r="N14" s="50">
        <v>0</v>
      </c>
      <c r="O14" s="15">
        <f t="shared" si="0"/>
        <v>54</v>
      </c>
      <c r="P14" s="15">
        <f t="shared" si="1"/>
        <v>96</v>
      </c>
      <c r="R14" s="1" t="s">
        <v>10</v>
      </c>
      <c r="S14" s="17">
        <f t="shared" ref="S14:AF14" si="6">SUM(C26:C29)</f>
        <v>411</v>
      </c>
      <c r="T14" s="17">
        <f t="shared" si="6"/>
        <v>95</v>
      </c>
      <c r="U14" s="17">
        <f t="shared" si="6"/>
        <v>10</v>
      </c>
      <c r="V14" s="17">
        <f t="shared" si="6"/>
        <v>34</v>
      </c>
      <c r="W14" s="17">
        <f t="shared" si="6"/>
        <v>0</v>
      </c>
      <c r="X14" s="17">
        <f t="shared" si="6"/>
        <v>0</v>
      </c>
      <c r="Y14" s="17">
        <f t="shared" si="6"/>
        <v>7</v>
      </c>
      <c r="Z14" s="17">
        <f t="shared" si="6"/>
        <v>4</v>
      </c>
      <c r="AA14" s="17">
        <f t="shared" si="6"/>
        <v>1</v>
      </c>
      <c r="AB14" s="17">
        <f t="shared" si="6"/>
        <v>1</v>
      </c>
      <c r="AC14" s="17">
        <f t="shared" si="6"/>
        <v>305</v>
      </c>
      <c r="AD14" s="17">
        <f t="shared" si="6"/>
        <v>0</v>
      </c>
      <c r="AE14" s="31">
        <f t="shared" si="6"/>
        <v>563</v>
      </c>
      <c r="AF14" s="31">
        <f t="shared" si="6"/>
        <v>868</v>
      </c>
    </row>
    <row r="15" spans="2:32" ht="23.1" customHeight="1" x14ac:dyDescent="0.25">
      <c r="B15" s="23" t="s">
        <v>42</v>
      </c>
      <c r="C15" s="50">
        <v>37</v>
      </c>
      <c r="D15" s="50">
        <v>15</v>
      </c>
      <c r="E15" s="50">
        <v>3</v>
      </c>
      <c r="F15" s="50">
        <v>6</v>
      </c>
      <c r="G15" s="50">
        <v>0</v>
      </c>
      <c r="H15" s="50">
        <v>0</v>
      </c>
      <c r="I15" s="50">
        <v>2</v>
      </c>
      <c r="J15" s="50">
        <v>2</v>
      </c>
      <c r="K15" s="50">
        <v>0</v>
      </c>
      <c r="L15" s="50">
        <v>0</v>
      </c>
      <c r="M15" s="50">
        <v>50</v>
      </c>
      <c r="N15" s="50">
        <v>0</v>
      </c>
      <c r="O15" s="15">
        <f t="shared" si="0"/>
        <v>65</v>
      </c>
      <c r="P15" s="15">
        <f t="shared" si="1"/>
        <v>115</v>
      </c>
      <c r="R15" s="1" t="s">
        <v>11</v>
      </c>
      <c r="S15" s="17">
        <f t="shared" ref="S15:AF15" si="7">SUM(C30:C33)</f>
        <v>357</v>
      </c>
      <c r="T15" s="17">
        <f t="shared" si="7"/>
        <v>111</v>
      </c>
      <c r="U15" s="17">
        <f t="shared" si="7"/>
        <v>14</v>
      </c>
      <c r="V15" s="17">
        <f t="shared" si="7"/>
        <v>20</v>
      </c>
      <c r="W15" s="17">
        <f t="shared" si="7"/>
        <v>0</v>
      </c>
      <c r="X15" s="17">
        <f t="shared" si="7"/>
        <v>0</v>
      </c>
      <c r="Y15" s="17">
        <f t="shared" si="7"/>
        <v>9</v>
      </c>
      <c r="Z15" s="17">
        <f t="shared" si="7"/>
        <v>3</v>
      </c>
      <c r="AA15" s="17">
        <f t="shared" si="7"/>
        <v>0</v>
      </c>
      <c r="AB15" s="17">
        <f t="shared" si="7"/>
        <v>1</v>
      </c>
      <c r="AC15" s="17">
        <f t="shared" si="7"/>
        <v>223</v>
      </c>
      <c r="AD15" s="17">
        <f t="shared" si="7"/>
        <v>0</v>
      </c>
      <c r="AE15" s="31">
        <f t="shared" si="7"/>
        <v>515</v>
      </c>
      <c r="AF15" s="31">
        <f t="shared" si="7"/>
        <v>738</v>
      </c>
    </row>
    <row r="16" spans="2:32" ht="23.1" customHeight="1" x14ac:dyDescent="0.25">
      <c r="B16" s="23" t="s">
        <v>43</v>
      </c>
      <c r="C16" s="50">
        <v>70</v>
      </c>
      <c r="D16" s="50">
        <v>9</v>
      </c>
      <c r="E16" s="50">
        <v>1</v>
      </c>
      <c r="F16" s="50">
        <v>8</v>
      </c>
      <c r="G16" s="50">
        <v>0</v>
      </c>
      <c r="H16" s="50">
        <v>0</v>
      </c>
      <c r="I16" s="50">
        <v>1</v>
      </c>
      <c r="J16" s="50">
        <v>1</v>
      </c>
      <c r="K16" s="50">
        <v>1</v>
      </c>
      <c r="L16" s="50">
        <v>0</v>
      </c>
      <c r="M16" s="50">
        <v>42</v>
      </c>
      <c r="N16" s="50">
        <v>0</v>
      </c>
      <c r="O16" s="15">
        <f t="shared" si="0"/>
        <v>91</v>
      </c>
      <c r="P16" s="15">
        <f t="shared" si="1"/>
        <v>133</v>
      </c>
      <c r="R16" s="1" t="s">
        <v>12</v>
      </c>
      <c r="S16" s="17">
        <f t="shared" ref="S16:AF16" si="8">SUM(C34:C37)</f>
        <v>536</v>
      </c>
      <c r="T16" s="17">
        <f t="shared" si="8"/>
        <v>78</v>
      </c>
      <c r="U16" s="17">
        <f t="shared" si="8"/>
        <v>16</v>
      </c>
      <c r="V16" s="17">
        <f t="shared" si="8"/>
        <v>16</v>
      </c>
      <c r="W16" s="17">
        <f t="shared" si="8"/>
        <v>0</v>
      </c>
      <c r="X16" s="17">
        <f t="shared" si="8"/>
        <v>0</v>
      </c>
      <c r="Y16" s="17">
        <f t="shared" si="8"/>
        <v>7</v>
      </c>
      <c r="Z16" s="17">
        <f t="shared" si="8"/>
        <v>4</v>
      </c>
      <c r="AA16" s="17">
        <f t="shared" si="8"/>
        <v>1</v>
      </c>
      <c r="AB16" s="17">
        <f t="shared" si="8"/>
        <v>0</v>
      </c>
      <c r="AC16" s="17">
        <f t="shared" si="8"/>
        <v>151</v>
      </c>
      <c r="AD16" s="17">
        <f t="shared" si="8"/>
        <v>0</v>
      </c>
      <c r="AE16" s="31">
        <f t="shared" si="8"/>
        <v>658</v>
      </c>
      <c r="AF16" s="31">
        <f t="shared" si="8"/>
        <v>809</v>
      </c>
    </row>
    <row r="17" spans="2:32" ht="23.1" customHeight="1" x14ac:dyDescent="0.25">
      <c r="B17" s="23" t="s">
        <v>44</v>
      </c>
      <c r="C17" s="50">
        <v>43</v>
      </c>
      <c r="D17" s="50">
        <v>10</v>
      </c>
      <c r="E17" s="50">
        <v>0</v>
      </c>
      <c r="F17" s="50">
        <v>2</v>
      </c>
      <c r="G17" s="50">
        <v>0</v>
      </c>
      <c r="H17" s="50">
        <v>0</v>
      </c>
      <c r="I17" s="50">
        <v>0</v>
      </c>
      <c r="J17" s="50">
        <v>1</v>
      </c>
      <c r="K17" s="50">
        <v>0</v>
      </c>
      <c r="L17" s="50">
        <v>0</v>
      </c>
      <c r="M17" s="50">
        <v>31</v>
      </c>
      <c r="N17" s="50">
        <v>0</v>
      </c>
      <c r="O17" s="15">
        <f t="shared" si="0"/>
        <v>56</v>
      </c>
      <c r="P17" s="15">
        <f t="shared" si="1"/>
        <v>87</v>
      </c>
      <c r="R17" s="1" t="s">
        <v>13</v>
      </c>
      <c r="S17" s="17">
        <f t="shared" ref="S17:AF17" si="9">SUM(C38:C41)</f>
        <v>503</v>
      </c>
      <c r="T17" s="17">
        <f t="shared" si="9"/>
        <v>109</v>
      </c>
      <c r="U17" s="17">
        <f t="shared" si="9"/>
        <v>11</v>
      </c>
      <c r="V17" s="17">
        <f t="shared" si="9"/>
        <v>8</v>
      </c>
      <c r="W17" s="17">
        <f t="shared" si="9"/>
        <v>0</v>
      </c>
      <c r="X17" s="17">
        <f t="shared" si="9"/>
        <v>0</v>
      </c>
      <c r="Y17" s="17">
        <f t="shared" si="9"/>
        <v>15</v>
      </c>
      <c r="Z17" s="17">
        <f t="shared" si="9"/>
        <v>3</v>
      </c>
      <c r="AA17" s="17">
        <f t="shared" si="9"/>
        <v>4</v>
      </c>
      <c r="AB17" s="17">
        <f t="shared" si="9"/>
        <v>0</v>
      </c>
      <c r="AC17" s="17">
        <f t="shared" si="9"/>
        <v>151</v>
      </c>
      <c r="AD17" s="17">
        <f t="shared" si="9"/>
        <v>0</v>
      </c>
      <c r="AE17" s="31">
        <f t="shared" si="9"/>
        <v>653</v>
      </c>
      <c r="AF17" s="31">
        <f t="shared" si="9"/>
        <v>804</v>
      </c>
    </row>
    <row r="18" spans="2:32" ht="23.1" customHeight="1" x14ac:dyDescent="0.25">
      <c r="B18" s="23" t="s">
        <v>45</v>
      </c>
      <c r="C18" s="50">
        <v>56</v>
      </c>
      <c r="D18" s="50">
        <v>20</v>
      </c>
      <c r="E18" s="50">
        <v>3</v>
      </c>
      <c r="F18" s="50">
        <v>6</v>
      </c>
      <c r="G18" s="50">
        <v>0</v>
      </c>
      <c r="H18" s="50">
        <v>0</v>
      </c>
      <c r="I18" s="50">
        <v>1</v>
      </c>
      <c r="J18" s="50">
        <v>1</v>
      </c>
      <c r="K18" s="50">
        <v>0</v>
      </c>
      <c r="L18" s="50">
        <v>0</v>
      </c>
      <c r="M18" s="50">
        <v>70</v>
      </c>
      <c r="N18" s="50">
        <v>0</v>
      </c>
      <c r="O18" s="15">
        <f t="shared" si="0"/>
        <v>87</v>
      </c>
      <c r="P18" s="15">
        <f t="shared" si="1"/>
        <v>157</v>
      </c>
      <c r="R18" s="1" t="s">
        <v>14</v>
      </c>
      <c r="S18" s="17">
        <f t="shared" ref="S18:AF18" si="10">SUM(C42:C45)</f>
        <v>435</v>
      </c>
      <c r="T18" s="17">
        <f t="shared" si="10"/>
        <v>81</v>
      </c>
      <c r="U18" s="17">
        <f t="shared" si="10"/>
        <v>5</v>
      </c>
      <c r="V18" s="17">
        <f t="shared" si="10"/>
        <v>19</v>
      </c>
      <c r="W18" s="17">
        <f t="shared" si="10"/>
        <v>0</v>
      </c>
      <c r="X18" s="17">
        <f t="shared" si="10"/>
        <v>0</v>
      </c>
      <c r="Y18" s="17">
        <f t="shared" si="10"/>
        <v>12</v>
      </c>
      <c r="Z18" s="17">
        <f t="shared" si="10"/>
        <v>5</v>
      </c>
      <c r="AA18" s="17">
        <f t="shared" si="10"/>
        <v>1</v>
      </c>
      <c r="AB18" s="17">
        <f t="shared" si="10"/>
        <v>0</v>
      </c>
      <c r="AC18" s="17">
        <f t="shared" si="10"/>
        <v>142</v>
      </c>
      <c r="AD18" s="17">
        <f t="shared" si="10"/>
        <v>0</v>
      </c>
      <c r="AE18" s="31">
        <f t="shared" si="10"/>
        <v>558</v>
      </c>
      <c r="AF18" s="31">
        <f t="shared" si="10"/>
        <v>700</v>
      </c>
    </row>
    <row r="19" spans="2:32" ht="23.1" customHeight="1" x14ac:dyDescent="0.25">
      <c r="B19" s="23" t="s">
        <v>46</v>
      </c>
      <c r="C19" s="50">
        <v>70</v>
      </c>
      <c r="D19" s="50">
        <v>20</v>
      </c>
      <c r="E19" s="50">
        <v>3</v>
      </c>
      <c r="F19" s="50">
        <v>6</v>
      </c>
      <c r="G19" s="50">
        <v>0</v>
      </c>
      <c r="H19" s="50">
        <v>0</v>
      </c>
      <c r="I19" s="50">
        <v>3</v>
      </c>
      <c r="J19" s="50">
        <v>0</v>
      </c>
      <c r="K19" s="50">
        <v>0</v>
      </c>
      <c r="L19" s="50">
        <v>0</v>
      </c>
      <c r="M19" s="50">
        <v>38</v>
      </c>
      <c r="N19" s="50">
        <v>0</v>
      </c>
      <c r="O19" s="15">
        <f t="shared" si="0"/>
        <v>102</v>
      </c>
      <c r="P19" s="15">
        <f t="shared" si="1"/>
        <v>140</v>
      </c>
      <c r="R19" s="1" t="s">
        <v>15</v>
      </c>
      <c r="S19" s="17">
        <f t="shared" ref="S19:AF19" si="11">SUM(C46:C49)</f>
        <v>379</v>
      </c>
      <c r="T19" s="17">
        <f t="shared" si="11"/>
        <v>89</v>
      </c>
      <c r="U19" s="17">
        <f t="shared" si="11"/>
        <v>5</v>
      </c>
      <c r="V19" s="17">
        <f t="shared" si="11"/>
        <v>15</v>
      </c>
      <c r="W19" s="17">
        <f t="shared" si="11"/>
        <v>0</v>
      </c>
      <c r="X19" s="17">
        <f t="shared" si="11"/>
        <v>0</v>
      </c>
      <c r="Y19" s="17">
        <f t="shared" si="11"/>
        <v>11</v>
      </c>
      <c r="Z19" s="17">
        <f t="shared" si="11"/>
        <v>5</v>
      </c>
      <c r="AA19" s="17">
        <f t="shared" si="11"/>
        <v>0</v>
      </c>
      <c r="AB19" s="17">
        <f t="shared" si="11"/>
        <v>1</v>
      </c>
      <c r="AC19" s="17">
        <f t="shared" si="11"/>
        <v>122</v>
      </c>
      <c r="AD19" s="17">
        <f t="shared" si="11"/>
        <v>0</v>
      </c>
      <c r="AE19" s="31">
        <f t="shared" si="11"/>
        <v>505</v>
      </c>
      <c r="AF19" s="31">
        <f t="shared" si="11"/>
        <v>627</v>
      </c>
    </row>
    <row r="20" spans="2:32" ht="23.1" customHeight="1" x14ac:dyDescent="0.25">
      <c r="B20" s="23" t="s">
        <v>47</v>
      </c>
      <c r="C20" s="50">
        <v>63</v>
      </c>
      <c r="D20" s="50">
        <v>13</v>
      </c>
      <c r="E20" s="50">
        <v>2</v>
      </c>
      <c r="F20" s="50">
        <v>6</v>
      </c>
      <c r="G20" s="50">
        <v>0</v>
      </c>
      <c r="H20" s="50">
        <v>0</v>
      </c>
      <c r="I20" s="50">
        <v>3</v>
      </c>
      <c r="J20" s="50">
        <v>0</v>
      </c>
      <c r="K20" s="50">
        <v>0</v>
      </c>
      <c r="L20" s="50">
        <v>0</v>
      </c>
      <c r="M20" s="50">
        <v>55</v>
      </c>
      <c r="N20" s="50">
        <v>0</v>
      </c>
      <c r="O20" s="15">
        <f t="shared" si="0"/>
        <v>87</v>
      </c>
      <c r="P20" s="15">
        <f t="shared" si="1"/>
        <v>142</v>
      </c>
      <c r="R20" s="1" t="s">
        <v>16</v>
      </c>
      <c r="S20" s="17">
        <f t="shared" ref="S20:AF20" si="12">SUM(C50:C53)</f>
        <v>394</v>
      </c>
      <c r="T20" s="17">
        <f t="shared" si="12"/>
        <v>92</v>
      </c>
      <c r="U20" s="17">
        <f t="shared" si="12"/>
        <v>8</v>
      </c>
      <c r="V20" s="17">
        <f t="shared" si="12"/>
        <v>19</v>
      </c>
      <c r="W20" s="17">
        <f t="shared" si="12"/>
        <v>0</v>
      </c>
      <c r="X20" s="17">
        <f t="shared" si="12"/>
        <v>0</v>
      </c>
      <c r="Y20" s="17">
        <f t="shared" si="12"/>
        <v>7</v>
      </c>
      <c r="Z20" s="17">
        <f t="shared" si="12"/>
        <v>0</v>
      </c>
      <c r="AA20" s="17">
        <f t="shared" si="12"/>
        <v>3</v>
      </c>
      <c r="AB20" s="17">
        <f t="shared" si="12"/>
        <v>2</v>
      </c>
      <c r="AC20" s="17">
        <f t="shared" si="12"/>
        <v>129</v>
      </c>
      <c r="AD20" s="17">
        <f t="shared" si="12"/>
        <v>0</v>
      </c>
      <c r="AE20" s="31">
        <f t="shared" si="12"/>
        <v>525</v>
      </c>
      <c r="AF20" s="31">
        <f t="shared" si="12"/>
        <v>654</v>
      </c>
    </row>
    <row r="21" spans="2:32" ht="23.1" customHeight="1" x14ac:dyDescent="0.25">
      <c r="B21" s="23" t="s">
        <v>48</v>
      </c>
      <c r="C21" s="50">
        <v>64</v>
      </c>
      <c r="D21" s="50">
        <v>11</v>
      </c>
      <c r="E21" s="50">
        <v>2</v>
      </c>
      <c r="F21" s="50">
        <v>8</v>
      </c>
      <c r="G21" s="50">
        <v>0</v>
      </c>
      <c r="H21" s="50">
        <v>0</v>
      </c>
      <c r="I21" s="50">
        <v>3</v>
      </c>
      <c r="J21" s="50">
        <v>0</v>
      </c>
      <c r="K21" s="50">
        <v>0</v>
      </c>
      <c r="L21" s="50">
        <v>1</v>
      </c>
      <c r="M21" s="50">
        <v>30</v>
      </c>
      <c r="N21" s="50">
        <v>0</v>
      </c>
      <c r="O21" s="15">
        <f t="shared" si="0"/>
        <v>89</v>
      </c>
      <c r="P21" s="15">
        <f t="shared" si="1"/>
        <v>119</v>
      </c>
      <c r="R21" s="36" t="s">
        <v>20</v>
      </c>
      <c r="S21" s="34">
        <f t="shared" ref="S21:AF21" si="13">SUM(C54:C57)</f>
        <v>504</v>
      </c>
      <c r="T21" s="17">
        <f t="shared" si="13"/>
        <v>81</v>
      </c>
      <c r="U21" s="17">
        <f t="shared" si="13"/>
        <v>10</v>
      </c>
      <c r="V21" s="17">
        <f t="shared" si="13"/>
        <v>24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7</v>
      </c>
      <c r="AA21" s="17">
        <f t="shared" si="13"/>
        <v>1</v>
      </c>
      <c r="AB21" s="17">
        <f t="shared" si="13"/>
        <v>0</v>
      </c>
      <c r="AC21" s="17">
        <f t="shared" si="13"/>
        <v>141</v>
      </c>
      <c r="AD21" s="17">
        <f t="shared" si="13"/>
        <v>0</v>
      </c>
      <c r="AE21" s="31">
        <f t="shared" si="13"/>
        <v>627</v>
      </c>
      <c r="AF21" s="31">
        <f t="shared" si="13"/>
        <v>768</v>
      </c>
    </row>
    <row r="22" spans="2:32" ht="23.1" customHeight="1" x14ac:dyDescent="0.25">
      <c r="B22" s="23" t="s">
        <v>49</v>
      </c>
      <c r="C22" s="50">
        <v>105</v>
      </c>
      <c r="D22" s="50">
        <v>23</v>
      </c>
      <c r="E22" s="50">
        <v>2</v>
      </c>
      <c r="F22" s="50">
        <v>11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42</v>
      </c>
      <c r="N22" s="50">
        <v>0</v>
      </c>
      <c r="O22" s="15">
        <f t="shared" si="0"/>
        <v>141</v>
      </c>
      <c r="P22" s="15">
        <f t="shared" si="1"/>
        <v>183</v>
      </c>
      <c r="R22" s="38" t="s">
        <v>90</v>
      </c>
      <c r="S22" s="39">
        <f>MAX(S10:S12)</f>
        <v>253</v>
      </c>
      <c r="T22" s="39">
        <f t="shared" ref="T22:AF22" si="14">MAX(T10:T12)</f>
        <v>64</v>
      </c>
      <c r="U22" s="39">
        <f t="shared" si="14"/>
        <v>10</v>
      </c>
      <c r="V22" s="39">
        <f t="shared" si="14"/>
        <v>26</v>
      </c>
      <c r="W22" s="39">
        <f t="shared" si="14"/>
        <v>0</v>
      </c>
      <c r="X22" s="39">
        <f t="shared" si="14"/>
        <v>0</v>
      </c>
      <c r="Y22" s="39">
        <f t="shared" si="14"/>
        <v>10</v>
      </c>
      <c r="Z22" s="39">
        <f t="shared" si="14"/>
        <v>5</v>
      </c>
      <c r="AA22" s="39">
        <f t="shared" si="14"/>
        <v>1</v>
      </c>
      <c r="AB22" s="39">
        <f t="shared" si="14"/>
        <v>1</v>
      </c>
      <c r="AC22" s="39">
        <f t="shared" si="14"/>
        <v>193</v>
      </c>
      <c r="AD22" s="39">
        <f t="shared" si="14"/>
        <v>0</v>
      </c>
      <c r="AE22" s="40">
        <f t="shared" si="14"/>
        <v>365</v>
      </c>
      <c r="AF22" s="40">
        <f t="shared" si="14"/>
        <v>558</v>
      </c>
    </row>
    <row r="23" spans="2:32" ht="23.1" customHeight="1" x14ac:dyDescent="0.25">
      <c r="B23" s="23" t="s">
        <v>50</v>
      </c>
      <c r="C23" s="50">
        <v>90</v>
      </c>
      <c r="D23" s="50">
        <v>30</v>
      </c>
      <c r="E23" s="50">
        <v>4</v>
      </c>
      <c r="F23" s="50">
        <v>1</v>
      </c>
      <c r="G23" s="50">
        <v>0</v>
      </c>
      <c r="H23" s="50">
        <v>0</v>
      </c>
      <c r="I23" s="50">
        <v>2</v>
      </c>
      <c r="J23" s="50">
        <v>1</v>
      </c>
      <c r="K23" s="50">
        <v>1</v>
      </c>
      <c r="L23" s="50">
        <v>0</v>
      </c>
      <c r="M23" s="50">
        <v>65</v>
      </c>
      <c r="N23" s="50">
        <v>0</v>
      </c>
      <c r="O23" s="15">
        <f t="shared" si="0"/>
        <v>129</v>
      </c>
      <c r="P23" s="15">
        <f t="shared" si="1"/>
        <v>194</v>
      </c>
      <c r="R23" s="38" t="s">
        <v>91</v>
      </c>
      <c r="S23" s="39">
        <f>MAX(S13:S18)</f>
        <v>536</v>
      </c>
      <c r="T23" s="39">
        <f t="shared" ref="T23:AF23" si="15">MAX(T13:T18)</f>
        <v>111</v>
      </c>
      <c r="U23" s="39">
        <f t="shared" si="15"/>
        <v>16</v>
      </c>
      <c r="V23" s="39">
        <f t="shared" si="15"/>
        <v>34</v>
      </c>
      <c r="W23" s="39">
        <f t="shared" si="15"/>
        <v>0</v>
      </c>
      <c r="X23" s="39">
        <f t="shared" si="15"/>
        <v>0</v>
      </c>
      <c r="Y23" s="39">
        <f t="shared" si="15"/>
        <v>15</v>
      </c>
      <c r="Z23" s="39">
        <f t="shared" si="15"/>
        <v>5</v>
      </c>
      <c r="AA23" s="39">
        <f t="shared" si="15"/>
        <v>4</v>
      </c>
      <c r="AB23" s="39">
        <f t="shared" si="15"/>
        <v>1</v>
      </c>
      <c r="AC23" s="39">
        <f t="shared" si="15"/>
        <v>305</v>
      </c>
      <c r="AD23" s="39">
        <f t="shared" si="15"/>
        <v>0</v>
      </c>
      <c r="AE23" s="40">
        <f t="shared" si="15"/>
        <v>658</v>
      </c>
      <c r="AF23" s="40">
        <f t="shared" si="15"/>
        <v>868</v>
      </c>
    </row>
    <row r="24" spans="2:32" ht="23.1" customHeight="1" x14ac:dyDescent="0.25">
      <c r="B24" s="23" t="s">
        <v>51</v>
      </c>
      <c r="C24" s="50">
        <v>105</v>
      </c>
      <c r="D24" s="50">
        <v>21</v>
      </c>
      <c r="E24" s="50">
        <v>1</v>
      </c>
      <c r="F24" s="50">
        <v>6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63</v>
      </c>
      <c r="N24" s="50">
        <v>0</v>
      </c>
      <c r="O24" s="15">
        <f t="shared" si="0"/>
        <v>134</v>
      </c>
      <c r="P24" s="15">
        <f t="shared" si="1"/>
        <v>197</v>
      </c>
      <c r="R24" s="38" t="s">
        <v>92</v>
      </c>
      <c r="S24" s="39">
        <f>MAX(S19:S21)</f>
        <v>504</v>
      </c>
      <c r="T24" s="39">
        <f t="shared" ref="T24:AF24" si="16">MAX(T19:T21)</f>
        <v>92</v>
      </c>
      <c r="U24" s="39">
        <f t="shared" si="16"/>
        <v>10</v>
      </c>
      <c r="V24" s="39">
        <f t="shared" si="16"/>
        <v>24</v>
      </c>
      <c r="W24" s="39">
        <f t="shared" si="16"/>
        <v>0</v>
      </c>
      <c r="X24" s="39">
        <f t="shared" si="16"/>
        <v>0</v>
      </c>
      <c r="Y24" s="39">
        <f t="shared" si="16"/>
        <v>11</v>
      </c>
      <c r="Z24" s="39">
        <f t="shared" si="16"/>
        <v>7</v>
      </c>
      <c r="AA24" s="39">
        <f t="shared" si="16"/>
        <v>3</v>
      </c>
      <c r="AB24" s="39">
        <f t="shared" si="16"/>
        <v>2</v>
      </c>
      <c r="AC24" s="39">
        <f t="shared" si="16"/>
        <v>141</v>
      </c>
      <c r="AD24" s="39">
        <f t="shared" si="16"/>
        <v>0</v>
      </c>
      <c r="AE24" s="40">
        <f t="shared" si="16"/>
        <v>627</v>
      </c>
      <c r="AF24" s="40">
        <f t="shared" si="16"/>
        <v>768</v>
      </c>
    </row>
    <row r="25" spans="2:32" ht="23.1" customHeight="1" x14ac:dyDescent="0.25">
      <c r="B25" s="23" t="s">
        <v>52</v>
      </c>
      <c r="C25" s="50">
        <v>120</v>
      </c>
      <c r="D25" s="50">
        <v>19</v>
      </c>
      <c r="E25" s="50">
        <v>1</v>
      </c>
      <c r="F25" s="50">
        <v>4</v>
      </c>
      <c r="G25" s="50">
        <v>0</v>
      </c>
      <c r="H25" s="50">
        <v>0</v>
      </c>
      <c r="I25" s="50">
        <v>6</v>
      </c>
      <c r="J25" s="50">
        <v>0</v>
      </c>
      <c r="K25" s="50">
        <v>0</v>
      </c>
      <c r="L25" s="50">
        <v>0</v>
      </c>
      <c r="M25" s="50">
        <v>48</v>
      </c>
      <c r="N25" s="50">
        <v>0</v>
      </c>
      <c r="O25" s="15">
        <f t="shared" si="0"/>
        <v>150</v>
      </c>
      <c r="P25" s="15">
        <f t="shared" si="1"/>
        <v>198</v>
      </c>
      <c r="R25" s="37" t="s">
        <v>85</v>
      </c>
      <c r="S25" s="35">
        <f t="shared" ref="S25:AF25" si="17">SUM(S10:S12)</f>
        <v>561</v>
      </c>
      <c r="T25" s="16">
        <f t="shared" si="17"/>
        <v>117</v>
      </c>
      <c r="U25" s="16">
        <f t="shared" si="17"/>
        <v>22</v>
      </c>
      <c r="V25" s="16">
        <f t="shared" si="17"/>
        <v>60</v>
      </c>
      <c r="W25" s="16">
        <f t="shared" si="17"/>
        <v>0</v>
      </c>
      <c r="X25" s="16">
        <f t="shared" si="17"/>
        <v>0</v>
      </c>
      <c r="Y25" s="16">
        <f t="shared" si="17"/>
        <v>18</v>
      </c>
      <c r="Z25" s="16">
        <f t="shared" si="17"/>
        <v>7</v>
      </c>
      <c r="AA25" s="16">
        <f t="shared" si="17"/>
        <v>1</v>
      </c>
      <c r="AB25" s="16">
        <f t="shared" si="17"/>
        <v>1</v>
      </c>
      <c r="AC25" s="16">
        <f t="shared" si="17"/>
        <v>456</v>
      </c>
      <c r="AD25" s="16">
        <f t="shared" si="17"/>
        <v>0</v>
      </c>
      <c r="AE25" s="32">
        <f t="shared" si="17"/>
        <v>787</v>
      </c>
      <c r="AF25" s="32">
        <f t="shared" si="17"/>
        <v>1243</v>
      </c>
    </row>
    <row r="26" spans="2:32" ht="23.1" customHeight="1" x14ac:dyDescent="0.25">
      <c r="B26" s="23" t="s">
        <v>53</v>
      </c>
      <c r="C26" s="50">
        <v>71</v>
      </c>
      <c r="D26" s="50">
        <v>17</v>
      </c>
      <c r="E26" s="50">
        <v>1</v>
      </c>
      <c r="F26" s="50">
        <v>6</v>
      </c>
      <c r="G26" s="50">
        <v>0</v>
      </c>
      <c r="H26" s="50">
        <v>0</v>
      </c>
      <c r="I26" s="50">
        <v>3</v>
      </c>
      <c r="J26" s="50">
        <v>1</v>
      </c>
      <c r="K26" s="50">
        <v>0</v>
      </c>
      <c r="L26" s="50">
        <v>0</v>
      </c>
      <c r="M26" s="50">
        <v>83</v>
      </c>
      <c r="N26" s="50">
        <v>0</v>
      </c>
      <c r="O26" s="15">
        <f t="shared" si="0"/>
        <v>99</v>
      </c>
      <c r="P26" s="15">
        <f t="shared" si="1"/>
        <v>182</v>
      </c>
      <c r="R26" s="28" t="s">
        <v>86</v>
      </c>
      <c r="S26" s="16">
        <f t="shared" ref="S26:AF26" si="18">SUM(S13:S18)</f>
        <v>2662</v>
      </c>
      <c r="T26" s="16">
        <f t="shared" si="18"/>
        <v>567</v>
      </c>
      <c r="U26" s="16">
        <f t="shared" si="18"/>
        <v>64</v>
      </c>
      <c r="V26" s="16">
        <f t="shared" si="18"/>
        <v>119</v>
      </c>
      <c r="W26" s="16">
        <f t="shared" si="18"/>
        <v>0</v>
      </c>
      <c r="X26" s="16">
        <f t="shared" si="18"/>
        <v>0</v>
      </c>
      <c r="Y26" s="16">
        <f t="shared" si="18"/>
        <v>59</v>
      </c>
      <c r="Z26" s="16">
        <f t="shared" si="18"/>
        <v>20</v>
      </c>
      <c r="AA26" s="16">
        <f t="shared" si="18"/>
        <v>8</v>
      </c>
      <c r="AB26" s="16">
        <f t="shared" si="18"/>
        <v>2</v>
      </c>
      <c r="AC26" s="16">
        <f t="shared" si="18"/>
        <v>1190</v>
      </c>
      <c r="AD26" s="16">
        <f t="shared" si="18"/>
        <v>0</v>
      </c>
      <c r="AE26" s="32">
        <f t="shared" si="18"/>
        <v>3501</v>
      </c>
      <c r="AF26" s="32">
        <f t="shared" si="18"/>
        <v>4691</v>
      </c>
    </row>
    <row r="27" spans="2:32" ht="23.1" customHeight="1" x14ac:dyDescent="0.25">
      <c r="B27" s="23" t="s">
        <v>54</v>
      </c>
      <c r="C27" s="50">
        <v>105</v>
      </c>
      <c r="D27" s="50">
        <v>24</v>
      </c>
      <c r="E27" s="50">
        <v>3</v>
      </c>
      <c r="F27" s="50">
        <v>8</v>
      </c>
      <c r="G27" s="50">
        <v>0</v>
      </c>
      <c r="H27" s="50">
        <v>0</v>
      </c>
      <c r="I27" s="50">
        <v>1</v>
      </c>
      <c r="J27" s="50">
        <v>3</v>
      </c>
      <c r="K27" s="50">
        <v>0</v>
      </c>
      <c r="L27" s="50">
        <v>1</v>
      </c>
      <c r="M27" s="50">
        <v>81</v>
      </c>
      <c r="N27" s="50">
        <v>0</v>
      </c>
      <c r="O27" s="15">
        <f t="shared" si="0"/>
        <v>145</v>
      </c>
      <c r="P27" s="15">
        <f t="shared" si="1"/>
        <v>226</v>
      </c>
      <c r="R27" s="29" t="s">
        <v>87</v>
      </c>
      <c r="S27" s="16">
        <f t="shared" ref="S27:AF27" si="19">SUM(S19:S21)</f>
        <v>1277</v>
      </c>
      <c r="T27" s="16">
        <f t="shared" si="19"/>
        <v>262</v>
      </c>
      <c r="U27" s="16">
        <f t="shared" si="19"/>
        <v>23</v>
      </c>
      <c r="V27" s="16">
        <f t="shared" si="19"/>
        <v>58</v>
      </c>
      <c r="W27" s="16">
        <f t="shared" si="19"/>
        <v>0</v>
      </c>
      <c r="X27" s="16">
        <f t="shared" si="19"/>
        <v>0</v>
      </c>
      <c r="Y27" s="16">
        <f t="shared" si="19"/>
        <v>18</v>
      </c>
      <c r="Z27" s="16">
        <f t="shared" si="19"/>
        <v>12</v>
      </c>
      <c r="AA27" s="16">
        <f t="shared" si="19"/>
        <v>4</v>
      </c>
      <c r="AB27" s="16">
        <f t="shared" si="19"/>
        <v>3</v>
      </c>
      <c r="AC27" s="16">
        <f t="shared" si="19"/>
        <v>392</v>
      </c>
      <c r="AD27" s="16">
        <f t="shared" si="19"/>
        <v>0</v>
      </c>
      <c r="AE27" s="32">
        <f t="shared" si="19"/>
        <v>1657</v>
      </c>
      <c r="AF27" s="32">
        <f t="shared" si="19"/>
        <v>2049</v>
      </c>
    </row>
    <row r="28" spans="2:32" ht="23.1" customHeight="1" x14ac:dyDescent="0.25">
      <c r="B28" s="23" t="s">
        <v>55</v>
      </c>
      <c r="C28" s="50">
        <v>115</v>
      </c>
      <c r="D28" s="50">
        <v>24</v>
      </c>
      <c r="E28" s="50">
        <v>1</v>
      </c>
      <c r="F28" s="50">
        <v>9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0</v>
      </c>
      <c r="M28" s="50">
        <v>65</v>
      </c>
      <c r="N28" s="50">
        <v>0</v>
      </c>
      <c r="O28" s="15">
        <f t="shared" si="0"/>
        <v>151</v>
      </c>
      <c r="P28" s="15">
        <f t="shared" si="1"/>
        <v>216</v>
      </c>
      <c r="R28" s="5" t="s">
        <v>17</v>
      </c>
      <c r="S28" s="16">
        <f t="shared" ref="S28:AF28" si="20">SUM(S10:S21)</f>
        <v>4500</v>
      </c>
      <c r="T28" s="16">
        <f t="shared" si="20"/>
        <v>946</v>
      </c>
      <c r="U28" s="16">
        <f t="shared" si="20"/>
        <v>109</v>
      </c>
      <c r="V28" s="16">
        <f t="shared" si="20"/>
        <v>237</v>
      </c>
      <c r="W28" s="16">
        <f t="shared" si="20"/>
        <v>0</v>
      </c>
      <c r="X28" s="16">
        <f t="shared" si="20"/>
        <v>0</v>
      </c>
      <c r="Y28" s="16">
        <f t="shared" si="20"/>
        <v>95</v>
      </c>
      <c r="Z28" s="16">
        <f t="shared" si="20"/>
        <v>39</v>
      </c>
      <c r="AA28" s="16">
        <f t="shared" si="20"/>
        <v>13</v>
      </c>
      <c r="AB28" s="16">
        <f t="shared" si="20"/>
        <v>6</v>
      </c>
      <c r="AC28" s="16">
        <f t="shared" si="20"/>
        <v>2038</v>
      </c>
      <c r="AD28" s="16">
        <f t="shared" si="20"/>
        <v>0</v>
      </c>
      <c r="AE28" s="32">
        <f t="shared" si="20"/>
        <v>5945</v>
      </c>
      <c r="AF28" s="32">
        <f t="shared" si="20"/>
        <v>7983</v>
      </c>
    </row>
    <row r="29" spans="2:32" ht="23.1" customHeight="1" x14ac:dyDescent="0.25">
      <c r="B29" s="23" t="s">
        <v>56</v>
      </c>
      <c r="C29" s="50">
        <v>120</v>
      </c>
      <c r="D29" s="50">
        <v>30</v>
      </c>
      <c r="E29" s="50">
        <v>5</v>
      </c>
      <c r="F29" s="50">
        <v>11</v>
      </c>
      <c r="G29" s="50">
        <v>0</v>
      </c>
      <c r="H29" s="50">
        <v>0</v>
      </c>
      <c r="I29" s="50">
        <v>1</v>
      </c>
      <c r="J29" s="50">
        <v>0</v>
      </c>
      <c r="K29" s="50">
        <v>1</v>
      </c>
      <c r="L29" s="50">
        <v>0</v>
      </c>
      <c r="M29" s="50">
        <v>76</v>
      </c>
      <c r="N29" s="50">
        <v>0</v>
      </c>
      <c r="O29" s="15">
        <f t="shared" si="0"/>
        <v>168</v>
      </c>
      <c r="P29" s="15">
        <f t="shared" si="1"/>
        <v>244</v>
      </c>
      <c r="R29"/>
      <c r="S29" s="20"/>
      <c r="T29" s="19"/>
    </row>
    <row r="30" spans="2:32" ht="23.1" customHeight="1" x14ac:dyDescent="0.25">
      <c r="B30" s="23" t="s">
        <v>57</v>
      </c>
      <c r="C30" s="50">
        <v>107</v>
      </c>
      <c r="D30" s="50">
        <v>23</v>
      </c>
      <c r="E30" s="50">
        <v>3</v>
      </c>
      <c r="F30" s="50">
        <v>7</v>
      </c>
      <c r="G30" s="50">
        <v>0</v>
      </c>
      <c r="H30" s="50">
        <v>0</v>
      </c>
      <c r="I30" s="50">
        <v>3</v>
      </c>
      <c r="J30" s="50">
        <v>2</v>
      </c>
      <c r="K30" s="50">
        <v>0</v>
      </c>
      <c r="L30" s="50">
        <v>0</v>
      </c>
      <c r="M30" s="50">
        <v>76</v>
      </c>
      <c r="N30" s="50">
        <v>0</v>
      </c>
      <c r="O30" s="15">
        <f t="shared" si="0"/>
        <v>145</v>
      </c>
      <c r="P30" s="15">
        <f t="shared" si="1"/>
        <v>221</v>
      </c>
    </row>
    <row r="31" spans="2:32" ht="23.1" customHeight="1" x14ac:dyDescent="0.25">
      <c r="B31" s="24" t="s">
        <v>58</v>
      </c>
      <c r="C31" s="50">
        <v>11</v>
      </c>
      <c r="D31" s="50">
        <v>25</v>
      </c>
      <c r="E31" s="50">
        <v>4</v>
      </c>
      <c r="F31" s="50">
        <v>6</v>
      </c>
      <c r="G31" s="50">
        <v>0</v>
      </c>
      <c r="H31" s="50">
        <v>0</v>
      </c>
      <c r="I31" s="50">
        <v>3</v>
      </c>
      <c r="J31" s="50">
        <v>0</v>
      </c>
      <c r="K31" s="50">
        <v>0</v>
      </c>
      <c r="L31" s="50">
        <v>1</v>
      </c>
      <c r="M31" s="50">
        <v>50</v>
      </c>
      <c r="N31" s="50">
        <v>0</v>
      </c>
      <c r="O31" s="15">
        <f t="shared" si="0"/>
        <v>50</v>
      </c>
      <c r="P31" s="15">
        <f t="shared" si="1"/>
        <v>100</v>
      </c>
    </row>
    <row r="32" spans="2:32" ht="23.1" customHeight="1" x14ac:dyDescent="0.25">
      <c r="B32" s="24" t="s">
        <v>59</v>
      </c>
      <c r="C32" s="50">
        <v>124</v>
      </c>
      <c r="D32" s="50">
        <v>36</v>
      </c>
      <c r="E32" s="50">
        <v>2</v>
      </c>
      <c r="F32" s="50">
        <v>3</v>
      </c>
      <c r="G32" s="50">
        <v>0</v>
      </c>
      <c r="H32" s="50">
        <v>0</v>
      </c>
      <c r="I32" s="50">
        <v>3</v>
      </c>
      <c r="J32" s="50">
        <v>0</v>
      </c>
      <c r="K32" s="50">
        <v>0</v>
      </c>
      <c r="L32" s="50">
        <v>0</v>
      </c>
      <c r="M32" s="50">
        <v>46</v>
      </c>
      <c r="N32" s="50">
        <v>0</v>
      </c>
      <c r="O32" s="15">
        <f t="shared" si="0"/>
        <v>168</v>
      </c>
      <c r="P32" s="15">
        <f t="shared" si="1"/>
        <v>214</v>
      </c>
    </row>
    <row r="33" spans="2:20" ht="23.1" customHeight="1" x14ac:dyDescent="0.25">
      <c r="B33" s="23" t="s">
        <v>60</v>
      </c>
      <c r="C33" s="50">
        <v>115</v>
      </c>
      <c r="D33" s="50">
        <v>27</v>
      </c>
      <c r="E33" s="50">
        <v>5</v>
      </c>
      <c r="F33" s="50">
        <v>4</v>
      </c>
      <c r="G33" s="50">
        <v>0</v>
      </c>
      <c r="H33" s="50">
        <v>0</v>
      </c>
      <c r="I33" s="50">
        <v>0</v>
      </c>
      <c r="J33" s="50">
        <v>1</v>
      </c>
      <c r="K33" s="50">
        <v>0</v>
      </c>
      <c r="L33" s="50">
        <v>0</v>
      </c>
      <c r="M33" s="50">
        <v>51</v>
      </c>
      <c r="N33" s="50">
        <v>0</v>
      </c>
      <c r="O33" s="15">
        <f t="shared" si="0"/>
        <v>152</v>
      </c>
      <c r="P33" s="15">
        <f t="shared" si="1"/>
        <v>203</v>
      </c>
    </row>
    <row r="34" spans="2:20" ht="23.1" customHeight="1" x14ac:dyDescent="0.25">
      <c r="B34" s="24" t="s">
        <v>61</v>
      </c>
      <c r="C34" s="50">
        <v>125</v>
      </c>
      <c r="D34" s="50">
        <v>14</v>
      </c>
      <c r="E34" s="50">
        <v>5</v>
      </c>
      <c r="F34" s="50">
        <v>6</v>
      </c>
      <c r="G34" s="50">
        <v>0</v>
      </c>
      <c r="H34" s="50">
        <v>0</v>
      </c>
      <c r="I34" s="50">
        <v>2</v>
      </c>
      <c r="J34" s="50">
        <v>0</v>
      </c>
      <c r="K34" s="50">
        <v>0</v>
      </c>
      <c r="L34" s="50">
        <v>0</v>
      </c>
      <c r="M34" s="50">
        <v>40</v>
      </c>
      <c r="N34" s="50">
        <v>0</v>
      </c>
      <c r="O34" s="15">
        <f t="shared" si="0"/>
        <v>152</v>
      </c>
      <c r="P34" s="15">
        <f t="shared" si="1"/>
        <v>192</v>
      </c>
    </row>
    <row r="35" spans="2:20" ht="23.1" customHeight="1" x14ac:dyDescent="0.25">
      <c r="B35" s="24" t="s">
        <v>62</v>
      </c>
      <c r="C35" s="50">
        <v>126</v>
      </c>
      <c r="D35" s="50">
        <v>25</v>
      </c>
      <c r="E35" s="50">
        <v>4</v>
      </c>
      <c r="F35" s="50">
        <v>3</v>
      </c>
      <c r="G35" s="50">
        <v>0</v>
      </c>
      <c r="H35" s="50">
        <v>0</v>
      </c>
      <c r="I35" s="50">
        <v>1</v>
      </c>
      <c r="J35" s="50">
        <v>2</v>
      </c>
      <c r="K35" s="50">
        <v>0</v>
      </c>
      <c r="L35" s="50">
        <v>0</v>
      </c>
      <c r="M35" s="50">
        <v>46</v>
      </c>
      <c r="N35" s="50">
        <v>0</v>
      </c>
      <c r="O35" s="15">
        <f t="shared" si="0"/>
        <v>161</v>
      </c>
      <c r="P35" s="15">
        <f t="shared" si="1"/>
        <v>207</v>
      </c>
    </row>
    <row r="36" spans="2:20" ht="23.1" customHeight="1" x14ac:dyDescent="0.25">
      <c r="B36" s="24" t="s">
        <v>63</v>
      </c>
      <c r="C36" s="50">
        <v>135</v>
      </c>
      <c r="D36" s="50">
        <v>13</v>
      </c>
      <c r="E36" s="50">
        <v>5</v>
      </c>
      <c r="F36" s="50">
        <v>2</v>
      </c>
      <c r="G36" s="50">
        <v>0</v>
      </c>
      <c r="H36" s="50">
        <v>0</v>
      </c>
      <c r="I36" s="50">
        <v>2</v>
      </c>
      <c r="J36" s="50">
        <v>0</v>
      </c>
      <c r="K36" s="50">
        <v>1</v>
      </c>
      <c r="L36" s="50">
        <v>0</v>
      </c>
      <c r="M36" s="50">
        <v>35</v>
      </c>
      <c r="N36" s="50">
        <v>0</v>
      </c>
      <c r="O36" s="15">
        <f t="shared" si="0"/>
        <v>158</v>
      </c>
      <c r="P36" s="15">
        <f t="shared" si="1"/>
        <v>193</v>
      </c>
    </row>
    <row r="37" spans="2:20" ht="23.1" customHeight="1" x14ac:dyDescent="0.25">
      <c r="B37" s="23" t="s">
        <v>64</v>
      </c>
      <c r="C37" s="50">
        <v>150</v>
      </c>
      <c r="D37" s="50">
        <v>26</v>
      </c>
      <c r="E37" s="50">
        <v>2</v>
      </c>
      <c r="F37" s="50">
        <v>5</v>
      </c>
      <c r="G37" s="50">
        <v>0</v>
      </c>
      <c r="H37" s="50">
        <v>0</v>
      </c>
      <c r="I37" s="50">
        <v>2</v>
      </c>
      <c r="J37" s="50">
        <v>2</v>
      </c>
      <c r="K37" s="50">
        <v>0</v>
      </c>
      <c r="L37" s="50">
        <v>0</v>
      </c>
      <c r="M37" s="50">
        <v>30</v>
      </c>
      <c r="N37" s="50">
        <v>0</v>
      </c>
      <c r="O37" s="15">
        <f t="shared" si="0"/>
        <v>187</v>
      </c>
      <c r="P37" s="15">
        <f t="shared" si="1"/>
        <v>217</v>
      </c>
    </row>
    <row r="38" spans="2:20" ht="23.1" customHeight="1" x14ac:dyDescent="0.25">
      <c r="B38" s="24" t="s">
        <v>65</v>
      </c>
      <c r="C38" s="50">
        <v>105</v>
      </c>
      <c r="D38" s="50">
        <v>22</v>
      </c>
      <c r="E38" s="50">
        <v>4</v>
      </c>
      <c r="F38" s="50">
        <v>1</v>
      </c>
      <c r="G38" s="50">
        <v>0</v>
      </c>
      <c r="H38" s="50">
        <v>0</v>
      </c>
      <c r="I38" s="50">
        <v>3</v>
      </c>
      <c r="J38" s="50">
        <v>2</v>
      </c>
      <c r="K38" s="50">
        <v>1</v>
      </c>
      <c r="L38" s="50">
        <v>0</v>
      </c>
      <c r="M38" s="50">
        <v>47</v>
      </c>
      <c r="N38" s="50">
        <v>0</v>
      </c>
      <c r="O38" s="15">
        <f t="shared" si="0"/>
        <v>138</v>
      </c>
      <c r="P38" s="15">
        <f t="shared" si="1"/>
        <v>185</v>
      </c>
    </row>
    <row r="39" spans="2:20" ht="23.1" customHeight="1" x14ac:dyDescent="0.25">
      <c r="B39" s="24" t="s">
        <v>66</v>
      </c>
      <c r="C39" s="50">
        <v>103</v>
      </c>
      <c r="D39" s="50">
        <v>33</v>
      </c>
      <c r="E39" s="50">
        <v>3</v>
      </c>
      <c r="F39" s="50">
        <v>1</v>
      </c>
      <c r="G39" s="50">
        <v>0</v>
      </c>
      <c r="H39" s="50">
        <v>0</v>
      </c>
      <c r="I39" s="50">
        <v>5</v>
      </c>
      <c r="J39" s="50">
        <v>1</v>
      </c>
      <c r="K39" s="50">
        <v>1</v>
      </c>
      <c r="L39" s="50">
        <v>0</v>
      </c>
      <c r="M39" s="50">
        <v>33</v>
      </c>
      <c r="N39" s="50">
        <v>0</v>
      </c>
      <c r="O39" s="15">
        <f t="shared" si="0"/>
        <v>147</v>
      </c>
      <c r="P39" s="15">
        <f t="shared" si="1"/>
        <v>180</v>
      </c>
    </row>
    <row r="40" spans="2:20" ht="23.1" customHeight="1" x14ac:dyDescent="0.25">
      <c r="B40" s="24" t="s">
        <v>67</v>
      </c>
      <c r="C40" s="50">
        <v>165</v>
      </c>
      <c r="D40" s="50">
        <v>29</v>
      </c>
      <c r="E40" s="50">
        <v>1</v>
      </c>
      <c r="F40" s="50">
        <v>3</v>
      </c>
      <c r="G40" s="50">
        <v>0</v>
      </c>
      <c r="H40" s="50">
        <v>0</v>
      </c>
      <c r="I40" s="50">
        <v>5</v>
      </c>
      <c r="J40" s="50">
        <v>0</v>
      </c>
      <c r="K40" s="50">
        <v>0</v>
      </c>
      <c r="L40" s="50">
        <v>0</v>
      </c>
      <c r="M40" s="50">
        <v>31</v>
      </c>
      <c r="N40" s="50">
        <v>0</v>
      </c>
      <c r="O40" s="15">
        <f t="shared" si="0"/>
        <v>203</v>
      </c>
      <c r="P40" s="15">
        <f t="shared" si="1"/>
        <v>234</v>
      </c>
    </row>
    <row r="41" spans="2:20" ht="23.1" customHeight="1" x14ac:dyDescent="0.25">
      <c r="B41" s="23" t="s">
        <v>68</v>
      </c>
      <c r="C41" s="50">
        <v>130</v>
      </c>
      <c r="D41" s="50">
        <v>25</v>
      </c>
      <c r="E41" s="50">
        <v>3</v>
      </c>
      <c r="F41" s="50">
        <v>3</v>
      </c>
      <c r="G41" s="50">
        <v>0</v>
      </c>
      <c r="H41" s="50">
        <v>0</v>
      </c>
      <c r="I41" s="50">
        <v>2</v>
      </c>
      <c r="J41" s="50">
        <v>0</v>
      </c>
      <c r="K41" s="50">
        <v>2</v>
      </c>
      <c r="L41" s="50">
        <v>0</v>
      </c>
      <c r="M41" s="50">
        <v>40</v>
      </c>
      <c r="N41" s="50">
        <v>0</v>
      </c>
      <c r="O41" s="15">
        <f t="shared" si="0"/>
        <v>165</v>
      </c>
      <c r="P41" s="15">
        <f t="shared" si="1"/>
        <v>205</v>
      </c>
    </row>
    <row r="42" spans="2:20" ht="23.1" customHeight="1" x14ac:dyDescent="0.25">
      <c r="B42" s="24" t="s">
        <v>69</v>
      </c>
      <c r="C42" s="50">
        <v>115</v>
      </c>
      <c r="D42" s="50">
        <v>23</v>
      </c>
      <c r="E42" s="50">
        <v>2</v>
      </c>
      <c r="F42" s="50">
        <v>4</v>
      </c>
      <c r="G42" s="50">
        <v>0</v>
      </c>
      <c r="H42" s="50">
        <v>0</v>
      </c>
      <c r="I42" s="50">
        <v>7</v>
      </c>
      <c r="J42" s="50">
        <v>0</v>
      </c>
      <c r="K42" s="50">
        <v>0</v>
      </c>
      <c r="L42" s="50">
        <v>0</v>
      </c>
      <c r="M42" s="50">
        <v>32</v>
      </c>
      <c r="N42" s="50">
        <v>0</v>
      </c>
      <c r="O42" s="15">
        <f t="shared" si="0"/>
        <v>151</v>
      </c>
      <c r="P42" s="15">
        <f t="shared" si="1"/>
        <v>183</v>
      </c>
    </row>
    <row r="43" spans="2:20" ht="23.1" customHeight="1" x14ac:dyDescent="0.25">
      <c r="B43" s="23" t="s">
        <v>70</v>
      </c>
      <c r="C43" s="50">
        <v>110</v>
      </c>
      <c r="D43" s="50">
        <v>22</v>
      </c>
      <c r="E43" s="50">
        <v>1</v>
      </c>
      <c r="F43" s="50">
        <v>7</v>
      </c>
      <c r="G43" s="50">
        <v>0</v>
      </c>
      <c r="H43" s="50">
        <v>0</v>
      </c>
      <c r="I43" s="50">
        <v>2</v>
      </c>
      <c r="J43" s="50">
        <v>0</v>
      </c>
      <c r="K43" s="50">
        <v>0</v>
      </c>
      <c r="L43" s="50">
        <v>0</v>
      </c>
      <c r="M43" s="50">
        <v>45</v>
      </c>
      <c r="N43" s="50">
        <v>0</v>
      </c>
      <c r="O43" s="15">
        <f t="shared" si="0"/>
        <v>142</v>
      </c>
      <c r="P43" s="15">
        <f t="shared" si="1"/>
        <v>187</v>
      </c>
    </row>
    <row r="44" spans="2:20" ht="23.1" customHeight="1" x14ac:dyDescent="0.25">
      <c r="B44" s="25" t="s">
        <v>71</v>
      </c>
      <c r="C44" s="50">
        <v>100</v>
      </c>
      <c r="D44" s="50">
        <v>11</v>
      </c>
      <c r="E44" s="50">
        <v>0</v>
      </c>
      <c r="F44" s="50">
        <v>3</v>
      </c>
      <c r="G44" s="50">
        <v>0</v>
      </c>
      <c r="H44" s="50">
        <v>0</v>
      </c>
      <c r="I44" s="50">
        <v>0</v>
      </c>
      <c r="J44" s="50">
        <v>1</v>
      </c>
      <c r="K44" s="50">
        <v>1</v>
      </c>
      <c r="L44" s="50">
        <v>0</v>
      </c>
      <c r="M44" s="50">
        <v>37</v>
      </c>
      <c r="N44" s="50">
        <v>0</v>
      </c>
      <c r="O44" s="15">
        <f t="shared" si="0"/>
        <v>116</v>
      </c>
      <c r="P44" s="15">
        <f t="shared" si="1"/>
        <v>153</v>
      </c>
    </row>
    <row r="45" spans="2:20" ht="23.1" customHeight="1" x14ac:dyDescent="0.25">
      <c r="B45" s="23" t="s">
        <v>72</v>
      </c>
      <c r="C45" s="50">
        <v>110</v>
      </c>
      <c r="D45" s="50">
        <v>25</v>
      </c>
      <c r="E45" s="50">
        <v>2</v>
      </c>
      <c r="F45" s="50">
        <v>5</v>
      </c>
      <c r="G45" s="50">
        <v>0</v>
      </c>
      <c r="H45" s="50">
        <v>0</v>
      </c>
      <c r="I45" s="50">
        <v>3</v>
      </c>
      <c r="J45" s="50">
        <v>4</v>
      </c>
      <c r="K45" s="50">
        <v>0</v>
      </c>
      <c r="L45" s="50">
        <v>0</v>
      </c>
      <c r="M45" s="50">
        <v>28</v>
      </c>
      <c r="N45" s="50">
        <v>0</v>
      </c>
      <c r="O45" s="15">
        <f t="shared" si="0"/>
        <v>149</v>
      </c>
      <c r="P45" s="15">
        <f t="shared" si="1"/>
        <v>177</v>
      </c>
    </row>
    <row r="46" spans="2:20" ht="23.1" customHeight="1" x14ac:dyDescent="0.25">
      <c r="B46" s="24" t="s">
        <v>73</v>
      </c>
      <c r="C46" s="50">
        <v>90</v>
      </c>
      <c r="D46" s="50">
        <v>22</v>
      </c>
      <c r="E46" s="50">
        <v>0</v>
      </c>
      <c r="F46" s="50">
        <v>4</v>
      </c>
      <c r="G46" s="50">
        <v>0</v>
      </c>
      <c r="H46" s="50">
        <v>0</v>
      </c>
      <c r="I46" s="50">
        <v>7</v>
      </c>
      <c r="J46" s="50">
        <v>1</v>
      </c>
      <c r="K46" s="50">
        <v>0</v>
      </c>
      <c r="L46" s="50">
        <v>0</v>
      </c>
      <c r="M46" s="50">
        <v>36</v>
      </c>
      <c r="N46" s="50">
        <v>0</v>
      </c>
      <c r="O46" s="15">
        <f t="shared" si="0"/>
        <v>124</v>
      </c>
      <c r="P46" s="15">
        <f t="shared" si="1"/>
        <v>160</v>
      </c>
      <c r="R46" s="8"/>
      <c r="T46"/>
    </row>
    <row r="47" spans="2:20" ht="23.1" customHeight="1" x14ac:dyDescent="0.25">
      <c r="B47" s="24" t="s">
        <v>74</v>
      </c>
      <c r="C47" s="50">
        <v>86</v>
      </c>
      <c r="D47" s="50">
        <v>19</v>
      </c>
      <c r="E47" s="50">
        <v>0</v>
      </c>
      <c r="F47" s="50">
        <v>4</v>
      </c>
      <c r="G47" s="50">
        <v>0</v>
      </c>
      <c r="H47" s="50">
        <v>0</v>
      </c>
      <c r="I47" s="50">
        <v>0</v>
      </c>
      <c r="J47" s="50">
        <v>1</v>
      </c>
      <c r="K47" s="50">
        <v>0</v>
      </c>
      <c r="L47" s="50">
        <v>0</v>
      </c>
      <c r="M47" s="50">
        <v>23</v>
      </c>
      <c r="N47" s="50">
        <v>0</v>
      </c>
      <c r="O47" s="15">
        <f t="shared" si="0"/>
        <v>110</v>
      </c>
      <c r="P47" s="15">
        <f t="shared" si="1"/>
        <v>133</v>
      </c>
      <c r="R47" s="8"/>
      <c r="T47"/>
    </row>
    <row r="48" spans="2:20" ht="23.1" customHeight="1" x14ac:dyDescent="0.25">
      <c r="B48" s="24" t="s">
        <v>75</v>
      </c>
      <c r="C48" s="50">
        <v>105</v>
      </c>
      <c r="D48" s="50">
        <v>25</v>
      </c>
      <c r="E48" s="50">
        <v>0</v>
      </c>
      <c r="F48" s="50">
        <v>3</v>
      </c>
      <c r="G48" s="50">
        <v>0</v>
      </c>
      <c r="H48" s="50">
        <v>0</v>
      </c>
      <c r="I48" s="50">
        <v>2</v>
      </c>
      <c r="J48" s="50">
        <v>3</v>
      </c>
      <c r="K48" s="50">
        <v>0</v>
      </c>
      <c r="L48" s="50">
        <v>0</v>
      </c>
      <c r="M48" s="50">
        <v>25</v>
      </c>
      <c r="N48" s="50">
        <v>0</v>
      </c>
      <c r="O48" s="15">
        <f t="shared" si="0"/>
        <v>138</v>
      </c>
      <c r="P48" s="15">
        <f t="shared" si="1"/>
        <v>163</v>
      </c>
      <c r="R48" s="8"/>
      <c r="T48"/>
    </row>
    <row r="49" spans="2:20" ht="23.1" customHeight="1" x14ac:dyDescent="0.25">
      <c r="B49" s="23" t="s">
        <v>76</v>
      </c>
      <c r="C49" s="50">
        <v>98</v>
      </c>
      <c r="D49" s="50">
        <v>23</v>
      </c>
      <c r="E49" s="50">
        <v>5</v>
      </c>
      <c r="F49" s="50">
        <v>4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1</v>
      </c>
      <c r="M49" s="50">
        <v>38</v>
      </c>
      <c r="N49" s="50">
        <v>0</v>
      </c>
      <c r="O49" s="15">
        <f t="shared" si="0"/>
        <v>133</v>
      </c>
      <c r="P49" s="15">
        <f t="shared" si="1"/>
        <v>171</v>
      </c>
      <c r="R49" s="8"/>
      <c r="T49"/>
    </row>
    <row r="50" spans="2:20" ht="23.1" customHeight="1" x14ac:dyDescent="0.25">
      <c r="B50" s="24" t="s">
        <v>77</v>
      </c>
      <c r="C50" s="50">
        <v>94</v>
      </c>
      <c r="D50" s="50">
        <v>32</v>
      </c>
      <c r="E50" s="50">
        <v>4</v>
      </c>
      <c r="F50" s="50">
        <v>10</v>
      </c>
      <c r="G50" s="50">
        <v>0</v>
      </c>
      <c r="H50" s="50">
        <v>0</v>
      </c>
      <c r="I50" s="50">
        <v>3</v>
      </c>
      <c r="J50" s="50">
        <v>0</v>
      </c>
      <c r="K50" s="50">
        <v>1</v>
      </c>
      <c r="L50" s="50">
        <v>0</v>
      </c>
      <c r="M50" s="50">
        <v>34</v>
      </c>
      <c r="N50" s="50">
        <v>0</v>
      </c>
      <c r="O50" s="15">
        <f t="shared" si="0"/>
        <v>144</v>
      </c>
      <c r="P50" s="15">
        <f t="shared" si="1"/>
        <v>178</v>
      </c>
      <c r="R50" s="8"/>
      <c r="T50"/>
    </row>
    <row r="51" spans="2:20" ht="23.1" customHeight="1" x14ac:dyDescent="0.25">
      <c r="B51" s="24" t="s">
        <v>78</v>
      </c>
      <c r="C51" s="50">
        <v>102</v>
      </c>
      <c r="D51" s="50">
        <v>20</v>
      </c>
      <c r="E51" s="50">
        <v>1</v>
      </c>
      <c r="F51" s="50">
        <v>2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1</v>
      </c>
      <c r="M51" s="50">
        <v>20</v>
      </c>
      <c r="N51" s="50">
        <v>0</v>
      </c>
      <c r="O51" s="15">
        <f t="shared" si="0"/>
        <v>127</v>
      </c>
      <c r="P51" s="15">
        <f t="shared" si="1"/>
        <v>147</v>
      </c>
      <c r="R51" s="8"/>
      <c r="T51"/>
    </row>
    <row r="52" spans="2:20" ht="23.1" customHeight="1" x14ac:dyDescent="0.25">
      <c r="B52" s="24" t="s">
        <v>79</v>
      </c>
      <c r="C52" s="50">
        <v>105</v>
      </c>
      <c r="D52" s="50">
        <v>19</v>
      </c>
      <c r="E52" s="50">
        <v>2</v>
      </c>
      <c r="F52" s="50">
        <v>4</v>
      </c>
      <c r="G52" s="50">
        <v>0</v>
      </c>
      <c r="H52" s="50">
        <v>0</v>
      </c>
      <c r="I52" s="50">
        <v>1</v>
      </c>
      <c r="J52" s="50">
        <v>0</v>
      </c>
      <c r="K52" s="50">
        <v>2</v>
      </c>
      <c r="L52" s="50">
        <v>1</v>
      </c>
      <c r="M52" s="50">
        <v>32</v>
      </c>
      <c r="N52" s="50">
        <v>0</v>
      </c>
      <c r="O52" s="15">
        <f t="shared" si="0"/>
        <v>134</v>
      </c>
      <c r="P52" s="15">
        <f t="shared" si="1"/>
        <v>166</v>
      </c>
      <c r="R52" s="8"/>
      <c r="T52"/>
    </row>
    <row r="53" spans="2:20" ht="23.1" customHeight="1" x14ac:dyDescent="0.25">
      <c r="B53" s="23" t="s">
        <v>80</v>
      </c>
      <c r="C53" s="50">
        <v>93</v>
      </c>
      <c r="D53" s="50">
        <v>21</v>
      </c>
      <c r="E53" s="50">
        <v>1</v>
      </c>
      <c r="F53" s="50">
        <v>3</v>
      </c>
      <c r="G53" s="50">
        <v>0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43</v>
      </c>
      <c r="N53" s="50">
        <v>0</v>
      </c>
      <c r="O53" s="15">
        <f t="shared" si="0"/>
        <v>120</v>
      </c>
      <c r="P53" s="15">
        <f t="shared" si="1"/>
        <v>163</v>
      </c>
      <c r="R53" s="8"/>
      <c r="T53"/>
    </row>
    <row r="54" spans="2:20" ht="23.1" customHeight="1" x14ac:dyDescent="0.25">
      <c r="B54" s="23" t="s">
        <v>81</v>
      </c>
      <c r="C54" s="50">
        <v>93</v>
      </c>
      <c r="D54" s="50">
        <v>16</v>
      </c>
      <c r="E54" s="50">
        <v>2</v>
      </c>
      <c r="F54" s="50">
        <v>9</v>
      </c>
      <c r="G54" s="50">
        <v>0</v>
      </c>
      <c r="H54" s="50">
        <v>0</v>
      </c>
      <c r="I54" s="50">
        <v>0</v>
      </c>
      <c r="J54" s="50">
        <v>1</v>
      </c>
      <c r="K54" s="50">
        <v>0</v>
      </c>
      <c r="L54" s="50">
        <v>0</v>
      </c>
      <c r="M54" s="50">
        <v>46</v>
      </c>
      <c r="N54" s="50">
        <v>0</v>
      </c>
      <c r="O54" s="15">
        <f t="shared" si="0"/>
        <v>121</v>
      </c>
      <c r="P54" s="15">
        <f t="shared" si="1"/>
        <v>167</v>
      </c>
      <c r="R54" s="8"/>
      <c r="T54"/>
    </row>
    <row r="55" spans="2:20" ht="23.1" customHeight="1" x14ac:dyDescent="0.25">
      <c r="B55" s="23" t="s">
        <v>82</v>
      </c>
      <c r="C55" s="50">
        <v>155</v>
      </c>
      <c r="D55" s="50">
        <v>24</v>
      </c>
      <c r="E55" s="50">
        <v>2</v>
      </c>
      <c r="F55" s="50">
        <v>5</v>
      </c>
      <c r="G55" s="50">
        <v>0</v>
      </c>
      <c r="H55" s="50">
        <v>0</v>
      </c>
      <c r="I55" s="50">
        <v>0</v>
      </c>
      <c r="J55" s="50">
        <v>5</v>
      </c>
      <c r="K55" s="50">
        <v>0</v>
      </c>
      <c r="L55" s="50">
        <v>0</v>
      </c>
      <c r="M55" s="50">
        <v>38</v>
      </c>
      <c r="N55" s="50">
        <v>0</v>
      </c>
      <c r="O55" s="15">
        <f t="shared" si="0"/>
        <v>191</v>
      </c>
      <c r="P55" s="15">
        <f t="shared" si="1"/>
        <v>229</v>
      </c>
      <c r="R55" s="8"/>
      <c r="T55"/>
    </row>
    <row r="56" spans="2:20" ht="23.1" customHeight="1" x14ac:dyDescent="0.25">
      <c r="B56" s="23" t="s">
        <v>83</v>
      </c>
      <c r="C56" s="50">
        <v>146</v>
      </c>
      <c r="D56" s="50">
        <v>20</v>
      </c>
      <c r="E56" s="50">
        <v>1</v>
      </c>
      <c r="F56" s="50">
        <v>4</v>
      </c>
      <c r="G56" s="50">
        <v>0</v>
      </c>
      <c r="H56" s="50">
        <v>0</v>
      </c>
      <c r="I56" s="50">
        <v>0</v>
      </c>
      <c r="J56" s="50">
        <v>1</v>
      </c>
      <c r="K56" s="50">
        <v>0</v>
      </c>
      <c r="L56" s="50">
        <v>0</v>
      </c>
      <c r="M56" s="50">
        <v>26</v>
      </c>
      <c r="N56" s="50">
        <v>0</v>
      </c>
      <c r="O56" s="15">
        <f t="shared" si="0"/>
        <v>172</v>
      </c>
      <c r="P56" s="15">
        <f t="shared" si="1"/>
        <v>198</v>
      </c>
      <c r="R56" s="8"/>
      <c r="T56"/>
    </row>
    <row r="57" spans="2:20" ht="23.1" customHeight="1" x14ac:dyDescent="0.25">
      <c r="B57" s="23" t="s">
        <v>84</v>
      </c>
      <c r="C57" s="50">
        <v>110</v>
      </c>
      <c r="D57" s="50">
        <v>21</v>
      </c>
      <c r="E57" s="50">
        <v>5</v>
      </c>
      <c r="F57" s="50">
        <v>6</v>
      </c>
      <c r="G57" s="50">
        <v>0</v>
      </c>
      <c r="H57" s="50">
        <v>0</v>
      </c>
      <c r="I57" s="50">
        <v>0</v>
      </c>
      <c r="J57" s="50">
        <v>0</v>
      </c>
      <c r="K57" s="50">
        <v>1</v>
      </c>
      <c r="L57" s="50">
        <v>0</v>
      </c>
      <c r="M57" s="50">
        <v>31</v>
      </c>
      <c r="N57" s="50">
        <v>0</v>
      </c>
      <c r="O57" s="15">
        <f t="shared" si="0"/>
        <v>143</v>
      </c>
      <c r="P57" s="15">
        <f t="shared" si="1"/>
        <v>174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4500</v>
      </c>
      <c r="D58" s="16">
        <f t="shared" si="21"/>
        <v>946</v>
      </c>
      <c r="E58" s="16">
        <f t="shared" si="21"/>
        <v>109</v>
      </c>
      <c r="F58" s="16">
        <f t="shared" si="21"/>
        <v>237</v>
      </c>
      <c r="G58" s="16">
        <f t="shared" si="21"/>
        <v>0</v>
      </c>
      <c r="H58" s="16">
        <f t="shared" si="21"/>
        <v>0</v>
      </c>
      <c r="I58" s="16">
        <f t="shared" si="21"/>
        <v>95</v>
      </c>
      <c r="J58" s="16">
        <f t="shared" si="21"/>
        <v>39</v>
      </c>
      <c r="K58" s="16">
        <f t="shared" si="21"/>
        <v>13</v>
      </c>
      <c r="L58" s="16">
        <f t="shared" si="21"/>
        <v>6</v>
      </c>
      <c r="M58" s="16">
        <f t="shared" si="21"/>
        <v>2038</v>
      </c>
      <c r="N58" s="16">
        <f t="shared" si="21"/>
        <v>0</v>
      </c>
      <c r="O58" s="16">
        <f t="shared" si="21"/>
        <v>5945</v>
      </c>
      <c r="P58" s="16">
        <f t="shared" si="21"/>
        <v>7983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0.56369785794813976</v>
      </c>
      <c r="D59" s="43">
        <f t="shared" si="22"/>
        <v>0.11850181635976451</v>
      </c>
      <c r="E59" s="43">
        <f t="shared" si="22"/>
        <v>1.3654014781410498E-2</v>
      </c>
      <c r="F59" s="43">
        <f t="shared" si="22"/>
        <v>2.9688087185268695E-2</v>
      </c>
      <c r="G59" s="43">
        <f t="shared" si="22"/>
        <v>0</v>
      </c>
      <c r="H59" s="43">
        <f t="shared" si="22"/>
        <v>0</v>
      </c>
      <c r="I59" s="43">
        <f t="shared" si="22"/>
        <v>1.1900288112238507E-2</v>
      </c>
      <c r="J59" s="43">
        <f t="shared" si="22"/>
        <v>4.8853814355505447E-3</v>
      </c>
      <c r="K59" s="43">
        <f t="shared" si="22"/>
        <v>1.6284604785168483E-3</v>
      </c>
      <c r="L59" s="43">
        <f t="shared" si="22"/>
        <v>7.5159714393085303E-4</v>
      </c>
      <c r="M59" s="43">
        <f t="shared" si="22"/>
        <v>0.25529249655517977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0.7569386038687973</v>
      </c>
      <c r="D60" s="44">
        <f t="shared" ref="D60:N60" si="23">D58/$O$58</f>
        <v>0.15912531539108493</v>
      </c>
      <c r="E60" s="44">
        <f t="shared" si="23"/>
        <v>1.8334735071488646E-2</v>
      </c>
      <c r="F60" s="44">
        <f t="shared" si="23"/>
        <v>3.9865433137089991E-2</v>
      </c>
      <c r="G60" s="44">
        <f t="shared" si="23"/>
        <v>0</v>
      </c>
      <c r="H60" s="44">
        <f t="shared" si="23"/>
        <v>0</v>
      </c>
      <c r="I60" s="44">
        <f t="shared" si="23"/>
        <v>1.59798149705635E-2</v>
      </c>
      <c r="J60" s="44">
        <f t="shared" si="23"/>
        <v>6.5601345668629104E-3</v>
      </c>
      <c r="K60" s="44">
        <f t="shared" si="23"/>
        <v>2.1867115222876368E-3</v>
      </c>
      <c r="L60" s="44">
        <f t="shared" si="23"/>
        <v>1.009251471825063E-3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31" zoomScale="40" zoomScaleSheetLayoutView="40" workbookViewId="0">
      <selection activeCell="L14" sqref="L1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'29.07 Naalya-Ntinda'!C3:G3</f>
        <v>MCC - C1 - STN38 - NAALYA EAST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'04.08 Ntinda-Naalya'!D5</f>
        <v>04.08.19</v>
      </c>
      <c r="E5" s="3"/>
      <c r="F5" s="41" t="s">
        <v>1</v>
      </c>
      <c r="G5" s="65" t="str">
        <f>'04.08 Ntinda-Naalya'!G5:H5</f>
        <v>NAALYA ROUND ABOUT</v>
      </c>
      <c r="H5" s="66"/>
      <c r="I5" s="14"/>
      <c r="J5" s="2" t="s">
        <v>5</v>
      </c>
      <c r="K5" s="65" t="str">
        <f>'04.08 Ntinda-Naalya'!K5:L5</f>
        <v>HARRIET N/NASSIWA A/MUTE C/PHOEBY/KAZIBWE J/NAKAYE J.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'29.07 Naalya-Ntinda'!D6:E6</f>
        <v>NAALYA</v>
      </c>
      <c r="E6" s="66"/>
      <c r="F6" s="2" t="s">
        <v>2</v>
      </c>
      <c r="G6" s="65" t="str">
        <f>'29.07 Naalya-Ntinda'!G6:H6</f>
        <v>NTINDA</v>
      </c>
      <c r="H6" s="66"/>
      <c r="J6" s="2" t="s">
        <v>21</v>
      </c>
      <c r="K6" s="65" t="str">
        <f>'04.08 Ntinda-Naalya'!K6:L6</f>
        <v>STEVEN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99</v>
      </c>
      <c r="D10" s="50">
        <v>53</v>
      </c>
      <c r="E10" s="50">
        <v>9</v>
      </c>
      <c r="F10" s="50">
        <v>4</v>
      </c>
      <c r="G10" s="50">
        <v>1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7</v>
      </c>
      <c r="N10" s="50">
        <v>0</v>
      </c>
      <c r="O10" s="15">
        <f t="shared" ref="O10:O57" si="0">SUM(C10:L10,N10)</f>
        <v>166</v>
      </c>
      <c r="P10" s="15">
        <f t="shared" ref="P10:P57" si="1">SUM(C10:N10)</f>
        <v>173</v>
      </c>
      <c r="R10" s="1" t="s">
        <v>6</v>
      </c>
      <c r="S10" s="17">
        <f t="shared" ref="S10:AF10" si="2">SUM(C10:C13)</f>
        <v>507</v>
      </c>
      <c r="T10" s="17">
        <f t="shared" si="2"/>
        <v>309</v>
      </c>
      <c r="U10" s="17">
        <f t="shared" si="2"/>
        <v>57</v>
      </c>
      <c r="V10" s="17">
        <f t="shared" si="2"/>
        <v>21</v>
      </c>
      <c r="W10" s="17">
        <f t="shared" si="2"/>
        <v>2</v>
      </c>
      <c r="X10" s="17">
        <f t="shared" si="2"/>
        <v>0</v>
      </c>
      <c r="Y10" s="17">
        <f t="shared" si="2"/>
        <v>1</v>
      </c>
      <c r="Z10" s="17">
        <f t="shared" si="2"/>
        <v>2</v>
      </c>
      <c r="AA10" s="17">
        <f t="shared" si="2"/>
        <v>0</v>
      </c>
      <c r="AB10" s="17">
        <f t="shared" si="2"/>
        <v>0</v>
      </c>
      <c r="AC10" s="17">
        <f t="shared" si="2"/>
        <v>185</v>
      </c>
      <c r="AD10" s="17">
        <f t="shared" si="2"/>
        <v>0</v>
      </c>
      <c r="AE10" s="31">
        <f t="shared" si="2"/>
        <v>899</v>
      </c>
      <c r="AF10" s="31">
        <f t="shared" si="2"/>
        <v>1084</v>
      </c>
    </row>
    <row r="11" spans="2:32" s="6" customFormat="1" ht="23.1" customHeight="1" x14ac:dyDescent="0.25">
      <c r="B11" s="23" t="s">
        <v>38</v>
      </c>
      <c r="C11" s="50">
        <v>94</v>
      </c>
      <c r="D11" s="50">
        <v>75</v>
      </c>
      <c r="E11" s="50">
        <v>18</v>
      </c>
      <c r="F11" s="50">
        <v>5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31</v>
      </c>
      <c r="N11" s="50">
        <v>0</v>
      </c>
      <c r="O11" s="15">
        <f t="shared" si="0"/>
        <v>192</v>
      </c>
      <c r="P11" s="15">
        <f t="shared" si="1"/>
        <v>223</v>
      </c>
      <c r="R11" s="1" t="s">
        <v>7</v>
      </c>
      <c r="S11" s="17">
        <f t="shared" ref="S11:AF11" si="3">SUM(C14:C17)</f>
        <v>410</v>
      </c>
      <c r="T11" s="17">
        <f t="shared" si="3"/>
        <v>245</v>
      </c>
      <c r="U11" s="17">
        <f t="shared" si="3"/>
        <v>54</v>
      </c>
      <c r="V11" s="17">
        <f t="shared" si="3"/>
        <v>35</v>
      </c>
      <c r="W11" s="17">
        <f t="shared" si="3"/>
        <v>1</v>
      </c>
      <c r="X11" s="17">
        <f t="shared" si="3"/>
        <v>0</v>
      </c>
      <c r="Y11" s="17">
        <f t="shared" si="3"/>
        <v>0</v>
      </c>
      <c r="Z11" s="17">
        <f t="shared" si="3"/>
        <v>2</v>
      </c>
      <c r="AA11" s="17">
        <f t="shared" si="3"/>
        <v>0</v>
      </c>
      <c r="AB11" s="17">
        <f t="shared" si="3"/>
        <v>0</v>
      </c>
      <c r="AC11" s="17">
        <f t="shared" si="3"/>
        <v>312</v>
      </c>
      <c r="AD11" s="17">
        <f t="shared" si="3"/>
        <v>1</v>
      </c>
      <c r="AE11" s="31">
        <f t="shared" si="3"/>
        <v>748</v>
      </c>
      <c r="AF11" s="31">
        <f t="shared" si="3"/>
        <v>1060</v>
      </c>
    </row>
    <row r="12" spans="2:32" ht="23.1" customHeight="1" x14ac:dyDescent="0.25">
      <c r="B12" s="23" t="s">
        <v>39</v>
      </c>
      <c r="C12" s="50">
        <v>150</v>
      </c>
      <c r="D12" s="50">
        <v>85</v>
      </c>
      <c r="E12" s="50">
        <v>14</v>
      </c>
      <c r="F12" s="50">
        <v>4</v>
      </c>
      <c r="G12" s="50">
        <v>0</v>
      </c>
      <c r="H12" s="50">
        <v>0</v>
      </c>
      <c r="I12" s="50">
        <v>1</v>
      </c>
      <c r="J12" s="50">
        <v>2</v>
      </c>
      <c r="K12" s="50">
        <v>0</v>
      </c>
      <c r="L12" s="50">
        <v>0</v>
      </c>
      <c r="M12" s="50">
        <v>59</v>
      </c>
      <c r="N12" s="50">
        <v>0</v>
      </c>
      <c r="O12" s="15">
        <f t="shared" si="0"/>
        <v>256</v>
      </c>
      <c r="P12" s="15">
        <f t="shared" si="1"/>
        <v>315</v>
      </c>
      <c r="R12" s="1" t="s">
        <v>8</v>
      </c>
      <c r="S12" s="17">
        <f t="shared" ref="S12:AF12" si="4">SUM(C18:C21)</f>
        <v>334</v>
      </c>
      <c r="T12" s="17">
        <f t="shared" si="4"/>
        <v>136</v>
      </c>
      <c r="U12" s="17">
        <f t="shared" si="4"/>
        <v>52</v>
      </c>
      <c r="V12" s="17">
        <f t="shared" si="4"/>
        <v>37</v>
      </c>
      <c r="W12" s="17">
        <f t="shared" si="4"/>
        <v>0</v>
      </c>
      <c r="X12" s="17">
        <f t="shared" si="4"/>
        <v>0</v>
      </c>
      <c r="Y12" s="17">
        <f t="shared" si="4"/>
        <v>21</v>
      </c>
      <c r="Z12" s="17">
        <f t="shared" si="4"/>
        <v>8</v>
      </c>
      <c r="AA12" s="17">
        <f t="shared" si="4"/>
        <v>0</v>
      </c>
      <c r="AB12" s="17">
        <f t="shared" si="4"/>
        <v>0</v>
      </c>
      <c r="AC12" s="17">
        <f t="shared" si="4"/>
        <v>369</v>
      </c>
      <c r="AD12" s="17">
        <f t="shared" si="4"/>
        <v>0</v>
      </c>
      <c r="AE12" s="31">
        <f t="shared" si="4"/>
        <v>588</v>
      </c>
      <c r="AF12" s="31">
        <f t="shared" si="4"/>
        <v>957</v>
      </c>
    </row>
    <row r="13" spans="2:32" ht="23.1" customHeight="1" x14ac:dyDescent="0.25">
      <c r="B13" s="23" t="s">
        <v>40</v>
      </c>
      <c r="C13" s="50">
        <v>164</v>
      </c>
      <c r="D13" s="50">
        <v>96</v>
      </c>
      <c r="E13" s="50">
        <v>16</v>
      </c>
      <c r="F13" s="50">
        <v>8</v>
      </c>
      <c r="G13" s="50">
        <v>1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88</v>
      </c>
      <c r="N13" s="50">
        <v>0</v>
      </c>
      <c r="O13" s="15">
        <f t="shared" si="0"/>
        <v>285</v>
      </c>
      <c r="P13" s="15">
        <f t="shared" si="1"/>
        <v>373</v>
      </c>
      <c r="R13" s="1" t="s">
        <v>9</v>
      </c>
      <c r="S13" s="17">
        <f t="shared" ref="S13:AF13" si="5">SUM(C22:C25)</f>
        <v>298</v>
      </c>
      <c r="T13" s="17">
        <f t="shared" si="5"/>
        <v>170</v>
      </c>
      <c r="U13" s="17">
        <f t="shared" si="5"/>
        <v>43</v>
      </c>
      <c r="V13" s="17">
        <f t="shared" si="5"/>
        <v>32</v>
      </c>
      <c r="W13" s="17">
        <f t="shared" si="5"/>
        <v>3</v>
      </c>
      <c r="X13" s="17">
        <f t="shared" si="5"/>
        <v>0</v>
      </c>
      <c r="Y13" s="17">
        <f t="shared" si="5"/>
        <v>30</v>
      </c>
      <c r="Z13" s="17">
        <f t="shared" si="5"/>
        <v>7</v>
      </c>
      <c r="AA13" s="17">
        <f t="shared" si="5"/>
        <v>0</v>
      </c>
      <c r="AB13" s="17">
        <f t="shared" si="5"/>
        <v>0</v>
      </c>
      <c r="AC13" s="17">
        <f t="shared" si="5"/>
        <v>323</v>
      </c>
      <c r="AD13" s="17">
        <f t="shared" si="5"/>
        <v>0</v>
      </c>
      <c r="AE13" s="31">
        <f t="shared" si="5"/>
        <v>583</v>
      </c>
      <c r="AF13" s="31">
        <f t="shared" si="5"/>
        <v>906</v>
      </c>
    </row>
    <row r="14" spans="2:32" ht="23.1" customHeight="1" x14ac:dyDescent="0.25">
      <c r="B14" s="23" t="s">
        <v>41</v>
      </c>
      <c r="C14" s="50">
        <v>146</v>
      </c>
      <c r="D14" s="50">
        <v>80</v>
      </c>
      <c r="E14" s="50">
        <v>18</v>
      </c>
      <c r="F14" s="50">
        <v>9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71</v>
      </c>
      <c r="N14" s="50">
        <v>0</v>
      </c>
      <c r="O14" s="15">
        <f t="shared" si="0"/>
        <v>253</v>
      </c>
      <c r="P14" s="15">
        <f t="shared" si="1"/>
        <v>324</v>
      </c>
      <c r="R14" s="1" t="s">
        <v>10</v>
      </c>
      <c r="S14" s="17">
        <f t="shared" ref="S14:AF14" si="6">SUM(C26:C29)</f>
        <v>277</v>
      </c>
      <c r="T14" s="17">
        <f t="shared" si="6"/>
        <v>176</v>
      </c>
      <c r="U14" s="17">
        <f t="shared" si="6"/>
        <v>39</v>
      </c>
      <c r="V14" s="17">
        <f t="shared" si="6"/>
        <v>42</v>
      </c>
      <c r="W14" s="17">
        <f t="shared" si="6"/>
        <v>3</v>
      </c>
      <c r="X14" s="17">
        <f t="shared" si="6"/>
        <v>1</v>
      </c>
      <c r="Y14" s="17">
        <f t="shared" si="6"/>
        <v>25</v>
      </c>
      <c r="Z14" s="17">
        <f t="shared" si="6"/>
        <v>5</v>
      </c>
      <c r="AA14" s="17">
        <f t="shared" si="6"/>
        <v>1</v>
      </c>
      <c r="AB14" s="17">
        <f t="shared" si="6"/>
        <v>0</v>
      </c>
      <c r="AC14" s="17">
        <f t="shared" si="6"/>
        <v>305</v>
      </c>
      <c r="AD14" s="17">
        <f t="shared" si="6"/>
        <v>0</v>
      </c>
      <c r="AE14" s="31">
        <f t="shared" si="6"/>
        <v>569</v>
      </c>
      <c r="AF14" s="31">
        <f t="shared" si="6"/>
        <v>874</v>
      </c>
    </row>
    <row r="15" spans="2:32" ht="23.1" customHeight="1" x14ac:dyDescent="0.25">
      <c r="B15" s="23" t="s">
        <v>42</v>
      </c>
      <c r="C15" s="50">
        <v>97</v>
      </c>
      <c r="D15" s="50">
        <v>58</v>
      </c>
      <c r="E15" s="50">
        <v>10</v>
      </c>
      <c r="F15" s="50">
        <v>10</v>
      </c>
      <c r="G15" s="50">
        <v>0</v>
      </c>
      <c r="H15" s="50">
        <v>0</v>
      </c>
      <c r="I15" s="50">
        <v>0</v>
      </c>
      <c r="J15" s="50">
        <v>1</v>
      </c>
      <c r="K15" s="50">
        <v>0</v>
      </c>
      <c r="L15" s="50">
        <v>0</v>
      </c>
      <c r="M15" s="50">
        <v>50</v>
      </c>
      <c r="N15" s="50">
        <v>0</v>
      </c>
      <c r="O15" s="15">
        <f t="shared" si="0"/>
        <v>176</v>
      </c>
      <c r="P15" s="15">
        <f t="shared" si="1"/>
        <v>226</v>
      </c>
      <c r="R15" s="1" t="s">
        <v>11</v>
      </c>
      <c r="S15" s="17">
        <f t="shared" ref="S15:AF15" si="7">SUM(C30:C33)</f>
        <v>249</v>
      </c>
      <c r="T15" s="17">
        <f t="shared" si="7"/>
        <v>136</v>
      </c>
      <c r="U15" s="17">
        <f t="shared" si="7"/>
        <v>38</v>
      </c>
      <c r="V15" s="17">
        <f t="shared" si="7"/>
        <v>29</v>
      </c>
      <c r="W15" s="17">
        <f t="shared" si="7"/>
        <v>5</v>
      </c>
      <c r="X15" s="17">
        <f t="shared" si="7"/>
        <v>1</v>
      </c>
      <c r="Y15" s="17">
        <f t="shared" si="7"/>
        <v>17</v>
      </c>
      <c r="Z15" s="17">
        <f t="shared" si="7"/>
        <v>4</v>
      </c>
      <c r="AA15" s="17">
        <f t="shared" si="7"/>
        <v>2</v>
      </c>
      <c r="AB15" s="17">
        <f t="shared" si="7"/>
        <v>0</v>
      </c>
      <c r="AC15" s="17">
        <f t="shared" si="7"/>
        <v>282</v>
      </c>
      <c r="AD15" s="17">
        <f t="shared" si="7"/>
        <v>0</v>
      </c>
      <c r="AE15" s="31">
        <f t="shared" si="7"/>
        <v>481</v>
      </c>
      <c r="AF15" s="31">
        <f t="shared" si="7"/>
        <v>763</v>
      </c>
    </row>
    <row r="16" spans="2:32" ht="23.1" customHeight="1" x14ac:dyDescent="0.25">
      <c r="B16" s="23" t="s">
        <v>43</v>
      </c>
      <c r="C16" s="50">
        <v>92</v>
      </c>
      <c r="D16" s="50">
        <v>47</v>
      </c>
      <c r="E16" s="50">
        <v>15</v>
      </c>
      <c r="F16" s="50">
        <v>9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85</v>
      </c>
      <c r="N16" s="50">
        <v>0</v>
      </c>
      <c r="O16" s="15">
        <f t="shared" si="0"/>
        <v>163</v>
      </c>
      <c r="P16" s="15">
        <f t="shared" si="1"/>
        <v>248</v>
      </c>
      <c r="R16" s="1" t="s">
        <v>12</v>
      </c>
      <c r="S16" s="17">
        <f t="shared" ref="S16:AF16" si="8">SUM(C34:C37)</f>
        <v>241</v>
      </c>
      <c r="T16" s="17">
        <f t="shared" si="8"/>
        <v>163</v>
      </c>
      <c r="U16" s="17">
        <f t="shared" si="8"/>
        <v>32</v>
      </c>
      <c r="V16" s="17">
        <f t="shared" si="8"/>
        <v>31</v>
      </c>
      <c r="W16" s="17">
        <f t="shared" si="8"/>
        <v>4</v>
      </c>
      <c r="X16" s="17">
        <f t="shared" si="8"/>
        <v>1</v>
      </c>
      <c r="Y16" s="17">
        <f t="shared" si="8"/>
        <v>21</v>
      </c>
      <c r="Z16" s="17">
        <f t="shared" si="8"/>
        <v>6</v>
      </c>
      <c r="AA16" s="17">
        <f t="shared" si="8"/>
        <v>3</v>
      </c>
      <c r="AB16" s="17">
        <f t="shared" si="8"/>
        <v>2</v>
      </c>
      <c r="AC16" s="17">
        <f t="shared" si="8"/>
        <v>250</v>
      </c>
      <c r="AD16" s="17">
        <f t="shared" si="8"/>
        <v>0</v>
      </c>
      <c r="AE16" s="31">
        <f t="shared" si="8"/>
        <v>504</v>
      </c>
      <c r="AF16" s="31">
        <f t="shared" si="8"/>
        <v>754</v>
      </c>
    </row>
    <row r="17" spans="2:32" ht="23.1" customHeight="1" x14ac:dyDescent="0.25">
      <c r="B17" s="23" t="s">
        <v>44</v>
      </c>
      <c r="C17" s="50">
        <v>75</v>
      </c>
      <c r="D17" s="50">
        <v>60</v>
      </c>
      <c r="E17" s="50">
        <v>11</v>
      </c>
      <c r="F17" s="50">
        <v>7</v>
      </c>
      <c r="G17" s="50">
        <v>1</v>
      </c>
      <c r="H17" s="50">
        <v>0</v>
      </c>
      <c r="I17" s="50">
        <v>0</v>
      </c>
      <c r="J17" s="50">
        <v>1</v>
      </c>
      <c r="K17" s="50">
        <v>0</v>
      </c>
      <c r="L17" s="50">
        <v>0</v>
      </c>
      <c r="M17" s="50">
        <v>106</v>
      </c>
      <c r="N17" s="50">
        <v>1</v>
      </c>
      <c r="O17" s="15">
        <f t="shared" si="0"/>
        <v>156</v>
      </c>
      <c r="P17" s="15">
        <f t="shared" si="1"/>
        <v>262</v>
      </c>
      <c r="R17" s="1" t="s">
        <v>13</v>
      </c>
      <c r="S17" s="17">
        <f t="shared" ref="S17:AF17" si="9">SUM(C38:C41)</f>
        <v>199</v>
      </c>
      <c r="T17" s="17">
        <f t="shared" si="9"/>
        <v>108</v>
      </c>
      <c r="U17" s="17">
        <f t="shared" si="9"/>
        <v>28</v>
      </c>
      <c r="V17" s="17">
        <f t="shared" si="9"/>
        <v>34</v>
      </c>
      <c r="W17" s="17">
        <f t="shared" si="9"/>
        <v>0</v>
      </c>
      <c r="X17" s="17">
        <f t="shared" si="9"/>
        <v>1</v>
      </c>
      <c r="Y17" s="17">
        <f t="shared" si="9"/>
        <v>17</v>
      </c>
      <c r="Z17" s="17">
        <f t="shared" si="9"/>
        <v>6</v>
      </c>
      <c r="AA17" s="17">
        <f t="shared" si="9"/>
        <v>0</v>
      </c>
      <c r="AB17" s="17">
        <f t="shared" si="9"/>
        <v>0</v>
      </c>
      <c r="AC17" s="17">
        <f t="shared" si="9"/>
        <v>265</v>
      </c>
      <c r="AD17" s="17">
        <f t="shared" si="9"/>
        <v>0</v>
      </c>
      <c r="AE17" s="31">
        <f t="shared" si="9"/>
        <v>393</v>
      </c>
      <c r="AF17" s="31">
        <f t="shared" si="9"/>
        <v>658</v>
      </c>
    </row>
    <row r="18" spans="2:32" ht="23.1" customHeight="1" x14ac:dyDescent="0.25">
      <c r="B18" s="23" t="s">
        <v>45</v>
      </c>
      <c r="C18" s="50">
        <v>81</v>
      </c>
      <c r="D18" s="50">
        <v>43</v>
      </c>
      <c r="E18" s="50">
        <v>15</v>
      </c>
      <c r="F18" s="50">
        <v>9</v>
      </c>
      <c r="G18" s="50">
        <v>0</v>
      </c>
      <c r="H18" s="50">
        <v>0</v>
      </c>
      <c r="I18" s="50">
        <v>5</v>
      </c>
      <c r="J18" s="50">
        <v>1</v>
      </c>
      <c r="K18" s="50">
        <v>0</v>
      </c>
      <c r="L18" s="50">
        <v>0</v>
      </c>
      <c r="M18" s="50">
        <v>100</v>
      </c>
      <c r="N18" s="50">
        <v>0</v>
      </c>
      <c r="O18" s="15">
        <f t="shared" si="0"/>
        <v>154</v>
      </c>
      <c r="P18" s="15">
        <f t="shared" si="1"/>
        <v>254</v>
      </c>
      <c r="R18" s="1" t="s">
        <v>14</v>
      </c>
      <c r="S18" s="17">
        <f t="shared" ref="S18:AF18" si="10">SUM(C42:C45)</f>
        <v>184</v>
      </c>
      <c r="T18" s="17">
        <f t="shared" si="10"/>
        <v>110</v>
      </c>
      <c r="U18" s="17">
        <f t="shared" si="10"/>
        <v>23</v>
      </c>
      <c r="V18" s="17">
        <f t="shared" si="10"/>
        <v>22</v>
      </c>
      <c r="W18" s="17">
        <f t="shared" si="10"/>
        <v>1</v>
      </c>
      <c r="X18" s="17">
        <f t="shared" si="10"/>
        <v>0</v>
      </c>
      <c r="Y18" s="17">
        <f t="shared" si="10"/>
        <v>20</v>
      </c>
      <c r="Z18" s="17">
        <f t="shared" si="10"/>
        <v>6</v>
      </c>
      <c r="AA18" s="17">
        <f t="shared" si="10"/>
        <v>2</v>
      </c>
      <c r="AB18" s="17">
        <f t="shared" si="10"/>
        <v>1</v>
      </c>
      <c r="AC18" s="17">
        <f t="shared" si="10"/>
        <v>291</v>
      </c>
      <c r="AD18" s="17">
        <f t="shared" si="10"/>
        <v>0</v>
      </c>
      <c r="AE18" s="31">
        <f t="shared" si="10"/>
        <v>369</v>
      </c>
      <c r="AF18" s="31">
        <f t="shared" si="10"/>
        <v>660</v>
      </c>
    </row>
    <row r="19" spans="2:32" ht="23.1" customHeight="1" x14ac:dyDescent="0.25">
      <c r="B19" s="23" t="s">
        <v>46</v>
      </c>
      <c r="C19" s="50">
        <v>97</v>
      </c>
      <c r="D19" s="50">
        <v>23</v>
      </c>
      <c r="E19" s="50">
        <v>13</v>
      </c>
      <c r="F19" s="50">
        <v>9</v>
      </c>
      <c r="G19" s="50">
        <v>0</v>
      </c>
      <c r="H19" s="50">
        <v>0</v>
      </c>
      <c r="I19" s="50">
        <v>6</v>
      </c>
      <c r="J19" s="50">
        <v>2</v>
      </c>
      <c r="K19" s="50">
        <v>0</v>
      </c>
      <c r="L19" s="50">
        <v>0</v>
      </c>
      <c r="M19" s="50">
        <v>109</v>
      </c>
      <c r="N19" s="50">
        <v>0</v>
      </c>
      <c r="O19" s="15">
        <f t="shared" si="0"/>
        <v>150</v>
      </c>
      <c r="P19" s="15">
        <f t="shared" si="1"/>
        <v>259</v>
      </c>
      <c r="R19" s="1" t="s">
        <v>15</v>
      </c>
      <c r="S19" s="17">
        <f t="shared" ref="S19:AF19" si="11">SUM(C46:C49)</f>
        <v>244</v>
      </c>
      <c r="T19" s="17">
        <f t="shared" si="11"/>
        <v>148</v>
      </c>
      <c r="U19" s="17">
        <f t="shared" si="11"/>
        <v>33</v>
      </c>
      <c r="V19" s="17">
        <f t="shared" si="11"/>
        <v>41</v>
      </c>
      <c r="W19" s="17">
        <f t="shared" si="11"/>
        <v>8</v>
      </c>
      <c r="X19" s="17">
        <f t="shared" si="11"/>
        <v>0</v>
      </c>
      <c r="Y19" s="17">
        <f t="shared" si="11"/>
        <v>19</v>
      </c>
      <c r="Z19" s="17">
        <f t="shared" si="11"/>
        <v>5</v>
      </c>
      <c r="AA19" s="17">
        <f t="shared" si="11"/>
        <v>2</v>
      </c>
      <c r="AB19" s="17">
        <f t="shared" si="11"/>
        <v>0</v>
      </c>
      <c r="AC19" s="17">
        <f t="shared" si="11"/>
        <v>267</v>
      </c>
      <c r="AD19" s="17">
        <f t="shared" si="11"/>
        <v>0</v>
      </c>
      <c r="AE19" s="31">
        <f t="shared" si="11"/>
        <v>500</v>
      </c>
      <c r="AF19" s="31">
        <f t="shared" si="11"/>
        <v>767</v>
      </c>
    </row>
    <row r="20" spans="2:32" ht="23.1" customHeight="1" x14ac:dyDescent="0.25">
      <c r="B20" s="23" t="s">
        <v>47</v>
      </c>
      <c r="C20" s="50">
        <v>81</v>
      </c>
      <c r="D20" s="50">
        <v>38</v>
      </c>
      <c r="E20" s="50">
        <v>10</v>
      </c>
      <c r="F20" s="50">
        <v>10</v>
      </c>
      <c r="G20" s="50">
        <v>0</v>
      </c>
      <c r="H20" s="50">
        <v>0</v>
      </c>
      <c r="I20" s="50">
        <v>8</v>
      </c>
      <c r="J20" s="50">
        <v>2</v>
      </c>
      <c r="K20" s="50">
        <v>0</v>
      </c>
      <c r="L20" s="50">
        <v>0</v>
      </c>
      <c r="M20" s="50">
        <v>88</v>
      </c>
      <c r="N20" s="50">
        <v>0</v>
      </c>
      <c r="O20" s="15">
        <f t="shared" si="0"/>
        <v>149</v>
      </c>
      <c r="P20" s="15">
        <f t="shared" si="1"/>
        <v>237</v>
      </c>
      <c r="R20" s="1" t="s">
        <v>16</v>
      </c>
      <c r="S20" s="17">
        <f t="shared" ref="S20:AF20" si="12">SUM(C50:C53)</f>
        <v>289</v>
      </c>
      <c r="T20" s="17">
        <f t="shared" si="12"/>
        <v>196</v>
      </c>
      <c r="U20" s="17">
        <f t="shared" si="12"/>
        <v>42</v>
      </c>
      <c r="V20" s="17">
        <f t="shared" si="12"/>
        <v>43</v>
      </c>
      <c r="W20" s="17">
        <f t="shared" si="12"/>
        <v>5</v>
      </c>
      <c r="X20" s="17">
        <f t="shared" si="12"/>
        <v>0</v>
      </c>
      <c r="Y20" s="17">
        <f t="shared" si="12"/>
        <v>14</v>
      </c>
      <c r="Z20" s="17">
        <f t="shared" si="12"/>
        <v>3</v>
      </c>
      <c r="AA20" s="17">
        <f t="shared" si="12"/>
        <v>1</v>
      </c>
      <c r="AB20" s="17">
        <f t="shared" si="12"/>
        <v>1</v>
      </c>
      <c r="AC20" s="17">
        <f t="shared" si="12"/>
        <v>313</v>
      </c>
      <c r="AD20" s="17">
        <f t="shared" si="12"/>
        <v>0</v>
      </c>
      <c r="AE20" s="31">
        <f t="shared" si="12"/>
        <v>594</v>
      </c>
      <c r="AF20" s="31">
        <f t="shared" si="12"/>
        <v>907</v>
      </c>
    </row>
    <row r="21" spans="2:32" ht="23.1" customHeight="1" x14ac:dyDescent="0.25">
      <c r="B21" s="23" t="s">
        <v>48</v>
      </c>
      <c r="C21" s="50">
        <v>75</v>
      </c>
      <c r="D21" s="50">
        <v>32</v>
      </c>
      <c r="E21" s="50">
        <v>14</v>
      </c>
      <c r="F21" s="50">
        <v>9</v>
      </c>
      <c r="G21" s="50">
        <v>0</v>
      </c>
      <c r="H21" s="50">
        <v>0</v>
      </c>
      <c r="I21" s="50">
        <v>2</v>
      </c>
      <c r="J21" s="50">
        <v>3</v>
      </c>
      <c r="K21" s="50">
        <v>0</v>
      </c>
      <c r="L21" s="50">
        <v>0</v>
      </c>
      <c r="M21" s="50">
        <v>72</v>
      </c>
      <c r="N21" s="50">
        <v>0</v>
      </c>
      <c r="O21" s="15">
        <f t="shared" si="0"/>
        <v>135</v>
      </c>
      <c r="P21" s="15">
        <f t="shared" si="1"/>
        <v>207</v>
      </c>
      <c r="R21" s="36" t="s">
        <v>20</v>
      </c>
      <c r="S21" s="34">
        <f t="shared" ref="S21:AF21" si="13">SUM(C54:C57)</f>
        <v>203</v>
      </c>
      <c r="T21" s="17">
        <f t="shared" si="13"/>
        <v>115</v>
      </c>
      <c r="U21" s="17">
        <f t="shared" si="13"/>
        <v>31</v>
      </c>
      <c r="V21" s="17">
        <f t="shared" si="13"/>
        <v>35</v>
      </c>
      <c r="W21" s="17">
        <f t="shared" si="13"/>
        <v>1</v>
      </c>
      <c r="X21" s="17">
        <f t="shared" si="13"/>
        <v>1</v>
      </c>
      <c r="Y21" s="17">
        <f t="shared" si="13"/>
        <v>9</v>
      </c>
      <c r="Z21" s="17">
        <f t="shared" si="13"/>
        <v>2</v>
      </c>
      <c r="AA21" s="17">
        <f t="shared" si="13"/>
        <v>3</v>
      </c>
      <c r="AB21" s="17">
        <f t="shared" si="13"/>
        <v>1</v>
      </c>
      <c r="AC21" s="17">
        <f t="shared" si="13"/>
        <v>238</v>
      </c>
      <c r="AD21" s="17">
        <f t="shared" si="13"/>
        <v>0</v>
      </c>
      <c r="AE21" s="31">
        <f t="shared" si="13"/>
        <v>401</v>
      </c>
      <c r="AF21" s="31">
        <f t="shared" si="13"/>
        <v>639</v>
      </c>
    </row>
    <row r="22" spans="2:32" ht="23.1" customHeight="1" x14ac:dyDescent="0.25">
      <c r="B22" s="23" t="s">
        <v>49</v>
      </c>
      <c r="C22" s="50">
        <v>85</v>
      </c>
      <c r="D22" s="50">
        <v>28</v>
      </c>
      <c r="E22" s="50">
        <v>7</v>
      </c>
      <c r="F22" s="50">
        <v>5</v>
      </c>
      <c r="G22" s="50">
        <v>0</v>
      </c>
      <c r="H22" s="50">
        <v>0</v>
      </c>
      <c r="I22" s="50">
        <v>6</v>
      </c>
      <c r="J22" s="50">
        <v>0</v>
      </c>
      <c r="K22" s="50">
        <v>0</v>
      </c>
      <c r="L22" s="50">
        <v>0</v>
      </c>
      <c r="M22" s="50">
        <v>85</v>
      </c>
      <c r="N22" s="50">
        <v>0</v>
      </c>
      <c r="O22" s="15">
        <f t="shared" si="0"/>
        <v>131</v>
      </c>
      <c r="P22" s="15">
        <f t="shared" si="1"/>
        <v>216</v>
      </c>
      <c r="R22" s="38" t="s">
        <v>90</v>
      </c>
      <c r="S22" s="39">
        <f>MAX(S10:S12)</f>
        <v>507</v>
      </c>
      <c r="T22" s="39">
        <f t="shared" ref="T22:AF22" si="14">MAX(T10:T12)</f>
        <v>309</v>
      </c>
      <c r="U22" s="39">
        <f t="shared" si="14"/>
        <v>57</v>
      </c>
      <c r="V22" s="39">
        <f t="shared" si="14"/>
        <v>37</v>
      </c>
      <c r="W22" s="39">
        <f t="shared" si="14"/>
        <v>2</v>
      </c>
      <c r="X22" s="39">
        <f t="shared" si="14"/>
        <v>0</v>
      </c>
      <c r="Y22" s="39">
        <f t="shared" si="14"/>
        <v>21</v>
      </c>
      <c r="Z22" s="39">
        <f t="shared" si="14"/>
        <v>8</v>
      </c>
      <c r="AA22" s="39">
        <f t="shared" si="14"/>
        <v>0</v>
      </c>
      <c r="AB22" s="39">
        <f t="shared" si="14"/>
        <v>0</v>
      </c>
      <c r="AC22" s="39">
        <f t="shared" si="14"/>
        <v>369</v>
      </c>
      <c r="AD22" s="39">
        <f t="shared" si="14"/>
        <v>1</v>
      </c>
      <c r="AE22" s="40">
        <f t="shared" si="14"/>
        <v>899</v>
      </c>
      <c r="AF22" s="40">
        <f t="shared" si="14"/>
        <v>1084</v>
      </c>
    </row>
    <row r="23" spans="2:32" ht="23.1" customHeight="1" x14ac:dyDescent="0.25">
      <c r="B23" s="23" t="s">
        <v>50</v>
      </c>
      <c r="C23" s="50">
        <v>90</v>
      </c>
      <c r="D23" s="50">
        <v>57</v>
      </c>
      <c r="E23" s="50">
        <v>15</v>
      </c>
      <c r="F23" s="50">
        <v>11</v>
      </c>
      <c r="G23" s="50">
        <v>2</v>
      </c>
      <c r="H23" s="50">
        <v>0</v>
      </c>
      <c r="I23" s="50">
        <v>5</v>
      </c>
      <c r="J23" s="50">
        <v>2</v>
      </c>
      <c r="K23" s="50">
        <v>0</v>
      </c>
      <c r="L23" s="50">
        <v>0</v>
      </c>
      <c r="M23" s="50">
        <v>86</v>
      </c>
      <c r="N23" s="50">
        <v>0</v>
      </c>
      <c r="O23" s="15">
        <f t="shared" si="0"/>
        <v>182</v>
      </c>
      <c r="P23" s="15">
        <f t="shared" si="1"/>
        <v>268</v>
      </c>
      <c r="R23" s="38" t="s">
        <v>91</v>
      </c>
      <c r="S23" s="39">
        <f>MAX(S13:S18)</f>
        <v>298</v>
      </c>
      <c r="T23" s="39">
        <f t="shared" ref="T23:AF23" si="15">MAX(T13:T18)</f>
        <v>176</v>
      </c>
      <c r="U23" s="39">
        <f t="shared" si="15"/>
        <v>43</v>
      </c>
      <c r="V23" s="39">
        <f t="shared" si="15"/>
        <v>42</v>
      </c>
      <c r="W23" s="39">
        <f t="shared" si="15"/>
        <v>5</v>
      </c>
      <c r="X23" s="39">
        <f t="shared" si="15"/>
        <v>1</v>
      </c>
      <c r="Y23" s="39">
        <f t="shared" si="15"/>
        <v>30</v>
      </c>
      <c r="Z23" s="39">
        <f t="shared" si="15"/>
        <v>7</v>
      </c>
      <c r="AA23" s="39">
        <f t="shared" si="15"/>
        <v>3</v>
      </c>
      <c r="AB23" s="39">
        <f t="shared" si="15"/>
        <v>2</v>
      </c>
      <c r="AC23" s="39">
        <f t="shared" si="15"/>
        <v>323</v>
      </c>
      <c r="AD23" s="39">
        <f t="shared" si="15"/>
        <v>0</v>
      </c>
      <c r="AE23" s="40">
        <f t="shared" si="15"/>
        <v>583</v>
      </c>
      <c r="AF23" s="40">
        <f t="shared" si="15"/>
        <v>906</v>
      </c>
    </row>
    <row r="24" spans="2:32" ht="23.1" customHeight="1" x14ac:dyDescent="0.25">
      <c r="B24" s="23" t="s">
        <v>51</v>
      </c>
      <c r="C24" s="50">
        <v>56</v>
      </c>
      <c r="D24" s="50">
        <v>44</v>
      </c>
      <c r="E24" s="50">
        <v>9</v>
      </c>
      <c r="F24" s="50">
        <v>6</v>
      </c>
      <c r="G24" s="50">
        <v>0</v>
      </c>
      <c r="H24" s="50">
        <v>0</v>
      </c>
      <c r="I24" s="50">
        <v>8</v>
      </c>
      <c r="J24" s="50">
        <v>1</v>
      </c>
      <c r="K24" s="50">
        <v>0</v>
      </c>
      <c r="L24" s="50">
        <v>0</v>
      </c>
      <c r="M24" s="50">
        <v>73</v>
      </c>
      <c r="N24" s="50">
        <v>0</v>
      </c>
      <c r="O24" s="15">
        <f t="shared" si="0"/>
        <v>124</v>
      </c>
      <c r="P24" s="15">
        <f t="shared" si="1"/>
        <v>197</v>
      </c>
      <c r="R24" s="38" t="s">
        <v>92</v>
      </c>
      <c r="S24" s="39">
        <f>MAX(S19:S21)</f>
        <v>289</v>
      </c>
      <c r="T24" s="39">
        <f t="shared" ref="T24:AF24" si="16">MAX(T19:T21)</f>
        <v>196</v>
      </c>
      <c r="U24" s="39">
        <f t="shared" si="16"/>
        <v>42</v>
      </c>
      <c r="V24" s="39">
        <f t="shared" si="16"/>
        <v>43</v>
      </c>
      <c r="W24" s="39">
        <f t="shared" si="16"/>
        <v>8</v>
      </c>
      <c r="X24" s="39">
        <f t="shared" si="16"/>
        <v>1</v>
      </c>
      <c r="Y24" s="39">
        <f t="shared" si="16"/>
        <v>19</v>
      </c>
      <c r="Z24" s="39">
        <f t="shared" si="16"/>
        <v>5</v>
      </c>
      <c r="AA24" s="39">
        <f t="shared" si="16"/>
        <v>3</v>
      </c>
      <c r="AB24" s="39">
        <f t="shared" si="16"/>
        <v>1</v>
      </c>
      <c r="AC24" s="39">
        <f t="shared" si="16"/>
        <v>313</v>
      </c>
      <c r="AD24" s="39">
        <f t="shared" si="16"/>
        <v>0</v>
      </c>
      <c r="AE24" s="40">
        <f t="shared" si="16"/>
        <v>594</v>
      </c>
      <c r="AF24" s="40">
        <f t="shared" si="16"/>
        <v>907</v>
      </c>
    </row>
    <row r="25" spans="2:32" ht="23.1" customHeight="1" x14ac:dyDescent="0.25">
      <c r="B25" s="23" t="s">
        <v>52</v>
      </c>
      <c r="C25" s="50">
        <v>67</v>
      </c>
      <c r="D25" s="50">
        <v>41</v>
      </c>
      <c r="E25" s="50">
        <v>12</v>
      </c>
      <c r="F25" s="50">
        <v>10</v>
      </c>
      <c r="G25" s="50">
        <v>1</v>
      </c>
      <c r="H25" s="50">
        <v>0</v>
      </c>
      <c r="I25" s="50">
        <v>11</v>
      </c>
      <c r="J25" s="50">
        <v>4</v>
      </c>
      <c r="K25" s="50">
        <v>0</v>
      </c>
      <c r="L25" s="50">
        <v>0</v>
      </c>
      <c r="M25" s="50">
        <v>79</v>
      </c>
      <c r="N25" s="50">
        <v>0</v>
      </c>
      <c r="O25" s="15">
        <f t="shared" si="0"/>
        <v>146</v>
      </c>
      <c r="P25" s="15">
        <f t="shared" si="1"/>
        <v>225</v>
      </c>
      <c r="R25" s="37" t="s">
        <v>85</v>
      </c>
      <c r="S25" s="35">
        <f t="shared" ref="S25:AF25" si="17">SUM(S10:S12)</f>
        <v>1251</v>
      </c>
      <c r="T25" s="16">
        <f t="shared" si="17"/>
        <v>690</v>
      </c>
      <c r="U25" s="16">
        <f t="shared" si="17"/>
        <v>163</v>
      </c>
      <c r="V25" s="16">
        <f t="shared" si="17"/>
        <v>93</v>
      </c>
      <c r="W25" s="16">
        <f t="shared" si="17"/>
        <v>3</v>
      </c>
      <c r="X25" s="16">
        <f t="shared" si="17"/>
        <v>0</v>
      </c>
      <c r="Y25" s="16">
        <f t="shared" si="17"/>
        <v>22</v>
      </c>
      <c r="Z25" s="16">
        <f t="shared" si="17"/>
        <v>12</v>
      </c>
      <c r="AA25" s="16">
        <f t="shared" si="17"/>
        <v>0</v>
      </c>
      <c r="AB25" s="16">
        <f t="shared" si="17"/>
        <v>0</v>
      </c>
      <c r="AC25" s="16">
        <f t="shared" si="17"/>
        <v>866</v>
      </c>
      <c r="AD25" s="16">
        <f t="shared" si="17"/>
        <v>1</v>
      </c>
      <c r="AE25" s="32">
        <f t="shared" si="17"/>
        <v>2235</v>
      </c>
      <c r="AF25" s="32">
        <f t="shared" si="17"/>
        <v>3101</v>
      </c>
    </row>
    <row r="26" spans="2:32" ht="23.1" customHeight="1" x14ac:dyDescent="0.25">
      <c r="B26" s="23" t="s">
        <v>53</v>
      </c>
      <c r="C26" s="50">
        <v>80</v>
      </c>
      <c r="D26" s="50">
        <v>37</v>
      </c>
      <c r="E26" s="50">
        <v>13</v>
      </c>
      <c r="F26" s="50">
        <v>15</v>
      </c>
      <c r="G26" s="50">
        <v>1</v>
      </c>
      <c r="H26" s="50">
        <v>0</v>
      </c>
      <c r="I26" s="50">
        <v>7</v>
      </c>
      <c r="J26" s="50">
        <v>0</v>
      </c>
      <c r="K26" s="50">
        <v>0</v>
      </c>
      <c r="L26" s="50">
        <v>0</v>
      </c>
      <c r="M26" s="50">
        <v>68</v>
      </c>
      <c r="N26" s="50">
        <v>0</v>
      </c>
      <c r="O26" s="15">
        <f t="shared" si="0"/>
        <v>153</v>
      </c>
      <c r="P26" s="15">
        <f t="shared" si="1"/>
        <v>221</v>
      </c>
      <c r="R26" s="28" t="s">
        <v>86</v>
      </c>
      <c r="S26" s="16">
        <f t="shared" ref="S26:AF26" si="18">SUM(S13:S18)</f>
        <v>1448</v>
      </c>
      <c r="T26" s="16">
        <f t="shared" si="18"/>
        <v>863</v>
      </c>
      <c r="U26" s="16">
        <f t="shared" si="18"/>
        <v>203</v>
      </c>
      <c r="V26" s="16">
        <f t="shared" si="18"/>
        <v>190</v>
      </c>
      <c r="W26" s="16">
        <f t="shared" si="18"/>
        <v>16</v>
      </c>
      <c r="X26" s="16">
        <f t="shared" si="18"/>
        <v>4</v>
      </c>
      <c r="Y26" s="16">
        <f t="shared" si="18"/>
        <v>130</v>
      </c>
      <c r="Z26" s="16">
        <f t="shared" si="18"/>
        <v>34</v>
      </c>
      <c r="AA26" s="16">
        <f t="shared" si="18"/>
        <v>8</v>
      </c>
      <c r="AB26" s="16">
        <f t="shared" si="18"/>
        <v>3</v>
      </c>
      <c r="AC26" s="16">
        <f t="shared" si="18"/>
        <v>1716</v>
      </c>
      <c r="AD26" s="16">
        <f t="shared" si="18"/>
        <v>0</v>
      </c>
      <c r="AE26" s="32">
        <f t="shared" si="18"/>
        <v>2899</v>
      </c>
      <c r="AF26" s="32">
        <f t="shared" si="18"/>
        <v>4615</v>
      </c>
    </row>
    <row r="27" spans="2:32" ht="23.1" customHeight="1" x14ac:dyDescent="0.25">
      <c r="B27" s="23" t="s">
        <v>54</v>
      </c>
      <c r="C27" s="50">
        <v>92</v>
      </c>
      <c r="D27" s="50">
        <v>65</v>
      </c>
      <c r="E27" s="50">
        <v>13</v>
      </c>
      <c r="F27" s="50">
        <v>17</v>
      </c>
      <c r="G27" s="50">
        <v>1</v>
      </c>
      <c r="H27" s="50">
        <v>0</v>
      </c>
      <c r="I27" s="50">
        <v>4</v>
      </c>
      <c r="J27" s="50">
        <v>1</v>
      </c>
      <c r="K27" s="50">
        <v>0</v>
      </c>
      <c r="L27" s="50">
        <v>0</v>
      </c>
      <c r="M27" s="50">
        <v>93</v>
      </c>
      <c r="N27" s="50">
        <v>0</v>
      </c>
      <c r="O27" s="15">
        <f t="shared" si="0"/>
        <v>193</v>
      </c>
      <c r="P27" s="15">
        <f t="shared" si="1"/>
        <v>286</v>
      </c>
      <c r="R27" s="29" t="s">
        <v>87</v>
      </c>
      <c r="S27" s="16">
        <f t="shared" ref="S27:AF27" si="19">SUM(S19:S21)</f>
        <v>736</v>
      </c>
      <c r="T27" s="16">
        <f t="shared" si="19"/>
        <v>459</v>
      </c>
      <c r="U27" s="16">
        <f t="shared" si="19"/>
        <v>106</v>
      </c>
      <c r="V27" s="16">
        <f t="shared" si="19"/>
        <v>119</v>
      </c>
      <c r="W27" s="16">
        <f t="shared" si="19"/>
        <v>14</v>
      </c>
      <c r="X27" s="16">
        <f t="shared" si="19"/>
        <v>1</v>
      </c>
      <c r="Y27" s="16">
        <f t="shared" si="19"/>
        <v>42</v>
      </c>
      <c r="Z27" s="16">
        <f t="shared" si="19"/>
        <v>10</v>
      </c>
      <c r="AA27" s="16">
        <f t="shared" si="19"/>
        <v>6</v>
      </c>
      <c r="AB27" s="16">
        <f t="shared" si="19"/>
        <v>2</v>
      </c>
      <c r="AC27" s="16">
        <f t="shared" si="19"/>
        <v>818</v>
      </c>
      <c r="AD27" s="16">
        <f t="shared" si="19"/>
        <v>0</v>
      </c>
      <c r="AE27" s="32">
        <f t="shared" si="19"/>
        <v>1495</v>
      </c>
      <c r="AF27" s="32">
        <f t="shared" si="19"/>
        <v>2313</v>
      </c>
    </row>
    <row r="28" spans="2:32" ht="23.1" customHeight="1" x14ac:dyDescent="0.25">
      <c r="B28" s="23" t="s">
        <v>55</v>
      </c>
      <c r="C28" s="50">
        <v>49</v>
      </c>
      <c r="D28" s="50">
        <v>32</v>
      </c>
      <c r="E28" s="50">
        <v>6</v>
      </c>
      <c r="F28" s="50">
        <v>3</v>
      </c>
      <c r="G28" s="50">
        <v>0</v>
      </c>
      <c r="H28" s="50">
        <v>0</v>
      </c>
      <c r="I28" s="50">
        <v>10</v>
      </c>
      <c r="J28" s="50">
        <v>3</v>
      </c>
      <c r="K28" s="50">
        <v>0</v>
      </c>
      <c r="L28" s="50">
        <v>0</v>
      </c>
      <c r="M28" s="50">
        <v>66</v>
      </c>
      <c r="N28" s="50">
        <v>0</v>
      </c>
      <c r="O28" s="15">
        <f t="shared" si="0"/>
        <v>103</v>
      </c>
      <c r="P28" s="15">
        <f t="shared" si="1"/>
        <v>169</v>
      </c>
      <c r="R28" s="5" t="s">
        <v>17</v>
      </c>
      <c r="S28" s="16">
        <f t="shared" ref="S28:AF28" si="20">SUM(S10:S21)</f>
        <v>3435</v>
      </c>
      <c r="T28" s="16">
        <f t="shared" si="20"/>
        <v>2012</v>
      </c>
      <c r="U28" s="16">
        <f t="shared" si="20"/>
        <v>472</v>
      </c>
      <c r="V28" s="16">
        <f t="shared" si="20"/>
        <v>402</v>
      </c>
      <c r="W28" s="16">
        <f t="shared" si="20"/>
        <v>33</v>
      </c>
      <c r="X28" s="16">
        <f t="shared" si="20"/>
        <v>5</v>
      </c>
      <c r="Y28" s="16">
        <f t="shared" si="20"/>
        <v>194</v>
      </c>
      <c r="Z28" s="16">
        <f t="shared" si="20"/>
        <v>56</v>
      </c>
      <c r="AA28" s="16">
        <f t="shared" si="20"/>
        <v>14</v>
      </c>
      <c r="AB28" s="16">
        <f t="shared" si="20"/>
        <v>5</v>
      </c>
      <c r="AC28" s="16">
        <f t="shared" si="20"/>
        <v>3400</v>
      </c>
      <c r="AD28" s="16">
        <f t="shared" si="20"/>
        <v>1</v>
      </c>
      <c r="AE28" s="32">
        <f t="shared" si="20"/>
        <v>6629</v>
      </c>
      <c r="AF28" s="32">
        <f t="shared" si="20"/>
        <v>10029</v>
      </c>
    </row>
    <row r="29" spans="2:32" ht="23.1" customHeight="1" x14ac:dyDescent="0.25">
      <c r="B29" s="23" t="s">
        <v>56</v>
      </c>
      <c r="C29" s="50">
        <v>56</v>
      </c>
      <c r="D29" s="50">
        <v>42</v>
      </c>
      <c r="E29" s="50">
        <v>7</v>
      </c>
      <c r="F29" s="50">
        <v>7</v>
      </c>
      <c r="G29" s="50">
        <v>1</v>
      </c>
      <c r="H29" s="50">
        <v>1</v>
      </c>
      <c r="I29" s="50">
        <v>4</v>
      </c>
      <c r="J29" s="50">
        <v>1</v>
      </c>
      <c r="K29" s="50">
        <v>1</v>
      </c>
      <c r="L29" s="50">
        <v>0</v>
      </c>
      <c r="M29" s="50">
        <v>78</v>
      </c>
      <c r="N29" s="50">
        <v>0</v>
      </c>
      <c r="O29" s="15">
        <f t="shared" si="0"/>
        <v>120</v>
      </c>
      <c r="P29" s="15">
        <f t="shared" si="1"/>
        <v>198</v>
      </c>
      <c r="R29"/>
      <c r="S29" s="20"/>
      <c r="T29" s="19"/>
    </row>
    <row r="30" spans="2:32" ht="23.1" customHeight="1" x14ac:dyDescent="0.25">
      <c r="B30" s="23" t="s">
        <v>57</v>
      </c>
      <c r="C30" s="50">
        <v>49</v>
      </c>
      <c r="D30" s="50">
        <v>34</v>
      </c>
      <c r="E30" s="50">
        <v>17</v>
      </c>
      <c r="F30" s="50">
        <v>7</v>
      </c>
      <c r="G30" s="50">
        <v>5</v>
      </c>
      <c r="H30" s="50">
        <v>1</v>
      </c>
      <c r="I30" s="50">
        <v>2</v>
      </c>
      <c r="J30" s="50">
        <v>2</v>
      </c>
      <c r="K30" s="50">
        <v>0</v>
      </c>
      <c r="L30" s="50">
        <v>0</v>
      </c>
      <c r="M30" s="50">
        <v>61</v>
      </c>
      <c r="N30" s="50">
        <v>0</v>
      </c>
      <c r="O30" s="15">
        <f t="shared" si="0"/>
        <v>117</v>
      </c>
      <c r="P30" s="15">
        <f t="shared" si="1"/>
        <v>178</v>
      </c>
    </row>
    <row r="31" spans="2:32" ht="23.1" customHeight="1" x14ac:dyDescent="0.25">
      <c r="B31" s="24" t="s">
        <v>58</v>
      </c>
      <c r="C31" s="50">
        <v>72</v>
      </c>
      <c r="D31" s="50">
        <v>36</v>
      </c>
      <c r="E31" s="50">
        <v>4</v>
      </c>
      <c r="F31" s="50">
        <v>8</v>
      </c>
      <c r="G31" s="50">
        <v>0</v>
      </c>
      <c r="H31" s="50">
        <v>0</v>
      </c>
      <c r="I31" s="50">
        <v>3</v>
      </c>
      <c r="J31" s="50">
        <v>1</v>
      </c>
      <c r="K31" s="50">
        <v>2</v>
      </c>
      <c r="L31" s="50">
        <v>0</v>
      </c>
      <c r="M31" s="50">
        <v>74</v>
      </c>
      <c r="N31" s="50">
        <v>0</v>
      </c>
      <c r="O31" s="15">
        <f t="shared" si="0"/>
        <v>126</v>
      </c>
      <c r="P31" s="15">
        <f t="shared" si="1"/>
        <v>200</v>
      </c>
    </row>
    <row r="32" spans="2:32" ht="23.1" customHeight="1" x14ac:dyDescent="0.25">
      <c r="B32" s="24" t="s">
        <v>59</v>
      </c>
      <c r="C32" s="50">
        <v>58</v>
      </c>
      <c r="D32" s="50">
        <v>31</v>
      </c>
      <c r="E32" s="50">
        <v>8</v>
      </c>
      <c r="F32" s="50">
        <v>6</v>
      </c>
      <c r="G32" s="50">
        <v>0</v>
      </c>
      <c r="H32" s="50">
        <v>0</v>
      </c>
      <c r="I32" s="50">
        <v>6</v>
      </c>
      <c r="J32" s="50">
        <v>0</v>
      </c>
      <c r="K32" s="50">
        <v>0</v>
      </c>
      <c r="L32" s="50">
        <v>0</v>
      </c>
      <c r="M32" s="50">
        <v>69</v>
      </c>
      <c r="N32" s="50">
        <v>0</v>
      </c>
      <c r="O32" s="15">
        <f t="shared" si="0"/>
        <v>109</v>
      </c>
      <c r="P32" s="15">
        <f t="shared" si="1"/>
        <v>178</v>
      </c>
    </row>
    <row r="33" spans="2:20" ht="23.1" customHeight="1" x14ac:dyDescent="0.25">
      <c r="B33" s="23" t="s">
        <v>60</v>
      </c>
      <c r="C33" s="50">
        <v>70</v>
      </c>
      <c r="D33" s="50">
        <v>35</v>
      </c>
      <c r="E33" s="50">
        <v>9</v>
      </c>
      <c r="F33" s="50">
        <v>8</v>
      </c>
      <c r="G33" s="50">
        <v>0</v>
      </c>
      <c r="H33" s="50">
        <v>0</v>
      </c>
      <c r="I33" s="50">
        <v>6</v>
      </c>
      <c r="J33" s="50">
        <v>1</v>
      </c>
      <c r="K33" s="50">
        <v>0</v>
      </c>
      <c r="L33" s="50">
        <v>0</v>
      </c>
      <c r="M33" s="50">
        <v>78</v>
      </c>
      <c r="N33" s="50">
        <v>0</v>
      </c>
      <c r="O33" s="15">
        <f t="shared" si="0"/>
        <v>129</v>
      </c>
      <c r="P33" s="15">
        <f t="shared" si="1"/>
        <v>207</v>
      </c>
    </row>
    <row r="34" spans="2:20" ht="23.1" customHeight="1" x14ac:dyDescent="0.25">
      <c r="B34" s="24" t="s">
        <v>61</v>
      </c>
      <c r="C34" s="50">
        <v>69</v>
      </c>
      <c r="D34" s="50">
        <v>46</v>
      </c>
      <c r="E34" s="50">
        <v>8</v>
      </c>
      <c r="F34" s="50">
        <v>8</v>
      </c>
      <c r="G34" s="50">
        <v>0</v>
      </c>
      <c r="H34" s="50">
        <v>0</v>
      </c>
      <c r="I34" s="50">
        <v>3</v>
      </c>
      <c r="J34" s="50">
        <v>4</v>
      </c>
      <c r="K34" s="50">
        <v>0</v>
      </c>
      <c r="L34" s="50">
        <v>0</v>
      </c>
      <c r="M34" s="50">
        <v>86</v>
      </c>
      <c r="N34" s="50">
        <v>0</v>
      </c>
      <c r="O34" s="15">
        <f t="shared" si="0"/>
        <v>138</v>
      </c>
      <c r="P34" s="15">
        <f t="shared" si="1"/>
        <v>224</v>
      </c>
    </row>
    <row r="35" spans="2:20" ht="23.1" customHeight="1" x14ac:dyDescent="0.25">
      <c r="B35" s="24" t="s">
        <v>62</v>
      </c>
      <c r="C35" s="50">
        <v>48</v>
      </c>
      <c r="D35" s="50">
        <v>41</v>
      </c>
      <c r="E35" s="50">
        <v>8</v>
      </c>
      <c r="F35" s="50">
        <v>1</v>
      </c>
      <c r="G35" s="50">
        <v>1</v>
      </c>
      <c r="H35" s="50">
        <v>0</v>
      </c>
      <c r="I35" s="50">
        <v>5</v>
      </c>
      <c r="J35" s="50">
        <v>0</v>
      </c>
      <c r="K35" s="50">
        <v>2</v>
      </c>
      <c r="L35" s="50">
        <v>0</v>
      </c>
      <c r="M35" s="50">
        <v>67</v>
      </c>
      <c r="N35" s="50">
        <v>0</v>
      </c>
      <c r="O35" s="15">
        <f t="shared" si="0"/>
        <v>106</v>
      </c>
      <c r="P35" s="15">
        <f t="shared" si="1"/>
        <v>173</v>
      </c>
    </row>
    <row r="36" spans="2:20" ht="23.1" customHeight="1" x14ac:dyDescent="0.25">
      <c r="B36" s="24" t="s">
        <v>63</v>
      </c>
      <c r="C36" s="50">
        <v>64</v>
      </c>
      <c r="D36" s="50">
        <v>36</v>
      </c>
      <c r="E36" s="50">
        <v>6</v>
      </c>
      <c r="F36" s="50">
        <v>11</v>
      </c>
      <c r="G36" s="50">
        <v>2</v>
      </c>
      <c r="H36" s="50">
        <v>0</v>
      </c>
      <c r="I36" s="50">
        <v>5</v>
      </c>
      <c r="J36" s="50">
        <v>0</v>
      </c>
      <c r="K36" s="50">
        <v>0</v>
      </c>
      <c r="L36" s="50">
        <v>1</v>
      </c>
      <c r="M36" s="50">
        <v>35</v>
      </c>
      <c r="N36" s="50">
        <v>0</v>
      </c>
      <c r="O36" s="15">
        <f t="shared" si="0"/>
        <v>125</v>
      </c>
      <c r="P36" s="15">
        <f t="shared" si="1"/>
        <v>160</v>
      </c>
    </row>
    <row r="37" spans="2:20" ht="23.1" customHeight="1" x14ac:dyDescent="0.25">
      <c r="B37" s="23" t="s">
        <v>64</v>
      </c>
      <c r="C37" s="50">
        <v>60</v>
      </c>
      <c r="D37" s="50">
        <v>40</v>
      </c>
      <c r="E37" s="50">
        <v>10</v>
      </c>
      <c r="F37" s="50">
        <v>11</v>
      </c>
      <c r="G37" s="50">
        <v>1</v>
      </c>
      <c r="H37" s="50">
        <v>1</v>
      </c>
      <c r="I37" s="50">
        <v>8</v>
      </c>
      <c r="J37" s="50">
        <v>2</v>
      </c>
      <c r="K37" s="50">
        <v>1</v>
      </c>
      <c r="L37" s="50">
        <v>1</v>
      </c>
      <c r="M37" s="50">
        <v>62</v>
      </c>
      <c r="N37" s="50">
        <v>0</v>
      </c>
      <c r="O37" s="15">
        <f t="shared" si="0"/>
        <v>135</v>
      </c>
      <c r="P37" s="15">
        <f t="shared" si="1"/>
        <v>197</v>
      </c>
    </row>
    <row r="38" spans="2:20" ht="23.1" customHeight="1" x14ac:dyDescent="0.25">
      <c r="B38" s="24" t="s">
        <v>65</v>
      </c>
      <c r="C38" s="50">
        <v>45</v>
      </c>
      <c r="D38" s="50">
        <v>26</v>
      </c>
      <c r="E38" s="50">
        <v>13</v>
      </c>
      <c r="F38" s="50">
        <v>10</v>
      </c>
      <c r="G38" s="50">
        <v>0</v>
      </c>
      <c r="H38" s="50">
        <v>1</v>
      </c>
      <c r="I38" s="50">
        <v>4</v>
      </c>
      <c r="J38" s="50">
        <v>0</v>
      </c>
      <c r="K38" s="50">
        <v>0</v>
      </c>
      <c r="L38" s="50">
        <v>0</v>
      </c>
      <c r="M38" s="50">
        <v>66</v>
      </c>
      <c r="N38" s="50">
        <v>0</v>
      </c>
      <c r="O38" s="15">
        <f t="shared" si="0"/>
        <v>99</v>
      </c>
      <c r="P38" s="15">
        <f t="shared" si="1"/>
        <v>165</v>
      </c>
    </row>
    <row r="39" spans="2:20" ht="23.1" customHeight="1" x14ac:dyDescent="0.25">
      <c r="B39" s="24" t="s">
        <v>66</v>
      </c>
      <c r="C39" s="50">
        <v>61</v>
      </c>
      <c r="D39" s="50">
        <v>37</v>
      </c>
      <c r="E39" s="50">
        <v>2</v>
      </c>
      <c r="F39" s="50">
        <v>11</v>
      </c>
      <c r="G39" s="50">
        <v>0</v>
      </c>
      <c r="H39" s="50">
        <v>0</v>
      </c>
      <c r="I39" s="50">
        <v>4</v>
      </c>
      <c r="J39" s="50">
        <v>0</v>
      </c>
      <c r="K39" s="50">
        <v>0</v>
      </c>
      <c r="L39" s="50">
        <v>0</v>
      </c>
      <c r="M39" s="50">
        <v>69</v>
      </c>
      <c r="N39" s="50">
        <v>0</v>
      </c>
      <c r="O39" s="15">
        <f t="shared" si="0"/>
        <v>115</v>
      </c>
      <c r="P39" s="15">
        <f t="shared" si="1"/>
        <v>184</v>
      </c>
    </row>
    <row r="40" spans="2:20" ht="23.1" customHeight="1" x14ac:dyDescent="0.25">
      <c r="B40" s="24" t="s">
        <v>67</v>
      </c>
      <c r="C40" s="50">
        <v>48</v>
      </c>
      <c r="D40" s="50">
        <v>21</v>
      </c>
      <c r="E40" s="50">
        <v>4</v>
      </c>
      <c r="F40" s="50">
        <v>8</v>
      </c>
      <c r="G40" s="50">
        <v>0</v>
      </c>
      <c r="H40" s="50">
        <v>0</v>
      </c>
      <c r="I40" s="50">
        <v>6</v>
      </c>
      <c r="J40" s="50">
        <v>4</v>
      </c>
      <c r="K40" s="50">
        <v>0</v>
      </c>
      <c r="L40" s="50">
        <v>0</v>
      </c>
      <c r="M40" s="50">
        <v>76</v>
      </c>
      <c r="N40" s="50">
        <v>0</v>
      </c>
      <c r="O40" s="15">
        <f t="shared" si="0"/>
        <v>91</v>
      </c>
      <c r="P40" s="15">
        <f t="shared" si="1"/>
        <v>167</v>
      </c>
    </row>
    <row r="41" spans="2:20" ht="23.1" customHeight="1" x14ac:dyDescent="0.25">
      <c r="B41" s="23" t="s">
        <v>68</v>
      </c>
      <c r="C41" s="50">
        <v>45</v>
      </c>
      <c r="D41" s="50">
        <v>24</v>
      </c>
      <c r="E41" s="50">
        <v>9</v>
      </c>
      <c r="F41" s="50">
        <v>5</v>
      </c>
      <c r="G41" s="50">
        <v>0</v>
      </c>
      <c r="H41" s="50">
        <v>0</v>
      </c>
      <c r="I41" s="50">
        <v>3</v>
      </c>
      <c r="J41" s="50">
        <v>2</v>
      </c>
      <c r="K41" s="50">
        <v>0</v>
      </c>
      <c r="L41" s="50">
        <v>0</v>
      </c>
      <c r="M41" s="50">
        <v>54</v>
      </c>
      <c r="N41" s="50">
        <v>0</v>
      </c>
      <c r="O41" s="15">
        <f t="shared" si="0"/>
        <v>88</v>
      </c>
      <c r="P41" s="15">
        <f t="shared" si="1"/>
        <v>142</v>
      </c>
    </row>
    <row r="42" spans="2:20" ht="23.1" customHeight="1" x14ac:dyDescent="0.25">
      <c r="B42" s="24" t="s">
        <v>69</v>
      </c>
      <c r="C42" s="50">
        <v>39</v>
      </c>
      <c r="D42" s="50">
        <v>24</v>
      </c>
      <c r="E42" s="50">
        <v>5</v>
      </c>
      <c r="F42" s="50">
        <v>6</v>
      </c>
      <c r="G42" s="50">
        <v>0</v>
      </c>
      <c r="H42" s="50">
        <v>0</v>
      </c>
      <c r="I42" s="50">
        <v>3</v>
      </c>
      <c r="J42" s="50">
        <v>0</v>
      </c>
      <c r="K42" s="50">
        <v>0</v>
      </c>
      <c r="L42" s="50">
        <v>0</v>
      </c>
      <c r="M42" s="50">
        <v>71</v>
      </c>
      <c r="N42" s="50">
        <v>0</v>
      </c>
      <c r="O42" s="15">
        <f t="shared" si="0"/>
        <v>77</v>
      </c>
      <c r="P42" s="15">
        <f t="shared" si="1"/>
        <v>148</v>
      </c>
    </row>
    <row r="43" spans="2:20" ht="23.1" customHeight="1" x14ac:dyDescent="0.25">
      <c r="B43" s="23" t="s">
        <v>70</v>
      </c>
      <c r="C43" s="50">
        <v>51</v>
      </c>
      <c r="D43" s="50">
        <v>35</v>
      </c>
      <c r="E43" s="50">
        <v>7</v>
      </c>
      <c r="F43" s="50">
        <v>2</v>
      </c>
      <c r="G43" s="50">
        <v>1</v>
      </c>
      <c r="H43" s="50">
        <v>0</v>
      </c>
      <c r="I43" s="50">
        <v>4</v>
      </c>
      <c r="J43" s="50">
        <v>1</v>
      </c>
      <c r="K43" s="50">
        <v>0</v>
      </c>
      <c r="L43" s="50">
        <v>0</v>
      </c>
      <c r="M43" s="50">
        <v>94</v>
      </c>
      <c r="N43" s="50">
        <v>0</v>
      </c>
      <c r="O43" s="15">
        <f t="shared" si="0"/>
        <v>101</v>
      </c>
      <c r="P43" s="15">
        <f t="shared" si="1"/>
        <v>195</v>
      </c>
    </row>
    <row r="44" spans="2:20" ht="23.1" customHeight="1" x14ac:dyDescent="0.25">
      <c r="B44" s="25" t="s">
        <v>71</v>
      </c>
      <c r="C44" s="50">
        <v>58</v>
      </c>
      <c r="D44" s="50">
        <v>30</v>
      </c>
      <c r="E44" s="50">
        <v>6</v>
      </c>
      <c r="F44" s="50">
        <v>11</v>
      </c>
      <c r="G44" s="50">
        <v>0</v>
      </c>
      <c r="H44" s="50">
        <v>0</v>
      </c>
      <c r="I44" s="50">
        <v>7</v>
      </c>
      <c r="J44" s="50">
        <v>1</v>
      </c>
      <c r="K44" s="50">
        <v>2</v>
      </c>
      <c r="L44" s="50">
        <v>1</v>
      </c>
      <c r="M44" s="50">
        <v>67</v>
      </c>
      <c r="N44" s="50">
        <v>0</v>
      </c>
      <c r="O44" s="15">
        <f t="shared" si="0"/>
        <v>116</v>
      </c>
      <c r="P44" s="15">
        <f t="shared" si="1"/>
        <v>183</v>
      </c>
    </row>
    <row r="45" spans="2:20" ht="23.1" customHeight="1" x14ac:dyDescent="0.25">
      <c r="B45" s="23" t="s">
        <v>72</v>
      </c>
      <c r="C45" s="50">
        <v>36</v>
      </c>
      <c r="D45" s="50">
        <v>21</v>
      </c>
      <c r="E45" s="50">
        <v>5</v>
      </c>
      <c r="F45" s="50">
        <v>3</v>
      </c>
      <c r="G45" s="50">
        <v>0</v>
      </c>
      <c r="H45" s="50">
        <v>0</v>
      </c>
      <c r="I45" s="50">
        <v>6</v>
      </c>
      <c r="J45" s="50">
        <v>4</v>
      </c>
      <c r="K45" s="50">
        <v>0</v>
      </c>
      <c r="L45" s="50">
        <v>0</v>
      </c>
      <c r="M45" s="50">
        <v>59</v>
      </c>
      <c r="N45" s="50">
        <v>0</v>
      </c>
      <c r="O45" s="15">
        <f t="shared" si="0"/>
        <v>75</v>
      </c>
      <c r="P45" s="15">
        <f t="shared" si="1"/>
        <v>134</v>
      </c>
    </row>
    <row r="46" spans="2:20" ht="23.1" customHeight="1" x14ac:dyDescent="0.25">
      <c r="B46" s="24" t="s">
        <v>73</v>
      </c>
      <c r="C46" s="50">
        <v>41</v>
      </c>
      <c r="D46" s="50">
        <v>31</v>
      </c>
      <c r="E46" s="50">
        <v>4</v>
      </c>
      <c r="F46" s="50">
        <v>7</v>
      </c>
      <c r="G46" s="50">
        <v>0</v>
      </c>
      <c r="H46" s="50">
        <v>0</v>
      </c>
      <c r="I46" s="50">
        <v>5</v>
      </c>
      <c r="J46" s="50">
        <v>2</v>
      </c>
      <c r="K46" s="50">
        <v>0</v>
      </c>
      <c r="L46" s="50">
        <v>0</v>
      </c>
      <c r="M46" s="50">
        <v>54</v>
      </c>
      <c r="N46" s="50">
        <v>0</v>
      </c>
      <c r="O46" s="15">
        <f t="shared" si="0"/>
        <v>90</v>
      </c>
      <c r="P46" s="15">
        <f t="shared" si="1"/>
        <v>144</v>
      </c>
      <c r="R46" s="8"/>
      <c r="T46"/>
    </row>
    <row r="47" spans="2:20" ht="23.1" customHeight="1" x14ac:dyDescent="0.25">
      <c r="B47" s="24" t="s">
        <v>74</v>
      </c>
      <c r="C47" s="50">
        <v>60</v>
      </c>
      <c r="D47" s="50">
        <v>44</v>
      </c>
      <c r="E47" s="50">
        <v>9</v>
      </c>
      <c r="F47" s="50">
        <v>9</v>
      </c>
      <c r="G47" s="50">
        <v>0</v>
      </c>
      <c r="H47" s="50">
        <v>0</v>
      </c>
      <c r="I47" s="50">
        <v>5</v>
      </c>
      <c r="J47" s="50">
        <v>2</v>
      </c>
      <c r="K47" s="50">
        <v>0</v>
      </c>
      <c r="L47" s="50">
        <v>0</v>
      </c>
      <c r="M47" s="50">
        <v>73</v>
      </c>
      <c r="N47" s="50">
        <v>0</v>
      </c>
      <c r="O47" s="15">
        <f t="shared" si="0"/>
        <v>129</v>
      </c>
      <c r="P47" s="15">
        <f t="shared" si="1"/>
        <v>202</v>
      </c>
      <c r="R47" s="8"/>
      <c r="T47"/>
    </row>
    <row r="48" spans="2:20" ht="23.1" customHeight="1" x14ac:dyDescent="0.25">
      <c r="B48" s="24" t="s">
        <v>75</v>
      </c>
      <c r="C48" s="50">
        <v>63</v>
      </c>
      <c r="D48" s="50">
        <v>38</v>
      </c>
      <c r="E48" s="50">
        <v>10</v>
      </c>
      <c r="F48" s="50">
        <v>17</v>
      </c>
      <c r="G48" s="50">
        <v>2</v>
      </c>
      <c r="H48" s="50">
        <v>0</v>
      </c>
      <c r="I48" s="50">
        <v>3</v>
      </c>
      <c r="J48" s="50">
        <v>1</v>
      </c>
      <c r="K48" s="50">
        <v>2</v>
      </c>
      <c r="L48" s="50">
        <v>0</v>
      </c>
      <c r="M48" s="50">
        <v>84</v>
      </c>
      <c r="N48" s="50">
        <v>0</v>
      </c>
      <c r="O48" s="15">
        <f t="shared" si="0"/>
        <v>136</v>
      </c>
      <c r="P48" s="15">
        <f t="shared" si="1"/>
        <v>220</v>
      </c>
      <c r="R48" s="8"/>
      <c r="T48"/>
    </row>
    <row r="49" spans="2:20" ht="23.1" customHeight="1" x14ac:dyDescent="0.25">
      <c r="B49" s="23" t="s">
        <v>76</v>
      </c>
      <c r="C49" s="50">
        <v>80</v>
      </c>
      <c r="D49" s="50">
        <v>35</v>
      </c>
      <c r="E49" s="50">
        <v>10</v>
      </c>
      <c r="F49" s="50">
        <v>8</v>
      </c>
      <c r="G49" s="50">
        <v>6</v>
      </c>
      <c r="H49" s="50">
        <v>0</v>
      </c>
      <c r="I49" s="50">
        <v>6</v>
      </c>
      <c r="J49" s="50">
        <v>0</v>
      </c>
      <c r="K49" s="50">
        <v>0</v>
      </c>
      <c r="L49" s="50">
        <v>0</v>
      </c>
      <c r="M49" s="50">
        <v>56</v>
      </c>
      <c r="N49" s="50">
        <v>0</v>
      </c>
      <c r="O49" s="15">
        <f t="shared" si="0"/>
        <v>145</v>
      </c>
      <c r="P49" s="15">
        <f t="shared" si="1"/>
        <v>201</v>
      </c>
      <c r="R49" s="8"/>
      <c r="T49"/>
    </row>
    <row r="50" spans="2:20" ht="23.1" customHeight="1" x14ac:dyDescent="0.25">
      <c r="B50" s="24" t="s">
        <v>77</v>
      </c>
      <c r="C50" s="50">
        <v>72</v>
      </c>
      <c r="D50" s="50">
        <v>57</v>
      </c>
      <c r="E50" s="50">
        <v>11</v>
      </c>
      <c r="F50" s="50">
        <v>9</v>
      </c>
      <c r="G50" s="50">
        <v>1</v>
      </c>
      <c r="H50" s="50">
        <v>0</v>
      </c>
      <c r="I50" s="50" t="s">
        <v>176</v>
      </c>
      <c r="J50" s="50">
        <v>0</v>
      </c>
      <c r="K50" s="50">
        <v>0</v>
      </c>
      <c r="L50" s="50">
        <v>0</v>
      </c>
      <c r="M50" s="50">
        <v>92</v>
      </c>
      <c r="N50" s="50">
        <v>0</v>
      </c>
      <c r="O50" s="15">
        <f t="shared" si="0"/>
        <v>150</v>
      </c>
      <c r="P50" s="15">
        <f t="shared" si="1"/>
        <v>242</v>
      </c>
      <c r="R50" s="8"/>
      <c r="T50"/>
    </row>
    <row r="51" spans="2:20" ht="23.1" customHeight="1" x14ac:dyDescent="0.25">
      <c r="B51" s="24" t="s">
        <v>78</v>
      </c>
      <c r="C51" s="50">
        <v>80</v>
      </c>
      <c r="D51" s="50">
        <v>55</v>
      </c>
      <c r="E51" s="50">
        <v>11</v>
      </c>
      <c r="F51" s="50">
        <v>15</v>
      </c>
      <c r="G51" s="50">
        <v>2</v>
      </c>
      <c r="H51" s="50">
        <v>0</v>
      </c>
      <c r="I51" s="50">
        <v>3</v>
      </c>
      <c r="J51" s="50">
        <v>2</v>
      </c>
      <c r="K51" s="50">
        <v>0</v>
      </c>
      <c r="L51" s="50">
        <v>0</v>
      </c>
      <c r="M51" s="50">
        <v>76</v>
      </c>
      <c r="N51" s="50">
        <v>0</v>
      </c>
      <c r="O51" s="15">
        <f t="shared" si="0"/>
        <v>168</v>
      </c>
      <c r="P51" s="15">
        <f t="shared" si="1"/>
        <v>244</v>
      </c>
      <c r="R51" s="8"/>
      <c r="T51"/>
    </row>
    <row r="52" spans="2:20" ht="23.1" customHeight="1" x14ac:dyDescent="0.25">
      <c r="B52" s="24" t="s">
        <v>79</v>
      </c>
      <c r="C52" s="50">
        <v>73</v>
      </c>
      <c r="D52" s="50">
        <v>45</v>
      </c>
      <c r="E52" s="50">
        <v>14</v>
      </c>
      <c r="F52" s="50">
        <v>15</v>
      </c>
      <c r="G52" s="50">
        <v>1</v>
      </c>
      <c r="H52" s="50">
        <v>0</v>
      </c>
      <c r="I52" s="50">
        <v>7</v>
      </c>
      <c r="J52" s="50">
        <v>0</v>
      </c>
      <c r="K52" s="50">
        <v>1</v>
      </c>
      <c r="L52" s="50">
        <v>1</v>
      </c>
      <c r="M52" s="50">
        <v>69</v>
      </c>
      <c r="N52" s="50">
        <v>0</v>
      </c>
      <c r="O52" s="15">
        <f t="shared" si="0"/>
        <v>157</v>
      </c>
      <c r="P52" s="15">
        <f t="shared" si="1"/>
        <v>226</v>
      </c>
      <c r="R52" s="8"/>
      <c r="T52"/>
    </row>
    <row r="53" spans="2:20" ht="23.1" customHeight="1" x14ac:dyDescent="0.25">
      <c r="B53" s="23" t="s">
        <v>80</v>
      </c>
      <c r="C53" s="50">
        <v>64</v>
      </c>
      <c r="D53" s="50">
        <v>39</v>
      </c>
      <c r="E53" s="50">
        <v>6</v>
      </c>
      <c r="F53" s="50">
        <v>4</v>
      </c>
      <c r="G53" s="50">
        <v>1</v>
      </c>
      <c r="H53" s="50">
        <v>0</v>
      </c>
      <c r="I53" s="50">
        <v>4</v>
      </c>
      <c r="J53" s="50">
        <v>1</v>
      </c>
      <c r="K53" s="50">
        <v>0</v>
      </c>
      <c r="L53" s="50">
        <v>0</v>
      </c>
      <c r="M53" s="50">
        <v>76</v>
      </c>
      <c r="N53" s="50">
        <v>0</v>
      </c>
      <c r="O53" s="15">
        <f t="shared" si="0"/>
        <v>119</v>
      </c>
      <c r="P53" s="15">
        <f t="shared" si="1"/>
        <v>195</v>
      </c>
      <c r="R53" s="8"/>
      <c r="T53"/>
    </row>
    <row r="54" spans="2:20" ht="23.1" customHeight="1" x14ac:dyDescent="0.25">
      <c r="B54" s="23" t="s">
        <v>81</v>
      </c>
      <c r="C54" s="50">
        <v>58</v>
      </c>
      <c r="D54" s="50">
        <v>27</v>
      </c>
      <c r="E54" s="50">
        <v>9</v>
      </c>
      <c r="F54" s="50">
        <v>9</v>
      </c>
      <c r="G54" s="50">
        <v>0</v>
      </c>
      <c r="H54" s="50">
        <v>1</v>
      </c>
      <c r="I54" s="50">
        <v>4</v>
      </c>
      <c r="J54" s="50">
        <v>0</v>
      </c>
      <c r="K54" s="50">
        <v>2</v>
      </c>
      <c r="L54" s="50">
        <v>1</v>
      </c>
      <c r="M54" s="50">
        <v>42</v>
      </c>
      <c r="N54" s="50">
        <v>0</v>
      </c>
      <c r="O54" s="15">
        <f t="shared" si="0"/>
        <v>111</v>
      </c>
      <c r="P54" s="15">
        <f t="shared" si="1"/>
        <v>153</v>
      </c>
      <c r="R54" s="8"/>
      <c r="T54"/>
    </row>
    <row r="55" spans="2:20" ht="23.1" customHeight="1" x14ac:dyDescent="0.25">
      <c r="B55" s="23" t="s">
        <v>82</v>
      </c>
      <c r="C55" s="50">
        <v>60</v>
      </c>
      <c r="D55" s="50">
        <v>28</v>
      </c>
      <c r="E55" s="50">
        <v>10</v>
      </c>
      <c r="F55" s="50">
        <v>15</v>
      </c>
      <c r="G55" s="50">
        <v>0</v>
      </c>
      <c r="H55" s="50">
        <v>0</v>
      </c>
      <c r="I55" s="50">
        <v>4</v>
      </c>
      <c r="J55" s="50">
        <v>1</v>
      </c>
      <c r="K55" s="50">
        <v>0</v>
      </c>
      <c r="L55" s="50">
        <v>0</v>
      </c>
      <c r="M55" s="50">
        <v>78</v>
      </c>
      <c r="N55" s="50">
        <v>0</v>
      </c>
      <c r="O55" s="15">
        <f t="shared" si="0"/>
        <v>118</v>
      </c>
      <c r="P55" s="15">
        <f t="shared" si="1"/>
        <v>196</v>
      </c>
      <c r="R55" s="8"/>
      <c r="T55"/>
    </row>
    <row r="56" spans="2:20" ht="23.1" customHeight="1" x14ac:dyDescent="0.25">
      <c r="B56" s="23" t="s">
        <v>83</v>
      </c>
      <c r="C56" s="50">
        <v>39</v>
      </c>
      <c r="D56" s="50">
        <v>35</v>
      </c>
      <c r="E56" s="50">
        <v>7</v>
      </c>
      <c r="F56" s="50">
        <v>5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60</v>
      </c>
      <c r="N56" s="50">
        <v>0</v>
      </c>
      <c r="O56" s="15">
        <f t="shared" si="0"/>
        <v>87</v>
      </c>
      <c r="P56" s="15">
        <f t="shared" si="1"/>
        <v>147</v>
      </c>
      <c r="R56" s="8"/>
      <c r="T56"/>
    </row>
    <row r="57" spans="2:20" ht="23.1" customHeight="1" x14ac:dyDescent="0.25">
      <c r="B57" s="23" t="s">
        <v>84</v>
      </c>
      <c r="C57" s="50">
        <v>46</v>
      </c>
      <c r="D57" s="50">
        <v>25</v>
      </c>
      <c r="E57" s="50">
        <v>5</v>
      </c>
      <c r="F57" s="50">
        <v>6</v>
      </c>
      <c r="G57" s="50">
        <v>1</v>
      </c>
      <c r="H57" s="50">
        <v>0</v>
      </c>
      <c r="I57" s="50">
        <v>0</v>
      </c>
      <c r="J57" s="50">
        <v>1</v>
      </c>
      <c r="K57" s="50">
        <v>1</v>
      </c>
      <c r="L57" s="50">
        <v>0</v>
      </c>
      <c r="M57" s="50">
        <v>58</v>
      </c>
      <c r="N57" s="50">
        <v>0</v>
      </c>
      <c r="O57" s="15">
        <f t="shared" si="0"/>
        <v>85</v>
      </c>
      <c r="P57" s="15">
        <f t="shared" si="1"/>
        <v>143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3435</v>
      </c>
      <c r="D58" s="16">
        <f t="shared" si="21"/>
        <v>2012</v>
      </c>
      <c r="E58" s="16">
        <f t="shared" si="21"/>
        <v>472</v>
      </c>
      <c r="F58" s="16">
        <f t="shared" si="21"/>
        <v>402</v>
      </c>
      <c r="G58" s="16">
        <f t="shared" si="21"/>
        <v>33</v>
      </c>
      <c r="H58" s="16">
        <f t="shared" si="21"/>
        <v>5</v>
      </c>
      <c r="I58" s="16">
        <f t="shared" si="21"/>
        <v>194</v>
      </c>
      <c r="J58" s="16">
        <f t="shared" si="21"/>
        <v>56</v>
      </c>
      <c r="K58" s="16">
        <f t="shared" si="21"/>
        <v>14</v>
      </c>
      <c r="L58" s="16">
        <f t="shared" si="21"/>
        <v>5</v>
      </c>
      <c r="M58" s="16">
        <f t="shared" si="21"/>
        <v>3400</v>
      </c>
      <c r="N58" s="16">
        <f t="shared" si="21"/>
        <v>1</v>
      </c>
      <c r="O58" s="16">
        <f t="shared" si="21"/>
        <v>6629</v>
      </c>
      <c r="P58" s="16">
        <f t="shared" si="21"/>
        <v>10029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0.34250673048160335</v>
      </c>
      <c r="D59" s="43">
        <f t="shared" si="22"/>
        <v>0.20061820719912254</v>
      </c>
      <c r="E59" s="43">
        <f t="shared" si="22"/>
        <v>4.7063515804167913E-2</v>
      </c>
      <c r="F59" s="43">
        <f t="shared" si="22"/>
        <v>4.0083757104397245E-2</v>
      </c>
      <c r="G59" s="43">
        <f t="shared" si="22"/>
        <v>3.290457672749028E-3</v>
      </c>
      <c r="H59" s="43">
        <f t="shared" si="22"/>
        <v>4.9855419284076182E-4</v>
      </c>
      <c r="I59" s="43">
        <f t="shared" si="22"/>
        <v>1.9343902682221557E-2</v>
      </c>
      <c r="J59" s="43">
        <f t="shared" si="22"/>
        <v>5.583806959816532E-3</v>
      </c>
      <c r="K59" s="43">
        <f t="shared" si="22"/>
        <v>1.395951739954133E-3</v>
      </c>
      <c r="L59" s="43">
        <f t="shared" si="22"/>
        <v>4.9855419284076182E-4</v>
      </c>
      <c r="M59" s="43">
        <f t="shared" si="22"/>
        <v>0.33901685113171803</v>
      </c>
      <c r="N59" s="43">
        <f t="shared" si="22"/>
        <v>9.9710838568152355E-5</v>
      </c>
      <c r="R59" s="8"/>
      <c r="T59"/>
    </row>
    <row r="60" spans="2:20" ht="23.1" customHeight="1" x14ac:dyDescent="0.25">
      <c r="B60" s="42" t="s">
        <v>94</v>
      </c>
      <c r="C60" s="44">
        <f>C58/$O$58</f>
        <v>0.51817770402775687</v>
      </c>
      <c r="D60" s="44">
        <f t="shared" ref="D60:N60" si="23">D58/$O$58</f>
        <v>0.30351485895308494</v>
      </c>
      <c r="E60" s="44">
        <f t="shared" si="23"/>
        <v>7.1202292955196866E-2</v>
      </c>
      <c r="F60" s="44">
        <f t="shared" si="23"/>
        <v>6.0642630864383769E-2</v>
      </c>
      <c r="G60" s="44">
        <f t="shared" si="23"/>
        <v>4.9781264142404582E-3</v>
      </c>
      <c r="H60" s="44">
        <f t="shared" si="23"/>
        <v>7.5426157791522099E-4</v>
      </c>
      <c r="I60" s="44">
        <f t="shared" si="23"/>
        <v>2.9265349223110575E-2</v>
      </c>
      <c r="J60" s="44">
        <f t="shared" si="23"/>
        <v>8.4477296726504746E-3</v>
      </c>
      <c r="K60" s="44">
        <f t="shared" si="23"/>
        <v>2.1119324181626186E-3</v>
      </c>
      <c r="L60" s="44">
        <f t="shared" si="23"/>
        <v>7.5426157791522099E-4</v>
      </c>
      <c r="M60" s="44"/>
      <c r="N60" s="44">
        <f t="shared" si="23"/>
        <v>1.5085231558304419E-4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H36" zoomScale="58" zoomScaleSheetLayoutView="58" workbookViewId="0">
      <selection activeCell="AB77" sqref="AB7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'04.08 Naalya-Ntinda'!C3:G3</f>
        <v>MCC - C1 - STN38 - NAALYA EAST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7" t="s">
        <v>162</v>
      </c>
      <c r="E5" s="68"/>
      <c r="F5" s="41" t="s">
        <v>1</v>
      </c>
      <c r="G5" s="65" t="str">
        <f>'04.08 Ntinda-Naalya'!G5:H5</f>
        <v>NAALYA ROUND ABOUT</v>
      </c>
      <c r="H5" s="66"/>
      <c r="I5" s="14"/>
      <c r="J5" s="2" t="s">
        <v>5</v>
      </c>
      <c r="K5" s="65" t="str">
        <f>'04.08 Ntinda-Naalya'!K5:L5</f>
        <v>HARRIET N/NASSIWA A/MUTE C/PHOEBY/KAZIBWE J/NAKAYE J.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'04.08 Ntinda-Naalya'!D6:E6</f>
        <v>NTINDA</v>
      </c>
      <c r="E6" s="66"/>
      <c r="F6" s="2" t="s">
        <v>2</v>
      </c>
      <c r="G6" s="65" t="str">
        <f>'04.08 Ntinda-Naalya'!G6:H6</f>
        <v>NAALYA</v>
      </c>
      <c r="H6" s="66"/>
      <c r="J6" s="2" t="s">
        <v>21</v>
      </c>
      <c r="K6" s="65" t="str">
        <f>'04.08 Ntinda-Naalya'!K6:L6</f>
        <v>STEVEN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AVERAGE('29.07 Ntinda-Naalya'!C10,'30.07 Ntinda-Naalya'!C10,'31.07 Ntinda-Naalya'!C10,'02.08 Ntinda-Naalya'!C10,'01.08 Ntinda-Naalya 24h'!C10,'03.08 Ntinda-Naalya 24h'!C10,'04.08 Ntinda-Naalya'!C10)</f>
        <v>77.428571428571431</v>
      </c>
      <c r="D10" s="49">
        <f>AVERAGE('29.07 Ntinda-Naalya'!D10,'30.07 Ntinda-Naalya'!D10,'31.07 Ntinda-Naalya'!D10,'02.08 Ntinda-Naalya'!D10,'01.08 Ntinda-Naalya 24h'!D10,'03.08 Ntinda-Naalya 24h'!D10,'04.08 Ntinda-Naalya'!D10)</f>
        <v>8.8571428571428577</v>
      </c>
      <c r="E10" s="49">
        <f>AVERAGE('29.07 Ntinda-Naalya'!E10,'30.07 Ntinda-Naalya'!E10,'31.07 Ntinda-Naalya'!E10,'02.08 Ntinda-Naalya'!E10,'01.08 Ntinda-Naalya 24h'!E10,'03.08 Ntinda-Naalya 24h'!E10,'04.08 Ntinda-Naalya'!E10)</f>
        <v>2.8571428571428572</v>
      </c>
      <c r="F10" s="49">
        <f>AVERAGE('29.07 Ntinda-Naalya'!F10,'30.07 Ntinda-Naalya'!F10,'31.07 Ntinda-Naalya'!F10,'02.08 Ntinda-Naalya'!F10,'01.08 Ntinda-Naalya 24h'!F10,'03.08 Ntinda-Naalya 24h'!F10,'04.08 Ntinda-Naalya'!F10)</f>
        <v>5.7142857142857144</v>
      </c>
      <c r="G10" s="49">
        <f>AVERAGE('29.07 Ntinda-Naalya'!G10,'30.07 Ntinda-Naalya'!G10,'31.07 Ntinda-Naalya'!G10,'02.08 Ntinda-Naalya'!G10,'01.08 Ntinda-Naalya 24h'!G10,'03.08 Ntinda-Naalya 24h'!G10,'04.08 Ntinda-Naalya'!G10)</f>
        <v>0</v>
      </c>
      <c r="H10" s="49">
        <f>AVERAGE('29.07 Ntinda-Naalya'!H10,'30.07 Ntinda-Naalya'!H10,'31.07 Ntinda-Naalya'!H10,'02.08 Ntinda-Naalya'!H10,'01.08 Ntinda-Naalya 24h'!H10,'03.08 Ntinda-Naalya 24h'!H10,'04.08 Ntinda-Naalya'!H10)</f>
        <v>0.14285714285714285</v>
      </c>
      <c r="I10" s="49">
        <f>AVERAGE('29.07 Ntinda-Naalya'!I10,'30.07 Ntinda-Naalya'!I10,'31.07 Ntinda-Naalya'!I10,'02.08 Ntinda-Naalya'!I10,'01.08 Ntinda-Naalya 24h'!I10,'03.08 Ntinda-Naalya 24h'!I10,'04.08 Ntinda-Naalya'!I10)</f>
        <v>0.2857142857142857</v>
      </c>
      <c r="J10" s="49">
        <f>AVERAGE('29.07 Ntinda-Naalya'!J10,'30.07 Ntinda-Naalya'!J10,'31.07 Ntinda-Naalya'!J10,'02.08 Ntinda-Naalya'!J10,'01.08 Ntinda-Naalya 24h'!J10,'03.08 Ntinda-Naalya 24h'!J10,'04.08 Ntinda-Naalya'!J10)</f>
        <v>0.14285714285714285</v>
      </c>
      <c r="K10" s="49">
        <f>AVERAGE('29.07 Ntinda-Naalya'!K10,'30.07 Ntinda-Naalya'!K10,'31.07 Ntinda-Naalya'!K10,'02.08 Ntinda-Naalya'!K10,'01.08 Ntinda-Naalya 24h'!K10,'03.08 Ntinda-Naalya 24h'!K10,'04.08 Ntinda-Naalya'!K10)</f>
        <v>0.14285714285714285</v>
      </c>
      <c r="L10" s="49">
        <f>AVERAGE('29.07 Ntinda-Naalya'!L10,'30.07 Ntinda-Naalya'!L10,'31.07 Ntinda-Naalya'!L10,'02.08 Ntinda-Naalya'!L10,'01.08 Ntinda-Naalya 24h'!L10,'03.08 Ntinda-Naalya 24h'!L10,'04.08 Ntinda-Naalya'!L10)</f>
        <v>0.14285714285714285</v>
      </c>
      <c r="M10" s="49">
        <f>AVERAGE('29.07 Ntinda-Naalya'!M10,'30.07 Ntinda-Naalya'!M10,'31.07 Ntinda-Naalya'!M10,'02.08 Ntinda-Naalya'!M10,'01.08 Ntinda-Naalya 24h'!M10,'03.08 Ntinda-Naalya 24h'!M10,'04.08 Ntinda-Naalya'!M10)</f>
        <v>29.142857142857142</v>
      </c>
      <c r="N10" s="49">
        <f>AVERAGE('29.07 Ntinda-Naalya'!N10,'30.07 Ntinda-Naalya'!N10,'31.07 Ntinda-Naalya'!N10,'02.08 Ntinda-Naalya'!N10,'01.08 Ntinda-Naalya 24h'!N10,'03.08 Ntinda-Naalya 24h'!N10,'04.08 Ntinda-Naalya'!N10)</f>
        <v>0</v>
      </c>
      <c r="O10" s="15">
        <f t="shared" ref="O10:O58" si="0">SUM(C10:L10,N10)</f>
        <v>95.714285714285708</v>
      </c>
      <c r="P10" s="15">
        <f t="shared" ref="P10:P58" si="1">SUM(C10:N10)</f>
        <v>124.85714285714285</v>
      </c>
      <c r="R10" s="1" t="s">
        <v>6</v>
      </c>
      <c r="S10" s="17">
        <f t="shared" ref="S10:AF10" si="2">SUM(C10:C13)</f>
        <v>375.28571428571433</v>
      </c>
      <c r="T10" s="17">
        <f t="shared" si="2"/>
        <v>63.714285714285708</v>
      </c>
      <c r="U10" s="17">
        <f t="shared" si="2"/>
        <v>8.5714285714285712</v>
      </c>
      <c r="V10" s="17">
        <f t="shared" si="2"/>
        <v>22.428571428571427</v>
      </c>
      <c r="W10" s="17">
        <f t="shared" si="2"/>
        <v>0.42857142857142855</v>
      </c>
      <c r="X10" s="17">
        <f t="shared" si="2"/>
        <v>0.14285714285714285</v>
      </c>
      <c r="Y10" s="17">
        <f t="shared" si="2"/>
        <v>5.1428571428571432</v>
      </c>
      <c r="Z10" s="17">
        <f t="shared" si="2"/>
        <v>1.8571428571428572</v>
      </c>
      <c r="AA10" s="17">
        <f t="shared" si="2"/>
        <v>0.5714285714285714</v>
      </c>
      <c r="AB10" s="17">
        <f t="shared" si="2"/>
        <v>0.5714285714285714</v>
      </c>
      <c r="AC10" s="17">
        <f t="shared" si="2"/>
        <v>168.42857142857142</v>
      </c>
      <c r="AD10" s="17">
        <f t="shared" si="2"/>
        <v>0</v>
      </c>
      <c r="AE10" s="31">
        <f t="shared" si="2"/>
        <v>478.71428571428572</v>
      </c>
      <c r="AF10" s="31">
        <f t="shared" si="2"/>
        <v>647.14285714285711</v>
      </c>
    </row>
    <row r="11" spans="2:32" s="6" customFormat="1" ht="23.1" customHeight="1" x14ac:dyDescent="0.25">
      <c r="B11" s="23" t="s">
        <v>38</v>
      </c>
      <c r="C11" s="49">
        <f>AVERAGE('29.07 Ntinda-Naalya'!C11,'30.07 Ntinda-Naalya'!C11,'31.07 Ntinda-Naalya'!C11,'02.08 Ntinda-Naalya'!C11,'01.08 Ntinda-Naalya 24h'!C11,'03.08 Ntinda-Naalya 24h'!C11,'04.08 Ntinda-Naalya'!C11)</f>
        <v>99.571428571428569</v>
      </c>
      <c r="D11" s="49">
        <f>AVERAGE('29.07 Ntinda-Naalya'!D11,'30.07 Ntinda-Naalya'!D11,'31.07 Ntinda-Naalya'!D11,'02.08 Ntinda-Naalya'!D11,'01.08 Ntinda-Naalya 24h'!D11,'03.08 Ntinda-Naalya 24h'!D11,'04.08 Ntinda-Naalya'!D11)</f>
        <v>16.428571428571427</v>
      </c>
      <c r="E11" s="49">
        <f>AVERAGE('29.07 Ntinda-Naalya'!E11,'30.07 Ntinda-Naalya'!E11,'31.07 Ntinda-Naalya'!E11,'02.08 Ntinda-Naalya'!E11,'01.08 Ntinda-Naalya 24h'!E11,'03.08 Ntinda-Naalya 24h'!E11,'04.08 Ntinda-Naalya'!E11)</f>
        <v>1.5714285714285714</v>
      </c>
      <c r="F11" s="49">
        <f>AVERAGE('29.07 Ntinda-Naalya'!F11,'30.07 Ntinda-Naalya'!F11,'31.07 Ntinda-Naalya'!F11,'02.08 Ntinda-Naalya'!F11,'01.08 Ntinda-Naalya 24h'!F11,'03.08 Ntinda-Naalya 24h'!F11,'04.08 Ntinda-Naalya'!F11)</f>
        <v>6</v>
      </c>
      <c r="G11" s="49">
        <f>AVERAGE('29.07 Ntinda-Naalya'!G11,'30.07 Ntinda-Naalya'!G11,'31.07 Ntinda-Naalya'!G11,'02.08 Ntinda-Naalya'!G11,'01.08 Ntinda-Naalya 24h'!G11,'03.08 Ntinda-Naalya 24h'!G11,'04.08 Ntinda-Naalya'!G11)</f>
        <v>0</v>
      </c>
      <c r="H11" s="49">
        <f>AVERAGE('29.07 Ntinda-Naalya'!H11,'30.07 Ntinda-Naalya'!H11,'31.07 Ntinda-Naalya'!H11,'02.08 Ntinda-Naalya'!H11,'01.08 Ntinda-Naalya 24h'!H11,'03.08 Ntinda-Naalya 24h'!H11,'04.08 Ntinda-Naalya'!H11)</f>
        <v>0</v>
      </c>
      <c r="I11" s="49">
        <f>AVERAGE('29.07 Ntinda-Naalya'!I11,'30.07 Ntinda-Naalya'!I11,'31.07 Ntinda-Naalya'!I11,'02.08 Ntinda-Naalya'!I11,'01.08 Ntinda-Naalya 24h'!I11,'03.08 Ntinda-Naalya 24h'!I11,'04.08 Ntinda-Naalya'!I11)</f>
        <v>1.2857142857142858</v>
      </c>
      <c r="J11" s="49">
        <f>AVERAGE('29.07 Ntinda-Naalya'!J11,'30.07 Ntinda-Naalya'!J11,'31.07 Ntinda-Naalya'!J11,'02.08 Ntinda-Naalya'!J11,'01.08 Ntinda-Naalya 24h'!J11,'03.08 Ntinda-Naalya 24h'!J11,'04.08 Ntinda-Naalya'!J11)</f>
        <v>0.8571428571428571</v>
      </c>
      <c r="K11" s="49">
        <f>AVERAGE('29.07 Ntinda-Naalya'!K11,'30.07 Ntinda-Naalya'!K11,'31.07 Ntinda-Naalya'!K11,'02.08 Ntinda-Naalya'!K11,'01.08 Ntinda-Naalya 24h'!K11,'03.08 Ntinda-Naalya 24h'!K11,'04.08 Ntinda-Naalya'!K11)</f>
        <v>0</v>
      </c>
      <c r="L11" s="49">
        <f>AVERAGE('29.07 Ntinda-Naalya'!L11,'30.07 Ntinda-Naalya'!L11,'31.07 Ntinda-Naalya'!L11,'02.08 Ntinda-Naalya'!L11,'01.08 Ntinda-Naalya 24h'!L11,'03.08 Ntinda-Naalya 24h'!L11,'04.08 Ntinda-Naalya'!L11)</f>
        <v>0</v>
      </c>
      <c r="M11" s="49">
        <f>AVERAGE('29.07 Ntinda-Naalya'!M11,'30.07 Ntinda-Naalya'!M11,'31.07 Ntinda-Naalya'!M11,'02.08 Ntinda-Naalya'!M11,'01.08 Ntinda-Naalya 24h'!M11,'03.08 Ntinda-Naalya 24h'!M11,'04.08 Ntinda-Naalya'!M11)</f>
        <v>36</v>
      </c>
      <c r="N11" s="49">
        <f>AVERAGE('29.07 Ntinda-Naalya'!N11,'30.07 Ntinda-Naalya'!N11,'31.07 Ntinda-Naalya'!N11,'02.08 Ntinda-Naalya'!N11,'01.08 Ntinda-Naalya 24h'!N11,'03.08 Ntinda-Naalya 24h'!N11,'04.08 Ntinda-Naalya'!N11)</f>
        <v>0</v>
      </c>
      <c r="O11" s="15">
        <f t="shared" si="0"/>
        <v>125.71428571428572</v>
      </c>
      <c r="P11" s="15">
        <f t="shared" si="1"/>
        <v>161.71428571428572</v>
      </c>
      <c r="R11" s="1" t="s">
        <v>7</v>
      </c>
      <c r="S11" s="17">
        <f t="shared" ref="S11:AF11" si="3">SUM(C14:C17)</f>
        <v>286.14285714285717</v>
      </c>
      <c r="T11" s="17">
        <f t="shared" si="3"/>
        <v>75.714285714285722</v>
      </c>
      <c r="U11" s="17">
        <f t="shared" si="3"/>
        <v>9.8571428571428577</v>
      </c>
      <c r="V11" s="17">
        <f t="shared" si="3"/>
        <v>36.285714285714285</v>
      </c>
      <c r="W11" s="17">
        <f t="shared" si="3"/>
        <v>1.5714285714285712</v>
      </c>
      <c r="X11" s="17">
        <f t="shared" si="3"/>
        <v>0.71428571428571419</v>
      </c>
      <c r="Y11" s="17">
        <f t="shared" si="3"/>
        <v>9</v>
      </c>
      <c r="Z11" s="17">
        <f t="shared" si="3"/>
        <v>4</v>
      </c>
      <c r="AA11" s="17">
        <f t="shared" si="3"/>
        <v>1.2857142857142856</v>
      </c>
      <c r="AB11" s="17">
        <f t="shared" si="3"/>
        <v>0.2857142857142857</v>
      </c>
      <c r="AC11" s="17">
        <f t="shared" si="3"/>
        <v>244.85714285714286</v>
      </c>
      <c r="AD11" s="17">
        <f t="shared" si="3"/>
        <v>0.14285714285714285</v>
      </c>
      <c r="AE11" s="31">
        <f t="shared" si="3"/>
        <v>425.00000000000006</v>
      </c>
      <c r="AF11" s="31">
        <f t="shared" si="3"/>
        <v>669.85714285714289</v>
      </c>
    </row>
    <row r="12" spans="2:32" ht="23.1" customHeight="1" x14ac:dyDescent="0.25">
      <c r="B12" s="23" t="s">
        <v>39</v>
      </c>
      <c r="C12" s="49">
        <f>AVERAGE('29.07 Ntinda-Naalya'!C12,'30.07 Ntinda-Naalya'!C12,'31.07 Ntinda-Naalya'!C12,'02.08 Ntinda-Naalya'!C12,'01.08 Ntinda-Naalya 24h'!C12,'03.08 Ntinda-Naalya 24h'!C12,'04.08 Ntinda-Naalya'!C12)</f>
        <v>107.85714285714286</v>
      </c>
      <c r="D12" s="49">
        <f>AVERAGE('29.07 Ntinda-Naalya'!D12,'30.07 Ntinda-Naalya'!D12,'31.07 Ntinda-Naalya'!D12,'02.08 Ntinda-Naalya'!D12,'01.08 Ntinda-Naalya 24h'!D12,'03.08 Ntinda-Naalya 24h'!D12,'04.08 Ntinda-Naalya'!D12)</f>
        <v>19.285714285714285</v>
      </c>
      <c r="E12" s="49">
        <f>AVERAGE('29.07 Ntinda-Naalya'!E12,'30.07 Ntinda-Naalya'!E12,'31.07 Ntinda-Naalya'!E12,'02.08 Ntinda-Naalya'!E12,'01.08 Ntinda-Naalya 24h'!E12,'03.08 Ntinda-Naalya 24h'!E12,'04.08 Ntinda-Naalya'!E12)</f>
        <v>1.7142857142857142</v>
      </c>
      <c r="F12" s="49">
        <f>AVERAGE('29.07 Ntinda-Naalya'!F12,'30.07 Ntinda-Naalya'!F12,'31.07 Ntinda-Naalya'!F12,'02.08 Ntinda-Naalya'!F12,'01.08 Ntinda-Naalya 24h'!F12,'03.08 Ntinda-Naalya 24h'!F12,'04.08 Ntinda-Naalya'!F12)</f>
        <v>5.5714285714285712</v>
      </c>
      <c r="G12" s="49">
        <f>AVERAGE('29.07 Ntinda-Naalya'!G12,'30.07 Ntinda-Naalya'!G12,'31.07 Ntinda-Naalya'!G12,'02.08 Ntinda-Naalya'!G12,'01.08 Ntinda-Naalya 24h'!G12,'03.08 Ntinda-Naalya 24h'!G12,'04.08 Ntinda-Naalya'!G12)</f>
        <v>0</v>
      </c>
      <c r="H12" s="49">
        <f>AVERAGE('29.07 Ntinda-Naalya'!H12,'30.07 Ntinda-Naalya'!H12,'31.07 Ntinda-Naalya'!H12,'02.08 Ntinda-Naalya'!H12,'01.08 Ntinda-Naalya 24h'!H12,'03.08 Ntinda-Naalya 24h'!H12,'04.08 Ntinda-Naalya'!H12)</f>
        <v>0</v>
      </c>
      <c r="I12" s="49">
        <f>AVERAGE('29.07 Ntinda-Naalya'!I12,'30.07 Ntinda-Naalya'!I12,'31.07 Ntinda-Naalya'!I12,'02.08 Ntinda-Naalya'!I12,'01.08 Ntinda-Naalya 24h'!I12,'03.08 Ntinda-Naalya 24h'!I12,'04.08 Ntinda-Naalya'!I12)</f>
        <v>1.2857142857142858</v>
      </c>
      <c r="J12" s="49">
        <f>AVERAGE('29.07 Ntinda-Naalya'!J12,'30.07 Ntinda-Naalya'!J12,'31.07 Ntinda-Naalya'!J12,'02.08 Ntinda-Naalya'!J12,'01.08 Ntinda-Naalya 24h'!J12,'03.08 Ntinda-Naalya 24h'!J12,'04.08 Ntinda-Naalya'!J12)</f>
        <v>0.42857142857142855</v>
      </c>
      <c r="K12" s="49">
        <f>AVERAGE('29.07 Ntinda-Naalya'!K12,'30.07 Ntinda-Naalya'!K12,'31.07 Ntinda-Naalya'!K12,'02.08 Ntinda-Naalya'!K12,'01.08 Ntinda-Naalya 24h'!K12,'03.08 Ntinda-Naalya 24h'!K12,'04.08 Ntinda-Naalya'!K12)</f>
        <v>0.14285714285714285</v>
      </c>
      <c r="L12" s="49">
        <f>AVERAGE('29.07 Ntinda-Naalya'!L12,'30.07 Ntinda-Naalya'!L12,'31.07 Ntinda-Naalya'!L12,'02.08 Ntinda-Naalya'!L12,'01.08 Ntinda-Naalya 24h'!L12,'03.08 Ntinda-Naalya 24h'!L12,'04.08 Ntinda-Naalya'!L12)</f>
        <v>0.2857142857142857</v>
      </c>
      <c r="M12" s="49">
        <f>AVERAGE('29.07 Ntinda-Naalya'!M12,'30.07 Ntinda-Naalya'!M12,'31.07 Ntinda-Naalya'!M12,'02.08 Ntinda-Naalya'!M12,'01.08 Ntinda-Naalya 24h'!M12,'03.08 Ntinda-Naalya 24h'!M12,'04.08 Ntinda-Naalya'!M12)</f>
        <v>46</v>
      </c>
      <c r="N12" s="49">
        <f>AVERAGE('29.07 Ntinda-Naalya'!N12,'30.07 Ntinda-Naalya'!N12,'31.07 Ntinda-Naalya'!N12,'02.08 Ntinda-Naalya'!N12,'01.08 Ntinda-Naalya 24h'!N12,'03.08 Ntinda-Naalya 24h'!N12,'04.08 Ntinda-Naalya'!N12)</f>
        <v>0</v>
      </c>
      <c r="O12" s="15">
        <f t="shared" si="0"/>
        <v>136.57142857142856</v>
      </c>
      <c r="P12" s="15">
        <f t="shared" si="1"/>
        <v>182.57142857142856</v>
      </c>
      <c r="R12" s="1" t="s">
        <v>8</v>
      </c>
      <c r="S12" s="17">
        <f t="shared" ref="S12:AF12" si="4">SUM(C18:C21)</f>
        <v>250.42857142857144</v>
      </c>
      <c r="T12" s="17">
        <f t="shared" si="4"/>
        <v>68.857142857142861</v>
      </c>
      <c r="U12" s="17">
        <f t="shared" si="4"/>
        <v>16.285714285714285</v>
      </c>
      <c r="V12" s="17">
        <f t="shared" si="4"/>
        <v>30.428571428571427</v>
      </c>
      <c r="W12" s="17">
        <f t="shared" si="4"/>
        <v>1.2857142857142856</v>
      </c>
      <c r="X12" s="17">
        <f t="shared" si="4"/>
        <v>1</v>
      </c>
      <c r="Y12" s="17">
        <f t="shared" si="4"/>
        <v>15.857142857142858</v>
      </c>
      <c r="Z12" s="17">
        <f t="shared" si="4"/>
        <v>5.2857142857142856</v>
      </c>
      <c r="AA12" s="17">
        <f t="shared" si="4"/>
        <v>1.7142857142857144</v>
      </c>
      <c r="AB12" s="17">
        <f t="shared" si="4"/>
        <v>0.14285714285714285</v>
      </c>
      <c r="AC12" s="17">
        <f t="shared" si="4"/>
        <v>271.42857142857144</v>
      </c>
      <c r="AD12" s="17">
        <f t="shared" si="4"/>
        <v>0</v>
      </c>
      <c r="AE12" s="31">
        <f t="shared" si="4"/>
        <v>391.28571428571428</v>
      </c>
      <c r="AF12" s="31">
        <f t="shared" si="4"/>
        <v>662.71428571428567</v>
      </c>
    </row>
    <row r="13" spans="2:32" ht="23.1" customHeight="1" x14ac:dyDescent="0.25">
      <c r="B13" s="23" t="s">
        <v>40</v>
      </c>
      <c r="C13" s="49">
        <f>AVERAGE('29.07 Ntinda-Naalya'!C13,'30.07 Ntinda-Naalya'!C13,'31.07 Ntinda-Naalya'!C13,'02.08 Ntinda-Naalya'!C13,'01.08 Ntinda-Naalya 24h'!C13,'03.08 Ntinda-Naalya 24h'!C13,'04.08 Ntinda-Naalya'!C13)</f>
        <v>90.428571428571431</v>
      </c>
      <c r="D13" s="49">
        <f>AVERAGE('29.07 Ntinda-Naalya'!D13,'30.07 Ntinda-Naalya'!D13,'31.07 Ntinda-Naalya'!D13,'02.08 Ntinda-Naalya'!D13,'01.08 Ntinda-Naalya 24h'!D13,'03.08 Ntinda-Naalya 24h'!D13,'04.08 Ntinda-Naalya'!D13)</f>
        <v>19.142857142857142</v>
      </c>
      <c r="E13" s="49">
        <f>AVERAGE('29.07 Ntinda-Naalya'!E13,'30.07 Ntinda-Naalya'!E13,'31.07 Ntinda-Naalya'!E13,'02.08 Ntinda-Naalya'!E13,'01.08 Ntinda-Naalya 24h'!E13,'03.08 Ntinda-Naalya 24h'!E13,'04.08 Ntinda-Naalya'!E13)</f>
        <v>2.4285714285714284</v>
      </c>
      <c r="F13" s="49">
        <f>AVERAGE('29.07 Ntinda-Naalya'!F13,'30.07 Ntinda-Naalya'!F13,'31.07 Ntinda-Naalya'!F13,'02.08 Ntinda-Naalya'!F13,'01.08 Ntinda-Naalya 24h'!F13,'03.08 Ntinda-Naalya 24h'!F13,'04.08 Ntinda-Naalya'!F13)</f>
        <v>5.1428571428571432</v>
      </c>
      <c r="G13" s="49">
        <f>AVERAGE('29.07 Ntinda-Naalya'!G13,'30.07 Ntinda-Naalya'!G13,'31.07 Ntinda-Naalya'!G13,'02.08 Ntinda-Naalya'!G13,'01.08 Ntinda-Naalya 24h'!G13,'03.08 Ntinda-Naalya 24h'!G13,'04.08 Ntinda-Naalya'!G13)</f>
        <v>0.42857142857142855</v>
      </c>
      <c r="H13" s="49">
        <f>AVERAGE('29.07 Ntinda-Naalya'!H13,'30.07 Ntinda-Naalya'!H13,'31.07 Ntinda-Naalya'!H13,'02.08 Ntinda-Naalya'!H13,'01.08 Ntinda-Naalya 24h'!H13,'03.08 Ntinda-Naalya 24h'!H13,'04.08 Ntinda-Naalya'!H13)</f>
        <v>0</v>
      </c>
      <c r="I13" s="49">
        <f>AVERAGE('29.07 Ntinda-Naalya'!I13,'30.07 Ntinda-Naalya'!I13,'31.07 Ntinda-Naalya'!I13,'02.08 Ntinda-Naalya'!I13,'01.08 Ntinda-Naalya 24h'!I13,'03.08 Ntinda-Naalya 24h'!I13,'04.08 Ntinda-Naalya'!I13)</f>
        <v>2.2857142857142856</v>
      </c>
      <c r="J13" s="49">
        <f>AVERAGE('29.07 Ntinda-Naalya'!J13,'30.07 Ntinda-Naalya'!J13,'31.07 Ntinda-Naalya'!J13,'02.08 Ntinda-Naalya'!J13,'01.08 Ntinda-Naalya 24h'!J13,'03.08 Ntinda-Naalya 24h'!J13,'04.08 Ntinda-Naalya'!J13)</f>
        <v>0.42857142857142855</v>
      </c>
      <c r="K13" s="49">
        <f>AVERAGE('29.07 Ntinda-Naalya'!K13,'30.07 Ntinda-Naalya'!K13,'31.07 Ntinda-Naalya'!K13,'02.08 Ntinda-Naalya'!K13,'01.08 Ntinda-Naalya 24h'!K13,'03.08 Ntinda-Naalya 24h'!K13,'04.08 Ntinda-Naalya'!K13)</f>
        <v>0.2857142857142857</v>
      </c>
      <c r="L13" s="49">
        <f>AVERAGE('29.07 Ntinda-Naalya'!L13,'30.07 Ntinda-Naalya'!L13,'31.07 Ntinda-Naalya'!L13,'02.08 Ntinda-Naalya'!L13,'01.08 Ntinda-Naalya 24h'!L13,'03.08 Ntinda-Naalya 24h'!L13,'04.08 Ntinda-Naalya'!L13)</f>
        <v>0.14285714285714285</v>
      </c>
      <c r="M13" s="49">
        <f>AVERAGE('29.07 Ntinda-Naalya'!M13,'30.07 Ntinda-Naalya'!M13,'31.07 Ntinda-Naalya'!M13,'02.08 Ntinda-Naalya'!M13,'01.08 Ntinda-Naalya 24h'!M13,'03.08 Ntinda-Naalya 24h'!M13,'04.08 Ntinda-Naalya'!M13)</f>
        <v>57.285714285714285</v>
      </c>
      <c r="N13" s="49">
        <f>AVERAGE('29.07 Ntinda-Naalya'!N13,'30.07 Ntinda-Naalya'!N13,'31.07 Ntinda-Naalya'!N13,'02.08 Ntinda-Naalya'!N13,'01.08 Ntinda-Naalya 24h'!N13,'03.08 Ntinda-Naalya 24h'!N13,'04.08 Ntinda-Naalya'!N13)</f>
        <v>0</v>
      </c>
      <c r="O13" s="15">
        <f t="shared" si="0"/>
        <v>120.71428571428572</v>
      </c>
      <c r="P13" s="15">
        <f t="shared" si="1"/>
        <v>178</v>
      </c>
      <c r="R13" s="1" t="s">
        <v>9</v>
      </c>
      <c r="S13" s="17">
        <f t="shared" ref="S13:AF13" si="5">SUM(C22:C25)</f>
        <v>284.42857142857144</v>
      </c>
      <c r="T13" s="17">
        <f t="shared" si="5"/>
        <v>72.285714285714292</v>
      </c>
      <c r="U13" s="17">
        <f t="shared" si="5"/>
        <v>17.571428571428573</v>
      </c>
      <c r="V13" s="17">
        <f t="shared" si="5"/>
        <v>25.428571428571431</v>
      </c>
      <c r="W13" s="17">
        <f t="shared" si="5"/>
        <v>1.7142857142857142</v>
      </c>
      <c r="X13" s="17">
        <f t="shared" si="5"/>
        <v>0.71428571428571419</v>
      </c>
      <c r="Y13" s="17">
        <f t="shared" si="5"/>
        <v>18.857142857142858</v>
      </c>
      <c r="Z13" s="17">
        <f t="shared" si="5"/>
        <v>6</v>
      </c>
      <c r="AA13" s="17">
        <f t="shared" si="5"/>
        <v>1.2857142857142856</v>
      </c>
      <c r="AB13" s="17">
        <f t="shared" si="5"/>
        <v>0.71428571428571419</v>
      </c>
      <c r="AC13" s="17">
        <f t="shared" si="5"/>
        <v>276.57142857142861</v>
      </c>
      <c r="AD13" s="17">
        <f t="shared" si="5"/>
        <v>0</v>
      </c>
      <c r="AE13" s="31">
        <f t="shared" si="5"/>
        <v>429</v>
      </c>
      <c r="AF13" s="31">
        <f t="shared" si="5"/>
        <v>705.57142857142856</v>
      </c>
    </row>
    <row r="14" spans="2:32" ht="23.1" customHeight="1" x14ac:dyDescent="0.25">
      <c r="B14" s="23" t="s">
        <v>41</v>
      </c>
      <c r="C14" s="49">
        <f>AVERAGE('29.07 Ntinda-Naalya'!C14,'30.07 Ntinda-Naalya'!C14,'31.07 Ntinda-Naalya'!C14,'02.08 Ntinda-Naalya'!C14,'01.08 Ntinda-Naalya 24h'!C14,'03.08 Ntinda-Naalya 24h'!C14,'04.08 Ntinda-Naalya'!C14)</f>
        <v>80.857142857142861</v>
      </c>
      <c r="D14" s="49">
        <f>AVERAGE('29.07 Ntinda-Naalya'!D14,'30.07 Ntinda-Naalya'!D14,'31.07 Ntinda-Naalya'!D14,'02.08 Ntinda-Naalya'!D14,'01.08 Ntinda-Naalya 24h'!D14,'03.08 Ntinda-Naalya 24h'!D14,'04.08 Ntinda-Naalya'!D14)</f>
        <v>16.428571428571427</v>
      </c>
      <c r="E14" s="49">
        <f>AVERAGE('29.07 Ntinda-Naalya'!E14,'30.07 Ntinda-Naalya'!E14,'31.07 Ntinda-Naalya'!E14,'02.08 Ntinda-Naalya'!E14,'01.08 Ntinda-Naalya 24h'!E14,'03.08 Ntinda-Naalya 24h'!E14,'04.08 Ntinda-Naalya'!E14)</f>
        <v>1.2857142857142858</v>
      </c>
      <c r="F14" s="49">
        <f>AVERAGE('29.07 Ntinda-Naalya'!F14,'30.07 Ntinda-Naalya'!F14,'31.07 Ntinda-Naalya'!F14,'02.08 Ntinda-Naalya'!F14,'01.08 Ntinda-Naalya 24h'!F14,'03.08 Ntinda-Naalya 24h'!F14,'04.08 Ntinda-Naalya'!F14)</f>
        <v>11.428571428571429</v>
      </c>
      <c r="G14" s="49">
        <f>AVERAGE('29.07 Ntinda-Naalya'!G14,'30.07 Ntinda-Naalya'!G14,'31.07 Ntinda-Naalya'!G14,'02.08 Ntinda-Naalya'!G14,'01.08 Ntinda-Naalya 24h'!G14,'03.08 Ntinda-Naalya 24h'!G14,'04.08 Ntinda-Naalya'!G14)</f>
        <v>0.7142857142857143</v>
      </c>
      <c r="H14" s="49">
        <f>AVERAGE('29.07 Ntinda-Naalya'!H14,'30.07 Ntinda-Naalya'!H14,'31.07 Ntinda-Naalya'!H14,'02.08 Ntinda-Naalya'!H14,'01.08 Ntinda-Naalya 24h'!H14,'03.08 Ntinda-Naalya 24h'!H14,'04.08 Ntinda-Naalya'!H14)</f>
        <v>0.14285714285714285</v>
      </c>
      <c r="I14" s="49">
        <f>AVERAGE('29.07 Ntinda-Naalya'!I14,'30.07 Ntinda-Naalya'!I14,'31.07 Ntinda-Naalya'!I14,'02.08 Ntinda-Naalya'!I14,'01.08 Ntinda-Naalya 24h'!I14,'03.08 Ntinda-Naalya 24h'!I14,'04.08 Ntinda-Naalya'!I14)</f>
        <v>2</v>
      </c>
      <c r="J14" s="49">
        <f>AVERAGE('29.07 Ntinda-Naalya'!J14,'30.07 Ntinda-Naalya'!J14,'31.07 Ntinda-Naalya'!J14,'02.08 Ntinda-Naalya'!J14,'01.08 Ntinda-Naalya 24h'!J14,'03.08 Ntinda-Naalya 24h'!J14,'04.08 Ntinda-Naalya'!J14)</f>
        <v>0.8571428571428571</v>
      </c>
      <c r="K14" s="49">
        <f>AVERAGE('29.07 Ntinda-Naalya'!K14,'30.07 Ntinda-Naalya'!K14,'31.07 Ntinda-Naalya'!K14,'02.08 Ntinda-Naalya'!K14,'01.08 Ntinda-Naalya 24h'!K14,'03.08 Ntinda-Naalya 24h'!K14,'04.08 Ntinda-Naalya'!K14)</f>
        <v>0.2857142857142857</v>
      </c>
      <c r="L14" s="49">
        <f>AVERAGE('29.07 Ntinda-Naalya'!L14,'30.07 Ntinda-Naalya'!L14,'31.07 Ntinda-Naalya'!L14,'02.08 Ntinda-Naalya'!L14,'01.08 Ntinda-Naalya 24h'!L14,'03.08 Ntinda-Naalya 24h'!L14,'04.08 Ntinda-Naalya'!L14)</f>
        <v>0</v>
      </c>
      <c r="M14" s="49">
        <f>AVERAGE('29.07 Ntinda-Naalya'!M14,'30.07 Ntinda-Naalya'!M14,'31.07 Ntinda-Naalya'!M14,'02.08 Ntinda-Naalya'!M14,'01.08 Ntinda-Naalya 24h'!M14,'03.08 Ntinda-Naalya 24h'!M14,'04.08 Ntinda-Naalya'!M14)</f>
        <v>57</v>
      </c>
      <c r="N14" s="49">
        <f>AVERAGE('29.07 Ntinda-Naalya'!N14,'30.07 Ntinda-Naalya'!N14,'31.07 Ntinda-Naalya'!N14,'02.08 Ntinda-Naalya'!N14,'01.08 Ntinda-Naalya 24h'!N14,'03.08 Ntinda-Naalya 24h'!N14,'04.08 Ntinda-Naalya'!N14)</f>
        <v>0</v>
      </c>
      <c r="O14" s="15">
        <f t="shared" si="0"/>
        <v>114.00000000000001</v>
      </c>
      <c r="P14" s="15">
        <f t="shared" si="1"/>
        <v>171</v>
      </c>
      <c r="R14" s="1" t="s">
        <v>10</v>
      </c>
      <c r="S14" s="17">
        <f t="shared" ref="S14:AF14" si="6">SUM(C26:C29)</f>
        <v>292.57142857142856</v>
      </c>
      <c r="T14" s="17">
        <f t="shared" si="6"/>
        <v>76.428571428571431</v>
      </c>
      <c r="U14" s="17">
        <f t="shared" si="6"/>
        <v>17.285714285714285</v>
      </c>
      <c r="V14" s="17">
        <f t="shared" si="6"/>
        <v>27.857142857142854</v>
      </c>
      <c r="W14" s="17">
        <f t="shared" si="6"/>
        <v>1.4285714285714284</v>
      </c>
      <c r="X14" s="17">
        <f t="shared" si="6"/>
        <v>0.5714285714285714</v>
      </c>
      <c r="Y14" s="17">
        <f t="shared" si="6"/>
        <v>16.142857142857146</v>
      </c>
      <c r="Z14" s="17">
        <f t="shared" si="6"/>
        <v>5.7142857142857144</v>
      </c>
      <c r="AA14" s="17">
        <f t="shared" si="6"/>
        <v>1.8571428571428572</v>
      </c>
      <c r="AB14" s="17">
        <f t="shared" si="6"/>
        <v>0.5714285714285714</v>
      </c>
      <c r="AC14" s="17">
        <f t="shared" si="6"/>
        <v>264.28571428571428</v>
      </c>
      <c r="AD14" s="17">
        <f t="shared" si="6"/>
        <v>0</v>
      </c>
      <c r="AE14" s="31">
        <f t="shared" si="6"/>
        <v>440.42857142857144</v>
      </c>
      <c r="AF14" s="31">
        <f t="shared" si="6"/>
        <v>704.71428571428578</v>
      </c>
    </row>
    <row r="15" spans="2:32" ht="23.1" customHeight="1" x14ac:dyDescent="0.25">
      <c r="B15" s="23" t="s">
        <v>42</v>
      </c>
      <c r="C15" s="49">
        <f>AVERAGE('29.07 Ntinda-Naalya'!C15,'30.07 Ntinda-Naalya'!C15,'31.07 Ntinda-Naalya'!C15,'02.08 Ntinda-Naalya'!C15,'01.08 Ntinda-Naalya 24h'!C15,'03.08 Ntinda-Naalya 24h'!C15,'04.08 Ntinda-Naalya'!C15)</f>
        <v>75.285714285714292</v>
      </c>
      <c r="D15" s="49">
        <f>AVERAGE('29.07 Ntinda-Naalya'!D15,'30.07 Ntinda-Naalya'!D15,'31.07 Ntinda-Naalya'!D15,'02.08 Ntinda-Naalya'!D15,'01.08 Ntinda-Naalya 24h'!D15,'03.08 Ntinda-Naalya 24h'!D15,'04.08 Ntinda-Naalya'!D15)</f>
        <v>25</v>
      </c>
      <c r="E15" s="49">
        <f>AVERAGE('29.07 Ntinda-Naalya'!E15,'30.07 Ntinda-Naalya'!E15,'31.07 Ntinda-Naalya'!E15,'02.08 Ntinda-Naalya'!E15,'01.08 Ntinda-Naalya 24h'!E15,'03.08 Ntinda-Naalya 24h'!E15,'04.08 Ntinda-Naalya'!E15)</f>
        <v>2.2857142857142856</v>
      </c>
      <c r="F15" s="49">
        <f>AVERAGE('29.07 Ntinda-Naalya'!F15,'30.07 Ntinda-Naalya'!F15,'31.07 Ntinda-Naalya'!F15,'02.08 Ntinda-Naalya'!F15,'01.08 Ntinda-Naalya 24h'!F15,'03.08 Ntinda-Naalya 24h'!F15,'04.08 Ntinda-Naalya'!F15)</f>
        <v>8.5714285714285712</v>
      </c>
      <c r="G15" s="49">
        <f>AVERAGE('29.07 Ntinda-Naalya'!G15,'30.07 Ntinda-Naalya'!G15,'31.07 Ntinda-Naalya'!G15,'02.08 Ntinda-Naalya'!G15,'01.08 Ntinda-Naalya 24h'!G15,'03.08 Ntinda-Naalya 24h'!G15,'04.08 Ntinda-Naalya'!G15)</f>
        <v>0.42857142857142855</v>
      </c>
      <c r="H15" s="49">
        <f>AVERAGE('29.07 Ntinda-Naalya'!H15,'30.07 Ntinda-Naalya'!H15,'31.07 Ntinda-Naalya'!H15,'02.08 Ntinda-Naalya'!H15,'01.08 Ntinda-Naalya 24h'!H15,'03.08 Ntinda-Naalya 24h'!H15,'04.08 Ntinda-Naalya'!H15)</f>
        <v>0.2857142857142857</v>
      </c>
      <c r="I15" s="49">
        <f>AVERAGE('29.07 Ntinda-Naalya'!I15,'30.07 Ntinda-Naalya'!I15,'31.07 Ntinda-Naalya'!I15,'02.08 Ntinda-Naalya'!I15,'01.08 Ntinda-Naalya 24h'!I15,'03.08 Ntinda-Naalya 24h'!I15,'04.08 Ntinda-Naalya'!I15)</f>
        <v>3.1428571428571428</v>
      </c>
      <c r="J15" s="49">
        <f>AVERAGE('29.07 Ntinda-Naalya'!J15,'30.07 Ntinda-Naalya'!J15,'31.07 Ntinda-Naalya'!J15,'02.08 Ntinda-Naalya'!J15,'01.08 Ntinda-Naalya 24h'!J15,'03.08 Ntinda-Naalya 24h'!J15,'04.08 Ntinda-Naalya'!J15)</f>
        <v>1.2857142857142858</v>
      </c>
      <c r="K15" s="49">
        <f>AVERAGE('29.07 Ntinda-Naalya'!K15,'30.07 Ntinda-Naalya'!K15,'31.07 Ntinda-Naalya'!K15,'02.08 Ntinda-Naalya'!K15,'01.08 Ntinda-Naalya 24h'!K15,'03.08 Ntinda-Naalya 24h'!K15,'04.08 Ntinda-Naalya'!K15)</f>
        <v>0.42857142857142855</v>
      </c>
      <c r="L15" s="49">
        <f>AVERAGE('29.07 Ntinda-Naalya'!L15,'30.07 Ntinda-Naalya'!L15,'31.07 Ntinda-Naalya'!L15,'02.08 Ntinda-Naalya'!L15,'01.08 Ntinda-Naalya 24h'!L15,'03.08 Ntinda-Naalya 24h'!L15,'04.08 Ntinda-Naalya'!L15)</f>
        <v>0.14285714285714285</v>
      </c>
      <c r="M15" s="49">
        <f>AVERAGE('29.07 Ntinda-Naalya'!M15,'30.07 Ntinda-Naalya'!M15,'31.07 Ntinda-Naalya'!M15,'02.08 Ntinda-Naalya'!M15,'01.08 Ntinda-Naalya 24h'!M15,'03.08 Ntinda-Naalya 24h'!M15,'04.08 Ntinda-Naalya'!M15)</f>
        <v>57.571428571428569</v>
      </c>
      <c r="N15" s="49">
        <f>AVERAGE('29.07 Ntinda-Naalya'!N15,'30.07 Ntinda-Naalya'!N15,'31.07 Ntinda-Naalya'!N15,'02.08 Ntinda-Naalya'!N15,'01.08 Ntinda-Naalya 24h'!N15,'03.08 Ntinda-Naalya 24h'!N15,'04.08 Ntinda-Naalya'!N15)</f>
        <v>0</v>
      </c>
      <c r="O15" s="15">
        <f t="shared" si="0"/>
        <v>116.85714285714288</v>
      </c>
      <c r="P15" s="15">
        <f t="shared" si="1"/>
        <v>174.42857142857144</v>
      </c>
      <c r="R15" s="1" t="s">
        <v>11</v>
      </c>
      <c r="S15" s="17">
        <f t="shared" ref="S15:AF15" si="7">SUM(C30:C33)</f>
        <v>306.14285714285717</v>
      </c>
      <c r="T15" s="17">
        <f t="shared" si="7"/>
        <v>79.285714285714278</v>
      </c>
      <c r="U15" s="17">
        <f t="shared" si="7"/>
        <v>16.714285714285715</v>
      </c>
      <c r="V15" s="17">
        <f t="shared" si="7"/>
        <v>23.142857142857142</v>
      </c>
      <c r="W15" s="17">
        <f t="shared" si="7"/>
        <v>2.4285714285714288</v>
      </c>
      <c r="X15" s="17">
        <f t="shared" si="7"/>
        <v>1.1428571428571428</v>
      </c>
      <c r="Y15" s="17">
        <f t="shared" si="7"/>
        <v>17.428571428571431</v>
      </c>
      <c r="Z15" s="17">
        <f t="shared" si="7"/>
        <v>6.2857142857142856</v>
      </c>
      <c r="AA15" s="17">
        <f t="shared" si="7"/>
        <v>3</v>
      </c>
      <c r="AB15" s="17">
        <f t="shared" si="7"/>
        <v>1</v>
      </c>
      <c r="AC15" s="17">
        <f t="shared" si="7"/>
        <v>216</v>
      </c>
      <c r="AD15" s="17">
        <f t="shared" si="7"/>
        <v>0.14285714285714285</v>
      </c>
      <c r="AE15" s="31">
        <f t="shared" si="7"/>
        <v>456.71428571428572</v>
      </c>
      <c r="AF15" s="31">
        <f t="shared" si="7"/>
        <v>672.71428571428578</v>
      </c>
    </row>
    <row r="16" spans="2:32" ht="23.1" customHeight="1" x14ac:dyDescent="0.25">
      <c r="B16" s="23" t="s">
        <v>43</v>
      </c>
      <c r="C16" s="49">
        <f>AVERAGE('29.07 Ntinda-Naalya'!C16,'30.07 Ntinda-Naalya'!C16,'31.07 Ntinda-Naalya'!C16,'02.08 Ntinda-Naalya'!C16,'01.08 Ntinda-Naalya 24h'!C16,'03.08 Ntinda-Naalya 24h'!C16,'04.08 Ntinda-Naalya'!C16)</f>
        <v>60.142857142857146</v>
      </c>
      <c r="D16" s="49">
        <f>AVERAGE('29.07 Ntinda-Naalya'!D16,'30.07 Ntinda-Naalya'!D16,'31.07 Ntinda-Naalya'!D16,'02.08 Ntinda-Naalya'!D16,'01.08 Ntinda-Naalya 24h'!D16,'03.08 Ntinda-Naalya 24h'!D16,'04.08 Ntinda-Naalya'!D16)</f>
        <v>18.285714285714285</v>
      </c>
      <c r="E16" s="49">
        <f>AVERAGE('29.07 Ntinda-Naalya'!E16,'30.07 Ntinda-Naalya'!E16,'31.07 Ntinda-Naalya'!E16,'02.08 Ntinda-Naalya'!E16,'01.08 Ntinda-Naalya 24h'!E16,'03.08 Ntinda-Naalya 24h'!E16,'04.08 Ntinda-Naalya'!E16)</f>
        <v>2.5714285714285716</v>
      </c>
      <c r="F16" s="49">
        <f>AVERAGE('29.07 Ntinda-Naalya'!F16,'30.07 Ntinda-Naalya'!F16,'31.07 Ntinda-Naalya'!F16,'02.08 Ntinda-Naalya'!F16,'01.08 Ntinda-Naalya 24h'!F16,'03.08 Ntinda-Naalya 24h'!F16,'04.08 Ntinda-Naalya'!F16)</f>
        <v>9.1428571428571423</v>
      </c>
      <c r="G16" s="49">
        <f>AVERAGE('29.07 Ntinda-Naalya'!G16,'30.07 Ntinda-Naalya'!G16,'31.07 Ntinda-Naalya'!G16,'02.08 Ntinda-Naalya'!G16,'01.08 Ntinda-Naalya 24h'!G16,'03.08 Ntinda-Naalya 24h'!G16,'04.08 Ntinda-Naalya'!G16)</f>
        <v>0.2857142857142857</v>
      </c>
      <c r="H16" s="49">
        <f>AVERAGE('29.07 Ntinda-Naalya'!H16,'30.07 Ntinda-Naalya'!H16,'31.07 Ntinda-Naalya'!H16,'02.08 Ntinda-Naalya'!H16,'01.08 Ntinda-Naalya 24h'!H16,'03.08 Ntinda-Naalya 24h'!H16,'04.08 Ntinda-Naalya'!H16)</f>
        <v>0.2857142857142857</v>
      </c>
      <c r="I16" s="49">
        <f>AVERAGE('29.07 Ntinda-Naalya'!I16,'30.07 Ntinda-Naalya'!I16,'31.07 Ntinda-Naalya'!I16,'02.08 Ntinda-Naalya'!I16,'01.08 Ntinda-Naalya 24h'!I16,'03.08 Ntinda-Naalya 24h'!I16,'04.08 Ntinda-Naalya'!I16)</f>
        <v>2</v>
      </c>
      <c r="J16" s="49">
        <f>AVERAGE('29.07 Ntinda-Naalya'!J16,'30.07 Ntinda-Naalya'!J16,'31.07 Ntinda-Naalya'!J16,'02.08 Ntinda-Naalya'!J16,'01.08 Ntinda-Naalya 24h'!J16,'03.08 Ntinda-Naalya 24h'!J16,'04.08 Ntinda-Naalya'!J16)</f>
        <v>0.7142857142857143</v>
      </c>
      <c r="K16" s="49">
        <f>AVERAGE('29.07 Ntinda-Naalya'!K16,'30.07 Ntinda-Naalya'!K16,'31.07 Ntinda-Naalya'!K16,'02.08 Ntinda-Naalya'!K16,'01.08 Ntinda-Naalya 24h'!K16,'03.08 Ntinda-Naalya 24h'!K16,'04.08 Ntinda-Naalya'!K16)</f>
        <v>0.2857142857142857</v>
      </c>
      <c r="L16" s="49">
        <f>AVERAGE('29.07 Ntinda-Naalya'!L16,'30.07 Ntinda-Naalya'!L16,'31.07 Ntinda-Naalya'!L16,'02.08 Ntinda-Naalya'!L16,'01.08 Ntinda-Naalya 24h'!L16,'03.08 Ntinda-Naalya 24h'!L16,'04.08 Ntinda-Naalya'!L16)</f>
        <v>0</v>
      </c>
      <c r="M16" s="49">
        <f>AVERAGE('29.07 Ntinda-Naalya'!M16,'30.07 Ntinda-Naalya'!M16,'31.07 Ntinda-Naalya'!M16,'02.08 Ntinda-Naalya'!M16,'01.08 Ntinda-Naalya 24h'!M16,'03.08 Ntinda-Naalya 24h'!M16,'04.08 Ntinda-Naalya'!M16)</f>
        <v>64.285714285714292</v>
      </c>
      <c r="N16" s="49">
        <f>AVERAGE('29.07 Ntinda-Naalya'!N16,'30.07 Ntinda-Naalya'!N16,'31.07 Ntinda-Naalya'!N16,'02.08 Ntinda-Naalya'!N16,'01.08 Ntinda-Naalya 24h'!N16,'03.08 Ntinda-Naalya 24h'!N16,'04.08 Ntinda-Naalya'!N16)</f>
        <v>0.14285714285714285</v>
      </c>
      <c r="O16" s="15">
        <f t="shared" si="0"/>
        <v>93.857142857142861</v>
      </c>
      <c r="P16" s="15">
        <f t="shared" si="1"/>
        <v>158.14285714285714</v>
      </c>
      <c r="R16" s="1" t="s">
        <v>12</v>
      </c>
      <c r="S16" s="17">
        <f t="shared" ref="S16:AF16" si="8">SUM(C34:C37)</f>
        <v>348.85714285714283</v>
      </c>
      <c r="T16" s="17">
        <f t="shared" si="8"/>
        <v>71</v>
      </c>
      <c r="U16" s="17">
        <f t="shared" si="8"/>
        <v>19.857142857142858</v>
      </c>
      <c r="V16" s="17">
        <f t="shared" si="8"/>
        <v>20.714285714285712</v>
      </c>
      <c r="W16" s="17">
        <f t="shared" si="8"/>
        <v>2.5714285714285712</v>
      </c>
      <c r="X16" s="17">
        <f t="shared" si="8"/>
        <v>0.5714285714285714</v>
      </c>
      <c r="Y16" s="17">
        <f t="shared" si="8"/>
        <v>17</v>
      </c>
      <c r="Z16" s="17">
        <f t="shared" si="8"/>
        <v>5.4285714285714288</v>
      </c>
      <c r="AA16" s="17">
        <f t="shared" si="8"/>
        <v>1.7142857142857142</v>
      </c>
      <c r="AB16" s="17">
        <f t="shared" si="8"/>
        <v>0.42857142857142855</v>
      </c>
      <c r="AC16" s="17">
        <f t="shared" si="8"/>
        <v>213.42857142857142</v>
      </c>
      <c r="AD16" s="17">
        <f t="shared" si="8"/>
        <v>0</v>
      </c>
      <c r="AE16" s="31">
        <f t="shared" si="8"/>
        <v>488.14285714285717</v>
      </c>
      <c r="AF16" s="31">
        <f t="shared" si="8"/>
        <v>701.57142857142856</v>
      </c>
    </row>
    <row r="17" spans="2:32" ht="23.1" customHeight="1" x14ac:dyDescent="0.25">
      <c r="B17" s="23" t="s">
        <v>44</v>
      </c>
      <c r="C17" s="49">
        <f>AVERAGE('29.07 Ntinda-Naalya'!C17,'30.07 Ntinda-Naalya'!C17,'31.07 Ntinda-Naalya'!C17,'02.08 Ntinda-Naalya'!C17,'01.08 Ntinda-Naalya 24h'!C17,'03.08 Ntinda-Naalya 24h'!C17,'04.08 Ntinda-Naalya'!C17)</f>
        <v>69.857142857142861</v>
      </c>
      <c r="D17" s="49">
        <f>AVERAGE('29.07 Ntinda-Naalya'!D17,'30.07 Ntinda-Naalya'!D17,'31.07 Ntinda-Naalya'!D17,'02.08 Ntinda-Naalya'!D17,'01.08 Ntinda-Naalya 24h'!D17,'03.08 Ntinda-Naalya 24h'!D17,'04.08 Ntinda-Naalya'!D17)</f>
        <v>16</v>
      </c>
      <c r="E17" s="49">
        <f>AVERAGE('29.07 Ntinda-Naalya'!E17,'30.07 Ntinda-Naalya'!E17,'31.07 Ntinda-Naalya'!E17,'02.08 Ntinda-Naalya'!E17,'01.08 Ntinda-Naalya 24h'!E17,'03.08 Ntinda-Naalya 24h'!E17,'04.08 Ntinda-Naalya'!E17)</f>
        <v>3.7142857142857144</v>
      </c>
      <c r="F17" s="49">
        <f>AVERAGE('29.07 Ntinda-Naalya'!F17,'30.07 Ntinda-Naalya'!F17,'31.07 Ntinda-Naalya'!F17,'02.08 Ntinda-Naalya'!F17,'01.08 Ntinda-Naalya 24h'!F17,'03.08 Ntinda-Naalya 24h'!F17,'04.08 Ntinda-Naalya'!F17)</f>
        <v>7.1428571428571432</v>
      </c>
      <c r="G17" s="49">
        <f>AVERAGE('29.07 Ntinda-Naalya'!G17,'30.07 Ntinda-Naalya'!G17,'31.07 Ntinda-Naalya'!G17,'02.08 Ntinda-Naalya'!G17,'01.08 Ntinda-Naalya 24h'!G17,'03.08 Ntinda-Naalya 24h'!G17,'04.08 Ntinda-Naalya'!G17)</f>
        <v>0.14285714285714285</v>
      </c>
      <c r="H17" s="49">
        <f>AVERAGE('29.07 Ntinda-Naalya'!H17,'30.07 Ntinda-Naalya'!H17,'31.07 Ntinda-Naalya'!H17,'02.08 Ntinda-Naalya'!H17,'01.08 Ntinda-Naalya 24h'!H17,'03.08 Ntinda-Naalya 24h'!H17,'04.08 Ntinda-Naalya'!H17)</f>
        <v>0</v>
      </c>
      <c r="I17" s="49">
        <f>AVERAGE('29.07 Ntinda-Naalya'!I17,'30.07 Ntinda-Naalya'!I17,'31.07 Ntinda-Naalya'!I17,'02.08 Ntinda-Naalya'!I17,'01.08 Ntinda-Naalya 24h'!I17,'03.08 Ntinda-Naalya 24h'!I17,'04.08 Ntinda-Naalya'!I17)</f>
        <v>1.8571428571428572</v>
      </c>
      <c r="J17" s="49">
        <f>AVERAGE('29.07 Ntinda-Naalya'!J17,'30.07 Ntinda-Naalya'!J17,'31.07 Ntinda-Naalya'!J17,'02.08 Ntinda-Naalya'!J17,'01.08 Ntinda-Naalya 24h'!J17,'03.08 Ntinda-Naalya 24h'!J17,'04.08 Ntinda-Naalya'!J17)</f>
        <v>1.1428571428571428</v>
      </c>
      <c r="K17" s="49">
        <f>AVERAGE('29.07 Ntinda-Naalya'!K17,'30.07 Ntinda-Naalya'!K17,'31.07 Ntinda-Naalya'!K17,'02.08 Ntinda-Naalya'!K17,'01.08 Ntinda-Naalya 24h'!K17,'03.08 Ntinda-Naalya 24h'!K17,'04.08 Ntinda-Naalya'!K17)</f>
        <v>0.2857142857142857</v>
      </c>
      <c r="L17" s="49">
        <f>AVERAGE('29.07 Ntinda-Naalya'!L17,'30.07 Ntinda-Naalya'!L17,'31.07 Ntinda-Naalya'!L17,'02.08 Ntinda-Naalya'!L17,'01.08 Ntinda-Naalya 24h'!L17,'03.08 Ntinda-Naalya 24h'!L17,'04.08 Ntinda-Naalya'!L17)</f>
        <v>0.14285714285714285</v>
      </c>
      <c r="M17" s="49">
        <f>AVERAGE('29.07 Ntinda-Naalya'!M17,'30.07 Ntinda-Naalya'!M17,'31.07 Ntinda-Naalya'!M17,'02.08 Ntinda-Naalya'!M17,'01.08 Ntinda-Naalya 24h'!M17,'03.08 Ntinda-Naalya 24h'!M17,'04.08 Ntinda-Naalya'!M17)</f>
        <v>66</v>
      </c>
      <c r="N17" s="49">
        <f>AVERAGE('29.07 Ntinda-Naalya'!N17,'30.07 Ntinda-Naalya'!N17,'31.07 Ntinda-Naalya'!N17,'02.08 Ntinda-Naalya'!N17,'01.08 Ntinda-Naalya 24h'!N17,'03.08 Ntinda-Naalya 24h'!N17,'04.08 Ntinda-Naalya'!N17)</f>
        <v>0</v>
      </c>
      <c r="O17" s="15">
        <f t="shared" si="0"/>
        <v>100.28571428571428</v>
      </c>
      <c r="P17" s="15">
        <f t="shared" si="1"/>
        <v>166.28571428571428</v>
      </c>
      <c r="R17" s="1" t="s">
        <v>13</v>
      </c>
      <c r="S17" s="17">
        <f t="shared" ref="S17:AF17" si="9">SUM(C38:C41)</f>
        <v>365.85714285714289</v>
      </c>
      <c r="T17" s="17">
        <f t="shared" si="9"/>
        <v>76.714285714285722</v>
      </c>
      <c r="U17" s="17">
        <f t="shared" si="9"/>
        <v>16.714285714285712</v>
      </c>
      <c r="V17" s="17">
        <f t="shared" si="9"/>
        <v>21.857142857142858</v>
      </c>
      <c r="W17" s="17">
        <f t="shared" si="9"/>
        <v>2.4285714285714284</v>
      </c>
      <c r="X17" s="17">
        <f t="shared" si="9"/>
        <v>0.85714285714285698</v>
      </c>
      <c r="Y17" s="17">
        <f t="shared" si="9"/>
        <v>17</v>
      </c>
      <c r="Z17" s="17">
        <f t="shared" si="9"/>
        <v>6</v>
      </c>
      <c r="AA17" s="17">
        <f t="shared" si="9"/>
        <v>1.8571428571428572</v>
      </c>
      <c r="AB17" s="17">
        <f t="shared" si="9"/>
        <v>0.85714285714285698</v>
      </c>
      <c r="AC17" s="17">
        <f t="shared" si="9"/>
        <v>227.57142857142858</v>
      </c>
      <c r="AD17" s="17">
        <f t="shared" si="9"/>
        <v>0</v>
      </c>
      <c r="AE17" s="31">
        <f t="shared" si="9"/>
        <v>510.14285714285711</v>
      </c>
      <c r="AF17" s="31">
        <f t="shared" si="9"/>
        <v>737.71428571428578</v>
      </c>
    </row>
    <row r="18" spans="2:32" ht="23.1" customHeight="1" x14ac:dyDescent="0.25">
      <c r="B18" s="23" t="s">
        <v>45</v>
      </c>
      <c r="C18" s="49">
        <f>AVERAGE('29.07 Ntinda-Naalya'!C18,'30.07 Ntinda-Naalya'!C18,'31.07 Ntinda-Naalya'!C18,'02.08 Ntinda-Naalya'!C18,'01.08 Ntinda-Naalya 24h'!C18,'03.08 Ntinda-Naalya 24h'!C18,'04.08 Ntinda-Naalya'!C18)</f>
        <v>63.285714285714285</v>
      </c>
      <c r="D18" s="49">
        <f>AVERAGE('29.07 Ntinda-Naalya'!D18,'30.07 Ntinda-Naalya'!D18,'31.07 Ntinda-Naalya'!D18,'02.08 Ntinda-Naalya'!D18,'01.08 Ntinda-Naalya 24h'!D18,'03.08 Ntinda-Naalya 24h'!D18,'04.08 Ntinda-Naalya'!D18)</f>
        <v>18.428571428571427</v>
      </c>
      <c r="E18" s="49">
        <f>AVERAGE('29.07 Ntinda-Naalya'!E18,'30.07 Ntinda-Naalya'!E18,'31.07 Ntinda-Naalya'!E18,'02.08 Ntinda-Naalya'!E18,'01.08 Ntinda-Naalya 24h'!E18,'03.08 Ntinda-Naalya 24h'!E18,'04.08 Ntinda-Naalya'!E18)</f>
        <v>3.5714285714285716</v>
      </c>
      <c r="F18" s="49">
        <f>AVERAGE('29.07 Ntinda-Naalya'!F18,'30.07 Ntinda-Naalya'!F18,'31.07 Ntinda-Naalya'!F18,'02.08 Ntinda-Naalya'!F18,'01.08 Ntinda-Naalya 24h'!F18,'03.08 Ntinda-Naalya 24h'!F18,'04.08 Ntinda-Naalya'!F18)</f>
        <v>7.5714285714285712</v>
      </c>
      <c r="G18" s="49">
        <f>AVERAGE('29.07 Ntinda-Naalya'!G18,'30.07 Ntinda-Naalya'!G18,'31.07 Ntinda-Naalya'!G18,'02.08 Ntinda-Naalya'!G18,'01.08 Ntinda-Naalya 24h'!G18,'03.08 Ntinda-Naalya 24h'!G18,'04.08 Ntinda-Naalya'!G18)</f>
        <v>0.2857142857142857</v>
      </c>
      <c r="H18" s="49">
        <f>AVERAGE('29.07 Ntinda-Naalya'!H18,'30.07 Ntinda-Naalya'!H18,'31.07 Ntinda-Naalya'!H18,'02.08 Ntinda-Naalya'!H18,'01.08 Ntinda-Naalya 24h'!H18,'03.08 Ntinda-Naalya 24h'!H18,'04.08 Ntinda-Naalya'!H18)</f>
        <v>0.42857142857142855</v>
      </c>
      <c r="I18" s="49">
        <f>AVERAGE('29.07 Ntinda-Naalya'!I18,'30.07 Ntinda-Naalya'!I18,'31.07 Ntinda-Naalya'!I18,'02.08 Ntinda-Naalya'!I18,'01.08 Ntinda-Naalya 24h'!I18,'03.08 Ntinda-Naalya 24h'!I18,'04.08 Ntinda-Naalya'!I18)</f>
        <v>4.7142857142857144</v>
      </c>
      <c r="J18" s="49">
        <f>AVERAGE('29.07 Ntinda-Naalya'!J18,'30.07 Ntinda-Naalya'!J18,'31.07 Ntinda-Naalya'!J18,'02.08 Ntinda-Naalya'!J18,'01.08 Ntinda-Naalya 24h'!J18,'03.08 Ntinda-Naalya 24h'!J18,'04.08 Ntinda-Naalya'!J18)</f>
        <v>1.2857142857142858</v>
      </c>
      <c r="K18" s="49">
        <f>AVERAGE('29.07 Ntinda-Naalya'!K18,'30.07 Ntinda-Naalya'!K18,'31.07 Ntinda-Naalya'!K18,'02.08 Ntinda-Naalya'!K18,'01.08 Ntinda-Naalya 24h'!K18,'03.08 Ntinda-Naalya 24h'!K18,'04.08 Ntinda-Naalya'!K18)</f>
        <v>0.2857142857142857</v>
      </c>
      <c r="L18" s="49">
        <f>AVERAGE('29.07 Ntinda-Naalya'!L18,'30.07 Ntinda-Naalya'!L18,'31.07 Ntinda-Naalya'!L18,'02.08 Ntinda-Naalya'!L18,'01.08 Ntinda-Naalya 24h'!L18,'03.08 Ntinda-Naalya 24h'!L18,'04.08 Ntinda-Naalya'!L18)</f>
        <v>0</v>
      </c>
      <c r="M18" s="49">
        <f>AVERAGE('29.07 Ntinda-Naalya'!M18,'30.07 Ntinda-Naalya'!M18,'31.07 Ntinda-Naalya'!M18,'02.08 Ntinda-Naalya'!M18,'01.08 Ntinda-Naalya 24h'!M18,'03.08 Ntinda-Naalya 24h'!M18,'04.08 Ntinda-Naalya'!M18)</f>
        <v>73.285714285714292</v>
      </c>
      <c r="N18" s="49">
        <f>AVERAGE('29.07 Ntinda-Naalya'!N18,'30.07 Ntinda-Naalya'!N18,'31.07 Ntinda-Naalya'!N18,'02.08 Ntinda-Naalya'!N18,'01.08 Ntinda-Naalya 24h'!N18,'03.08 Ntinda-Naalya 24h'!N18,'04.08 Ntinda-Naalya'!N18)</f>
        <v>0</v>
      </c>
      <c r="O18" s="15">
        <f t="shared" si="0"/>
        <v>99.857142857142861</v>
      </c>
      <c r="P18" s="15">
        <f t="shared" si="1"/>
        <v>173.14285714285717</v>
      </c>
      <c r="R18" s="1" t="s">
        <v>14</v>
      </c>
      <c r="S18" s="17">
        <f t="shared" ref="S18:AF18" si="10">SUM(C42:C45)</f>
        <v>415.14285714285711</v>
      </c>
      <c r="T18" s="17">
        <f t="shared" si="10"/>
        <v>81.428571428571431</v>
      </c>
      <c r="U18" s="17">
        <f t="shared" si="10"/>
        <v>15.428571428571429</v>
      </c>
      <c r="V18" s="17">
        <f t="shared" si="10"/>
        <v>28.714285714285715</v>
      </c>
      <c r="W18" s="17">
        <f t="shared" si="10"/>
        <v>3.2857142857142856</v>
      </c>
      <c r="X18" s="17">
        <f t="shared" si="10"/>
        <v>0.42857142857142855</v>
      </c>
      <c r="Y18" s="17">
        <f t="shared" si="10"/>
        <v>20.142857142857139</v>
      </c>
      <c r="Z18" s="17">
        <f t="shared" si="10"/>
        <v>8.4285714285714288</v>
      </c>
      <c r="AA18" s="17">
        <f t="shared" si="10"/>
        <v>1.8571428571428572</v>
      </c>
      <c r="AB18" s="17">
        <f t="shared" si="10"/>
        <v>0.5714285714285714</v>
      </c>
      <c r="AC18" s="17">
        <f t="shared" si="10"/>
        <v>245.71428571428572</v>
      </c>
      <c r="AD18" s="17">
        <f t="shared" si="10"/>
        <v>0</v>
      </c>
      <c r="AE18" s="31">
        <f t="shared" si="10"/>
        <v>575.42857142857133</v>
      </c>
      <c r="AF18" s="31">
        <f t="shared" si="10"/>
        <v>821.14285714285711</v>
      </c>
    </row>
    <row r="19" spans="2:32" ht="23.1" customHeight="1" x14ac:dyDescent="0.25">
      <c r="B19" s="23" t="s">
        <v>46</v>
      </c>
      <c r="C19" s="49">
        <f>AVERAGE('29.07 Ntinda-Naalya'!C19,'30.07 Ntinda-Naalya'!C19,'31.07 Ntinda-Naalya'!C19,'02.08 Ntinda-Naalya'!C19,'01.08 Ntinda-Naalya 24h'!C19,'03.08 Ntinda-Naalya 24h'!C19,'04.08 Ntinda-Naalya'!C19)</f>
        <v>62.428571428571431</v>
      </c>
      <c r="D19" s="49">
        <f>AVERAGE('29.07 Ntinda-Naalya'!D19,'30.07 Ntinda-Naalya'!D19,'31.07 Ntinda-Naalya'!D19,'02.08 Ntinda-Naalya'!D19,'01.08 Ntinda-Naalya 24h'!D19,'03.08 Ntinda-Naalya 24h'!D19,'04.08 Ntinda-Naalya'!D19)</f>
        <v>18.571428571428573</v>
      </c>
      <c r="E19" s="49">
        <f>AVERAGE('29.07 Ntinda-Naalya'!E19,'30.07 Ntinda-Naalya'!E19,'31.07 Ntinda-Naalya'!E19,'02.08 Ntinda-Naalya'!E19,'01.08 Ntinda-Naalya 24h'!E19,'03.08 Ntinda-Naalya 24h'!E19,'04.08 Ntinda-Naalya'!E19)</f>
        <v>4</v>
      </c>
      <c r="F19" s="49">
        <f>AVERAGE('29.07 Ntinda-Naalya'!F19,'30.07 Ntinda-Naalya'!F19,'31.07 Ntinda-Naalya'!F19,'02.08 Ntinda-Naalya'!F19,'01.08 Ntinda-Naalya 24h'!F19,'03.08 Ntinda-Naalya 24h'!F19,'04.08 Ntinda-Naalya'!F19)</f>
        <v>8.1428571428571423</v>
      </c>
      <c r="G19" s="49">
        <f>AVERAGE('29.07 Ntinda-Naalya'!G19,'30.07 Ntinda-Naalya'!G19,'31.07 Ntinda-Naalya'!G19,'02.08 Ntinda-Naalya'!G19,'01.08 Ntinda-Naalya 24h'!G19,'03.08 Ntinda-Naalya 24h'!G19,'04.08 Ntinda-Naalya'!G19)</f>
        <v>0.14285714285714285</v>
      </c>
      <c r="H19" s="49">
        <f>AVERAGE('29.07 Ntinda-Naalya'!H19,'30.07 Ntinda-Naalya'!H19,'31.07 Ntinda-Naalya'!H19,'02.08 Ntinda-Naalya'!H19,'01.08 Ntinda-Naalya 24h'!H19,'03.08 Ntinda-Naalya 24h'!H19,'04.08 Ntinda-Naalya'!H19)</f>
        <v>0</v>
      </c>
      <c r="I19" s="49">
        <f>AVERAGE('29.07 Ntinda-Naalya'!I19,'30.07 Ntinda-Naalya'!I19,'31.07 Ntinda-Naalya'!I19,'02.08 Ntinda-Naalya'!I19,'01.08 Ntinda-Naalya 24h'!I19,'03.08 Ntinda-Naalya 24h'!I19,'04.08 Ntinda-Naalya'!I19)</f>
        <v>3.8571428571428572</v>
      </c>
      <c r="J19" s="49">
        <f>AVERAGE('29.07 Ntinda-Naalya'!J19,'30.07 Ntinda-Naalya'!J19,'31.07 Ntinda-Naalya'!J19,'02.08 Ntinda-Naalya'!J19,'01.08 Ntinda-Naalya 24h'!J19,'03.08 Ntinda-Naalya 24h'!J19,'04.08 Ntinda-Naalya'!J19)</f>
        <v>0.7142857142857143</v>
      </c>
      <c r="K19" s="49">
        <f>AVERAGE('29.07 Ntinda-Naalya'!K19,'30.07 Ntinda-Naalya'!K19,'31.07 Ntinda-Naalya'!K19,'02.08 Ntinda-Naalya'!K19,'01.08 Ntinda-Naalya 24h'!K19,'03.08 Ntinda-Naalya 24h'!K19,'04.08 Ntinda-Naalya'!K19)</f>
        <v>0.5714285714285714</v>
      </c>
      <c r="L19" s="49">
        <f>AVERAGE('29.07 Ntinda-Naalya'!L19,'30.07 Ntinda-Naalya'!L19,'31.07 Ntinda-Naalya'!L19,'02.08 Ntinda-Naalya'!L19,'01.08 Ntinda-Naalya 24h'!L19,'03.08 Ntinda-Naalya 24h'!L19,'04.08 Ntinda-Naalya'!L19)</f>
        <v>0</v>
      </c>
      <c r="M19" s="49">
        <f>AVERAGE('29.07 Ntinda-Naalya'!M19,'30.07 Ntinda-Naalya'!M19,'31.07 Ntinda-Naalya'!M19,'02.08 Ntinda-Naalya'!M19,'01.08 Ntinda-Naalya 24h'!M19,'03.08 Ntinda-Naalya 24h'!M19,'04.08 Ntinda-Naalya'!M19)</f>
        <v>67.142857142857139</v>
      </c>
      <c r="N19" s="49">
        <f>AVERAGE('29.07 Ntinda-Naalya'!N19,'30.07 Ntinda-Naalya'!N19,'31.07 Ntinda-Naalya'!N19,'02.08 Ntinda-Naalya'!N19,'01.08 Ntinda-Naalya 24h'!N19,'03.08 Ntinda-Naalya 24h'!N19,'04.08 Ntinda-Naalya'!N19)</f>
        <v>0</v>
      </c>
      <c r="O19" s="15">
        <f t="shared" si="0"/>
        <v>98.428571428571416</v>
      </c>
      <c r="P19" s="15">
        <f t="shared" si="1"/>
        <v>165.57142857142856</v>
      </c>
      <c r="R19" s="1" t="s">
        <v>15</v>
      </c>
      <c r="S19" s="17">
        <f t="shared" ref="S19:AF19" si="11">SUM(C46:C49)</f>
        <v>543.28571428571422</v>
      </c>
      <c r="T19" s="17">
        <f t="shared" si="11"/>
        <v>106.28571428571429</v>
      </c>
      <c r="U19" s="17">
        <f t="shared" si="11"/>
        <v>12.142857142857142</v>
      </c>
      <c r="V19" s="17">
        <f t="shared" si="11"/>
        <v>27.142857142857139</v>
      </c>
      <c r="W19" s="17">
        <f t="shared" si="11"/>
        <v>2.5714285714285712</v>
      </c>
      <c r="X19" s="17">
        <f t="shared" si="11"/>
        <v>1.2857142857142856</v>
      </c>
      <c r="Y19" s="17">
        <f t="shared" si="11"/>
        <v>16.142857142857142</v>
      </c>
      <c r="Z19" s="17">
        <f t="shared" si="11"/>
        <v>7.4285714285714288</v>
      </c>
      <c r="AA19" s="17">
        <f t="shared" si="11"/>
        <v>1.8571428571428572</v>
      </c>
      <c r="AB19" s="17">
        <f t="shared" si="11"/>
        <v>0.42857142857142855</v>
      </c>
      <c r="AC19" s="17">
        <f t="shared" si="11"/>
        <v>279.71428571428572</v>
      </c>
      <c r="AD19" s="17">
        <f t="shared" si="11"/>
        <v>0</v>
      </c>
      <c r="AE19" s="31">
        <f t="shared" si="11"/>
        <v>718.57142857142844</v>
      </c>
      <c r="AF19" s="31">
        <f t="shared" si="11"/>
        <v>998.28571428571433</v>
      </c>
    </row>
    <row r="20" spans="2:32" ht="23.1" customHeight="1" x14ac:dyDescent="0.25">
      <c r="B20" s="23" t="s">
        <v>47</v>
      </c>
      <c r="C20" s="49">
        <f>AVERAGE('29.07 Ntinda-Naalya'!C20,'30.07 Ntinda-Naalya'!C20,'31.07 Ntinda-Naalya'!C20,'02.08 Ntinda-Naalya'!C20,'01.08 Ntinda-Naalya 24h'!C20,'03.08 Ntinda-Naalya 24h'!C20,'04.08 Ntinda-Naalya'!C20)</f>
        <v>65</v>
      </c>
      <c r="D20" s="49">
        <f>AVERAGE('29.07 Ntinda-Naalya'!D20,'30.07 Ntinda-Naalya'!D20,'31.07 Ntinda-Naalya'!D20,'02.08 Ntinda-Naalya'!D20,'01.08 Ntinda-Naalya 24h'!D20,'03.08 Ntinda-Naalya 24h'!D20,'04.08 Ntinda-Naalya'!D20)</f>
        <v>17.714285714285715</v>
      </c>
      <c r="E20" s="49">
        <f>AVERAGE('29.07 Ntinda-Naalya'!E20,'30.07 Ntinda-Naalya'!E20,'31.07 Ntinda-Naalya'!E20,'02.08 Ntinda-Naalya'!E20,'01.08 Ntinda-Naalya 24h'!E20,'03.08 Ntinda-Naalya 24h'!E20,'04.08 Ntinda-Naalya'!E20)</f>
        <v>4.1428571428571432</v>
      </c>
      <c r="F20" s="49">
        <f>AVERAGE('29.07 Ntinda-Naalya'!F20,'30.07 Ntinda-Naalya'!F20,'31.07 Ntinda-Naalya'!F20,'02.08 Ntinda-Naalya'!F20,'01.08 Ntinda-Naalya 24h'!F20,'03.08 Ntinda-Naalya 24h'!F20,'04.08 Ntinda-Naalya'!F20)</f>
        <v>6.5714285714285712</v>
      </c>
      <c r="G20" s="49">
        <f>AVERAGE('29.07 Ntinda-Naalya'!G20,'30.07 Ntinda-Naalya'!G20,'31.07 Ntinda-Naalya'!G20,'02.08 Ntinda-Naalya'!G20,'01.08 Ntinda-Naalya 24h'!G20,'03.08 Ntinda-Naalya 24h'!G20,'04.08 Ntinda-Naalya'!G20)</f>
        <v>0.2857142857142857</v>
      </c>
      <c r="H20" s="49">
        <f>AVERAGE('29.07 Ntinda-Naalya'!H20,'30.07 Ntinda-Naalya'!H20,'31.07 Ntinda-Naalya'!H20,'02.08 Ntinda-Naalya'!H20,'01.08 Ntinda-Naalya 24h'!H20,'03.08 Ntinda-Naalya 24h'!H20,'04.08 Ntinda-Naalya'!H20)</f>
        <v>0.42857142857142855</v>
      </c>
      <c r="I20" s="49">
        <f>AVERAGE('29.07 Ntinda-Naalya'!I20,'30.07 Ntinda-Naalya'!I20,'31.07 Ntinda-Naalya'!I20,'02.08 Ntinda-Naalya'!I20,'01.08 Ntinda-Naalya 24h'!I20,'03.08 Ntinda-Naalya 24h'!I20,'04.08 Ntinda-Naalya'!I20)</f>
        <v>4.5714285714285712</v>
      </c>
      <c r="J20" s="49">
        <f>AVERAGE('29.07 Ntinda-Naalya'!J20,'30.07 Ntinda-Naalya'!J20,'31.07 Ntinda-Naalya'!J20,'02.08 Ntinda-Naalya'!J20,'01.08 Ntinda-Naalya 24h'!J20,'03.08 Ntinda-Naalya 24h'!J20,'04.08 Ntinda-Naalya'!J20)</f>
        <v>1.5714285714285714</v>
      </c>
      <c r="K20" s="49">
        <f>AVERAGE('29.07 Ntinda-Naalya'!K20,'30.07 Ntinda-Naalya'!K20,'31.07 Ntinda-Naalya'!K20,'02.08 Ntinda-Naalya'!K20,'01.08 Ntinda-Naalya 24h'!K20,'03.08 Ntinda-Naalya 24h'!K20,'04.08 Ntinda-Naalya'!K20)</f>
        <v>0.14285714285714285</v>
      </c>
      <c r="L20" s="49">
        <f>AVERAGE('29.07 Ntinda-Naalya'!L20,'30.07 Ntinda-Naalya'!L20,'31.07 Ntinda-Naalya'!L20,'02.08 Ntinda-Naalya'!L20,'01.08 Ntinda-Naalya 24h'!L20,'03.08 Ntinda-Naalya 24h'!L20,'04.08 Ntinda-Naalya'!L20)</f>
        <v>0</v>
      </c>
      <c r="M20" s="49">
        <f>AVERAGE('29.07 Ntinda-Naalya'!M20,'30.07 Ntinda-Naalya'!M20,'31.07 Ntinda-Naalya'!M20,'02.08 Ntinda-Naalya'!M20,'01.08 Ntinda-Naalya 24h'!M20,'03.08 Ntinda-Naalya 24h'!M20,'04.08 Ntinda-Naalya'!M20)</f>
        <v>70.428571428571431</v>
      </c>
      <c r="N20" s="49">
        <f>AVERAGE('29.07 Ntinda-Naalya'!N20,'30.07 Ntinda-Naalya'!N20,'31.07 Ntinda-Naalya'!N20,'02.08 Ntinda-Naalya'!N20,'01.08 Ntinda-Naalya 24h'!N20,'03.08 Ntinda-Naalya 24h'!N20,'04.08 Ntinda-Naalya'!N20)</f>
        <v>0</v>
      </c>
      <c r="O20" s="15">
        <f t="shared" si="0"/>
        <v>100.42857142857143</v>
      </c>
      <c r="P20" s="15">
        <f t="shared" si="1"/>
        <v>170.85714285714286</v>
      </c>
      <c r="R20" s="1" t="s">
        <v>16</v>
      </c>
      <c r="S20" s="17">
        <f t="shared" ref="S20:AF20" si="12">SUM(C50:C53)</f>
        <v>572.85714285714289</v>
      </c>
      <c r="T20" s="17">
        <f t="shared" si="12"/>
        <v>105.14285714285715</v>
      </c>
      <c r="U20" s="17">
        <f t="shared" si="12"/>
        <v>15.857142857142858</v>
      </c>
      <c r="V20" s="17">
        <f t="shared" si="12"/>
        <v>32.142857142857146</v>
      </c>
      <c r="W20" s="17">
        <f t="shared" si="12"/>
        <v>3</v>
      </c>
      <c r="X20" s="17">
        <f t="shared" si="12"/>
        <v>0.8571428571428571</v>
      </c>
      <c r="Y20" s="17">
        <f t="shared" si="12"/>
        <v>16.142857142857142</v>
      </c>
      <c r="Z20" s="17">
        <f t="shared" si="12"/>
        <v>5.5714285714285712</v>
      </c>
      <c r="AA20" s="17">
        <f t="shared" si="12"/>
        <v>2.4285714285714284</v>
      </c>
      <c r="AB20" s="17">
        <f t="shared" si="12"/>
        <v>1.5714285714285712</v>
      </c>
      <c r="AC20" s="17">
        <f t="shared" si="12"/>
        <v>279.85714285714283</v>
      </c>
      <c r="AD20" s="17">
        <f t="shared" si="12"/>
        <v>0.14285714285714285</v>
      </c>
      <c r="AE20" s="31">
        <f t="shared" si="12"/>
        <v>755.71428571428567</v>
      </c>
      <c r="AF20" s="31">
        <f t="shared" si="12"/>
        <v>1035.5714285714284</v>
      </c>
    </row>
    <row r="21" spans="2:32" ht="23.1" customHeight="1" x14ac:dyDescent="0.25">
      <c r="B21" s="23" t="s">
        <v>48</v>
      </c>
      <c r="C21" s="49">
        <f>AVERAGE('29.07 Ntinda-Naalya'!C21,'30.07 Ntinda-Naalya'!C21,'31.07 Ntinda-Naalya'!C21,'02.08 Ntinda-Naalya'!C21,'01.08 Ntinda-Naalya 24h'!C21,'03.08 Ntinda-Naalya 24h'!C21,'04.08 Ntinda-Naalya'!C21)</f>
        <v>59.714285714285715</v>
      </c>
      <c r="D21" s="49">
        <f>AVERAGE('29.07 Ntinda-Naalya'!D21,'30.07 Ntinda-Naalya'!D21,'31.07 Ntinda-Naalya'!D21,'02.08 Ntinda-Naalya'!D21,'01.08 Ntinda-Naalya 24h'!D21,'03.08 Ntinda-Naalya 24h'!D21,'04.08 Ntinda-Naalya'!D21)</f>
        <v>14.142857142857142</v>
      </c>
      <c r="E21" s="49">
        <f>AVERAGE('29.07 Ntinda-Naalya'!E21,'30.07 Ntinda-Naalya'!E21,'31.07 Ntinda-Naalya'!E21,'02.08 Ntinda-Naalya'!E21,'01.08 Ntinda-Naalya 24h'!E21,'03.08 Ntinda-Naalya 24h'!E21,'04.08 Ntinda-Naalya'!E21)</f>
        <v>4.5714285714285712</v>
      </c>
      <c r="F21" s="49">
        <f>AVERAGE('29.07 Ntinda-Naalya'!F21,'30.07 Ntinda-Naalya'!F21,'31.07 Ntinda-Naalya'!F21,'02.08 Ntinda-Naalya'!F21,'01.08 Ntinda-Naalya 24h'!F21,'03.08 Ntinda-Naalya 24h'!F21,'04.08 Ntinda-Naalya'!F21)</f>
        <v>8.1428571428571423</v>
      </c>
      <c r="G21" s="49">
        <f>AVERAGE('29.07 Ntinda-Naalya'!G21,'30.07 Ntinda-Naalya'!G21,'31.07 Ntinda-Naalya'!G21,'02.08 Ntinda-Naalya'!G21,'01.08 Ntinda-Naalya 24h'!G21,'03.08 Ntinda-Naalya 24h'!G21,'04.08 Ntinda-Naalya'!G21)</f>
        <v>0.5714285714285714</v>
      </c>
      <c r="H21" s="49">
        <f>AVERAGE('29.07 Ntinda-Naalya'!H21,'30.07 Ntinda-Naalya'!H21,'31.07 Ntinda-Naalya'!H21,'02.08 Ntinda-Naalya'!H21,'01.08 Ntinda-Naalya 24h'!H21,'03.08 Ntinda-Naalya 24h'!H21,'04.08 Ntinda-Naalya'!H21)</f>
        <v>0.14285714285714285</v>
      </c>
      <c r="I21" s="49">
        <f>AVERAGE('29.07 Ntinda-Naalya'!I21,'30.07 Ntinda-Naalya'!I21,'31.07 Ntinda-Naalya'!I21,'02.08 Ntinda-Naalya'!I21,'01.08 Ntinda-Naalya 24h'!I21,'03.08 Ntinda-Naalya 24h'!I21,'04.08 Ntinda-Naalya'!I21)</f>
        <v>2.7142857142857144</v>
      </c>
      <c r="J21" s="49">
        <f>AVERAGE('29.07 Ntinda-Naalya'!J21,'30.07 Ntinda-Naalya'!J21,'31.07 Ntinda-Naalya'!J21,'02.08 Ntinda-Naalya'!J21,'01.08 Ntinda-Naalya 24h'!J21,'03.08 Ntinda-Naalya 24h'!J21,'04.08 Ntinda-Naalya'!J21)</f>
        <v>1.7142857142857142</v>
      </c>
      <c r="K21" s="49">
        <f>AVERAGE('29.07 Ntinda-Naalya'!K21,'30.07 Ntinda-Naalya'!K21,'31.07 Ntinda-Naalya'!K21,'02.08 Ntinda-Naalya'!K21,'01.08 Ntinda-Naalya 24h'!K21,'03.08 Ntinda-Naalya 24h'!K21,'04.08 Ntinda-Naalya'!K21)</f>
        <v>0.7142857142857143</v>
      </c>
      <c r="L21" s="49">
        <f>AVERAGE('29.07 Ntinda-Naalya'!L21,'30.07 Ntinda-Naalya'!L21,'31.07 Ntinda-Naalya'!L21,'02.08 Ntinda-Naalya'!L21,'01.08 Ntinda-Naalya 24h'!L21,'03.08 Ntinda-Naalya 24h'!L21,'04.08 Ntinda-Naalya'!L21)</f>
        <v>0.14285714285714285</v>
      </c>
      <c r="M21" s="49">
        <f>AVERAGE('29.07 Ntinda-Naalya'!M21,'30.07 Ntinda-Naalya'!M21,'31.07 Ntinda-Naalya'!M21,'02.08 Ntinda-Naalya'!M21,'01.08 Ntinda-Naalya 24h'!M21,'03.08 Ntinda-Naalya 24h'!M21,'04.08 Ntinda-Naalya'!M21)</f>
        <v>60.571428571428569</v>
      </c>
      <c r="N21" s="49">
        <f>AVERAGE('29.07 Ntinda-Naalya'!N21,'30.07 Ntinda-Naalya'!N21,'31.07 Ntinda-Naalya'!N21,'02.08 Ntinda-Naalya'!N21,'01.08 Ntinda-Naalya 24h'!N21,'03.08 Ntinda-Naalya 24h'!N21,'04.08 Ntinda-Naalya'!N21)</f>
        <v>0</v>
      </c>
      <c r="O21" s="15">
        <f t="shared" si="0"/>
        <v>92.571428571428541</v>
      </c>
      <c r="P21" s="15">
        <f t="shared" si="1"/>
        <v>153.14285714285711</v>
      </c>
      <c r="R21" s="36" t="s">
        <v>20</v>
      </c>
      <c r="S21" s="34">
        <f t="shared" ref="S21:AF21" si="13">SUM(C54:C57)</f>
        <v>558.28571428571433</v>
      </c>
      <c r="T21" s="17">
        <f t="shared" si="13"/>
        <v>109.85714285714286</v>
      </c>
      <c r="U21" s="17">
        <f t="shared" si="13"/>
        <v>11.857142857142858</v>
      </c>
      <c r="V21" s="17">
        <f t="shared" si="13"/>
        <v>30.714285714285715</v>
      </c>
      <c r="W21" s="17">
        <f t="shared" si="13"/>
        <v>10.428571428571429</v>
      </c>
      <c r="X21" s="17">
        <f t="shared" si="13"/>
        <v>1.7142857142857142</v>
      </c>
      <c r="Y21" s="17">
        <f t="shared" si="13"/>
        <v>11.857142857142858</v>
      </c>
      <c r="Z21" s="17">
        <f t="shared" si="13"/>
        <v>6.4285714285714288</v>
      </c>
      <c r="AA21" s="17">
        <f t="shared" si="13"/>
        <v>2.2857142857142856</v>
      </c>
      <c r="AB21" s="17">
        <f t="shared" si="13"/>
        <v>0.14285714285714285</v>
      </c>
      <c r="AC21" s="17">
        <f t="shared" si="13"/>
        <v>240</v>
      </c>
      <c r="AD21" s="17">
        <f t="shared" si="13"/>
        <v>0</v>
      </c>
      <c r="AE21" s="31">
        <f t="shared" si="13"/>
        <v>743.57142857142867</v>
      </c>
      <c r="AF21" s="31">
        <f t="shared" si="13"/>
        <v>983.57142857142867</v>
      </c>
    </row>
    <row r="22" spans="2:32" ht="23.1" customHeight="1" x14ac:dyDescent="0.25">
      <c r="B22" s="23" t="s">
        <v>49</v>
      </c>
      <c r="C22" s="49">
        <f>AVERAGE('29.07 Ntinda-Naalya'!C22,'30.07 Ntinda-Naalya'!C22,'31.07 Ntinda-Naalya'!C22,'02.08 Ntinda-Naalya'!C22,'01.08 Ntinda-Naalya 24h'!C22,'03.08 Ntinda-Naalya 24h'!C22,'04.08 Ntinda-Naalya'!C22)</f>
        <v>75.857142857142861</v>
      </c>
      <c r="D22" s="49">
        <f>AVERAGE('29.07 Ntinda-Naalya'!D22,'30.07 Ntinda-Naalya'!D22,'31.07 Ntinda-Naalya'!D22,'02.08 Ntinda-Naalya'!D22,'01.08 Ntinda-Naalya 24h'!D22,'03.08 Ntinda-Naalya 24h'!D22,'04.08 Ntinda-Naalya'!D22)</f>
        <v>20.571428571428573</v>
      </c>
      <c r="E22" s="49">
        <f>AVERAGE('29.07 Ntinda-Naalya'!E22,'30.07 Ntinda-Naalya'!E22,'31.07 Ntinda-Naalya'!E22,'02.08 Ntinda-Naalya'!E22,'01.08 Ntinda-Naalya 24h'!E22,'03.08 Ntinda-Naalya 24h'!E22,'04.08 Ntinda-Naalya'!E22)</f>
        <v>4.1428571428571432</v>
      </c>
      <c r="F22" s="49">
        <f>AVERAGE('29.07 Ntinda-Naalya'!F22,'30.07 Ntinda-Naalya'!F22,'31.07 Ntinda-Naalya'!F22,'02.08 Ntinda-Naalya'!F22,'01.08 Ntinda-Naalya 24h'!F22,'03.08 Ntinda-Naalya 24h'!F22,'04.08 Ntinda-Naalya'!F22)</f>
        <v>8</v>
      </c>
      <c r="G22" s="49">
        <f>AVERAGE('29.07 Ntinda-Naalya'!G22,'30.07 Ntinda-Naalya'!G22,'31.07 Ntinda-Naalya'!G22,'02.08 Ntinda-Naalya'!G22,'01.08 Ntinda-Naalya 24h'!G22,'03.08 Ntinda-Naalya 24h'!G22,'04.08 Ntinda-Naalya'!G22)</f>
        <v>0.7142857142857143</v>
      </c>
      <c r="H22" s="49">
        <f>AVERAGE('29.07 Ntinda-Naalya'!H22,'30.07 Ntinda-Naalya'!H22,'31.07 Ntinda-Naalya'!H22,'02.08 Ntinda-Naalya'!H22,'01.08 Ntinda-Naalya 24h'!H22,'03.08 Ntinda-Naalya 24h'!H22,'04.08 Ntinda-Naalya'!H22)</f>
        <v>0.14285714285714285</v>
      </c>
      <c r="I22" s="49">
        <f>AVERAGE('29.07 Ntinda-Naalya'!I22,'30.07 Ntinda-Naalya'!I22,'31.07 Ntinda-Naalya'!I22,'02.08 Ntinda-Naalya'!I22,'01.08 Ntinda-Naalya 24h'!I22,'03.08 Ntinda-Naalya 24h'!I22,'04.08 Ntinda-Naalya'!I22)</f>
        <v>4.4285714285714288</v>
      </c>
      <c r="J22" s="49">
        <f>AVERAGE('29.07 Ntinda-Naalya'!J22,'30.07 Ntinda-Naalya'!J22,'31.07 Ntinda-Naalya'!J22,'02.08 Ntinda-Naalya'!J22,'01.08 Ntinda-Naalya 24h'!J22,'03.08 Ntinda-Naalya 24h'!J22,'04.08 Ntinda-Naalya'!J22)</f>
        <v>0.7142857142857143</v>
      </c>
      <c r="K22" s="49">
        <f>AVERAGE('29.07 Ntinda-Naalya'!K22,'30.07 Ntinda-Naalya'!K22,'31.07 Ntinda-Naalya'!K22,'02.08 Ntinda-Naalya'!K22,'01.08 Ntinda-Naalya 24h'!K22,'03.08 Ntinda-Naalya 24h'!K22,'04.08 Ntinda-Naalya'!K22)</f>
        <v>0.14285714285714285</v>
      </c>
      <c r="L22" s="49">
        <f>AVERAGE('29.07 Ntinda-Naalya'!L22,'30.07 Ntinda-Naalya'!L22,'31.07 Ntinda-Naalya'!L22,'02.08 Ntinda-Naalya'!L22,'01.08 Ntinda-Naalya 24h'!L22,'03.08 Ntinda-Naalya 24h'!L22,'04.08 Ntinda-Naalya'!L22)</f>
        <v>0</v>
      </c>
      <c r="M22" s="49">
        <f>AVERAGE('29.07 Ntinda-Naalya'!M22,'30.07 Ntinda-Naalya'!M22,'31.07 Ntinda-Naalya'!M22,'02.08 Ntinda-Naalya'!M22,'01.08 Ntinda-Naalya 24h'!M22,'03.08 Ntinda-Naalya 24h'!M22,'04.08 Ntinda-Naalya'!M22)</f>
        <v>65.285714285714292</v>
      </c>
      <c r="N22" s="49">
        <f>AVERAGE('29.07 Ntinda-Naalya'!N22,'30.07 Ntinda-Naalya'!N22,'31.07 Ntinda-Naalya'!N22,'02.08 Ntinda-Naalya'!N22,'01.08 Ntinda-Naalya 24h'!N22,'03.08 Ntinda-Naalya 24h'!N22,'04.08 Ntinda-Naalya'!N22)</f>
        <v>0</v>
      </c>
      <c r="O22" s="15">
        <f t="shared" si="0"/>
        <v>114.71428571428569</v>
      </c>
      <c r="P22" s="15">
        <f t="shared" si="1"/>
        <v>180</v>
      </c>
      <c r="R22" s="1" t="s">
        <v>146</v>
      </c>
      <c r="S22" s="34">
        <f>SUM(C58:C61)</f>
        <v>488.5</v>
      </c>
      <c r="T22" s="34">
        <f t="shared" ref="T22:AF22" si="14">SUM(D58:D61)</f>
        <v>102</v>
      </c>
      <c r="U22" s="34">
        <f t="shared" si="14"/>
        <v>25</v>
      </c>
      <c r="V22" s="34">
        <f t="shared" si="14"/>
        <v>31.5</v>
      </c>
      <c r="W22" s="34">
        <f t="shared" si="14"/>
        <v>0.5</v>
      </c>
      <c r="X22" s="34">
        <f t="shared" si="14"/>
        <v>1.5</v>
      </c>
      <c r="Y22" s="34">
        <f t="shared" si="14"/>
        <v>6</v>
      </c>
      <c r="Z22" s="34">
        <f t="shared" si="14"/>
        <v>2</v>
      </c>
      <c r="AA22" s="34">
        <f t="shared" si="14"/>
        <v>1.5</v>
      </c>
      <c r="AB22" s="34">
        <f t="shared" si="14"/>
        <v>1</v>
      </c>
      <c r="AC22" s="34">
        <f t="shared" si="14"/>
        <v>344</v>
      </c>
      <c r="AD22" s="34">
        <f t="shared" si="14"/>
        <v>0</v>
      </c>
      <c r="AE22" s="51">
        <f t="shared" si="14"/>
        <v>659.5</v>
      </c>
      <c r="AF22" s="51">
        <f t="shared" si="14"/>
        <v>1003.5</v>
      </c>
    </row>
    <row r="23" spans="2:32" ht="23.1" customHeight="1" x14ac:dyDescent="0.25">
      <c r="B23" s="23" t="s">
        <v>50</v>
      </c>
      <c r="C23" s="49">
        <f>AVERAGE('29.07 Ntinda-Naalya'!C23,'30.07 Ntinda-Naalya'!C23,'31.07 Ntinda-Naalya'!C23,'02.08 Ntinda-Naalya'!C23,'01.08 Ntinda-Naalya 24h'!C23,'03.08 Ntinda-Naalya 24h'!C23,'04.08 Ntinda-Naalya'!C23)</f>
        <v>68.285714285714292</v>
      </c>
      <c r="D23" s="49">
        <f>AVERAGE('29.07 Ntinda-Naalya'!D23,'30.07 Ntinda-Naalya'!D23,'31.07 Ntinda-Naalya'!D23,'02.08 Ntinda-Naalya'!D23,'01.08 Ntinda-Naalya 24h'!D23,'03.08 Ntinda-Naalya 24h'!D23,'04.08 Ntinda-Naalya'!D23)</f>
        <v>20.142857142857142</v>
      </c>
      <c r="E23" s="49">
        <f>AVERAGE('29.07 Ntinda-Naalya'!E23,'30.07 Ntinda-Naalya'!E23,'31.07 Ntinda-Naalya'!E23,'02.08 Ntinda-Naalya'!E23,'01.08 Ntinda-Naalya 24h'!E23,'03.08 Ntinda-Naalya 24h'!E23,'04.08 Ntinda-Naalya'!E23)</f>
        <v>5.1428571428571432</v>
      </c>
      <c r="F23" s="49">
        <f>AVERAGE('29.07 Ntinda-Naalya'!F23,'30.07 Ntinda-Naalya'!F23,'31.07 Ntinda-Naalya'!F23,'02.08 Ntinda-Naalya'!F23,'01.08 Ntinda-Naalya 24h'!F23,'03.08 Ntinda-Naalya 24h'!F23,'04.08 Ntinda-Naalya'!F23)</f>
        <v>5.1428571428571432</v>
      </c>
      <c r="G23" s="49">
        <f>AVERAGE('29.07 Ntinda-Naalya'!G23,'30.07 Ntinda-Naalya'!G23,'31.07 Ntinda-Naalya'!G23,'02.08 Ntinda-Naalya'!G23,'01.08 Ntinda-Naalya 24h'!G23,'03.08 Ntinda-Naalya 24h'!G23,'04.08 Ntinda-Naalya'!G23)</f>
        <v>0.42857142857142855</v>
      </c>
      <c r="H23" s="49">
        <f>AVERAGE('29.07 Ntinda-Naalya'!H23,'30.07 Ntinda-Naalya'!H23,'31.07 Ntinda-Naalya'!H23,'02.08 Ntinda-Naalya'!H23,'01.08 Ntinda-Naalya 24h'!H23,'03.08 Ntinda-Naalya 24h'!H23,'04.08 Ntinda-Naalya'!H23)</f>
        <v>0.14285714285714285</v>
      </c>
      <c r="I23" s="49">
        <f>AVERAGE('29.07 Ntinda-Naalya'!I23,'30.07 Ntinda-Naalya'!I23,'31.07 Ntinda-Naalya'!I23,'02.08 Ntinda-Naalya'!I23,'01.08 Ntinda-Naalya 24h'!I23,'03.08 Ntinda-Naalya 24h'!I23,'04.08 Ntinda-Naalya'!I23)</f>
        <v>2.5714285714285716</v>
      </c>
      <c r="J23" s="49">
        <f>AVERAGE('29.07 Ntinda-Naalya'!J23,'30.07 Ntinda-Naalya'!J23,'31.07 Ntinda-Naalya'!J23,'02.08 Ntinda-Naalya'!J23,'01.08 Ntinda-Naalya 24h'!J23,'03.08 Ntinda-Naalya 24h'!J23,'04.08 Ntinda-Naalya'!J23)</f>
        <v>1.4285714285714286</v>
      </c>
      <c r="K23" s="49">
        <f>AVERAGE('29.07 Ntinda-Naalya'!K23,'30.07 Ntinda-Naalya'!K23,'31.07 Ntinda-Naalya'!K23,'02.08 Ntinda-Naalya'!K23,'01.08 Ntinda-Naalya 24h'!K23,'03.08 Ntinda-Naalya 24h'!K23,'04.08 Ntinda-Naalya'!K23)</f>
        <v>0.42857142857142855</v>
      </c>
      <c r="L23" s="49">
        <f>AVERAGE('29.07 Ntinda-Naalya'!L23,'30.07 Ntinda-Naalya'!L23,'31.07 Ntinda-Naalya'!L23,'02.08 Ntinda-Naalya'!L23,'01.08 Ntinda-Naalya 24h'!L23,'03.08 Ntinda-Naalya 24h'!L23,'04.08 Ntinda-Naalya'!L23)</f>
        <v>0.42857142857142855</v>
      </c>
      <c r="M23" s="49">
        <f>AVERAGE('29.07 Ntinda-Naalya'!M23,'30.07 Ntinda-Naalya'!M23,'31.07 Ntinda-Naalya'!M23,'02.08 Ntinda-Naalya'!M23,'01.08 Ntinda-Naalya 24h'!M23,'03.08 Ntinda-Naalya 24h'!M23,'04.08 Ntinda-Naalya'!M23)</f>
        <v>71.857142857142861</v>
      </c>
      <c r="N23" s="49">
        <f>AVERAGE('29.07 Ntinda-Naalya'!N23,'30.07 Ntinda-Naalya'!N23,'31.07 Ntinda-Naalya'!N23,'02.08 Ntinda-Naalya'!N23,'01.08 Ntinda-Naalya 24h'!N23,'03.08 Ntinda-Naalya 24h'!N23,'04.08 Ntinda-Naalya'!N23)</f>
        <v>0</v>
      </c>
      <c r="O23" s="15">
        <f t="shared" si="0"/>
        <v>104.14285714285714</v>
      </c>
      <c r="P23" s="15">
        <f t="shared" si="1"/>
        <v>176</v>
      </c>
      <c r="R23" s="1" t="s">
        <v>147</v>
      </c>
      <c r="S23" s="34">
        <f>SUM(C62:C65)</f>
        <v>400.5</v>
      </c>
      <c r="T23" s="34">
        <f t="shared" ref="T23:AF23" si="15">SUM(D62:D65)</f>
        <v>93</v>
      </c>
      <c r="U23" s="34">
        <f t="shared" si="15"/>
        <v>22</v>
      </c>
      <c r="V23" s="34">
        <f t="shared" si="15"/>
        <v>45.5</v>
      </c>
      <c r="W23" s="34">
        <f t="shared" si="15"/>
        <v>1.5</v>
      </c>
      <c r="X23" s="34">
        <f t="shared" si="15"/>
        <v>0.5</v>
      </c>
      <c r="Y23" s="34">
        <f t="shared" si="15"/>
        <v>3.5</v>
      </c>
      <c r="Z23" s="34">
        <f t="shared" si="15"/>
        <v>1.5</v>
      </c>
      <c r="AA23" s="34">
        <f t="shared" si="15"/>
        <v>0.5</v>
      </c>
      <c r="AB23" s="34">
        <f t="shared" si="15"/>
        <v>0.5</v>
      </c>
      <c r="AC23" s="34">
        <f t="shared" si="15"/>
        <v>396</v>
      </c>
      <c r="AD23" s="34">
        <f t="shared" si="15"/>
        <v>0</v>
      </c>
      <c r="AE23" s="51">
        <f t="shared" si="15"/>
        <v>569</v>
      </c>
      <c r="AF23" s="51">
        <f t="shared" si="15"/>
        <v>965</v>
      </c>
    </row>
    <row r="24" spans="2:32" ht="23.1" customHeight="1" x14ac:dyDescent="0.25">
      <c r="B24" s="23" t="s">
        <v>51</v>
      </c>
      <c r="C24" s="49">
        <f>AVERAGE('29.07 Ntinda-Naalya'!C24,'30.07 Ntinda-Naalya'!C24,'31.07 Ntinda-Naalya'!C24,'02.08 Ntinda-Naalya'!C24,'01.08 Ntinda-Naalya 24h'!C24,'03.08 Ntinda-Naalya 24h'!C24,'04.08 Ntinda-Naalya'!C24)</f>
        <v>69.428571428571431</v>
      </c>
      <c r="D24" s="49">
        <f>AVERAGE('29.07 Ntinda-Naalya'!D24,'30.07 Ntinda-Naalya'!D24,'31.07 Ntinda-Naalya'!D24,'02.08 Ntinda-Naalya'!D24,'01.08 Ntinda-Naalya 24h'!D24,'03.08 Ntinda-Naalya 24h'!D24,'04.08 Ntinda-Naalya'!D24)</f>
        <v>16.142857142857142</v>
      </c>
      <c r="E24" s="49">
        <f>AVERAGE('29.07 Ntinda-Naalya'!E24,'30.07 Ntinda-Naalya'!E24,'31.07 Ntinda-Naalya'!E24,'02.08 Ntinda-Naalya'!E24,'01.08 Ntinda-Naalya 24h'!E24,'03.08 Ntinda-Naalya 24h'!E24,'04.08 Ntinda-Naalya'!E24)</f>
        <v>4.2857142857142856</v>
      </c>
      <c r="F24" s="49">
        <f>AVERAGE('29.07 Ntinda-Naalya'!F24,'30.07 Ntinda-Naalya'!F24,'31.07 Ntinda-Naalya'!F24,'02.08 Ntinda-Naalya'!F24,'01.08 Ntinda-Naalya 24h'!F24,'03.08 Ntinda-Naalya 24h'!F24,'04.08 Ntinda-Naalya'!F24)</f>
        <v>5.8571428571428568</v>
      </c>
      <c r="G24" s="49">
        <f>AVERAGE('29.07 Ntinda-Naalya'!G24,'30.07 Ntinda-Naalya'!G24,'31.07 Ntinda-Naalya'!G24,'02.08 Ntinda-Naalya'!G24,'01.08 Ntinda-Naalya 24h'!G24,'03.08 Ntinda-Naalya 24h'!G24,'04.08 Ntinda-Naalya'!G24)</f>
        <v>0</v>
      </c>
      <c r="H24" s="49">
        <f>AVERAGE('29.07 Ntinda-Naalya'!H24,'30.07 Ntinda-Naalya'!H24,'31.07 Ntinda-Naalya'!H24,'02.08 Ntinda-Naalya'!H24,'01.08 Ntinda-Naalya 24h'!H24,'03.08 Ntinda-Naalya 24h'!H24,'04.08 Ntinda-Naalya'!H24)</f>
        <v>0.2857142857142857</v>
      </c>
      <c r="I24" s="49">
        <f>AVERAGE('29.07 Ntinda-Naalya'!I24,'30.07 Ntinda-Naalya'!I24,'31.07 Ntinda-Naalya'!I24,'02.08 Ntinda-Naalya'!I24,'01.08 Ntinda-Naalya 24h'!I24,'03.08 Ntinda-Naalya 24h'!I24,'04.08 Ntinda-Naalya'!I24)</f>
        <v>5.1428571428571432</v>
      </c>
      <c r="J24" s="49">
        <f>AVERAGE('29.07 Ntinda-Naalya'!J24,'30.07 Ntinda-Naalya'!J24,'31.07 Ntinda-Naalya'!J24,'02.08 Ntinda-Naalya'!J24,'01.08 Ntinda-Naalya 24h'!J24,'03.08 Ntinda-Naalya 24h'!J24,'04.08 Ntinda-Naalya'!J24)</f>
        <v>1.8571428571428572</v>
      </c>
      <c r="K24" s="49">
        <f>AVERAGE('29.07 Ntinda-Naalya'!K24,'30.07 Ntinda-Naalya'!K24,'31.07 Ntinda-Naalya'!K24,'02.08 Ntinda-Naalya'!K24,'01.08 Ntinda-Naalya 24h'!K24,'03.08 Ntinda-Naalya 24h'!K24,'04.08 Ntinda-Naalya'!K24)</f>
        <v>0.5714285714285714</v>
      </c>
      <c r="L24" s="49">
        <f>AVERAGE('29.07 Ntinda-Naalya'!L24,'30.07 Ntinda-Naalya'!L24,'31.07 Ntinda-Naalya'!L24,'02.08 Ntinda-Naalya'!L24,'01.08 Ntinda-Naalya 24h'!L24,'03.08 Ntinda-Naalya 24h'!L24,'04.08 Ntinda-Naalya'!L24)</f>
        <v>0.14285714285714285</v>
      </c>
      <c r="M24" s="49">
        <f>AVERAGE('29.07 Ntinda-Naalya'!M24,'30.07 Ntinda-Naalya'!M24,'31.07 Ntinda-Naalya'!M24,'02.08 Ntinda-Naalya'!M24,'01.08 Ntinda-Naalya 24h'!M24,'03.08 Ntinda-Naalya 24h'!M24,'04.08 Ntinda-Naalya'!M24)</f>
        <v>64.857142857142861</v>
      </c>
      <c r="N24" s="49">
        <f>AVERAGE('29.07 Ntinda-Naalya'!N24,'30.07 Ntinda-Naalya'!N24,'31.07 Ntinda-Naalya'!N24,'02.08 Ntinda-Naalya'!N24,'01.08 Ntinda-Naalya 24h'!N24,'03.08 Ntinda-Naalya 24h'!N24,'04.08 Ntinda-Naalya'!N24)</f>
        <v>0</v>
      </c>
      <c r="O24" s="15">
        <f t="shared" si="0"/>
        <v>103.71428571428572</v>
      </c>
      <c r="P24" s="15">
        <f t="shared" si="1"/>
        <v>168.57142857142858</v>
      </c>
      <c r="R24" s="1" t="s">
        <v>148</v>
      </c>
      <c r="S24" s="34">
        <f>SUM(C66:C69)</f>
        <v>472.5</v>
      </c>
      <c r="T24" s="34">
        <f t="shared" ref="T24:AF24" si="16">SUM(D66:D69)</f>
        <v>108.5</v>
      </c>
      <c r="U24" s="34">
        <f t="shared" si="16"/>
        <v>80.5</v>
      </c>
      <c r="V24" s="34">
        <f t="shared" si="16"/>
        <v>18.5</v>
      </c>
      <c r="W24" s="34">
        <f t="shared" si="16"/>
        <v>1</v>
      </c>
      <c r="X24" s="34">
        <f t="shared" si="16"/>
        <v>0</v>
      </c>
      <c r="Y24" s="34">
        <f t="shared" si="16"/>
        <v>1.5</v>
      </c>
      <c r="Z24" s="34">
        <f t="shared" si="16"/>
        <v>3</v>
      </c>
      <c r="AA24" s="34">
        <f t="shared" si="16"/>
        <v>0.5</v>
      </c>
      <c r="AB24" s="34">
        <f t="shared" si="16"/>
        <v>0</v>
      </c>
      <c r="AC24" s="34">
        <f t="shared" si="16"/>
        <v>206</v>
      </c>
      <c r="AD24" s="34">
        <f t="shared" si="16"/>
        <v>0</v>
      </c>
      <c r="AE24" s="51">
        <f t="shared" si="16"/>
        <v>686</v>
      </c>
      <c r="AF24" s="51">
        <f t="shared" si="16"/>
        <v>892</v>
      </c>
    </row>
    <row r="25" spans="2:32" ht="23.1" customHeight="1" x14ac:dyDescent="0.25">
      <c r="B25" s="23" t="s">
        <v>52</v>
      </c>
      <c r="C25" s="49">
        <f>AVERAGE('29.07 Ntinda-Naalya'!C25,'30.07 Ntinda-Naalya'!C25,'31.07 Ntinda-Naalya'!C25,'02.08 Ntinda-Naalya'!C25,'01.08 Ntinda-Naalya 24h'!C25,'03.08 Ntinda-Naalya 24h'!C25,'04.08 Ntinda-Naalya'!C25)</f>
        <v>70.857142857142861</v>
      </c>
      <c r="D25" s="49">
        <f>AVERAGE('29.07 Ntinda-Naalya'!D25,'30.07 Ntinda-Naalya'!D25,'31.07 Ntinda-Naalya'!D25,'02.08 Ntinda-Naalya'!D25,'01.08 Ntinda-Naalya 24h'!D25,'03.08 Ntinda-Naalya 24h'!D25,'04.08 Ntinda-Naalya'!D25)</f>
        <v>15.428571428571429</v>
      </c>
      <c r="E25" s="49">
        <f>AVERAGE('29.07 Ntinda-Naalya'!E25,'30.07 Ntinda-Naalya'!E25,'31.07 Ntinda-Naalya'!E25,'02.08 Ntinda-Naalya'!E25,'01.08 Ntinda-Naalya 24h'!E25,'03.08 Ntinda-Naalya 24h'!E25,'04.08 Ntinda-Naalya'!E25)</f>
        <v>4</v>
      </c>
      <c r="F25" s="49">
        <f>AVERAGE('29.07 Ntinda-Naalya'!F25,'30.07 Ntinda-Naalya'!F25,'31.07 Ntinda-Naalya'!F25,'02.08 Ntinda-Naalya'!F25,'01.08 Ntinda-Naalya 24h'!F25,'03.08 Ntinda-Naalya 24h'!F25,'04.08 Ntinda-Naalya'!F25)</f>
        <v>6.4285714285714288</v>
      </c>
      <c r="G25" s="49">
        <f>AVERAGE('29.07 Ntinda-Naalya'!G25,'30.07 Ntinda-Naalya'!G25,'31.07 Ntinda-Naalya'!G25,'02.08 Ntinda-Naalya'!G25,'01.08 Ntinda-Naalya 24h'!G25,'03.08 Ntinda-Naalya 24h'!G25,'04.08 Ntinda-Naalya'!G25)</f>
        <v>0.5714285714285714</v>
      </c>
      <c r="H25" s="49">
        <f>AVERAGE('29.07 Ntinda-Naalya'!H25,'30.07 Ntinda-Naalya'!H25,'31.07 Ntinda-Naalya'!H25,'02.08 Ntinda-Naalya'!H25,'01.08 Ntinda-Naalya 24h'!H25,'03.08 Ntinda-Naalya 24h'!H25,'04.08 Ntinda-Naalya'!H25)</f>
        <v>0.14285714285714285</v>
      </c>
      <c r="I25" s="49">
        <f>AVERAGE('29.07 Ntinda-Naalya'!I25,'30.07 Ntinda-Naalya'!I25,'31.07 Ntinda-Naalya'!I25,'02.08 Ntinda-Naalya'!I25,'01.08 Ntinda-Naalya 24h'!I25,'03.08 Ntinda-Naalya 24h'!I25,'04.08 Ntinda-Naalya'!I25)</f>
        <v>6.7142857142857144</v>
      </c>
      <c r="J25" s="49">
        <f>AVERAGE('29.07 Ntinda-Naalya'!J25,'30.07 Ntinda-Naalya'!J25,'31.07 Ntinda-Naalya'!J25,'02.08 Ntinda-Naalya'!J25,'01.08 Ntinda-Naalya 24h'!J25,'03.08 Ntinda-Naalya 24h'!J25,'04.08 Ntinda-Naalya'!J25)</f>
        <v>2</v>
      </c>
      <c r="K25" s="49">
        <f>AVERAGE('29.07 Ntinda-Naalya'!K25,'30.07 Ntinda-Naalya'!K25,'31.07 Ntinda-Naalya'!K25,'02.08 Ntinda-Naalya'!K25,'01.08 Ntinda-Naalya 24h'!K25,'03.08 Ntinda-Naalya 24h'!K25,'04.08 Ntinda-Naalya'!K25)</f>
        <v>0.14285714285714285</v>
      </c>
      <c r="L25" s="49">
        <f>AVERAGE('29.07 Ntinda-Naalya'!L25,'30.07 Ntinda-Naalya'!L25,'31.07 Ntinda-Naalya'!L25,'02.08 Ntinda-Naalya'!L25,'01.08 Ntinda-Naalya 24h'!L25,'03.08 Ntinda-Naalya 24h'!L25,'04.08 Ntinda-Naalya'!L25)</f>
        <v>0.14285714285714285</v>
      </c>
      <c r="M25" s="49">
        <f>AVERAGE('29.07 Ntinda-Naalya'!M25,'30.07 Ntinda-Naalya'!M25,'31.07 Ntinda-Naalya'!M25,'02.08 Ntinda-Naalya'!M25,'01.08 Ntinda-Naalya 24h'!M25,'03.08 Ntinda-Naalya 24h'!M25,'04.08 Ntinda-Naalya'!M25)</f>
        <v>74.571428571428569</v>
      </c>
      <c r="N25" s="49">
        <f>AVERAGE('29.07 Ntinda-Naalya'!N25,'30.07 Ntinda-Naalya'!N25,'31.07 Ntinda-Naalya'!N25,'02.08 Ntinda-Naalya'!N25,'01.08 Ntinda-Naalya 24h'!N25,'03.08 Ntinda-Naalya 24h'!N25,'04.08 Ntinda-Naalya'!N25)</f>
        <v>0</v>
      </c>
      <c r="O25" s="15">
        <f t="shared" si="0"/>
        <v>106.42857142857142</v>
      </c>
      <c r="P25" s="15">
        <f t="shared" si="1"/>
        <v>181</v>
      </c>
      <c r="R25" s="1" t="s">
        <v>149</v>
      </c>
      <c r="S25" s="34">
        <f>SUM(C70:C73)</f>
        <v>370</v>
      </c>
      <c r="T25" s="34">
        <f t="shared" ref="T25:AF25" si="17">SUM(D70:D73)</f>
        <v>62</v>
      </c>
      <c r="U25" s="34">
        <f t="shared" si="17"/>
        <v>28</v>
      </c>
      <c r="V25" s="34">
        <f t="shared" si="17"/>
        <v>6.5</v>
      </c>
      <c r="W25" s="34">
        <f t="shared" si="17"/>
        <v>0.5</v>
      </c>
      <c r="X25" s="34">
        <f t="shared" si="17"/>
        <v>0.5</v>
      </c>
      <c r="Y25" s="34">
        <f t="shared" si="17"/>
        <v>3.5</v>
      </c>
      <c r="Z25" s="34">
        <f t="shared" si="17"/>
        <v>1.5</v>
      </c>
      <c r="AA25" s="34">
        <f t="shared" si="17"/>
        <v>1</v>
      </c>
      <c r="AB25" s="34">
        <f t="shared" si="17"/>
        <v>0</v>
      </c>
      <c r="AC25" s="34">
        <f t="shared" si="17"/>
        <v>168</v>
      </c>
      <c r="AD25" s="34">
        <f t="shared" si="17"/>
        <v>0</v>
      </c>
      <c r="AE25" s="51">
        <f t="shared" si="17"/>
        <v>473.5</v>
      </c>
      <c r="AF25" s="51">
        <f t="shared" si="17"/>
        <v>641.5</v>
      </c>
    </row>
    <row r="26" spans="2:32" ht="23.1" customHeight="1" x14ac:dyDescent="0.25">
      <c r="B26" s="23" t="s">
        <v>53</v>
      </c>
      <c r="C26" s="49">
        <f>AVERAGE('29.07 Ntinda-Naalya'!C26,'30.07 Ntinda-Naalya'!C26,'31.07 Ntinda-Naalya'!C26,'02.08 Ntinda-Naalya'!C26,'01.08 Ntinda-Naalya 24h'!C26,'03.08 Ntinda-Naalya 24h'!C26,'04.08 Ntinda-Naalya'!C26)</f>
        <v>66.428571428571431</v>
      </c>
      <c r="D26" s="49">
        <f>AVERAGE('29.07 Ntinda-Naalya'!D26,'30.07 Ntinda-Naalya'!D26,'31.07 Ntinda-Naalya'!D26,'02.08 Ntinda-Naalya'!D26,'01.08 Ntinda-Naalya 24h'!D26,'03.08 Ntinda-Naalya 24h'!D26,'04.08 Ntinda-Naalya'!D26)</f>
        <v>19.285714285714285</v>
      </c>
      <c r="E26" s="49">
        <f>AVERAGE('29.07 Ntinda-Naalya'!E26,'30.07 Ntinda-Naalya'!E26,'31.07 Ntinda-Naalya'!E26,'02.08 Ntinda-Naalya'!E26,'01.08 Ntinda-Naalya 24h'!E26,'03.08 Ntinda-Naalya 24h'!E26,'04.08 Ntinda-Naalya'!E26)</f>
        <v>4.7142857142857144</v>
      </c>
      <c r="F26" s="49">
        <f>AVERAGE('29.07 Ntinda-Naalya'!F26,'30.07 Ntinda-Naalya'!F26,'31.07 Ntinda-Naalya'!F26,'02.08 Ntinda-Naalya'!F26,'01.08 Ntinda-Naalya 24h'!F26,'03.08 Ntinda-Naalya 24h'!F26,'04.08 Ntinda-Naalya'!F26)</f>
        <v>6.7142857142857144</v>
      </c>
      <c r="G26" s="49">
        <f>AVERAGE('29.07 Ntinda-Naalya'!G26,'30.07 Ntinda-Naalya'!G26,'31.07 Ntinda-Naalya'!G26,'02.08 Ntinda-Naalya'!G26,'01.08 Ntinda-Naalya 24h'!G26,'03.08 Ntinda-Naalya 24h'!G26,'04.08 Ntinda-Naalya'!G26)</f>
        <v>0.14285714285714285</v>
      </c>
      <c r="H26" s="49">
        <f>AVERAGE('29.07 Ntinda-Naalya'!H26,'30.07 Ntinda-Naalya'!H26,'31.07 Ntinda-Naalya'!H26,'02.08 Ntinda-Naalya'!H26,'01.08 Ntinda-Naalya 24h'!H26,'03.08 Ntinda-Naalya 24h'!H26,'04.08 Ntinda-Naalya'!H26)</f>
        <v>0.14285714285714285</v>
      </c>
      <c r="I26" s="49">
        <f>AVERAGE('29.07 Ntinda-Naalya'!I26,'30.07 Ntinda-Naalya'!I26,'31.07 Ntinda-Naalya'!I26,'02.08 Ntinda-Naalya'!I26,'01.08 Ntinda-Naalya 24h'!I26,'03.08 Ntinda-Naalya 24h'!I26,'04.08 Ntinda-Naalya'!I26)</f>
        <v>4</v>
      </c>
      <c r="J26" s="49">
        <f>AVERAGE('29.07 Ntinda-Naalya'!J26,'30.07 Ntinda-Naalya'!J26,'31.07 Ntinda-Naalya'!J26,'02.08 Ntinda-Naalya'!J26,'01.08 Ntinda-Naalya 24h'!J26,'03.08 Ntinda-Naalya 24h'!J26,'04.08 Ntinda-Naalya'!J26)</f>
        <v>1.8571428571428572</v>
      </c>
      <c r="K26" s="49">
        <f>AVERAGE('29.07 Ntinda-Naalya'!K26,'30.07 Ntinda-Naalya'!K26,'31.07 Ntinda-Naalya'!K26,'02.08 Ntinda-Naalya'!K26,'01.08 Ntinda-Naalya 24h'!K26,'03.08 Ntinda-Naalya 24h'!K26,'04.08 Ntinda-Naalya'!K26)</f>
        <v>0.42857142857142855</v>
      </c>
      <c r="L26" s="49">
        <f>AVERAGE('29.07 Ntinda-Naalya'!L26,'30.07 Ntinda-Naalya'!L26,'31.07 Ntinda-Naalya'!L26,'02.08 Ntinda-Naalya'!L26,'01.08 Ntinda-Naalya 24h'!L26,'03.08 Ntinda-Naalya 24h'!L26,'04.08 Ntinda-Naalya'!L26)</f>
        <v>0</v>
      </c>
      <c r="M26" s="49">
        <f>AVERAGE('29.07 Ntinda-Naalya'!M26,'30.07 Ntinda-Naalya'!M26,'31.07 Ntinda-Naalya'!M26,'02.08 Ntinda-Naalya'!M26,'01.08 Ntinda-Naalya 24h'!M26,'03.08 Ntinda-Naalya 24h'!M26,'04.08 Ntinda-Naalya'!M26)</f>
        <v>70.714285714285708</v>
      </c>
      <c r="N26" s="49">
        <f>AVERAGE('29.07 Ntinda-Naalya'!N26,'30.07 Ntinda-Naalya'!N26,'31.07 Ntinda-Naalya'!N26,'02.08 Ntinda-Naalya'!N26,'01.08 Ntinda-Naalya 24h'!N26,'03.08 Ntinda-Naalya 24h'!N26,'04.08 Ntinda-Naalya'!N26)</f>
        <v>0</v>
      </c>
      <c r="O26" s="15">
        <f t="shared" si="0"/>
        <v>103.71428571428571</v>
      </c>
      <c r="P26" s="15">
        <f t="shared" si="1"/>
        <v>174.42857142857142</v>
      </c>
      <c r="R26" s="1" t="s">
        <v>150</v>
      </c>
      <c r="S26" s="34">
        <f>SUM(C74:C77)</f>
        <v>290</v>
      </c>
      <c r="T26" s="34">
        <f t="shared" ref="T26:AF26" si="18">SUM(D74:D77)</f>
        <v>47.5</v>
      </c>
      <c r="U26" s="34">
        <f t="shared" si="18"/>
        <v>13.5</v>
      </c>
      <c r="V26" s="34">
        <f t="shared" si="18"/>
        <v>8</v>
      </c>
      <c r="W26" s="34">
        <f t="shared" si="18"/>
        <v>0</v>
      </c>
      <c r="X26" s="34">
        <f t="shared" si="18"/>
        <v>0</v>
      </c>
      <c r="Y26" s="34">
        <f t="shared" si="18"/>
        <v>0.5</v>
      </c>
      <c r="Z26" s="34">
        <f t="shared" si="18"/>
        <v>1</v>
      </c>
      <c r="AA26" s="34">
        <f t="shared" si="18"/>
        <v>0</v>
      </c>
      <c r="AB26" s="34">
        <f t="shared" si="18"/>
        <v>0</v>
      </c>
      <c r="AC26" s="34">
        <f t="shared" si="18"/>
        <v>92</v>
      </c>
      <c r="AD26" s="34">
        <f t="shared" si="18"/>
        <v>0</v>
      </c>
      <c r="AE26" s="51">
        <f t="shared" si="18"/>
        <v>360.5</v>
      </c>
      <c r="AF26" s="51">
        <f t="shared" si="18"/>
        <v>452.5</v>
      </c>
    </row>
    <row r="27" spans="2:32" ht="23.1" customHeight="1" x14ac:dyDescent="0.25">
      <c r="B27" s="23" t="s">
        <v>54</v>
      </c>
      <c r="C27" s="49">
        <f>AVERAGE('29.07 Ntinda-Naalya'!C27,'30.07 Ntinda-Naalya'!C27,'31.07 Ntinda-Naalya'!C27,'02.08 Ntinda-Naalya'!C27,'01.08 Ntinda-Naalya 24h'!C27,'03.08 Ntinda-Naalya 24h'!C27,'04.08 Ntinda-Naalya'!C27)</f>
        <v>69.857142857142861</v>
      </c>
      <c r="D27" s="49">
        <f>AVERAGE('29.07 Ntinda-Naalya'!D27,'30.07 Ntinda-Naalya'!D27,'31.07 Ntinda-Naalya'!D27,'02.08 Ntinda-Naalya'!D27,'01.08 Ntinda-Naalya 24h'!D27,'03.08 Ntinda-Naalya 24h'!D27,'04.08 Ntinda-Naalya'!D27)</f>
        <v>20</v>
      </c>
      <c r="E27" s="49">
        <f>AVERAGE('29.07 Ntinda-Naalya'!E27,'30.07 Ntinda-Naalya'!E27,'31.07 Ntinda-Naalya'!E27,'02.08 Ntinda-Naalya'!E27,'01.08 Ntinda-Naalya 24h'!E27,'03.08 Ntinda-Naalya 24h'!E27,'04.08 Ntinda-Naalya'!E27)</f>
        <v>4</v>
      </c>
      <c r="F27" s="49">
        <f>AVERAGE('29.07 Ntinda-Naalya'!F27,'30.07 Ntinda-Naalya'!F27,'31.07 Ntinda-Naalya'!F27,'02.08 Ntinda-Naalya'!F27,'01.08 Ntinda-Naalya 24h'!F27,'03.08 Ntinda-Naalya 24h'!F27,'04.08 Ntinda-Naalya'!F27)</f>
        <v>7.4285714285714288</v>
      </c>
      <c r="G27" s="49">
        <f>AVERAGE('29.07 Ntinda-Naalya'!G27,'30.07 Ntinda-Naalya'!G27,'31.07 Ntinda-Naalya'!G27,'02.08 Ntinda-Naalya'!G27,'01.08 Ntinda-Naalya 24h'!G27,'03.08 Ntinda-Naalya 24h'!G27,'04.08 Ntinda-Naalya'!G27)</f>
        <v>0.5714285714285714</v>
      </c>
      <c r="H27" s="49">
        <f>AVERAGE('29.07 Ntinda-Naalya'!H27,'30.07 Ntinda-Naalya'!H27,'31.07 Ntinda-Naalya'!H27,'02.08 Ntinda-Naalya'!H27,'01.08 Ntinda-Naalya 24h'!H27,'03.08 Ntinda-Naalya 24h'!H27,'04.08 Ntinda-Naalya'!H27)</f>
        <v>0.14285714285714285</v>
      </c>
      <c r="I27" s="49">
        <f>AVERAGE('29.07 Ntinda-Naalya'!I27,'30.07 Ntinda-Naalya'!I27,'31.07 Ntinda-Naalya'!I27,'02.08 Ntinda-Naalya'!I27,'01.08 Ntinda-Naalya 24h'!I27,'03.08 Ntinda-Naalya 24h'!I27,'04.08 Ntinda-Naalya'!I27)</f>
        <v>3.8571428571428572</v>
      </c>
      <c r="J27" s="49">
        <f>AVERAGE('29.07 Ntinda-Naalya'!J27,'30.07 Ntinda-Naalya'!J27,'31.07 Ntinda-Naalya'!J27,'02.08 Ntinda-Naalya'!J27,'01.08 Ntinda-Naalya 24h'!J27,'03.08 Ntinda-Naalya 24h'!J27,'04.08 Ntinda-Naalya'!J27)</f>
        <v>1.5714285714285714</v>
      </c>
      <c r="K27" s="49">
        <f>AVERAGE('29.07 Ntinda-Naalya'!K27,'30.07 Ntinda-Naalya'!K27,'31.07 Ntinda-Naalya'!K27,'02.08 Ntinda-Naalya'!K27,'01.08 Ntinda-Naalya 24h'!K27,'03.08 Ntinda-Naalya 24h'!K27,'04.08 Ntinda-Naalya'!K27)</f>
        <v>0.42857142857142855</v>
      </c>
      <c r="L27" s="49">
        <f>AVERAGE('29.07 Ntinda-Naalya'!L27,'30.07 Ntinda-Naalya'!L27,'31.07 Ntinda-Naalya'!L27,'02.08 Ntinda-Naalya'!L27,'01.08 Ntinda-Naalya 24h'!L27,'03.08 Ntinda-Naalya 24h'!L27,'04.08 Ntinda-Naalya'!L27)</f>
        <v>0.2857142857142857</v>
      </c>
      <c r="M27" s="49">
        <f>AVERAGE('29.07 Ntinda-Naalya'!M27,'30.07 Ntinda-Naalya'!M27,'31.07 Ntinda-Naalya'!M27,'02.08 Ntinda-Naalya'!M27,'01.08 Ntinda-Naalya 24h'!M27,'03.08 Ntinda-Naalya 24h'!M27,'04.08 Ntinda-Naalya'!M27)</f>
        <v>71.857142857142861</v>
      </c>
      <c r="N27" s="49">
        <f>AVERAGE('29.07 Ntinda-Naalya'!N27,'30.07 Ntinda-Naalya'!N27,'31.07 Ntinda-Naalya'!N27,'02.08 Ntinda-Naalya'!N27,'01.08 Ntinda-Naalya 24h'!N27,'03.08 Ntinda-Naalya 24h'!N27,'04.08 Ntinda-Naalya'!N27)</f>
        <v>0</v>
      </c>
      <c r="O27" s="15">
        <f t="shared" si="0"/>
        <v>108.14285714285715</v>
      </c>
      <c r="P27" s="15">
        <f t="shared" si="1"/>
        <v>180</v>
      </c>
      <c r="R27" s="1" t="s">
        <v>151</v>
      </c>
      <c r="S27" s="34">
        <f>SUM(C78:C81)</f>
        <v>124</v>
      </c>
      <c r="T27" s="34">
        <f t="shared" ref="T27:AF27" si="19">SUM(D78:D81)</f>
        <v>25.5</v>
      </c>
      <c r="U27" s="34">
        <f t="shared" si="19"/>
        <v>7</v>
      </c>
      <c r="V27" s="34">
        <f t="shared" si="19"/>
        <v>4.5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2</v>
      </c>
      <c r="AA27" s="34">
        <f t="shared" si="19"/>
        <v>4.5</v>
      </c>
      <c r="AB27" s="34">
        <f t="shared" si="19"/>
        <v>0</v>
      </c>
      <c r="AC27" s="34">
        <f t="shared" si="19"/>
        <v>38.5</v>
      </c>
      <c r="AD27" s="34">
        <f t="shared" si="19"/>
        <v>0</v>
      </c>
      <c r="AE27" s="51">
        <f t="shared" si="19"/>
        <v>167.5</v>
      </c>
      <c r="AF27" s="51">
        <f t="shared" si="19"/>
        <v>206</v>
      </c>
    </row>
    <row r="28" spans="2:32" ht="23.1" customHeight="1" x14ac:dyDescent="0.25">
      <c r="B28" s="23" t="s">
        <v>55</v>
      </c>
      <c r="C28" s="49">
        <f>AVERAGE('29.07 Ntinda-Naalya'!C28,'30.07 Ntinda-Naalya'!C28,'31.07 Ntinda-Naalya'!C28,'02.08 Ntinda-Naalya'!C28,'01.08 Ntinda-Naalya 24h'!C28,'03.08 Ntinda-Naalya 24h'!C28,'04.08 Ntinda-Naalya'!C28)</f>
        <v>77.428571428571431</v>
      </c>
      <c r="D28" s="49">
        <f>AVERAGE('29.07 Ntinda-Naalya'!D28,'30.07 Ntinda-Naalya'!D28,'31.07 Ntinda-Naalya'!D28,'02.08 Ntinda-Naalya'!D28,'01.08 Ntinda-Naalya 24h'!D28,'03.08 Ntinda-Naalya 24h'!D28,'04.08 Ntinda-Naalya'!D28)</f>
        <v>17.714285714285715</v>
      </c>
      <c r="E28" s="49">
        <f>AVERAGE('29.07 Ntinda-Naalya'!E28,'30.07 Ntinda-Naalya'!E28,'31.07 Ntinda-Naalya'!E28,'02.08 Ntinda-Naalya'!E28,'01.08 Ntinda-Naalya 24h'!E28,'03.08 Ntinda-Naalya 24h'!E28,'04.08 Ntinda-Naalya'!E28)</f>
        <v>4.5714285714285712</v>
      </c>
      <c r="F28" s="49">
        <f>AVERAGE('29.07 Ntinda-Naalya'!F28,'30.07 Ntinda-Naalya'!F28,'31.07 Ntinda-Naalya'!F28,'02.08 Ntinda-Naalya'!F28,'01.08 Ntinda-Naalya 24h'!F28,'03.08 Ntinda-Naalya 24h'!F28,'04.08 Ntinda-Naalya'!F28)</f>
        <v>7.4285714285714288</v>
      </c>
      <c r="G28" s="49">
        <f>AVERAGE('29.07 Ntinda-Naalya'!G28,'30.07 Ntinda-Naalya'!G28,'31.07 Ntinda-Naalya'!G28,'02.08 Ntinda-Naalya'!G28,'01.08 Ntinda-Naalya 24h'!G28,'03.08 Ntinda-Naalya 24h'!G28,'04.08 Ntinda-Naalya'!G28)</f>
        <v>0.42857142857142855</v>
      </c>
      <c r="H28" s="49">
        <f>AVERAGE('29.07 Ntinda-Naalya'!H28,'30.07 Ntinda-Naalya'!H28,'31.07 Ntinda-Naalya'!H28,'02.08 Ntinda-Naalya'!H28,'01.08 Ntinda-Naalya 24h'!H28,'03.08 Ntinda-Naalya 24h'!H28,'04.08 Ntinda-Naalya'!H28)</f>
        <v>0</v>
      </c>
      <c r="I28" s="49">
        <f>AVERAGE('29.07 Ntinda-Naalya'!I28,'30.07 Ntinda-Naalya'!I28,'31.07 Ntinda-Naalya'!I28,'02.08 Ntinda-Naalya'!I28,'01.08 Ntinda-Naalya 24h'!I28,'03.08 Ntinda-Naalya 24h'!I28,'04.08 Ntinda-Naalya'!I28)</f>
        <v>4.7142857142857144</v>
      </c>
      <c r="J28" s="49">
        <f>AVERAGE('29.07 Ntinda-Naalya'!J28,'30.07 Ntinda-Naalya'!J28,'31.07 Ntinda-Naalya'!J28,'02.08 Ntinda-Naalya'!J28,'01.08 Ntinda-Naalya 24h'!J28,'03.08 Ntinda-Naalya 24h'!J28,'04.08 Ntinda-Naalya'!J28)</f>
        <v>1.5714285714285714</v>
      </c>
      <c r="K28" s="49">
        <f>AVERAGE('29.07 Ntinda-Naalya'!K28,'30.07 Ntinda-Naalya'!K28,'31.07 Ntinda-Naalya'!K28,'02.08 Ntinda-Naalya'!K28,'01.08 Ntinda-Naalya 24h'!K28,'03.08 Ntinda-Naalya 24h'!K28,'04.08 Ntinda-Naalya'!K28)</f>
        <v>0.2857142857142857</v>
      </c>
      <c r="L28" s="49">
        <f>AVERAGE('29.07 Ntinda-Naalya'!L28,'30.07 Ntinda-Naalya'!L28,'31.07 Ntinda-Naalya'!L28,'02.08 Ntinda-Naalya'!L28,'01.08 Ntinda-Naalya 24h'!L28,'03.08 Ntinda-Naalya 24h'!L28,'04.08 Ntinda-Naalya'!L28)</f>
        <v>0.2857142857142857</v>
      </c>
      <c r="M28" s="49">
        <f>AVERAGE('29.07 Ntinda-Naalya'!M28,'30.07 Ntinda-Naalya'!M28,'31.07 Ntinda-Naalya'!M28,'02.08 Ntinda-Naalya'!M28,'01.08 Ntinda-Naalya 24h'!M28,'03.08 Ntinda-Naalya 24h'!M28,'04.08 Ntinda-Naalya'!M28)</f>
        <v>61.714285714285715</v>
      </c>
      <c r="N28" s="49">
        <f>AVERAGE('29.07 Ntinda-Naalya'!N28,'30.07 Ntinda-Naalya'!N28,'31.07 Ntinda-Naalya'!N28,'02.08 Ntinda-Naalya'!N28,'01.08 Ntinda-Naalya 24h'!N28,'03.08 Ntinda-Naalya 24h'!N28,'04.08 Ntinda-Naalya'!N28)</f>
        <v>0</v>
      </c>
      <c r="O28" s="15">
        <f t="shared" si="0"/>
        <v>114.42857142857143</v>
      </c>
      <c r="P28" s="15">
        <f t="shared" si="1"/>
        <v>176.14285714285714</v>
      </c>
      <c r="R28" s="1" t="s">
        <v>152</v>
      </c>
      <c r="S28" s="34">
        <f>SUM(C82:C85)</f>
        <v>60</v>
      </c>
      <c r="T28" s="34">
        <f t="shared" ref="T28:AF28" si="20">SUM(D82:D85)</f>
        <v>12.5</v>
      </c>
      <c r="U28" s="34">
        <f t="shared" si="20"/>
        <v>3.5</v>
      </c>
      <c r="V28" s="34">
        <f t="shared" si="20"/>
        <v>1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1.5</v>
      </c>
      <c r="AA28" s="34">
        <f t="shared" si="20"/>
        <v>0</v>
      </c>
      <c r="AB28" s="34">
        <f t="shared" si="20"/>
        <v>0</v>
      </c>
      <c r="AC28" s="34">
        <f t="shared" si="20"/>
        <v>23</v>
      </c>
      <c r="AD28" s="34">
        <f t="shared" si="20"/>
        <v>0</v>
      </c>
      <c r="AE28" s="51">
        <f t="shared" si="20"/>
        <v>78.5</v>
      </c>
      <c r="AF28" s="51">
        <f t="shared" si="20"/>
        <v>101.5</v>
      </c>
    </row>
    <row r="29" spans="2:32" ht="23.1" customHeight="1" x14ac:dyDescent="0.25">
      <c r="B29" s="23" t="s">
        <v>56</v>
      </c>
      <c r="C29" s="49">
        <f>AVERAGE('29.07 Ntinda-Naalya'!C29,'30.07 Ntinda-Naalya'!C29,'31.07 Ntinda-Naalya'!C29,'02.08 Ntinda-Naalya'!C29,'01.08 Ntinda-Naalya 24h'!C29,'03.08 Ntinda-Naalya 24h'!C29,'04.08 Ntinda-Naalya'!C29)</f>
        <v>78.857142857142861</v>
      </c>
      <c r="D29" s="49">
        <f>AVERAGE('29.07 Ntinda-Naalya'!D29,'30.07 Ntinda-Naalya'!D29,'31.07 Ntinda-Naalya'!D29,'02.08 Ntinda-Naalya'!D29,'01.08 Ntinda-Naalya 24h'!D29,'03.08 Ntinda-Naalya 24h'!D29,'04.08 Ntinda-Naalya'!D29)</f>
        <v>19.428571428571427</v>
      </c>
      <c r="E29" s="49">
        <f>AVERAGE('29.07 Ntinda-Naalya'!E29,'30.07 Ntinda-Naalya'!E29,'31.07 Ntinda-Naalya'!E29,'02.08 Ntinda-Naalya'!E29,'01.08 Ntinda-Naalya 24h'!E29,'03.08 Ntinda-Naalya 24h'!E29,'04.08 Ntinda-Naalya'!E29)</f>
        <v>4</v>
      </c>
      <c r="F29" s="49">
        <f>AVERAGE('29.07 Ntinda-Naalya'!F29,'30.07 Ntinda-Naalya'!F29,'31.07 Ntinda-Naalya'!F29,'02.08 Ntinda-Naalya'!F29,'01.08 Ntinda-Naalya 24h'!F29,'03.08 Ntinda-Naalya 24h'!F29,'04.08 Ntinda-Naalya'!F29)</f>
        <v>6.2857142857142856</v>
      </c>
      <c r="G29" s="49">
        <f>AVERAGE('29.07 Ntinda-Naalya'!G29,'30.07 Ntinda-Naalya'!G29,'31.07 Ntinda-Naalya'!G29,'02.08 Ntinda-Naalya'!G29,'01.08 Ntinda-Naalya 24h'!G29,'03.08 Ntinda-Naalya 24h'!G29,'04.08 Ntinda-Naalya'!G29)</f>
        <v>0.2857142857142857</v>
      </c>
      <c r="H29" s="49">
        <f>AVERAGE('29.07 Ntinda-Naalya'!H29,'30.07 Ntinda-Naalya'!H29,'31.07 Ntinda-Naalya'!H29,'02.08 Ntinda-Naalya'!H29,'01.08 Ntinda-Naalya 24h'!H29,'03.08 Ntinda-Naalya 24h'!H29,'04.08 Ntinda-Naalya'!H29)</f>
        <v>0.2857142857142857</v>
      </c>
      <c r="I29" s="49">
        <f>AVERAGE('29.07 Ntinda-Naalya'!I29,'30.07 Ntinda-Naalya'!I29,'31.07 Ntinda-Naalya'!I29,'02.08 Ntinda-Naalya'!I29,'01.08 Ntinda-Naalya 24h'!I29,'03.08 Ntinda-Naalya 24h'!I29,'04.08 Ntinda-Naalya'!I29)</f>
        <v>3.5714285714285716</v>
      </c>
      <c r="J29" s="49">
        <f>AVERAGE('29.07 Ntinda-Naalya'!J29,'30.07 Ntinda-Naalya'!J29,'31.07 Ntinda-Naalya'!J29,'02.08 Ntinda-Naalya'!J29,'01.08 Ntinda-Naalya 24h'!J29,'03.08 Ntinda-Naalya 24h'!J29,'04.08 Ntinda-Naalya'!J29)</f>
        <v>0.7142857142857143</v>
      </c>
      <c r="K29" s="49">
        <f>AVERAGE('29.07 Ntinda-Naalya'!K29,'30.07 Ntinda-Naalya'!K29,'31.07 Ntinda-Naalya'!K29,'02.08 Ntinda-Naalya'!K29,'01.08 Ntinda-Naalya 24h'!K29,'03.08 Ntinda-Naalya 24h'!K29,'04.08 Ntinda-Naalya'!K29)</f>
        <v>0.7142857142857143</v>
      </c>
      <c r="L29" s="49">
        <f>AVERAGE('29.07 Ntinda-Naalya'!L29,'30.07 Ntinda-Naalya'!L29,'31.07 Ntinda-Naalya'!L29,'02.08 Ntinda-Naalya'!L29,'01.08 Ntinda-Naalya 24h'!L29,'03.08 Ntinda-Naalya 24h'!L29,'04.08 Ntinda-Naalya'!L29)</f>
        <v>0</v>
      </c>
      <c r="M29" s="49">
        <f>AVERAGE('29.07 Ntinda-Naalya'!M29,'30.07 Ntinda-Naalya'!M29,'31.07 Ntinda-Naalya'!M29,'02.08 Ntinda-Naalya'!M29,'01.08 Ntinda-Naalya 24h'!M29,'03.08 Ntinda-Naalya 24h'!M29,'04.08 Ntinda-Naalya'!M29)</f>
        <v>60</v>
      </c>
      <c r="N29" s="49">
        <f>AVERAGE('29.07 Ntinda-Naalya'!N29,'30.07 Ntinda-Naalya'!N29,'31.07 Ntinda-Naalya'!N29,'02.08 Ntinda-Naalya'!N29,'01.08 Ntinda-Naalya 24h'!N29,'03.08 Ntinda-Naalya 24h'!N29,'04.08 Ntinda-Naalya'!N29)</f>
        <v>0</v>
      </c>
      <c r="O29" s="15">
        <f t="shared" si="0"/>
        <v>114.14285714285715</v>
      </c>
      <c r="P29" s="15">
        <f t="shared" si="1"/>
        <v>174.14285714285717</v>
      </c>
      <c r="R29" s="1" t="s">
        <v>153</v>
      </c>
      <c r="S29" s="34">
        <f>SUM(C86:C89)</f>
        <v>41</v>
      </c>
      <c r="T29" s="34">
        <f t="shared" ref="T29:AF29" si="21">SUM(D86:D89)</f>
        <v>13</v>
      </c>
      <c r="U29" s="34">
        <f t="shared" si="21"/>
        <v>4</v>
      </c>
      <c r="V29" s="34">
        <f t="shared" si="21"/>
        <v>0.5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0.5</v>
      </c>
      <c r="AA29" s="34">
        <f t="shared" si="21"/>
        <v>0</v>
      </c>
      <c r="AB29" s="34">
        <f t="shared" si="21"/>
        <v>0</v>
      </c>
      <c r="AC29" s="34">
        <f t="shared" si="21"/>
        <v>29.5</v>
      </c>
      <c r="AD29" s="34">
        <f t="shared" si="21"/>
        <v>0</v>
      </c>
      <c r="AE29" s="51">
        <f t="shared" si="21"/>
        <v>59</v>
      </c>
      <c r="AF29" s="51">
        <f t="shared" si="21"/>
        <v>88.5</v>
      </c>
    </row>
    <row r="30" spans="2:32" ht="23.1" customHeight="1" x14ac:dyDescent="0.25">
      <c r="B30" s="23" t="s">
        <v>57</v>
      </c>
      <c r="C30" s="49">
        <f>AVERAGE('29.07 Ntinda-Naalya'!C30,'30.07 Ntinda-Naalya'!C30,'31.07 Ntinda-Naalya'!C30,'02.08 Ntinda-Naalya'!C30,'01.08 Ntinda-Naalya 24h'!C30,'03.08 Ntinda-Naalya 24h'!C30,'04.08 Ntinda-Naalya'!C30)</f>
        <v>76.428571428571431</v>
      </c>
      <c r="D30" s="49">
        <f>AVERAGE('29.07 Ntinda-Naalya'!D30,'30.07 Ntinda-Naalya'!D30,'31.07 Ntinda-Naalya'!D30,'02.08 Ntinda-Naalya'!D30,'01.08 Ntinda-Naalya 24h'!D30,'03.08 Ntinda-Naalya 24h'!D30,'04.08 Ntinda-Naalya'!D30)</f>
        <v>18</v>
      </c>
      <c r="E30" s="49">
        <f>AVERAGE('29.07 Ntinda-Naalya'!E30,'30.07 Ntinda-Naalya'!E30,'31.07 Ntinda-Naalya'!E30,'02.08 Ntinda-Naalya'!E30,'01.08 Ntinda-Naalya 24h'!E30,'03.08 Ntinda-Naalya 24h'!E30,'04.08 Ntinda-Naalya'!E30)</f>
        <v>3.2857142857142856</v>
      </c>
      <c r="F30" s="49">
        <f>AVERAGE('29.07 Ntinda-Naalya'!F30,'30.07 Ntinda-Naalya'!F30,'31.07 Ntinda-Naalya'!F30,'02.08 Ntinda-Naalya'!F30,'01.08 Ntinda-Naalya 24h'!F30,'03.08 Ntinda-Naalya 24h'!F30,'04.08 Ntinda-Naalya'!F30)</f>
        <v>5.7142857142857144</v>
      </c>
      <c r="G30" s="49">
        <f>AVERAGE('29.07 Ntinda-Naalya'!G30,'30.07 Ntinda-Naalya'!G30,'31.07 Ntinda-Naalya'!G30,'02.08 Ntinda-Naalya'!G30,'01.08 Ntinda-Naalya 24h'!G30,'03.08 Ntinda-Naalya 24h'!G30,'04.08 Ntinda-Naalya'!G30)</f>
        <v>1.1428571428571428</v>
      </c>
      <c r="H30" s="49">
        <f>AVERAGE('29.07 Ntinda-Naalya'!H30,'30.07 Ntinda-Naalya'!H30,'31.07 Ntinda-Naalya'!H30,'02.08 Ntinda-Naalya'!H30,'01.08 Ntinda-Naalya 24h'!H30,'03.08 Ntinda-Naalya 24h'!H30,'04.08 Ntinda-Naalya'!H30)</f>
        <v>0.8571428571428571</v>
      </c>
      <c r="I30" s="49">
        <f>AVERAGE('29.07 Ntinda-Naalya'!I30,'30.07 Ntinda-Naalya'!I30,'31.07 Ntinda-Naalya'!I30,'02.08 Ntinda-Naalya'!I30,'01.08 Ntinda-Naalya 24h'!I30,'03.08 Ntinda-Naalya 24h'!I30,'04.08 Ntinda-Naalya'!I30)</f>
        <v>4.2857142857142856</v>
      </c>
      <c r="J30" s="49">
        <f>AVERAGE('29.07 Ntinda-Naalya'!J30,'30.07 Ntinda-Naalya'!J30,'31.07 Ntinda-Naalya'!J30,'02.08 Ntinda-Naalya'!J30,'01.08 Ntinda-Naalya 24h'!J30,'03.08 Ntinda-Naalya 24h'!J30,'04.08 Ntinda-Naalya'!J30)</f>
        <v>2.2857142857142856</v>
      </c>
      <c r="K30" s="49">
        <f>AVERAGE('29.07 Ntinda-Naalya'!K30,'30.07 Ntinda-Naalya'!K30,'31.07 Ntinda-Naalya'!K30,'02.08 Ntinda-Naalya'!K30,'01.08 Ntinda-Naalya 24h'!K30,'03.08 Ntinda-Naalya 24h'!K30,'04.08 Ntinda-Naalya'!K30)</f>
        <v>0.5714285714285714</v>
      </c>
      <c r="L30" s="49">
        <f>AVERAGE('29.07 Ntinda-Naalya'!L30,'30.07 Ntinda-Naalya'!L30,'31.07 Ntinda-Naalya'!L30,'02.08 Ntinda-Naalya'!L30,'01.08 Ntinda-Naalya 24h'!L30,'03.08 Ntinda-Naalya 24h'!L30,'04.08 Ntinda-Naalya'!L30)</f>
        <v>0</v>
      </c>
      <c r="M30" s="49">
        <f>AVERAGE('29.07 Ntinda-Naalya'!M30,'30.07 Ntinda-Naalya'!M30,'31.07 Ntinda-Naalya'!M30,'02.08 Ntinda-Naalya'!M30,'01.08 Ntinda-Naalya 24h'!M30,'03.08 Ntinda-Naalya 24h'!M30,'04.08 Ntinda-Naalya'!M30)</f>
        <v>53.857142857142854</v>
      </c>
      <c r="N30" s="49">
        <f>AVERAGE('29.07 Ntinda-Naalya'!N30,'30.07 Ntinda-Naalya'!N30,'31.07 Ntinda-Naalya'!N30,'02.08 Ntinda-Naalya'!N30,'01.08 Ntinda-Naalya 24h'!N30,'03.08 Ntinda-Naalya 24h'!N30,'04.08 Ntinda-Naalya'!N30)</f>
        <v>0</v>
      </c>
      <c r="O30" s="15">
        <f t="shared" si="0"/>
        <v>112.57142857142858</v>
      </c>
      <c r="P30" s="15">
        <f t="shared" si="1"/>
        <v>166.42857142857144</v>
      </c>
      <c r="R30" s="1" t="s">
        <v>154</v>
      </c>
      <c r="S30" s="34">
        <f>SUM(C90:C93)</f>
        <v>33.5</v>
      </c>
      <c r="T30" s="34">
        <f t="shared" ref="T30:AF30" si="22">SUM(D90:D93)</f>
        <v>8</v>
      </c>
      <c r="U30" s="34">
        <f t="shared" si="22"/>
        <v>2</v>
      </c>
      <c r="V30" s="34">
        <f t="shared" si="22"/>
        <v>0.5</v>
      </c>
      <c r="W30" s="34">
        <f t="shared" si="22"/>
        <v>0</v>
      </c>
      <c r="X30" s="34">
        <f t="shared" si="22"/>
        <v>0</v>
      </c>
      <c r="Y30" s="34">
        <f t="shared" si="22"/>
        <v>0.5</v>
      </c>
      <c r="Z30" s="34">
        <f t="shared" si="22"/>
        <v>1</v>
      </c>
      <c r="AA30" s="34">
        <f t="shared" si="22"/>
        <v>0</v>
      </c>
      <c r="AB30" s="34">
        <f t="shared" si="22"/>
        <v>0</v>
      </c>
      <c r="AC30" s="34">
        <f t="shared" si="22"/>
        <v>13.5</v>
      </c>
      <c r="AD30" s="34">
        <f t="shared" si="22"/>
        <v>0</v>
      </c>
      <c r="AE30" s="51">
        <f t="shared" si="22"/>
        <v>45.5</v>
      </c>
      <c r="AF30" s="51">
        <f t="shared" si="22"/>
        <v>59</v>
      </c>
    </row>
    <row r="31" spans="2:32" ht="23.1" customHeight="1" x14ac:dyDescent="0.25">
      <c r="B31" s="24" t="s">
        <v>58</v>
      </c>
      <c r="C31" s="49">
        <f>AVERAGE('29.07 Ntinda-Naalya'!C31,'30.07 Ntinda-Naalya'!C31,'31.07 Ntinda-Naalya'!C31,'02.08 Ntinda-Naalya'!C31,'01.08 Ntinda-Naalya 24h'!C31,'03.08 Ntinda-Naalya 24h'!C31,'04.08 Ntinda-Naalya'!C31)</f>
        <v>60.285714285714285</v>
      </c>
      <c r="D31" s="49">
        <f>AVERAGE('29.07 Ntinda-Naalya'!D31,'30.07 Ntinda-Naalya'!D31,'31.07 Ntinda-Naalya'!D31,'02.08 Ntinda-Naalya'!D31,'01.08 Ntinda-Naalya 24h'!D31,'03.08 Ntinda-Naalya 24h'!D31,'04.08 Ntinda-Naalya'!D31)</f>
        <v>21.714285714285715</v>
      </c>
      <c r="E31" s="49">
        <f>AVERAGE('29.07 Ntinda-Naalya'!E31,'30.07 Ntinda-Naalya'!E31,'31.07 Ntinda-Naalya'!E31,'02.08 Ntinda-Naalya'!E31,'01.08 Ntinda-Naalya 24h'!E31,'03.08 Ntinda-Naalya 24h'!E31,'04.08 Ntinda-Naalya'!E31)</f>
        <v>3.8571428571428572</v>
      </c>
      <c r="F31" s="49">
        <f>AVERAGE('29.07 Ntinda-Naalya'!F31,'30.07 Ntinda-Naalya'!F31,'31.07 Ntinda-Naalya'!F31,'02.08 Ntinda-Naalya'!F31,'01.08 Ntinda-Naalya 24h'!F31,'03.08 Ntinda-Naalya 24h'!F31,'04.08 Ntinda-Naalya'!F31)</f>
        <v>5.8571428571428568</v>
      </c>
      <c r="G31" s="49">
        <f>AVERAGE('29.07 Ntinda-Naalya'!G31,'30.07 Ntinda-Naalya'!G31,'31.07 Ntinda-Naalya'!G31,'02.08 Ntinda-Naalya'!G31,'01.08 Ntinda-Naalya 24h'!G31,'03.08 Ntinda-Naalya 24h'!G31,'04.08 Ntinda-Naalya'!G31)</f>
        <v>0.7142857142857143</v>
      </c>
      <c r="H31" s="49">
        <f>AVERAGE('29.07 Ntinda-Naalya'!H31,'30.07 Ntinda-Naalya'!H31,'31.07 Ntinda-Naalya'!H31,'02.08 Ntinda-Naalya'!H31,'01.08 Ntinda-Naalya 24h'!H31,'03.08 Ntinda-Naalya 24h'!H31,'04.08 Ntinda-Naalya'!H31)</f>
        <v>0.14285714285714285</v>
      </c>
      <c r="I31" s="49">
        <f>AVERAGE('29.07 Ntinda-Naalya'!I31,'30.07 Ntinda-Naalya'!I31,'31.07 Ntinda-Naalya'!I31,'02.08 Ntinda-Naalya'!I31,'01.08 Ntinda-Naalya 24h'!I31,'03.08 Ntinda-Naalya 24h'!I31,'04.08 Ntinda-Naalya'!I31)</f>
        <v>4.5714285714285712</v>
      </c>
      <c r="J31" s="49">
        <f>AVERAGE('29.07 Ntinda-Naalya'!J31,'30.07 Ntinda-Naalya'!J31,'31.07 Ntinda-Naalya'!J31,'02.08 Ntinda-Naalya'!J31,'01.08 Ntinda-Naalya 24h'!J31,'03.08 Ntinda-Naalya 24h'!J31,'04.08 Ntinda-Naalya'!J31)</f>
        <v>1.1428571428571428</v>
      </c>
      <c r="K31" s="49">
        <f>AVERAGE('29.07 Ntinda-Naalya'!K31,'30.07 Ntinda-Naalya'!K31,'31.07 Ntinda-Naalya'!K31,'02.08 Ntinda-Naalya'!K31,'01.08 Ntinda-Naalya 24h'!K31,'03.08 Ntinda-Naalya 24h'!K31,'04.08 Ntinda-Naalya'!K31)</f>
        <v>0.8571428571428571</v>
      </c>
      <c r="L31" s="49">
        <f>AVERAGE('29.07 Ntinda-Naalya'!L31,'30.07 Ntinda-Naalya'!L31,'31.07 Ntinda-Naalya'!L31,'02.08 Ntinda-Naalya'!L31,'01.08 Ntinda-Naalya 24h'!L31,'03.08 Ntinda-Naalya 24h'!L31,'04.08 Ntinda-Naalya'!L31)</f>
        <v>0.5714285714285714</v>
      </c>
      <c r="M31" s="49">
        <f>AVERAGE('29.07 Ntinda-Naalya'!M31,'30.07 Ntinda-Naalya'!M31,'31.07 Ntinda-Naalya'!M31,'02.08 Ntinda-Naalya'!M31,'01.08 Ntinda-Naalya 24h'!M31,'03.08 Ntinda-Naalya 24h'!M31,'04.08 Ntinda-Naalya'!M31)</f>
        <v>57.714285714285715</v>
      </c>
      <c r="N31" s="49">
        <f>AVERAGE('29.07 Ntinda-Naalya'!N31,'30.07 Ntinda-Naalya'!N31,'31.07 Ntinda-Naalya'!N31,'02.08 Ntinda-Naalya'!N31,'01.08 Ntinda-Naalya 24h'!N31,'03.08 Ntinda-Naalya 24h'!N31,'04.08 Ntinda-Naalya'!N31)</f>
        <v>0</v>
      </c>
      <c r="O31" s="15">
        <f t="shared" si="0"/>
        <v>99.714285714285708</v>
      </c>
      <c r="P31" s="15">
        <f t="shared" si="1"/>
        <v>157.42857142857142</v>
      </c>
      <c r="R31" s="1" t="s">
        <v>155</v>
      </c>
      <c r="S31" s="34">
        <f>SUM(C94:C97)</f>
        <v>25.5</v>
      </c>
      <c r="T31" s="34">
        <f t="shared" ref="T31:AF31" si="23">SUM(D94:D97)</f>
        <v>5</v>
      </c>
      <c r="U31" s="34">
        <f t="shared" si="23"/>
        <v>2</v>
      </c>
      <c r="V31" s="34">
        <f t="shared" si="23"/>
        <v>2</v>
      </c>
      <c r="W31" s="34">
        <f t="shared" si="23"/>
        <v>1</v>
      </c>
      <c r="X31" s="34">
        <f t="shared" si="23"/>
        <v>0</v>
      </c>
      <c r="Y31" s="34">
        <f t="shared" si="23"/>
        <v>0.5</v>
      </c>
      <c r="Z31" s="34">
        <f t="shared" si="23"/>
        <v>0.5</v>
      </c>
      <c r="AA31" s="34">
        <f t="shared" si="23"/>
        <v>1</v>
      </c>
      <c r="AB31" s="34">
        <f t="shared" si="23"/>
        <v>0</v>
      </c>
      <c r="AC31" s="34">
        <f t="shared" si="23"/>
        <v>11</v>
      </c>
      <c r="AD31" s="34">
        <f t="shared" si="23"/>
        <v>0</v>
      </c>
      <c r="AE31" s="51">
        <f t="shared" si="23"/>
        <v>37.5</v>
      </c>
      <c r="AF31" s="51">
        <f t="shared" si="23"/>
        <v>48.5</v>
      </c>
    </row>
    <row r="32" spans="2:32" ht="23.1" customHeight="1" x14ac:dyDescent="0.25">
      <c r="B32" s="24" t="s">
        <v>59</v>
      </c>
      <c r="C32" s="49">
        <f>AVERAGE('29.07 Ntinda-Naalya'!C32,'30.07 Ntinda-Naalya'!C32,'31.07 Ntinda-Naalya'!C32,'02.08 Ntinda-Naalya'!C32,'01.08 Ntinda-Naalya 24h'!C32,'03.08 Ntinda-Naalya 24h'!C32,'04.08 Ntinda-Naalya'!C32)</f>
        <v>87.428571428571431</v>
      </c>
      <c r="D32" s="49">
        <f>AVERAGE('29.07 Ntinda-Naalya'!D32,'30.07 Ntinda-Naalya'!D32,'31.07 Ntinda-Naalya'!D32,'02.08 Ntinda-Naalya'!D32,'01.08 Ntinda-Naalya 24h'!D32,'03.08 Ntinda-Naalya 24h'!D32,'04.08 Ntinda-Naalya'!D32)</f>
        <v>20.428571428571427</v>
      </c>
      <c r="E32" s="49">
        <f>AVERAGE('29.07 Ntinda-Naalya'!E32,'30.07 Ntinda-Naalya'!E32,'31.07 Ntinda-Naalya'!E32,'02.08 Ntinda-Naalya'!E32,'01.08 Ntinda-Naalya 24h'!E32,'03.08 Ntinda-Naalya 24h'!E32,'04.08 Ntinda-Naalya'!E32)</f>
        <v>5.1428571428571432</v>
      </c>
      <c r="F32" s="49">
        <f>AVERAGE('29.07 Ntinda-Naalya'!F32,'30.07 Ntinda-Naalya'!F32,'31.07 Ntinda-Naalya'!F32,'02.08 Ntinda-Naalya'!F32,'01.08 Ntinda-Naalya 24h'!F32,'03.08 Ntinda-Naalya 24h'!F32,'04.08 Ntinda-Naalya'!F32)</f>
        <v>5.2857142857142856</v>
      </c>
      <c r="G32" s="49">
        <f>AVERAGE('29.07 Ntinda-Naalya'!G32,'30.07 Ntinda-Naalya'!G32,'31.07 Ntinda-Naalya'!G32,'02.08 Ntinda-Naalya'!G32,'01.08 Ntinda-Naalya 24h'!G32,'03.08 Ntinda-Naalya 24h'!G32,'04.08 Ntinda-Naalya'!G32)</f>
        <v>0</v>
      </c>
      <c r="H32" s="49">
        <f>AVERAGE('29.07 Ntinda-Naalya'!H32,'30.07 Ntinda-Naalya'!H32,'31.07 Ntinda-Naalya'!H32,'02.08 Ntinda-Naalya'!H32,'01.08 Ntinda-Naalya 24h'!H32,'03.08 Ntinda-Naalya 24h'!H32,'04.08 Ntinda-Naalya'!H32)</f>
        <v>0.14285714285714285</v>
      </c>
      <c r="I32" s="49">
        <f>AVERAGE('29.07 Ntinda-Naalya'!I32,'30.07 Ntinda-Naalya'!I32,'31.07 Ntinda-Naalya'!I32,'02.08 Ntinda-Naalya'!I32,'01.08 Ntinda-Naalya 24h'!I32,'03.08 Ntinda-Naalya 24h'!I32,'04.08 Ntinda-Naalya'!I32)</f>
        <v>4.5714285714285712</v>
      </c>
      <c r="J32" s="49">
        <f>AVERAGE('29.07 Ntinda-Naalya'!J32,'30.07 Ntinda-Naalya'!J32,'31.07 Ntinda-Naalya'!J32,'02.08 Ntinda-Naalya'!J32,'01.08 Ntinda-Naalya 24h'!J32,'03.08 Ntinda-Naalya 24h'!J32,'04.08 Ntinda-Naalya'!J32)</f>
        <v>1.4285714285714286</v>
      </c>
      <c r="K32" s="49">
        <f>AVERAGE('29.07 Ntinda-Naalya'!K32,'30.07 Ntinda-Naalya'!K32,'31.07 Ntinda-Naalya'!K32,'02.08 Ntinda-Naalya'!K32,'01.08 Ntinda-Naalya 24h'!K32,'03.08 Ntinda-Naalya 24h'!K32,'04.08 Ntinda-Naalya'!K32)</f>
        <v>1</v>
      </c>
      <c r="L32" s="49">
        <f>AVERAGE('29.07 Ntinda-Naalya'!L32,'30.07 Ntinda-Naalya'!L32,'31.07 Ntinda-Naalya'!L32,'02.08 Ntinda-Naalya'!L32,'01.08 Ntinda-Naalya 24h'!L32,'03.08 Ntinda-Naalya 24h'!L32,'04.08 Ntinda-Naalya'!L32)</f>
        <v>0.42857142857142855</v>
      </c>
      <c r="M32" s="49">
        <f>AVERAGE('29.07 Ntinda-Naalya'!M32,'30.07 Ntinda-Naalya'!M32,'31.07 Ntinda-Naalya'!M32,'02.08 Ntinda-Naalya'!M32,'01.08 Ntinda-Naalya 24h'!M32,'03.08 Ntinda-Naalya 24h'!M32,'04.08 Ntinda-Naalya'!M32)</f>
        <v>52.714285714285715</v>
      </c>
      <c r="N32" s="49">
        <f>AVERAGE('29.07 Ntinda-Naalya'!N32,'30.07 Ntinda-Naalya'!N32,'31.07 Ntinda-Naalya'!N32,'02.08 Ntinda-Naalya'!N32,'01.08 Ntinda-Naalya 24h'!N32,'03.08 Ntinda-Naalya 24h'!N32,'04.08 Ntinda-Naalya'!N32)</f>
        <v>0.14285714285714285</v>
      </c>
      <c r="O32" s="15">
        <f t="shared" si="0"/>
        <v>126</v>
      </c>
      <c r="P32" s="15">
        <f t="shared" si="1"/>
        <v>178.71428571428572</v>
      </c>
      <c r="R32" s="1" t="s">
        <v>156</v>
      </c>
      <c r="S32" s="34">
        <f>SUM(C98:C101)</f>
        <v>79</v>
      </c>
      <c r="T32" s="34">
        <f t="shared" ref="T32:AF32" si="24">SUM(D98:D101)</f>
        <v>7</v>
      </c>
      <c r="U32" s="34">
        <f t="shared" si="24"/>
        <v>2</v>
      </c>
      <c r="V32" s="34">
        <f t="shared" si="24"/>
        <v>4.5</v>
      </c>
      <c r="W32" s="34">
        <f t="shared" si="24"/>
        <v>0</v>
      </c>
      <c r="X32" s="34">
        <f t="shared" si="24"/>
        <v>0.5</v>
      </c>
      <c r="Y32" s="34">
        <f t="shared" si="24"/>
        <v>1.5</v>
      </c>
      <c r="Z32" s="34">
        <f t="shared" si="24"/>
        <v>0.5</v>
      </c>
      <c r="AA32" s="34">
        <f t="shared" si="24"/>
        <v>0</v>
      </c>
      <c r="AB32" s="34">
        <f t="shared" si="24"/>
        <v>0</v>
      </c>
      <c r="AC32" s="34">
        <f t="shared" si="24"/>
        <v>18.5</v>
      </c>
      <c r="AD32" s="34">
        <f t="shared" si="24"/>
        <v>0</v>
      </c>
      <c r="AE32" s="51">
        <f t="shared" si="24"/>
        <v>95</v>
      </c>
      <c r="AF32" s="51">
        <f t="shared" si="24"/>
        <v>113.5</v>
      </c>
    </row>
    <row r="33" spans="2:32" ht="23.1" customHeight="1" x14ac:dyDescent="0.25">
      <c r="B33" s="23" t="s">
        <v>60</v>
      </c>
      <c r="C33" s="49">
        <f>AVERAGE('29.07 Ntinda-Naalya'!C33,'30.07 Ntinda-Naalya'!C33,'31.07 Ntinda-Naalya'!C33,'02.08 Ntinda-Naalya'!C33,'01.08 Ntinda-Naalya 24h'!C33,'03.08 Ntinda-Naalya 24h'!C33,'04.08 Ntinda-Naalya'!C33)</f>
        <v>82</v>
      </c>
      <c r="D33" s="49">
        <f>AVERAGE('29.07 Ntinda-Naalya'!D33,'30.07 Ntinda-Naalya'!D33,'31.07 Ntinda-Naalya'!D33,'02.08 Ntinda-Naalya'!D33,'01.08 Ntinda-Naalya 24h'!D33,'03.08 Ntinda-Naalya 24h'!D33,'04.08 Ntinda-Naalya'!D33)</f>
        <v>19.142857142857142</v>
      </c>
      <c r="E33" s="49">
        <f>AVERAGE('29.07 Ntinda-Naalya'!E33,'30.07 Ntinda-Naalya'!E33,'31.07 Ntinda-Naalya'!E33,'02.08 Ntinda-Naalya'!E33,'01.08 Ntinda-Naalya 24h'!E33,'03.08 Ntinda-Naalya 24h'!E33,'04.08 Ntinda-Naalya'!E33)</f>
        <v>4.4285714285714288</v>
      </c>
      <c r="F33" s="49">
        <f>AVERAGE('29.07 Ntinda-Naalya'!F33,'30.07 Ntinda-Naalya'!F33,'31.07 Ntinda-Naalya'!F33,'02.08 Ntinda-Naalya'!F33,'01.08 Ntinda-Naalya 24h'!F33,'03.08 Ntinda-Naalya 24h'!F33,'04.08 Ntinda-Naalya'!F33)</f>
        <v>6.2857142857142856</v>
      </c>
      <c r="G33" s="49">
        <f>AVERAGE('29.07 Ntinda-Naalya'!G33,'30.07 Ntinda-Naalya'!G33,'31.07 Ntinda-Naalya'!G33,'02.08 Ntinda-Naalya'!G33,'01.08 Ntinda-Naalya 24h'!G33,'03.08 Ntinda-Naalya 24h'!G33,'04.08 Ntinda-Naalya'!G33)</f>
        <v>0.5714285714285714</v>
      </c>
      <c r="H33" s="49">
        <f>AVERAGE('29.07 Ntinda-Naalya'!H33,'30.07 Ntinda-Naalya'!H33,'31.07 Ntinda-Naalya'!H33,'02.08 Ntinda-Naalya'!H33,'01.08 Ntinda-Naalya 24h'!H33,'03.08 Ntinda-Naalya 24h'!H33,'04.08 Ntinda-Naalya'!H33)</f>
        <v>0</v>
      </c>
      <c r="I33" s="49">
        <f>AVERAGE('29.07 Ntinda-Naalya'!I33,'30.07 Ntinda-Naalya'!I33,'31.07 Ntinda-Naalya'!I33,'02.08 Ntinda-Naalya'!I33,'01.08 Ntinda-Naalya 24h'!I33,'03.08 Ntinda-Naalya 24h'!I33,'04.08 Ntinda-Naalya'!I33)</f>
        <v>4</v>
      </c>
      <c r="J33" s="49">
        <f>AVERAGE('29.07 Ntinda-Naalya'!J33,'30.07 Ntinda-Naalya'!J33,'31.07 Ntinda-Naalya'!J33,'02.08 Ntinda-Naalya'!J33,'01.08 Ntinda-Naalya 24h'!J33,'03.08 Ntinda-Naalya 24h'!J33,'04.08 Ntinda-Naalya'!J33)</f>
        <v>1.4285714285714286</v>
      </c>
      <c r="K33" s="49">
        <f>AVERAGE('29.07 Ntinda-Naalya'!K33,'30.07 Ntinda-Naalya'!K33,'31.07 Ntinda-Naalya'!K33,'02.08 Ntinda-Naalya'!K33,'01.08 Ntinda-Naalya 24h'!K33,'03.08 Ntinda-Naalya 24h'!K33,'04.08 Ntinda-Naalya'!K33)</f>
        <v>0.5714285714285714</v>
      </c>
      <c r="L33" s="49">
        <f>AVERAGE('29.07 Ntinda-Naalya'!L33,'30.07 Ntinda-Naalya'!L33,'31.07 Ntinda-Naalya'!L33,'02.08 Ntinda-Naalya'!L33,'01.08 Ntinda-Naalya 24h'!L33,'03.08 Ntinda-Naalya 24h'!L33,'04.08 Ntinda-Naalya'!L33)</f>
        <v>0</v>
      </c>
      <c r="M33" s="49">
        <f>AVERAGE('29.07 Ntinda-Naalya'!M33,'30.07 Ntinda-Naalya'!M33,'31.07 Ntinda-Naalya'!M33,'02.08 Ntinda-Naalya'!M33,'01.08 Ntinda-Naalya 24h'!M33,'03.08 Ntinda-Naalya 24h'!M33,'04.08 Ntinda-Naalya'!M33)</f>
        <v>51.714285714285715</v>
      </c>
      <c r="N33" s="49">
        <f>AVERAGE('29.07 Ntinda-Naalya'!N33,'30.07 Ntinda-Naalya'!N33,'31.07 Ntinda-Naalya'!N33,'02.08 Ntinda-Naalya'!N33,'01.08 Ntinda-Naalya 24h'!N33,'03.08 Ntinda-Naalya 24h'!N33,'04.08 Ntinda-Naalya'!N33)</f>
        <v>0</v>
      </c>
      <c r="O33" s="15">
        <f t="shared" si="0"/>
        <v>118.42857142857143</v>
      </c>
      <c r="P33" s="15">
        <f t="shared" si="1"/>
        <v>170.14285714285714</v>
      </c>
      <c r="R33" s="1" t="s">
        <v>157</v>
      </c>
      <c r="S33" s="34">
        <f>SUM(C102:C105)</f>
        <v>163.5</v>
      </c>
      <c r="T33" s="34">
        <f t="shared" ref="T33:AF33" si="25">SUM(D102:D105)</f>
        <v>35.5</v>
      </c>
      <c r="U33" s="34">
        <f t="shared" si="25"/>
        <v>14.5</v>
      </c>
      <c r="V33" s="34">
        <f t="shared" si="25"/>
        <v>18.5</v>
      </c>
      <c r="W33" s="34">
        <f t="shared" si="25"/>
        <v>3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29.5</v>
      </c>
      <c r="AD33" s="34">
        <f t="shared" si="25"/>
        <v>0</v>
      </c>
      <c r="AE33" s="51">
        <f t="shared" si="25"/>
        <v>235</v>
      </c>
      <c r="AF33" s="51">
        <f t="shared" si="25"/>
        <v>264.5</v>
      </c>
    </row>
    <row r="34" spans="2:32" ht="23.1" customHeight="1" x14ac:dyDescent="0.25">
      <c r="B34" s="24" t="s">
        <v>61</v>
      </c>
      <c r="C34" s="49">
        <f>AVERAGE('29.07 Ntinda-Naalya'!C34,'30.07 Ntinda-Naalya'!C34,'31.07 Ntinda-Naalya'!C34,'02.08 Ntinda-Naalya'!C34,'01.08 Ntinda-Naalya 24h'!C34,'03.08 Ntinda-Naalya 24h'!C34,'04.08 Ntinda-Naalya'!C34)</f>
        <v>71.428571428571431</v>
      </c>
      <c r="D34" s="49">
        <f>AVERAGE('29.07 Ntinda-Naalya'!D34,'30.07 Ntinda-Naalya'!D34,'31.07 Ntinda-Naalya'!D34,'02.08 Ntinda-Naalya'!D34,'01.08 Ntinda-Naalya 24h'!D34,'03.08 Ntinda-Naalya 24h'!D34,'04.08 Ntinda-Naalya'!D34)</f>
        <v>14.428571428571429</v>
      </c>
      <c r="E34" s="49">
        <f>AVERAGE('29.07 Ntinda-Naalya'!E34,'30.07 Ntinda-Naalya'!E34,'31.07 Ntinda-Naalya'!E34,'02.08 Ntinda-Naalya'!E34,'01.08 Ntinda-Naalya 24h'!E34,'03.08 Ntinda-Naalya 24h'!E34,'04.08 Ntinda-Naalya'!E34)</f>
        <v>4.4285714285714288</v>
      </c>
      <c r="F34" s="49">
        <f>AVERAGE('29.07 Ntinda-Naalya'!F34,'30.07 Ntinda-Naalya'!F34,'31.07 Ntinda-Naalya'!F34,'02.08 Ntinda-Naalya'!F34,'01.08 Ntinda-Naalya 24h'!F34,'03.08 Ntinda-Naalya 24h'!F34,'04.08 Ntinda-Naalya'!F34)</f>
        <v>5.8571428571428568</v>
      </c>
      <c r="G34" s="49">
        <f>AVERAGE('29.07 Ntinda-Naalya'!G34,'30.07 Ntinda-Naalya'!G34,'31.07 Ntinda-Naalya'!G34,'02.08 Ntinda-Naalya'!G34,'01.08 Ntinda-Naalya 24h'!G34,'03.08 Ntinda-Naalya 24h'!G34,'04.08 Ntinda-Naalya'!G34)</f>
        <v>0.7142857142857143</v>
      </c>
      <c r="H34" s="49">
        <f>AVERAGE('29.07 Ntinda-Naalya'!H34,'30.07 Ntinda-Naalya'!H34,'31.07 Ntinda-Naalya'!H34,'02.08 Ntinda-Naalya'!H34,'01.08 Ntinda-Naalya 24h'!H34,'03.08 Ntinda-Naalya 24h'!H34,'04.08 Ntinda-Naalya'!H34)</f>
        <v>0.14285714285714285</v>
      </c>
      <c r="I34" s="49">
        <f>AVERAGE('29.07 Ntinda-Naalya'!I34,'30.07 Ntinda-Naalya'!I34,'31.07 Ntinda-Naalya'!I34,'02.08 Ntinda-Naalya'!I34,'01.08 Ntinda-Naalya 24h'!I34,'03.08 Ntinda-Naalya 24h'!I34,'04.08 Ntinda-Naalya'!I34)</f>
        <v>3.2857142857142856</v>
      </c>
      <c r="J34" s="49">
        <f>AVERAGE('29.07 Ntinda-Naalya'!J34,'30.07 Ntinda-Naalya'!J34,'31.07 Ntinda-Naalya'!J34,'02.08 Ntinda-Naalya'!J34,'01.08 Ntinda-Naalya 24h'!J34,'03.08 Ntinda-Naalya 24h'!J34,'04.08 Ntinda-Naalya'!J34)</f>
        <v>1.2857142857142858</v>
      </c>
      <c r="K34" s="49">
        <f>AVERAGE('29.07 Ntinda-Naalya'!K34,'30.07 Ntinda-Naalya'!K34,'31.07 Ntinda-Naalya'!K34,'02.08 Ntinda-Naalya'!K34,'01.08 Ntinda-Naalya 24h'!K34,'03.08 Ntinda-Naalya 24h'!K34,'04.08 Ntinda-Naalya'!K34)</f>
        <v>0.2857142857142857</v>
      </c>
      <c r="L34" s="49">
        <f>AVERAGE('29.07 Ntinda-Naalya'!L34,'30.07 Ntinda-Naalya'!L34,'31.07 Ntinda-Naalya'!L34,'02.08 Ntinda-Naalya'!L34,'01.08 Ntinda-Naalya 24h'!L34,'03.08 Ntinda-Naalya 24h'!L34,'04.08 Ntinda-Naalya'!L34)</f>
        <v>0</v>
      </c>
      <c r="M34" s="49">
        <f>AVERAGE('29.07 Ntinda-Naalya'!M34,'30.07 Ntinda-Naalya'!M34,'31.07 Ntinda-Naalya'!M34,'02.08 Ntinda-Naalya'!M34,'01.08 Ntinda-Naalya 24h'!M34,'03.08 Ntinda-Naalya 24h'!M34,'04.08 Ntinda-Naalya'!M34)</f>
        <v>47.571428571428569</v>
      </c>
      <c r="N34" s="49">
        <f>AVERAGE('29.07 Ntinda-Naalya'!N34,'30.07 Ntinda-Naalya'!N34,'31.07 Ntinda-Naalya'!N34,'02.08 Ntinda-Naalya'!N34,'01.08 Ntinda-Naalya 24h'!N34,'03.08 Ntinda-Naalya 24h'!N34,'04.08 Ntinda-Naalya'!N34)</f>
        <v>0</v>
      </c>
      <c r="O34" s="15">
        <f t="shared" si="0"/>
        <v>101.85714285714288</v>
      </c>
      <c r="P34" s="15">
        <f t="shared" si="1"/>
        <v>149.42857142857144</v>
      </c>
      <c r="R34" s="38" t="s">
        <v>90</v>
      </c>
      <c r="S34" s="39">
        <f t="shared" ref="S34:AF34" si="26">MAX(S10:S12)</f>
        <v>375.28571428571433</v>
      </c>
      <c r="T34" s="39">
        <f t="shared" si="26"/>
        <v>75.714285714285722</v>
      </c>
      <c r="U34" s="39">
        <f t="shared" si="26"/>
        <v>16.285714285714285</v>
      </c>
      <c r="V34" s="39">
        <f t="shared" si="26"/>
        <v>36.285714285714285</v>
      </c>
      <c r="W34" s="39">
        <f t="shared" si="26"/>
        <v>1.5714285714285712</v>
      </c>
      <c r="X34" s="39">
        <f t="shared" si="26"/>
        <v>1</v>
      </c>
      <c r="Y34" s="39">
        <f t="shared" si="26"/>
        <v>15.857142857142858</v>
      </c>
      <c r="Z34" s="39">
        <f t="shared" si="26"/>
        <v>5.2857142857142856</v>
      </c>
      <c r="AA34" s="39">
        <f t="shared" si="26"/>
        <v>1.7142857142857144</v>
      </c>
      <c r="AB34" s="39">
        <f t="shared" si="26"/>
        <v>0.5714285714285714</v>
      </c>
      <c r="AC34" s="39">
        <f t="shared" si="26"/>
        <v>271.42857142857144</v>
      </c>
      <c r="AD34" s="39">
        <f t="shared" si="26"/>
        <v>0.14285714285714285</v>
      </c>
      <c r="AE34" s="40">
        <f t="shared" si="26"/>
        <v>478.71428571428572</v>
      </c>
      <c r="AF34" s="40">
        <f t="shared" si="26"/>
        <v>669.85714285714289</v>
      </c>
    </row>
    <row r="35" spans="2:32" ht="23.1" customHeight="1" x14ac:dyDescent="0.25">
      <c r="B35" s="24" t="s">
        <v>62</v>
      </c>
      <c r="C35" s="49">
        <f>AVERAGE('29.07 Ntinda-Naalya'!C35,'30.07 Ntinda-Naalya'!C35,'31.07 Ntinda-Naalya'!C35,'02.08 Ntinda-Naalya'!C35,'01.08 Ntinda-Naalya 24h'!C35,'03.08 Ntinda-Naalya 24h'!C35,'04.08 Ntinda-Naalya'!C35)</f>
        <v>82.714285714285708</v>
      </c>
      <c r="D35" s="49">
        <f>AVERAGE('29.07 Ntinda-Naalya'!D35,'30.07 Ntinda-Naalya'!D35,'31.07 Ntinda-Naalya'!D35,'02.08 Ntinda-Naalya'!D35,'01.08 Ntinda-Naalya 24h'!D35,'03.08 Ntinda-Naalya 24h'!D35,'04.08 Ntinda-Naalya'!D35)</f>
        <v>16</v>
      </c>
      <c r="E35" s="49">
        <f>AVERAGE('29.07 Ntinda-Naalya'!E35,'30.07 Ntinda-Naalya'!E35,'31.07 Ntinda-Naalya'!E35,'02.08 Ntinda-Naalya'!E35,'01.08 Ntinda-Naalya 24h'!E35,'03.08 Ntinda-Naalya 24h'!E35,'04.08 Ntinda-Naalya'!E35)</f>
        <v>4.5714285714285712</v>
      </c>
      <c r="F35" s="49">
        <f>AVERAGE('29.07 Ntinda-Naalya'!F35,'30.07 Ntinda-Naalya'!F35,'31.07 Ntinda-Naalya'!F35,'02.08 Ntinda-Naalya'!F35,'01.08 Ntinda-Naalya 24h'!F35,'03.08 Ntinda-Naalya 24h'!F35,'04.08 Ntinda-Naalya'!F35)</f>
        <v>5.5714285714285712</v>
      </c>
      <c r="G35" s="49">
        <f>AVERAGE('29.07 Ntinda-Naalya'!G35,'30.07 Ntinda-Naalya'!G35,'31.07 Ntinda-Naalya'!G35,'02.08 Ntinda-Naalya'!G35,'01.08 Ntinda-Naalya 24h'!G35,'03.08 Ntinda-Naalya 24h'!G35,'04.08 Ntinda-Naalya'!G35)</f>
        <v>0.2857142857142857</v>
      </c>
      <c r="H35" s="49">
        <f>AVERAGE('29.07 Ntinda-Naalya'!H35,'30.07 Ntinda-Naalya'!H35,'31.07 Ntinda-Naalya'!H35,'02.08 Ntinda-Naalya'!H35,'01.08 Ntinda-Naalya 24h'!H35,'03.08 Ntinda-Naalya 24h'!H35,'04.08 Ntinda-Naalya'!H35)</f>
        <v>0</v>
      </c>
      <c r="I35" s="49">
        <f>AVERAGE('29.07 Ntinda-Naalya'!I35,'30.07 Ntinda-Naalya'!I35,'31.07 Ntinda-Naalya'!I35,'02.08 Ntinda-Naalya'!I35,'01.08 Ntinda-Naalya 24h'!I35,'03.08 Ntinda-Naalya 24h'!I35,'04.08 Ntinda-Naalya'!I35)</f>
        <v>4.2857142857142856</v>
      </c>
      <c r="J35" s="49">
        <f>AVERAGE('29.07 Ntinda-Naalya'!J35,'30.07 Ntinda-Naalya'!J35,'31.07 Ntinda-Naalya'!J35,'02.08 Ntinda-Naalya'!J35,'01.08 Ntinda-Naalya 24h'!J35,'03.08 Ntinda-Naalya 24h'!J35,'04.08 Ntinda-Naalya'!J35)</f>
        <v>1.1428571428571428</v>
      </c>
      <c r="K35" s="49">
        <f>AVERAGE('29.07 Ntinda-Naalya'!K35,'30.07 Ntinda-Naalya'!K35,'31.07 Ntinda-Naalya'!K35,'02.08 Ntinda-Naalya'!K35,'01.08 Ntinda-Naalya 24h'!K35,'03.08 Ntinda-Naalya 24h'!K35,'04.08 Ntinda-Naalya'!K35)</f>
        <v>0.5714285714285714</v>
      </c>
      <c r="L35" s="49">
        <f>AVERAGE('29.07 Ntinda-Naalya'!L35,'30.07 Ntinda-Naalya'!L35,'31.07 Ntinda-Naalya'!L35,'02.08 Ntinda-Naalya'!L35,'01.08 Ntinda-Naalya 24h'!L35,'03.08 Ntinda-Naalya 24h'!L35,'04.08 Ntinda-Naalya'!L35)</f>
        <v>0.14285714285714285</v>
      </c>
      <c r="M35" s="49">
        <f>AVERAGE('29.07 Ntinda-Naalya'!M35,'30.07 Ntinda-Naalya'!M35,'31.07 Ntinda-Naalya'!M35,'02.08 Ntinda-Naalya'!M35,'01.08 Ntinda-Naalya 24h'!M35,'03.08 Ntinda-Naalya 24h'!M35,'04.08 Ntinda-Naalya'!M35)</f>
        <v>52</v>
      </c>
      <c r="N35" s="49">
        <f>AVERAGE('29.07 Ntinda-Naalya'!N35,'30.07 Ntinda-Naalya'!N35,'31.07 Ntinda-Naalya'!N35,'02.08 Ntinda-Naalya'!N35,'01.08 Ntinda-Naalya 24h'!N35,'03.08 Ntinda-Naalya 24h'!N35,'04.08 Ntinda-Naalya'!N35)</f>
        <v>0</v>
      </c>
      <c r="O35" s="15">
        <f t="shared" si="0"/>
        <v>115.28571428571428</v>
      </c>
      <c r="P35" s="15">
        <f t="shared" si="1"/>
        <v>167.28571428571428</v>
      </c>
      <c r="R35" s="38" t="s">
        <v>91</v>
      </c>
      <c r="S35" s="39">
        <f t="shared" ref="S35:AF35" si="27">MAX(S13:S18)</f>
        <v>415.14285714285711</v>
      </c>
      <c r="T35" s="39">
        <f t="shared" si="27"/>
        <v>81.428571428571431</v>
      </c>
      <c r="U35" s="39">
        <f t="shared" si="27"/>
        <v>19.857142857142858</v>
      </c>
      <c r="V35" s="39">
        <f t="shared" si="27"/>
        <v>28.714285714285715</v>
      </c>
      <c r="W35" s="39">
        <f t="shared" si="27"/>
        <v>3.2857142857142856</v>
      </c>
      <c r="X35" s="39">
        <f t="shared" si="27"/>
        <v>1.1428571428571428</v>
      </c>
      <c r="Y35" s="39">
        <f t="shared" si="27"/>
        <v>20.142857142857139</v>
      </c>
      <c r="Z35" s="39">
        <f t="shared" si="27"/>
        <v>8.4285714285714288</v>
      </c>
      <c r="AA35" s="39">
        <f t="shared" si="27"/>
        <v>3</v>
      </c>
      <c r="AB35" s="39">
        <f t="shared" si="27"/>
        <v>1</v>
      </c>
      <c r="AC35" s="39">
        <f t="shared" si="27"/>
        <v>276.57142857142861</v>
      </c>
      <c r="AD35" s="39">
        <f t="shared" si="27"/>
        <v>0.14285714285714285</v>
      </c>
      <c r="AE35" s="40">
        <f t="shared" si="27"/>
        <v>575.42857142857133</v>
      </c>
      <c r="AF35" s="40">
        <f t="shared" si="27"/>
        <v>821.14285714285711</v>
      </c>
    </row>
    <row r="36" spans="2:32" ht="23.1" customHeight="1" x14ac:dyDescent="0.25">
      <c r="B36" s="24" t="s">
        <v>63</v>
      </c>
      <c r="C36" s="49">
        <f>AVERAGE('29.07 Ntinda-Naalya'!C36,'30.07 Ntinda-Naalya'!C36,'31.07 Ntinda-Naalya'!C36,'02.08 Ntinda-Naalya'!C36,'01.08 Ntinda-Naalya 24h'!C36,'03.08 Ntinda-Naalya 24h'!C36,'04.08 Ntinda-Naalya'!C36)</f>
        <v>95</v>
      </c>
      <c r="D36" s="49">
        <f>AVERAGE('29.07 Ntinda-Naalya'!D36,'30.07 Ntinda-Naalya'!D36,'31.07 Ntinda-Naalya'!D36,'02.08 Ntinda-Naalya'!D36,'01.08 Ntinda-Naalya 24h'!D36,'03.08 Ntinda-Naalya 24h'!D36,'04.08 Ntinda-Naalya'!D36)</f>
        <v>20.142857142857142</v>
      </c>
      <c r="E36" s="49">
        <f>AVERAGE('29.07 Ntinda-Naalya'!E36,'30.07 Ntinda-Naalya'!E36,'31.07 Ntinda-Naalya'!E36,'02.08 Ntinda-Naalya'!E36,'01.08 Ntinda-Naalya 24h'!E36,'03.08 Ntinda-Naalya 24h'!E36,'04.08 Ntinda-Naalya'!E36)</f>
        <v>5.4285714285714288</v>
      </c>
      <c r="F36" s="49">
        <f>AVERAGE('29.07 Ntinda-Naalya'!F36,'30.07 Ntinda-Naalya'!F36,'31.07 Ntinda-Naalya'!F36,'02.08 Ntinda-Naalya'!F36,'01.08 Ntinda-Naalya 24h'!F36,'03.08 Ntinda-Naalya 24h'!F36,'04.08 Ntinda-Naalya'!F36)</f>
        <v>4</v>
      </c>
      <c r="G36" s="49">
        <f>AVERAGE('29.07 Ntinda-Naalya'!G36,'30.07 Ntinda-Naalya'!G36,'31.07 Ntinda-Naalya'!G36,'02.08 Ntinda-Naalya'!G36,'01.08 Ntinda-Naalya 24h'!G36,'03.08 Ntinda-Naalya 24h'!G36,'04.08 Ntinda-Naalya'!G36)</f>
        <v>0.2857142857142857</v>
      </c>
      <c r="H36" s="49">
        <f>AVERAGE('29.07 Ntinda-Naalya'!H36,'30.07 Ntinda-Naalya'!H36,'31.07 Ntinda-Naalya'!H36,'02.08 Ntinda-Naalya'!H36,'01.08 Ntinda-Naalya 24h'!H36,'03.08 Ntinda-Naalya 24h'!H36,'04.08 Ntinda-Naalya'!H36)</f>
        <v>0.2857142857142857</v>
      </c>
      <c r="I36" s="49">
        <f>AVERAGE('29.07 Ntinda-Naalya'!I36,'30.07 Ntinda-Naalya'!I36,'31.07 Ntinda-Naalya'!I36,'02.08 Ntinda-Naalya'!I36,'01.08 Ntinda-Naalya 24h'!I36,'03.08 Ntinda-Naalya 24h'!I36,'04.08 Ntinda-Naalya'!I36)</f>
        <v>4.8571428571428568</v>
      </c>
      <c r="J36" s="49">
        <f>AVERAGE('29.07 Ntinda-Naalya'!J36,'30.07 Ntinda-Naalya'!J36,'31.07 Ntinda-Naalya'!J36,'02.08 Ntinda-Naalya'!J36,'01.08 Ntinda-Naalya 24h'!J36,'03.08 Ntinda-Naalya 24h'!J36,'04.08 Ntinda-Naalya'!J36)</f>
        <v>1.1428571428571428</v>
      </c>
      <c r="K36" s="49">
        <f>AVERAGE('29.07 Ntinda-Naalya'!K36,'30.07 Ntinda-Naalya'!K36,'31.07 Ntinda-Naalya'!K36,'02.08 Ntinda-Naalya'!K36,'01.08 Ntinda-Naalya 24h'!K36,'03.08 Ntinda-Naalya 24h'!K36,'04.08 Ntinda-Naalya'!K36)</f>
        <v>0.2857142857142857</v>
      </c>
      <c r="L36" s="49">
        <f>AVERAGE('29.07 Ntinda-Naalya'!L36,'30.07 Ntinda-Naalya'!L36,'31.07 Ntinda-Naalya'!L36,'02.08 Ntinda-Naalya'!L36,'01.08 Ntinda-Naalya 24h'!L36,'03.08 Ntinda-Naalya 24h'!L36,'04.08 Ntinda-Naalya'!L36)</f>
        <v>0.14285714285714285</v>
      </c>
      <c r="M36" s="49">
        <f>AVERAGE('29.07 Ntinda-Naalya'!M36,'30.07 Ntinda-Naalya'!M36,'31.07 Ntinda-Naalya'!M36,'02.08 Ntinda-Naalya'!M36,'01.08 Ntinda-Naalya 24h'!M36,'03.08 Ntinda-Naalya 24h'!M36,'04.08 Ntinda-Naalya'!M36)</f>
        <v>54.857142857142854</v>
      </c>
      <c r="N36" s="49">
        <f>AVERAGE('29.07 Ntinda-Naalya'!N36,'30.07 Ntinda-Naalya'!N36,'31.07 Ntinda-Naalya'!N36,'02.08 Ntinda-Naalya'!N36,'01.08 Ntinda-Naalya 24h'!N36,'03.08 Ntinda-Naalya 24h'!N36,'04.08 Ntinda-Naalya'!N36)</f>
        <v>0</v>
      </c>
      <c r="O36" s="15">
        <f t="shared" si="0"/>
        <v>131.57142857142856</v>
      </c>
      <c r="P36" s="15">
        <f t="shared" si="1"/>
        <v>186.42857142857142</v>
      </c>
      <c r="R36" s="38" t="s">
        <v>92</v>
      </c>
      <c r="S36" s="39">
        <f t="shared" ref="S36:AF36" si="28">MAX(S19:S21)</f>
        <v>572.85714285714289</v>
      </c>
      <c r="T36" s="39">
        <f t="shared" si="28"/>
        <v>109.85714285714286</v>
      </c>
      <c r="U36" s="39">
        <f t="shared" si="28"/>
        <v>15.857142857142858</v>
      </c>
      <c r="V36" s="39">
        <f t="shared" si="28"/>
        <v>32.142857142857146</v>
      </c>
      <c r="W36" s="39">
        <f t="shared" si="28"/>
        <v>10.428571428571429</v>
      </c>
      <c r="X36" s="39">
        <f t="shared" si="28"/>
        <v>1.7142857142857142</v>
      </c>
      <c r="Y36" s="39">
        <f t="shared" si="28"/>
        <v>16.142857142857142</v>
      </c>
      <c r="Z36" s="39">
        <f t="shared" si="28"/>
        <v>7.4285714285714288</v>
      </c>
      <c r="AA36" s="39">
        <f t="shared" si="28"/>
        <v>2.4285714285714284</v>
      </c>
      <c r="AB36" s="39">
        <f t="shared" si="28"/>
        <v>1.5714285714285712</v>
      </c>
      <c r="AC36" s="39">
        <f t="shared" si="28"/>
        <v>279.85714285714283</v>
      </c>
      <c r="AD36" s="39">
        <f t="shared" si="28"/>
        <v>0.14285714285714285</v>
      </c>
      <c r="AE36" s="40">
        <f t="shared" si="28"/>
        <v>755.71428571428567</v>
      </c>
      <c r="AF36" s="40">
        <f t="shared" si="28"/>
        <v>1035.5714285714284</v>
      </c>
    </row>
    <row r="37" spans="2:32" ht="23.1" customHeight="1" x14ac:dyDescent="0.25">
      <c r="B37" s="23" t="s">
        <v>64</v>
      </c>
      <c r="C37" s="49">
        <f>AVERAGE('29.07 Ntinda-Naalya'!C37,'30.07 Ntinda-Naalya'!C37,'31.07 Ntinda-Naalya'!C37,'02.08 Ntinda-Naalya'!C37,'01.08 Ntinda-Naalya 24h'!C37,'03.08 Ntinda-Naalya 24h'!C37,'04.08 Ntinda-Naalya'!C37)</f>
        <v>99.714285714285708</v>
      </c>
      <c r="D37" s="49">
        <f>AVERAGE('29.07 Ntinda-Naalya'!D37,'30.07 Ntinda-Naalya'!D37,'31.07 Ntinda-Naalya'!D37,'02.08 Ntinda-Naalya'!D37,'01.08 Ntinda-Naalya 24h'!D37,'03.08 Ntinda-Naalya 24h'!D37,'04.08 Ntinda-Naalya'!D37)</f>
        <v>20.428571428571427</v>
      </c>
      <c r="E37" s="49">
        <f>AVERAGE('29.07 Ntinda-Naalya'!E37,'30.07 Ntinda-Naalya'!E37,'31.07 Ntinda-Naalya'!E37,'02.08 Ntinda-Naalya'!E37,'01.08 Ntinda-Naalya 24h'!E37,'03.08 Ntinda-Naalya 24h'!E37,'04.08 Ntinda-Naalya'!E37)</f>
        <v>5.4285714285714288</v>
      </c>
      <c r="F37" s="49">
        <f>AVERAGE('29.07 Ntinda-Naalya'!F37,'30.07 Ntinda-Naalya'!F37,'31.07 Ntinda-Naalya'!F37,'02.08 Ntinda-Naalya'!F37,'01.08 Ntinda-Naalya 24h'!F37,'03.08 Ntinda-Naalya 24h'!F37,'04.08 Ntinda-Naalya'!F37)</f>
        <v>5.2857142857142856</v>
      </c>
      <c r="G37" s="49">
        <f>AVERAGE('29.07 Ntinda-Naalya'!G37,'30.07 Ntinda-Naalya'!G37,'31.07 Ntinda-Naalya'!G37,'02.08 Ntinda-Naalya'!G37,'01.08 Ntinda-Naalya 24h'!G37,'03.08 Ntinda-Naalya 24h'!G37,'04.08 Ntinda-Naalya'!G37)</f>
        <v>1.2857142857142858</v>
      </c>
      <c r="H37" s="49">
        <f>AVERAGE('29.07 Ntinda-Naalya'!H37,'30.07 Ntinda-Naalya'!H37,'31.07 Ntinda-Naalya'!H37,'02.08 Ntinda-Naalya'!H37,'01.08 Ntinda-Naalya 24h'!H37,'03.08 Ntinda-Naalya 24h'!H37,'04.08 Ntinda-Naalya'!H37)</f>
        <v>0.14285714285714285</v>
      </c>
      <c r="I37" s="49">
        <f>AVERAGE('29.07 Ntinda-Naalya'!I37,'30.07 Ntinda-Naalya'!I37,'31.07 Ntinda-Naalya'!I37,'02.08 Ntinda-Naalya'!I37,'01.08 Ntinda-Naalya 24h'!I37,'03.08 Ntinda-Naalya 24h'!I37,'04.08 Ntinda-Naalya'!I37)</f>
        <v>4.5714285714285712</v>
      </c>
      <c r="J37" s="49">
        <f>AVERAGE('29.07 Ntinda-Naalya'!J37,'30.07 Ntinda-Naalya'!J37,'31.07 Ntinda-Naalya'!J37,'02.08 Ntinda-Naalya'!J37,'01.08 Ntinda-Naalya 24h'!J37,'03.08 Ntinda-Naalya 24h'!J37,'04.08 Ntinda-Naalya'!J37)</f>
        <v>1.8571428571428572</v>
      </c>
      <c r="K37" s="49">
        <f>AVERAGE('29.07 Ntinda-Naalya'!K37,'30.07 Ntinda-Naalya'!K37,'31.07 Ntinda-Naalya'!K37,'02.08 Ntinda-Naalya'!K37,'01.08 Ntinda-Naalya 24h'!K37,'03.08 Ntinda-Naalya 24h'!K37,'04.08 Ntinda-Naalya'!K37)</f>
        <v>0.5714285714285714</v>
      </c>
      <c r="L37" s="49">
        <f>AVERAGE('29.07 Ntinda-Naalya'!L37,'30.07 Ntinda-Naalya'!L37,'31.07 Ntinda-Naalya'!L37,'02.08 Ntinda-Naalya'!L37,'01.08 Ntinda-Naalya 24h'!L37,'03.08 Ntinda-Naalya 24h'!L37,'04.08 Ntinda-Naalya'!L37)</f>
        <v>0.14285714285714285</v>
      </c>
      <c r="M37" s="49">
        <f>AVERAGE('29.07 Ntinda-Naalya'!M37,'30.07 Ntinda-Naalya'!M37,'31.07 Ntinda-Naalya'!M37,'02.08 Ntinda-Naalya'!M37,'01.08 Ntinda-Naalya 24h'!M37,'03.08 Ntinda-Naalya 24h'!M37,'04.08 Ntinda-Naalya'!M37)</f>
        <v>59</v>
      </c>
      <c r="N37" s="49">
        <f>AVERAGE('29.07 Ntinda-Naalya'!N37,'30.07 Ntinda-Naalya'!N37,'31.07 Ntinda-Naalya'!N37,'02.08 Ntinda-Naalya'!N37,'01.08 Ntinda-Naalya 24h'!N37,'03.08 Ntinda-Naalya 24h'!N37,'04.08 Ntinda-Naalya'!N37)</f>
        <v>0</v>
      </c>
      <c r="O37" s="15">
        <f t="shared" si="0"/>
        <v>139.42857142857144</v>
      </c>
      <c r="P37" s="15">
        <f t="shared" si="1"/>
        <v>198.42857142857144</v>
      </c>
      <c r="R37" s="37" t="s">
        <v>85</v>
      </c>
      <c r="S37" s="35">
        <f t="shared" ref="S37:AF37" si="29">SUM(S10:S12)</f>
        <v>911.857142857143</v>
      </c>
      <c r="T37" s="16">
        <f t="shared" si="29"/>
        <v>208.28571428571431</v>
      </c>
      <c r="U37" s="16">
        <f t="shared" si="29"/>
        <v>34.714285714285715</v>
      </c>
      <c r="V37" s="16">
        <f t="shared" si="29"/>
        <v>89.142857142857139</v>
      </c>
      <c r="W37" s="16">
        <f t="shared" si="29"/>
        <v>3.2857142857142856</v>
      </c>
      <c r="X37" s="16">
        <f t="shared" si="29"/>
        <v>1.857142857142857</v>
      </c>
      <c r="Y37" s="16">
        <f t="shared" si="29"/>
        <v>30</v>
      </c>
      <c r="Z37" s="16">
        <f t="shared" si="29"/>
        <v>11.142857142857142</v>
      </c>
      <c r="AA37" s="16">
        <f t="shared" si="29"/>
        <v>3.5714285714285712</v>
      </c>
      <c r="AB37" s="16">
        <f t="shared" si="29"/>
        <v>1</v>
      </c>
      <c r="AC37" s="16">
        <f t="shared" si="29"/>
        <v>684.71428571428578</v>
      </c>
      <c r="AD37" s="16">
        <f t="shared" si="29"/>
        <v>0.14285714285714285</v>
      </c>
      <c r="AE37" s="32">
        <f t="shared" si="29"/>
        <v>1295</v>
      </c>
      <c r="AF37" s="32">
        <f t="shared" si="29"/>
        <v>1979.7142857142858</v>
      </c>
    </row>
    <row r="38" spans="2:32" ht="23.1" customHeight="1" x14ac:dyDescent="0.25">
      <c r="B38" s="24" t="s">
        <v>65</v>
      </c>
      <c r="C38" s="49">
        <f>AVERAGE('29.07 Ntinda-Naalya'!C38,'30.07 Ntinda-Naalya'!C38,'31.07 Ntinda-Naalya'!C38,'02.08 Ntinda-Naalya'!C38,'01.08 Ntinda-Naalya 24h'!C38,'03.08 Ntinda-Naalya 24h'!C38,'04.08 Ntinda-Naalya'!C38)</f>
        <v>81.428571428571431</v>
      </c>
      <c r="D38" s="49">
        <f>AVERAGE('29.07 Ntinda-Naalya'!D38,'30.07 Ntinda-Naalya'!D38,'31.07 Ntinda-Naalya'!D38,'02.08 Ntinda-Naalya'!D38,'01.08 Ntinda-Naalya 24h'!D38,'03.08 Ntinda-Naalya 24h'!D38,'04.08 Ntinda-Naalya'!D38)</f>
        <v>14.428571428571429</v>
      </c>
      <c r="E38" s="49">
        <f>AVERAGE('29.07 Ntinda-Naalya'!E38,'30.07 Ntinda-Naalya'!E38,'31.07 Ntinda-Naalya'!E38,'02.08 Ntinda-Naalya'!E38,'01.08 Ntinda-Naalya 24h'!E38,'03.08 Ntinda-Naalya 24h'!E38,'04.08 Ntinda-Naalya'!E38)</f>
        <v>5.1428571428571432</v>
      </c>
      <c r="F38" s="49">
        <f>AVERAGE('29.07 Ntinda-Naalya'!F38,'30.07 Ntinda-Naalya'!F38,'31.07 Ntinda-Naalya'!F38,'02.08 Ntinda-Naalya'!F38,'01.08 Ntinda-Naalya 24h'!F38,'03.08 Ntinda-Naalya 24h'!F38,'04.08 Ntinda-Naalya'!F38)</f>
        <v>5.2857142857142856</v>
      </c>
      <c r="G38" s="49">
        <f>AVERAGE('29.07 Ntinda-Naalya'!G38,'30.07 Ntinda-Naalya'!G38,'31.07 Ntinda-Naalya'!G38,'02.08 Ntinda-Naalya'!G38,'01.08 Ntinda-Naalya 24h'!G38,'03.08 Ntinda-Naalya 24h'!G38,'04.08 Ntinda-Naalya'!G38)</f>
        <v>0.2857142857142857</v>
      </c>
      <c r="H38" s="49">
        <f>AVERAGE('29.07 Ntinda-Naalya'!H38,'30.07 Ntinda-Naalya'!H38,'31.07 Ntinda-Naalya'!H38,'02.08 Ntinda-Naalya'!H38,'01.08 Ntinda-Naalya 24h'!H38,'03.08 Ntinda-Naalya 24h'!H38,'04.08 Ntinda-Naalya'!H38)</f>
        <v>0.5714285714285714</v>
      </c>
      <c r="I38" s="49">
        <f>AVERAGE('29.07 Ntinda-Naalya'!I38,'30.07 Ntinda-Naalya'!I38,'31.07 Ntinda-Naalya'!I38,'02.08 Ntinda-Naalya'!I38,'01.08 Ntinda-Naalya 24h'!I38,'03.08 Ntinda-Naalya 24h'!I38,'04.08 Ntinda-Naalya'!I38)</f>
        <v>3.7142857142857144</v>
      </c>
      <c r="J38" s="49">
        <f>AVERAGE('29.07 Ntinda-Naalya'!J38,'30.07 Ntinda-Naalya'!J38,'31.07 Ntinda-Naalya'!J38,'02.08 Ntinda-Naalya'!J38,'01.08 Ntinda-Naalya 24h'!J38,'03.08 Ntinda-Naalya 24h'!J38,'04.08 Ntinda-Naalya'!J38)</f>
        <v>2.1428571428571428</v>
      </c>
      <c r="K38" s="49">
        <f>AVERAGE('29.07 Ntinda-Naalya'!K38,'30.07 Ntinda-Naalya'!K38,'31.07 Ntinda-Naalya'!K38,'02.08 Ntinda-Naalya'!K38,'01.08 Ntinda-Naalya 24h'!K38,'03.08 Ntinda-Naalya 24h'!K38,'04.08 Ntinda-Naalya'!K38)</f>
        <v>0.42857142857142855</v>
      </c>
      <c r="L38" s="49">
        <f>AVERAGE('29.07 Ntinda-Naalya'!L38,'30.07 Ntinda-Naalya'!L38,'31.07 Ntinda-Naalya'!L38,'02.08 Ntinda-Naalya'!L38,'01.08 Ntinda-Naalya 24h'!L38,'03.08 Ntinda-Naalya 24h'!L38,'04.08 Ntinda-Naalya'!L38)</f>
        <v>0.42857142857142855</v>
      </c>
      <c r="M38" s="49">
        <f>AVERAGE('29.07 Ntinda-Naalya'!M38,'30.07 Ntinda-Naalya'!M38,'31.07 Ntinda-Naalya'!M38,'02.08 Ntinda-Naalya'!M38,'01.08 Ntinda-Naalya 24h'!M38,'03.08 Ntinda-Naalya 24h'!M38,'04.08 Ntinda-Naalya'!M38)</f>
        <v>55.142857142857146</v>
      </c>
      <c r="N38" s="49">
        <f>AVERAGE('29.07 Ntinda-Naalya'!N38,'30.07 Ntinda-Naalya'!N38,'31.07 Ntinda-Naalya'!N38,'02.08 Ntinda-Naalya'!N38,'01.08 Ntinda-Naalya 24h'!N38,'03.08 Ntinda-Naalya 24h'!N38,'04.08 Ntinda-Naalya'!N38)</f>
        <v>0</v>
      </c>
      <c r="O38" s="15">
        <f t="shared" si="0"/>
        <v>113.85714285714286</v>
      </c>
      <c r="P38" s="15">
        <f t="shared" si="1"/>
        <v>169</v>
      </c>
      <c r="R38" s="28" t="s">
        <v>86</v>
      </c>
      <c r="S38" s="16">
        <f t="shared" ref="S38:AF38" si="30">SUM(S13:S18)</f>
        <v>2013</v>
      </c>
      <c r="T38" s="16">
        <f t="shared" si="30"/>
        <v>457.14285714285717</v>
      </c>
      <c r="U38" s="16">
        <f t="shared" si="30"/>
        <v>103.57142857142857</v>
      </c>
      <c r="V38" s="16">
        <f t="shared" si="30"/>
        <v>147.71428571428572</v>
      </c>
      <c r="W38" s="16">
        <f t="shared" si="30"/>
        <v>13.857142857142858</v>
      </c>
      <c r="X38" s="16">
        <f t="shared" si="30"/>
        <v>4.2857142857142856</v>
      </c>
      <c r="Y38" s="16">
        <f t="shared" si="30"/>
        <v>106.57142857142857</v>
      </c>
      <c r="Z38" s="16">
        <f t="shared" si="30"/>
        <v>37.857142857142861</v>
      </c>
      <c r="AA38" s="16">
        <f t="shared" si="30"/>
        <v>11.571428571428571</v>
      </c>
      <c r="AB38" s="16">
        <f t="shared" si="30"/>
        <v>4.1428571428571423</v>
      </c>
      <c r="AC38" s="16">
        <f t="shared" si="30"/>
        <v>1443.5714285714287</v>
      </c>
      <c r="AD38" s="16">
        <f t="shared" si="30"/>
        <v>0.14285714285714285</v>
      </c>
      <c r="AE38" s="32">
        <f t="shared" si="30"/>
        <v>2899.8571428571431</v>
      </c>
      <c r="AF38" s="32">
        <f t="shared" si="30"/>
        <v>4343.4285714285716</v>
      </c>
    </row>
    <row r="39" spans="2:32" ht="23.1" customHeight="1" x14ac:dyDescent="0.25">
      <c r="B39" s="24" t="s">
        <v>66</v>
      </c>
      <c r="C39" s="49">
        <f>AVERAGE('29.07 Ntinda-Naalya'!C39,'30.07 Ntinda-Naalya'!C39,'31.07 Ntinda-Naalya'!C39,'02.08 Ntinda-Naalya'!C39,'01.08 Ntinda-Naalya 24h'!C39,'03.08 Ntinda-Naalya 24h'!C39,'04.08 Ntinda-Naalya'!C39)</f>
        <v>90</v>
      </c>
      <c r="D39" s="49">
        <f>AVERAGE('29.07 Ntinda-Naalya'!D39,'30.07 Ntinda-Naalya'!D39,'31.07 Ntinda-Naalya'!D39,'02.08 Ntinda-Naalya'!D39,'01.08 Ntinda-Naalya 24h'!D39,'03.08 Ntinda-Naalya 24h'!D39,'04.08 Ntinda-Naalya'!D39)</f>
        <v>23.142857142857142</v>
      </c>
      <c r="E39" s="49">
        <f>AVERAGE('29.07 Ntinda-Naalya'!E39,'30.07 Ntinda-Naalya'!E39,'31.07 Ntinda-Naalya'!E39,'02.08 Ntinda-Naalya'!E39,'01.08 Ntinda-Naalya 24h'!E39,'03.08 Ntinda-Naalya 24h'!E39,'04.08 Ntinda-Naalya'!E39)</f>
        <v>4</v>
      </c>
      <c r="F39" s="49">
        <f>AVERAGE('29.07 Ntinda-Naalya'!F39,'30.07 Ntinda-Naalya'!F39,'31.07 Ntinda-Naalya'!F39,'02.08 Ntinda-Naalya'!F39,'01.08 Ntinda-Naalya 24h'!F39,'03.08 Ntinda-Naalya 24h'!F39,'04.08 Ntinda-Naalya'!F39)</f>
        <v>4.8571428571428568</v>
      </c>
      <c r="G39" s="49">
        <f>AVERAGE('29.07 Ntinda-Naalya'!G39,'30.07 Ntinda-Naalya'!G39,'31.07 Ntinda-Naalya'!G39,'02.08 Ntinda-Naalya'!G39,'01.08 Ntinda-Naalya 24h'!G39,'03.08 Ntinda-Naalya 24h'!G39,'04.08 Ntinda-Naalya'!G39)</f>
        <v>0.5714285714285714</v>
      </c>
      <c r="H39" s="49">
        <f>AVERAGE('29.07 Ntinda-Naalya'!H39,'30.07 Ntinda-Naalya'!H39,'31.07 Ntinda-Naalya'!H39,'02.08 Ntinda-Naalya'!H39,'01.08 Ntinda-Naalya 24h'!H39,'03.08 Ntinda-Naalya 24h'!H39,'04.08 Ntinda-Naalya'!H39)</f>
        <v>0.14285714285714285</v>
      </c>
      <c r="I39" s="49">
        <f>AVERAGE('29.07 Ntinda-Naalya'!I39,'30.07 Ntinda-Naalya'!I39,'31.07 Ntinda-Naalya'!I39,'02.08 Ntinda-Naalya'!I39,'01.08 Ntinda-Naalya 24h'!I39,'03.08 Ntinda-Naalya 24h'!I39,'04.08 Ntinda-Naalya'!I39)</f>
        <v>4.5714285714285712</v>
      </c>
      <c r="J39" s="49">
        <f>AVERAGE('29.07 Ntinda-Naalya'!J39,'30.07 Ntinda-Naalya'!J39,'31.07 Ntinda-Naalya'!J39,'02.08 Ntinda-Naalya'!J39,'01.08 Ntinda-Naalya 24h'!J39,'03.08 Ntinda-Naalya 24h'!J39,'04.08 Ntinda-Naalya'!J39)</f>
        <v>1.1428571428571428</v>
      </c>
      <c r="K39" s="49">
        <f>AVERAGE('29.07 Ntinda-Naalya'!K39,'30.07 Ntinda-Naalya'!K39,'31.07 Ntinda-Naalya'!K39,'02.08 Ntinda-Naalya'!K39,'01.08 Ntinda-Naalya 24h'!K39,'03.08 Ntinda-Naalya 24h'!K39,'04.08 Ntinda-Naalya'!K39)</f>
        <v>0.42857142857142855</v>
      </c>
      <c r="L39" s="49">
        <f>AVERAGE('29.07 Ntinda-Naalya'!L39,'30.07 Ntinda-Naalya'!L39,'31.07 Ntinda-Naalya'!L39,'02.08 Ntinda-Naalya'!L39,'01.08 Ntinda-Naalya 24h'!L39,'03.08 Ntinda-Naalya 24h'!L39,'04.08 Ntinda-Naalya'!L39)</f>
        <v>0.14285714285714285</v>
      </c>
      <c r="M39" s="49">
        <f>AVERAGE('29.07 Ntinda-Naalya'!M39,'30.07 Ntinda-Naalya'!M39,'31.07 Ntinda-Naalya'!M39,'02.08 Ntinda-Naalya'!M39,'01.08 Ntinda-Naalya 24h'!M39,'03.08 Ntinda-Naalya 24h'!M39,'04.08 Ntinda-Naalya'!M39)</f>
        <v>60.571428571428569</v>
      </c>
      <c r="N39" s="49">
        <f>AVERAGE('29.07 Ntinda-Naalya'!N39,'30.07 Ntinda-Naalya'!N39,'31.07 Ntinda-Naalya'!N39,'02.08 Ntinda-Naalya'!N39,'01.08 Ntinda-Naalya 24h'!N39,'03.08 Ntinda-Naalya 24h'!N39,'04.08 Ntinda-Naalya'!N39)</f>
        <v>0</v>
      </c>
      <c r="O39" s="15">
        <f t="shared" si="0"/>
        <v>128.99999999999997</v>
      </c>
      <c r="P39" s="15">
        <f t="shared" si="1"/>
        <v>189.57142857142856</v>
      </c>
      <c r="R39" s="29" t="s">
        <v>87</v>
      </c>
      <c r="S39" s="16">
        <f t="shared" ref="S39:AF39" si="31">SUM(S19:S21)</f>
        <v>1674.4285714285716</v>
      </c>
      <c r="T39" s="16">
        <f t="shared" si="31"/>
        <v>321.28571428571433</v>
      </c>
      <c r="U39" s="16">
        <f t="shared" si="31"/>
        <v>39.857142857142861</v>
      </c>
      <c r="V39" s="16">
        <f t="shared" si="31"/>
        <v>90</v>
      </c>
      <c r="W39" s="16">
        <f t="shared" si="31"/>
        <v>16</v>
      </c>
      <c r="X39" s="16">
        <f t="shared" si="31"/>
        <v>3.8571428571428568</v>
      </c>
      <c r="Y39" s="16">
        <f t="shared" si="31"/>
        <v>44.142857142857139</v>
      </c>
      <c r="Z39" s="16">
        <f t="shared" si="31"/>
        <v>19.428571428571431</v>
      </c>
      <c r="AA39" s="16">
        <f t="shared" si="31"/>
        <v>6.5714285714285712</v>
      </c>
      <c r="AB39" s="16">
        <f t="shared" si="31"/>
        <v>2.1428571428571428</v>
      </c>
      <c r="AC39" s="16">
        <f t="shared" si="31"/>
        <v>799.57142857142856</v>
      </c>
      <c r="AD39" s="16">
        <f t="shared" si="31"/>
        <v>0.14285714285714285</v>
      </c>
      <c r="AE39" s="32">
        <f t="shared" si="31"/>
        <v>2217.8571428571431</v>
      </c>
      <c r="AF39" s="32">
        <f t="shared" si="31"/>
        <v>3017.4285714285716</v>
      </c>
    </row>
    <row r="40" spans="2:32" ht="23.1" customHeight="1" x14ac:dyDescent="0.25">
      <c r="B40" s="24" t="s">
        <v>67</v>
      </c>
      <c r="C40" s="49">
        <f>AVERAGE('29.07 Ntinda-Naalya'!C40,'30.07 Ntinda-Naalya'!C40,'31.07 Ntinda-Naalya'!C40,'02.08 Ntinda-Naalya'!C40,'01.08 Ntinda-Naalya 24h'!C40,'03.08 Ntinda-Naalya 24h'!C40,'04.08 Ntinda-Naalya'!C40)</f>
        <v>102.85714285714286</v>
      </c>
      <c r="D40" s="49">
        <f>AVERAGE('29.07 Ntinda-Naalya'!D40,'30.07 Ntinda-Naalya'!D40,'31.07 Ntinda-Naalya'!D40,'02.08 Ntinda-Naalya'!D40,'01.08 Ntinda-Naalya 24h'!D40,'03.08 Ntinda-Naalya 24h'!D40,'04.08 Ntinda-Naalya'!D40)</f>
        <v>20.428571428571427</v>
      </c>
      <c r="E40" s="49">
        <f>AVERAGE('29.07 Ntinda-Naalya'!E40,'30.07 Ntinda-Naalya'!E40,'31.07 Ntinda-Naalya'!E40,'02.08 Ntinda-Naalya'!E40,'01.08 Ntinda-Naalya 24h'!E40,'03.08 Ntinda-Naalya 24h'!E40,'04.08 Ntinda-Naalya'!E40)</f>
        <v>5.1428571428571432</v>
      </c>
      <c r="F40" s="49">
        <f>AVERAGE('29.07 Ntinda-Naalya'!F40,'30.07 Ntinda-Naalya'!F40,'31.07 Ntinda-Naalya'!F40,'02.08 Ntinda-Naalya'!F40,'01.08 Ntinda-Naalya 24h'!F40,'03.08 Ntinda-Naalya 24h'!F40,'04.08 Ntinda-Naalya'!F40)</f>
        <v>7.7142857142857144</v>
      </c>
      <c r="G40" s="49">
        <f>AVERAGE('29.07 Ntinda-Naalya'!G40,'30.07 Ntinda-Naalya'!G40,'31.07 Ntinda-Naalya'!G40,'02.08 Ntinda-Naalya'!G40,'01.08 Ntinda-Naalya 24h'!G40,'03.08 Ntinda-Naalya 24h'!G40,'04.08 Ntinda-Naalya'!G40)</f>
        <v>1.2857142857142858</v>
      </c>
      <c r="H40" s="49">
        <f>AVERAGE('29.07 Ntinda-Naalya'!H40,'30.07 Ntinda-Naalya'!H40,'31.07 Ntinda-Naalya'!H40,'02.08 Ntinda-Naalya'!H40,'01.08 Ntinda-Naalya 24h'!H40,'03.08 Ntinda-Naalya 24h'!H40,'04.08 Ntinda-Naalya'!H40)</f>
        <v>0</v>
      </c>
      <c r="I40" s="49">
        <f>AVERAGE('29.07 Ntinda-Naalya'!I40,'30.07 Ntinda-Naalya'!I40,'31.07 Ntinda-Naalya'!I40,'02.08 Ntinda-Naalya'!I40,'01.08 Ntinda-Naalya 24h'!I40,'03.08 Ntinda-Naalya 24h'!I40,'04.08 Ntinda-Naalya'!I40)</f>
        <v>4.5714285714285712</v>
      </c>
      <c r="J40" s="49">
        <f>AVERAGE('29.07 Ntinda-Naalya'!J40,'30.07 Ntinda-Naalya'!J40,'31.07 Ntinda-Naalya'!J40,'02.08 Ntinda-Naalya'!J40,'01.08 Ntinda-Naalya 24h'!J40,'03.08 Ntinda-Naalya 24h'!J40,'04.08 Ntinda-Naalya'!J40)</f>
        <v>1.1428571428571428</v>
      </c>
      <c r="K40" s="49">
        <f>AVERAGE('29.07 Ntinda-Naalya'!K40,'30.07 Ntinda-Naalya'!K40,'31.07 Ntinda-Naalya'!K40,'02.08 Ntinda-Naalya'!K40,'01.08 Ntinda-Naalya 24h'!K40,'03.08 Ntinda-Naalya 24h'!K40,'04.08 Ntinda-Naalya'!K40)</f>
        <v>0.14285714285714285</v>
      </c>
      <c r="L40" s="49">
        <f>AVERAGE('29.07 Ntinda-Naalya'!L40,'30.07 Ntinda-Naalya'!L40,'31.07 Ntinda-Naalya'!L40,'02.08 Ntinda-Naalya'!L40,'01.08 Ntinda-Naalya 24h'!L40,'03.08 Ntinda-Naalya 24h'!L40,'04.08 Ntinda-Naalya'!L40)</f>
        <v>0.14285714285714285</v>
      </c>
      <c r="M40" s="49">
        <f>AVERAGE('29.07 Ntinda-Naalya'!M40,'30.07 Ntinda-Naalya'!M40,'31.07 Ntinda-Naalya'!M40,'02.08 Ntinda-Naalya'!M40,'01.08 Ntinda-Naalya 24h'!M40,'03.08 Ntinda-Naalya 24h'!M40,'04.08 Ntinda-Naalya'!M40)</f>
        <v>58.714285714285715</v>
      </c>
      <c r="N40" s="49">
        <f>AVERAGE('29.07 Ntinda-Naalya'!N40,'30.07 Ntinda-Naalya'!N40,'31.07 Ntinda-Naalya'!N40,'02.08 Ntinda-Naalya'!N40,'01.08 Ntinda-Naalya 24h'!N40,'03.08 Ntinda-Naalya 24h'!N40,'04.08 Ntinda-Naalya'!N40)</f>
        <v>0</v>
      </c>
      <c r="O40" s="15">
        <f t="shared" si="0"/>
        <v>143.42857142857144</v>
      </c>
      <c r="P40" s="15">
        <f t="shared" si="1"/>
        <v>202.14285714285717</v>
      </c>
      <c r="R40" s="5" t="s">
        <v>17</v>
      </c>
      <c r="S40" s="16">
        <f t="shared" ref="S40:AF40" si="32">SUM(S10:S21)</f>
        <v>4599.2857142857147</v>
      </c>
      <c r="T40" s="16">
        <f t="shared" si="32"/>
        <v>986.71428571428578</v>
      </c>
      <c r="U40" s="16">
        <f t="shared" si="32"/>
        <v>178.14285714285717</v>
      </c>
      <c r="V40" s="16">
        <f t="shared" si="32"/>
        <v>326.85714285714289</v>
      </c>
      <c r="W40" s="16">
        <f t="shared" si="32"/>
        <v>33.142857142857146</v>
      </c>
      <c r="X40" s="16">
        <f t="shared" si="32"/>
        <v>9.9999999999999982</v>
      </c>
      <c r="Y40" s="16">
        <f t="shared" si="32"/>
        <v>180.71428571428569</v>
      </c>
      <c r="Z40" s="16">
        <f t="shared" si="32"/>
        <v>68.428571428571431</v>
      </c>
      <c r="AA40" s="16">
        <f t="shared" si="32"/>
        <v>21.714285714285712</v>
      </c>
      <c r="AB40" s="16">
        <f t="shared" si="32"/>
        <v>7.2857142857142856</v>
      </c>
      <c r="AC40" s="16">
        <f t="shared" si="32"/>
        <v>2927.8571428571427</v>
      </c>
      <c r="AD40" s="16">
        <f t="shared" si="32"/>
        <v>0.42857142857142855</v>
      </c>
      <c r="AE40" s="32">
        <f t="shared" si="32"/>
        <v>6412.7142857142853</v>
      </c>
      <c r="AF40" s="32">
        <f t="shared" si="32"/>
        <v>9340.5714285714294</v>
      </c>
    </row>
    <row r="41" spans="2:32" ht="23.1" customHeight="1" x14ac:dyDescent="0.25">
      <c r="B41" s="23" t="s">
        <v>68</v>
      </c>
      <c r="C41" s="49">
        <f>AVERAGE('29.07 Ntinda-Naalya'!C41,'30.07 Ntinda-Naalya'!C41,'31.07 Ntinda-Naalya'!C41,'02.08 Ntinda-Naalya'!C41,'01.08 Ntinda-Naalya 24h'!C41,'03.08 Ntinda-Naalya 24h'!C41,'04.08 Ntinda-Naalya'!C41)</f>
        <v>91.571428571428569</v>
      </c>
      <c r="D41" s="49">
        <f>AVERAGE('29.07 Ntinda-Naalya'!D41,'30.07 Ntinda-Naalya'!D41,'31.07 Ntinda-Naalya'!D41,'02.08 Ntinda-Naalya'!D41,'01.08 Ntinda-Naalya 24h'!D41,'03.08 Ntinda-Naalya 24h'!D41,'04.08 Ntinda-Naalya'!D41)</f>
        <v>18.714285714285715</v>
      </c>
      <c r="E41" s="49">
        <f>AVERAGE('29.07 Ntinda-Naalya'!E41,'30.07 Ntinda-Naalya'!E41,'31.07 Ntinda-Naalya'!E41,'02.08 Ntinda-Naalya'!E41,'01.08 Ntinda-Naalya 24h'!E41,'03.08 Ntinda-Naalya 24h'!E41,'04.08 Ntinda-Naalya'!E41)</f>
        <v>2.4285714285714284</v>
      </c>
      <c r="F41" s="49">
        <f>AVERAGE('29.07 Ntinda-Naalya'!F41,'30.07 Ntinda-Naalya'!F41,'31.07 Ntinda-Naalya'!F41,'02.08 Ntinda-Naalya'!F41,'01.08 Ntinda-Naalya 24h'!F41,'03.08 Ntinda-Naalya 24h'!F41,'04.08 Ntinda-Naalya'!F41)</f>
        <v>4</v>
      </c>
      <c r="G41" s="49">
        <f>AVERAGE('29.07 Ntinda-Naalya'!G41,'30.07 Ntinda-Naalya'!G41,'31.07 Ntinda-Naalya'!G41,'02.08 Ntinda-Naalya'!G41,'01.08 Ntinda-Naalya 24h'!G41,'03.08 Ntinda-Naalya 24h'!G41,'04.08 Ntinda-Naalya'!G41)</f>
        <v>0.2857142857142857</v>
      </c>
      <c r="H41" s="49">
        <f>AVERAGE('29.07 Ntinda-Naalya'!H41,'30.07 Ntinda-Naalya'!H41,'31.07 Ntinda-Naalya'!H41,'02.08 Ntinda-Naalya'!H41,'01.08 Ntinda-Naalya 24h'!H41,'03.08 Ntinda-Naalya 24h'!H41,'04.08 Ntinda-Naalya'!H41)</f>
        <v>0.14285714285714285</v>
      </c>
      <c r="I41" s="49">
        <f>AVERAGE('29.07 Ntinda-Naalya'!I41,'30.07 Ntinda-Naalya'!I41,'31.07 Ntinda-Naalya'!I41,'02.08 Ntinda-Naalya'!I41,'01.08 Ntinda-Naalya 24h'!I41,'03.08 Ntinda-Naalya 24h'!I41,'04.08 Ntinda-Naalya'!I41)</f>
        <v>4.1428571428571432</v>
      </c>
      <c r="J41" s="49">
        <f>AVERAGE('29.07 Ntinda-Naalya'!J41,'30.07 Ntinda-Naalya'!J41,'31.07 Ntinda-Naalya'!J41,'02.08 Ntinda-Naalya'!J41,'01.08 Ntinda-Naalya 24h'!J41,'03.08 Ntinda-Naalya 24h'!J41,'04.08 Ntinda-Naalya'!J41)</f>
        <v>1.5714285714285714</v>
      </c>
      <c r="K41" s="49">
        <f>AVERAGE('29.07 Ntinda-Naalya'!K41,'30.07 Ntinda-Naalya'!K41,'31.07 Ntinda-Naalya'!K41,'02.08 Ntinda-Naalya'!K41,'01.08 Ntinda-Naalya 24h'!K41,'03.08 Ntinda-Naalya 24h'!K41,'04.08 Ntinda-Naalya'!K41)</f>
        <v>0.8571428571428571</v>
      </c>
      <c r="L41" s="49">
        <f>AVERAGE('29.07 Ntinda-Naalya'!L41,'30.07 Ntinda-Naalya'!L41,'31.07 Ntinda-Naalya'!L41,'02.08 Ntinda-Naalya'!L41,'01.08 Ntinda-Naalya 24h'!L41,'03.08 Ntinda-Naalya 24h'!L41,'04.08 Ntinda-Naalya'!L41)</f>
        <v>0.14285714285714285</v>
      </c>
      <c r="M41" s="49">
        <f>AVERAGE('29.07 Ntinda-Naalya'!M41,'30.07 Ntinda-Naalya'!M41,'31.07 Ntinda-Naalya'!M41,'02.08 Ntinda-Naalya'!M41,'01.08 Ntinda-Naalya 24h'!M41,'03.08 Ntinda-Naalya 24h'!M41,'04.08 Ntinda-Naalya'!M41)</f>
        <v>53.142857142857146</v>
      </c>
      <c r="N41" s="49">
        <f>AVERAGE('29.07 Ntinda-Naalya'!N41,'30.07 Ntinda-Naalya'!N41,'31.07 Ntinda-Naalya'!N41,'02.08 Ntinda-Naalya'!N41,'01.08 Ntinda-Naalya 24h'!N41,'03.08 Ntinda-Naalya 24h'!N41,'04.08 Ntinda-Naalya'!N41)</f>
        <v>0</v>
      </c>
      <c r="O41" s="15">
        <f t="shared" si="0"/>
        <v>123.85714285714285</v>
      </c>
      <c r="P41" s="15">
        <f t="shared" si="1"/>
        <v>177</v>
      </c>
      <c r="R41" s="5" t="s">
        <v>177</v>
      </c>
      <c r="S41" s="16">
        <f>SUM(S10:S33)</f>
        <v>7147.2857142857147</v>
      </c>
      <c r="T41" s="16">
        <f t="shared" ref="T41:AD41" si="33">SUM(T10:T33)</f>
        <v>1506.2142857142858</v>
      </c>
      <c r="U41" s="16">
        <f t="shared" si="33"/>
        <v>382.14285714285717</v>
      </c>
      <c r="V41" s="16">
        <f t="shared" si="33"/>
        <v>468.35714285714289</v>
      </c>
      <c r="W41" s="16">
        <f t="shared" si="33"/>
        <v>40.642857142857146</v>
      </c>
      <c r="X41" s="16">
        <f t="shared" si="33"/>
        <v>12.999999999999998</v>
      </c>
      <c r="Y41" s="16">
        <f t="shared" si="33"/>
        <v>198.21428571428569</v>
      </c>
      <c r="Z41" s="16">
        <f t="shared" si="33"/>
        <v>83.428571428571431</v>
      </c>
      <c r="AA41" s="16">
        <f t="shared" si="33"/>
        <v>30.714285714285712</v>
      </c>
      <c r="AB41" s="16">
        <f t="shared" si="33"/>
        <v>8.7857142857142847</v>
      </c>
      <c r="AC41" s="16">
        <f t="shared" si="33"/>
        <v>4297.3571428571431</v>
      </c>
      <c r="AD41" s="16">
        <f t="shared" si="33"/>
        <v>0.42857142857142855</v>
      </c>
      <c r="AE41" s="32">
        <f>SUM(AE10:AE33)</f>
        <v>9879.2142857142862</v>
      </c>
      <c r="AF41" s="32">
        <f>SUM(AF10:AF33)</f>
        <v>14176.571428571429</v>
      </c>
    </row>
    <row r="42" spans="2:32" ht="23.1" customHeight="1" x14ac:dyDescent="0.25">
      <c r="B42" s="24" t="s">
        <v>69</v>
      </c>
      <c r="C42" s="49">
        <f>AVERAGE('29.07 Ntinda-Naalya'!C42,'30.07 Ntinda-Naalya'!C42,'31.07 Ntinda-Naalya'!C42,'02.08 Ntinda-Naalya'!C42,'01.08 Ntinda-Naalya 24h'!C42,'03.08 Ntinda-Naalya 24h'!C42,'04.08 Ntinda-Naalya'!C42)</f>
        <v>94.428571428571431</v>
      </c>
      <c r="D42" s="49">
        <f>AVERAGE('29.07 Ntinda-Naalya'!D42,'30.07 Ntinda-Naalya'!D42,'31.07 Ntinda-Naalya'!D42,'02.08 Ntinda-Naalya'!D42,'01.08 Ntinda-Naalya 24h'!D42,'03.08 Ntinda-Naalya 24h'!D42,'04.08 Ntinda-Naalya'!D42)</f>
        <v>17.428571428571427</v>
      </c>
      <c r="E42" s="49">
        <f>AVERAGE('29.07 Ntinda-Naalya'!E42,'30.07 Ntinda-Naalya'!E42,'31.07 Ntinda-Naalya'!E42,'02.08 Ntinda-Naalya'!E42,'01.08 Ntinda-Naalya 24h'!E42,'03.08 Ntinda-Naalya 24h'!E42,'04.08 Ntinda-Naalya'!E42)</f>
        <v>3.5714285714285716</v>
      </c>
      <c r="F42" s="49">
        <f>AVERAGE('29.07 Ntinda-Naalya'!F42,'30.07 Ntinda-Naalya'!F42,'31.07 Ntinda-Naalya'!F42,'02.08 Ntinda-Naalya'!F42,'01.08 Ntinda-Naalya 24h'!F42,'03.08 Ntinda-Naalya 24h'!F42,'04.08 Ntinda-Naalya'!F42)</f>
        <v>4.8571428571428568</v>
      </c>
      <c r="G42" s="49">
        <f>AVERAGE('29.07 Ntinda-Naalya'!G42,'30.07 Ntinda-Naalya'!G42,'31.07 Ntinda-Naalya'!G42,'02.08 Ntinda-Naalya'!G42,'01.08 Ntinda-Naalya 24h'!G42,'03.08 Ntinda-Naalya 24h'!G42,'04.08 Ntinda-Naalya'!G42)</f>
        <v>1.1428571428571428</v>
      </c>
      <c r="H42" s="49">
        <f>AVERAGE('29.07 Ntinda-Naalya'!H42,'30.07 Ntinda-Naalya'!H42,'31.07 Ntinda-Naalya'!H42,'02.08 Ntinda-Naalya'!H42,'01.08 Ntinda-Naalya 24h'!H42,'03.08 Ntinda-Naalya 24h'!H42,'04.08 Ntinda-Naalya'!H42)</f>
        <v>0</v>
      </c>
      <c r="I42" s="49">
        <f>AVERAGE('29.07 Ntinda-Naalya'!I42,'30.07 Ntinda-Naalya'!I42,'31.07 Ntinda-Naalya'!I42,'02.08 Ntinda-Naalya'!I42,'01.08 Ntinda-Naalya 24h'!I42,'03.08 Ntinda-Naalya 24h'!I42,'04.08 Ntinda-Naalya'!I42)</f>
        <v>5.7142857142857144</v>
      </c>
      <c r="J42" s="49">
        <f>AVERAGE('29.07 Ntinda-Naalya'!J42,'30.07 Ntinda-Naalya'!J42,'31.07 Ntinda-Naalya'!J42,'02.08 Ntinda-Naalya'!J42,'01.08 Ntinda-Naalya 24h'!J42,'03.08 Ntinda-Naalya 24h'!J42,'04.08 Ntinda-Naalya'!J42)</f>
        <v>1</v>
      </c>
      <c r="K42" s="49">
        <f>AVERAGE('29.07 Ntinda-Naalya'!K42,'30.07 Ntinda-Naalya'!K42,'31.07 Ntinda-Naalya'!K42,'02.08 Ntinda-Naalya'!K42,'01.08 Ntinda-Naalya 24h'!K42,'03.08 Ntinda-Naalya 24h'!K42,'04.08 Ntinda-Naalya'!K42)</f>
        <v>0.2857142857142857</v>
      </c>
      <c r="L42" s="49">
        <f>AVERAGE('29.07 Ntinda-Naalya'!L42,'30.07 Ntinda-Naalya'!L42,'31.07 Ntinda-Naalya'!L42,'02.08 Ntinda-Naalya'!L42,'01.08 Ntinda-Naalya 24h'!L42,'03.08 Ntinda-Naalya 24h'!L42,'04.08 Ntinda-Naalya'!L42)</f>
        <v>0.14285714285714285</v>
      </c>
      <c r="M42" s="49">
        <f>AVERAGE('29.07 Ntinda-Naalya'!M42,'30.07 Ntinda-Naalya'!M42,'31.07 Ntinda-Naalya'!M42,'02.08 Ntinda-Naalya'!M42,'01.08 Ntinda-Naalya 24h'!M42,'03.08 Ntinda-Naalya 24h'!M42,'04.08 Ntinda-Naalya'!M42)</f>
        <v>56.571428571428569</v>
      </c>
      <c r="N42" s="49">
        <f>AVERAGE('29.07 Ntinda-Naalya'!N42,'30.07 Ntinda-Naalya'!N42,'31.07 Ntinda-Naalya'!N42,'02.08 Ntinda-Naalya'!N42,'01.08 Ntinda-Naalya 24h'!N42,'03.08 Ntinda-Naalya 24h'!N42,'04.08 Ntinda-Naalya'!N42)</f>
        <v>0</v>
      </c>
      <c r="O42" s="15">
        <f t="shared" si="0"/>
        <v>128.57142857142856</v>
      </c>
      <c r="P42" s="15">
        <f t="shared" si="1"/>
        <v>185.14285714285711</v>
      </c>
      <c r="R42" s="5" t="s">
        <v>160</v>
      </c>
      <c r="S42" s="48">
        <f>S41/S40</f>
        <v>1.5539990681782885</v>
      </c>
      <c r="T42" s="48">
        <f t="shared" ref="T42:AF42" si="34">T41/T40</f>
        <v>1.5264948602866657</v>
      </c>
      <c r="U42" s="48">
        <f t="shared" si="34"/>
        <v>2.1451483560545306</v>
      </c>
      <c r="V42" s="48">
        <f t="shared" si="34"/>
        <v>1.4329108391608392</v>
      </c>
      <c r="W42" s="48">
        <f t="shared" si="34"/>
        <v>1.2262931034482758</v>
      </c>
      <c r="X42" s="48">
        <f t="shared" si="34"/>
        <v>1.3</v>
      </c>
      <c r="Y42" s="48">
        <f t="shared" si="34"/>
        <v>1.0968379446640317</v>
      </c>
      <c r="Z42" s="48">
        <f t="shared" si="34"/>
        <v>1.2192066805845512</v>
      </c>
      <c r="AA42" s="48">
        <f t="shared" si="34"/>
        <v>1.4144736842105263</v>
      </c>
      <c r="AB42" s="48">
        <f t="shared" si="34"/>
        <v>1.2058823529411764</v>
      </c>
      <c r="AC42" s="48">
        <f t="shared" si="34"/>
        <v>1.4677482312759211</v>
      </c>
      <c r="AD42" s="48">
        <f t="shared" si="34"/>
        <v>1</v>
      </c>
      <c r="AE42" s="52">
        <f t="shared" si="34"/>
        <v>1.5405667312704674</v>
      </c>
      <c r="AF42" s="52">
        <f t="shared" si="34"/>
        <v>1.5177413434479383</v>
      </c>
    </row>
    <row r="43" spans="2:32" ht="23.1" customHeight="1" x14ac:dyDescent="0.25">
      <c r="B43" s="23" t="s">
        <v>70</v>
      </c>
      <c r="C43" s="49">
        <f>AVERAGE('29.07 Ntinda-Naalya'!C43,'30.07 Ntinda-Naalya'!C43,'31.07 Ntinda-Naalya'!C43,'02.08 Ntinda-Naalya'!C43,'01.08 Ntinda-Naalya 24h'!C43,'03.08 Ntinda-Naalya 24h'!C43,'04.08 Ntinda-Naalya'!C43)</f>
        <v>99.142857142857139</v>
      </c>
      <c r="D43" s="49">
        <f>AVERAGE('29.07 Ntinda-Naalya'!D43,'30.07 Ntinda-Naalya'!D43,'31.07 Ntinda-Naalya'!D43,'02.08 Ntinda-Naalya'!D43,'01.08 Ntinda-Naalya 24h'!D43,'03.08 Ntinda-Naalya 24h'!D43,'04.08 Ntinda-Naalya'!D43)</f>
        <v>22.571428571428573</v>
      </c>
      <c r="E43" s="49">
        <f>AVERAGE('29.07 Ntinda-Naalya'!E43,'30.07 Ntinda-Naalya'!E43,'31.07 Ntinda-Naalya'!E43,'02.08 Ntinda-Naalya'!E43,'01.08 Ntinda-Naalya 24h'!E43,'03.08 Ntinda-Naalya 24h'!E43,'04.08 Ntinda-Naalya'!E43)</f>
        <v>3.4285714285714284</v>
      </c>
      <c r="F43" s="49">
        <f>AVERAGE('29.07 Ntinda-Naalya'!F43,'30.07 Ntinda-Naalya'!F43,'31.07 Ntinda-Naalya'!F43,'02.08 Ntinda-Naalya'!F43,'01.08 Ntinda-Naalya 24h'!F43,'03.08 Ntinda-Naalya 24h'!F43,'04.08 Ntinda-Naalya'!F43)</f>
        <v>5.2857142857142856</v>
      </c>
      <c r="G43" s="49">
        <f>AVERAGE('29.07 Ntinda-Naalya'!G43,'30.07 Ntinda-Naalya'!G43,'31.07 Ntinda-Naalya'!G43,'02.08 Ntinda-Naalya'!G43,'01.08 Ntinda-Naalya 24h'!G43,'03.08 Ntinda-Naalya 24h'!G43,'04.08 Ntinda-Naalya'!G43)</f>
        <v>0.8571428571428571</v>
      </c>
      <c r="H43" s="49">
        <f>AVERAGE('29.07 Ntinda-Naalya'!H43,'30.07 Ntinda-Naalya'!H43,'31.07 Ntinda-Naalya'!H43,'02.08 Ntinda-Naalya'!H43,'01.08 Ntinda-Naalya 24h'!H43,'03.08 Ntinda-Naalya 24h'!H43,'04.08 Ntinda-Naalya'!H43)</f>
        <v>0.14285714285714285</v>
      </c>
      <c r="I43" s="49">
        <f>AVERAGE('29.07 Ntinda-Naalya'!I43,'30.07 Ntinda-Naalya'!I43,'31.07 Ntinda-Naalya'!I43,'02.08 Ntinda-Naalya'!I43,'01.08 Ntinda-Naalya 24h'!I43,'03.08 Ntinda-Naalya 24h'!I43,'04.08 Ntinda-Naalya'!I43)</f>
        <v>4.5714285714285712</v>
      </c>
      <c r="J43" s="49">
        <f>AVERAGE('29.07 Ntinda-Naalya'!J43,'30.07 Ntinda-Naalya'!J43,'31.07 Ntinda-Naalya'!J43,'02.08 Ntinda-Naalya'!J43,'01.08 Ntinda-Naalya 24h'!J43,'03.08 Ntinda-Naalya 24h'!J43,'04.08 Ntinda-Naalya'!J43)</f>
        <v>2.2857142857142856</v>
      </c>
      <c r="K43" s="49">
        <f>AVERAGE('29.07 Ntinda-Naalya'!K43,'30.07 Ntinda-Naalya'!K43,'31.07 Ntinda-Naalya'!K43,'02.08 Ntinda-Naalya'!K43,'01.08 Ntinda-Naalya 24h'!K43,'03.08 Ntinda-Naalya 24h'!K43,'04.08 Ntinda-Naalya'!K43)</f>
        <v>0.2857142857142857</v>
      </c>
      <c r="L43" s="49">
        <f>AVERAGE('29.07 Ntinda-Naalya'!L43,'30.07 Ntinda-Naalya'!L43,'31.07 Ntinda-Naalya'!L43,'02.08 Ntinda-Naalya'!L43,'01.08 Ntinda-Naalya 24h'!L43,'03.08 Ntinda-Naalya 24h'!L43,'04.08 Ntinda-Naalya'!L43)</f>
        <v>0.14285714285714285</v>
      </c>
      <c r="M43" s="49">
        <f>AVERAGE('29.07 Ntinda-Naalya'!M43,'30.07 Ntinda-Naalya'!M43,'31.07 Ntinda-Naalya'!M43,'02.08 Ntinda-Naalya'!M43,'01.08 Ntinda-Naalya 24h'!M43,'03.08 Ntinda-Naalya 24h'!M43,'04.08 Ntinda-Naalya'!M43)</f>
        <v>58.285714285714285</v>
      </c>
      <c r="N43" s="49">
        <f>AVERAGE('29.07 Ntinda-Naalya'!N43,'30.07 Ntinda-Naalya'!N43,'31.07 Ntinda-Naalya'!N43,'02.08 Ntinda-Naalya'!N43,'01.08 Ntinda-Naalya 24h'!N43,'03.08 Ntinda-Naalya 24h'!N43,'04.08 Ntinda-Naalya'!N43)</f>
        <v>0</v>
      </c>
      <c r="O43" s="15">
        <f t="shared" si="0"/>
        <v>138.71428571428569</v>
      </c>
      <c r="P43" s="15">
        <f t="shared" si="1"/>
        <v>196.99999999999997</v>
      </c>
    </row>
    <row r="44" spans="2:32" ht="23.1" customHeight="1" x14ac:dyDescent="0.25">
      <c r="B44" s="25" t="s">
        <v>71</v>
      </c>
      <c r="C44" s="49">
        <f>AVERAGE('29.07 Ntinda-Naalya'!C44,'30.07 Ntinda-Naalya'!C44,'31.07 Ntinda-Naalya'!C44,'02.08 Ntinda-Naalya'!C44,'01.08 Ntinda-Naalya 24h'!C44,'03.08 Ntinda-Naalya 24h'!C44,'04.08 Ntinda-Naalya'!C44)</f>
        <v>105.71428571428571</v>
      </c>
      <c r="D44" s="49">
        <f>AVERAGE('29.07 Ntinda-Naalya'!D44,'30.07 Ntinda-Naalya'!D44,'31.07 Ntinda-Naalya'!D44,'02.08 Ntinda-Naalya'!D44,'01.08 Ntinda-Naalya 24h'!D44,'03.08 Ntinda-Naalya 24h'!D44,'04.08 Ntinda-Naalya'!D44)</f>
        <v>17.571428571428573</v>
      </c>
      <c r="E44" s="49">
        <f>AVERAGE('29.07 Ntinda-Naalya'!E44,'30.07 Ntinda-Naalya'!E44,'31.07 Ntinda-Naalya'!E44,'02.08 Ntinda-Naalya'!E44,'01.08 Ntinda-Naalya 24h'!E44,'03.08 Ntinda-Naalya 24h'!E44,'04.08 Ntinda-Naalya'!E44)</f>
        <v>4.5714285714285712</v>
      </c>
      <c r="F44" s="49">
        <f>AVERAGE('29.07 Ntinda-Naalya'!F44,'30.07 Ntinda-Naalya'!F44,'31.07 Ntinda-Naalya'!F44,'02.08 Ntinda-Naalya'!F44,'01.08 Ntinda-Naalya 24h'!F44,'03.08 Ntinda-Naalya 24h'!F44,'04.08 Ntinda-Naalya'!F44)</f>
        <v>5.2857142857142856</v>
      </c>
      <c r="G44" s="49">
        <f>AVERAGE('29.07 Ntinda-Naalya'!G44,'30.07 Ntinda-Naalya'!G44,'31.07 Ntinda-Naalya'!G44,'02.08 Ntinda-Naalya'!G44,'01.08 Ntinda-Naalya 24h'!G44,'03.08 Ntinda-Naalya 24h'!G44,'04.08 Ntinda-Naalya'!G44)</f>
        <v>0.7142857142857143</v>
      </c>
      <c r="H44" s="49">
        <f>AVERAGE('29.07 Ntinda-Naalya'!H44,'30.07 Ntinda-Naalya'!H44,'31.07 Ntinda-Naalya'!H44,'02.08 Ntinda-Naalya'!H44,'01.08 Ntinda-Naalya 24h'!H44,'03.08 Ntinda-Naalya 24h'!H44,'04.08 Ntinda-Naalya'!H44)</f>
        <v>0.2857142857142857</v>
      </c>
      <c r="I44" s="49">
        <f>AVERAGE('29.07 Ntinda-Naalya'!I44,'30.07 Ntinda-Naalya'!I44,'31.07 Ntinda-Naalya'!I44,'02.08 Ntinda-Naalya'!I44,'01.08 Ntinda-Naalya 24h'!I44,'03.08 Ntinda-Naalya 24h'!I44,'04.08 Ntinda-Naalya'!I44)</f>
        <v>4.2857142857142856</v>
      </c>
      <c r="J44" s="49">
        <f>AVERAGE('29.07 Ntinda-Naalya'!J44,'30.07 Ntinda-Naalya'!J44,'31.07 Ntinda-Naalya'!J44,'02.08 Ntinda-Naalya'!J44,'01.08 Ntinda-Naalya 24h'!J44,'03.08 Ntinda-Naalya 24h'!J44,'04.08 Ntinda-Naalya'!J44)</f>
        <v>1.2857142857142858</v>
      </c>
      <c r="K44" s="49">
        <f>AVERAGE('29.07 Ntinda-Naalya'!K44,'30.07 Ntinda-Naalya'!K44,'31.07 Ntinda-Naalya'!K44,'02.08 Ntinda-Naalya'!K44,'01.08 Ntinda-Naalya 24h'!K44,'03.08 Ntinda-Naalya 24h'!K44,'04.08 Ntinda-Naalya'!K44)</f>
        <v>1</v>
      </c>
      <c r="L44" s="49">
        <f>AVERAGE('29.07 Ntinda-Naalya'!L44,'30.07 Ntinda-Naalya'!L44,'31.07 Ntinda-Naalya'!L44,'02.08 Ntinda-Naalya'!L44,'01.08 Ntinda-Naalya 24h'!L44,'03.08 Ntinda-Naalya 24h'!L44,'04.08 Ntinda-Naalya'!L44)</f>
        <v>0.14285714285714285</v>
      </c>
      <c r="M44" s="49">
        <f>AVERAGE('29.07 Ntinda-Naalya'!M44,'30.07 Ntinda-Naalya'!M44,'31.07 Ntinda-Naalya'!M44,'02.08 Ntinda-Naalya'!M44,'01.08 Ntinda-Naalya 24h'!M44,'03.08 Ntinda-Naalya 24h'!M44,'04.08 Ntinda-Naalya'!M44)</f>
        <v>60.714285714285715</v>
      </c>
      <c r="N44" s="49">
        <f>AVERAGE('29.07 Ntinda-Naalya'!N44,'30.07 Ntinda-Naalya'!N44,'31.07 Ntinda-Naalya'!N44,'02.08 Ntinda-Naalya'!N44,'01.08 Ntinda-Naalya 24h'!N44,'03.08 Ntinda-Naalya 24h'!N44,'04.08 Ntinda-Naalya'!N44)</f>
        <v>0</v>
      </c>
      <c r="O44" s="15">
        <f t="shared" si="0"/>
        <v>140.85714285714283</v>
      </c>
      <c r="P44" s="15">
        <f t="shared" si="1"/>
        <v>201.57142857142856</v>
      </c>
    </row>
    <row r="45" spans="2:32" ht="23.1" customHeight="1" x14ac:dyDescent="0.25">
      <c r="B45" s="23" t="s">
        <v>72</v>
      </c>
      <c r="C45" s="49">
        <f>AVERAGE('29.07 Ntinda-Naalya'!C45,'30.07 Ntinda-Naalya'!C45,'31.07 Ntinda-Naalya'!C45,'02.08 Ntinda-Naalya'!C45,'01.08 Ntinda-Naalya 24h'!C45,'03.08 Ntinda-Naalya 24h'!C45,'04.08 Ntinda-Naalya'!C45)</f>
        <v>115.85714285714286</v>
      </c>
      <c r="D45" s="49">
        <f>AVERAGE('29.07 Ntinda-Naalya'!D45,'30.07 Ntinda-Naalya'!D45,'31.07 Ntinda-Naalya'!D45,'02.08 Ntinda-Naalya'!D45,'01.08 Ntinda-Naalya 24h'!D45,'03.08 Ntinda-Naalya 24h'!D45,'04.08 Ntinda-Naalya'!D45)</f>
        <v>23.857142857142858</v>
      </c>
      <c r="E45" s="49">
        <f>AVERAGE('29.07 Ntinda-Naalya'!E45,'30.07 Ntinda-Naalya'!E45,'31.07 Ntinda-Naalya'!E45,'02.08 Ntinda-Naalya'!E45,'01.08 Ntinda-Naalya 24h'!E45,'03.08 Ntinda-Naalya 24h'!E45,'04.08 Ntinda-Naalya'!E45)</f>
        <v>3.8571428571428572</v>
      </c>
      <c r="F45" s="49">
        <f>AVERAGE('29.07 Ntinda-Naalya'!F45,'30.07 Ntinda-Naalya'!F45,'31.07 Ntinda-Naalya'!F45,'02.08 Ntinda-Naalya'!F45,'01.08 Ntinda-Naalya 24h'!F45,'03.08 Ntinda-Naalya 24h'!F45,'04.08 Ntinda-Naalya'!F45)</f>
        <v>13.285714285714286</v>
      </c>
      <c r="G45" s="49">
        <f>AVERAGE('29.07 Ntinda-Naalya'!G45,'30.07 Ntinda-Naalya'!G45,'31.07 Ntinda-Naalya'!G45,'02.08 Ntinda-Naalya'!G45,'01.08 Ntinda-Naalya 24h'!G45,'03.08 Ntinda-Naalya 24h'!G45,'04.08 Ntinda-Naalya'!G45)</f>
        <v>0.5714285714285714</v>
      </c>
      <c r="H45" s="49">
        <f>AVERAGE('29.07 Ntinda-Naalya'!H45,'30.07 Ntinda-Naalya'!H45,'31.07 Ntinda-Naalya'!H45,'02.08 Ntinda-Naalya'!H45,'01.08 Ntinda-Naalya 24h'!H45,'03.08 Ntinda-Naalya 24h'!H45,'04.08 Ntinda-Naalya'!H45)</f>
        <v>0</v>
      </c>
      <c r="I45" s="49">
        <f>AVERAGE('29.07 Ntinda-Naalya'!I45,'30.07 Ntinda-Naalya'!I45,'31.07 Ntinda-Naalya'!I45,'02.08 Ntinda-Naalya'!I45,'01.08 Ntinda-Naalya 24h'!I45,'03.08 Ntinda-Naalya 24h'!I45,'04.08 Ntinda-Naalya'!I45)</f>
        <v>5.5714285714285712</v>
      </c>
      <c r="J45" s="49">
        <f>AVERAGE('29.07 Ntinda-Naalya'!J45,'30.07 Ntinda-Naalya'!J45,'31.07 Ntinda-Naalya'!J45,'02.08 Ntinda-Naalya'!J45,'01.08 Ntinda-Naalya 24h'!J45,'03.08 Ntinda-Naalya 24h'!J45,'04.08 Ntinda-Naalya'!J45)</f>
        <v>3.8571428571428572</v>
      </c>
      <c r="K45" s="49">
        <f>AVERAGE('29.07 Ntinda-Naalya'!K45,'30.07 Ntinda-Naalya'!K45,'31.07 Ntinda-Naalya'!K45,'02.08 Ntinda-Naalya'!K45,'01.08 Ntinda-Naalya 24h'!K45,'03.08 Ntinda-Naalya 24h'!K45,'04.08 Ntinda-Naalya'!K45)</f>
        <v>0.2857142857142857</v>
      </c>
      <c r="L45" s="49">
        <f>AVERAGE('29.07 Ntinda-Naalya'!L45,'30.07 Ntinda-Naalya'!L45,'31.07 Ntinda-Naalya'!L45,'02.08 Ntinda-Naalya'!L45,'01.08 Ntinda-Naalya 24h'!L45,'03.08 Ntinda-Naalya 24h'!L45,'04.08 Ntinda-Naalya'!L45)</f>
        <v>0.14285714285714285</v>
      </c>
      <c r="M45" s="49">
        <f>AVERAGE('29.07 Ntinda-Naalya'!M45,'30.07 Ntinda-Naalya'!M45,'31.07 Ntinda-Naalya'!M45,'02.08 Ntinda-Naalya'!M45,'01.08 Ntinda-Naalya 24h'!M45,'03.08 Ntinda-Naalya 24h'!M45,'04.08 Ntinda-Naalya'!M45)</f>
        <v>70.142857142857139</v>
      </c>
      <c r="N45" s="49">
        <f>AVERAGE('29.07 Ntinda-Naalya'!N45,'30.07 Ntinda-Naalya'!N45,'31.07 Ntinda-Naalya'!N45,'02.08 Ntinda-Naalya'!N45,'01.08 Ntinda-Naalya 24h'!N45,'03.08 Ntinda-Naalya 24h'!N45,'04.08 Ntinda-Naalya'!N45)</f>
        <v>0</v>
      </c>
      <c r="O45" s="15">
        <f t="shared" si="0"/>
        <v>167.28571428571431</v>
      </c>
      <c r="P45" s="15">
        <f t="shared" si="1"/>
        <v>237.42857142857144</v>
      </c>
    </row>
    <row r="46" spans="2:32" ht="23.1" customHeight="1" x14ac:dyDescent="0.25">
      <c r="B46" s="24" t="s">
        <v>73</v>
      </c>
      <c r="C46" s="49">
        <f>AVERAGE('29.07 Ntinda-Naalya'!C46,'30.07 Ntinda-Naalya'!C46,'31.07 Ntinda-Naalya'!C46,'02.08 Ntinda-Naalya'!C46,'01.08 Ntinda-Naalya 24h'!C46,'03.08 Ntinda-Naalya 24h'!C46,'04.08 Ntinda-Naalya'!C46)</f>
        <v>124.42857142857143</v>
      </c>
      <c r="D46" s="49">
        <f>AVERAGE('29.07 Ntinda-Naalya'!D46,'30.07 Ntinda-Naalya'!D46,'31.07 Ntinda-Naalya'!D46,'02.08 Ntinda-Naalya'!D46,'01.08 Ntinda-Naalya 24h'!D46,'03.08 Ntinda-Naalya 24h'!D46,'04.08 Ntinda-Naalya'!D46)</f>
        <v>25.714285714285715</v>
      </c>
      <c r="E46" s="49">
        <f>AVERAGE('29.07 Ntinda-Naalya'!E46,'30.07 Ntinda-Naalya'!E46,'31.07 Ntinda-Naalya'!E46,'02.08 Ntinda-Naalya'!E46,'01.08 Ntinda-Naalya 24h'!E46,'03.08 Ntinda-Naalya 24h'!E46,'04.08 Ntinda-Naalya'!E46)</f>
        <v>3.2857142857142856</v>
      </c>
      <c r="F46" s="49">
        <f>AVERAGE('29.07 Ntinda-Naalya'!F46,'30.07 Ntinda-Naalya'!F46,'31.07 Ntinda-Naalya'!F46,'02.08 Ntinda-Naalya'!F46,'01.08 Ntinda-Naalya 24h'!F46,'03.08 Ntinda-Naalya 24h'!F46,'04.08 Ntinda-Naalya'!F46)</f>
        <v>5.8571428571428568</v>
      </c>
      <c r="G46" s="49">
        <f>AVERAGE('29.07 Ntinda-Naalya'!G46,'30.07 Ntinda-Naalya'!G46,'31.07 Ntinda-Naalya'!G46,'02.08 Ntinda-Naalya'!G46,'01.08 Ntinda-Naalya 24h'!G46,'03.08 Ntinda-Naalya 24h'!G46,'04.08 Ntinda-Naalya'!G46)</f>
        <v>1</v>
      </c>
      <c r="H46" s="49">
        <f>AVERAGE('29.07 Ntinda-Naalya'!H46,'30.07 Ntinda-Naalya'!H46,'31.07 Ntinda-Naalya'!H46,'02.08 Ntinda-Naalya'!H46,'01.08 Ntinda-Naalya 24h'!H46,'03.08 Ntinda-Naalya 24h'!H46,'04.08 Ntinda-Naalya'!H46)</f>
        <v>0.8571428571428571</v>
      </c>
      <c r="I46" s="49">
        <f>AVERAGE('29.07 Ntinda-Naalya'!I46,'30.07 Ntinda-Naalya'!I46,'31.07 Ntinda-Naalya'!I46,'02.08 Ntinda-Naalya'!I46,'01.08 Ntinda-Naalya 24h'!I46,'03.08 Ntinda-Naalya 24h'!I46,'04.08 Ntinda-Naalya'!I46)</f>
        <v>5.5714285714285712</v>
      </c>
      <c r="J46" s="49">
        <f>AVERAGE('29.07 Ntinda-Naalya'!J46,'30.07 Ntinda-Naalya'!J46,'31.07 Ntinda-Naalya'!J46,'02.08 Ntinda-Naalya'!J46,'01.08 Ntinda-Naalya 24h'!J46,'03.08 Ntinda-Naalya 24h'!J46,'04.08 Ntinda-Naalya'!J46)</f>
        <v>2</v>
      </c>
      <c r="K46" s="49">
        <f>AVERAGE('29.07 Ntinda-Naalya'!K46,'30.07 Ntinda-Naalya'!K46,'31.07 Ntinda-Naalya'!K46,'02.08 Ntinda-Naalya'!K46,'01.08 Ntinda-Naalya 24h'!K46,'03.08 Ntinda-Naalya 24h'!K46,'04.08 Ntinda-Naalya'!K46)</f>
        <v>0.8571428571428571</v>
      </c>
      <c r="L46" s="49">
        <f>AVERAGE('29.07 Ntinda-Naalya'!L46,'30.07 Ntinda-Naalya'!L46,'31.07 Ntinda-Naalya'!L46,'02.08 Ntinda-Naalya'!L46,'01.08 Ntinda-Naalya 24h'!L46,'03.08 Ntinda-Naalya 24h'!L46,'04.08 Ntinda-Naalya'!L46)</f>
        <v>0.2857142857142857</v>
      </c>
      <c r="M46" s="49">
        <f>AVERAGE('29.07 Ntinda-Naalya'!M46,'30.07 Ntinda-Naalya'!M46,'31.07 Ntinda-Naalya'!M46,'02.08 Ntinda-Naalya'!M46,'01.08 Ntinda-Naalya 24h'!M46,'03.08 Ntinda-Naalya 24h'!M46,'04.08 Ntinda-Naalya'!M46)</f>
        <v>67.142857142857139</v>
      </c>
      <c r="N46" s="49">
        <f>AVERAGE('29.07 Ntinda-Naalya'!N46,'30.07 Ntinda-Naalya'!N46,'31.07 Ntinda-Naalya'!N46,'02.08 Ntinda-Naalya'!N46,'01.08 Ntinda-Naalya 24h'!N46,'03.08 Ntinda-Naalya 24h'!N46,'04.08 Ntinda-Naalya'!N46)</f>
        <v>0</v>
      </c>
      <c r="O46" s="15">
        <f t="shared" si="0"/>
        <v>169.85714285714286</v>
      </c>
      <c r="P46" s="15">
        <f t="shared" si="1"/>
        <v>237</v>
      </c>
      <c r="R46" s="8"/>
      <c r="T46"/>
    </row>
    <row r="47" spans="2:32" ht="23.1" customHeight="1" x14ac:dyDescent="0.25">
      <c r="B47" s="24" t="s">
        <v>74</v>
      </c>
      <c r="C47" s="49">
        <f>AVERAGE('29.07 Ntinda-Naalya'!C47,'30.07 Ntinda-Naalya'!C47,'31.07 Ntinda-Naalya'!C47,'02.08 Ntinda-Naalya'!C47,'01.08 Ntinda-Naalya 24h'!C47,'03.08 Ntinda-Naalya 24h'!C47,'04.08 Ntinda-Naalya'!C47)</f>
        <v>132.85714285714286</v>
      </c>
      <c r="D47" s="49">
        <f>AVERAGE('29.07 Ntinda-Naalya'!D47,'30.07 Ntinda-Naalya'!D47,'31.07 Ntinda-Naalya'!D47,'02.08 Ntinda-Naalya'!D47,'01.08 Ntinda-Naalya 24h'!D47,'03.08 Ntinda-Naalya 24h'!D47,'04.08 Ntinda-Naalya'!D47)</f>
        <v>25.285714285714285</v>
      </c>
      <c r="E47" s="49">
        <f>AVERAGE('29.07 Ntinda-Naalya'!E47,'30.07 Ntinda-Naalya'!E47,'31.07 Ntinda-Naalya'!E47,'02.08 Ntinda-Naalya'!E47,'01.08 Ntinda-Naalya 24h'!E47,'03.08 Ntinda-Naalya 24h'!E47,'04.08 Ntinda-Naalya'!E47)</f>
        <v>2.8571428571428572</v>
      </c>
      <c r="F47" s="49">
        <f>AVERAGE('29.07 Ntinda-Naalya'!F47,'30.07 Ntinda-Naalya'!F47,'31.07 Ntinda-Naalya'!F47,'02.08 Ntinda-Naalya'!F47,'01.08 Ntinda-Naalya 24h'!F47,'03.08 Ntinda-Naalya 24h'!F47,'04.08 Ntinda-Naalya'!F47)</f>
        <v>4.1428571428571432</v>
      </c>
      <c r="G47" s="49">
        <f>AVERAGE('29.07 Ntinda-Naalya'!G47,'30.07 Ntinda-Naalya'!G47,'31.07 Ntinda-Naalya'!G47,'02.08 Ntinda-Naalya'!G47,'01.08 Ntinda-Naalya 24h'!G47,'03.08 Ntinda-Naalya 24h'!G47,'04.08 Ntinda-Naalya'!G47)</f>
        <v>0.14285714285714285</v>
      </c>
      <c r="H47" s="49">
        <f>AVERAGE('29.07 Ntinda-Naalya'!H47,'30.07 Ntinda-Naalya'!H47,'31.07 Ntinda-Naalya'!H47,'02.08 Ntinda-Naalya'!H47,'01.08 Ntinda-Naalya 24h'!H47,'03.08 Ntinda-Naalya 24h'!H47,'04.08 Ntinda-Naalya'!H47)</f>
        <v>0.14285714285714285</v>
      </c>
      <c r="I47" s="49">
        <f>AVERAGE('29.07 Ntinda-Naalya'!I47,'30.07 Ntinda-Naalya'!I47,'31.07 Ntinda-Naalya'!I47,'02.08 Ntinda-Naalya'!I47,'01.08 Ntinda-Naalya 24h'!I47,'03.08 Ntinda-Naalya 24h'!I47,'04.08 Ntinda-Naalya'!I47)</f>
        <v>4</v>
      </c>
      <c r="J47" s="49">
        <f>AVERAGE('29.07 Ntinda-Naalya'!J47,'30.07 Ntinda-Naalya'!J47,'31.07 Ntinda-Naalya'!J47,'02.08 Ntinda-Naalya'!J47,'01.08 Ntinda-Naalya 24h'!J47,'03.08 Ntinda-Naalya 24h'!J47,'04.08 Ntinda-Naalya'!J47)</f>
        <v>1.2857142857142858</v>
      </c>
      <c r="K47" s="49">
        <f>AVERAGE('29.07 Ntinda-Naalya'!K47,'30.07 Ntinda-Naalya'!K47,'31.07 Ntinda-Naalya'!K47,'02.08 Ntinda-Naalya'!K47,'01.08 Ntinda-Naalya 24h'!K47,'03.08 Ntinda-Naalya 24h'!K47,'04.08 Ntinda-Naalya'!K47)</f>
        <v>0.2857142857142857</v>
      </c>
      <c r="L47" s="49">
        <f>AVERAGE('29.07 Ntinda-Naalya'!L47,'30.07 Ntinda-Naalya'!L47,'31.07 Ntinda-Naalya'!L47,'02.08 Ntinda-Naalya'!L47,'01.08 Ntinda-Naalya 24h'!L47,'03.08 Ntinda-Naalya 24h'!L47,'04.08 Ntinda-Naalya'!L47)</f>
        <v>0</v>
      </c>
      <c r="M47" s="49">
        <f>AVERAGE('29.07 Ntinda-Naalya'!M47,'30.07 Ntinda-Naalya'!M47,'31.07 Ntinda-Naalya'!M47,'02.08 Ntinda-Naalya'!M47,'01.08 Ntinda-Naalya 24h'!M47,'03.08 Ntinda-Naalya 24h'!M47,'04.08 Ntinda-Naalya'!M47)</f>
        <v>65.571428571428569</v>
      </c>
      <c r="N47" s="49">
        <f>AVERAGE('29.07 Ntinda-Naalya'!N47,'30.07 Ntinda-Naalya'!N47,'31.07 Ntinda-Naalya'!N47,'02.08 Ntinda-Naalya'!N47,'01.08 Ntinda-Naalya 24h'!N47,'03.08 Ntinda-Naalya 24h'!N47,'04.08 Ntinda-Naalya'!N47)</f>
        <v>0</v>
      </c>
      <c r="O47" s="15">
        <f t="shared" si="0"/>
        <v>170.99999999999997</v>
      </c>
      <c r="P47" s="15">
        <f t="shared" si="1"/>
        <v>236.57142857142856</v>
      </c>
      <c r="R47" s="8"/>
      <c r="T47"/>
    </row>
    <row r="48" spans="2:32" ht="23.1" customHeight="1" x14ac:dyDescent="0.25">
      <c r="B48" s="24" t="s">
        <v>75</v>
      </c>
      <c r="C48" s="49">
        <f>AVERAGE('29.07 Ntinda-Naalya'!C48,'30.07 Ntinda-Naalya'!C48,'31.07 Ntinda-Naalya'!C48,'02.08 Ntinda-Naalya'!C48,'01.08 Ntinda-Naalya 24h'!C48,'03.08 Ntinda-Naalya 24h'!C48,'04.08 Ntinda-Naalya'!C48)</f>
        <v>138.71428571428572</v>
      </c>
      <c r="D48" s="49">
        <f>AVERAGE('29.07 Ntinda-Naalya'!D48,'30.07 Ntinda-Naalya'!D48,'31.07 Ntinda-Naalya'!D48,'02.08 Ntinda-Naalya'!D48,'01.08 Ntinda-Naalya 24h'!D48,'03.08 Ntinda-Naalya 24h'!D48,'04.08 Ntinda-Naalya'!D48)</f>
        <v>26.857142857142858</v>
      </c>
      <c r="E48" s="49">
        <f>AVERAGE('29.07 Ntinda-Naalya'!E48,'30.07 Ntinda-Naalya'!E48,'31.07 Ntinda-Naalya'!E48,'02.08 Ntinda-Naalya'!E48,'01.08 Ntinda-Naalya 24h'!E48,'03.08 Ntinda-Naalya 24h'!E48,'04.08 Ntinda-Naalya'!E48)</f>
        <v>2.2857142857142856</v>
      </c>
      <c r="F48" s="49">
        <f>AVERAGE('29.07 Ntinda-Naalya'!F48,'30.07 Ntinda-Naalya'!F48,'31.07 Ntinda-Naalya'!F48,'02.08 Ntinda-Naalya'!F48,'01.08 Ntinda-Naalya 24h'!F48,'03.08 Ntinda-Naalya 24h'!F48,'04.08 Ntinda-Naalya'!F48)</f>
        <v>9.5714285714285712</v>
      </c>
      <c r="G48" s="49">
        <f>AVERAGE('29.07 Ntinda-Naalya'!G48,'30.07 Ntinda-Naalya'!G48,'31.07 Ntinda-Naalya'!G48,'02.08 Ntinda-Naalya'!G48,'01.08 Ntinda-Naalya 24h'!G48,'03.08 Ntinda-Naalya 24h'!G48,'04.08 Ntinda-Naalya'!G48)</f>
        <v>0.5714285714285714</v>
      </c>
      <c r="H48" s="49">
        <f>AVERAGE('29.07 Ntinda-Naalya'!H48,'30.07 Ntinda-Naalya'!H48,'31.07 Ntinda-Naalya'!H48,'02.08 Ntinda-Naalya'!H48,'01.08 Ntinda-Naalya 24h'!H48,'03.08 Ntinda-Naalya 24h'!H48,'04.08 Ntinda-Naalya'!H48)</f>
        <v>0</v>
      </c>
      <c r="I48" s="49">
        <f>AVERAGE('29.07 Ntinda-Naalya'!I48,'30.07 Ntinda-Naalya'!I48,'31.07 Ntinda-Naalya'!I48,'02.08 Ntinda-Naalya'!I48,'01.08 Ntinda-Naalya 24h'!I48,'03.08 Ntinda-Naalya 24h'!I48,'04.08 Ntinda-Naalya'!I48)</f>
        <v>3.4285714285714284</v>
      </c>
      <c r="J48" s="49">
        <f>AVERAGE('29.07 Ntinda-Naalya'!J48,'30.07 Ntinda-Naalya'!J48,'31.07 Ntinda-Naalya'!J48,'02.08 Ntinda-Naalya'!J48,'01.08 Ntinda-Naalya 24h'!J48,'03.08 Ntinda-Naalya 24h'!J48,'04.08 Ntinda-Naalya'!J48)</f>
        <v>2.5714285714285716</v>
      </c>
      <c r="K48" s="49">
        <f>AVERAGE('29.07 Ntinda-Naalya'!K48,'30.07 Ntinda-Naalya'!K48,'31.07 Ntinda-Naalya'!K48,'02.08 Ntinda-Naalya'!K48,'01.08 Ntinda-Naalya 24h'!K48,'03.08 Ntinda-Naalya 24h'!K48,'04.08 Ntinda-Naalya'!K48)</f>
        <v>0.42857142857142855</v>
      </c>
      <c r="L48" s="49">
        <f>AVERAGE('29.07 Ntinda-Naalya'!L48,'30.07 Ntinda-Naalya'!L48,'31.07 Ntinda-Naalya'!L48,'02.08 Ntinda-Naalya'!L48,'01.08 Ntinda-Naalya 24h'!L48,'03.08 Ntinda-Naalya 24h'!L48,'04.08 Ntinda-Naalya'!L48)</f>
        <v>0</v>
      </c>
      <c r="M48" s="49">
        <f>AVERAGE('29.07 Ntinda-Naalya'!M48,'30.07 Ntinda-Naalya'!M48,'31.07 Ntinda-Naalya'!M48,'02.08 Ntinda-Naalya'!M48,'01.08 Ntinda-Naalya 24h'!M48,'03.08 Ntinda-Naalya 24h'!M48,'04.08 Ntinda-Naalya'!M48)</f>
        <v>72.857142857142861</v>
      </c>
      <c r="N48" s="49">
        <f>AVERAGE('29.07 Ntinda-Naalya'!N48,'30.07 Ntinda-Naalya'!N48,'31.07 Ntinda-Naalya'!N48,'02.08 Ntinda-Naalya'!N48,'01.08 Ntinda-Naalya 24h'!N48,'03.08 Ntinda-Naalya 24h'!N48,'04.08 Ntinda-Naalya'!N48)</f>
        <v>0</v>
      </c>
      <c r="O48" s="15">
        <f t="shared" si="0"/>
        <v>184.42857142857144</v>
      </c>
      <c r="P48" s="15">
        <f t="shared" si="1"/>
        <v>257.28571428571433</v>
      </c>
      <c r="R48" s="8"/>
      <c r="T48"/>
    </row>
    <row r="49" spans="2:20" ht="23.1" customHeight="1" x14ac:dyDescent="0.25">
      <c r="B49" s="23" t="s">
        <v>76</v>
      </c>
      <c r="C49" s="49">
        <f>AVERAGE('29.07 Ntinda-Naalya'!C49,'30.07 Ntinda-Naalya'!C49,'31.07 Ntinda-Naalya'!C49,'02.08 Ntinda-Naalya'!C49,'01.08 Ntinda-Naalya 24h'!C49,'03.08 Ntinda-Naalya 24h'!C49,'04.08 Ntinda-Naalya'!C49)</f>
        <v>147.28571428571428</v>
      </c>
      <c r="D49" s="49">
        <f>AVERAGE('29.07 Ntinda-Naalya'!D49,'30.07 Ntinda-Naalya'!D49,'31.07 Ntinda-Naalya'!D49,'02.08 Ntinda-Naalya'!D49,'01.08 Ntinda-Naalya 24h'!D49,'03.08 Ntinda-Naalya 24h'!D49,'04.08 Ntinda-Naalya'!D49)</f>
        <v>28.428571428571427</v>
      </c>
      <c r="E49" s="49">
        <f>AVERAGE('29.07 Ntinda-Naalya'!E49,'30.07 Ntinda-Naalya'!E49,'31.07 Ntinda-Naalya'!E49,'02.08 Ntinda-Naalya'!E49,'01.08 Ntinda-Naalya 24h'!E49,'03.08 Ntinda-Naalya 24h'!E49,'04.08 Ntinda-Naalya'!E49)</f>
        <v>3.7142857142857144</v>
      </c>
      <c r="F49" s="49">
        <f>AVERAGE('29.07 Ntinda-Naalya'!F49,'30.07 Ntinda-Naalya'!F49,'31.07 Ntinda-Naalya'!F49,'02.08 Ntinda-Naalya'!F49,'01.08 Ntinda-Naalya 24h'!F49,'03.08 Ntinda-Naalya 24h'!F49,'04.08 Ntinda-Naalya'!F49)</f>
        <v>7.5714285714285712</v>
      </c>
      <c r="G49" s="49">
        <f>AVERAGE('29.07 Ntinda-Naalya'!G49,'30.07 Ntinda-Naalya'!G49,'31.07 Ntinda-Naalya'!G49,'02.08 Ntinda-Naalya'!G49,'01.08 Ntinda-Naalya 24h'!G49,'03.08 Ntinda-Naalya 24h'!G49,'04.08 Ntinda-Naalya'!G49)</f>
        <v>0.8571428571428571</v>
      </c>
      <c r="H49" s="49">
        <f>AVERAGE('29.07 Ntinda-Naalya'!H49,'30.07 Ntinda-Naalya'!H49,'31.07 Ntinda-Naalya'!H49,'02.08 Ntinda-Naalya'!H49,'01.08 Ntinda-Naalya 24h'!H49,'03.08 Ntinda-Naalya 24h'!H49,'04.08 Ntinda-Naalya'!H49)</f>
        <v>0.2857142857142857</v>
      </c>
      <c r="I49" s="49">
        <f>AVERAGE('29.07 Ntinda-Naalya'!I49,'30.07 Ntinda-Naalya'!I49,'31.07 Ntinda-Naalya'!I49,'02.08 Ntinda-Naalya'!I49,'01.08 Ntinda-Naalya 24h'!I49,'03.08 Ntinda-Naalya 24h'!I49,'04.08 Ntinda-Naalya'!I49)</f>
        <v>3.1428571428571428</v>
      </c>
      <c r="J49" s="49">
        <f>AVERAGE('29.07 Ntinda-Naalya'!J49,'30.07 Ntinda-Naalya'!J49,'31.07 Ntinda-Naalya'!J49,'02.08 Ntinda-Naalya'!J49,'01.08 Ntinda-Naalya 24h'!J49,'03.08 Ntinda-Naalya 24h'!J49,'04.08 Ntinda-Naalya'!J49)</f>
        <v>1.5714285714285714</v>
      </c>
      <c r="K49" s="49">
        <f>AVERAGE('29.07 Ntinda-Naalya'!K49,'30.07 Ntinda-Naalya'!K49,'31.07 Ntinda-Naalya'!K49,'02.08 Ntinda-Naalya'!K49,'01.08 Ntinda-Naalya 24h'!K49,'03.08 Ntinda-Naalya 24h'!K49,'04.08 Ntinda-Naalya'!K49)</f>
        <v>0.2857142857142857</v>
      </c>
      <c r="L49" s="49">
        <f>AVERAGE('29.07 Ntinda-Naalya'!L49,'30.07 Ntinda-Naalya'!L49,'31.07 Ntinda-Naalya'!L49,'02.08 Ntinda-Naalya'!L49,'01.08 Ntinda-Naalya 24h'!L49,'03.08 Ntinda-Naalya 24h'!L49,'04.08 Ntinda-Naalya'!L49)</f>
        <v>0.14285714285714285</v>
      </c>
      <c r="M49" s="49">
        <f>AVERAGE('29.07 Ntinda-Naalya'!M49,'30.07 Ntinda-Naalya'!M49,'31.07 Ntinda-Naalya'!M49,'02.08 Ntinda-Naalya'!M49,'01.08 Ntinda-Naalya 24h'!M49,'03.08 Ntinda-Naalya 24h'!M49,'04.08 Ntinda-Naalya'!M49)</f>
        <v>74.142857142857139</v>
      </c>
      <c r="N49" s="49">
        <f>AVERAGE('29.07 Ntinda-Naalya'!N49,'30.07 Ntinda-Naalya'!N49,'31.07 Ntinda-Naalya'!N49,'02.08 Ntinda-Naalya'!N49,'01.08 Ntinda-Naalya 24h'!N49,'03.08 Ntinda-Naalya 24h'!N49,'04.08 Ntinda-Naalya'!N49)</f>
        <v>0</v>
      </c>
      <c r="O49" s="15">
        <f t="shared" si="0"/>
        <v>193.28571428571428</v>
      </c>
      <c r="P49" s="15">
        <f t="shared" si="1"/>
        <v>267.42857142857144</v>
      </c>
      <c r="R49" s="8"/>
      <c r="T49"/>
    </row>
    <row r="50" spans="2:20" ht="23.1" customHeight="1" x14ac:dyDescent="0.25">
      <c r="B50" s="24" t="s">
        <v>77</v>
      </c>
      <c r="C50" s="49">
        <f>AVERAGE('29.07 Ntinda-Naalya'!C50,'30.07 Ntinda-Naalya'!C50,'31.07 Ntinda-Naalya'!C50,'02.08 Ntinda-Naalya'!C50,'01.08 Ntinda-Naalya 24h'!C50,'03.08 Ntinda-Naalya 24h'!C50,'04.08 Ntinda-Naalya'!C50)</f>
        <v>135</v>
      </c>
      <c r="D50" s="49">
        <f>AVERAGE('29.07 Ntinda-Naalya'!D50,'30.07 Ntinda-Naalya'!D50,'31.07 Ntinda-Naalya'!D50,'02.08 Ntinda-Naalya'!D50,'01.08 Ntinda-Naalya 24h'!D50,'03.08 Ntinda-Naalya 24h'!D50,'04.08 Ntinda-Naalya'!D50)</f>
        <v>28.571428571428573</v>
      </c>
      <c r="E50" s="49">
        <f>AVERAGE('29.07 Ntinda-Naalya'!E50,'30.07 Ntinda-Naalya'!E50,'31.07 Ntinda-Naalya'!E50,'02.08 Ntinda-Naalya'!E50,'01.08 Ntinda-Naalya 24h'!E50,'03.08 Ntinda-Naalya 24h'!E50,'04.08 Ntinda-Naalya'!E50)</f>
        <v>4.4285714285714288</v>
      </c>
      <c r="F50" s="49">
        <f>AVERAGE('29.07 Ntinda-Naalya'!F50,'30.07 Ntinda-Naalya'!F50,'31.07 Ntinda-Naalya'!F50,'02.08 Ntinda-Naalya'!F50,'01.08 Ntinda-Naalya 24h'!F50,'03.08 Ntinda-Naalya 24h'!F50,'04.08 Ntinda-Naalya'!F50)</f>
        <v>9.2857142857142865</v>
      </c>
      <c r="G50" s="49">
        <f>AVERAGE('29.07 Ntinda-Naalya'!G50,'30.07 Ntinda-Naalya'!G50,'31.07 Ntinda-Naalya'!G50,'02.08 Ntinda-Naalya'!G50,'01.08 Ntinda-Naalya 24h'!G50,'03.08 Ntinda-Naalya 24h'!G50,'04.08 Ntinda-Naalya'!G50)</f>
        <v>0.8571428571428571</v>
      </c>
      <c r="H50" s="49">
        <f>AVERAGE('29.07 Ntinda-Naalya'!H50,'30.07 Ntinda-Naalya'!H50,'31.07 Ntinda-Naalya'!H50,'02.08 Ntinda-Naalya'!H50,'01.08 Ntinda-Naalya 24h'!H50,'03.08 Ntinda-Naalya 24h'!H50,'04.08 Ntinda-Naalya'!H50)</f>
        <v>0.14285714285714285</v>
      </c>
      <c r="I50" s="49">
        <f>AVERAGE('29.07 Ntinda-Naalya'!I50,'30.07 Ntinda-Naalya'!I50,'31.07 Ntinda-Naalya'!I50,'02.08 Ntinda-Naalya'!I50,'01.08 Ntinda-Naalya 24h'!I50,'03.08 Ntinda-Naalya 24h'!I50,'04.08 Ntinda-Naalya'!I50)</f>
        <v>5.1428571428571432</v>
      </c>
      <c r="J50" s="49">
        <f>AVERAGE('29.07 Ntinda-Naalya'!J50,'30.07 Ntinda-Naalya'!J50,'31.07 Ntinda-Naalya'!J50,'02.08 Ntinda-Naalya'!J50,'01.08 Ntinda-Naalya 24h'!J50,'03.08 Ntinda-Naalya 24h'!J50,'04.08 Ntinda-Naalya'!J50)</f>
        <v>1</v>
      </c>
      <c r="K50" s="49">
        <f>AVERAGE('29.07 Ntinda-Naalya'!K50,'30.07 Ntinda-Naalya'!K50,'31.07 Ntinda-Naalya'!K50,'02.08 Ntinda-Naalya'!K50,'01.08 Ntinda-Naalya 24h'!K50,'03.08 Ntinda-Naalya 24h'!K50,'04.08 Ntinda-Naalya'!K50)</f>
        <v>0.5714285714285714</v>
      </c>
      <c r="L50" s="49">
        <f>AVERAGE('29.07 Ntinda-Naalya'!L50,'30.07 Ntinda-Naalya'!L50,'31.07 Ntinda-Naalya'!L50,'02.08 Ntinda-Naalya'!L50,'01.08 Ntinda-Naalya 24h'!L50,'03.08 Ntinda-Naalya 24h'!L50,'04.08 Ntinda-Naalya'!L50)</f>
        <v>0.14285714285714285</v>
      </c>
      <c r="M50" s="49">
        <f>AVERAGE('29.07 Ntinda-Naalya'!M50,'30.07 Ntinda-Naalya'!M50,'31.07 Ntinda-Naalya'!M50,'02.08 Ntinda-Naalya'!M50,'01.08 Ntinda-Naalya 24h'!M50,'03.08 Ntinda-Naalya 24h'!M50,'04.08 Ntinda-Naalya'!M50)</f>
        <v>70.571428571428569</v>
      </c>
      <c r="N50" s="49">
        <f>AVERAGE('29.07 Ntinda-Naalya'!N50,'30.07 Ntinda-Naalya'!N50,'31.07 Ntinda-Naalya'!N50,'02.08 Ntinda-Naalya'!N50,'01.08 Ntinda-Naalya 24h'!N50,'03.08 Ntinda-Naalya 24h'!N50,'04.08 Ntinda-Naalya'!N50)</f>
        <v>0.14285714285714285</v>
      </c>
      <c r="O50" s="15">
        <f t="shared" si="0"/>
        <v>185.28571428571428</v>
      </c>
      <c r="P50" s="15">
        <f t="shared" si="1"/>
        <v>255.85714285714286</v>
      </c>
      <c r="R50" s="8"/>
      <c r="T50"/>
    </row>
    <row r="51" spans="2:20" ht="23.1" customHeight="1" x14ac:dyDescent="0.25">
      <c r="B51" s="24" t="s">
        <v>78</v>
      </c>
      <c r="C51" s="49">
        <f>AVERAGE('29.07 Ntinda-Naalya'!C51,'30.07 Ntinda-Naalya'!C51,'31.07 Ntinda-Naalya'!C51,'02.08 Ntinda-Naalya'!C51,'01.08 Ntinda-Naalya 24h'!C51,'03.08 Ntinda-Naalya 24h'!C51,'04.08 Ntinda-Naalya'!C51)</f>
        <v>144.42857142857142</v>
      </c>
      <c r="D51" s="49">
        <f>AVERAGE('29.07 Ntinda-Naalya'!D51,'30.07 Ntinda-Naalya'!D51,'31.07 Ntinda-Naalya'!D51,'02.08 Ntinda-Naalya'!D51,'01.08 Ntinda-Naalya 24h'!D51,'03.08 Ntinda-Naalya 24h'!D51,'04.08 Ntinda-Naalya'!D51)</f>
        <v>23.571428571428573</v>
      </c>
      <c r="E51" s="49">
        <f>AVERAGE('29.07 Ntinda-Naalya'!E51,'30.07 Ntinda-Naalya'!E51,'31.07 Ntinda-Naalya'!E51,'02.08 Ntinda-Naalya'!E51,'01.08 Ntinda-Naalya 24h'!E51,'03.08 Ntinda-Naalya 24h'!E51,'04.08 Ntinda-Naalya'!E51)</f>
        <v>3.2857142857142856</v>
      </c>
      <c r="F51" s="49">
        <f>AVERAGE('29.07 Ntinda-Naalya'!F51,'30.07 Ntinda-Naalya'!F51,'31.07 Ntinda-Naalya'!F51,'02.08 Ntinda-Naalya'!F51,'01.08 Ntinda-Naalya 24h'!F51,'03.08 Ntinda-Naalya 24h'!F51,'04.08 Ntinda-Naalya'!F51)</f>
        <v>6.7142857142857144</v>
      </c>
      <c r="G51" s="49">
        <f>AVERAGE('29.07 Ntinda-Naalya'!G51,'30.07 Ntinda-Naalya'!G51,'31.07 Ntinda-Naalya'!G51,'02.08 Ntinda-Naalya'!G51,'01.08 Ntinda-Naalya 24h'!G51,'03.08 Ntinda-Naalya 24h'!G51,'04.08 Ntinda-Naalya'!G51)</f>
        <v>0.42857142857142855</v>
      </c>
      <c r="H51" s="49">
        <f>AVERAGE('29.07 Ntinda-Naalya'!H51,'30.07 Ntinda-Naalya'!H51,'31.07 Ntinda-Naalya'!H51,'02.08 Ntinda-Naalya'!H51,'01.08 Ntinda-Naalya 24h'!H51,'03.08 Ntinda-Naalya 24h'!H51,'04.08 Ntinda-Naalya'!H51)</f>
        <v>0.14285714285714285</v>
      </c>
      <c r="I51" s="49">
        <f>AVERAGE('29.07 Ntinda-Naalya'!I51,'30.07 Ntinda-Naalya'!I51,'31.07 Ntinda-Naalya'!I51,'02.08 Ntinda-Naalya'!I51,'01.08 Ntinda-Naalya 24h'!I51,'03.08 Ntinda-Naalya 24h'!I51,'04.08 Ntinda-Naalya'!I51)</f>
        <v>3.4285714285714284</v>
      </c>
      <c r="J51" s="49">
        <f>AVERAGE('29.07 Ntinda-Naalya'!J51,'30.07 Ntinda-Naalya'!J51,'31.07 Ntinda-Naalya'!J51,'02.08 Ntinda-Naalya'!J51,'01.08 Ntinda-Naalya 24h'!J51,'03.08 Ntinda-Naalya 24h'!J51,'04.08 Ntinda-Naalya'!J51)</f>
        <v>2</v>
      </c>
      <c r="K51" s="49">
        <f>AVERAGE('29.07 Ntinda-Naalya'!K51,'30.07 Ntinda-Naalya'!K51,'31.07 Ntinda-Naalya'!K51,'02.08 Ntinda-Naalya'!K51,'01.08 Ntinda-Naalya 24h'!K51,'03.08 Ntinda-Naalya 24h'!K51,'04.08 Ntinda-Naalya'!K51)</f>
        <v>0.2857142857142857</v>
      </c>
      <c r="L51" s="49">
        <f>AVERAGE('29.07 Ntinda-Naalya'!L51,'30.07 Ntinda-Naalya'!L51,'31.07 Ntinda-Naalya'!L51,'02.08 Ntinda-Naalya'!L51,'01.08 Ntinda-Naalya 24h'!L51,'03.08 Ntinda-Naalya 24h'!L51,'04.08 Ntinda-Naalya'!L51)</f>
        <v>0.5714285714285714</v>
      </c>
      <c r="M51" s="49">
        <f>AVERAGE('29.07 Ntinda-Naalya'!M51,'30.07 Ntinda-Naalya'!M51,'31.07 Ntinda-Naalya'!M51,'02.08 Ntinda-Naalya'!M51,'01.08 Ntinda-Naalya 24h'!M51,'03.08 Ntinda-Naalya 24h'!M51,'04.08 Ntinda-Naalya'!M51)</f>
        <v>67.428571428571431</v>
      </c>
      <c r="N51" s="49">
        <f>AVERAGE('29.07 Ntinda-Naalya'!N51,'30.07 Ntinda-Naalya'!N51,'31.07 Ntinda-Naalya'!N51,'02.08 Ntinda-Naalya'!N51,'01.08 Ntinda-Naalya 24h'!N51,'03.08 Ntinda-Naalya 24h'!N51,'04.08 Ntinda-Naalya'!N51)</f>
        <v>0</v>
      </c>
      <c r="O51" s="15">
        <f t="shared" si="0"/>
        <v>184.85714285714283</v>
      </c>
      <c r="P51" s="15">
        <f t="shared" si="1"/>
        <v>252.28571428571428</v>
      </c>
      <c r="R51" s="8"/>
      <c r="T51"/>
    </row>
    <row r="52" spans="2:20" ht="23.1" customHeight="1" x14ac:dyDescent="0.25">
      <c r="B52" s="24" t="s">
        <v>79</v>
      </c>
      <c r="C52" s="49">
        <f>AVERAGE('29.07 Ntinda-Naalya'!C52,'30.07 Ntinda-Naalya'!C52,'31.07 Ntinda-Naalya'!C52,'02.08 Ntinda-Naalya'!C52,'01.08 Ntinda-Naalya 24h'!C52,'03.08 Ntinda-Naalya 24h'!C52,'04.08 Ntinda-Naalya'!C52)</f>
        <v>146.28571428571428</v>
      </c>
      <c r="D52" s="49">
        <f>AVERAGE('29.07 Ntinda-Naalya'!D52,'30.07 Ntinda-Naalya'!D52,'31.07 Ntinda-Naalya'!D52,'02.08 Ntinda-Naalya'!D52,'01.08 Ntinda-Naalya 24h'!D52,'03.08 Ntinda-Naalya 24h'!D52,'04.08 Ntinda-Naalya'!D52)</f>
        <v>27.142857142857142</v>
      </c>
      <c r="E52" s="49">
        <f>AVERAGE('29.07 Ntinda-Naalya'!E52,'30.07 Ntinda-Naalya'!E52,'31.07 Ntinda-Naalya'!E52,'02.08 Ntinda-Naalya'!E52,'01.08 Ntinda-Naalya 24h'!E52,'03.08 Ntinda-Naalya 24h'!E52,'04.08 Ntinda-Naalya'!E52)</f>
        <v>4.2857142857142856</v>
      </c>
      <c r="F52" s="49">
        <f>AVERAGE('29.07 Ntinda-Naalya'!F52,'30.07 Ntinda-Naalya'!F52,'31.07 Ntinda-Naalya'!F52,'02.08 Ntinda-Naalya'!F52,'01.08 Ntinda-Naalya 24h'!F52,'03.08 Ntinda-Naalya 24h'!F52,'04.08 Ntinda-Naalya'!F52)</f>
        <v>8.8571428571428577</v>
      </c>
      <c r="G52" s="49">
        <f>AVERAGE('29.07 Ntinda-Naalya'!G52,'30.07 Ntinda-Naalya'!G52,'31.07 Ntinda-Naalya'!G52,'02.08 Ntinda-Naalya'!G52,'01.08 Ntinda-Naalya 24h'!G52,'03.08 Ntinda-Naalya 24h'!G52,'04.08 Ntinda-Naalya'!G52)</f>
        <v>0.7142857142857143</v>
      </c>
      <c r="H52" s="49">
        <f>AVERAGE('29.07 Ntinda-Naalya'!H52,'30.07 Ntinda-Naalya'!H52,'31.07 Ntinda-Naalya'!H52,'02.08 Ntinda-Naalya'!H52,'01.08 Ntinda-Naalya 24h'!H52,'03.08 Ntinda-Naalya 24h'!H52,'04.08 Ntinda-Naalya'!H52)</f>
        <v>0.14285714285714285</v>
      </c>
      <c r="I52" s="49">
        <f>AVERAGE('29.07 Ntinda-Naalya'!I52,'30.07 Ntinda-Naalya'!I52,'31.07 Ntinda-Naalya'!I52,'02.08 Ntinda-Naalya'!I52,'01.08 Ntinda-Naalya 24h'!I52,'03.08 Ntinda-Naalya 24h'!I52,'04.08 Ntinda-Naalya'!I52)</f>
        <v>3.5714285714285716</v>
      </c>
      <c r="J52" s="49">
        <f>AVERAGE('29.07 Ntinda-Naalya'!J52,'30.07 Ntinda-Naalya'!J52,'31.07 Ntinda-Naalya'!J52,'02.08 Ntinda-Naalya'!J52,'01.08 Ntinda-Naalya 24h'!J52,'03.08 Ntinda-Naalya 24h'!J52,'04.08 Ntinda-Naalya'!J52)</f>
        <v>1.7142857142857142</v>
      </c>
      <c r="K52" s="49">
        <f>AVERAGE('29.07 Ntinda-Naalya'!K52,'30.07 Ntinda-Naalya'!K52,'31.07 Ntinda-Naalya'!K52,'02.08 Ntinda-Naalya'!K52,'01.08 Ntinda-Naalya 24h'!K52,'03.08 Ntinda-Naalya 24h'!K52,'04.08 Ntinda-Naalya'!K52)</f>
        <v>1.2857142857142858</v>
      </c>
      <c r="L52" s="49">
        <f>AVERAGE('29.07 Ntinda-Naalya'!L52,'30.07 Ntinda-Naalya'!L52,'31.07 Ntinda-Naalya'!L52,'02.08 Ntinda-Naalya'!L52,'01.08 Ntinda-Naalya 24h'!L52,'03.08 Ntinda-Naalya 24h'!L52,'04.08 Ntinda-Naalya'!L52)</f>
        <v>0.5714285714285714</v>
      </c>
      <c r="M52" s="49">
        <f>AVERAGE('29.07 Ntinda-Naalya'!M52,'30.07 Ntinda-Naalya'!M52,'31.07 Ntinda-Naalya'!M52,'02.08 Ntinda-Naalya'!M52,'01.08 Ntinda-Naalya 24h'!M52,'03.08 Ntinda-Naalya 24h'!M52,'04.08 Ntinda-Naalya'!M52)</f>
        <v>75.285714285714292</v>
      </c>
      <c r="N52" s="49">
        <f>AVERAGE('29.07 Ntinda-Naalya'!N52,'30.07 Ntinda-Naalya'!N52,'31.07 Ntinda-Naalya'!N52,'02.08 Ntinda-Naalya'!N52,'01.08 Ntinda-Naalya 24h'!N52,'03.08 Ntinda-Naalya 24h'!N52,'04.08 Ntinda-Naalya'!N52)</f>
        <v>0</v>
      </c>
      <c r="O52" s="15">
        <f t="shared" si="0"/>
        <v>194.57142857142858</v>
      </c>
      <c r="P52" s="15">
        <f t="shared" si="1"/>
        <v>269.85714285714289</v>
      </c>
      <c r="R52" s="8"/>
      <c r="T52"/>
    </row>
    <row r="53" spans="2:20" ht="23.1" customHeight="1" x14ac:dyDescent="0.25">
      <c r="B53" s="23" t="s">
        <v>80</v>
      </c>
      <c r="C53" s="49">
        <f>AVERAGE('29.07 Ntinda-Naalya'!C53,'30.07 Ntinda-Naalya'!C53,'31.07 Ntinda-Naalya'!C53,'02.08 Ntinda-Naalya'!C53,'01.08 Ntinda-Naalya 24h'!C53,'03.08 Ntinda-Naalya 24h'!C53,'04.08 Ntinda-Naalya'!C53)</f>
        <v>147.14285714285714</v>
      </c>
      <c r="D53" s="49">
        <f>AVERAGE('29.07 Ntinda-Naalya'!D53,'30.07 Ntinda-Naalya'!D53,'31.07 Ntinda-Naalya'!D53,'02.08 Ntinda-Naalya'!D53,'01.08 Ntinda-Naalya 24h'!D53,'03.08 Ntinda-Naalya 24h'!D53,'04.08 Ntinda-Naalya'!D53)</f>
        <v>25.857142857142858</v>
      </c>
      <c r="E53" s="49">
        <f>AVERAGE('29.07 Ntinda-Naalya'!E53,'30.07 Ntinda-Naalya'!E53,'31.07 Ntinda-Naalya'!E53,'02.08 Ntinda-Naalya'!E53,'01.08 Ntinda-Naalya 24h'!E53,'03.08 Ntinda-Naalya 24h'!E53,'04.08 Ntinda-Naalya'!E53)</f>
        <v>3.8571428571428572</v>
      </c>
      <c r="F53" s="49">
        <f>AVERAGE('29.07 Ntinda-Naalya'!F53,'30.07 Ntinda-Naalya'!F53,'31.07 Ntinda-Naalya'!F53,'02.08 Ntinda-Naalya'!F53,'01.08 Ntinda-Naalya 24h'!F53,'03.08 Ntinda-Naalya 24h'!F53,'04.08 Ntinda-Naalya'!F53)</f>
        <v>7.2857142857142856</v>
      </c>
      <c r="G53" s="49">
        <f>AVERAGE('29.07 Ntinda-Naalya'!G53,'30.07 Ntinda-Naalya'!G53,'31.07 Ntinda-Naalya'!G53,'02.08 Ntinda-Naalya'!G53,'01.08 Ntinda-Naalya 24h'!G53,'03.08 Ntinda-Naalya 24h'!G53,'04.08 Ntinda-Naalya'!G53)</f>
        <v>1</v>
      </c>
      <c r="H53" s="49">
        <f>AVERAGE('29.07 Ntinda-Naalya'!H53,'30.07 Ntinda-Naalya'!H53,'31.07 Ntinda-Naalya'!H53,'02.08 Ntinda-Naalya'!H53,'01.08 Ntinda-Naalya 24h'!H53,'03.08 Ntinda-Naalya 24h'!H53,'04.08 Ntinda-Naalya'!H53)</f>
        <v>0.42857142857142855</v>
      </c>
      <c r="I53" s="49">
        <f>AVERAGE('29.07 Ntinda-Naalya'!I53,'30.07 Ntinda-Naalya'!I53,'31.07 Ntinda-Naalya'!I53,'02.08 Ntinda-Naalya'!I53,'01.08 Ntinda-Naalya 24h'!I53,'03.08 Ntinda-Naalya 24h'!I53,'04.08 Ntinda-Naalya'!I53)</f>
        <v>4</v>
      </c>
      <c r="J53" s="49">
        <f>AVERAGE('29.07 Ntinda-Naalya'!J53,'30.07 Ntinda-Naalya'!J53,'31.07 Ntinda-Naalya'!J53,'02.08 Ntinda-Naalya'!J53,'01.08 Ntinda-Naalya 24h'!J53,'03.08 Ntinda-Naalya 24h'!J53,'04.08 Ntinda-Naalya'!J53)</f>
        <v>0.8571428571428571</v>
      </c>
      <c r="K53" s="49">
        <f>AVERAGE('29.07 Ntinda-Naalya'!K53,'30.07 Ntinda-Naalya'!K53,'31.07 Ntinda-Naalya'!K53,'02.08 Ntinda-Naalya'!K53,'01.08 Ntinda-Naalya 24h'!K53,'03.08 Ntinda-Naalya 24h'!K53,'04.08 Ntinda-Naalya'!K53)</f>
        <v>0.2857142857142857</v>
      </c>
      <c r="L53" s="49">
        <f>AVERAGE('29.07 Ntinda-Naalya'!L53,'30.07 Ntinda-Naalya'!L53,'31.07 Ntinda-Naalya'!L53,'02.08 Ntinda-Naalya'!L53,'01.08 Ntinda-Naalya 24h'!L53,'03.08 Ntinda-Naalya 24h'!L53,'04.08 Ntinda-Naalya'!L53)</f>
        <v>0.2857142857142857</v>
      </c>
      <c r="M53" s="49">
        <f>AVERAGE('29.07 Ntinda-Naalya'!M53,'30.07 Ntinda-Naalya'!M53,'31.07 Ntinda-Naalya'!M53,'02.08 Ntinda-Naalya'!M53,'01.08 Ntinda-Naalya 24h'!M53,'03.08 Ntinda-Naalya 24h'!M53,'04.08 Ntinda-Naalya'!M53)</f>
        <v>66.571428571428569</v>
      </c>
      <c r="N53" s="49">
        <f>AVERAGE('29.07 Ntinda-Naalya'!N53,'30.07 Ntinda-Naalya'!N53,'31.07 Ntinda-Naalya'!N53,'02.08 Ntinda-Naalya'!N53,'01.08 Ntinda-Naalya 24h'!N53,'03.08 Ntinda-Naalya 24h'!N53,'04.08 Ntinda-Naalya'!N53)</f>
        <v>0</v>
      </c>
      <c r="O53" s="15">
        <f t="shared" si="0"/>
        <v>190.99999999999997</v>
      </c>
      <c r="P53" s="15">
        <f t="shared" si="1"/>
        <v>257.57142857142856</v>
      </c>
      <c r="R53" s="8"/>
      <c r="T53"/>
    </row>
    <row r="54" spans="2:20" ht="23.1" customHeight="1" x14ac:dyDescent="0.25">
      <c r="B54" s="23" t="s">
        <v>81</v>
      </c>
      <c r="C54" s="49">
        <f>AVERAGE('29.07 Ntinda-Naalya'!C54,'30.07 Ntinda-Naalya'!C54,'31.07 Ntinda-Naalya'!C54,'02.08 Ntinda-Naalya'!C54,'01.08 Ntinda-Naalya 24h'!C54,'03.08 Ntinda-Naalya 24h'!C54,'04.08 Ntinda-Naalya'!C54)</f>
        <v>137.57142857142858</v>
      </c>
      <c r="D54" s="49">
        <f>AVERAGE('29.07 Ntinda-Naalya'!D54,'30.07 Ntinda-Naalya'!D54,'31.07 Ntinda-Naalya'!D54,'02.08 Ntinda-Naalya'!D54,'01.08 Ntinda-Naalya 24h'!D54,'03.08 Ntinda-Naalya 24h'!D54,'04.08 Ntinda-Naalya'!D54)</f>
        <v>25.857142857142858</v>
      </c>
      <c r="E54" s="49">
        <f>AVERAGE('29.07 Ntinda-Naalya'!E54,'30.07 Ntinda-Naalya'!E54,'31.07 Ntinda-Naalya'!E54,'02.08 Ntinda-Naalya'!E54,'01.08 Ntinda-Naalya 24h'!E54,'03.08 Ntinda-Naalya 24h'!E54,'04.08 Ntinda-Naalya'!E54)</f>
        <v>3.5714285714285716</v>
      </c>
      <c r="F54" s="49">
        <f>AVERAGE('29.07 Ntinda-Naalya'!F54,'30.07 Ntinda-Naalya'!F54,'31.07 Ntinda-Naalya'!F54,'02.08 Ntinda-Naalya'!F54,'01.08 Ntinda-Naalya 24h'!F54,'03.08 Ntinda-Naalya 24h'!F54,'04.08 Ntinda-Naalya'!F54)</f>
        <v>8.4285714285714288</v>
      </c>
      <c r="G54" s="49">
        <f>AVERAGE('29.07 Ntinda-Naalya'!G54,'30.07 Ntinda-Naalya'!G54,'31.07 Ntinda-Naalya'!G54,'02.08 Ntinda-Naalya'!G54,'01.08 Ntinda-Naalya 24h'!G54,'03.08 Ntinda-Naalya 24h'!G54,'04.08 Ntinda-Naalya'!G54)</f>
        <v>4.5714285714285712</v>
      </c>
      <c r="H54" s="49">
        <f>AVERAGE('29.07 Ntinda-Naalya'!H54,'30.07 Ntinda-Naalya'!H54,'31.07 Ntinda-Naalya'!H54,'02.08 Ntinda-Naalya'!H54,'01.08 Ntinda-Naalya 24h'!H54,'03.08 Ntinda-Naalya 24h'!H54,'04.08 Ntinda-Naalya'!H54)</f>
        <v>0.8571428571428571</v>
      </c>
      <c r="I54" s="49">
        <f>AVERAGE('29.07 Ntinda-Naalya'!I54,'30.07 Ntinda-Naalya'!I54,'31.07 Ntinda-Naalya'!I54,'02.08 Ntinda-Naalya'!I54,'01.08 Ntinda-Naalya 24h'!I54,'03.08 Ntinda-Naalya 24h'!I54,'04.08 Ntinda-Naalya'!I54)</f>
        <v>3.4285714285714284</v>
      </c>
      <c r="J54" s="49">
        <f>AVERAGE('29.07 Ntinda-Naalya'!J54,'30.07 Ntinda-Naalya'!J54,'31.07 Ntinda-Naalya'!J54,'02.08 Ntinda-Naalya'!J54,'01.08 Ntinda-Naalya 24h'!J54,'03.08 Ntinda-Naalya 24h'!J54,'04.08 Ntinda-Naalya'!J54)</f>
        <v>1.1428571428571428</v>
      </c>
      <c r="K54" s="49">
        <f>AVERAGE('29.07 Ntinda-Naalya'!K54,'30.07 Ntinda-Naalya'!K54,'31.07 Ntinda-Naalya'!K54,'02.08 Ntinda-Naalya'!K54,'01.08 Ntinda-Naalya 24h'!K54,'03.08 Ntinda-Naalya 24h'!K54,'04.08 Ntinda-Naalya'!K54)</f>
        <v>0.5714285714285714</v>
      </c>
      <c r="L54" s="49">
        <f>AVERAGE('29.07 Ntinda-Naalya'!L54,'30.07 Ntinda-Naalya'!L54,'31.07 Ntinda-Naalya'!L54,'02.08 Ntinda-Naalya'!L54,'01.08 Ntinda-Naalya 24h'!L54,'03.08 Ntinda-Naalya 24h'!L54,'04.08 Ntinda-Naalya'!L54)</f>
        <v>0.14285714285714285</v>
      </c>
      <c r="M54" s="49">
        <f>AVERAGE('29.07 Ntinda-Naalya'!M54,'30.07 Ntinda-Naalya'!M54,'31.07 Ntinda-Naalya'!M54,'02.08 Ntinda-Naalya'!M54,'01.08 Ntinda-Naalya 24h'!M54,'03.08 Ntinda-Naalya 24h'!M54,'04.08 Ntinda-Naalya'!M54)</f>
        <v>65</v>
      </c>
      <c r="N54" s="49">
        <f>AVERAGE('29.07 Ntinda-Naalya'!N54,'30.07 Ntinda-Naalya'!N54,'31.07 Ntinda-Naalya'!N54,'02.08 Ntinda-Naalya'!N54,'01.08 Ntinda-Naalya 24h'!N54,'03.08 Ntinda-Naalya 24h'!N54,'04.08 Ntinda-Naalya'!N54)</f>
        <v>0</v>
      </c>
      <c r="O54" s="15">
        <f t="shared" si="0"/>
        <v>186.14285714285717</v>
      </c>
      <c r="P54" s="15">
        <f t="shared" si="1"/>
        <v>251.14285714285717</v>
      </c>
      <c r="R54" s="8"/>
      <c r="T54"/>
    </row>
    <row r="55" spans="2:20" ht="23.1" customHeight="1" x14ac:dyDescent="0.25">
      <c r="B55" s="23" t="s">
        <v>82</v>
      </c>
      <c r="C55" s="49">
        <f>AVERAGE('29.07 Ntinda-Naalya'!C55,'30.07 Ntinda-Naalya'!C55,'31.07 Ntinda-Naalya'!C55,'02.08 Ntinda-Naalya'!C55,'01.08 Ntinda-Naalya 24h'!C55,'03.08 Ntinda-Naalya 24h'!C55,'04.08 Ntinda-Naalya'!C55)</f>
        <v>141.14285714285714</v>
      </c>
      <c r="D55" s="49">
        <f>AVERAGE('29.07 Ntinda-Naalya'!D55,'30.07 Ntinda-Naalya'!D55,'31.07 Ntinda-Naalya'!D55,'02.08 Ntinda-Naalya'!D55,'01.08 Ntinda-Naalya 24h'!D55,'03.08 Ntinda-Naalya 24h'!D55,'04.08 Ntinda-Naalya'!D55)</f>
        <v>27</v>
      </c>
      <c r="E55" s="49">
        <f>AVERAGE('29.07 Ntinda-Naalya'!E55,'30.07 Ntinda-Naalya'!E55,'31.07 Ntinda-Naalya'!E55,'02.08 Ntinda-Naalya'!E55,'01.08 Ntinda-Naalya 24h'!E55,'03.08 Ntinda-Naalya 24h'!E55,'04.08 Ntinda-Naalya'!E55)</f>
        <v>2.8571428571428572</v>
      </c>
      <c r="F55" s="49">
        <f>AVERAGE('29.07 Ntinda-Naalya'!F55,'30.07 Ntinda-Naalya'!F55,'31.07 Ntinda-Naalya'!F55,'02.08 Ntinda-Naalya'!F55,'01.08 Ntinda-Naalya 24h'!F55,'03.08 Ntinda-Naalya 24h'!F55,'04.08 Ntinda-Naalya'!F55)</f>
        <v>8.7142857142857135</v>
      </c>
      <c r="G55" s="49">
        <f>AVERAGE('29.07 Ntinda-Naalya'!G55,'30.07 Ntinda-Naalya'!G55,'31.07 Ntinda-Naalya'!G55,'02.08 Ntinda-Naalya'!G55,'01.08 Ntinda-Naalya 24h'!G55,'03.08 Ntinda-Naalya 24h'!G55,'04.08 Ntinda-Naalya'!G55)</f>
        <v>2.7142857142857144</v>
      </c>
      <c r="H55" s="49">
        <f>AVERAGE('29.07 Ntinda-Naalya'!H55,'30.07 Ntinda-Naalya'!H55,'31.07 Ntinda-Naalya'!H55,'02.08 Ntinda-Naalya'!H55,'01.08 Ntinda-Naalya 24h'!H55,'03.08 Ntinda-Naalya 24h'!H55,'04.08 Ntinda-Naalya'!H55)</f>
        <v>0.42857142857142855</v>
      </c>
      <c r="I55" s="49">
        <f>AVERAGE('29.07 Ntinda-Naalya'!I55,'30.07 Ntinda-Naalya'!I55,'31.07 Ntinda-Naalya'!I55,'02.08 Ntinda-Naalya'!I55,'01.08 Ntinda-Naalya 24h'!I55,'03.08 Ntinda-Naalya 24h'!I55,'04.08 Ntinda-Naalya'!I55)</f>
        <v>2.8571428571428572</v>
      </c>
      <c r="J55" s="49">
        <f>AVERAGE('29.07 Ntinda-Naalya'!J55,'30.07 Ntinda-Naalya'!J55,'31.07 Ntinda-Naalya'!J55,'02.08 Ntinda-Naalya'!J55,'01.08 Ntinda-Naalya 24h'!J55,'03.08 Ntinda-Naalya 24h'!J55,'04.08 Ntinda-Naalya'!J55)</f>
        <v>2</v>
      </c>
      <c r="K55" s="49">
        <f>AVERAGE('29.07 Ntinda-Naalya'!K55,'30.07 Ntinda-Naalya'!K55,'31.07 Ntinda-Naalya'!K55,'02.08 Ntinda-Naalya'!K55,'01.08 Ntinda-Naalya 24h'!K55,'03.08 Ntinda-Naalya 24h'!K55,'04.08 Ntinda-Naalya'!K55)</f>
        <v>0.5714285714285714</v>
      </c>
      <c r="L55" s="49">
        <f>AVERAGE('29.07 Ntinda-Naalya'!L55,'30.07 Ntinda-Naalya'!L55,'31.07 Ntinda-Naalya'!L55,'02.08 Ntinda-Naalya'!L55,'01.08 Ntinda-Naalya 24h'!L55,'03.08 Ntinda-Naalya 24h'!L55,'04.08 Ntinda-Naalya'!L55)</f>
        <v>0</v>
      </c>
      <c r="M55" s="49">
        <f>AVERAGE('29.07 Ntinda-Naalya'!M55,'30.07 Ntinda-Naalya'!M55,'31.07 Ntinda-Naalya'!M55,'02.08 Ntinda-Naalya'!M55,'01.08 Ntinda-Naalya 24h'!M55,'03.08 Ntinda-Naalya 24h'!M55,'04.08 Ntinda-Naalya'!M55)</f>
        <v>61.285714285714285</v>
      </c>
      <c r="N55" s="49">
        <f>AVERAGE('29.07 Ntinda-Naalya'!N55,'30.07 Ntinda-Naalya'!N55,'31.07 Ntinda-Naalya'!N55,'02.08 Ntinda-Naalya'!N55,'01.08 Ntinda-Naalya 24h'!N55,'03.08 Ntinda-Naalya 24h'!N55,'04.08 Ntinda-Naalya'!N55)</f>
        <v>0</v>
      </c>
      <c r="O55" s="15">
        <f t="shared" si="0"/>
        <v>188.28571428571431</v>
      </c>
      <c r="P55" s="15">
        <f t="shared" si="1"/>
        <v>249.57142857142858</v>
      </c>
      <c r="R55" s="8"/>
      <c r="T55"/>
    </row>
    <row r="56" spans="2:20" ht="23.1" customHeight="1" x14ac:dyDescent="0.25">
      <c r="B56" s="23" t="s">
        <v>83</v>
      </c>
      <c r="C56" s="49">
        <f>AVERAGE('29.07 Ntinda-Naalya'!C56,'30.07 Ntinda-Naalya'!C56,'31.07 Ntinda-Naalya'!C56,'02.08 Ntinda-Naalya'!C56,'01.08 Ntinda-Naalya 24h'!C56,'03.08 Ntinda-Naalya 24h'!C56,'04.08 Ntinda-Naalya'!C56)</f>
        <v>155.57142857142858</v>
      </c>
      <c r="D56" s="49">
        <f>AVERAGE('29.07 Ntinda-Naalya'!D56,'30.07 Ntinda-Naalya'!D56,'31.07 Ntinda-Naalya'!D56,'02.08 Ntinda-Naalya'!D56,'01.08 Ntinda-Naalya 24h'!D56,'03.08 Ntinda-Naalya 24h'!D56,'04.08 Ntinda-Naalya'!D56)</f>
        <v>28.285714285714285</v>
      </c>
      <c r="E56" s="49">
        <f>AVERAGE('29.07 Ntinda-Naalya'!E56,'30.07 Ntinda-Naalya'!E56,'31.07 Ntinda-Naalya'!E56,'02.08 Ntinda-Naalya'!E56,'01.08 Ntinda-Naalya 24h'!E56,'03.08 Ntinda-Naalya 24h'!E56,'04.08 Ntinda-Naalya'!E56)</f>
        <v>2.5714285714285716</v>
      </c>
      <c r="F56" s="49">
        <f>AVERAGE('29.07 Ntinda-Naalya'!F56,'30.07 Ntinda-Naalya'!F56,'31.07 Ntinda-Naalya'!F56,'02.08 Ntinda-Naalya'!F56,'01.08 Ntinda-Naalya 24h'!F56,'03.08 Ntinda-Naalya 24h'!F56,'04.08 Ntinda-Naalya'!F56)</f>
        <v>8</v>
      </c>
      <c r="G56" s="49">
        <f>AVERAGE('29.07 Ntinda-Naalya'!G56,'30.07 Ntinda-Naalya'!G56,'31.07 Ntinda-Naalya'!G56,'02.08 Ntinda-Naalya'!G56,'01.08 Ntinda-Naalya 24h'!G56,'03.08 Ntinda-Naalya 24h'!G56,'04.08 Ntinda-Naalya'!G56)</f>
        <v>1.5714285714285714</v>
      </c>
      <c r="H56" s="49">
        <f>AVERAGE('29.07 Ntinda-Naalya'!H56,'30.07 Ntinda-Naalya'!H56,'31.07 Ntinda-Naalya'!H56,'02.08 Ntinda-Naalya'!H56,'01.08 Ntinda-Naalya 24h'!H56,'03.08 Ntinda-Naalya 24h'!H56,'04.08 Ntinda-Naalya'!H56)</f>
        <v>0</v>
      </c>
      <c r="I56" s="49">
        <f>AVERAGE('29.07 Ntinda-Naalya'!I56,'30.07 Ntinda-Naalya'!I56,'31.07 Ntinda-Naalya'!I56,'02.08 Ntinda-Naalya'!I56,'01.08 Ntinda-Naalya 24h'!I56,'03.08 Ntinda-Naalya 24h'!I56,'04.08 Ntinda-Naalya'!I56)</f>
        <v>3.2857142857142856</v>
      </c>
      <c r="J56" s="49">
        <f>AVERAGE('29.07 Ntinda-Naalya'!J56,'30.07 Ntinda-Naalya'!J56,'31.07 Ntinda-Naalya'!J56,'02.08 Ntinda-Naalya'!J56,'01.08 Ntinda-Naalya 24h'!J56,'03.08 Ntinda-Naalya 24h'!J56,'04.08 Ntinda-Naalya'!J56)</f>
        <v>1.4285714285714286</v>
      </c>
      <c r="K56" s="49">
        <f>AVERAGE('29.07 Ntinda-Naalya'!K56,'30.07 Ntinda-Naalya'!K56,'31.07 Ntinda-Naalya'!K56,'02.08 Ntinda-Naalya'!K56,'01.08 Ntinda-Naalya 24h'!K56,'03.08 Ntinda-Naalya 24h'!K56,'04.08 Ntinda-Naalya'!K56)</f>
        <v>0.7142857142857143</v>
      </c>
      <c r="L56" s="49">
        <f>AVERAGE('29.07 Ntinda-Naalya'!L56,'30.07 Ntinda-Naalya'!L56,'31.07 Ntinda-Naalya'!L56,'02.08 Ntinda-Naalya'!L56,'01.08 Ntinda-Naalya 24h'!L56,'03.08 Ntinda-Naalya 24h'!L56,'04.08 Ntinda-Naalya'!L56)</f>
        <v>0</v>
      </c>
      <c r="M56" s="49">
        <f>AVERAGE('29.07 Ntinda-Naalya'!M56,'30.07 Ntinda-Naalya'!M56,'31.07 Ntinda-Naalya'!M56,'02.08 Ntinda-Naalya'!M56,'01.08 Ntinda-Naalya 24h'!M56,'03.08 Ntinda-Naalya 24h'!M56,'04.08 Ntinda-Naalya'!M56)</f>
        <v>57.142857142857146</v>
      </c>
      <c r="N56" s="49">
        <f>AVERAGE('29.07 Ntinda-Naalya'!N56,'30.07 Ntinda-Naalya'!N56,'31.07 Ntinda-Naalya'!N56,'02.08 Ntinda-Naalya'!N56,'01.08 Ntinda-Naalya 24h'!N56,'03.08 Ntinda-Naalya 24h'!N56,'04.08 Ntinda-Naalya'!N56)</f>
        <v>0</v>
      </c>
      <c r="O56" s="15">
        <f t="shared" si="0"/>
        <v>201.42857142857144</v>
      </c>
      <c r="P56" s="15">
        <f t="shared" si="1"/>
        <v>258.57142857142861</v>
      </c>
      <c r="R56" s="8"/>
      <c r="T56"/>
    </row>
    <row r="57" spans="2:20" ht="23.1" customHeight="1" x14ac:dyDescent="0.25">
      <c r="B57" s="23" t="s">
        <v>84</v>
      </c>
      <c r="C57" s="49">
        <f>AVERAGE('29.07 Ntinda-Naalya'!C57,'30.07 Ntinda-Naalya'!C57,'31.07 Ntinda-Naalya'!C57,'02.08 Ntinda-Naalya'!C57,'01.08 Ntinda-Naalya 24h'!C57,'03.08 Ntinda-Naalya 24h'!C57,'04.08 Ntinda-Naalya'!C57)</f>
        <v>124</v>
      </c>
      <c r="D57" s="49">
        <f>AVERAGE('29.07 Ntinda-Naalya'!D57,'30.07 Ntinda-Naalya'!D57,'31.07 Ntinda-Naalya'!D57,'02.08 Ntinda-Naalya'!D57,'01.08 Ntinda-Naalya 24h'!D57,'03.08 Ntinda-Naalya 24h'!D57,'04.08 Ntinda-Naalya'!D57)</f>
        <v>28.714285714285715</v>
      </c>
      <c r="E57" s="49">
        <f>AVERAGE('29.07 Ntinda-Naalya'!E57,'30.07 Ntinda-Naalya'!E57,'31.07 Ntinda-Naalya'!E57,'02.08 Ntinda-Naalya'!E57,'01.08 Ntinda-Naalya 24h'!E57,'03.08 Ntinda-Naalya 24h'!E57,'04.08 Ntinda-Naalya'!E57)</f>
        <v>2.8571428571428572</v>
      </c>
      <c r="F57" s="49">
        <f>AVERAGE('29.07 Ntinda-Naalya'!F57,'30.07 Ntinda-Naalya'!F57,'31.07 Ntinda-Naalya'!F57,'02.08 Ntinda-Naalya'!F57,'01.08 Ntinda-Naalya 24h'!F57,'03.08 Ntinda-Naalya 24h'!F57,'04.08 Ntinda-Naalya'!F57)</f>
        <v>5.5714285714285712</v>
      </c>
      <c r="G57" s="49">
        <f>AVERAGE('29.07 Ntinda-Naalya'!G57,'30.07 Ntinda-Naalya'!G57,'31.07 Ntinda-Naalya'!G57,'02.08 Ntinda-Naalya'!G57,'01.08 Ntinda-Naalya 24h'!G57,'03.08 Ntinda-Naalya 24h'!G57,'04.08 Ntinda-Naalya'!G57)</f>
        <v>1.5714285714285714</v>
      </c>
      <c r="H57" s="49">
        <f>AVERAGE('29.07 Ntinda-Naalya'!H57,'30.07 Ntinda-Naalya'!H57,'31.07 Ntinda-Naalya'!H57,'02.08 Ntinda-Naalya'!H57,'01.08 Ntinda-Naalya 24h'!H57,'03.08 Ntinda-Naalya 24h'!H57,'04.08 Ntinda-Naalya'!H57)</f>
        <v>0.42857142857142855</v>
      </c>
      <c r="I57" s="49">
        <f>AVERAGE('29.07 Ntinda-Naalya'!I57,'30.07 Ntinda-Naalya'!I57,'31.07 Ntinda-Naalya'!I57,'02.08 Ntinda-Naalya'!I57,'01.08 Ntinda-Naalya 24h'!I57,'03.08 Ntinda-Naalya 24h'!I57,'04.08 Ntinda-Naalya'!I57)</f>
        <v>2.2857142857142856</v>
      </c>
      <c r="J57" s="49">
        <f>AVERAGE('29.07 Ntinda-Naalya'!J57,'30.07 Ntinda-Naalya'!J57,'31.07 Ntinda-Naalya'!J57,'02.08 Ntinda-Naalya'!J57,'01.08 Ntinda-Naalya 24h'!J57,'03.08 Ntinda-Naalya 24h'!J57,'04.08 Ntinda-Naalya'!J57)</f>
        <v>1.8571428571428572</v>
      </c>
      <c r="K57" s="49">
        <f>AVERAGE('29.07 Ntinda-Naalya'!K57,'30.07 Ntinda-Naalya'!K57,'31.07 Ntinda-Naalya'!K57,'02.08 Ntinda-Naalya'!K57,'01.08 Ntinda-Naalya 24h'!K57,'03.08 Ntinda-Naalya 24h'!K57,'04.08 Ntinda-Naalya'!K57)</f>
        <v>0.42857142857142855</v>
      </c>
      <c r="L57" s="49">
        <f>AVERAGE('29.07 Ntinda-Naalya'!L57,'30.07 Ntinda-Naalya'!L57,'31.07 Ntinda-Naalya'!L57,'02.08 Ntinda-Naalya'!L57,'01.08 Ntinda-Naalya 24h'!L57,'03.08 Ntinda-Naalya 24h'!L57,'04.08 Ntinda-Naalya'!L57)</f>
        <v>0</v>
      </c>
      <c r="M57" s="49">
        <f>AVERAGE('29.07 Ntinda-Naalya'!M57,'30.07 Ntinda-Naalya'!M57,'31.07 Ntinda-Naalya'!M57,'02.08 Ntinda-Naalya'!M57,'01.08 Ntinda-Naalya 24h'!M57,'03.08 Ntinda-Naalya 24h'!M57,'04.08 Ntinda-Naalya'!M57)</f>
        <v>56.571428571428569</v>
      </c>
      <c r="N57" s="49">
        <f>AVERAGE('29.07 Ntinda-Naalya'!N57,'30.07 Ntinda-Naalya'!N57,'31.07 Ntinda-Naalya'!N57,'02.08 Ntinda-Naalya'!N57,'01.08 Ntinda-Naalya 24h'!N57,'03.08 Ntinda-Naalya 24h'!N57,'04.08 Ntinda-Naalya'!N57)</f>
        <v>0</v>
      </c>
      <c r="O57" s="15">
        <f t="shared" si="0"/>
        <v>167.71428571428572</v>
      </c>
      <c r="P57" s="15">
        <f t="shared" si="1"/>
        <v>224.28571428571428</v>
      </c>
      <c r="R57" s="8"/>
      <c r="T57"/>
    </row>
    <row r="58" spans="2:20" ht="23.1" customHeight="1" x14ac:dyDescent="0.25">
      <c r="B58" s="23" t="s">
        <v>99</v>
      </c>
      <c r="C58" s="49">
        <f>AVERAGE('01.08 Ntinda-Naalya 24h'!C58,'03.08 Ntinda-Naalya 24h'!C58)</f>
        <v>149</v>
      </c>
      <c r="D58" s="49">
        <f>AVERAGE('01.08 Ntinda-Naalya 24h'!D58,'03.08 Ntinda-Naalya 24h'!D58)</f>
        <v>21.5</v>
      </c>
      <c r="E58" s="49">
        <f>AVERAGE('01.08 Ntinda-Naalya 24h'!E58,'03.08 Ntinda-Naalya 24h'!E58)</f>
        <v>2.5</v>
      </c>
      <c r="F58" s="49">
        <f>AVERAGE('01.08 Ntinda-Naalya 24h'!F58,'03.08 Ntinda-Naalya 24h'!F58)</f>
        <v>7.5</v>
      </c>
      <c r="G58" s="49">
        <f>AVERAGE('01.08 Ntinda-Naalya 24h'!G58,'03.08 Ntinda-Naalya 24h'!G58)</f>
        <v>0.5</v>
      </c>
      <c r="H58" s="49">
        <f>AVERAGE('01.08 Ntinda-Naalya 24h'!H58,'03.08 Ntinda-Naalya 24h'!H58)</f>
        <v>1</v>
      </c>
      <c r="I58" s="49">
        <f>AVERAGE('01.08 Ntinda-Naalya 24h'!I58,'03.08 Ntinda-Naalya 24h'!I58)</f>
        <v>1.5</v>
      </c>
      <c r="J58" s="49">
        <f>AVERAGE('01.08 Ntinda-Naalya 24h'!J58,'03.08 Ntinda-Naalya 24h'!J58)</f>
        <v>0.5</v>
      </c>
      <c r="K58" s="49">
        <f>AVERAGE('01.08 Ntinda-Naalya 24h'!K58,'03.08 Ntinda-Naalya 24h'!K58)</f>
        <v>0</v>
      </c>
      <c r="L58" s="49">
        <f>AVERAGE('01.08 Ntinda-Naalya 24h'!L58,'03.08 Ntinda-Naalya 24h'!L58)</f>
        <v>0.5</v>
      </c>
      <c r="M58" s="49">
        <f>AVERAGE('01.08 Ntinda-Naalya 24h'!M58,'03.08 Ntinda-Naalya 24h'!M58)</f>
        <v>76.5</v>
      </c>
      <c r="N58" s="49">
        <f>AVERAGE('01.08 Ntinda-Naalya 24h'!N58,'03.08 Ntinda-Naalya 24h'!N58)</f>
        <v>0</v>
      </c>
      <c r="O58" s="15">
        <f t="shared" si="0"/>
        <v>184.5</v>
      </c>
      <c r="P58" s="15">
        <f t="shared" si="1"/>
        <v>261</v>
      </c>
      <c r="R58" s="8"/>
      <c r="T58"/>
    </row>
    <row r="59" spans="2:20" ht="23.1" customHeight="1" x14ac:dyDescent="0.25">
      <c r="B59" s="23" t="s">
        <v>100</v>
      </c>
      <c r="C59" s="49">
        <f>AVERAGE('01.08 Ntinda-Naalya 24h'!C59,'03.08 Ntinda-Naalya 24h'!C59)</f>
        <v>108</v>
      </c>
      <c r="D59" s="49">
        <f>AVERAGE('01.08 Ntinda-Naalya 24h'!D59,'03.08 Ntinda-Naalya 24h'!D59)</f>
        <v>31.5</v>
      </c>
      <c r="E59" s="49">
        <f>AVERAGE('01.08 Ntinda-Naalya 24h'!E59,'03.08 Ntinda-Naalya 24h'!E59)</f>
        <v>1.5</v>
      </c>
      <c r="F59" s="49">
        <f>AVERAGE('01.08 Ntinda-Naalya 24h'!F59,'03.08 Ntinda-Naalya 24h'!F59)</f>
        <v>5</v>
      </c>
      <c r="G59" s="49">
        <f>AVERAGE('01.08 Ntinda-Naalya 24h'!G59,'03.08 Ntinda-Naalya 24h'!G59)</f>
        <v>0</v>
      </c>
      <c r="H59" s="49">
        <f>AVERAGE('01.08 Ntinda-Naalya 24h'!H59,'03.08 Ntinda-Naalya 24h'!H59)</f>
        <v>0</v>
      </c>
      <c r="I59" s="49">
        <f>AVERAGE('01.08 Ntinda-Naalya 24h'!I59,'03.08 Ntinda-Naalya 24h'!I59)</f>
        <v>2</v>
      </c>
      <c r="J59" s="49">
        <f>AVERAGE('01.08 Ntinda-Naalya 24h'!J59,'03.08 Ntinda-Naalya 24h'!J59)</f>
        <v>0.5</v>
      </c>
      <c r="K59" s="49">
        <f>AVERAGE('01.08 Ntinda-Naalya 24h'!K59,'03.08 Ntinda-Naalya 24h'!K59)</f>
        <v>0.5</v>
      </c>
      <c r="L59" s="49">
        <f>AVERAGE('01.08 Ntinda-Naalya 24h'!L59,'03.08 Ntinda-Naalya 24h'!L59)</f>
        <v>0.5</v>
      </c>
      <c r="M59" s="49">
        <f>AVERAGE('01.08 Ntinda-Naalya 24h'!M59,'03.08 Ntinda-Naalya 24h'!M59)</f>
        <v>93</v>
      </c>
      <c r="N59" s="49">
        <f>AVERAGE('01.08 Ntinda-Naalya 24h'!N59,'03.08 Ntinda-Naalya 24h'!N59)</f>
        <v>0</v>
      </c>
      <c r="O59" s="15">
        <f t="shared" ref="O59:O105" si="35">SUM(C59:L59,N59)</f>
        <v>149.5</v>
      </c>
      <c r="P59" s="15">
        <f t="shared" ref="P59:P105" si="36">SUM(C59:N59)</f>
        <v>242.5</v>
      </c>
      <c r="R59" s="8"/>
      <c r="T59"/>
    </row>
    <row r="60" spans="2:20" ht="23.1" customHeight="1" x14ac:dyDescent="0.25">
      <c r="B60" s="23" t="s">
        <v>101</v>
      </c>
      <c r="C60" s="49">
        <f>AVERAGE('01.08 Ntinda-Naalya 24h'!C60,'03.08 Ntinda-Naalya 24h'!C60)</f>
        <v>95</v>
      </c>
      <c r="D60" s="49">
        <f>AVERAGE('01.08 Ntinda-Naalya 24h'!D60,'03.08 Ntinda-Naalya 24h'!D60)</f>
        <v>20</v>
      </c>
      <c r="E60" s="49">
        <f>AVERAGE('01.08 Ntinda-Naalya 24h'!E60,'03.08 Ntinda-Naalya 24h'!E60)</f>
        <v>9</v>
      </c>
      <c r="F60" s="49">
        <f>AVERAGE('01.08 Ntinda-Naalya 24h'!F60,'03.08 Ntinda-Naalya 24h'!F60)</f>
        <v>6.5</v>
      </c>
      <c r="G60" s="49">
        <f>AVERAGE('01.08 Ntinda-Naalya 24h'!G60,'03.08 Ntinda-Naalya 24h'!G60)</f>
        <v>0</v>
      </c>
      <c r="H60" s="49">
        <f>AVERAGE('01.08 Ntinda-Naalya 24h'!H60,'03.08 Ntinda-Naalya 24h'!H60)</f>
        <v>0</v>
      </c>
      <c r="I60" s="49">
        <f>AVERAGE('01.08 Ntinda-Naalya 24h'!I60,'03.08 Ntinda-Naalya 24h'!I60)</f>
        <v>1</v>
      </c>
      <c r="J60" s="49">
        <f>AVERAGE('01.08 Ntinda-Naalya 24h'!J60,'03.08 Ntinda-Naalya 24h'!J60)</f>
        <v>0</v>
      </c>
      <c r="K60" s="49">
        <f>AVERAGE('01.08 Ntinda-Naalya 24h'!K60,'03.08 Ntinda-Naalya 24h'!K60)</f>
        <v>0.5</v>
      </c>
      <c r="L60" s="49">
        <f>AVERAGE('01.08 Ntinda-Naalya 24h'!L60,'03.08 Ntinda-Naalya 24h'!L60)</f>
        <v>0</v>
      </c>
      <c r="M60" s="49">
        <f>AVERAGE('01.08 Ntinda-Naalya 24h'!M60,'03.08 Ntinda-Naalya 24h'!M60)</f>
        <v>75.5</v>
      </c>
      <c r="N60" s="49">
        <f>AVERAGE('01.08 Ntinda-Naalya 24h'!N60,'03.08 Ntinda-Naalya 24h'!N60)</f>
        <v>0</v>
      </c>
      <c r="O60" s="15">
        <f t="shared" si="35"/>
        <v>132</v>
      </c>
      <c r="P60" s="15">
        <f t="shared" si="36"/>
        <v>207.5</v>
      </c>
      <c r="R60" s="8"/>
      <c r="T60"/>
    </row>
    <row r="61" spans="2:20" ht="23.1" customHeight="1" x14ac:dyDescent="0.25">
      <c r="B61" s="23" t="s">
        <v>102</v>
      </c>
      <c r="C61" s="49">
        <f>AVERAGE('01.08 Ntinda-Naalya 24h'!C61,'03.08 Ntinda-Naalya 24h'!C61)</f>
        <v>136.5</v>
      </c>
      <c r="D61" s="49">
        <f>AVERAGE('01.08 Ntinda-Naalya 24h'!D61,'03.08 Ntinda-Naalya 24h'!D61)</f>
        <v>29</v>
      </c>
      <c r="E61" s="49">
        <f>AVERAGE('01.08 Ntinda-Naalya 24h'!E61,'03.08 Ntinda-Naalya 24h'!E61)</f>
        <v>12</v>
      </c>
      <c r="F61" s="49">
        <f>AVERAGE('01.08 Ntinda-Naalya 24h'!F61,'03.08 Ntinda-Naalya 24h'!F61)</f>
        <v>12.5</v>
      </c>
      <c r="G61" s="49">
        <f>AVERAGE('01.08 Ntinda-Naalya 24h'!G61,'03.08 Ntinda-Naalya 24h'!G61)</f>
        <v>0</v>
      </c>
      <c r="H61" s="49">
        <f>AVERAGE('01.08 Ntinda-Naalya 24h'!H61,'03.08 Ntinda-Naalya 24h'!H61)</f>
        <v>0.5</v>
      </c>
      <c r="I61" s="49">
        <f>AVERAGE('01.08 Ntinda-Naalya 24h'!I61,'03.08 Ntinda-Naalya 24h'!I61)</f>
        <v>1.5</v>
      </c>
      <c r="J61" s="49">
        <f>AVERAGE('01.08 Ntinda-Naalya 24h'!J61,'03.08 Ntinda-Naalya 24h'!J61)</f>
        <v>1</v>
      </c>
      <c r="K61" s="49">
        <f>AVERAGE('01.08 Ntinda-Naalya 24h'!K61,'03.08 Ntinda-Naalya 24h'!K61)</f>
        <v>0.5</v>
      </c>
      <c r="L61" s="49">
        <f>AVERAGE('01.08 Ntinda-Naalya 24h'!L61,'03.08 Ntinda-Naalya 24h'!L61)</f>
        <v>0</v>
      </c>
      <c r="M61" s="49">
        <f>AVERAGE('01.08 Ntinda-Naalya 24h'!M61,'03.08 Ntinda-Naalya 24h'!M61)</f>
        <v>99</v>
      </c>
      <c r="N61" s="49">
        <f>AVERAGE('01.08 Ntinda-Naalya 24h'!N61,'03.08 Ntinda-Naalya 24h'!N61)</f>
        <v>0</v>
      </c>
      <c r="O61" s="15">
        <f t="shared" si="35"/>
        <v>193.5</v>
      </c>
      <c r="P61" s="15">
        <f t="shared" si="36"/>
        <v>292.5</v>
      </c>
      <c r="R61" s="8"/>
      <c r="T61"/>
    </row>
    <row r="62" spans="2:20" ht="23.1" customHeight="1" x14ac:dyDescent="0.25">
      <c r="B62" s="23" t="s">
        <v>107</v>
      </c>
      <c r="C62" s="49">
        <f>AVERAGE('01.08 Ntinda-Naalya 24h'!C62,'03.08 Ntinda-Naalya 24h'!C62)</f>
        <v>71.5</v>
      </c>
      <c r="D62" s="49">
        <f>AVERAGE('01.08 Ntinda-Naalya 24h'!D62,'03.08 Ntinda-Naalya 24h'!D62)</f>
        <v>24</v>
      </c>
      <c r="E62" s="49">
        <f>AVERAGE('01.08 Ntinda-Naalya 24h'!E62,'03.08 Ntinda-Naalya 24h'!E62)</f>
        <v>8.5</v>
      </c>
      <c r="F62" s="49">
        <f>AVERAGE('01.08 Ntinda-Naalya 24h'!F62,'03.08 Ntinda-Naalya 24h'!F62)</f>
        <v>16</v>
      </c>
      <c r="G62" s="49">
        <f>AVERAGE('01.08 Ntinda-Naalya 24h'!G62,'03.08 Ntinda-Naalya 24h'!G62)</f>
        <v>0</v>
      </c>
      <c r="H62" s="49">
        <f>AVERAGE('01.08 Ntinda-Naalya 24h'!H62,'03.08 Ntinda-Naalya 24h'!H62)</f>
        <v>0.5</v>
      </c>
      <c r="I62" s="49">
        <f>AVERAGE('01.08 Ntinda-Naalya 24h'!I62,'03.08 Ntinda-Naalya 24h'!I62)</f>
        <v>0.5</v>
      </c>
      <c r="J62" s="49">
        <f>AVERAGE('01.08 Ntinda-Naalya 24h'!J62,'03.08 Ntinda-Naalya 24h'!J62)</f>
        <v>1</v>
      </c>
      <c r="K62" s="49">
        <f>AVERAGE('01.08 Ntinda-Naalya 24h'!K62,'03.08 Ntinda-Naalya 24h'!K62)</f>
        <v>0</v>
      </c>
      <c r="L62" s="49">
        <f>AVERAGE('01.08 Ntinda-Naalya 24h'!L62,'03.08 Ntinda-Naalya 24h'!L62)</f>
        <v>0</v>
      </c>
      <c r="M62" s="49">
        <f>AVERAGE('01.08 Ntinda-Naalya 24h'!M62,'03.08 Ntinda-Naalya 24h'!M62)</f>
        <v>99.5</v>
      </c>
      <c r="N62" s="49">
        <f>AVERAGE('01.08 Ntinda-Naalya 24h'!N62,'03.08 Ntinda-Naalya 24h'!N62)</f>
        <v>0</v>
      </c>
      <c r="O62" s="15">
        <f t="shared" si="35"/>
        <v>122</v>
      </c>
      <c r="P62" s="15">
        <f t="shared" si="36"/>
        <v>221.5</v>
      </c>
      <c r="R62" s="8"/>
      <c r="T62"/>
    </row>
    <row r="63" spans="2:20" ht="23.1" customHeight="1" x14ac:dyDescent="0.25">
      <c r="B63" s="23" t="s">
        <v>108</v>
      </c>
      <c r="C63" s="49">
        <f>AVERAGE('01.08 Ntinda-Naalya 24h'!C63,'03.08 Ntinda-Naalya 24h'!C63)</f>
        <v>139</v>
      </c>
      <c r="D63" s="49">
        <f>AVERAGE('01.08 Ntinda-Naalya 24h'!D63,'03.08 Ntinda-Naalya 24h'!D63)</f>
        <v>16.5</v>
      </c>
      <c r="E63" s="49">
        <f>AVERAGE('01.08 Ntinda-Naalya 24h'!E63,'03.08 Ntinda-Naalya 24h'!E63)</f>
        <v>4</v>
      </c>
      <c r="F63" s="49">
        <f>AVERAGE('01.08 Ntinda-Naalya 24h'!F63,'03.08 Ntinda-Naalya 24h'!F63)</f>
        <v>22</v>
      </c>
      <c r="G63" s="49">
        <f>AVERAGE('01.08 Ntinda-Naalya 24h'!G63,'03.08 Ntinda-Naalya 24h'!G63)</f>
        <v>1.5</v>
      </c>
      <c r="H63" s="49">
        <f>AVERAGE('01.08 Ntinda-Naalya 24h'!H63,'03.08 Ntinda-Naalya 24h'!H63)</f>
        <v>0</v>
      </c>
      <c r="I63" s="49">
        <f>AVERAGE('01.08 Ntinda-Naalya 24h'!I63,'03.08 Ntinda-Naalya 24h'!I63)</f>
        <v>1</v>
      </c>
      <c r="J63" s="49">
        <f>AVERAGE('01.08 Ntinda-Naalya 24h'!J63,'03.08 Ntinda-Naalya 24h'!J63)</f>
        <v>0</v>
      </c>
      <c r="K63" s="49">
        <f>AVERAGE('01.08 Ntinda-Naalya 24h'!K63,'03.08 Ntinda-Naalya 24h'!K63)</f>
        <v>0.5</v>
      </c>
      <c r="L63" s="49">
        <f>AVERAGE('01.08 Ntinda-Naalya 24h'!L63,'03.08 Ntinda-Naalya 24h'!L63)</f>
        <v>0.5</v>
      </c>
      <c r="M63" s="49">
        <f>AVERAGE('01.08 Ntinda-Naalya 24h'!M63,'03.08 Ntinda-Naalya 24h'!M63)</f>
        <v>118.5</v>
      </c>
      <c r="N63" s="49">
        <f>AVERAGE('01.08 Ntinda-Naalya 24h'!N63,'03.08 Ntinda-Naalya 24h'!N63)</f>
        <v>0</v>
      </c>
      <c r="O63" s="15">
        <f t="shared" si="35"/>
        <v>185</v>
      </c>
      <c r="P63" s="15">
        <f t="shared" si="36"/>
        <v>303.5</v>
      </c>
      <c r="R63" s="8"/>
      <c r="T63"/>
    </row>
    <row r="64" spans="2:20" ht="23.1" customHeight="1" x14ac:dyDescent="0.25">
      <c r="B64" s="23" t="s">
        <v>109</v>
      </c>
      <c r="C64" s="49">
        <f>AVERAGE('01.08 Ntinda-Naalya 24h'!C64,'03.08 Ntinda-Naalya 24h'!C64)</f>
        <v>105.5</v>
      </c>
      <c r="D64" s="49">
        <f>AVERAGE('01.08 Ntinda-Naalya 24h'!D64,'03.08 Ntinda-Naalya 24h'!D64)</f>
        <v>26</v>
      </c>
      <c r="E64" s="49">
        <f>AVERAGE('01.08 Ntinda-Naalya 24h'!E64,'03.08 Ntinda-Naalya 24h'!E64)</f>
        <v>5</v>
      </c>
      <c r="F64" s="49">
        <f>AVERAGE('01.08 Ntinda-Naalya 24h'!F64,'03.08 Ntinda-Naalya 24h'!F64)</f>
        <v>3</v>
      </c>
      <c r="G64" s="49">
        <f>AVERAGE('01.08 Ntinda-Naalya 24h'!G64,'03.08 Ntinda-Naalya 24h'!G64)</f>
        <v>0</v>
      </c>
      <c r="H64" s="49">
        <f>AVERAGE('01.08 Ntinda-Naalya 24h'!H64,'03.08 Ntinda-Naalya 24h'!H64)</f>
        <v>0</v>
      </c>
      <c r="I64" s="49">
        <f>AVERAGE('01.08 Ntinda-Naalya 24h'!I64,'03.08 Ntinda-Naalya 24h'!I64)</f>
        <v>0.5</v>
      </c>
      <c r="J64" s="49">
        <f>AVERAGE('01.08 Ntinda-Naalya 24h'!J64,'03.08 Ntinda-Naalya 24h'!J64)</f>
        <v>0</v>
      </c>
      <c r="K64" s="49">
        <f>AVERAGE('01.08 Ntinda-Naalya 24h'!K64,'03.08 Ntinda-Naalya 24h'!K64)</f>
        <v>0</v>
      </c>
      <c r="L64" s="49">
        <f>AVERAGE('01.08 Ntinda-Naalya 24h'!L64,'03.08 Ntinda-Naalya 24h'!L64)</f>
        <v>0</v>
      </c>
      <c r="M64" s="49">
        <f>AVERAGE('01.08 Ntinda-Naalya 24h'!M64,'03.08 Ntinda-Naalya 24h'!M64)</f>
        <v>94</v>
      </c>
      <c r="N64" s="49">
        <f>AVERAGE('01.08 Ntinda-Naalya 24h'!N64,'03.08 Ntinda-Naalya 24h'!N64)</f>
        <v>0</v>
      </c>
      <c r="O64" s="15">
        <f t="shared" si="35"/>
        <v>140</v>
      </c>
      <c r="P64" s="15">
        <f t="shared" si="36"/>
        <v>234</v>
      </c>
      <c r="R64" s="8"/>
      <c r="T64"/>
    </row>
    <row r="65" spans="2:20" ht="23.1" customHeight="1" x14ac:dyDescent="0.25">
      <c r="B65" s="23" t="s">
        <v>158</v>
      </c>
      <c r="C65" s="49">
        <f>AVERAGE('01.08 Ntinda-Naalya 24h'!C65,'03.08 Ntinda-Naalya 24h'!C65)</f>
        <v>84.5</v>
      </c>
      <c r="D65" s="49">
        <f>AVERAGE('01.08 Ntinda-Naalya 24h'!D65,'03.08 Ntinda-Naalya 24h'!D65)</f>
        <v>26.5</v>
      </c>
      <c r="E65" s="49">
        <f>AVERAGE('01.08 Ntinda-Naalya 24h'!E65,'03.08 Ntinda-Naalya 24h'!E65)</f>
        <v>4.5</v>
      </c>
      <c r="F65" s="49">
        <f>AVERAGE('01.08 Ntinda-Naalya 24h'!F65,'03.08 Ntinda-Naalya 24h'!F65)</f>
        <v>4.5</v>
      </c>
      <c r="G65" s="49">
        <f>AVERAGE('01.08 Ntinda-Naalya 24h'!G65,'03.08 Ntinda-Naalya 24h'!G65)</f>
        <v>0</v>
      </c>
      <c r="H65" s="49">
        <f>AVERAGE('01.08 Ntinda-Naalya 24h'!H65,'03.08 Ntinda-Naalya 24h'!H65)</f>
        <v>0</v>
      </c>
      <c r="I65" s="49">
        <f>AVERAGE('01.08 Ntinda-Naalya 24h'!I65,'03.08 Ntinda-Naalya 24h'!I65)</f>
        <v>1.5</v>
      </c>
      <c r="J65" s="49">
        <f>AVERAGE('01.08 Ntinda-Naalya 24h'!J65,'03.08 Ntinda-Naalya 24h'!J65)</f>
        <v>0.5</v>
      </c>
      <c r="K65" s="49">
        <f>AVERAGE('01.08 Ntinda-Naalya 24h'!K65,'03.08 Ntinda-Naalya 24h'!K65)</f>
        <v>0</v>
      </c>
      <c r="L65" s="49">
        <f>AVERAGE('01.08 Ntinda-Naalya 24h'!L65,'03.08 Ntinda-Naalya 24h'!L65)</f>
        <v>0</v>
      </c>
      <c r="M65" s="49">
        <f>AVERAGE('01.08 Ntinda-Naalya 24h'!M65,'03.08 Ntinda-Naalya 24h'!M65)</f>
        <v>84</v>
      </c>
      <c r="N65" s="49">
        <f>AVERAGE('01.08 Ntinda-Naalya 24h'!N65,'03.08 Ntinda-Naalya 24h'!N65)</f>
        <v>0</v>
      </c>
      <c r="O65" s="15">
        <f t="shared" si="35"/>
        <v>122</v>
      </c>
      <c r="P65" s="15">
        <f t="shared" si="36"/>
        <v>206</v>
      </c>
      <c r="R65" s="8"/>
      <c r="T65"/>
    </row>
    <row r="66" spans="2:20" ht="23.1" customHeight="1" x14ac:dyDescent="0.25">
      <c r="B66" s="23" t="s">
        <v>103</v>
      </c>
      <c r="C66" s="49">
        <f>AVERAGE('01.08 Ntinda-Naalya 24h'!C66,'03.08 Ntinda-Naalya 24h'!C66)</f>
        <v>125</v>
      </c>
      <c r="D66" s="49">
        <f>AVERAGE('01.08 Ntinda-Naalya 24h'!D66,'03.08 Ntinda-Naalya 24h'!D66)</f>
        <v>37.5</v>
      </c>
      <c r="E66" s="49">
        <f>AVERAGE('01.08 Ntinda-Naalya 24h'!E66,'03.08 Ntinda-Naalya 24h'!E66)</f>
        <v>3</v>
      </c>
      <c r="F66" s="49">
        <f>AVERAGE('01.08 Ntinda-Naalya 24h'!F66,'03.08 Ntinda-Naalya 24h'!F66)</f>
        <v>3.5</v>
      </c>
      <c r="G66" s="49">
        <f>AVERAGE('01.08 Ntinda-Naalya 24h'!G66,'03.08 Ntinda-Naalya 24h'!G66)</f>
        <v>0.5</v>
      </c>
      <c r="H66" s="49">
        <f>AVERAGE('01.08 Ntinda-Naalya 24h'!H66,'03.08 Ntinda-Naalya 24h'!H66)</f>
        <v>0</v>
      </c>
      <c r="I66" s="49">
        <f>AVERAGE('01.08 Ntinda-Naalya 24h'!I66,'03.08 Ntinda-Naalya 24h'!I66)</f>
        <v>0</v>
      </c>
      <c r="J66" s="49">
        <f>AVERAGE('01.08 Ntinda-Naalya 24h'!J66,'03.08 Ntinda-Naalya 24h'!J66)</f>
        <v>0.5</v>
      </c>
      <c r="K66" s="49">
        <f>AVERAGE('01.08 Ntinda-Naalya 24h'!K66,'03.08 Ntinda-Naalya 24h'!K66)</f>
        <v>0.5</v>
      </c>
      <c r="L66" s="49">
        <f>AVERAGE('01.08 Ntinda-Naalya 24h'!L66,'03.08 Ntinda-Naalya 24h'!L66)</f>
        <v>0</v>
      </c>
      <c r="M66" s="49">
        <f>AVERAGE('01.08 Ntinda-Naalya 24h'!M66,'03.08 Ntinda-Naalya 24h'!M66)</f>
        <v>52.5</v>
      </c>
      <c r="N66" s="49">
        <f>AVERAGE('01.08 Ntinda-Naalya 24h'!N66,'03.08 Ntinda-Naalya 24h'!N66)</f>
        <v>0</v>
      </c>
      <c r="O66" s="15">
        <f t="shared" si="35"/>
        <v>170.5</v>
      </c>
      <c r="P66" s="15">
        <f t="shared" si="36"/>
        <v>223</v>
      </c>
      <c r="R66" s="8"/>
      <c r="T66"/>
    </row>
    <row r="67" spans="2:20" ht="23.1" customHeight="1" x14ac:dyDescent="0.25">
      <c r="B67" s="23" t="s">
        <v>104</v>
      </c>
      <c r="C67" s="49">
        <f>AVERAGE('01.08 Ntinda-Naalya 24h'!C67,'03.08 Ntinda-Naalya 24h'!C67)</f>
        <v>120</v>
      </c>
      <c r="D67" s="49">
        <f>AVERAGE('01.08 Ntinda-Naalya 24h'!D67,'03.08 Ntinda-Naalya 24h'!D67)</f>
        <v>27</v>
      </c>
      <c r="E67" s="49">
        <f>AVERAGE('01.08 Ntinda-Naalya 24h'!E67,'03.08 Ntinda-Naalya 24h'!E67)</f>
        <v>16.5</v>
      </c>
      <c r="F67" s="49">
        <f>AVERAGE('01.08 Ntinda-Naalya 24h'!F67,'03.08 Ntinda-Naalya 24h'!F67)</f>
        <v>6</v>
      </c>
      <c r="G67" s="49">
        <f>AVERAGE('01.08 Ntinda-Naalya 24h'!G67,'03.08 Ntinda-Naalya 24h'!G67)</f>
        <v>0</v>
      </c>
      <c r="H67" s="49">
        <f>AVERAGE('01.08 Ntinda-Naalya 24h'!H67,'03.08 Ntinda-Naalya 24h'!H67)</f>
        <v>0</v>
      </c>
      <c r="I67" s="49">
        <f>AVERAGE('01.08 Ntinda-Naalya 24h'!I67,'03.08 Ntinda-Naalya 24h'!I67)</f>
        <v>0.5</v>
      </c>
      <c r="J67" s="49">
        <f>AVERAGE('01.08 Ntinda-Naalya 24h'!J67,'03.08 Ntinda-Naalya 24h'!J67)</f>
        <v>1</v>
      </c>
      <c r="K67" s="49">
        <f>AVERAGE('01.08 Ntinda-Naalya 24h'!K67,'03.08 Ntinda-Naalya 24h'!K67)</f>
        <v>0</v>
      </c>
      <c r="L67" s="49">
        <f>AVERAGE('01.08 Ntinda-Naalya 24h'!L67,'03.08 Ntinda-Naalya 24h'!L67)</f>
        <v>0</v>
      </c>
      <c r="M67" s="49">
        <f>AVERAGE('01.08 Ntinda-Naalya 24h'!M67,'03.08 Ntinda-Naalya 24h'!M67)</f>
        <v>42.5</v>
      </c>
      <c r="N67" s="49">
        <f>AVERAGE('01.08 Ntinda-Naalya 24h'!N67,'03.08 Ntinda-Naalya 24h'!N67)</f>
        <v>0</v>
      </c>
      <c r="O67" s="15">
        <f t="shared" si="35"/>
        <v>171</v>
      </c>
      <c r="P67" s="15">
        <f t="shared" si="36"/>
        <v>213.5</v>
      </c>
      <c r="R67" s="8"/>
      <c r="T67"/>
    </row>
    <row r="68" spans="2:20" ht="23.1" customHeight="1" x14ac:dyDescent="0.25">
      <c r="B68" s="23" t="s">
        <v>105</v>
      </c>
      <c r="C68" s="49">
        <f>AVERAGE('01.08 Ntinda-Naalya 24h'!C68,'03.08 Ntinda-Naalya 24h'!C68)</f>
        <v>117.5</v>
      </c>
      <c r="D68" s="49">
        <f>AVERAGE('01.08 Ntinda-Naalya 24h'!D68,'03.08 Ntinda-Naalya 24h'!D68)</f>
        <v>23</v>
      </c>
      <c r="E68" s="49">
        <f>AVERAGE('01.08 Ntinda-Naalya 24h'!E68,'03.08 Ntinda-Naalya 24h'!E68)</f>
        <v>8.5</v>
      </c>
      <c r="F68" s="49">
        <f>AVERAGE('01.08 Ntinda-Naalya 24h'!F68,'03.08 Ntinda-Naalya 24h'!F68)</f>
        <v>4</v>
      </c>
      <c r="G68" s="49">
        <f>AVERAGE('01.08 Ntinda-Naalya 24h'!G68,'03.08 Ntinda-Naalya 24h'!G68)</f>
        <v>0.5</v>
      </c>
      <c r="H68" s="49">
        <f>AVERAGE('01.08 Ntinda-Naalya 24h'!H68,'03.08 Ntinda-Naalya 24h'!H68)</f>
        <v>0</v>
      </c>
      <c r="I68" s="49">
        <f>AVERAGE('01.08 Ntinda-Naalya 24h'!I68,'03.08 Ntinda-Naalya 24h'!I68)</f>
        <v>0.5</v>
      </c>
      <c r="J68" s="49">
        <f>AVERAGE('01.08 Ntinda-Naalya 24h'!J68,'03.08 Ntinda-Naalya 24h'!J68)</f>
        <v>0</v>
      </c>
      <c r="K68" s="49">
        <f>AVERAGE('01.08 Ntinda-Naalya 24h'!K68,'03.08 Ntinda-Naalya 24h'!K68)</f>
        <v>0</v>
      </c>
      <c r="L68" s="49">
        <f>AVERAGE('01.08 Ntinda-Naalya 24h'!L68,'03.08 Ntinda-Naalya 24h'!L68)</f>
        <v>0</v>
      </c>
      <c r="M68" s="49">
        <f>AVERAGE('01.08 Ntinda-Naalya 24h'!M68,'03.08 Ntinda-Naalya 24h'!M68)</f>
        <v>47</v>
      </c>
      <c r="N68" s="49">
        <f>AVERAGE('01.08 Ntinda-Naalya 24h'!N68,'03.08 Ntinda-Naalya 24h'!N68)</f>
        <v>0</v>
      </c>
      <c r="O68" s="15">
        <f t="shared" si="35"/>
        <v>154</v>
      </c>
      <c r="P68" s="15">
        <f t="shared" si="36"/>
        <v>201</v>
      </c>
      <c r="R68" s="8"/>
      <c r="T68"/>
    </row>
    <row r="69" spans="2:20" ht="23.1" customHeight="1" x14ac:dyDescent="0.25">
      <c r="B69" s="23" t="s">
        <v>106</v>
      </c>
      <c r="C69" s="49">
        <f>AVERAGE('01.08 Ntinda-Naalya 24h'!C69,'03.08 Ntinda-Naalya 24h'!C69)</f>
        <v>110</v>
      </c>
      <c r="D69" s="49">
        <f>AVERAGE('01.08 Ntinda-Naalya 24h'!D69,'03.08 Ntinda-Naalya 24h'!D69)</f>
        <v>21</v>
      </c>
      <c r="E69" s="49">
        <f>AVERAGE('01.08 Ntinda-Naalya 24h'!E69,'03.08 Ntinda-Naalya 24h'!E69)</f>
        <v>52.5</v>
      </c>
      <c r="F69" s="49">
        <f>AVERAGE('01.08 Ntinda-Naalya 24h'!F69,'03.08 Ntinda-Naalya 24h'!F69)</f>
        <v>5</v>
      </c>
      <c r="G69" s="49">
        <f>AVERAGE('01.08 Ntinda-Naalya 24h'!G69,'03.08 Ntinda-Naalya 24h'!G69)</f>
        <v>0</v>
      </c>
      <c r="H69" s="49">
        <f>AVERAGE('01.08 Ntinda-Naalya 24h'!H69,'03.08 Ntinda-Naalya 24h'!H69)</f>
        <v>0</v>
      </c>
      <c r="I69" s="49">
        <f>AVERAGE('01.08 Ntinda-Naalya 24h'!I69,'03.08 Ntinda-Naalya 24h'!I69)</f>
        <v>0.5</v>
      </c>
      <c r="J69" s="49">
        <f>AVERAGE('01.08 Ntinda-Naalya 24h'!J69,'03.08 Ntinda-Naalya 24h'!J69)</f>
        <v>1.5</v>
      </c>
      <c r="K69" s="49">
        <f>AVERAGE('01.08 Ntinda-Naalya 24h'!K69,'03.08 Ntinda-Naalya 24h'!K69)</f>
        <v>0</v>
      </c>
      <c r="L69" s="49">
        <f>AVERAGE('01.08 Ntinda-Naalya 24h'!L69,'03.08 Ntinda-Naalya 24h'!L69)</f>
        <v>0</v>
      </c>
      <c r="M69" s="49">
        <f>AVERAGE('01.08 Ntinda-Naalya 24h'!M69,'03.08 Ntinda-Naalya 24h'!M69)</f>
        <v>64</v>
      </c>
      <c r="N69" s="49">
        <f>AVERAGE('01.08 Ntinda-Naalya 24h'!N69,'03.08 Ntinda-Naalya 24h'!N69)</f>
        <v>0</v>
      </c>
      <c r="O69" s="15">
        <f t="shared" si="35"/>
        <v>190.5</v>
      </c>
      <c r="P69" s="15">
        <f t="shared" si="36"/>
        <v>254.5</v>
      </c>
      <c r="R69" s="8"/>
      <c r="T69"/>
    </row>
    <row r="70" spans="2:20" ht="23.1" customHeight="1" x14ac:dyDescent="0.25">
      <c r="B70" s="23" t="s">
        <v>110</v>
      </c>
      <c r="C70" s="49">
        <f>AVERAGE('01.08 Ntinda-Naalya 24h'!C70,'03.08 Ntinda-Naalya 24h'!C70)</f>
        <v>74.5</v>
      </c>
      <c r="D70" s="49">
        <f>AVERAGE('01.08 Ntinda-Naalya 24h'!D70,'03.08 Ntinda-Naalya 24h'!D70)</f>
        <v>13</v>
      </c>
      <c r="E70" s="49">
        <f>AVERAGE('01.08 Ntinda-Naalya 24h'!E70,'03.08 Ntinda-Naalya 24h'!E70)</f>
        <v>12</v>
      </c>
      <c r="F70" s="49">
        <f>AVERAGE('01.08 Ntinda-Naalya 24h'!F70,'03.08 Ntinda-Naalya 24h'!F70)</f>
        <v>2</v>
      </c>
      <c r="G70" s="49">
        <f>AVERAGE('01.08 Ntinda-Naalya 24h'!G70,'03.08 Ntinda-Naalya 24h'!G70)</f>
        <v>0</v>
      </c>
      <c r="H70" s="49">
        <f>AVERAGE('01.08 Ntinda-Naalya 24h'!H70,'03.08 Ntinda-Naalya 24h'!H70)</f>
        <v>0</v>
      </c>
      <c r="I70" s="49">
        <f>AVERAGE('01.08 Ntinda-Naalya 24h'!I70,'03.08 Ntinda-Naalya 24h'!I70)</f>
        <v>1</v>
      </c>
      <c r="J70" s="49">
        <f>AVERAGE('01.08 Ntinda-Naalya 24h'!J70,'03.08 Ntinda-Naalya 24h'!J70)</f>
        <v>0.5</v>
      </c>
      <c r="K70" s="49">
        <f>AVERAGE('01.08 Ntinda-Naalya 24h'!K70,'03.08 Ntinda-Naalya 24h'!K70)</f>
        <v>0.5</v>
      </c>
      <c r="L70" s="49">
        <f>AVERAGE('01.08 Ntinda-Naalya 24h'!L70,'03.08 Ntinda-Naalya 24h'!L70)</f>
        <v>0</v>
      </c>
      <c r="M70" s="49">
        <f>AVERAGE('01.08 Ntinda-Naalya 24h'!M70,'03.08 Ntinda-Naalya 24h'!M70)</f>
        <v>45</v>
      </c>
      <c r="N70" s="49">
        <f>AVERAGE('01.08 Ntinda-Naalya 24h'!N70,'03.08 Ntinda-Naalya 24h'!N70)</f>
        <v>0</v>
      </c>
      <c r="O70" s="15">
        <f t="shared" si="35"/>
        <v>103.5</v>
      </c>
      <c r="P70" s="15">
        <f t="shared" si="36"/>
        <v>148.5</v>
      </c>
      <c r="R70" s="8"/>
      <c r="T70"/>
    </row>
    <row r="71" spans="2:20" ht="23.1" customHeight="1" x14ac:dyDescent="0.25">
      <c r="B71" s="23" t="s">
        <v>111</v>
      </c>
      <c r="C71" s="49">
        <f>AVERAGE('01.08 Ntinda-Naalya 24h'!C71,'03.08 Ntinda-Naalya 24h'!C71)</f>
        <v>106</v>
      </c>
      <c r="D71" s="49">
        <f>AVERAGE('01.08 Ntinda-Naalya 24h'!D71,'03.08 Ntinda-Naalya 24h'!D71)</f>
        <v>12</v>
      </c>
      <c r="E71" s="49">
        <f>AVERAGE('01.08 Ntinda-Naalya 24h'!E71,'03.08 Ntinda-Naalya 24h'!E71)</f>
        <v>5</v>
      </c>
      <c r="F71" s="49">
        <f>AVERAGE('01.08 Ntinda-Naalya 24h'!F71,'03.08 Ntinda-Naalya 24h'!F71)</f>
        <v>1</v>
      </c>
      <c r="G71" s="49">
        <f>AVERAGE('01.08 Ntinda-Naalya 24h'!G71,'03.08 Ntinda-Naalya 24h'!G71)</f>
        <v>0.5</v>
      </c>
      <c r="H71" s="49">
        <f>AVERAGE('01.08 Ntinda-Naalya 24h'!H71,'03.08 Ntinda-Naalya 24h'!H71)</f>
        <v>0</v>
      </c>
      <c r="I71" s="49">
        <f>AVERAGE('01.08 Ntinda-Naalya 24h'!I71,'03.08 Ntinda-Naalya 24h'!I71)</f>
        <v>1.5</v>
      </c>
      <c r="J71" s="49">
        <f>AVERAGE('01.08 Ntinda-Naalya 24h'!J71,'03.08 Ntinda-Naalya 24h'!J71)</f>
        <v>0.5</v>
      </c>
      <c r="K71" s="49">
        <f>AVERAGE('01.08 Ntinda-Naalya 24h'!K71,'03.08 Ntinda-Naalya 24h'!K71)</f>
        <v>0</v>
      </c>
      <c r="L71" s="49">
        <f>AVERAGE('01.08 Ntinda-Naalya 24h'!L71,'03.08 Ntinda-Naalya 24h'!L71)</f>
        <v>0</v>
      </c>
      <c r="M71" s="49">
        <f>AVERAGE('01.08 Ntinda-Naalya 24h'!M71,'03.08 Ntinda-Naalya 24h'!M71)</f>
        <v>39</v>
      </c>
      <c r="N71" s="49">
        <f>AVERAGE('01.08 Ntinda-Naalya 24h'!N71,'03.08 Ntinda-Naalya 24h'!N71)</f>
        <v>0</v>
      </c>
      <c r="O71" s="15">
        <f t="shared" si="35"/>
        <v>126.5</v>
      </c>
      <c r="P71" s="15">
        <f t="shared" si="36"/>
        <v>165.5</v>
      </c>
      <c r="R71" s="8"/>
      <c r="T71"/>
    </row>
    <row r="72" spans="2:20" ht="23.1" customHeight="1" x14ac:dyDescent="0.25">
      <c r="B72" s="23" t="s">
        <v>112</v>
      </c>
      <c r="C72" s="49">
        <f>AVERAGE('01.08 Ntinda-Naalya 24h'!C72,'03.08 Ntinda-Naalya 24h'!C72)</f>
        <v>95</v>
      </c>
      <c r="D72" s="49">
        <f>AVERAGE('01.08 Ntinda-Naalya 24h'!D72,'03.08 Ntinda-Naalya 24h'!D72)</f>
        <v>9.5</v>
      </c>
      <c r="E72" s="49">
        <f>AVERAGE('01.08 Ntinda-Naalya 24h'!E72,'03.08 Ntinda-Naalya 24h'!E72)</f>
        <v>5.5</v>
      </c>
      <c r="F72" s="49">
        <f>AVERAGE('01.08 Ntinda-Naalya 24h'!F72,'03.08 Ntinda-Naalya 24h'!F72)</f>
        <v>1</v>
      </c>
      <c r="G72" s="49">
        <f>AVERAGE('01.08 Ntinda-Naalya 24h'!G72,'03.08 Ntinda-Naalya 24h'!G72)</f>
        <v>0</v>
      </c>
      <c r="H72" s="49">
        <f>AVERAGE('01.08 Ntinda-Naalya 24h'!H72,'03.08 Ntinda-Naalya 24h'!H72)</f>
        <v>0.5</v>
      </c>
      <c r="I72" s="49">
        <f>AVERAGE('01.08 Ntinda-Naalya 24h'!I72,'03.08 Ntinda-Naalya 24h'!I72)</f>
        <v>0.5</v>
      </c>
      <c r="J72" s="49">
        <f>AVERAGE('01.08 Ntinda-Naalya 24h'!J72,'03.08 Ntinda-Naalya 24h'!J72)</f>
        <v>0.5</v>
      </c>
      <c r="K72" s="49">
        <f>AVERAGE('01.08 Ntinda-Naalya 24h'!K72,'03.08 Ntinda-Naalya 24h'!K72)</f>
        <v>0</v>
      </c>
      <c r="L72" s="49">
        <f>AVERAGE('01.08 Ntinda-Naalya 24h'!L72,'03.08 Ntinda-Naalya 24h'!L72)</f>
        <v>0</v>
      </c>
      <c r="M72" s="49">
        <f>AVERAGE('01.08 Ntinda-Naalya 24h'!M72,'03.08 Ntinda-Naalya 24h'!M72)</f>
        <v>44.5</v>
      </c>
      <c r="N72" s="49">
        <f>AVERAGE('01.08 Ntinda-Naalya 24h'!N72,'03.08 Ntinda-Naalya 24h'!N72)</f>
        <v>0</v>
      </c>
      <c r="O72" s="15">
        <f t="shared" si="35"/>
        <v>112.5</v>
      </c>
      <c r="P72" s="15">
        <f t="shared" si="36"/>
        <v>157</v>
      </c>
      <c r="R72" s="8"/>
      <c r="T72"/>
    </row>
    <row r="73" spans="2:20" ht="23.1" customHeight="1" x14ac:dyDescent="0.25">
      <c r="B73" s="23" t="s">
        <v>113</v>
      </c>
      <c r="C73" s="49">
        <f>AVERAGE('01.08 Ntinda-Naalya 24h'!C73,'03.08 Ntinda-Naalya 24h'!C73)</f>
        <v>94.5</v>
      </c>
      <c r="D73" s="49">
        <f>AVERAGE('01.08 Ntinda-Naalya 24h'!D73,'03.08 Ntinda-Naalya 24h'!D73)</f>
        <v>27.5</v>
      </c>
      <c r="E73" s="49">
        <f>AVERAGE('01.08 Ntinda-Naalya 24h'!E73,'03.08 Ntinda-Naalya 24h'!E73)</f>
        <v>5.5</v>
      </c>
      <c r="F73" s="49">
        <f>AVERAGE('01.08 Ntinda-Naalya 24h'!F73,'03.08 Ntinda-Naalya 24h'!F73)</f>
        <v>2.5</v>
      </c>
      <c r="G73" s="49">
        <f>AVERAGE('01.08 Ntinda-Naalya 24h'!G73,'03.08 Ntinda-Naalya 24h'!G73)</f>
        <v>0</v>
      </c>
      <c r="H73" s="49">
        <f>AVERAGE('01.08 Ntinda-Naalya 24h'!H73,'03.08 Ntinda-Naalya 24h'!H73)</f>
        <v>0</v>
      </c>
      <c r="I73" s="49">
        <f>AVERAGE('01.08 Ntinda-Naalya 24h'!I73,'03.08 Ntinda-Naalya 24h'!I73)</f>
        <v>0.5</v>
      </c>
      <c r="J73" s="49">
        <f>AVERAGE('01.08 Ntinda-Naalya 24h'!J73,'03.08 Ntinda-Naalya 24h'!J73)</f>
        <v>0</v>
      </c>
      <c r="K73" s="49">
        <f>AVERAGE('01.08 Ntinda-Naalya 24h'!K73,'03.08 Ntinda-Naalya 24h'!K73)</f>
        <v>0.5</v>
      </c>
      <c r="L73" s="49">
        <f>AVERAGE('01.08 Ntinda-Naalya 24h'!L73,'03.08 Ntinda-Naalya 24h'!L73)</f>
        <v>0</v>
      </c>
      <c r="M73" s="49">
        <f>AVERAGE('01.08 Ntinda-Naalya 24h'!M73,'03.08 Ntinda-Naalya 24h'!M73)</f>
        <v>39.5</v>
      </c>
      <c r="N73" s="49">
        <f>AVERAGE('01.08 Ntinda-Naalya 24h'!N73,'03.08 Ntinda-Naalya 24h'!N73)</f>
        <v>0</v>
      </c>
      <c r="O73" s="15">
        <f t="shared" si="35"/>
        <v>131</v>
      </c>
      <c r="P73" s="15">
        <f t="shared" si="36"/>
        <v>170.5</v>
      </c>
      <c r="R73" s="8"/>
      <c r="T73"/>
    </row>
    <row r="74" spans="2:20" ht="23.1" customHeight="1" x14ac:dyDescent="0.25">
      <c r="B74" s="23" t="s">
        <v>114</v>
      </c>
      <c r="C74" s="49">
        <f>AVERAGE('01.08 Ntinda-Naalya 24h'!C74,'03.08 Ntinda-Naalya 24h'!C74)</f>
        <v>77.5</v>
      </c>
      <c r="D74" s="49">
        <f>AVERAGE('01.08 Ntinda-Naalya 24h'!D74,'03.08 Ntinda-Naalya 24h'!D74)</f>
        <v>11.5</v>
      </c>
      <c r="E74" s="49">
        <f>AVERAGE('01.08 Ntinda-Naalya 24h'!E74,'03.08 Ntinda-Naalya 24h'!E74)</f>
        <v>5</v>
      </c>
      <c r="F74" s="49">
        <f>AVERAGE('01.08 Ntinda-Naalya 24h'!F74,'03.08 Ntinda-Naalya 24h'!F74)</f>
        <v>2.5</v>
      </c>
      <c r="G74" s="49">
        <f>AVERAGE('01.08 Ntinda-Naalya 24h'!G74,'03.08 Ntinda-Naalya 24h'!G74)</f>
        <v>0</v>
      </c>
      <c r="H74" s="49">
        <f>AVERAGE('01.08 Ntinda-Naalya 24h'!H74,'03.08 Ntinda-Naalya 24h'!H74)</f>
        <v>0</v>
      </c>
      <c r="I74" s="49">
        <f>AVERAGE('01.08 Ntinda-Naalya 24h'!I74,'03.08 Ntinda-Naalya 24h'!I74)</f>
        <v>0</v>
      </c>
      <c r="J74" s="49">
        <f>AVERAGE('01.08 Ntinda-Naalya 24h'!J74,'03.08 Ntinda-Naalya 24h'!J74)</f>
        <v>0.5</v>
      </c>
      <c r="K74" s="49">
        <f>AVERAGE('01.08 Ntinda-Naalya 24h'!K74,'03.08 Ntinda-Naalya 24h'!K74)</f>
        <v>0</v>
      </c>
      <c r="L74" s="49">
        <f>AVERAGE('01.08 Ntinda-Naalya 24h'!L74,'03.08 Ntinda-Naalya 24h'!L74)</f>
        <v>0</v>
      </c>
      <c r="M74" s="49">
        <f>AVERAGE('01.08 Ntinda-Naalya 24h'!M74,'03.08 Ntinda-Naalya 24h'!M74)</f>
        <v>14.5</v>
      </c>
      <c r="N74" s="49">
        <f>AVERAGE('01.08 Ntinda-Naalya 24h'!N74,'03.08 Ntinda-Naalya 24h'!N74)</f>
        <v>0</v>
      </c>
      <c r="O74" s="15">
        <f t="shared" si="35"/>
        <v>97</v>
      </c>
      <c r="P74" s="15">
        <f t="shared" si="36"/>
        <v>111.5</v>
      </c>
      <c r="R74" s="8"/>
      <c r="T74"/>
    </row>
    <row r="75" spans="2:20" ht="23.1" customHeight="1" x14ac:dyDescent="0.25">
      <c r="B75" s="23" t="s">
        <v>115</v>
      </c>
      <c r="C75" s="49">
        <f>AVERAGE('01.08 Ntinda-Naalya 24h'!C75,'03.08 Ntinda-Naalya 24h'!C75)</f>
        <v>92.5</v>
      </c>
      <c r="D75" s="49">
        <f>AVERAGE('01.08 Ntinda-Naalya 24h'!D75,'03.08 Ntinda-Naalya 24h'!D75)</f>
        <v>17</v>
      </c>
      <c r="E75" s="49">
        <f>AVERAGE('01.08 Ntinda-Naalya 24h'!E75,'03.08 Ntinda-Naalya 24h'!E75)</f>
        <v>4</v>
      </c>
      <c r="F75" s="49">
        <f>AVERAGE('01.08 Ntinda-Naalya 24h'!F75,'03.08 Ntinda-Naalya 24h'!F75)</f>
        <v>2.5</v>
      </c>
      <c r="G75" s="49">
        <f>AVERAGE('01.08 Ntinda-Naalya 24h'!G75,'03.08 Ntinda-Naalya 24h'!G75)</f>
        <v>0</v>
      </c>
      <c r="H75" s="49">
        <f>AVERAGE('01.08 Ntinda-Naalya 24h'!H75,'03.08 Ntinda-Naalya 24h'!H75)</f>
        <v>0</v>
      </c>
      <c r="I75" s="49">
        <f>AVERAGE('01.08 Ntinda-Naalya 24h'!I75,'03.08 Ntinda-Naalya 24h'!I75)</f>
        <v>0.5</v>
      </c>
      <c r="J75" s="49">
        <f>AVERAGE('01.08 Ntinda-Naalya 24h'!J75,'03.08 Ntinda-Naalya 24h'!J75)</f>
        <v>0</v>
      </c>
      <c r="K75" s="49">
        <f>AVERAGE('01.08 Ntinda-Naalya 24h'!K75,'03.08 Ntinda-Naalya 24h'!K75)</f>
        <v>0</v>
      </c>
      <c r="L75" s="49">
        <f>AVERAGE('01.08 Ntinda-Naalya 24h'!L75,'03.08 Ntinda-Naalya 24h'!L75)</f>
        <v>0</v>
      </c>
      <c r="M75" s="49">
        <f>AVERAGE('01.08 Ntinda-Naalya 24h'!M75,'03.08 Ntinda-Naalya 24h'!M75)</f>
        <v>29.5</v>
      </c>
      <c r="N75" s="49">
        <f>AVERAGE('01.08 Ntinda-Naalya 24h'!N75,'03.08 Ntinda-Naalya 24h'!N75)</f>
        <v>0</v>
      </c>
      <c r="O75" s="15">
        <f t="shared" si="35"/>
        <v>116.5</v>
      </c>
      <c r="P75" s="15">
        <f t="shared" si="36"/>
        <v>146</v>
      </c>
      <c r="R75" s="8"/>
      <c r="T75"/>
    </row>
    <row r="76" spans="2:20" ht="23.1" customHeight="1" x14ac:dyDescent="0.25">
      <c r="B76" s="23" t="s">
        <v>116</v>
      </c>
      <c r="C76" s="49">
        <f>AVERAGE('01.08 Ntinda-Naalya 24h'!C76,'03.08 Ntinda-Naalya 24h'!C76)</f>
        <v>69.5</v>
      </c>
      <c r="D76" s="49">
        <f>AVERAGE('01.08 Ntinda-Naalya 24h'!D76,'03.08 Ntinda-Naalya 24h'!D76)</f>
        <v>9</v>
      </c>
      <c r="E76" s="49">
        <f>AVERAGE('01.08 Ntinda-Naalya 24h'!E76,'03.08 Ntinda-Naalya 24h'!E76)</f>
        <v>3.5</v>
      </c>
      <c r="F76" s="49">
        <f>AVERAGE('01.08 Ntinda-Naalya 24h'!F76,'03.08 Ntinda-Naalya 24h'!F76)</f>
        <v>0</v>
      </c>
      <c r="G76" s="49">
        <f>AVERAGE('01.08 Ntinda-Naalya 24h'!G76,'03.08 Ntinda-Naalya 24h'!G76)</f>
        <v>0</v>
      </c>
      <c r="H76" s="49">
        <f>AVERAGE('01.08 Ntinda-Naalya 24h'!H76,'03.08 Ntinda-Naalya 24h'!H76)</f>
        <v>0</v>
      </c>
      <c r="I76" s="49">
        <f>AVERAGE('01.08 Ntinda-Naalya 24h'!I76,'03.08 Ntinda-Naalya 24h'!I76)</f>
        <v>0</v>
      </c>
      <c r="J76" s="49">
        <f>AVERAGE('01.08 Ntinda-Naalya 24h'!J76,'03.08 Ntinda-Naalya 24h'!J76)</f>
        <v>0</v>
      </c>
      <c r="K76" s="49">
        <f>AVERAGE('01.08 Ntinda-Naalya 24h'!K76,'03.08 Ntinda-Naalya 24h'!K76)</f>
        <v>0</v>
      </c>
      <c r="L76" s="49">
        <f>AVERAGE('01.08 Ntinda-Naalya 24h'!L76,'03.08 Ntinda-Naalya 24h'!L76)</f>
        <v>0</v>
      </c>
      <c r="M76" s="49">
        <f>AVERAGE('01.08 Ntinda-Naalya 24h'!M76,'03.08 Ntinda-Naalya 24h'!M76)</f>
        <v>29.5</v>
      </c>
      <c r="N76" s="49">
        <f>AVERAGE('01.08 Ntinda-Naalya 24h'!N76,'03.08 Ntinda-Naalya 24h'!N76)</f>
        <v>0</v>
      </c>
      <c r="O76" s="15">
        <f t="shared" si="35"/>
        <v>82</v>
      </c>
      <c r="P76" s="15">
        <f t="shared" si="36"/>
        <v>111.5</v>
      </c>
      <c r="R76" s="8"/>
      <c r="T76"/>
    </row>
    <row r="77" spans="2:20" ht="23.1" customHeight="1" x14ac:dyDescent="0.25">
      <c r="B77" s="23" t="s">
        <v>117</v>
      </c>
      <c r="C77" s="49">
        <f>AVERAGE('01.08 Ntinda-Naalya 24h'!C77,'03.08 Ntinda-Naalya 24h'!C77)</f>
        <v>50.5</v>
      </c>
      <c r="D77" s="49">
        <f>AVERAGE('01.08 Ntinda-Naalya 24h'!D77,'03.08 Ntinda-Naalya 24h'!D77)</f>
        <v>10</v>
      </c>
      <c r="E77" s="49">
        <f>AVERAGE('01.08 Ntinda-Naalya 24h'!E77,'03.08 Ntinda-Naalya 24h'!E77)</f>
        <v>1</v>
      </c>
      <c r="F77" s="49">
        <f>AVERAGE('01.08 Ntinda-Naalya 24h'!F77,'03.08 Ntinda-Naalya 24h'!F77)</f>
        <v>3</v>
      </c>
      <c r="G77" s="49">
        <f>AVERAGE('01.08 Ntinda-Naalya 24h'!G77,'03.08 Ntinda-Naalya 24h'!G77)</f>
        <v>0</v>
      </c>
      <c r="H77" s="49">
        <f>AVERAGE('01.08 Ntinda-Naalya 24h'!H77,'03.08 Ntinda-Naalya 24h'!H77)</f>
        <v>0</v>
      </c>
      <c r="I77" s="49">
        <f>AVERAGE('01.08 Ntinda-Naalya 24h'!I77,'03.08 Ntinda-Naalya 24h'!I77)</f>
        <v>0</v>
      </c>
      <c r="J77" s="49">
        <f>AVERAGE('01.08 Ntinda-Naalya 24h'!J77,'03.08 Ntinda-Naalya 24h'!J77)</f>
        <v>0.5</v>
      </c>
      <c r="K77" s="49">
        <f>AVERAGE('01.08 Ntinda-Naalya 24h'!K77,'03.08 Ntinda-Naalya 24h'!K77)</f>
        <v>0</v>
      </c>
      <c r="L77" s="49">
        <f>AVERAGE('01.08 Ntinda-Naalya 24h'!L77,'03.08 Ntinda-Naalya 24h'!L77)</f>
        <v>0</v>
      </c>
      <c r="M77" s="49">
        <f>AVERAGE('01.08 Ntinda-Naalya 24h'!M77,'03.08 Ntinda-Naalya 24h'!M77)</f>
        <v>18.5</v>
      </c>
      <c r="N77" s="49">
        <f>AVERAGE('01.08 Ntinda-Naalya 24h'!N77,'03.08 Ntinda-Naalya 24h'!N77)</f>
        <v>0</v>
      </c>
      <c r="O77" s="15">
        <f t="shared" si="35"/>
        <v>65</v>
      </c>
      <c r="P77" s="15">
        <f t="shared" si="36"/>
        <v>83.5</v>
      </c>
      <c r="R77" s="8"/>
      <c r="T77"/>
    </row>
    <row r="78" spans="2:20" ht="23.1" customHeight="1" x14ac:dyDescent="0.25">
      <c r="B78" s="24" t="s">
        <v>118</v>
      </c>
      <c r="C78" s="49">
        <f>AVERAGE('01.08 Ntinda-Naalya 24h'!C78,'03.08 Ntinda-Naalya 24h'!C78)</f>
        <v>34</v>
      </c>
      <c r="D78" s="49">
        <f>AVERAGE('01.08 Ntinda-Naalya 24h'!D78,'03.08 Ntinda-Naalya 24h'!D78)</f>
        <v>7</v>
      </c>
      <c r="E78" s="49">
        <f>AVERAGE('01.08 Ntinda-Naalya 24h'!E78,'03.08 Ntinda-Naalya 24h'!E78)</f>
        <v>1</v>
      </c>
      <c r="F78" s="49">
        <f>AVERAGE('01.08 Ntinda-Naalya 24h'!F78,'03.08 Ntinda-Naalya 24h'!F78)</f>
        <v>1.5</v>
      </c>
      <c r="G78" s="49">
        <f>AVERAGE('01.08 Ntinda-Naalya 24h'!G78,'03.08 Ntinda-Naalya 24h'!G78)</f>
        <v>0</v>
      </c>
      <c r="H78" s="49">
        <f>AVERAGE('01.08 Ntinda-Naalya 24h'!H78,'03.08 Ntinda-Naalya 24h'!H78)</f>
        <v>0</v>
      </c>
      <c r="I78" s="49">
        <f>AVERAGE('01.08 Ntinda-Naalya 24h'!I78,'03.08 Ntinda-Naalya 24h'!I78)</f>
        <v>0</v>
      </c>
      <c r="J78" s="49">
        <f>AVERAGE('01.08 Ntinda-Naalya 24h'!J78,'03.08 Ntinda-Naalya 24h'!J78)</f>
        <v>0.5</v>
      </c>
      <c r="K78" s="49">
        <f>AVERAGE('01.08 Ntinda-Naalya 24h'!K78,'03.08 Ntinda-Naalya 24h'!K78)</f>
        <v>0</v>
      </c>
      <c r="L78" s="49">
        <f>AVERAGE('01.08 Ntinda-Naalya 24h'!L78,'03.08 Ntinda-Naalya 24h'!L78)</f>
        <v>0</v>
      </c>
      <c r="M78" s="49">
        <f>AVERAGE('01.08 Ntinda-Naalya 24h'!M78,'03.08 Ntinda-Naalya 24h'!M78)</f>
        <v>15.5</v>
      </c>
      <c r="N78" s="49">
        <f>AVERAGE('01.08 Ntinda-Naalya 24h'!N78,'03.08 Ntinda-Naalya 24h'!N78)</f>
        <v>0</v>
      </c>
      <c r="O78" s="15">
        <f t="shared" si="35"/>
        <v>44</v>
      </c>
      <c r="P78" s="15">
        <f t="shared" si="36"/>
        <v>59.5</v>
      </c>
      <c r="R78" s="8"/>
      <c r="T78"/>
    </row>
    <row r="79" spans="2:20" ht="23.1" customHeight="1" x14ac:dyDescent="0.25">
      <c r="B79" s="23" t="s">
        <v>119</v>
      </c>
      <c r="C79" s="49">
        <f>AVERAGE('01.08 Ntinda-Naalya 24h'!C79,'03.08 Ntinda-Naalya 24h'!C79)</f>
        <v>36.5</v>
      </c>
      <c r="D79" s="49">
        <f>AVERAGE('01.08 Ntinda-Naalya 24h'!D79,'03.08 Ntinda-Naalya 24h'!D79)</f>
        <v>6</v>
      </c>
      <c r="E79" s="49">
        <f>AVERAGE('01.08 Ntinda-Naalya 24h'!E79,'03.08 Ntinda-Naalya 24h'!E79)</f>
        <v>3</v>
      </c>
      <c r="F79" s="49">
        <f>AVERAGE('01.08 Ntinda-Naalya 24h'!F79,'03.08 Ntinda-Naalya 24h'!F79)</f>
        <v>0.5</v>
      </c>
      <c r="G79" s="49">
        <f>AVERAGE('01.08 Ntinda-Naalya 24h'!G79,'03.08 Ntinda-Naalya 24h'!G79)</f>
        <v>0</v>
      </c>
      <c r="H79" s="49">
        <f>AVERAGE('01.08 Ntinda-Naalya 24h'!H79,'03.08 Ntinda-Naalya 24h'!H79)</f>
        <v>0</v>
      </c>
      <c r="I79" s="49">
        <f>AVERAGE('01.08 Ntinda-Naalya 24h'!I79,'03.08 Ntinda-Naalya 24h'!I79)</f>
        <v>0</v>
      </c>
      <c r="J79" s="49">
        <f>AVERAGE('01.08 Ntinda-Naalya 24h'!J79,'03.08 Ntinda-Naalya 24h'!J79)</f>
        <v>1</v>
      </c>
      <c r="K79" s="49">
        <f>AVERAGE('01.08 Ntinda-Naalya 24h'!K79,'03.08 Ntinda-Naalya 24h'!K79)</f>
        <v>0</v>
      </c>
      <c r="L79" s="49">
        <f>AVERAGE('01.08 Ntinda-Naalya 24h'!L79,'03.08 Ntinda-Naalya 24h'!L79)</f>
        <v>0</v>
      </c>
      <c r="M79" s="49">
        <f>AVERAGE('01.08 Ntinda-Naalya 24h'!M79,'03.08 Ntinda-Naalya 24h'!M79)</f>
        <v>11.5</v>
      </c>
      <c r="N79" s="49">
        <f>AVERAGE('01.08 Ntinda-Naalya 24h'!N79,'03.08 Ntinda-Naalya 24h'!N79)</f>
        <v>0</v>
      </c>
      <c r="O79" s="15">
        <f t="shared" si="35"/>
        <v>47</v>
      </c>
      <c r="P79" s="15">
        <f t="shared" si="36"/>
        <v>58.5</v>
      </c>
      <c r="R79" s="8"/>
      <c r="T79"/>
    </row>
    <row r="80" spans="2:20" ht="23.1" customHeight="1" x14ac:dyDescent="0.25">
      <c r="B80" s="25" t="s">
        <v>120</v>
      </c>
      <c r="C80" s="49">
        <f>AVERAGE('01.08 Ntinda-Naalya 24h'!C80,'03.08 Ntinda-Naalya 24h'!C80)</f>
        <v>25</v>
      </c>
      <c r="D80" s="49">
        <f>AVERAGE('01.08 Ntinda-Naalya 24h'!D80,'03.08 Ntinda-Naalya 24h'!D80)</f>
        <v>5</v>
      </c>
      <c r="E80" s="49">
        <f>AVERAGE('01.08 Ntinda-Naalya 24h'!E80,'03.08 Ntinda-Naalya 24h'!E80)</f>
        <v>0.5</v>
      </c>
      <c r="F80" s="49">
        <f>AVERAGE('01.08 Ntinda-Naalya 24h'!F80,'03.08 Ntinda-Naalya 24h'!F80)</f>
        <v>0</v>
      </c>
      <c r="G80" s="49">
        <f>AVERAGE('01.08 Ntinda-Naalya 24h'!G80,'03.08 Ntinda-Naalya 24h'!G80)</f>
        <v>0</v>
      </c>
      <c r="H80" s="49">
        <f>AVERAGE('01.08 Ntinda-Naalya 24h'!H80,'03.08 Ntinda-Naalya 24h'!H80)</f>
        <v>0</v>
      </c>
      <c r="I80" s="49">
        <f>AVERAGE('01.08 Ntinda-Naalya 24h'!I80,'03.08 Ntinda-Naalya 24h'!I80)</f>
        <v>0</v>
      </c>
      <c r="J80" s="49">
        <f>AVERAGE('01.08 Ntinda-Naalya 24h'!J80,'03.08 Ntinda-Naalya 24h'!J80)</f>
        <v>0</v>
      </c>
      <c r="K80" s="49">
        <f>AVERAGE('01.08 Ntinda-Naalya 24h'!K80,'03.08 Ntinda-Naalya 24h'!K80)</f>
        <v>0</v>
      </c>
      <c r="L80" s="49">
        <f>AVERAGE('01.08 Ntinda-Naalya 24h'!L80,'03.08 Ntinda-Naalya 24h'!L80)</f>
        <v>0</v>
      </c>
      <c r="M80" s="49">
        <f>AVERAGE('01.08 Ntinda-Naalya 24h'!M80,'03.08 Ntinda-Naalya 24h'!M80)</f>
        <v>3</v>
      </c>
      <c r="N80" s="49">
        <f>AVERAGE('01.08 Ntinda-Naalya 24h'!N80,'03.08 Ntinda-Naalya 24h'!N80)</f>
        <v>0</v>
      </c>
      <c r="O80" s="15">
        <f t="shared" si="35"/>
        <v>30.5</v>
      </c>
      <c r="P80" s="15">
        <f t="shared" si="36"/>
        <v>33.5</v>
      </c>
      <c r="R80" s="8"/>
      <c r="T80"/>
    </row>
    <row r="81" spans="2:20" ht="23.1" customHeight="1" x14ac:dyDescent="0.25">
      <c r="B81" s="23" t="s">
        <v>121</v>
      </c>
      <c r="C81" s="49">
        <f>AVERAGE('01.08 Ntinda-Naalya 24h'!C81,'03.08 Ntinda-Naalya 24h'!C81)</f>
        <v>28.5</v>
      </c>
      <c r="D81" s="49">
        <f>AVERAGE('01.08 Ntinda-Naalya 24h'!D81,'03.08 Ntinda-Naalya 24h'!D81)</f>
        <v>7.5</v>
      </c>
      <c r="E81" s="49">
        <f>AVERAGE('01.08 Ntinda-Naalya 24h'!E81,'03.08 Ntinda-Naalya 24h'!E81)</f>
        <v>2.5</v>
      </c>
      <c r="F81" s="49">
        <f>AVERAGE('01.08 Ntinda-Naalya 24h'!F81,'03.08 Ntinda-Naalya 24h'!F81)</f>
        <v>2.5</v>
      </c>
      <c r="G81" s="49">
        <f>AVERAGE('01.08 Ntinda-Naalya 24h'!G81,'03.08 Ntinda-Naalya 24h'!G81)</f>
        <v>0</v>
      </c>
      <c r="H81" s="49">
        <f>AVERAGE('01.08 Ntinda-Naalya 24h'!H81,'03.08 Ntinda-Naalya 24h'!H81)</f>
        <v>0</v>
      </c>
      <c r="I81" s="49">
        <f>AVERAGE('01.08 Ntinda-Naalya 24h'!I81,'03.08 Ntinda-Naalya 24h'!I81)</f>
        <v>0</v>
      </c>
      <c r="J81" s="49">
        <f>AVERAGE('01.08 Ntinda-Naalya 24h'!J81,'03.08 Ntinda-Naalya 24h'!J81)</f>
        <v>0.5</v>
      </c>
      <c r="K81" s="49">
        <f>AVERAGE('01.08 Ntinda-Naalya 24h'!K81,'03.08 Ntinda-Naalya 24h'!K81)</f>
        <v>4.5</v>
      </c>
      <c r="L81" s="49">
        <f>AVERAGE('01.08 Ntinda-Naalya 24h'!L81,'03.08 Ntinda-Naalya 24h'!L81)</f>
        <v>0</v>
      </c>
      <c r="M81" s="49">
        <f>AVERAGE('01.08 Ntinda-Naalya 24h'!M81,'03.08 Ntinda-Naalya 24h'!M81)</f>
        <v>8.5</v>
      </c>
      <c r="N81" s="49">
        <f>AVERAGE('01.08 Ntinda-Naalya 24h'!N81,'03.08 Ntinda-Naalya 24h'!N81)</f>
        <v>0</v>
      </c>
      <c r="O81" s="15">
        <f t="shared" si="35"/>
        <v>46</v>
      </c>
      <c r="P81" s="15">
        <f t="shared" si="36"/>
        <v>54.5</v>
      </c>
      <c r="R81" s="8"/>
      <c r="T81"/>
    </row>
    <row r="82" spans="2:20" ht="23.1" customHeight="1" x14ac:dyDescent="0.25">
      <c r="B82" s="24" t="s">
        <v>122</v>
      </c>
      <c r="C82" s="49">
        <f>AVERAGE('01.08 Ntinda-Naalya 24h'!C82,'03.08 Ntinda-Naalya 24h'!C82)</f>
        <v>18.5</v>
      </c>
      <c r="D82" s="49">
        <f>AVERAGE('01.08 Ntinda-Naalya 24h'!D82,'03.08 Ntinda-Naalya 24h'!D82)</f>
        <v>4</v>
      </c>
      <c r="E82" s="49">
        <f>AVERAGE('01.08 Ntinda-Naalya 24h'!E82,'03.08 Ntinda-Naalya 24h'!E82)</f>
        <v>1.5</v>
      </c>
      <c r="F82" s="49">
        <f>AVERAGE('01.08 Ntinda-Naalya 24h'!F82,'03.08 Ntinda-Naalya 24h'!F82)</f>
        <v>0</v>
      </c>
      <c r="G82" s="49">
        <f>AVERAGE('01.08 Ntinda-Naalya 24h'!G82,'03.08 Ntinda-Naalya 24h'!G82)</f>
        <v>0</v>
      </c>
      <c r="H82" s="49">
        <f>AVERAGE('01.08 Ntinda-Naalya 24h'!H82,'03.08 Ntinda-Naalya 24h'!H82)</f>
        <v>0</v>
      </c>
      <c r="I82" s="49">
        <f>AVERAGE('01.08 Ntinda-Naalya 24h'!I82,'03.08 Ntinda-Naalya 24h'!I82)</f>
        <v>0</v>
      </c>
      <c r="J82" s="49">
        <f>AVERAGE('01.08 Ntinda-Naalya 24h'!J82,'03.08 Ntinda-Naalya 24h'!J82)</f>
        <v>0.5</v>
      </c>
      <c r="K82" s="49">
        <f>AVERAGE('01.08 Ntinda-Naalya 24h'!K82,'03.08 Ntinda-Naalya 24h'!K82)</f>
        <v>0</v>
      </c>
      <c r="L82" s="49">
        <f>AVERAGE('01.08 Ntinda-Naalya 24h'!L82,'03.08 Ntinda-Naalya 24h'!L82)</f>
        <v>0</v>
      </c>
      <c r="M82" s="49">
        <f>AVERAGE('01.08 Ntinda-Naalya 24h'!M82,'03.08 Ntinda-Naalya 24h'!M82)</f>
        <v>10.5</v>
      </c>
      <c r="N82" s="49">
        <f>AVERAGE('01.08 Ntinda-Naalya 24h'!N82,'03.08 Ntinda-Naalya 24h'!N82)</f>
        <v>0</v>
      </c>
      <c r="O82" s="15">
        <f t="shared" si="35"/>
        <v>24.5</v>
      </c>
      <c r="P82" s="15">
        <f t="shared" si="36"/>
        <v>35</v>
      </c>
      <c r="R82" s="8"/>
      <c r="T82"/>
    </row>
    <row r="83" spans="2:20" ht="23.1" customHeight="1" x14ac:dyDescent="0.25">
      <c r="B83" s="23" t="s">
        <v>123</v>
      </c>
      <c r="C83" s="49">
        <f>AVERAGE('01.08 Ntinda-Naalya 24h'!C83,'03.08 Ntinda-Naalya 24h'!C83)</f>
        <v>13</v>
      </c>
      <c r="D83" s="49">
        <f>AVERAGE('01.08 Ntinda-Naalya 24h'!D83,'03.08 Ntinda-Naalya 24h'!D83)</f>
        <v>5</v>
      </c>
      <c r="E83" s="49">
        <f>AVERAGE('01.08 Ntinda-Naalya 24h'!E83,'03.08 Ntinda-Naalya 24h'!E83)</f>
        <v>1</v>
      </c>
      <c r="F83" s="49">
        <f>AVERAGE('01.08 Ntinda-Naalya 24h'!F83,'03.08 Ntinda-Naalya 24h'!F83)</f>
        <v>0</v>
      </c>
      <c r="G83" s="49">
        <f>AVERAGE('01.08 Ntinda-Naalya 24h'!G83,'03.08 Ntinda-Naalya 24h'!G83)</f>
        <v>0</v>
      </c>
      <c r="H83" s="49">
        <f>AVERAGE('01.08 Ntinda-Naalya 24h'!H83,'03.08 Ntinda-Naalya 24h'!H83)</f>
        <v>0</v>
      </c>
      <c r="I83" s="49">
        <f>AVERAGE('01.08 Ntinda-Naalya 24h'!I83,'03.08 Ntinda-Naalya 24h'!I83)</f>
        <v>0</v>
      </c>
      <c r="J83" s="49">
        <f>AVERAGE('01.08 Ntinda-Naalya 24h'!J83,'03.08 Ntinda-Naalya 24h'!J83)</f>
        <v>0.5</v>
      </c>
      <c r="K83" s="49">
        <f>AVERAGE('01.08 Ntinda-Naalya 24h'!K83,'03.08 Ntinda-Naalya 24h'!K83)</f>
        <v>0</v>
      </c>
      <c r="L83" s="49">
        <f>AVERAGE('01.08 Ntinda-Naalya 24h'!L83,'03.08 Ntinda-Naalya 24h'!L83)</f>
        <v>0</v>
      </c>
      <c r="M83" s="49">
        <f>AVERAGE('01.08 Ntinda-Naalya 24h'!M83,'03.08 Ntinda-Naalya 24h'!M83)</f>
        <v>3.5</v>
      </c>
      <c r="N83" s="49">
        <f>AVERAGE('01.08 Ntinda-Naalya 24h'!N83,'03.08 Ntinda-Naalya 24h'!N83)</f>
        <v>0</v>
      </c>
      <c r="O83" s="15">
        <f t="shared" si="35"/>
        <v>19.5</v>
      </c>
      <c r="P83" s="15">
        <f t="shared" si="36"/>
        <v>23</v>
      </c>
      <c r="R83" s="8"/>
      <c r="T83"/>
    </row>
    <row r="84" spans="2:20" ht="23.1" customHeight="1" x14ac:dyDescent="0.25">
      <c r="B84" s="25" t="s">
        <v>124</v>
      </c>
      <c r="C84" s="49">
        <f>AVERAGE('01.08 Ntinda-Naalya 24h'!C84,'03.08 Ntinda-Naalya 24h'!C84)</f>
        <v>13.5</v>
      </c>
      <c r="D84" s="49">
        <f>AVERAGE('01.08 Ntinda-Naalya 24h'!D84,'03.08 Ntinda-Naalya 24h'!D84)</f>
        <v>1.5</v>
      </c>
      <c r="E84" s="49">
        <f>AVERAGE('01.08 Ntinda-Naalya 24h'!E84,'03.08 Ntinda-Naalya 24h'!E84)</f>
        <v>0.5</v>
      </c>
      <c r="F84" s="49">
        <f>AVERAGE('01.08 Ntinda-Naalya 24h'!F84,'03.08 Ntinda-Naalya 24h'!F84)</f>
        <v>0</v>
      </c>
      <c r="G84" s="49">
        <f>AVERAGE('01.08 Ntinda-Naalya 24h'!G84,'03.08 Ntinda-Naalya 24h'!G84)</f>
        <v>0</v>
      </c>
      <c r="H84" s="49">
        <f>AVERAGE('01.08 Ntinda-Naalya 24h'!H84,'03.08 Ntinda-Naalya 24h'!H84)</f>
        <v>0</v>
      </c>
      <c r="I84" s="49">
        <f>AVERAGE('01.08 Ntinda-Naalya 24h'!I84,'03.08 Ntinda-Naalya 24h'!I84)</f>
        <v>0</v>
      </c>
      <c r="J84" s="49">
        <f>AVERAGE('01.08 Ntinda-Naalya 24h'!J84,'03.08 Ntinda-Naalya 24h'!J84)</f>
        <v>0</v>
      </c>
      <c r="K84" s="49">
        <f>AVERAGE('01.08 Ntinda-Naalya 24h'!K84,'03.08 Ntinda-Naalya 24h'!K84)</f>
        <v>0</v>
      </c>
      <c r="L84" s="49">
        <f>AVERAGE('01.08 Ntinda-Naalya 24h'!L84,'03.08 Ntinda-Naalya 24h'!L84)</f>
        <v>0</v>
      </c>
      <c r="M84" s="49">
        <f>AVERAGE('01.08 Ntinda-Naalya 24h'!M84,'03.08 Ntinda-Naalya 24h'!M84)</f>
        <v>6.5</v>
      </c>
      <c r="N84" s="49">
        <f>AVERAGE('01.08 Ntinda-Naalya 24h'!N84,'03.08 Ntinda-Naalya 24h'!N84)</f>
        <v>0</v>
      </c>
      <c r="O84" s="15">
        <f t="shared" si="35"/>
        <v>15.5</v>
      </c>
      <c r="P84" s="15">
        <f t="shared" si="36"/>
        <v>22</v>
      </c>
      <c r="R84" s="8"/>
      <c r="T84"/>
    </row>
    <row r="85" spans="2:20" ht="23.1" customHeight="1" x14ac:dyDescent="0.25">
      <c r="B85" s="23" t="s">
        <v>125</v>
      </c>
      <c r="C85" s="49">
        <f>AVERAGE('01.08 Ntinda-Naalya 24h'!C85,'03.08 Ntinda-Naalya 24h'!C85)</f>
        <v>15</v>
      </c>
      <c r="D85" s="49">
        <f>AVERAGE('01.08 Ntinda-Naalya 24h'!D85,'03.08 Ntinda-Naalya 24h'!D85)</f>
        <v>2</v>
      </c>
      <c r="E85" s="49">
        <f>AVERAGE('01.08 Ntinda-Naalya 24h'!E85,'03.08 Ntinda-Naalya 24h'!E85)</f>
        <v>0.5</v>
      </c>
      <c r="F85" s="49">
        <f>AVERAGE('01.08 Ntinda-Naalya 24h'!F85,'03.08 Ntinda-Naalya 24h'!F85)</f>
        <v>1</v>
      </c>
      <c r="G85" s="49">
        <f>AVERAGE('01.08 Ntinda-Naalya 24h'!G85,'03.08 Ntinda-Naalya 24h'!G85)</f>
        <v>0</v>
      </c>
      <c r="H85" s="49">
        <f>AVERAGE('01.08 Ntinda-Naalya 24h'!H85,'03.08 Ntinda-Naalya 24h'!H85)</f>
        <v>0</v>
      </c>
      <c r="I85" s="49">
        <f>AVERAGE('01.08 Ntinda-Naalya 24h'!I85,'03.08 Ntinda-Naalya 24h'!I85)</f>
        <v>0</v>
      </c>
      <c r="J85" s="49">
        <f>AVERAGE('01.08 Ntinda-Naalya 24h'!J85,'03.08 Ntinda-Naalya 24h'!J85)</f>
        <v>0.5</v>
      </c>
      <c r="K85" s="49">
        <f>AVERAGE('01.08 Ntinda-Naalya 24h'!K85,'03.08 Ntinda-Naalya 24h'!K85)</f>
        <v>0</v>
      </c>
      <c r="L85" s="49">
        <f>AVERAGE('01.08 Ntinda-Naalya 24h'!L85,'03.08 Ntinda-Naalya 24h'!L85)</f>
        <v>0</v>
      </c>
      <c r="M85" s="49">
        <f>AVERAGE('01.08 Ntinda-Naalya 24h'!M85,'03.08 Ntinda-Naalya 24h'!M85)</f>
        <v>2.5</v>
      </c>
      <c r="N85" s="49">
        <f>AVERAGE('01.08 Ntinda-Naalya 24h'!N85,'03.08 Ntinda-Naalya 24h'!N85)</f>
        <v>0</v>
      </c>
      <c r="O85" s="15">
        <f t="shared" si="35"/>
        <v>19</v>
      </c>
      <c r="P85" s="15">
        <f t="shared" si="36"/>
        <v>21.5</v>
      </c>
      <c r="R85" s="8"/>
      <c r="T85"/>
    </row>
    <row r="86" spans="2:20" ht="23.1" customHeight="1" x14ac:dyDescent="0.25">
      <c r="B86" s="24" t="s">
        <v>126</v>
      </c>
      <c r="C86" s="49">
        <f>AVERAGE('01.08 Ntinda-Naalya 24h'!C86,'03.08 Ntinda-Naalya 24h'!C86)</f>
        <v>11</v>
      </c>
      <c r="D86" s="49">
        <f>AVERAGE('01.08 Ntinda-Naalya 24h'!D86,'03.08 Ntinda-Naalya 24h'!D86)</f>
        <v>3.5</v>
      </c>
      <c r="E86" s="49">
        <f>AVERAGE('01.08 Ntinda-Naalya 24h'!E86,'03.08 Ntinda-Naalya 24h'!E86)</f>
        <v>1</v>
      </c>
      <c r="F86" s="49">
        <f>AVERAGE('01.08 Ntinda-Naalya 24h'!F86,'03.08 Ntinda-Naalya 24h'!F86)</f>
        <v>0</v>
      </c>
      <c r="G86" s="49">
        <f>AVERAGE('01.08 Ntinda-Naalya 24h'!G86,'03.08 Ntinda-Naalya 24h'!G86)</f>
        <v>0</v>
      </c>
      <c r="H86" s="49">
        <f>AVERAGE('01.08 Ntinda-Naalya 24h'!H86,'03.08 Ntinda-Naalya 24h'!H86)</f>
        <v>0</v>
      </c>
      <c r="I86" s="49">
        <f>AVERAGE('01.08 Ntinda-Naalya 24h'!I86,'03.08 Ntinda-Naalya 24h'!I86)</f>
        <v>0</v>
      </c>
      <c r="J86" s="49">
        <f>AVERAGE('01.08 Ntinda-Naalya 24h'!J86,'03.08 Ntinda-Naalya 24h'!J86)</f>
        <v>0</v>
      </c>
      <c r="K86" s="49">
        <f>AVERAGE('01.08 Ntinda-Naalya 24h'!K86,'03.08 Ntinda-Naalya 24h'!K86)</f>
        <v>0</v>
      </c>
      <c r="L86" s="49">
        <f>AVERAGE('01.08 Ntinda-Naalya 24h'!L86,'03.08 Ntinda-Naalya 24h'!L86)</f>
        <v>0</v>
      </c>
      <c r="M86" s="49">
        <f>AVERAGE('01.08 Ntinda-Naalya 24h'!M86,'03.08 Ntinda-Naalya 24h'!M86)</f>
        <v>4.5</v>
      </c>
      <c r="N86" s="49">
        <f>AVERAGE('01.08 Ntinda-Naalya 24h'!N86,'03.08 Ntinda-Naalya 24h'!N86)</f>
        <v>0</v>
      </c>
      <c r="O86" s="15">
        <f t="shared" si="35"/>
        <v>15.5</v>
      </c>
      <c r="P86" s="15">
        <f t="shared" si="36"/>
        <v>20</v>
      </c>
      <c r="R86" s="8"/>
      <c r="T86"/>
    </row>
    <row r="87" spans="2:20" ht="23.1" customHeight="1" x14ac:dyDescent="0.25">
      <c r="B87" s="23" t="s">
        <v>127</v>
      </c>
      <c r="C87" s="49">
        <f>AVERAGE('01.08 Ntinda-Naalya 24h'!C87,'03.08 Ntinda-Naalya 24h'!C87)</f>
        <v>9</v>
      </c>
      <c r="D87" s="49">
        <f>AVERAGE('01.08 Ntinda-Naalya 24h'!D87,'03.08 Ntinda-Naalya 24h'!D87)</f>
        <v>3</v>
      </c>
      <c r="E87" s="49">
        <f>AVERAGE('01.08 Ntinda-Naalya 24h'!E87,'03.08 Ntinda-Naalya 24h'!E87)</f>
        <v>1.5</v>
      </c>
      <c r="F87" s="49">
        <f>AVERAGE('01.08 Ntinda-Naalya 24h'!F87,'03.08 Ntinda-Naalya 24h'!F87)</f>
        <v>0</v>
      </c>
      <c r="G87" s="49">
        <f>AVERAGE('01.08 Ntinda-Naalya 24h'!G87,'03.08 Ntinda-Naalya 24h'!G87)</f>
        <v>0</v>
      </c>
      <c r="H87" s="49">
        <f>AVERAGE('01.08 Ntinda-Naalya 24h'!H87,'03.08 Ntinda-Naalya 24h'!H87)</f>
        <v>0</v>
      </c>
      <c r="I87" s="49">
        <f>AVERAGE('01.08 Ntinda-Naalya 24h'!I87,'03.08 Ntinda-Naalya 24h'!I87)</f>
        <v>0</v>
      </c>
      <c r="J87" s="49">
        <f>AVERAGE('01.08 Ntinda-Naalya 24h'!J87,'03.08 Ntinda-Naalya 24h'!J87)</f>
        <v>0</v>
      </c>
      <c r="K87" s="49">
        <f>AVERAGE('01.08 Ntinda-Naalya 24h'!K87,'03.08 Ntinda-Naalya 24h'!K87)</f>
        <v>0</v>
      </c>
      <c r="L87" s="49">
        <f>AVERAGE('01.08 Ntinda-Naalya 24h'!L87,'03.08 Ntinda-Naalya 24h'!L87)</f>
        <v>0</v>
      </c>
      <c r="M87" s="49">
        <f>AVERAGE('01.08 Ntinda-Naalya 24h'!M87,'03.08 Ntinda-Naalya 24h'!M87)</f>
        <v>7</v>
      </c>
      <c r="N87" s="49">
        <f>AVERAGE('01.08 Ntinda-Naalya 24h'!N87,'03.08 Ntinda-Naalya 24h'!N87)</f>
        <v>0</v>
      </c>
      <c r="O87" s="15">
        <f t="shared" si="35"/>
        <v>13.5</v>
      </c>
      <c r="P87" s="15">
        <f t="shared" si="36"/>
        <v>20.5</v>
      </c>
      <c r="R87" s="8"/>
      <c r="T87"/>
    </row>
    <row r="88" spans="2:20" ht="23.1" customHeight="1" x14ac:dyDescent="0.25">
      <c r="B88" s="25" t="s">
        <v>128</v>
      </c>
      <c r="C88" s="49">
        <f>AVERAGE('01.08 Ntinda-Naalya 24h'!C88,'03.08 Ntinda-Naalya 24h'!C88)</f>
        <v>8.5</v>
      </c>
      <c r="D88" s="49">
        <f>AVERAGE('01.08 Ntinda-Naalya 24h'!D88,'03.08 Ntinda-Naalya 24h'!D88)</f>
        <v>5</v>
      </c>
      <c r="E88" s="49">
        <f>AVERAGE('01.08 Ntinda-Naalya 24h'!E88,'03.08 Ntinda-Naalya 24h'!E88)</f>
        <v>1</v>
      </c>
      <c r="F88" s="49">
        <f>AVERAGE('01.08 Ntinda-Naalya 24h'!F88,'03.08 Ntinda-Naalya 24h'!F88)</f>
        <v>0.5</v>
      </c>
      <c r="G88" s="49">
        <f>AVERAGE('01.08 Ntinda-Naalya 24h'!G88,'03.08 Ntinda-Naalya 24h'!G88)</f>
        <v>0</v>
      </c>
      <c r="H88" s="49">
        <f>AVERAGE('01.08 Ntinda-Naalya 24h'!H88,'03.08 Ntinda-Naalya 24h'!H88)</f>
        <v>0</v>
      </c>
      <c r="I88" s="49">
        <f>AVERAGE('01.08 Ntinda-Naalya 24h'!I88,'03.08 Ntinda-Naalya 24h'!I88)</f>
        <v>0</v>
      </c>
      <c r="J88" s="49">
        <f>AVERAGE('01.08 Ntinda-Naalya 24h'!J88,'03.08 Ntinda-Naalya 24h'!J88)</f>
        <v>0</v>
      </c>
      <c r="K88" s="49">
        <f>AVERAGE('01.08 Ntinda-Naalya 24h'!K88,'03.08 Ntinda-Naalya 24h'!K88)</f>
        <v>0</v>
      </c>
      <c r="L88" s="49">
        <f>AVERAGE('01.08 Ntinda-Naalya 24h'!L88,'03.08 Ntinda-Naalya 24h'!L88)</f>
        <v>0</v>
      </c>
      <c r="M88" s="49">
        <f>AVERAGE('01.08 Ntinda-Naalya 24h'!M88,'03.08 Ntinda-Naalya 24h'!M88)</f>
        <v>8.5</v>
      </c>
      <c r="N88" s="49">
        <f>AVERAGE('01.08 Ntinda-Naalya 24h'!N88,'03.08 Ntinda-Naalya 24h'!N88)</f>
        <v>0</v>
      </c>
      <c r="O88" s="15">
        <f t="shared" si="35"/>
        <v>15</v>
      </c>
      <c r="P88" s="15">
        <f t="shared" si="36"/>
        <v>23.5</v>
      </c>
      <c r="R88" s="8"/>
      <c r="T88"/>
    </row>
    <row r="89" spans="2:20" ht="23.1" customHeight="1" x14ac:dyDescent="0.25">
      <c r="B89" s="23" t="s">
        <v>129</v>
      </c>
      <c r="C89" s="49">
        <f>AVERAGE('01.08 Ntinda-Naalya 24h'!C89,'03.08 Ntinda-Naalya 24h'!C89)</f>
        <v>12.5</v>
      </c>
      <c r="D89" s="49">
        <f>AVERAGE('01.08 Ntinda-Naalya 24h'!D89,'03.08 Ntinda-Naalya 24h'!D89)</f>
        <v>1.5</v>
      </c>
      <c r="E89" s="49">
        <f>AVERAGE('01.08 Ntinda-Naalya 24h'!E89,'03.08 Ntinda-Naalya 24h'!E89)</f>
        <v>0.5</v>
      </c>
      <c r="F89" s="49">
        <f>AVERAGE('01.08 Ntinda-Naalya 24h'!F89,'03.08 Ntinda-Naalya 24h'!F89)</f>
        <v>0</v>
      </c>
      <c r="G89" s="49">
        <f>AVERAGE('01.08 Ntinda-Naalya 24h'!G89,'03.08 Ntinda-Naalya 24h'!G89)</f>
        <v>0</v>
      </c>
      <c r="H89" s="49">
        <f>AVERAGE('01.08 Ntinda-Naalya 24h'!H89,'03.08 Ntinda-Naalya 24h'!H89)</f>
        <v>0</v>
      </c>
      <c r="I89" s="49">
        <f>AVERAGE('01.08 Ntinda-Naalya 24h'!I89,'03.08 Ntinda-Naalya 24h'!I89)</f>
        <v>0</v>
      </c>
      <c r="J89" s="49">
        <f>AVERAGE('01.08 Ntinda-Naalya 24h'!J89,'03.08 Ntinda-Naalya 24h'!J89)</f>
        <v>0.5</v>
      </c>
      <c r="K89" s="49">
        <f>AVERAGE('01.08 Ntinda-Naalya 24h'!K89,'03.08 Ntinda-Naalya 24h'!K89)</f>
        <v>0</v>
      </c>
      <c r="L89" s="49">
        <f>AVERAGE('01.08 Ntinda-Naalya 24h'!L89,'03.08 Ntinda-Naalya 24h'!L89)</f>
        <v>0</v>
      </c>
      <c r="M89" s="49">
        <f>AVERAGE('01.08 Ntinda-Naalya 24h'!M89,'03.08 Ntinda-Naalya 24h'!M89)</f>
        <v>9.5</v>
      </c>
      <c r="N89" s="49">
        <f>AVERAGE('01.08 Ntinda-Naalya 24h'!N89,'03.08 Ntinda-Naalya 24h'!N89)</f>
        <v>0</v>
      </c>
      <c r="O89" s="15">
        <f t="shared" si="35"/>
        <v>15</v>
      </c>
      <c r="P89" s="15">
        <f t="shared" si="36"/>
        <v>24.5</v>
      </c>
      <c r="R89" s="8"/>
      <c r="T89"/>
    </row>
    <row r="90" spans="2:20" ht="23.1" customHeight="1" x14ac:dyDescent="0.25">
      <c r="B90" s="24" t="s">
        <v>130</v>
      </c>
      <c r="C90" s="49">
        <f>AVERAGE('01.08 Ntinda-Naalya 24h'!C90,'03.08 Ntinda-Naalya 24h'!C90)</f>
        <v>15</v>
      </c>
      <c r="D90" s="49">
        <f>AVERAGE('01.08 Ntinda-Naalya 24h'!D90,'03.08 Ntinda-Naalya 24h'!D90)</f>
        <v>4.5</v>
      </c>
      <c r="E90" s="49">
        <f>AVERAGE('01.08 Ntinda-Naalya 24h'!E90,'03.08 Ntinda-Naalya 24h'!E90)</f>
        <v>0</v>
      </c>
      <c r="F90" s="49">
        <f>AVERAGE('01.08 Ntinda-Naalya 24h'!F90,'03.08 Ntinda-Naalya 24h'!F90)</f>
        <v>0</v>
      </c>
      <c r="G90" s="49">
        <f>AVERAGE('01.08 Ntinda-Naalya 24h'!G90,'03.08 Ntinda-Naalya 24h'!G90)</f>
        <v>0</v>
      </c>
      <c r="H90" s="49">
        <f>AVERAGE('01.08 Ntinda-Naalya 24h'!H90,'03.08 Ntinda-Naalya 24h'!H90)</f>
        <v>0</v>
      </c>
      <c r="I90" s="49">
        <f>AVERAGE('01.08 Ntinda-Naalya 24h'!I90,'03.08 Ntinda-Naalya 24h'!I90)</f>
        <v>0</v>
      </c>
      <c r="J90" s="49">
        <f>AVERAGE('01.08 Ntinda-Naalya 24h'!J90,'03.08 Ntinda-Naalya 24h'!J90)</f>
        <v>0</v>
      </c>
      <c r="K90" s="49">
        <f>AVERAGE('01.08 Ntinda-Naalya 24h'!K90,'03.08 Ntinda-Naalya 24h'!K90)</f>
        <v>0</v>
      </c>
      <c r="L90" s="49">
        <f>AVERAGE('01.08 Ntinda-Naalya 24h'!L90,'03.08 Ntinda-Naalya 24h'!L90)</f>
        <v>0</v>
      </c>
      <c r="M90" s="49">
        <f>AVERAGE('01.08 Ntinda-Naalya 24h'!M90,'03.08 Ntinda-Naalya 24h'!M90)</f>
        <v>5.5</v>
      </c>
      <c r="N90" s="49">
        <f>AVERAGE('01.08 Ntinda-Naalya 24h'!N90,'03.08 Ntinda-Naalya 24h'!N90)</f>
        <v>0</v>
      </c>
      <c r="O90" s="15">
        <f t="shared" si="35"/>
        <v>19.5</v>
      </c>
      <c r="P90" s="15">
        <f t="shared" si="36"/>
        <v>25</v>
      </c>
      <c r="R90" s="8"/>
      <c r="T90"/>
    </row>
    <row r="91" spans="2:20" ht="23.1" customHeight="1" x14ac:dyDescent="0.25">
      <c r="B91" s="23" t="s">
        <v>131</v>
      </c>
      <c r="C91" s="49">
        <f>AVERAGE('01.08 Ntinda-Naalya 24h'!C91,'03.08 Ntinda-Naalya 24h'!C91)</f>
        <v>10.5</v>
      </c>
      <c r="D91" s="49">
        <f>AVERAGE('01.08 Ntinda-Naalya 24h'!D91,'03.08 Ntinda-Naalya 24h'!D91)</f>
        <v>3.5</v>
      </c>
      <c r="E91" s="49">
        <f>AVERAGE('01.08 Ntinda-Naalya 24h'!E91,'03.08 Ntinda-Naalya 24h'!E91)</f>
        <v>0</v>
      </c>
      <c r="F91" s="49">
        <f>AVERAGE('01.08 Ntinda-Naalya 24h'!F91,'03.08 Ntinda-Naalya 24h'!F91)</f>
        <v>0.5</v>
      </c>
      <c r="G91" s="49">
        <f>AVERAGE('01.08 Ntinda-Naalya 24h'!G91,'03.08 Ntinda-Naalya 24h'!G91)</f>
        <v>0</v>
      </c>
      <c r="H91" s="49">
        <f>AVERAGE('01.08 Ntinda-Naalya 24h'!H91,'03.08 Ntinda-Naalya 24h'!H91)</f>
        <v>0</v>
      </c>
      <c r="I91" s="49">
        <f>AVERAGE('01.08 Ntinda-Naalya 24h'!I91,'03.08 Ntinda-Naalya 24h'!I91)</f>
        <v>0.5</v>
      </c>
      <c r="J91" s="49">
        <f>AVERAGE('01.08 Ntinda-Naalya 24h'!J91,'03.08 Ntinda-Naalya 24h'!J91)</f>
        <v>0.5</v>
      </c>
      <c r="K91" s="49">
        <f>AVERAGE('01.08 Ntinda-Naalya 24h'!K91,'03.08 Ntinda-Naalya 24h'!K91)</f>
        <v>0</v>
      </c>
      <c r="L91" s="49">
        <f>AVERAGE('01.08 Ntinda-Naalya 24h'!L91,'03.08 Ntinda-Naalya 24h'!L91)</f>
        <v>0</v>
      </c>
      <c r="M91" s="49">
        <f>AVERAGE('01.08 Ntinda-Naalya 24h'!M91,'03.08 Ntinda-Naalya 24h'!M91)</f>
        <v>4.5</v>
      </c>
      <c r="N91" s="49">
        <f>AVERAGE('01.08 Ntinda-Naalya 24h'!N91,'03.08 Ntinda-Naalya 24h'!N91)</f>
        <v>0</v>
      </c>
      <c r="O91" s="15">
        <f t="shared" si="35"/>
        <v>15.5</v>
      </c>
      <c r="P91" s="15">
        <f t="shared" si="36"/>
        <v>20</v>
      </c>
      <c r="R91" s="8"/>
      <c r="T91"/>
    </row>
    <row r="92" spans="2:20" ht="23.1" customHeight="1" x14ac:dyDescent="0.25">
      <c r="B92" s="25" t="s">
        <v>132</v>
      </c>
      <c r="C92" s="49">
        <f>AVERAGE('01.08 Ntinda-Naalya 24h'!C92,'03.08 Ntinda-Naalya 24h'!C92)</f>
        <v>4</v>
      </c>
      <c r="D92" s="49">
        <f>AVERAGE('01.08 Ntinda-Naalya 24h'!D92,'03.08 Ntinda-Naalya 24h'!D92)</f>
        <v>0</v>
      </c>
      <c r="E92" s="49">
        <f>AVERAGE('01.08 Ntinda-Naalya 24h'!E92,'03.08 Ntinda-Naalya 24h'!E92)</f>
        <v>1</v>
      </c>
      <c r="F92" s="49">
        <f>AVERAGE('01.08 Ntinda-Naalya 24h'!F92,'03.08 Ntinda-Naalya 24h'!F92)</f>
        <v>0</v>
      </c>
      <c r="G92" s="49">
        <f>AVERAGE('01.08 Ntinda-Naalya 24h'!G92,'03.08 Ntinda-Naalya 24h'!G92)</f>
        <v>0</v>
      </c>
      <c r="H92" s="49">
        <f>AVERAGE('01.08 Ntinda-Naalya 24h'!H92,'03.08 Ntinda-Naalya 24h'!H92)</f>
        <v>0</v>
      </c>
      <c r="I92" s="49">
        <f>AVERAGE('01.08 Ntinda-Naalya 24h'!I92,'03.08 Ntinda-Naalya 24h'!I92)</f>
        <v>0</v>
      </c>
      <c r="J92" s="49">
        <f>AVERAGE('01.08 Ntinda-Naalya 24h'!J92,'03.08 Ntinda-Naalya 24h'!J92)</f>
        <v>0.5</v>
      </c>
      <c r="K92" s="49">
        <f>AVERAGE('01.08 Ntinda-Naalya 24h'!K92,'03.08 Ntinda-Naalya 24h'!K92)</f>
        <v>0</v>
      </c>
      <c r="L92" s="49">
        <f>AVERAGE('01.08 Ntinda-Naalya 24h'!L92,'03.08 Ntinda-Naalya 24h'!L92)</f>
        <v>0</v>
      </c>
      <c r="M92" s="49">
        <f>AVERAGE('01.08 Ntinda-Naalya 24h'!M92,'03.08 Ntinda-Naalya 24h'!M92)</f>
        <v>2</v>
      </c>
      <c r="N92" s="49">
        <f>AVERAGE('01.08 Ntinda-Naalya 24h'!N92,'03.08 Ntinda-Naalya 24h'!N92)</f>
        <v>0</v>
      </c>
      <c r="O92" s="15">
        <f t="shared" si="35"/>
        <v>5.5</v>
      </c>
      <c r="P92" s="15">
        <f t="shared" si="36"/>
        <v>7.5</v>
      </c>
      <c r="R92" s="8"/>
      <c r="T92"/>
    </row>
    <row r="93" spans="2:20" ht="23.1" customHeight="1" x14ac:dyDescent="0.25">
      <c r="B93" s="23" t="s">
        <v>133</v>
      </c>
      <c r="C93" s="49">
        <f>AVERAGE('01.08 Ntinda-Naalya 24h'!C93,'03.08 Ntinda-Naalya 24h'!C93)</f>
        <v>4</v>
      </c>
      <c r="D93" s="49">
        <f>AVERAGE('01.08 Ntinda-Naalya 24h'!D93,'03.08 Ntinda-Naalya 24h'!D93)</f>
        <v>0</v>
      </c>
      <c r="E93" s="49">
        <f>AVERAGE('01.08 Ntinda-Naalya 24h'!E93,'03.08 Ntinda-Naalya 24h'!E93)</f>
        <v>1</v>
      </c>
      <c r="F93" s="49">
        <f>AVERAGE('01.08 Ntinda-Naalya 24h'!F93,'03.08 Ntinda-Naalya 24h'!F93)</f>
        <v>0</v>
      </c>
      <c r="G93" s="49">
        <f>AVERAGE('01.08 Ntinda-Naalya 24h'!G93,'03.08 Ntinda-Naalya 24h'!G93)</f>
        <v>0</v>
      </c>
      <c r="H93" s="49">
        <f>AVERAGE('01.08 Ntinda-Naalya 24h'!H93,'03.08 Ntinda-Naalya 24h'!H93)</f>
        <v>0</v>
      </c>
      <c r="I93" s="49">
        <f>AVERAGE('01.08 Ntinda-Naalya 24h'!I93,'03.08 Ntinda-Naalya 24h'!I93)</f>
        <v>0</v>
      </c>
      <c r="J93" s="49">
        <f>AVERAGE('01.08 Ntinda-Naalya 24h'!J93,'03.08 Ntinda-Naalya 24h'!J93)</f>
        <v>0</v>
      </c>
      <c r="K93" s="49">
        <f>AVERAGE('01.08 Ntinda-Naalya 24h'!K93,'03.08 Ntinda-Naalya 24h'!K93)</f>
        <v>0</v>
      </c>
      <c r="L93" s="49">
        <f>AVERAGE('01.08 Ntinda-Naalya 24h'!L93,'03.08 Ntinda-Naalya 24h'!L93)</f>
        <v>0</v>
      </c>
      <c r="M93" s="49">
        <f>AVERAGE('01.08 Ntinda-Naalya 24h'!M93,'03.08 Ntinda-Naalya 24h'!M93)</f>
        <v>1.5</v>
      </c>
      <c r="N93" s="49">
        <f>AVERAGE('01.08 Ntinda-Naalya 24h'!N93,'03.08 Ntinda-Naalya 24h'!N93)</f>
        <v>0</v>
      </c>
      <c r="O93" s="15">
        <f t="shared" si="35"/>
        <v>5</v>
      </c>
      <c r="P93" s="15">
        <f t="shared" si="36"/>
        <v>6.5</v>
      </c>
      <c r="R93" s="8"/>
      <c r="T93"/>
    </row>
    <row r="94" spans="2:20" ht="23.1" customHeight="1" x14ac:dyDescent="0.25">
      <c r="B94" s="24" t="s">
        <v>134</v>
      </c>
      <c r="C94" s="49">
        <f>AVERAGE('01.08 Ntinda-Naalya 24h'!C94,'03.08 Ntinda-Naalya 24h'!C94)</f>
        <v>2</v>
      </c>
      <c r="D94" s="49">
        <f>AVERAGE('01.08 Ntinda-Naalya 24h'!D94,'03.08 Ntinda-Naalya 24h'!D94)</f>
        <v>0.5</v>
      </c>
      <c r="E94" s="49">
        <f>AVERAGE('01.08 Ntinda-Naalya 24h'!E94,'03.08 Ntinda-Naalya 24h'!E94)</f>
        <v>0</v>
      </c>
      <c r="F94" s="49">
        <f>AVERAGE('01.08 Ntinda-Naalya 24h'!F94,'03.08 Ntinda-Naalya 24h'!F94)</f>
        <v>0</v>
      </c>
      <c r="G94" s="49">
        <f>AVERAGE('01.08 Ntinda-Naalya 24h'!G94,'03.08 Ntinda-Naalya 24h'!G94)</f>
        <v>0.5</v>
      </c>
      <c r="H94" s="49">
        <f>AVERAGE('01.08 Ntinda-Naalya 24h'!H94,'03.08 Ntinda-Naalya 24h'!H94)</f>
        <v>0</v>
      </c>
      <c r="I94" s="49">
        <f>AVERAGE('01.08 Ntinda-Naalya 24h'!I94,'03.08 Ntinda-Naalya 24h'!I94)</f>
        <v>0</v>
      </c>
      <c r="J94" s="49">
        <f>AVERAGE('01.08 Ntinda-Naalya 24h'!J94,'03.08 Ntinda-Naalya 24h'!J94)</f>
        <v>0</v>
      </c>
      <c r="K94" s="49">
        <f>AVERAGE('01.08 Ntinda-Naalya 24h'!K94,'03.08 Ntinda-Naalya 24h'!K94)</f>
        <v>0</v>
      </c>
      <c r="L94" s="49">
        <f>AVERAGE('01.08 Ntinda-Naalya 24h'!L94,'03.08 Ntinda-Naalya 24h'!L94)</f>
        <v>0</v>
      </c>
      <c r="M94" s="49">
        <f>AVERAGE('01.08 Ntinda-Naalya 24h'!M94,'03.08 Ntinda-Naalya 24h'!M94)</f>
        <v>1</v>
      </c>
      <c r="N94" s="49">
        <f>AVERAGE('01.08 Ntinda-Naalya 24h'!N94,'03.08 Ntinda-Naalya 24h'!N94)</f>
        <v>0</v>
      </c>
      <c r="O94" s="15">
        <f t="shared" si="35"/>
        <v>3</v>
      </c>
      <c r="P94" s="15">
        <f t="shared" si="36"/>
        <v>4</v>
      </c>
      <c r="R94" s="8"/>
      <c r="T94"/>
    </row>
    <row r="95" spans="2:20" ht="23.1" customHeight="1" x14ac:dyDescent="0.25">
      <c r="B95" s="23" t="s">
        <v>135</v>
      </c>
      <c r="C95" s="49">
        <f>AVERAGE('01.08 Ntinda-Naalya 24h'!C95,'03.08 Ntinda-Naalya 24h'!C95)</f>
        <v>10.5</v>
      </c>
      <c r="D95" s="49">
        <f>AVERAGE('01.08 Ntinda-Naalya 24h'!D95,'03.08 Ntinda-Naalya 24h'!D95)</f>
        <v>3.5</v>
      </c>
      <c r="E95" s="49">
        <f>AVERAGE('01.08 Ntinda-Naalya 24h'!E95,'03.08 Ntinda-Naalya 24h'!E95)</f>
        <v>0</v>
      </c>
      <c r="F95" s="49">
        <f>AVERAGE('01.08 Ntinda-Naalya 24h'!F95,'03.08 Ntinda-Naalya 24h'!F95)</f>
        <v>1.5</v>
      </c>
      <c r="G95" s="49">
        <f>AVERAGE('01.08 Ntinda-Naalya 24h'!G95,'03.08 Ntinda-Naalya 24h'!G95)</f>
        <v>0.5</v>
      </c>
      <c r="H95" s="49">
        <f>AVERAGE('01.08 Ntinda-Naalya 24h'!H95,'03.08 Ntinda-Naalya 24h'!H95)</f>
        <v>0</v>
      </c>
      <c r="I95" s="49">
        <f>AVERAGE('01.08 Ntinda-Naalya 24h'!I95,'03.08 Ntinda-Naalya 24h'!I95)</f>
        <v>0.5</v>
      </c>
      <c r="J95" s="49">
        <f>AVERAGE('01.08 Ntinda-Naalya 24h'!J95,'03.08 Ntinda-Naalya 24h'!J95)</f>
        <v>0</v>
      </c>
      <c r="K95" s="49">
        <f>AVERAGE('01.08 Ntinda-Naalya 24h'!K95,'03.08 Ntinda-Naalya 24h'!K95)</f>
        <v>0</v>
      </c>
      <c r="L95" s="49">
        <f>AVERAGE('01.08 Ntinda-Naalya 24h'!L95,'03.08 Ntinda-Naalya 24h'!L95)</f>
        <v>0</v>
      </c>
      <c r="M95" s="49">
        <f>AVERAGE('01.08 Ntinda-Naalya 24h'!M95,'03.08 Ntinda-Naalya 24h'!M95)</f>
        <v>4.5</v>
      </c>
      <c r="N95" s="49">
        <f>AVERAGE('01.08 Ntinda-Naalya 24h'!N95,'03.08 Ntinda-Naalya 24h'!N95)</f>
        <v>0</v>
      </c>
      <c r="O95" s="15">
        <f t="shared" si="35"/>
        <v>16.5</v>
      </c>
      <c r="P95" s="15">
        <f t="shared" si="36"/>
        <v>21</v>
      </c>
      <c r="R95" s="8"/>
      <c r="T95"/>
    </row>
    <row r="96" spans="2:20" ht="23.1" customHeight="1" x14ac:dyDescent="0.25">
      <c r="B96" s="25" t="s">
        <v>136</v>
      </c>
      <c r="C96" s="49">
        <f>AVERAGE('01.08 Ntinda-Naalya 24h'!C96,'03.08 Ntinda-Naalya 24h'!C96)</f>
        <v>4.5</v>
      </c>
      <c r="D96" s="49">
        <f>AVERAGE('01.08 Ntinda-Naalya 24h'!D96,'03.08 Ntinda-Naalya 24h'!D96)</f>
        <v>0</v>
      </c>
      <c r="E96" s="49">
        <f>AVERAGE('01.08 Ntinda-Naalya 24h'!E96,'03.08 Ntinda-Naalya 24h'!E96)</f>
        <v>0.5</v>
      </c>
      <c r="F96" s="49">
        <f>AVERAGE('01.08 Ntinda-Naalya 24h'!F96,'03.08 Ntinda-Naalya 24h'!F96)</f>
        <v>0</v>
      </c>
      <c r="G96" s="49">
        <f>AVERAGE('01.08 Ntinda-Naalya 24h'!G96,'03.08 Ntinda-Naalya 24h'!G96)</f>
        <v>0</v>
      </c>
      <c r="H96" s="49">
        <f>AVERAGE('01.08 Ntinda-Naalya 24h'!H96,'03.08 Ntinda-Naalya 24h'!H96)</f>
        <v>0</v>
      </c>
      <c r="I96" s="49">
        <f>AVERAGE('01.08 Ntinda-Naalya 24h'!I96,'03.08 Ntinda-Naalya 24h'!I96)</f>
        <v>0</v>
      </c>
      <c r="J96" s="49">
        <f>AVERAGE('01.08 Ntinda-Naalya 24h'!J96,'03.08 Ntinda-Naalya 24h'!J96)</f>
        <v>0</v>
      </c>
      <c r="K96" s="49">
        <f>AVERAGE('01.08 Ntinda-Naalya 24h'!K96,'03.08 Ntinda-Naalya 24h'!K96)</f>
        <v>0.5</v>
      </c>
      <c r="L96" s="49">
        <f>AVERAGE('01.08 Ntinda-Naalya 24h'!L96,'03.08 Ntinda-Naalya 24h'!L96)</f>
        <v>0</v>
      </c>
      <c r="M96" s="49">
        <f>AVERAGE('01.08 Ntinda-Naalya 24h'!M96,'03.08 Ntinda-Naalya 24h'!M96)</f>
        <v>2</v>
      </c>
      <c r="N96" s="49">
        <f>AVERAGE('01.08 Ntinda-Naalya 24h'!N96,'03.08 Ntinda-Naalya 24h'!N96)</f>
        <v>0</v>
      </c>
      <c r="O96" s="15">
        <f t="shared" si="35"/>
        <v>5.5</v>
      </c>
      <c r="P96" s="15">
        <f t="shared" si="36"/>
        <v>7.5</v>
      </c>
      <c r="R96" s="8"/>
      <c r="T96"/>
    </row>
    <row r="97" spans="2:20" ht="23.1" customHeight="1" x14ac:dyDescent="0.25">
      <c r="B97" s="23" t="s">
        <v>137</v>
      </c>
      <c r="C97" s="49">
        <f>AVERAGE('01.08 Ntinda-Naalya 24h'!C97,'03.08 Ntinda-Naalya 24h'!C97)</f>
        <v>8.5</v>
      </c>
      <c r="D97" s="49">
        <f>AVERAGE('01.08 Ntinda-Naalya 24h'!D97,'03.08 Ntinda-Naalya 24h'!D97)</f>
        <v>1</v>
      </c>
      <c r="E97" s="49">
        <f>AVERAGE('01.08 Ntinda-Naalya 24h'!E97,'03.08 Ntinda-Naalya 24h'!E97)</f>
        <v>1.5</v>
      </c>
      <c r="F97" s="49">
        <f>AVERAGE('01.08 Ntinda-Naalya 24h'!F97,'03.08 Ntinda-Naalya 24h'!F97)</f>
        <v>0.5</v>
      </c>
      <c r="G97" s="49">
        <f>AVERAGE('01.08 Ntinda-Naalya 24h'!G97,'03.08 Ntinda-Naalya 24h'!G97)</f>
        <v>0</v>
      </c>
      <c r="H97" s="49">
        <f>AVERAGE('01.08 Ntinda-Naalya 24h'!H97,'03.08 Ntinda-Naalya 24h'!H97)</f>
        <v>0</v>
      </c>
      <c r="I97" s="49">
        <f>AVERAGE('01.08 Ntinda-Naalya 24h'!I97,'03.08 Ntinda-Naalya 24h'!I97)</f>
        <v>0</v>
      </c>
      <c r="J97" s="49">
        <f>AVERAGE('01.08 Ntinda-Naalya 24h'!J97,'03.08 Ntinda-Naalya 24h'!J97)</f>
        <v>0.5</v>
      </c>
      <c r="K97" s="49">
        <f>AVERAGE('01.08 Ntinda-Naalya 24h'!K97,'03.08 Ntinda-Naalya 24h'!K97)</f>
        <v>0.5</v>
      </c>
      <c r="L97" s="49">
        <f>AVERAGE('01.08 Ntinda-Naalya 24h'!L97,'03.08 Ntinda-Naalya 24h'!L97)</f>
        <v>0</v>
      </c>
      <c r="M97" s="49">
        <f>AVERAGE('01.08 Ntinda-Naalya 24h'!M97,'03.08 Ntinda-Naalya 24h'!M97)</f>
        <v>3.5</v>
      </c>
      <c r="N97" s="49">
        <f>AVERAGE('01.08 Ntinda-Naalya 24h'!N97,'03.08 Ntinda-Naalya 24h'!N97)</f>
        <v>0</v>
      </c>
      <c r="O97" s="15">
        <f t="shared" si="35"/>
        <v>12.5</v>
      </c>
      <c r="P97" s="15">
        <f t="shared" si="36"/>
        <v>16</v>
      </c>
      <c r="R97" s="8"/>
      <c r="T97"/>
    </row>
    <row r="98" spans="2:20" ht="23.1" customHeight="1" x14ac:dyDescent="0.25">
      <c r="B98" s="24" t="s">
        <v>138</v>
      </c>
      <c r="C98" s="49">
        <f>AVERAGE('01.08 Ntinda-Naalya 24h'!C98,'03.08 Ntinda-Naalya 24h'!C98)</f>
        <v>20.5</v>
      </c>
      <c r="D98" s="49">
        <f>AVERAGE('01.08 Ntinda-Naalya 24h'!D98,'03.08 Ntinda-Naalya 24h'!D98)</f>
        <v>1</v>
      </c>
      <c r="E98" s="49">
        <f>AVERAGE('01.08 Ntinda-Naalya 24h'!E98,'03.08 Ntinda-Naalya 24h'!E98)</f>
        <v>0.5</v>
      </c>
      <c r="F98" s="49">
        <f>AVERAGE('01.08 Ntinda-Naalya 24h'!F98,'03.08 Ntinda-Naalya 24h'!F98)</f>
        <v>0</v>
      </c>
      <c r="G98" s="49">
        <f>AVERAGE('01.08 Ntinda-Naalya 24h'!G98,'03.08 Ntinda-Naalya 24h'!G98)</f>
        <v>0</v>
      </c>
      <c r="H98" s="49">
        <f>AVERAGE('01.08 Ntinda-Naalya 24h'!H98,'03.08 Ntinda-Naalya 24h'!H98)</f>
        <v>0</v>
      </c>
      <c r="I98" s="49">
        <f>AVERAGE('01.08 Ntinda-Naalya 24h'!I98,'03.08 Ntinda-Naalya 24h'!I98)</f>
        <v>1.5</v>
      </c>
      <c r="J98" s="49">
        <f>AVERAGE('01.08 Ntinda-Naalya 24h'!J98,'03.08 Ntinda-Naalya 24h'!J98)</f>
        <v>0.5</v>
      </c>
      <c r="K98" s="49">
        <f>AVERAGE('01.08 Ntinda-Naalya 24h'!K98,'03.08 Ntinda-Naalya 24h'!K98)</f>
        <v>0</v>
      </c>
      <c r="L98" s="49">
        <f>AVERAGE('01.08 Ntinda-Naalya 24h'!L98,'03.08 Ntinda-Naalya 24h'!L98)</f>
        <v>0</v>
      </c>
      <c r="M98" s="49">
        <f>AVERAGE('01.08 Ntinda-Naalya 24h'!M98,'03.08 Ntinda-Naalya 24h'!M98)</f>
        <v>3</v>
      </c>
      <c r="N98" s="49">
        <f>AVERAGE('01.08 Ntinda-Naalya 24h'!N98,'03.08 Ntinda-Naalya 24h'!N98)</f>
        <v>0</v>
      </c>
      <c r="O98" s="15">
        <f t="shared" si="35"/>
        <v>24</v>
      </c>
      <c r="P98" s="15">
        <f t="shared" si="36"/>
        <v>27</v>
      </c>
      <c r="R98" s="8"/>
      <c r="T98"/>
    </row>
    <row r="99" spans="2:20" ht="23.1" customHeight="1" x14ac:dyDescent="0.25">
      <c r="B99" s="23" t="s">
        <v>139</v>
      </c>
      <c r="C99" s="49">
        <f>AVERAGE('01.08 Ntinda-Naalya 24h'!C99,'03.08 Ntinda-Naalya 24h'!C99)</f>
        <v>16.5</v>
      </c>
      <c r="D99" s="49">
        <f>AVERAGE('01.08 Ntinda-Naalya 24h'!D99,'03.08 Ntinda-Naalya 24h'!D99)</f>
        <v>4.5</v>
      </c>
      <c r="E99" s="49">
        <f>AVERAGE('01.08 Ntinda-Naalya 24h'!E99,'03.08 Ntinda-Naalya 24h'!E99)</f>
        <v>0</v>
      </c>
      <c r="F99" s="49">
        <f>AVERAGE('01.08 Ntinda-Naalya 24h'!F99,'03.08 Ntinda-Naalya 24h'!F99)</f>
        <v>0</v>
      </c>
      <c r="G99" s="49">
        <f>AVERAGE('01.08 Ntinda-Naalya 24h'!G99,'03.08 Ntinda-Naalya 24h'!G99)</f>
        <v>0</v>
      </c>
      <c r="H99" s="49">
        <f>AVERAGE('01.08 Ntinda-Naalya 24h'!H99,'03.08 Ntinda-Naalya 24h'!H99)</f>
        <v>0</v>
      </c>
      <c r="I99" s="49">
        <f>AVERAGE('01.08 Ntinda-Naalya 24h'!I99,'03.08 Ntinda-Naalya 24h'!I99)</f>
        <v>0</v>
      </c>
      <c r="J99" s="49">
        <f>AVERAGE('01.08 Ntinda-Naalya 24h'!J99,'03.08 Ntinda-Naalya 24h'!J99)</f>
        <v>0</v>
      </c>
      <c r="K99" s="49">
        <f>AVERAGE('01.08 Ntinda-Naalya 24h'!K99,'03.08 Ntinda-Naalya 24h'!K99)</f>
        <v>0</v>
      </c>
      <c r="L99" s="49">
        <f>AVERAGE('01.08 Ntinda-Naalya 24h'!L99,'03.08 Ntinda-Naalya 24h'!L99)</f>
        <v>0</v>
      </c>
      <c r="M99" s="49">
        <f>AVERAGE('01.08 Ntinda-Naalya 24h'!M99,'03.08 Ntinda-Naalya 24h'!M99)</f>
        <v>3.5</v>
      </c>
      <c r="N99" s="49">
        <f>AVERAGE('01.08 Ntinda-Naalya 24h'!N99,'03.08 Ntinda-Naalya 24h'!N99)</f>
        <v>0</v>
      </c>
      <c r="O99" s="15">
        <f t="shared" si="35"/>
        <v>21</v>
      </c>
      <c r="P99" s="15">
        <f t="shared" si="36"/>
        <v>24.5</v>
      </c>
      <c r="R99" s="8"/>
      <c r="T99"/>
    </row>
    <row r="100" spans="2:20" ht="23.1" customHeight="1" x14ac:dyDescent="0.25">
      <c r="B100" s="25" t="s">
        <v>140</v>
      </c>
      <c r="C100" s="49">
        <f>AVERAGE('01.08 Ntinda-Naalya 24h'!C100,'03.08 Ntinda-Naalya 24h'!C100)</f>
        <v>22.5</v>
      </c>
      <c r="D100" s="49">
        <f>AVERAGE('01.08 Ntinda-Naalya 24h'!D100,'03.08 Ntinda-Naalya 24h'!D100)</f>
        <v>0.5</v>
      </c>
      <c r="E100" s="49">
        <f>AVERAGE('01.08 Ntinda-Naalya 24h'!E100,'03.08 Ntinda-Naalya 24h'!E100)</f>
        <v>1</v>
      </c>
      <c r="F100" s="49">
        <f>AVERAGE('01.08 Ntinda-Naalya 24h'!F100,'03.08 Ntinda-Naalya 24h'!F100)</f>
        <v>0.5</v>
      </c>
      <c r="G100" s="49">
        <f>AVERAGE('01.08 Ntinda-Naalya 24h'!G100,'03.08 Ntinda-Naalya 24h'!G100)</f>
        <v>0</v>
      </c>
      <c r="H100" s="49">
        <f>AVERAGE('01.08 Ntinda-Naalya 24h'!H100,'03.08 Ntinda-Naalya 24h'!H100)</f>
        <v>0.5</v>
      </c>
      <c r="I100" s="49">
        <f>AVERAGE('01.08 Ntinda-Naalya 24h'!I100,'03.08 Ntinda-Naalya 24h'!I100)</f>
        <v>0</v>
      </c>
      <c r="J100" s="49">
        <f>AVERAGE('01.08 Ntinda-Naalya 24h'!J100,'03.08 Ntinda-Naalya 24h'!J100)</f>
        <v>0</v>
      </c>
      <c r="K100" s="49">
        <f>AVERAGE('01.08 Ntinda-Naalya 24h'!K100,'03.08 Ntinda-Naalya 24h'!K100)</f>
        <v>0</v>
      </c>
      <c r="L100" s="49">
        <f>AVERAGE('01.08 Ntinda-Naalya 24h'!L100,'03.08 Ntinda-Naalya 24h'!L100)</f>
        <v>0</v>
      </c>
      <c r="M100" s="49">
        <f>AVERAGE('01.08 Ntinda-Naalya 24h'!M100,'03.08 Ntinda-Naalya 24h'!M100)</f>
        <v>5.5</v>
      </c>
      <c r="N100" s="49">
        <f>AVERAGE('01.08 Ntinda-Naalya 24h'!N100,'03.08 Ntinda-Naalya 24h'!N100)</f>
        <v>0</v>
      </c>
      <c r="O100" s="15">
        <f t="shared" si="35"/>
        <v>25</v>
      </c>
      <c r="P100" s="15">
        <f t="shared" si="36"/>
        <v>30.5</v>
      </c>
      <c r="R100" s="8"/>
      <c r="T100"/>
    </row>
    <row r="101" spans="2:20" ht="23.1" customHeight="1" x14ac:dyDescent="0.25">
      <c r="B101" s="23" t="s">
        <v>141</v>
      </c>
      <c r="C101" s="49">
        <f>AVERAGE('01.08 Ntinda-Naalya 24h'!C101,'03.08 Ntinda-Naalya 24h'!C101)</f>
        <v>19.5</v>
      </c>
      <c r="D101" s="49">
        <f>AVERAGE('01.08 Ntinda-Naalya 24h'!D101,'03.08 Ntinda-Naalya 24h'!D101)</f>
        <v>1</v>
      </c>
      <c r="E101" s="49">
        <f>AVERAGE('01.08 Ntinda-Naalya 24h'!E101,'03.08 Ntinda-Naalya 24h'!E101)</f>
        <v>0.5</v>
      </c>
      <c r="F101" s="49">
        <f>AVERAGE('01.08 Ntinda-Naalya 24h'!F101,'03.08 Ntinda-Naalya 24h'!F101)</f>
        <v>4</v>
      </c>
      <c r="G101" s="49">
        <f>AVERAGE('01.08 Ntinda-Naalya 24h'!G101,'03.08 Ntinda-Naalya 24h'!G101)</f>
        <v>0</v>
      </c>
      <c r="H101" s="49">
        <f>AVERAGE('01.08 Ntinda-Naalya 24h'!H101,'03.08 Ntinda-Naalya 24h'!H101)</f>
        <v>0</v>
      </c>
      <c r="I101" s="49">
        <f>AVERAGE('01.08 Ntinda-Naalya 24h'!I101,'03.08 Ntinda-Naalya 24h'!I101)</f>
        <v>0</v>
      </c>
      <c r="J101" s="49">
        <f>AVERAGE('01.08 Ntinda-Naalya 24h'!J101,'03.08 Ntinda-Naalya 24h'!J101)</f>
        <v>0</v>
      </c>
      <c r="K101" s="49">
        <f>AVERAGE('01.08 Ntinda-Naalya 24h'!K101,'03.08 Ntinda-Naalya 24h'!K101)</f>
        <v>0</v>
      </c>
      <c r="L101" s="49">
        <f>AVERAGE('01.08 Ntinda-Naalya 24h'!L101,'03.08 Ntinda-Naalya 24h'!L101)</f>
        <v>0</v>
      </c>
      <c r="M101" s="49">
        <f>AVERAGE('01.08 Ntinda-Naalya 24h'!M101,'03.08 Ntinda-Naalya 24h'!M101)</f>
        <v>6.5</v>
      </c>
      <c r="N101" s="49">
        <f>AVERAGE('01.08 Ntinda-Naalya 24h'!N101,'03.08 Ntinda-Naalya 24h'!N101)</f>
        <v>0</v>
      </c>
      <c r="O101" s="15">
        <f t="shared" si="35"/>
        <v>25</v>
      </c>
      <c r="P101" s="15">
        <f t="shared" si="36"/>
        <v>31.5</v>
      </c>
      <c r="R101" s="8"/>
      <c r="T101"/>
    </row>
    <row r="102" spans="2:20" ht="23.1" customHeight="1" x14ac:dyDescent="0.25">
      <c r="B102" s="24" t="s">
        <v>142</v>
      </c>
      <c r="C102" s="49">
        <f>AVERAGE('01.08 Ntinda-Naalya 24h'!C102,'03.08 Ntinda-Naalya 24h'!C102)</f>
        <v>24.5</v>
      </c>
      <c r="D102" s="49">
        <f>AVERAGE('01.08 Ntinda-Naalya 24h'!D102,'03.08 Ntinda-Naalya 24h'!D102)</f>
        <v>3.5</v>
      </c>
      <c r="E102" s="49">
        <f>AVERAGE('01.08 Ntinda-Naalya 24h'!E102,'03.08 Ntinda-Naalya 24h'!E102)</f>
        <v>3.5</v>
      </c>
      <c r="F102" s="49">
        <f>AVERAGE('01.08 Ntinda-Naalya 24h'!F102,'03.08 Ntinda-Naalya 24h'!F102)</f>
        <v>3</v>
      </c>
      <c r="G102" s="49">
        <f>AVERAGE('01.08 Ntinda-Naalya 24h'!G102,'03.08 Ntinda-Naalya 24h'!G102)</f>
        <v>0</v>
      </c>
      <c r="H102" s="49">
        <f>AVERAGE('01.08 Ntinda-Naalya 24h'!H102,'03.08 Ntinda-Naalya 24h'!H102)</f>
        <v>0</v>
      </c>
      <c r="I102" s="49">
        <f>AVERAGE('01.08 Ntinda-Naalya 24h'!I102,'03.08 Ntinda-Naalya 24h'!I102)</f>
        <v>0</v>
      </c>
      <c r="J102" s="49">
        <f>AVERAGE('01.08 Ntinda-Naalya 24h'!J102,'03.08 Ntinda-Naalya 24h'!J102)</f>
        <v>0</v>
      </c>
      <c r="K102" s="49">
        <f>AVERAGE('01.08 Ntinda-Naalya 24h'!K102,'03.08 Ntinda-Naalya 24h'!K102)</f>
        <v>0</v>
      </c>
      <c r="L102" s="49">
        <f>AVERAGE('01.08 Ntinda-Naalya 24h'!L102,'03.08 Ntinda-Naalya 24h'!L102)</f>
        <v>0</v>
      </c>
      <c r="M102" s="49">
        <f>AVERAGE('01.08 Ntinda-Naalya 24h'!M102,'03.08 Ntinda-Naalya 24h'!M102)</f>
        <v>4</v>
      </c>
      <c r="N102" s="49">
        <f>AVERAGE('01.08 Ntinda-Naalya 24h'!N102,'03.08 Ntinda-Naalya 24h'!N102)</f>
        <v>0</v>
      </c>
      <c r="O102" s="15">
        <f t="shared" si="35"/>
        <v>34.5</v>
      </c>
      <c r="P102" s="15">
        <f t="shared" si="36"/>
        <v>38.5</v>
      </c>
      <c r="R102" s="8"/>
      <c r="T102"/>
    </row>
    <row r="103" spans="2:20" ht="23.1" customHeight="1" x14ac:dyDescent="0.25">
      <c r="B103" s="23" t="s">
        <v>143</v>
      </c>
      <c r="C103" s="49">
        <f>AVERAGE('01.08 Ntinda-Naalya 24h'!C103,'03.08 Ntinda-Naalya 24h'!C103)</f>
        <v>36</v>
      </c>
      <c r="D103" s="49">
        <f>AVERAGE('01.08 Ntinda-Naalya 24h'!D103,'03.08 Ntinda-Naalya 24h'!D103)</f>
        <v>12.5</v>
      </c>
      <c r="E103" s="49">
        <f>AVERAGE('01.08 Ntinda-Naalya 24h'!E103,'03.08 Ntinda-Naalya 24h'!E103)</f>
        <v>4</v>
      </c>
      <c r="F103" s="49">
        <f>AVERAGE('01.08 Ntinda-Naalya 24h'!F103,'03.08 Ntinda-Naalya 24h'!F103)</f>
        <v>6.5</v>
      </c>
      <c r="G103" s="49">
        <f>AVERAGE('01.08 Ntinda-Naalya 24h'!G103,'03.08 Ntinda-Naalya 24h'!G103)</f>
        <v>0.5</v>
      </c>
      <c r="H103" s="49">
        <f>AVERAGE('01.08 Ntinda-Naalya 24h'!H103,'03.08 Ntinda-Naalya 24h'!H103)</f>
        <v>0</v>
      </c>
      <c r="I103" s="49">
        <f>AVERAGE('01.08 Ntinda-Naalya 24h'!I103,'03.08 Ntinda-Naalya 24h'!I103)</f>
        <v>0</v>
      </c>
      <c r="J103" s="49">
        <f>AVERAGE('01.08 Ntinda-Naalya 24h'!J103,'03.08 Ntinda-Naalya 24h'!J103)</f>
        <v>0</v>
      </c>
      <c r="K103" s="49">
        <f>AVERAGE('01.08 Ntinda-Naalya 24h'!K103,'03.08 Ntinda-Naalya 24h'!K103)</f>
        <v>0</v>
      </c>
      <c r="L103" s="49">
        <f>AVERAGE('01.08 Ntinda-Naalya 24h'!L103,'03.08 Ntinda-Naalya 24h'!L103)</f>
        <v>0</v>
      </c>
      <c r="M103" s="49">
        <f>AVERAGE('01.08 Ntinda-Naalya 24h'!M103,'03.08 Ntinda-Naalya 24h'!M103)</f>
        <v>8</v>
      </c>
      <c r="N103" s="49">
        <f>AVERAGE('01.08 Ntinda-Naalya 24h'!N103,'03.08 Ntinda-Naalya 24h'!N103)</f>
        <v>0</v>
      </c>
      <c r="O103" s="15">
        <f t="shared" si="35"/>
        <v>59.5</v>
      </c>
      <c r="P103" s="15">
        <f t="shared" si="36"/>
        <v>67.5</v>
      </c>
      <c r="R103" s="8"/>
      <c r="T103"/>
    </row>
    <row r="104" spans="2:20" ht="23.1" customHeight="1" x14ac:dyDescent="0.25">
      <c r="B104" s="25" t="s">
        <v>144</v>
      </c>
      <c r="C104" s="49">
        <f>AVERAGE('01.08 Ntinda-Naalya 24h'!C104,'03.08 Ntinda-Naalya 24h'!C104)</f>
        <v>54.5</v>
      </c>
      <c r="D104" s="49">
        <f>AVERAGE('01.08 Ntinda-Naalya 24h'!D104,'03.08 Ntinda-Naalya 24h'!D104)</f>
        <v>8.5</v>
      </c>
      <c r="E104" s="49">
        <f>AVERAGE('01.08 Ntinda-Naalya 24h'!E104,'03.08 Ntinda-Naalya 24h'!E104)</f>
        <v>4</v>
      </c>
      <c r="F104" s="49">
        <f>AVERAGE('01.08 Ntinda-Naalya 24h'!F104,'03.08 Ntinda-Naalya 24h'!F104)</f>
        <v>5.5</v>
      </c>
      <c r="G104" s="49">
        <f>AVERAGE('01.08 Ntinda-Naalya 24h'!G104,'03.08 Ntinda-Naalya 24h'!G104)</f>
        <v>1.5</v>
      </c>
      <c r="H104" s="49">
        <f>AVERAGE('01.08 Ntinda-Naalya 24h'!H104,'03.08 Ntinda-Naalya 24h'!H104)</f>
        <v>0</v>
      </c>
      <c r="I104" s="49">
        <f>AVERAGE('01.08 Ntinda-Naalya 24h'!I104,'03.08 Ntinda-Naalya 24h'!I104)</f>
        <v>0</v>
      </c>
      <c r="J104" s="49">
        <f>AVERAGE('01.08 Ntinda-Naalya 24h'!J104,'03.08 Ntinda-Naalya 24h'!J104)</f>
        <v>0</v>
      </c>
      <c r="K104" s="49">
        <f>AVERAGE('01.08 Ntinda-Naalya 24h'!K104,'03.08 Ntinda-Naalya 24h'!K104)</f>
        <v>0</v>
      </c>
      <c r="L104" s="49">
        <f>AVERAGE('01.08 Ntinda-Naalya 24h'!L104,'03.08 Ntinda-Naalya 24h'!L104)</f>
        <v>0</v>
      </c>
      <c r="M104" s="49">
        <f>AVERAGE('01.08 Ntinda-Naalya 24h'!M104,'03.08 Ntinda-Naalya 24h'!M104)</f>
        <v>10</v>
      </c>
      <c r="N104" s="49">
        <f>AVERAGE('01.08 Ntinda-Naalya 24h'!N104,'03.08 Ntinda-Naalya 24h'!N104)</f>
        <v>0</v>
      </c>
      <c r="O104" s="15">
        <f t="shared" si="35"/>
        <v>74</v>
      </c>
      <c r="P104" s="15">
        <f t="shared" si="36"/>
        <v>84</v>
      </c>
      <c r="R104" s="8"/>
      <c r="T104"/>
    </row>
    <row r="105" spans="2:20" ht="23.1" customHeight="1" x14ac:dyDescent="0.25">
      <c r="B105" s="23" t="s">
        <v>145</v>
      </c>
      <c r="C105" s="49">
        <f>AVERAGE('01.08 Ntinda-Naalya 24h'!C105,'03.08 Ntinda-Naalya 24h'!C105)</f>
        <v>48.5</v>
      </c>
      <c r="D105" s="49">
        <f>AVERAGE('01.08 Ntinda-Naalya 24h'!D105,'03.08 Ntinda-Naalya 24h'!D105)</f>
        <v>11</v>
      </c>
      <c r="E105" s="49">
        <f>AVERAGE('01.08 Ntinda-Naalya 24h'!E105,'03.08 Ntinda-Naalya 24h'!E105)</f>
        <v>3</v>
      </c>
      <c r="F105" s="49">
        <f>AVERAGE('01.08 Ntinda-Naalya 24h'!F105,'03.08 Ntinda-Naalya 24h'!F105)</f>
        <v>3.5</v>
      </c>
      <c r="G105" s="49">
        <f>AVERAGE('01.08 Ntinda-Naalya 24h'!G105,'03.08 Ntinda-Naalya 24h'!G105)</f>
        <v>1</v>
      </c>
      <c r="H105" s="49">
        <f>AVERAGE('01.08 Ntinda-Naalya 24h'!H105,'03.08 Ntinda-Naalya 24h'!H105)</f>
        <v>0</v>
      </c>
      <c r="I105" s="49">
        <f>AVERAGE('01.08 Ntinda-Naalya 24h'!I105,'03.08 Ntinda-Naalya 24h'!I105)</f>
        <v>0</v>
      </c>
      <c r="J105" s="49">
        <f>AVERAGE('01.08 Ntinda-Naalya 24h'!J105,'03.08 Ntinda-Naalya 24h'!J105)</f>
        <v>0</v>
      </c>
      <c r="K105" s="49">
        <f>AVERAGE('01.08 Ntinda-Naalya 24h'!K105,'03.08 Ntinda-Naalya 24h'!K105)</f>
        <v>0</v>
      </c>
      <c r="L105" s="49">
        <f>AVERAGE('01.08 Ntinda-Naalya 24h'!L105,'03.08 Ntinda-Naalya 24h'!L105)</f>
        <v>0</v>
      </c>
      <c r="M105" s="49">
        <f>AVERAGE('01.08 Ntinda-Naalya 24h'!M105,'03.08 Ntinda-Naalya 24h'!M105)</f>
        <v>7.5</v>
      </c>
      <c r="N105" s="49">
        <f>AVERAGE('01.08 Ntinda-Naalya 24h'!N105,'03.08 Ntinda-Naalya 24h'!N105)</f>
        <v>0</v>
      </c>
      <c r="O105" s="15">
        <f t="shared" si="35"/>
        <v>67</v>
      </c>
      <c r="P105" s="15">
        <f t="shared" si="36"/>
        <v>74.5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7147.2857142857138</v>
      </c>
      <c r="D106" s="16">
        <f t="shared" ref="D106:O106" si="37">SUM(D10:D105)</f>
        <v>1506.2142857142858</v>
      </c>
      <c r="E106" s="16">
        <f t="shared" si="37"/>
        <v>382.14285714285717</v>
      </c>
      <c r="F106" s="16">
        <f t="shared" si="37"/>
        <v>468.35714285714278</v>
      </c>
      <c r="G106" s="16">
        <f t="shared" si="37"/>
        <v>40.642857142857153</v>
      </c>
      <c r="H106" s="16">
        <f t="shared" si="37"/>
        <v>13.000000000000004</v>
      </c>
      <c r="I106" s="16">
        <f t="shared" si="37"/>
        <v>198.21428571428569</v>
      </c>
      <c r="J106" s="16">
        <f t="shared" si="37"/>
        <v>83.428571428571431</v>
      </c>
      <c r="K106" s="16">
        <f t="shared" si="37"/>
        <v>30.714285714285715</v>
      </c>
      <c r="L106" s="16">
        <f t="shared" si="37"/>
        <v>8.7857142857142883</v>
      </c>
      <c r="M106" s="16">
        <f t="shared" si="37"/>
        <v>4297.3571428571431</v>
      </c>
      <c r="N106" s="16">
        <f t="shared" si="37"/>
        <v>0.42857142857142855</v>
      </c>
      <c r="O106" s="16">
        <f t="shared" si="37"/>
        <v>9879.2142857142862</v>
      </c>
      <c r="P106" s="16">
        <f>SUM(P10:P105)</f>
        <v>14176.571428571431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0.50416179612237477</v>
      </c>
      <c r="D107" s="43">
        <f t="shared" si="38"/>
        <v>0.10624672497883832</v>
      </c>
      <c r="E107" s="43">
        <f t="shared" si="38"/>
        <v>2.6955943407634322E-2</v>
      </c>
      <c r="F107" s="43">
        <f t="shared" si="38"/>
        <v>3.3037405780160414E-2</v>
      </c>
      <c r="G107" s="43">
        <f t="shared" si="38"/>
        <v>2.86690313998952E-3</v>
      </c>
      <c r="H107" s="43">
        <f t="shared" si="38"/>
        <v>9.1700592526905563E-4</v>
      </c>
      <c r="I107" s="43">
        <f t="shared" si="38"/>
        <v>1.3981821113305651E-2</v>
      </c>
      <c r="J107" s="43">
        <f t="shared" si="38"/>
        <v>5.8849611028255868E-3</v>
      </c>
      <c r="K107" s="43">
        <f t="shared" si="38"/>
        <v>2.1665524608005158E-3</v>
      </c>
      <c r="L107" s="43">
        <f t="shared" si="38"/>
        <v>6.1973477367084531E-4</v>
      </c>
      <c r="M107" s="43">
        <f t="shared" si="38"/>
        <v>0.30313092023056143</v>
      </c>
      <c r="N107" s="43">
        <f t="shared" si="38"/>
        <v>3.0230964569309516E-5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0.72346701949981551</v>
      </c>
      <c r="D108" s="44">
        <f t="shared" ref="D108:N108" si="39">D106/$O$106</f>
        <v>0.15246296336464005</v>
      </c>
      <c r="E108" s="44">
        <f t="shared" si="39"/>
        <v>3.8681503011373082E-2</v>
      </c>
      <c r="F108" s="44">
        <f t="shared" si="39"/>
        <v>4.7408339298237991E-2</v>
      </c>
      <c r="G108" s="44">
        <f t="shared" si="39"/>
        <v>4.1139766754151944E-3</v>
      </c>
      <c r="H108" s="44">
        <f t="shared" si="39"/>
        <v>1.3158941211345613E-3</v>
      </c>
      <c r="I108" s="44">
        <f t="shared" si="39"/>
        <v>2.0063770253562672E-2</v>
      </c>
      <c r="J108" s="44">
        <f t="shared" si="39"/>
        <v>8.444858975193226E-3</v>
      </c>
      <c r="K108" s="44">
        <f t="shared" si="39"/>
        <v>3.1089806158673696E-3</v>
      </c>
      <c r="L108" s="44">
        <f t="shared" si="39"/>
        <v>8.893130598876431E-4</v>
      </c>
      <c r="M108" s="44"/>
      <c r="N108" s="44">
        <f t="shared" si="39"/>
        <v>4.3381124872567944E-5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H48" zoomScale="64" zoomScaleSheetLayoutView="64" workbookViewId="0">
      <selection activeCell="AD77" sqref="AD7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'04.08 Naalya-Ntinda'!C3:G3</f>
        <v>MCC - C1 - STN38 - NAALYA EAST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7" t="s">
        <v>162</v>
      </c>
      <c r="E5" s="68"/>
      <c r="F5" s="41" t="s">
        <v>1</v>
      </c>
      <c r="G5" s="65" t="str">
        <f>'04.08 Naalya-Ntinda'!G5:H5</f>
        <v>NAALYA ROUND ABOUT</v>
      </c>
      <c r="H5" s="66"/>
      <c r="I5" s="14"/>
      <c r="J5" s="2" t="s">
        <v>5</v>
      </c>
      <c r="K5" s="65" t="str">
        <f>'04.08 Naalya-Ntinda'!K5:L5</f>
        <v>HARRIET N/NASSIWA A/MUTE C/PHOEBY/KAZIBWE J/NAKAYE J.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5" t="str">
        <f>'04.08 Naalya-Ntinda'!D6:E6</f>
        <v>NAALYA</v>
      </c>
      <c r="E6" s="66"/>
      <c r="F6" s="2" t="s">
        <v>2</v>
      </c>
      <c r="G6" s="65" t="str">
        <f>'04.08 Naalya-Ntinda'!G6:H6</f>
        <v>NTINDA</v>
      </c>
      <c r="H6" s="66"/>
      <c r="J6" s="2" t="s">
        <v>21</v>
      </c>
      <c r="K6" s="65" t="str">
        <f>'04.08 Naalya-Ntinda'!K6:L6</f>
        <v>STEVEN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AVERAGE('29.07 Naalya-Ntinda'!C10,'30.07 Naalya-Ntinda'!C10,'31.07 Naalya-Ntinda'!C10,'02.08 Naalya-Ntinda'!C10,'01.08 Naalya-Ntinda 24h'!C10,'03.08 Naalya-Ntinda-24h'!C10,'04.08 Naalya-Ntinda'!C10)</f>
        <v>77.571428571428569</v>
      </c>
      <c r="D10" s="49">
        <f>AVERAGE('29.07 Naalya-Ntinda'!D10,'30.07 Naalya-Ntinda'!D10,'31.07 Naalya-Ntinda'!D10,'02.08 Naalya-Ntinda'!D10,'01.08 Naalya-Ntinda 24h'!D10,'03.08 Naalya-Ntinda-24h'!D10,'04.08 Naalya-Ntinda'!D10)</f>
        <v>54.428571428571431</v>
      </c>
      <c r="E10" s="49">
        <f>AVERAGE('29.07 Naalya-Ntinda'!E10,'30.07 Naalya-Ntinda'!E10,'31.07 Naalya-Ntinda'!E10,'02.08 Naalya-Ntinda'!E10,'01.08 Naalya-Ntinda 24h'!E10,'03.08 Naalya-Ntinda-24h'!E10,'04.08 Naalya-Ntinda'!E10)</f>
        <v>8.2857142857142865</v>
      </c>
      <c r="F10" s="49">
        <f>AVERAGE('29.07 Naalya-Ntinda'!F10,'30.07 Naalya-Ntinda'!F10,'31.07 Naalya-Ntinda'!F10,'02.08 Naalya-Ntinda'!F10,'01.08 Naalya-Ntinda 24h'!F10,'03.08 Naalya-Ntinda-24h'!F10,'04.08 Naalya-Ntinda'!F10)</f>
        <v>4.1428571428571432</v>
      </c>
      <c r="G10" s="49">
        <f>AVERAGE('29.07 Naalya-Ntinda'!G10,'30.07 Naalya-Ntinda'!G10,'31.07 Naalya-Ntinda'!G10,'02.08 Naalya-Ntinda'!G10,'01.08 Naalya-Ntinda 24h'!G10,'03.08 Naalya-Ntinda-24h'!G10,'04.08 Naalya-Ntinda'!G10)</f>
        <v>0.7142857142857143</v>
      </c>
      <c r="H10" s="49">
        <f>AVERAGE('29.07 Naalya-Ntinda'!H10,'30.07 Naalya-Ntinda'!H10,'31.07 Naalya-Ntinda'!H10,'02.08 Naalya-Ntinda'!H10,'01.08 Naalya-Ntinda 24h'!H10,'03.08 Naalya-Ntinda-24h'!H10,'04.08 Naalya-Ntinda'!H10)</f>
        <v>0.14285714285714285</v>
      </c>
      <c r="I10" s="49">
        <f>AVERAGE('29.07 Naalya-Ntinda'!I10,'30.07 Naalya-Ntinda'!I10,'31.07 Naalya-Ntinda'!I10,'02.08 Naalya-Ntinda'!I10,'01.08 Naalya-Ntinda 24h'!I10,'03.08 Naalya-Ntinda-24h'!I10,'04.08 Naalya-Ntinda'!I10)</f>
        <v>1.4285714285714286</v>
      </c>
      <c r="J10" s="49">
        <f>AVERAGE('29.07 Naalya-Ntinda'!J10,'30.07 Naalya-Ntinda'!J10,'31.07 Naalya-Ntinda'!J10,'02.08 Naalya-Ntinda'!J10,'01.08 Naalya-Ntinda 24h'!J10,'03.08 Naalya-Ntinda-24h'!J10,'04.08 Naalya-Ntinda'!J10)</f>
        <v>1.4285714285714286</v>
      </c>
      <c r="K10" s="49">
        <f>AVERAGE('29.07 Naalya-Ntinda'!K10,'30.07 Naalya-Ntinda'!K10,'31.07 Naalya-Ntinda'!K10,'02.08 Naalya-Ntinda'!K10,'01.08 Naalya-Ntinda 24h'!K10,'03.08 Naalya-Ntinda-24h'!K10,'04.08 Naalya-Ntinda'!K10)</f>
        <v>0.2857142857142857</v>
      </c>
      <c r="L10" s="49">
        <f>AVERAGE('29.07 Naalya-Ntinda'!L10,'30.07 Naalya-Ntinda'!L10,'31.07 Naalya-Ntinda'!L10,'02.08 Naalya-Ntinda'!L10,'01.08 Naalya-Ntinda 24h'!L10,'03.08 Naalya-Ntinda-24h'!L10,'04.08 Naalya-Ntinda'!L10)</f>
        <v>0</v>
      </c>
      <c r="M10" s="49">
        <f>AVERAGE('29.07 Naalya-Ntinda'!M10,'30.07 Naalya-Ntinda'!M10,'31.07 Naalya-Ntinda'!M10,'02.08 Naalya-Ntinda'!M10,'01.08 Naalya-Ntinda 24h'!M10,'03.08 Naalya-Ntinda-24h'!M10,'04.08 Naalya-Ntinda'!M10)</f>
        <v>40.571428571428569</v>
      </c>
      <c r="N10" s="49">
        <f>AVERAGE('29.07 Naalya-Ntinda'!N10,'30.07 Naalya-Ntinda'!N10,'31.07 Naalya-Ntinda'!N10,'02.08 Naalya-Ntinda'!N10,'01.08 Naalya-Ntinda 24h'!N10,'03.08 Naalya-Ntinda-24h'!N10,'04.08 Naalya-Ntinda'!N10)</f>
        <v>0</v>
      </c>
      <c r="O10" s="15">
        <f t="shared" ref="O10:O58" si="0">SUM(C10:L10,N10)</f>
        <v>148.42857142857139</v>
      </c>
      <c r="P10" s="15">
        <f t="shared" ref="P10:P58" si="1">SUM(C10:N10)</f>
        <v>188.99999999999994</v>
      </c>
      <c r="R10" s="1" t="s">
        <v>6</v>
      </c>
      <c r="S10" s="17">
        <f t="shared" ref="S10:AF10" si="2">SUM(C10:C13)</f>
        <v>419</v>
      </c>
      <c r="T10" s="17">
        <f t="shared" si="2"/>
        <v>273.85714285714283</v>
      </c>
      <c r="U10" s="17">
        <f t="shared" si="2"/>
        <v>48.428571428571431</v>
      </c>
      <c r="V10" s="17">
        <f t="shared" si="2"/>
        <v>26.857142857142861</v>
      </c>
      <c r="W10" s="17">
        <f t="shared" si="2"/>
        <v>2.7142857142857144</v>
      </c>
      <c r="X10" s="17">
        <f t="shared" si="2"/>
        <v>0.14285714285714285</v>
      </c>
      <c r="Y10" s="17">
        <f t="shared" si="2"/>
        <v>6.1428571428571432</v>
      </c>
      <c r="Z10" s="17">
        <f t="shared" si="2"/>
        <v>4.7142857142857135</v>
      </c>
      <c r="AA10" s="17">
        <f t="shared" si="2"/>
        <v>0.5714285714285714</v>
      </c>
      <c r="AB10" s="17">
        <f t="shared" si="2"/>
        <v>0.14285714285714285</v>
      </c>
      <c r="AC10" s="17">
        <f t="shared" si="2"/>
        <v>308.14285714285717</v>
      </c>
      <c r="AD10" s="17">
        <f t="shared" si="2"/>
        <v>0</v>
      </c>
      <c r="AE10" s="31">
        <f t="shared" si="2"/>
        <v>782.57142857142856</v>
      </c>
      <c r="AF10" s="31">
        <f t="shared" si="2"/>
        <v>1090.7142857142858</v>
      </c>
    </row>
    <row r="11" spans="2:32" s="6" customFormat="1" ht="23.1" customHeight="1" x14ac:dyDescent="0.25">
      <c r="B11" s="23" t="s">
        <v>38</v>
      </c>
      <c r="C11" s="49">
        <f>AVERAGE('29.07 Naalya-Ntinda'!C11,'30.07 Naalya-Ntinda'!C11,'31.07 Naalya-Ntinda'!C11,'02.08 Naalya-Ntinda'!C11,'01.08 Naalya-Ntinda 24h'!C11,'03.08 Naalya-Ntinda-24h'!C11,'04.08 Naalya-Ntinda'!C11)</f>
        <v>89.142857142857139</v>
      </c>
      <c r="D11" s="49">
        <f>AVERAGE('29.07 Naalya-Ntinda'!D11,'30.07 Naalya-Ntinda'!D11,'31.07 Naalya-Ntinda'!D11,'02.08 Naalya-Ntinda'!D11,'01.08 Naalya-Ntinda 24h'!D11,'03.08 Naalya-Ntinda-24h'!D11,'04.08 Naalya-Ntinda'!D11)</f>
        <v>67.857142857142861</v>
      </c>
      <c r="E11" s="49">
        <f>AVERAGE('29.07 Naalya-Ntinda'!E11,'30.07 Naalya-Ntinda'!E11,'31.07 Naalya-Ntinda'!E11,'02.08 Naalya-Ntinda'!E11,'01.08 Naalya-Ntinda 24h'!E11,'03.08 Naalya-Ntinda-24h'!E11,'04.08 Naalya-Ntinda'!E11)</f>
        <v>12.714285714285714</v>
      </c>
      <c r="F11" s="49">
        <f>AVERAGE('29.07 Naalya-Ntinda'!F11,'30.07 Naalya-Ntinda'!F11,'31.07 Naalya-Ntinda'!F11,'02.08 Naalya-Ntinda'!F11,'01.08 Naalya-Ntinda 24h'!F11,'03.08 Naalya-Ntinda-24h'!F11,'04.08 Naalya-Ntinda'!F11)</f>
        <v>5.4285714285714288</v>
      </c>
      <c r="G11" s="49">
        <f>AVERAGE('29.07 Naalya-Ntinda'!G11,'30.07 Naalya-Ntinda'!G11,'31.07 Naalya-Ntinda'!G11,'02.08 Naalya-Ntinda'!G11,'01.08 Naalya-Ntinda 24h'!G11,'03.08 Naalya-Ntinda-24h'!G11,'04.08 Naalya-Ntinda'!G11)</f>
        <v>0.2857142857142857</v>
      </c>
      <c r="H11" s="49">
        <f>AVERAGE('29.07 Naalya-Ntinda'!H11,'30.07 Naalya-Ntinda'!H11,'31.07 Naalya-Ntinda'!H11,'02.08 Naalya-Ntinda'!H11,'01.08 Naalya-Ntinda 24h'!H11,'03.08 Naalya-Ntinda-24h'!H11,'04.08 Naalya-Ntinda'!H11)</f>
        <v>0</v>
      </c>
      <c r="I11" s="49">
        <f>AVERAGE('29.07 Naalya-Ntinda'!I11,'30.07 Naalya-Ntinda'!I11,'31.07 Naalya-Ntinda'!I11,'02.08 Naalya-Ntinda'!I11,'01.08 Naalya-Ntinda 24h'!I11,'03.08 Naalya-Ntinda-24h'!I11,'04.08 Naalya-Ntinda'!I11)</f>
        <v>1.2857142857142858</v>
      </c>
      <c r="J11" s="49">
        <f>AVERAGE('29.07 Naalya-Ntinda'!J11,'30.07 Naalya-Ntinda'!J11,'31.07 Naalya-Ntinda'!J11,'02.08 Naalya-Ntinda'!J11,'01.08 Naalya-Ntinda 24h'!J11,'03.08 Naalya-Ntinda-24h'!J11,'04.08 Naalya-Ntinda'!J11)</f>
        <v>0.7142857142857143</v>
      </c>
      <c r="K11" s="49">
        <f>AVERAGE('29.07 Naalya-Ntinda'!K11,'30.07 Naalya-Ntinda'!K11,'31.07 Naalya-Ntinda'!K11,'02.08 Naalya-Ntinda'!K11,'01.08 Naalya-Ntinda 24h'!K11,'03.08 Naalya-Ntinda-24h'!K11,'04.08 Naalya-Ntinda'!K11)</f>
        <v>0</v>
      </c>
      <c r="L11" s="49">
        <f>AVERAGE('29.07 Naalya-Ntinda'!L11,'30.07 Naalya-Ntinda'!L11,'31.07 Naalya-Ntinda'!L11,'02.08 Naalya-Ntinda'!L11,'01.08 Naalya-Ntinda 24h'!L11,'03.08 Naalya-Ntinda-24h'!L11,'04.08 Naalya-Ntinda'!L11)</f>
        <v>0</v>
      </c>
      <c r="M11" s="49">
        <f>AVERAGE('29.07 Naalya-Ntinda'!M11,'30.07 Naalya-Ntinda'!M11,'31.07 Naalya-Ntinda'!M11,'02.08 Naalya-Ntinda'!M11,'01.08 Naalya-Ntinda 24h'!M11,'03.08 Naalya-Ntinda-24h'!M11,'04.08 Naalya-Ntinda'!M11)</f>
        <v>57.285714285714285</v>
      </c>
      <c r="N11" s="49">
        <f>AVERAGE('29.07 Naalya-Ntinda'!N11,'30.07 Naalya-Ntinda'!N11,'31.07 Naalya-Ntinda'!N11,'02.08 Naalya-Ntinda'!N11,'01.08 Naalya-Ntinda 24h'!N11,'03.08 Naalya-Ntinda-24h'!N11,'04.08 Naalya-Ntinda'!N11)</f>
        <v>0</v>
      </c>
      <c r="O11" s="15">
        <f t="shared" si="0"/>
        <v>177.42857142857142</v>
      </c>
      <c r="P11" s="15">
        <f t="shared" si="1"/>
        <v>234.71428571428569</v>
      </c>
      <c r="R11" s="1" t="s">
        <v>7</v>
      </c>
      <c r="S11" s="17">
        <f t="shared" ref="S11:AF11" si="3">SUM(C14:C17)</f>
        <v>377</v>
      </c>
      <c r="T11" s="17">
        <f t="shared" si="3"/>
        <v>233.14285714285711</v>
      </c>
      <c r="U11" s="17">
        <f t="shared" si="3"/>
        <v>42.714285714285715</v>
      </c>
      <c r="V11" s="17">
        <f t="shared" si="3"/>
        <v>37.428571428571431</v>
      </c>
      <c r="W11" s="17">
        <f t="shared" si="3"/>
        <v>2.2857142857142856</v>
      </c>
      <c r="X11" s="17">
        <f t="shared" si="3"/>
        <v>0</v>
      </c>
      <c r="Y11" s="17">
        <f t="shared" si="3"/>
        <v>3.2857142857142856</v>
      </c>
      <c r="Z11" s="17">
        <f t="shared" si="3"/>
        <v>4.2857142857142856</v>
      </c>
      <c r="AA11" s="17">
        <f t="shared" si="3"/>
        <v>0.42857142857142855</v>
      </c>
      <c r="AB11" s="17">
        <f t="shared" si="3"/>
        <v>0.99999999999999978</v>
      </c>
      <c r="AC11" s="17">
        <f t="shared" si="3"/>
        <v>427.14285714285711</v>
      </c>
      <c r="AD11" s="17">
        <f t="shared" si="3"/>
        <v>0.14285714285714285</v>
      </c>
      <c r="AE11" s="31">
        <f t="shared" si="3"/>
        <v>701.71428571428578</v>
      </c>
      <c r="AF11" s="31">
        <f t="shared" si="3"/>
        <v>1128.8571428571429</v>
      </c>
    </row>
    <row r="12" spans="2:32" ht="23.1" customHeight="1" x14ac:dyDescent="0.25">
      <c r="B12" s="23" t="s">
        <v>39</v>
      </c>
      <c r="C12" s="49">
        <f>AVERAGE('29.07 Naalya-Ntinda'!C12,'30.07 Naalya-Ntinda'!C12,'31.07 Naalya-Ntinda'!C12,'02.08 Naalya-Ntinda'!C12,'01.08 Naalya-Ntinda 24h'!C12,'03.08 Naalya-Ntinda-24h'!C12,'04.08 Naalya-Ntinda'!C12)</f>
        <v>127.28571428571429</v>
      </c>
      <c r="D12" s="49">
        <f>AVERAGE('29.07 Naalya-Ntinda'!D12,'30.07 Naalya-Ntinda'!D12,'31.07 Naalya-Ntinda'!D12,'02.08 Naalya-Ntinda'!D12,'01.08 Naalya-Ntinda 24h'!D12,'03.08 Naalya-Ntinda-24h'!D12,'04.08 Naalya-Ntinda'!D12)</f>
        <v>79</v>
      </c>
      <c r="E12" s="49">
        <f>AVERAGE('29.07 Naalya-Ntinda'!E12,'30.07 Naalya-Ntinda'!E12,'31.07 Naalya-Ntinda'!E12,'02.08 Naalya-Ntinda'!E12,'01.08 Naalya-Ntinda 24h'!E12,'03.08 Naalya-Ntinda-24h'!E12,'04.08 Naalya-Ntinda'!E12)</f>
        <v>11.714285714285714</v>
      </c>
      <c r="F12" s="49">
        <f>AVERAGE('29.07 Naalya-Ntinda'!F12,'30.07 Naalya-Ntinda'!F12,'31.07 Naalya-Ntinda'!F12,'02.08 Naalya-Ntinda'!F12,'01.08 Naalya-Ntinda 24h'!F12,'03.08 Naalya-Ntinda-24h'!F12,'04.08 Naalya-Ntinda'!F12)</f>
        <v>7</v>
      </c>
      <c r="G12" s="49">
        <f>AVERAGE('29.07 Naalya-Ntinda'!G12,'30.07 Naalya-Ntinda'!G12,'31.07 Naalya-Ntinda'!G12,'02.08 Naalya-Ntinda'!G12,'01.08 Naalya-Ntinda 24h'!G12,'03.08 Naalya-Ntinda-24h'!G12,'04.08 Naalya-Ntinda'!G12)</f>
        <v>0.7142857142857143</v>
      </c>
      <c r="H12" s="49">
        <f>AVERAGE('29.07 Naalya-Ntinda'!H12,'30.07 Naalya-Ntinda'!H12,'31.07 Naalya-Ntinda'!H12,'02.08 Naalya-Ntinda'!H12,'01.08 Naalya-Ntinda 24h'!H12,'03.08 Naalya-Ntinda-24h'!H12,'04.08 Naalya-Ntinda'!H12)</f>
        <v>0</v>
      </c>
      <c r="I12" s="49">
        <f>AVERAGE('29.07 Naalya-Ntinda'!I12,'30.07 Naalya-Ntinda'!I12,'31.07 Naalya-Ntinda'!I12,'02.08 Naalya-Ntinda'!I12,'01.08 Naalya-Ntinda 24h'!I12,'03.08 Naalya-Ntinda-24h'!I12,'04.08 Naalya-Ntinda'!I12)</f>
        <v>1.7142857142857142</v>
      </c>
      <c r="J12" s="49">
        <f>AVERAGE('29.07 Naalya-Ntinda'!J12,'30.07 Naalya-Ntinda'!J12,'31.07 Naalya-Ntinda'!J12,'02.08 Naalya-Ntinda'!J12,'01.08 Naalya-Ntinda 24h'!J12,'03.08 Naalya-Ntinda-24h'!J12,'04.08 Naalya-Ntinda'!J12)</f>
        <v>1.7142857142857142</v>
      </c>
      <c r="K12" s="49">
        <f>AVERAGE('29.07 Naalya-Ntinda'!K12,'30.07 Naalya-Ntinda'!K12,'31.07 Naalya-Ntinda'!K12,'02.08 Naalya-Ntinda'!K12,'01.08 Naalya-Ntinda 24h'!K12,'03.08 Naalya-Ntinda-24h'!K12,'04.08 Naalya-Ntinda'!K12)</f>
        <v>0</v>
      </c>
      <c r="L12" s="49">
        <f>AVERAGE('29.07 Naalya-Ntinda'!L12,'30.07 Naalya-Ntinda'!L12,'31.07 Naalya-Ntinda'!L12,'02.08 Naalya-Ntinda'!L12,'01.08 Naalya-Ntinda 24h'!L12,'03.08 Naalya-Ntinda-24h'!L12,'04.08 Naalya-Ntinda'!L12)</f>
        <v>0.14285714285714285</v>
      </c>
      <c r="M12" s="49">
        <f>AVERAGE('29.07 Naalya-Ntinda'!M12,'30.07 Naalya-Ntinda'!M12,'31.07 Naalya-Ntinda'!M12,'02.08 Naalya-Ntinda'!M12,'01.08 Naalya-Ntinda 24h'!M12,'03.08 Naalya-Ntinda-24h'!M12,'04.08 Naalya-Ntinda'!M12)</f>
        <v>95.571428571428569</v>
      </c>
      <c r="N12" s="49">
        <f>AVERAGE('29.07 Naalya-Ntinda'!N12,'30.07 Naalya-Ntinda'!N12,'31.07 Naalya-Ntinda'!N12,'02.08 Naalya-Ntinda'!N12,'01.08 Naalya-Ntinda 24h'!N12,'03.08 Naalya-Ntinda-24h'!N12,'04.08 Naalya-Ntinda'!N12)</f>
        <v>0</v>
      </c>
      <c r="O12" s="15">
        <f t="shared" si="0"/>
        <v>229.28571428571431</v>
      </c>
      <c r="P12" s="15">
        <f t="shared" si="1"/>
        <v>324.85714285714289</v>
      </c>
      <c r="R12" s="1" t="s">
        <v>8</v>
      </c>
      <c r="S12" s="17">
        <f t="shared" ref="S12:AF12" si="4">SUM(C18:C21)</f>
        <v>306</v>
      </c>
      <c r="T12" s="17">
        <f t="shared" si="4"/>
        <v>179.28571428571428</v>
      </c>
      <c r="U12" s="17">
        <f t="shared" si="4"/>
        <v>42</v>
      </c>
      <c r="V12" s="17">
        <f t="shared" si="4"/>
        <v>34.714285714285715</v>
      </c>
      <c r="W12" s="17">
        <f t="shared" si="4"/>
        <v>1.857142857142857</v>
      </c>
      <c r="X12" s="17">
        <f t="shared" si="4"/>
        <v>0</v>
      </c>
      <c r="Y12" s="17">
        <f t="shared" si="4"/>
        <v>9.9999999999999982</v>
      </c>
      <c r="Z12" s="17">
        <f t="shared" si="4"/>
        <v>7.5714285714285712</v>
      </c>
      <c r="AA12" s="17">
        <f t="shared" si="4"/>
        <v>1.4285714285714286</v>
      </c>
      <c r="AB12" s="17">
        <f t="shared" si="4"/>
        <v>0.8571428571428571</v>
      </c>
      <c r="AC12" s="17">
        <f t="shared" si="4"/>
        <v>384.57142857142856</v>
      </c>
      <c r="AD12" s="17">
        <f t="shared" si="4"/>
        <v>0</v>
      </c>
      <c r="AE12" s="31">
        <f t="shared" si="4"/>
        <v>583.71428571428567</v>
      </c>
      <c r="AF12" s="31">
        <f t="shared" si="4"/>
        <v>968.28571428571422</v>
      </c>
    </row>
    <row r="13" spans="2:32" ht="23.1" customHeight="1" x14ac:dyDescent="0.25">
      <c r="B13" s="23" t="s">
        <v>40</v>
      </c>
      <c r="C13" s="49">
        <f>AVERAGE('29.07 Naalya-Ntinda'!C13,'30.07 Naalya-Ntinda'!C13,'31.07 Naalya-Ntinda'!C13,'02.08 Naalya-Ntinda'!C13,'01.08 Naalya-Ntinda 24h'!C13,'03.08 Naalya-Ntinda-24h'!C13,'04.08 Naalya-Ntinda'!C13)</f>
        <v>125</v>
      </c>
      <c r="D13" s="49">
        <f>AVERAGE('29.07 Naalya-Ntinda'!D13,'30.07 Naalya-Ntinda'!D13,'31.07 Naalya-Ntinda'!D13,'02.08 Naalya-Ntinda'!D13,'01.08 Naalya-Ntinda 24h'!D13,'03.08 Naalya-Ntinda-24h'!D13,'04.08 Naalya-Ntinda'!D13)</f>
        <v>72.571428571428569</v>
      </c>
      <c r="E13" s="49">
        <f>AVERAGE('29.07 Naalya-Ntinda'!E13,'30.07 Naalya-Ntinda'!E13,'31.07 Naalya-Ntinda'!E13,'02.08 Naalya-Ntinda'!E13,'01.08 Naalya-Ntinda 24h'!E13,'03.08 Naalya-Ntinda-24h'!E13,'04.08 Naalya-Ntinda'!E13)</f>
        <v>15.714285714285714</v>
      </c>
      <c r="F13" s="49">
        <f>AVERAGE('29.07 Naalya-Ntinda'!F13,'30.07 Naalya-Ntinda'!F13,'31.07 Naalya-Ntinda'!F13,'02.08 Naalya-Ntinda'!F13,'01.08 Naalya-Ntinda 24h'!F13,'03.08 Naalya-Ntinda-24h'!F13,'04.08 Naalya-Ntinda'!F13)</f>
        <v>10.285714285714286</v>
      </c>
      <c r="G13" s="49">
        <f>AVERAGE('29.07 Naalya-Ntinda'!G13,'30.07 Naalya-Ntinda'!G13,'31.07 Naalya-Ntinda'!G13,'02.08 Naalya-Ntinda'!G13,'01.08 Naalya-Ntinda 24h'!G13,'03.08 Naalya-Ntinda-24h'!G13,'04.08 Naalya-Ntinda'!G13)</f>
        <v>1</v>
      </c>
      <c r="H13" s="49">
        <f>AVERAGE('29.07 Naalya-Ntinda'!H13,'30.07 Naalya-Ntinda'!H13,'31.07 Naalya-Ntinda'!H13,'02.08 Naalya-Ntinda'!H13,'01.08 Naalya-Ntinda 24h'!H13,'03.08 Naalya-Ntinda-24h'!H13,'04.08 Naalya-Ntinda'!H13)</f>
        <v>0</v>
      </c>
      <c r="I13" s="49">
        <f>AVERAGE('29.07 Naalya-Ntinda'!I13,'30.07 Naalya-Ntinda'!I13,'31.07 Naalya-Ntinda'!I13,'02.08 Naalya-Ntinda'!I13,'01.08 Naalya-Ntinda 24h'!I13,'03.08 Naalya-Ntinda-24h'!I13,'04.08 Naalya-Ntinda'!I13)</f>
        <v>1.7142857142857142</v>
      </c>
      <c r="J13" s="49">
        <f>AVERAGE('29.07 Naalya-Ntinda'!J13,'30.07 Naalya-Ntinda'!J13,'31.07 Naalya-Ntinda'!J13,'02.08 Naalya-Ntinda'!J13,'01.08 Naalya-Ntinda 24h'!J13,'03.08 Naalya-Ntinda-24h'!J13,'04.08 Naalya-Ntinda'!J13)</f>
        <v>0.8571428571428571</v>
      </c>
      <c r="K13" s="49">
        <f>AVERAGE('29.07 Naalya-Ntinda'!K13,'30.07 Naalya-Ntinda'!K13,'31.07 Naalya-Ntinda'!K13,'02.08 Naalya-Ntinda'!K13,'01.08 Naalya-Ntinda 24h'!K13,'03.08 Naalya-Ntinda-24h'!K13,'04.08 Naalya-Ntinda'!K13)</f>
        <v>0.2857142857142857</v>
      </c>
      <c r="L13" s="49">
        <f>AVERAGE('29.07 Naalya-Ntinda'!L13,'30.07 Naalya-Ntinda'!L13,'31.07 Naalya-Ntinda'!L13,'02.08 Naalya-Ntinda'!L13,'01.08 Naalya-Ntinda 24h'!L13,'03.08 Naalya-Ntinda-24h'!L13,'04.08 Naalya-Ntinda'!L13)</f>
        <v>0</v>
      </c>
      <c r="M13" s="49">
        <f>AVERAGE('29.07 Naalya-Ntinda'!M13,'30.07 Naalya-Ntinda'!M13,'31.07 Naalya-Ntinda'!M13,'02.08 Naalya-Ntinda'!M13,'01.08 Naalya-Ntinda 24h'!M13,'03.08 Naalya-Ntinda-24h'!M13,'04.08 Naalya-Ntinda'!M13)</f>
        <v>114.71428571428571</v>
      </c>
      <c r="N13" s="49">
        <f>AVERAGE('29.07 Naalya-Ntinda'!N13,'30.07 Naalya-Ntinda'!N13,'31.07 Naalya-Ntinda'!N13,'02.08 Naalya-Ntinda'!N13,'01.08 Naalya-Ntinda 24h'!N13,'03.08 Naalya-Ntinda-24h'!N13,'04.08 Naalya-Ntinda'!N13)</f>
        <v>0</v>
      </c>
      <c r="O13" s="15">
        <f t="shared" si="0"/>
        <v>227.42857142857142</v>
      </c>
      <c r="P13" s="15">
        <f t="shared" si="1"/>
        <v>342.14285714285711</v>
      </c>
      <c r="R13" s="1" t="s">
        <v>9</v>
      </c>
      <c r="S13" s="17">
        <f t="shared" ref="S13:AF13" si="5">SUM(C22:C25)</f>
        <v>290.28571428571428</v>
      </c>
      <c r="T13" s="17">
        <f t="shared" si="5"/>
        <v>186.14285714285714</v>
      </c>
      <c r="U13" s="17">
        <f t="shared" si="5"/>
        <v>35</v>
      </c>
      <c r="V13" s="17">
        <f t="shared" si="5"/>
        <v>38</v>
      </c>
      <c r="W13" s="17">
        <f t="shared" si="5"/>
        <v>6.4285714285714288</v>
      </c>
      <c r="X13" s="17">
        <f t="shared" si="5"/>
        <v>0</v>
      </c>
      <c r="Y13" s="17">
        <f t="shared" si="5"/>
        <v>13.428571428571431</v>
      </c>
      <c r="Z13" s="17">
        <f t="shared" si="5"/>
        <v>8.7142857142857153</v>
      </c>
      <c r="AA13" s="17">
        <f t="shared" si="5"/>
        <v>1</v>
      </c>
      <c r="AB13" s="17">
        <f t="shared" si="5"/>
        <v>0.8571428571428571</v>
      </c>
      <c r="AC13" s="17">
        <f t="shared" si="5"/>
        <v>336.57142857142856</v>
      </c>
      <c r="AD13" s="17">
        <f t="shared" si="5"/>
        <v>0</v>
      </c>
      <c r="AE13" s="31">
        <f t="shared" si="5"/>
        <v>579.85714285714289</v>
      </c>
      <c r="AF13" s="31">
        <f t="shared" si="5"/>
        <v>916.42857142857144</v>
      </c>
    </row>
    <row r="14" spans="2:32" ht="23.1" customHeight="1" x14ac:dyDescent="0.25">
      <c r="B14" s="23" t="s">
        <v>41</v>
      </c>
      <c r="C14" s="49">
        <f>AVERAGE('29.07 Naalya-Ntinda'!C14,'30.07 Naalya-Ntinda'!C14,'31.07 Naalya-Ntinda'!C14,'02.08 Naalya-Ntinda'!C14,'01.08 Naalya-Ntinda 24h'!C14,'03.08 Naalya-Ntinda-24h'!C14,'04.08 Naalya-Ntinda'!C14)</f>
        <v>116.71428571428571</v>
      </c>
      <c r="D14" s="49">
        <f>AVERAGE('29.07 Naalya-Ntinda'!D14,'30.07 Naalya-Ntinda'!D14,'31.07 Naalya-Ntinda'!D14,'02.08 Naalya-Ntinda'!D14,'01.08 Naalya-Ntinda 24h'!D14,'03.08 Naalya-Ntinda-24h'!D14,'04.08 Naalya-Ntinda'!D14)</f>
        <v>73.142857142857139</v>
      </c>
      <c r="E14" s="49">
        <f>AVERAGE('29.07 Naalya-Ntinda'!E14,'30.07 Naalya-Ntinda'!E14,'31.07 Naalya-Ntinda'!E14,'02.08 Naalya-Ntinda'!E14,'01.08 Naalya-Ntinda 24h'!E14,'03.08 Naalya-Ntinda-24h'!E14,'04.08 Naalya-Ntinda'!E14)</f>
        <v>11.857142857142858</v>
      </c>
      <c r="F14" s="49">
        <f>AVERAGE('29.07 Naalya-Ntinda'!F14,'30.07 Naalya-Ntinda'!F14,'31.07 Naalya-Ntinda'!F14,'02.08 Naalya-Ntinda'!F14,'01.08 Naalya-Ntinda 24h'!F14,'03.08 Naalya-Ntinda-24h'!F14,'04.08 Naalya-Ntinda'!F14)</f>
        <v>9.8571428571428577</v>
      </c>
      <c r="G14" s="49">
        <f>AVERAGE('29.07 Naalya-Ntinda'!G14,'30.07 Naalya-Ntinda'!G14,'31.07 Naalya-Ntinda'!G14,'02.08 Naalya-Ntinda'!G14,'01.08 Naalya-Ntinda 24h'!G14,'03.08 Naalya-Ntinda-24h'!G14,'04.08 Naalya-Ntinda'!G14)</f>
        <v>0.14285714285714285</v>
      </c>
      <c r="H14" s="49">
        <f>AVERAGE('29.07 Naalya-Ntinda'!H14,'30.07 Naalya-Ntinda'!H14,'31.07 Naalya-Ntinda'!H14,'02.08 Naalya-Ntinda'!H14,'01.08 Naalya-Ntinda 24h'!H14,'03.08 Naalya-Ntinda-24h'!H14,'04.08 Naalya-Ntinda'!H14)</f>
        <v>0</v>
      </c>
      <c r="I14" s="49">
        <f>AVERAGE('29.07 Naalya-Ntinda'!I14,'30.07 Naalya-Ntinda'!I14,'31.07 Naalya-Ntinda'!I14,'02.08 Naalya-Ntinda'!I14,'01.08 Naalya-Ntinda 24h'!I14,'03.08 Naalya-Ntinda-24h'!I14,'04.08 Naalya-Ntinda'!I14)</f>
        <v>0.5714285714285714</v>
      </c>
      <c r="J14" s="49">
        <f>AVERAGE('29.07 Naalya-Ntinda'!J14,'30.07 Naalya-Ntinda'!J14,'31.07 Naalya-Ntinda'!J14,'02.08 Naalya-Ntinda'!J14,'01.08 Naalya-Ntinda 24h'!J14,'03.08 Naalya-Ntinda-24h'!J14,'04.08 Naalya-Ntinda'!J14)</f>
        <v>1.2857142857142858</v>
      </c>
      <c r="K14" s="49">
        <f>AVERAGE('29.07 Naalya-Ntinda'!K14,'30.07 Naalya-Ntinda'!K14,'31.07 Naalya-Ntinda'!K14,'02.08 Naalya-Ntinda'!K14,'01.08 Naalya-Ntinda 24h'!K14,'03.08 Naalya-Ntinda-24h'!K14,'04.08 Naalya-Ntinda'!K14)</f>
        <v>0.2857142857142857</v>
      </c>
      <c r="L14" s="49">
        <f>AVERAGE('29.07 Naalya-Ntinda'!L14,'30.07 Naalya-Ntinda'!L14,'31.07 Naalya-Ntinda'!L14,'02.08 Naalya-Ntinda'!L14,'01.08 Naalya-Ntinda 24h'!L14,'03.08 Naalya-Ntinda-24h'!L14,'04.08 Naalya-Ntinda'!L14)</f>
        <v>0.5714285714285714</v>
      </c>
      <c r="M14" s="49">
        <f>AVERAGE('29.07 Naalya-Ntinda'!M14,'30.07 Naalya-Ntinda'!M14,'31.07 Naalya-Ntinda'!M14,'02.08 Naalya-Ntinda'!M14,'01.08 Naalya-Ntinda 24h'!M14,'03.08 Naalya-Ntinda-24h'!M14,'04.08 Naalya-Ntinda'!M14)</f>
        <v>111.42857142857143</v>
      </c>
      <c r="N14" s="49">
        <f>AVERAGE('29.07 Naalya-Ntinda'!N14,'30.07 Naalya-Ntinda'!N14,'31.07 Naalya-Ntinda'!N14,'02.08 Naalya-Ntinda'!N14,'01.08 Naalya-Ntinda 24h'!N14,'03.08 Naalya-Ntinda-24h'!N14,'04.08 Naalya-Ntinda'!N14)</f>
        <v>0</v>
      </c>
      <c r="O14" s="15">
        <f t="shared" si="0"/>
        <v>214.42857142857142</v>
      </c>
      <c r="P14" s="15">
        <f t="shared" si="1"/>
        <v>325.85714285714283</v>
      </c>
      <c r="R14" s="1" t="s">
        <v>10</v>
      </c>
      <c r="S14" s="17">
        <f t="shared" ref="S14:AF14" si="6">SUM(C26:C29)</f>
        <v>242.42857142857139</v>
      </c>
      <c r="T14" s="17">
        <f t="shared" si="6"/>
        <v>151.28571428571428</v>
      </c>
      <c r="U14" s="17">
        <f t="shared" si="6"/>
        <v>31.714285714285715</v>
      </c>
      <c r="V14" s="17">
        <f t="shared" si="6"/>
        <v>39.857142857142854</v>
      </c>
      <c r="W14" s="17">
        <f t="shared" si="6"/>
        <v>2.8571428571428572</v>
      </c>
      <c r="X14" s="17">
        <f t="shared" si="6"/>
        <v>0.14285714285714285</v>
      </c>
      <c r="Y14" s="17">
        <f t="shared" si="6"/>
        <v>11</v>
      </c>
      <c r="Z14" s="17">
        <f t="shared" si="6"/>
        <v>8</v>
      </c>
      <c r="AA14" s="17">
        <f t="shared" si="6"/>
        <v>1</v>
      </c>
      <c r="AB14" s="17">
        <f t="shared" si="6"/>
        <v>0.71428571428571419</v>
      </c>
      <c r="AC14" s="17">
        <f t="shared" si="6"/>
        <v>308.42857142857144</v>
      </c>
      <c r="AD14" s="17">
        <f t="shared" si="6"/>
        <v>0</v>
      </c>
      <c r="AE14" s="31">
        <f t="shared" si="6"/>
        <v>489</v>
      </c>
      <c r="AF14" s="31">
        <f t="shared" si="6"/>
        <v>797.42857142857144</v>
      </c>
    </row>
    <row r="15" spans="2:32" ht="23.1" customHeight="1" x14ac:dyDescent="0.25">
      <c r="B15" s="23" t="s">
        <v>42</v>
      </c>
      <c r="C15" s="49">
        <f>AVERAGE('29.07 Naalya-Ntinda'!C15,'30.07 Naalya-Ntinda'!C15,'31.07 Naalya-Ntinda'!C15,'02.08 Naalya-Ntinda'!C15,'01.08 Naalya-Ntinda 24h'!C15,'03.08 Naalya-Ntinda-24h'!C15,'04.08 Naalya-Ntinda'!C15)</f>
        <v>98.857142857142861</v>
      </c>
      <c r="D15" s="49">
        <f>AVERAGE('29.07 Naalya-Ntinda'!D15,'30.07 Naalya-Ntinda'!D15,'31.07 Naalya-Ntinda'!D15,'02.08 Naalya-Ntinda'!D15,'01.08 Naalya-Ntinda 24h'!D15,'03.08 Naalya-Ntinda-24h'!D15,'04.08 Naalya-Ntinda'!D15)</f>
        <v>57.142857142857146</v>
      </c>
      <c r="E15" s="49">
        <f>AVERAGE('29.07 Naalya-Ntinda'!E15,'30.07 Naalya-Ntinda'!E15,'31.07 Naalya-Ntinda'!E15,'02.08 Naalya-Ntinda'!E15,'01.08 Naalya-Ntinda 24h'!E15,'03.08 Naalya-Ntinda-24h'!E15,'04.08 Naalya-Ntinda'!E15)</f>
        <v>9.5714285714285712</v>
      </c>
      <c r="F15" s="49">
        <f>AVERAGE('29.07 Naalya-Ntinda'!F15,'30.07 Naalya-Ntinda'!F15,'31.07 Naalya-Ntinda'!F15,'02.08 Naalya-Ntinda'!F15,'01.08 Naalya-Ntinda 24h'!F15,'03.08 Naalya-Ntinda-24h'!F15,'04.08 Naalya-Ntinda'!F15)</f>
        <v>10.857142857142858</v>
      </c>
      <c r="G15" s="49">
        <f>AVERAGE('29.07 Naalya-Ntinda'!G15,'30.07 Naalya-Ntinda'!G15,'31.07 Naalya-Ntinda'!G15,'02.08 Naalya-Ntinda'!G15,'01.08 Naalya-Ntinda 24h'!G15,'03.08 Naalya-Ntinda-24h'!G15,'04.08 Naalya-Ntinda'!G15)</f>
        <v>1</v>
      </c>
      <c r="H15" s="49">
        <f>AVERAGE('29.07 Naalya-Ntinda'!H15,'30.07 Naalya-Ntinda'!H15,'31.07 Naalya-Ntinda'!H15,'02.08 Naalya-Ntinda'!H15,'01.08 Naalya-Ntinda 24h'!H15,'03.08 Naalya-Ntinda-24h'!H15,'04.08 Naalya-Ntinda'!H15)</f>
        <v>0</v>
      </c>
      <c r="I15" s="49">
        <f>AVERAGE('29.07 Naalya-Ntinda'!I15,'30.07 Naalya-Ntinda'!I15,'31.07 Naalya-Ntinda'!I15,'02.08 Naalya-Ntinda'!I15,'01.08 Naalya-Ntinda 24h'!I15,'03.08 Naalya-Ntinda-24h'!I15,'04.08 Naalya-Ntinda'!I15)</f>
        <v>1.1428571428571428</v>
      </c>
      <c r="J15" s="49">
        <f>AVERAGE('29.07 Naalya-Ntinda'!J15,'30.07 Naalya-Ntinda'!J15,'31.07 Naalya-Ntinda'!J15,'02.08 Naalya-Ntinda'!J15,'01.08 Naalya-Ntinda 24h'!J15,'03.08 Naalya-Ntinda-24h'!J15,'04.08 Naalya-Ntinda'!J15)</f>
        <v>1.4285714285714286</v>
      </c>
      <c r="K15" s="49">
        <f>AVERAGE('29.07 Naalya-Ntinda'!K15,'30.07 Naalya-Ntinda'!K15,'31.07 Naalya-Ntinda'!K15,'02.08 Naalya-Ntinda'!K15,'01.08 Naalya-Ntinda 24h'!K15,'03.08 Naalya-Ntinda-24h'!K15,'04.08 Naalya-Ntinda'!K15)</f>
        <v>0.14285714285714285</v>
      </c>
      <c r="L15" s="49">
        <f>AVERAGE('29.07 Naalya-Ntinda'!L15,'30.07 Naalya-Ntinda'!L15,'31.07 Naalya-Ntinda'!L15,'02.08 Naalya-Ntinda'!L15,'01.08 Naalya-Ntinda 24h'!L15,'03.08 Naalya-Ntinda-24h'!L15,'04.08 Naalya-Ntinda'!L15)</f>
        <v>0.14285714285714285</v>
      </c>
      <c r="M15" s="49">
        <f>AVERAGE('29.07 Naalya-Ntinda'!M15,'30.07 Naalya-Ntinda'!M15,'31.07 Naalya-Ntinda'!M15,'02.08 Naalya-Ntinda'!M15,'01.08 Naalya-Ntinda 24h'!M15,'03.08 Naalya-Ntinda-24h'!M15,'04.08 Naalya-Ntinda'!M15)</f>
        <v>106.85714285714286</v>
      </c>
      <c r="N15" s="49">
        <f>AVERAGE('29.07 Naalya-Ntinda'!N15,'30.07 Naalya-Ntinda'!N15,'31.07 Naalya-Ntinda'!N15,'02.08 Naalya-Ntinda'!N15,'01.08 Naalya-Ntinda 24h'!N15,'03.08 Naalya-Ntinda-24h'!N15,'04.08 Naalya-Ntinda'!N15)</f>
        <v>0</v>
      </c>
      <c r="O15" s="15">
        <f t="shared" si="0"/>
        <v>180.28571428571428</v>
      </c>
      <c r="P15" s="15">
        <f t="shared" si="1"/>
        <v>287.14285714285711</v>
      </c>
      <c r="R15" s="1" t="s">
        <v>11</v>
      </c>
      <c r="S15" s="17">
        <f t="shared" ref="S15:AF15" si="7">SUM(C30:C33)</f>
        <v>216</v>
      </c>
      <c r="T15" s="17">
        <f t="shared" si="7"/>
        <v>123.14285714285714</v>
      </c>
      <c r="U15" s="17">
        <f t="shared" si="7"/>
        <v>24.714285714285715</v>
      </c>
      <c r="V15" s="17">
        <f t="shared" si="7"/>
        <v>29.428571428571427</v>
      </c>
      <c r="W15" s="17">
        <f t="shared" si="7"/>
        <v>2.2857142857142856</v>
      </c>
      <c r="X15" s="17">
        <f t="shared" si="7"/>
        <v>0.85714285714285698</v>
      </c>
      <c r="Y15" s="17">
        <f t="shared" si="7"/>
        <v>10.428571428571429</v>
      </c>
      <c r="Z15" s="17">
        <f t="shared" si="7"/>
        <v>7.7142857142857144</v>
      </c>
      <c r="AA15" s="17">
        <f t="shared" si="7"/>
        <v>2.4285714285714284</v>
      </c>
      <c r="AB15" s="17">
        <f t="shared" si="7"/>
        <v>0.85714285714285698</v>
      </c>
      <c r="AC15" s="17">
        <f t="shared" si="7"/>
        <v>293.28571428571422</v>
      </c>
      <c r="AD15" s="17">
        <f t="shared" si="7"/>
        <v>0</v>
      </c>
      <c r="AE15" s="31">
        <f t="shared" si="7"/>
        <v>417.85714285714278</v>
      </c>
      <c r="AF15" s="31">
        <f t="shared" si="7"/>
        <v>711.14285714285711</v>
      </c>
    </row>
    <row r="16" spans="2:32" ht="23.1" customHeight="1" x14ac:dyDescent="0.25">
      <c r="B16" s="23" t="s">
        <v>43</v>
      </c>
      <c r="C16" s="49">
        <f>AVERAGE('29.07 Naalya-Ntinda'!C16,'30.07 Naalya-Ntinda'!C16,'31.07 Naalya-Ntinda'!C16,'02.08 Naalya-Ntinda'!C16,'01.08 Naalya-Ntinda 24h'!C16,'03.08 Naalya-Ntinda-24h'!C16,'04.08 Naalya-Ntinda'!C16)</f>
        <v>86.428571428571431</v>
      </c>
      <c r="D16" s="49">
        <f>AVERAGE('29.07 Naalya-Ntinda'!D16,'30.07 Naalya-Ntinda'!D16,'31.07 Naalya-Ntinda'!D16,'02.08 Naalya-Ntinda'!D16,'01.08 Naalya-Ntinda 24h'!D16,'03.08 Naalya-Ntinda-24h'!D16,'04.08 Naalya-Ntinda'!D16)</f>
        <v>51.285714285714285</v>
      </c>
      <c r="E16" s="49">
        <f>AVERAGE('29.07 Naalya-Ntinda'!E16,'30.07 Naalya-Ntinda'!E16,'31.07 Naalya-Ntinda'!E16,'02.08 Naalya-Ntinda'!E16,'01.08 Naalya-Ntinda 24h'!E16,'03.08 Naalya-Ntinda-24h'!E16,'04.08 Naalya-Ntinda'!E16)</f>
        <v>11.285714285714286</v>
      </c>
      <c r="F16" s="49">
        <f>AVERAGE('29.07 Naalya-Ntinda'!F16,'30.07 Naalya-Ntinda'!F16,'31.07 Naalya-Ntinda'!F16,'02.08 Naalya-Ntinda'!F16,'01.08 Naalya-Ntinda 24h'!F16,'03.08 Naalya-Ntinda-24h'!F16,'04.08 Naalya-Ntinda'!F16)</f>
        <v>8.1428571428571423</v>
      </c>
      <c r="G16" s="49">
        <f>AVERAGE('29.07 Naalya-Ntinda'!G16,'30.07 Naalya-Ntinda'!G16,'31.07 Naalya-Ntinda'!G16,'02.08 Naalya-Ntinda'!G16,'01.08 Naalya-Ntinda 24h'!G16,'03.08 Naalya-Ntinda-24h'!G16,'04.08 Naalya-Ntinda'!G16)</f>
        <v>0.14285714285714285</v>
      </c>
      <c r="H16" s="49">
        <f>AVERAGE('29.07 Naalya-Ntinda'!H16,'30.07 Naalya-Ntinda'!H16,'31.07 Naalya-Ntinda'!H16,'02.08 Naalya-Ntinda'!H16,'01.08 Naalya-Ntinda 24h'!H16,'03.08 Naalya-Ntinda-24h'!H16,'04.08 Naalya-Ntinda'!H16)</f>
        <v>0</v>
      </c>
      <c r="I16" s="49">
        <f>AVERAGE('29.07 Naalya-Ntinda'!I16,'30.07 Naalya-Ntinda'!I16,'31.07 Naalya-Ntinda'!I16,'02.08 Naalya-Ntinda'!I16,'01.08 Naalya-Ntinda 24h'!I16,'03.08 Naalya-Ntinda-24h'!I16,'04.08 Naalya-Ntinda'!I16)</f>
        <v>1</v>
      </c>
      <c r="J16" s="49">
        <f>AVERAGE('29.07 Naalya-Ntinda'!J16,'30.07 Naalya-Ntinda'!J16,'31.07 Naalya-Ntinda'!J16,'02.08 Naalya-Ntinda'!J16,'01.08 Naalya-Ntinda 24h'!J16,'03.08 Naalya-Ntinda-24h'!J16,'04.08 Naalya-Ntinda'!J16)</f>
        <v>0.8571428571428571</v>
      </c>
      <c r="K16" s="49">
        <f>AVERAGE('29.07 Naalya-Ntinda'!K16,'30.07 Naalya-Ntinda'!K16,'31.07 Naalya-Ntinda'!K16,'02.08 Naalya-Ntinda'!K16,'01.08 Naalya-Ntinda 24h'!K16,'03.08 Naalya-Ntinda-24h'!K16,'04.08 Naalya-Ntinda'!K16)</f>
        <v>0</v>
      </c>
      <c r="L16" s="49">
        <f>AVERAGE('29.07 Naalya-Ntinda'!L16,'30.07 Naalya-Ntinda'!L16,'31.07 Naalya-Ntinda'!L16,'02.08 Naalya-Ntinda'!L16,'01.08 Naalya-Ntinda 24h'!L16,'03.08 Naalya-Ntinda-24h'!L16,'04.08 Naalya-Ntinda'!L16)</f>
        <v>0.14285714285714285</v>
      </c>
      <c r="M16" s="49">
        <f>AVERAGE('29.07 Naalya-Ntinda'!M16,'30.07 Naalya-Ntinda'!M16,'31.07 Naalya-Ntinda'!M16,'02.08 Naalya-Ntinda'!M16,'01.08 Naalya-Ntinda 24h'!M16,'03.08 Naalya-Ntinda-24h'!M16,'04.08 Naalya-Ntinda'!M16)</f>
        <v>97.285714285714292</v>
      </c>
      <c r="N16" s="49">
        <f>AVERAGE('29.07 Naalya-Ntinda'!N16,'30.07 Naalya-Ntinda'!N16,'31.07 Naalya-Ntinda'!N16,'02.08 Naalya-Ntinda'!N16,'01.08 Naalya-Ntinda 24h'!N16,'03.08 Naalya-Ntinda-24h'!N16,'04.08 Naalya-Ntinda'!N16)</f>
        <v>0</v>
      </c>
      <c r="O16" s="15">
        <f t="shared" si="0"/>
        <v>159.28571428571428</v>
      </c>
      <c r="P16" s="15">
        <f t="shared" si="1"/>
        <v>256.57142857142856</v>
      </c>
      <c r="R16" s="1" t="s">
        <v>12</v>
      </c>
      <c r="S16" s="17">
        <f t="shared" ref="S16:AF16" si="8">SUM(C34:C37)</f>
        <v>232.28571428571431</v>
      </c>
      <c r="T16" s="17">
        <f t="shared" si="8"/>
        <v>166.14285714285714</v>
      </c>
      <c r="U16" s="17">
        <f t="shared" si="8"/>
        <v>33.714285714285715</v>
      </c>
      <c r="V16" s="17">
        <f t="shared" si="8"/>
        <v>33.857142857142861</v>
      </c>
      <c r="W16" s="17">
        <f t="shared" si="8"/>
        <v>3.4285714285714288</v>
      </c>
      <c r="X16" s="17">
        <f t="shared" si="8"/>
        <v>0.2857142857142857</v>
      </c>
      <c r="Y16" s="17">
        <f t="shared" si="8"/>
        <v>15.142857142857142</v>
      </c>
      <c r="Z16" s="17">
        <f t="shared" si="8"/>
        <v>5.5714285714285712</v>
      </c>
      <c r="AA16" s="17">
        <f t="shared" si="8"/>
        <v>1.857142857142857</v>
      </c>
      <c r="AB16" s="17">
        <f t="shared" si="8"/>
        <v>0.42857142857142855</v>
      </c>
      <c r="AC16" s="17">
        <f t="shared" si="8"/>
        <v>235.42857142857144</v>
      </c>
      <c r="AD16" s="17">
        <f t="shared" si="8"/>
        <v>0</v>
      </c>
      <c r="AE16" s="31">
        <f t="shared" si="8"/>
        <v>492.71428571428572</v>
      </c>
      <c r="AF16" s="31">
        <f t="shared" si="8"/>
        <v>728.14285714285711</v>
      </c>
    </row>
    <row r="17" spans="2:32" ht="23.1" customHeight="1" x14ac:dyDescent="0.25">
      <c r="B17" s="23" t="s">
        <v>44</v>
      </c>
      <c r="C17" s="49">
        <f>AVERAGE('29.07 Naalya-Ntinda'!C17,'30.07 Naalya-Ntinda'!C17,'31.07 Naalya-Ntinda'!C17,'02.08 Naalya-Ntinda'!C17,'01.08 Naalya-Ntinda 24h'!C17,'03.08 Naalya-Ntinda-24h'!C17,'04.08 Naalya-Ntinda'!C17)</f>
        <v>75</v>
      </c>
      <c r="D17" s="49">
        <f>AVERAGE('29.07 Naalya-Ntinda'!D17,'30.07 Naalya-Ntinda'!D17,'31.07 Naalya-Ntinda'!D17,'02.08 Naalya-Ntinda'!D17,'01.08 Naalya-Ntinda 24h'!D17,'03.08 Naalya-Ntinda-24h'!D17,'04.08 Naalya-Ntinda'!D17)</f>
        <v>51.571428571428569</v>
      </c>
      <c r="E17" s="49">
        <f>AVERAGE('29.07 Naalya-Ntinda'!E17,'30.07 Naalya-Ntinda'!E17,'31.07 Naalya-Ntinda'!E17,'02.08 Naalya-Ntinda'!E17,'01.08 Naalya-Ntinda 24h'!E17,'03.08 Naalya-Ntinda-24h'!E17,'04.08 Naalya-Ntinda'!E17)</f>
        <v>10</v>
      </c>
      <c r="F17" s="49">
        <f>AVERAGE('29.07 Naalya-Ntinda'!F17,'30.07 Naalya-Ntinda'!F17,'31.07 Naalya-Ntinda'!F17,'02.08 Naalya-Ntinda'!F17,'01.08 Naalya-Ntinda 24h'!F17,'03.08 Naalya-Ntinda-24h'!F17,'04.08 Naalya-Ntinda'!F17)</f>
        <v>8.5714285714285712</v>
      </c>
      <c r="G17" s="49">
        <f>AVERAGE('29.07 Naalya-Ntinda'!G17,'30.07 Naalya-Ntinda'!G17,'31.07 Naalya-Ntinda'!G17,'02.08 Naalya-Ntinda'!G17,'01.08 Naalya-Ntinda 24h'!G17,'03.08 Naalya-Ntinda-24h'!G17,'04.08 Naalya-Ntinda'!G17)</f>
        <v>1</v>
      </c>
      <c r="H17" s="49">
        <f>AVERAGE('29.07 Naalya-Ntinda'!H17,'30.07 Naalya-Ntinda'!H17,'31.07 Naalya-Ntinda'!H17,'02.08 Naalya-Ntinda'!H17,'01.08 Naalya-Ntinda 24h'!H17,'03.08 Naalya-Ntinda-24h'!H17,'04.08 Naalya-Ntinda'!H17)</f>
        <v>0</v>
      </c>
      <c r="I17" s="49">
        <f>AVERAGE('29.07 Naalya-Ntinda'!I17,'30.07 Naalya-Ntinda'!I17,'31.07 Naalya-Ntinda'!I17,'02.08 Naalya-Ntinda'!I17,'01.08 Naalya-Ntinda 24h'!I17,'03.08 Naalya-Ntinda-24h'!I17,'04.08 Naalya-Ntinda'!I17)</f>
        <v>0.5714285714285714</v>
      </c>
      <c r="J17" s="49">
        <f>AVERAGE('29.07 Naalya-Ntinda'!J17,'30.07 Naalya-Ntinda'!J17,'31.07 Naalya-Ntinda'!J17,'02.08 Naalya-Ntinda'!J17,'01.08 Naalya-Ntinda 24h'!J17,'03.08 Naalya-Ntinda-24h'!J17,'04.08 Naalya-Ntinda'!J17)</f>
        <v>0.7142857142857143</v>
      </c>
      <c r="K17" s="49">
        <f>AVERAGE('29.07 Naalya-Ntinda'!K17,'30.07 Naalya-Ntinda'!K17,'31.07 Naalya-Ntinda'!K17,'02.08 Naalya-Ntinda'!K17,'01.08 Naalya-Ntinda 24h'!K17,'03.08 Naalya-Ntinda-24h'!K17,'04.08 Naalya-Ntinda'!K17)</f>
        <v>0</v>
      </c>
      <c r="L17" s="49">
        <f>AVERAGE('29.07 Naalya-Ntinda'!L17,'30.07 Naalya-Ntinda'!L17,'31.07 Naalya-Ntinda'!L17,'02.08 Naalya-Ntinda'!L17,'01.08 Naalya-Ntinda 24h'!L17,'03.08 Naalya-Ntinda-24h'!L17,'04.08 Naalya-Ntinda'!L17)</f>
        <v>0.14285714285714285</v>
      </c>
      <c r="M17" s="49">
        <f>AVERAGE('29.07 Naalya-Ntinda'!M17,'30.07 Naalya-Ntinda'!M17,'31.07 Naalya-Ntinda'!M17,'02.08 Naalya-Ntinda'!M17,'01.08 Naalya-Ntinda 24h'!M17,'03.08 Naalya-Ntinda-24h'!M17,'04.08 Naalya-Ntinda'!M17)</f>
        <v>111.57142857142857</v>
      </c>
      <c r="N17" s="49">
        <f>AVERAGE('29.07 Naalya-Ntinda'!N17,'30.07 Naalya-Ntinda'!N17,'31.07 Naalya-Ntinda'!N17,'02.08 Naalya-Ntinda'!N17,'01.08 Naalya-Ntinda 24h'!N17,'03.08 Naalya-Ntinda-24h'!N17,'04.08 Naalya-Ntinda'!N17)</f>
        <v>0.14285714285714285</v>
      </c>
      <c r="O17" s="15">
        <f t="shared" si="0"/>
        <v>147.71428571428572</v>
      </c>
      <c r="P17" s="15">
        <f t="shared" si="1"/>
        <v>259.28571428571433</v>
      </c>
      <c r="R17" s="1" t="s">
        <v>13</v>
      </c>
      <c r="S17" s="17">
        <f t="shared" ref="S17:AF17" si="9">SUM(C38:C41)</f>
        <v>193.85714285714286</v>
      </c>
      <c r="T17" s="17">
        <f t="shared" si="9"/>
        <v>130.14285714285714</v>
      </c>
      <c r="U17" s="17">
        <f t="shared" si="9"/>
        <v>27.571428571428573</v>
      </c>
      <c r="V17" s="17">
        <f t="shared" si="9"/>
        <v>30.285714285714285</v>
      </c>
      <c r="W17" s="17">
        <f t="shared" si="9"/>
        <v>4</v>
      </c>
      <c r="X17" s="17">
        <f t="shared" si="9"/>
        <v>0.71428571428571419</v>
      </c>
      <c r="Y17" s="17">
        <f t="shared" si="9"/>
        <v>10.428571428571429</v>
      </c>
      <c r="Z17" s="17">
        <f t="shared" si="9"/>
        <v>9.1428571428571423</v>
      </c>
      <c r="AA17" s="17">
        <f t="shared" si="9"/>
        <v>1.7142857142857142</v>
      </c>
      <c r="AB17" s="17">
        <f t="shared" si="9"/>
        <v>0.42857142857142855</v>
      </c>
      <c r="AC17" s="17">
        <f t="shared" si="9"/>
        <v>267.85714285714289</v>
      </c>
      <c r="AD17" s="17">
        <f t="shared" si="9"/>
        <v>0</v>
      </c>
      <c r="AE17" s="31">
        <f t="shared" si="9"/>
        <v>408.28571428571428</v>
      </c>
      <c r="AF17" s="31">
        <f t="shared" si="9"/>
        <v>676.14285714285711</v>
      </c>
    </row>
    <row r="18" spans="2:32" ht="23.1" customHeight="1" x14ac:dyDescent="0.25">
      <c r="B18" s="23" t="s">
        <v>45</v>
      </c>
      <c r="C18" s="49">
        <f>AVERAGE('29.07 Naalya-Ntinda'!C18,'30.07 Naalya-Ntinda'!C18,'31.07 Naalya-Ntinda'!C18,'02.08 Naalya-Ntinda'!C18,'01.08 Naalya-Ntinda 24h'!C18,'03.08 Naalya-Ntinda-24h'!C18,'04.08 Naalya-Ntinda'!C18)</f>
        <v>76</v>
      </c>
      <c r="D18" s="49">
        <f>AVERAGE('29.07 Naalya-Ntinda'!D18,'30.07 Naalya-Ntinda'!D18,'31.07 Naalya-Ntinda'!D18,'02.08 Naalya-Ntinda'!D18,'01.08 Naalya-Ntinda 24h'!D18,'03.08 Naalya-Ntinda-24h'!D18,'04.08 Naalya-Ntinda'!D18)</f>
        <v>49.571428571428569</v>
      </c>
      <c r="E18" s="49">
        <f>AVERAGE('29.07 Naalya-Ntinda'!E18,'30.07 Naalya-Ntinda'!E18,'31.07 Naalya-Ntinda'!E18,'02.08 Naalya-Ntinda'!E18,'01.08 Naalya-Ntinda 24h'!E18,'03.08 Naalya-Ntinda-24h'!E18,'04.08 Naalya-Ntinda'!E18)</f>
        <v>9.7142857142857135</v>
      </c>
      <c r="F18" s="49">
        <f>AVERAGE('29.07 Naalya-Ntinda'!F18,'30.07 Naalya-Ntinda'!F18,'31.07 Naalya-Ntinda'!F18,'02.08 Naalya-Ntinda'!F18,'01.08 Naalya-Ntinda 24h'!F18,'03.08 Naalya-Ntinda-24h'!F18,'04.08 Naalya-Ntinda'!F18)</f>
        <v>9.7142857142857135</v>
      </c>
      <c r="G18" s="49">
        <f>AVERAGE('29.07 Naalya-Ntinda'!G18,'30.07 Naalya-Ntinda'!G18,'31.07 Naalya-Ntinda'!G18,'02.08 Naalya-Ntinda'!G18,'01.08 Naalya-Ntinda 24h'!G18,'03.08 Naalya-Ntinda-24h'!G18,'04.08 Naalya-Ntinda'!G18)</f>
        <v>0.2857142857142857</v>
      </c>
      <c r="H18" s="49">
        <f>AVERAGE('29.07 Naalya-Ntinda'!H18,'30.07 Naalya-Ntinda'!H18,'31.07 Naalya-Ntinda'!H18,'02.08 Naalya-Ntinda'!H18,'01.08 Naalya-Ntinda 24h'!H18,'03.08 Naalya-Ntinda-24h'!H18,'04.08 Naalya-Ntinda'!H18)</f>
        <v>0</v>
      </c>
      <c r="I18" s="49">
        <f>AVERAGE('29.07 Naalya-Ntinda'!I18,'30.07 Naalya-Ntinda'!I18,'31.07 Naalya-Ntinda'!I18,'02.08 Naalya-Ntinda'!I18,'01.08 Naalya-Ntinda 24h'!I18,'03.08 Naalya-Ntinda-24h'!I18,'04.08 Naalya-Ntinda'!I18)</f>
        <v>2.4285714285714284</v>
      </c>
      <c r="J18" s="49">
        <f>AVERAGE('29.07 Naalya-Ntinda'!J18,'30.07 Naalya-Ntinda'!J18,'31.07 Naalya-Ntinda'!J18,'02.08 Naalya-Ntinda'!J18,'01.08 Naalya-Ntinda 24h'!J18,'03.08 Naalya-Ntinda-24h'!J18,'04.08 Naalya-Ntinda'!J18)</f>
        <v>2</v>
      </c>
      <c r="K18" s="49">
        <f>AVERAGE('29.07 Naalya-Ntinda'!K18,'30.07 Naalya-Ntinda'!K18,'31.07 Naalya-Ntinda'!K18,'02.08 Naalya-Ntinda'!K18,'01.08 Naalya-Ntinda 24h'!K18,'03.08 Naalya-Ntinda-24h'!K18,'04.08 Naalya-Ntinda'!K18)</f>
        <v>0.14285714285714285</v>
      </c>
      <c r="L18" s="49">
        <f>AVERAGE('29.07 Naalya-Ntinda'!L18,'30.07 Naalya-Ntinda'!L18,'31.07 Naalya-Ntinda'!L18,'02.08 Naalya-Ntinda'!L18,'01.08 Naalya-Ntinda 24h'!L18,'03.08 Naalya-Ntinda-24h'!L18,'04.08 Naalya-Ntinda'!L18)</f>
        <v>0.2857142857142857</v>
      </c>
      <c r="M18" s="49">
        <f>AVERAGE('29.07 Naalya-Ntinda'!M18,'30.07 Naalya-Ntinda'!M18,'31.07 Naalya-Ntinda'!M18,'02.08 Naalya-Ntinda'!M18,'01.08 Naalya-Ntinda 24h'!M18,'03.08 Naalya-Ntinda-24h'!M18,'04.08 Naalya-Ntinda'!M18)</f>
        <v>96.714285714285708</v>
      </c>
      <c r="N18" s="49">
        <f>AVERAGE('29.07 Naalya-Ntinda'!N18,'30.07 Naalya-Ntinda'!N18,'31.07 Naalya-Ntinda'!N18,'02.08 Naalya-Ntinda'!N18,'01.08 Naalya-Ntinda 24h'!N18,'03.08 Naalya-Ntinda-24h'!N18,'04.08 Naalya-Ntinda'!N18)</f>
        <v>0</v>
      </c>
      <c r="O18" s="15">
        <f t="shared" si="0"/>
        <v>150.14285714285711</v>
      </c>
      <c r="P18" s="15">
        <f t="shared" si="1"/>
        <v>246.85714285714283</v>
      </c>
      <c r="R18" s="1" t="s">
        <v>14</v>
      </c>
      <c r="S18" s="17">
        <f t="shared" ref="S18:AF18" si="10">SUM(C42:C45)</f>
        <v>211.71428571428572</v>
      </c>
      <c r="T18" s="17">
        <f t="shared" si="10"/>
        <v>154.85714285714283</v>
      </c>
      <c r="U18" s="17">
        <f t="shared" si="10"/>
        <v>26.857142857142854</v>
      </c>
      <c r="V18" s="17">
        <f t="shared" si="10"/>
        <v>31.571428571428573</v>
      </c>
      <c r="W18" s="17">
        <f t="shared" si="10"/>
        <v>2.4285714285714284</v>
      </c>
      <c r="X18" s="17">
        <f t="shared" si="10"/>
        <v>0</v>
      </c>
      <c r="Y18" s="17">
        <f t="shared" si="10"/>
        <v>14</v>
      </c>
      <c r="Z18" s="17">
        <f t="shared" si="10"/>
        <v>9.8571428571428577</v>
      </c>
      <c r="AA18" s="17">
        <f t="shared" si="10"/>
        <v>1.4285714285714286</v>
      </c>
      <c r="AB18" s="17">
        <f t="shared" si="10"/>
        <v>0.42857142857142855</v>
      </c>
      <c r="AC18" s="17">
        <f t="shared" si="10"/>
        <v>303.42857142857139</v>
      </c>
      <c r="AD18" s="17">
        <f t="shared" si="10"/>
        <v>0</v>
      </c>
      <c r="AE18" s="31">
        <f t="shared" si="10"/>
        <v>453.14285714285722</v>
      </c>
      <c r="AF18" s="31">
        <f t="shared" si="10"/>
        <v>756.57142857142856</v>
      </c>
    </row>
    <row r="19" spans="2:32" ht="23.1" customHeight="1" x14ac:dyDescent="0.25">
      <c r="B19" s="23" t="s">
        <v>46</v>
      </c>
      <c r="C19" s="49">
        <f>AVERAGE('29.07 Naalya-Ntinda'!C19,'30.07 Naalya-Ntinda'!C19,'31.07 Naalya-Ntinda'!C19,'02.08 Naalya-Ntinda'!C19,'01.08 Naalya-Ntinda 24h'!C19,'03.08 Naalya-Ntinda-24h'!C19,'04.08 Naalya-Ntinda'!C19)</f>
        <v>82.571428571428569</v>
      </c>
      <c r="D19" s="49">
        <f>AVERAGE('29.07 Naalya-Ntinda'!D19,'30.07 Naalya-Ntinda'!D19,'31.07 Naalya-Ntinda'!D19,'02.08 Naalya-Ntinda'!D19,'01.08 Naalya-Ntinda 24h'!D19,'03.08 Naalya-Ntinda-24h'!D19,'04.08 Naalya-Ntinda'!D19)</f>
        <v>42.571428571428569</v>
      </c>
      <c r="E19" s="49">
        <f>AVERAGE('29.07 Naalya-Ntinda'!E19,'30.07 Naalya-Ntinda'!E19,'31.07 Naalya-Ntinda'!E19,'02.08 Naalya-Ntinda'!E19,'01.08 Naalya-Ntinda 24h'!E19,'03.08 Naalya-Ntinda-24h'!E19,'04.08 Naalya-Ntinda'!E19)</f>
        <v>12.428571428571429</v>
      </c>
      <c r="F19" s="49">
        <f>AVERAGE('29.07 Naalya-Ntinda'!F19,'30.07 Naalya-Ntinda'!F19,'31.07 Naalya-Ntinda'!F19,'02.08 Naalya-Ntinda'!F19,'01.08 Naalya-Ntinda 24h'!F19,'03.08 Naalya-Ntinda-24h'!F19,'04.08 Naalya-Ntinda'!F19)</f>
        <v>7.5714285714285712</v>
      </c>
      <c r="G19" s="49">
        <f>AVERAGE('29.07 Naalya-Ntinda'!G19,'30.07 Naalya-Ntinda'!G19,'31.07 Naalya-Ntinda'!G19,'02.08 Naalya-Ntinda'!G19,'01.08 Naalya-Ntinda 24h'!G19,'03.08 Naalya-Ntinda-24h'!G19,'04.08 Naalya-Ntinda'!G19)</f>
        <v>0.42857142857142855</v>
      </c>
      <c r="H19" s="49">
        <f>AVERAGE('29.07 Naalya-Ntinda'!H19,'30.07 Naalya-Ntinda'!H19,'31.07 Naalya-Ntinda'!H19,'02.08 Naalya-Ntinda'!H19,'01.08 Naalya-Ntinda 24h'!H19,'03.08 Naalya-Ntinda-24h'!H19,'04.08 Naalya-Ntinda'!H19)</f>
        <v>0</v>
      </c>
      <c r="I19" s="49">
        <f>AVERAGE('29.07 Naalya-Ntinda'!I19,'30.07 Naalya-Ntinda'!I19,'31.07 Naalya-Ntinda'!I19,'02.08 Naalya-Ntinda'!I19,'01.08 Naalya-Ntinda 24h'!I19,'03.08 Naalya-Ntinda-24h'!I19,'04.08 Naalya-Ntinda'!I19)</f>
        <v>3.2857142857142856</v>
      </c>
      <c r="J19" s="49">
        <f>AVERAGE('29.07 Naalya-Ntinda'!J19,'30.07 Naalya-Ntinda'!J19,'31.07 Naalya-Ntinda'!J19,'02.08 Naalya-Ntinda'!J19,'01.08 Naalya-Ntinda 24h'!J19,'03.08 Naalya-Ntinda-24h'!J19,'04.08 Naalya-Ntinda'!J19)</f>
        <v>1.8571428571428572</v>
      </c>
      <c r="K19" s="49">
        <f>AVERAGE('29.07 Naalya-Ntinda'!K19,'30.07 Naalya-Ntinda'!K19,'31.07 Naalya-Ntinda'!K19,'02.08 Naalya-Ntinda'!K19,'01.08 Naalya-Ntinda 24h'!K19,'03.08 Naalya-Ntinda-24h'!K19,'04.08 Naalya-Ntinda'!K19)</f>
        <v>0.8571428571428571</v>
      </c>
      <c r="L19" s="49">
        <f>AVERAGE('29.07 Naalya-Ntinda'!L19,'30.07 Naalya-Ntinda'!L19,'31.07 Naalya-Ntinda'!L19,'02.08 Naalya-Ntinda'!L19,'01.08 Naalya-Ntinda 24h'!L19,'03.08 Naalya-Ntinda-24h'!L19,'04.08 Naalya-Ntinda'!L19)</f>
        <v>0.2857142857142857</v>
      </c>
      <c r="M19" s="49">
        <f>AVERAGE('29.07 Naalya-Ntinda'!M19,'30.07 Naalya-Ntinda'!M19,'31.07 Naalya-Ntinda'!M19,'02.08 Naalya-Ntinda'!M19,'01.08 Naalya-Ntinda 24h'!M19,'03.08 Naalya-Ntinda-24h'!M19,'04.08 Naalya-Ntinda'!M19)</f>
        <v>97.428571428571431</v>
      </c>
      <c r="N19" s="49">
        <f>AVERAGE('29.07 Naalya-Ntinda'!N19,'30.07 Naalya-Ntinda'!N19,'31.07 Naalya-Ntinda'!N19,'02.08 Naalya-Ntinda'!N19,'01.08 Naalya-Ntinda 24h'!N19,'03.08 Naalya-Ntinda-24h'!N19,'04.08 Naalya-Ntinda'!N19)</f>
        <v>0</v>
      </c>
      <c r="O19" s="15">
        <f t="shared" si="0"/>
        <v>151.85714285714283</v>
      </c>
      <c r="P19" s="15">
        <f t="shared" si="1"/>
        <v>249.28571428571428</v>
      </c>
      <c r="R19" s="1" t="s">
        <v>15</v>
      </c>
      <c r="S19" s="17">
        <f t="shared" ref="S19:AF19" si="11">SUM(C46:C49)</f>
        <v>263.85714285714283</v>
      </c>
      <c r="T19" s="17">
        <f t="shared" si="11"/>
        <v>183.42857142857144</v>
      </c>
      <c r="U19" s="17">
        <f t="shared" si="11"/>
        <v>34.857142857142861</v>
      </c>
      <c r="V19" s="17">
        <f t="shared" si="11"/>
        <v>42.285714285714285</v>
      </c>
      <c r="W19" s="17">
        <f t="shared" si="11"/>
        <v>6.5714285714285712</v>
      </c>
      <c r="X19" s="17">
        <f t="shared" si="11"/>
        <v>0.42857142857142855</v>
      </c>
      <c r="Y19" s="17">
        <f t="shared" si="11"/>
        <v>10.571428571428571</v>
      </c>
      <c r="Z19" s="17">
        <f t="shared" si="11"/>
        <v>5.4285714285714279</v>
      </c>
      <c r="AA19" s="17">
        <f t="shared" si="11"/>
        <v>0.85714285714285698</v>
      </c>
      <c r="AB19" s="17">
        <f t="shared" si="11"/>
        <v>0.2857142857142857</v>
      </c>
      <c r="AC19" s="17">
        <f t="shared" si="11"/>
        <v>295.57142857142856</v>
      </c>
      <c r="AD19" s="17">
        <f t="shared" si="11"/>
        <v>0</v>
      </c>
      <c r="AE19" s="31">
        <f t="shared" si="11"/>
        <v>548.57142857142856</v>
      </c>
      <c r="AF19" s="31">
        <f t="shared" si="11"/>
        <v>844.14285714285711</v>
      </c>
    </row>
    <row r="20" spans="2:32" ht="23.1" customHeight="1" x14ac:dyDescent="0.25">
      <c r="B20" s="23" t="s">
        <v>47</v>
      </c>
      <c r="C20" s="49">
        <f>AVERAGE('29.07 Naalya-Ntinda'!C20,'30.07 Naalya-Ntinda'!C20,'31.07 Naalya-Ntinda'!C20,'02.08 Naalya-Ntinda'!C20,'01.08 Naalya-Ntinda 24h'!C20,'03.08 Naalya-Ntinda-24h'!C20,'04.08 Naalya-Ntinda'!C20)</f>
        <v>77</v>
      </c>
      <c r="D20" s="49">
        <f>AVERAGE('29.07 Naalya-Ntinda'!D20,'30.07 Naalya-Ntinda'!D20,'31.07 Naalya-Ntinda'!D20,'02.08 Naalya-Ntinda'!D20,'01.08 Naalya-Ntinda 24h'!D20,'03.08 Naalya-Ntinda-24h'!D20,'04.08 Naalya-Ntinda'!D20)</f>
        <v>46.142857142857146</v>
      </c>
      <c r="E20" s="49">
        <f>AVERAGE('29.07 Naalya-Ntinda'!E20,'30.07 Naalya-Ntinda'!E20,'31.07 Naalya-Ntinda'!E20,'02.08 Naalya-Ntinda'!E20,'01.08 Naalya-Ntinda 24h'!E20,'03.08 Naalya-Ntinda-24h'!E20,'04.08 Naalya-Ntinda'!E20)</f>
        <v>10.285714285714286</v>
      </c>
      <c r="F20" s="49">
        <f>AVERAGE('29.07 Naalya-Ntinda'!F20,'30.07 Naalya-Ntinda'!F20,'31.07 Naalya-Ntinda'!F20,'02.08 Naalya-Ntinda'!F20,'01.08 Naalya-Ntinda 24h'!F20,'03.08 Naalya-Ntinda-24h'!F20,'04.08 Naalya-Ntinda'!F20)</f>
        <v>8.8571428571428577</v>
      </c>
      <c r="G20" s="49">
        <f>AVERAGE('29.07 Naalya-Ntinda'!G20,'30.07 Naalya-Ntinda'!G20,'31.07 Naalya-Ntinda'!G20,'02.08 Naalya-Ntinda'!G20,'01.08 Naalya-Ntinda 24h'!G20,'03.08 Naalya-Ntinda-24h'!G20,'04.08 Naalya-Ntinda'!G20)</f>
        <v>0.2857142857142857</v>
      </c>
      <c r="H20" s="49">
        <f>AVERAGE('29.07 Naalya-Ntinda'!H20,'30.07 Naalya-Ntinda'!H20,'31.07 Naalya-Ntinda'!H20,'02.08 Naalya-Ntinda'!H20,'01.08 Naalya-Ntinda 24h'!H20,'03.08 Naalya-Ntinda-24h'!H20,'04.08 Naalya-Ntinda'!H20)</f>
        <v>0</v>
      </c>
      <c r="I20" s="49">
        <f>AVERAGE('29.07 Naalya-Ntinda'!I20,'30.07 Naalya-Ntinda'!I20,'31.07 Naalya-Ntinda'!I20,'02.08 Naalya-Ntinda'!I20,'01.08 Naalya-Ntinda 24h'!I20,'03.08 Naalya-Ntinda-24h'!I20,'04.08 Naalya-Ntinda'!I20)</f>
        <v>2.5714285714285716</v>
      </c>
      <c r="J20" s="49">
        <f>AVERAGE('29.07 Naalya-Ntinda'!J20,'30.07 Naalya-Ntinda'!J20,'31.07 Naalya-Ntinda'!J20,'02.08 Naalya-Ntinda'!J20,'01.08 Naalya-Ntinda 24h'!J20,'03.08 Naalya-Ntinda-24h'!J20,'04.08 Naalya-Ntinda'!J20)</f>
        <v>1.4285714285714286</v>
      </c>
      <c r="K20" s="49">
        <f>AVERAGE('29.07 Naalya-Ntinda'!K20,'30.07 Naalya-Ntinda'!K20,'31.07 Naalya-Ntinda'!K20,'02.08 Naalya-Ntinda'!K20,'01.08 Naalya-Ntinda 24h'!K20,'03.08 Naalya-Ntinda-24h'!K20,'04.08 Naalya-Ntinda'!K20)</f>
        <v>0</v>
      </c>
      <c r="L20" s="49">
        <f>AVERAGE('29.07 Naalya-Ntinda'!L20,'30.07 Naalya-Ntinda'!L20,'31.07 Naalya-Ntinda'!L20,'02.08 Naalya-Ntinda'!L20,'01.08 Naalya-Ntinda 24h'!L20,'03.08 Naalya-Ntinda-24h'!L20,'04.08 Naalya-Ntinda'!L20)</f>
        <v>0.2857142857142857</v>
      </c>
      <c r="M20" s="49">
        <f>AVERAGE('29.07 Naalya-Ntinda'!M20,'30.07 Naalya-Ntinda'!M20,'31.07 Naalya-Ntinda'!M20,'02.08 Naalya-Ntinda'!M20,'01.08 Naalya-Ntinda 24h'!M20,'03.08 Naalya-Ntinda-24h'!M20,'04.08 Naalya-Ntinda'!M20)</f>
        <v>98.571428571428569</v>
      </c>
      <c r="N20" s="49">
        <f>AVERAGE('29.07 Naalya-Ntinda'!N20,'30.07 Naalya-Ntinda'!N20,'31.07 Naalya-Ntinda'!N20,'02.08 Naalya-Ntinda'!N20,'01.08 Naalya-Ntinda 24h'!N20,'03.08 Naalya-Ntinda-24h'!N20,'04.08 Naalya-Ntinda'!N20)</f>
        <v>0</v>
      </c>
      <c r="O20" s="15">
        <f t="shared" si="0"/>
        <v>146.85714285714283</v>
      </c>
      <c r="P20" s="15">
        <f t="shared" si="1"/>
        <v>245.42857142857139</v>
      </c>
      <c r="R20" s="1" t="s">
        <v>16</v>
      </c>
      <c r="S20" s="17">
        <f t="shared" ref="S20:AF20" si="12">SUM(C50:C53)</f>
        <v>288.14285714285711</v>
      </c>
      <c r="T20" s="17">
        <f t="shared" si="12"/>
        <v>196.71428571428572</v>
      </c>
      <c r="U20" s="17">
        <f t="shared" si="12"/>
        <v>40.142857142857139</v>
      </c>
      <c r="V20" s="17">
        <f t="shared" si="12"/>
        <v>39</v>
      </c>
      <c r="W20" s="17">
        <f t="shared" si="12"/>
        <v>6</v>
      </c>
      <c r="X20" s="17">
        <f t="shared" si="12"/>
        <v>1</v>
      </c>
      <c r="Y20" s="17">
        <f t="shared" si="12"/>
        <v>10.714285714285715</v>
      </c>
      <c r="Z20" s="17">
        <f t="shared" si="12"/>
        <v>5.5714285714285712</v>
      </c>
      <c r="AA20" s="17">
        <f t="shared" si="12"/>
        <v>0.85714285714285721</v>
      </c>
      <c r="AB20" s="17">
        <f t="shared" si="12"/>
        <v>0.2857142857142857</v>
      </c>
      <c r="AC20" s="17">
        <f t="shared" si="12"/>
        <v>326</v>
      </c>
      <c r="AD20" s="17">
        <f t="shared" si="12"/>
        <v>0</v>
      </c>
      <c r="AE20" s="31">
        <f t="shared" si="12"/>
        <v>588.42857142857144</v>
      </c>
      <c r="AF20" s="31">
        <f t="shared" si="12"/>
        <v>914.42857142857133</v>
      </c>
    </row>
    <row r="21" spans="2:32" ht="23.1" customHeight="1" x14ac:dyDescent="0.25">
      <c r="B21" s="23" t="s">
        <v>48</v>
      </c>
      <c r="C21" s="49">
        <f>AVERAGE('29.07 Naalya-Ntinda'!C21,'30.07 Naalya-Ntinda'!C21,'31.07 Naalya-Ntinda'!C21,'02.08 Naalya-Ntinda'!C21,'01.08 Naalya-Ntinda 24h'!C21,'03.08 Naalya-Ntinda-24h'!C21,'04.08 Naalya-Ntinda'!C21)</f>
        <v>70.428571428571431</v>
      </c>
      <c r="D21" s="49">
        <f>AVERAGE('29.07 Naalya-Ntinda'!D21,'30.07 Naalya-Ntinda'!D21,'31.07 Naalya-Ntinda'!D21,'02.08 Naalya-Ntinda'!D21,'01.08 Naalya-Ntinda 24h'!D21,'03.08 Naalya-Ntinda-24h'!D21,'04.08 Naalya-Ntinda'!D21)</f>
        <v>41</v>
      </c>
      <c r="E21" s="49">
        <f>AVERAGE('29.07 Naalya-Ntinda'!E21,'30.07 Naalya-Ntinda'!E21,'31.07 Naalya-Ntinda'!E21,'02.08 Naalya-Ntinda'!E21,'01.08 Naalya-Ntinda 24h'!E21,'03.08 Naalya-Ntinda-24h'!E21,'04.08 Naalya-Ntinda'!E21)</f>
        <v>9.5714285714285712</v>
      </c>
      <c r="F21" s="49">
        <f>AVERAGE('29.07 Naalya-Ntinda'!F21,'30.07 Naalya-Ntinda'!F21,'31.07 Naalya-Ntinda'!F21,'02.08 Naalya-Ntinda'!F21,'01.08 Naalya-Ntinda 24h'!F21,'03.08 Naalya-Ntinda-24h'!F21,'04.08 Naalya-Ntinda'!F21)</f>
        <v>8.5714285714285712</v>
      </c>
      <c r="G21" s="49">
        <f>AVERAGE('29.07 Naalya-Ntinda'!G21,'30.07 Naalya-Ntinda'!G21,'31.07 Naalya-Ntinda'!G21,'02.08 Naalya-Ntinda'!G21,'01.08 Naalya-Ntinda 24h'!G21,'03.08 Naalya-Ntinda-24h'!G21,'04.08 Naalya-Ntinda'!G21)</f>
        <v>0.8571428571428571</v>
      </c>
      <c r="H21" s="49">
        <f>AVERAGE('29.07 Naalya-Ntinda'!H21,'30.07 Naalya-Ntinda'!H21,'31.07 Naalya-Ntinda'!H21,'02.08 Naalya-Ntinda'!H21,'01.08 Naalya-Ntinda 24h'!H21,'03.08 Naalya-Ntinda-24h'!H21,'04.08 Naalya-Ntinda'!H21)</f>
        <v>0</v>
      </c>
      <c r="I21" s="49">
        <f>AVERAGE('29.07 Naalya-Ntinda'!I21,'30.07 Naalya-Ntinda'!I21,'31.07 Naalya-Ntinda'!I21,'02.08 Naalya-Ntinda'!I21,'01.08 Naalya-Ntinda 24h'!I21,'03.08 Naalya-Ntinda-24h'!I21,'04.08 Naalya-Ntinda'!I21)</f>
        <v>1.7142857142857142</v>
      </c>
      <c r="J21" s="49">
        <f>AVERAGE('29.07 Naalya-Ntinda'!J21,'30.07 Naalya-Ntinda'!J21,'31.07 Naalya-Ntinda'!J21,'02.08 Naalya-Ntinda'!J21,'01.08 Naalya-Ntinda 24h'!J21,'03.08 Naalya-Ntinda-24h'!J21,'04.08 Naalya-Ntinda'!J21)</f>
        <v>2.2857142857142856</v>
      </c>
      <c r="K21" s="49">
        <f>AVERAGE('29.07 Naalya-Ntinda'!K21,'30.07 Naalya-Ntinda'!K21,'31.07 Naalya-Ntinda'!K21,'02.08 Naalya-Ntinda'!K21,'01.08 Naalya-Ntinda 24h'!K21,'03.08 Naalya-Ntinda-24h'!K21,'04.08 Naalya-Ntinda'!K21)</f>
        <v>0.42857142857142855</v>
      </c>
      <c r="L21" s="49">
        <f>AVERAGE('29.07 Naalya-Ntinda'!L21,'30.07 Naalya-Ntinda'!L21,'31.07 Naalya-Ntinda'!L21,'02.08 Naalya-Ntinda'!L21,'01.08 Naalya-Ntinda 24h'!L21,'03.08 Naalya-Ntinda-24h'!L21,'04.08 Naalya-Ntinda'!L21)</f>
        <v>0</v>
      </c>
      <c r="M21" s="49">
        <f>AVERAGE('29.07 Naalya-Ntinda'!M21,'30.07 Naalya-Ntinda'!M21,'31.07 Naalya-Ntinda'!M21,'02.08 Naalya-Ntinda'!M21,'01.08 Naalya-Ntinda 24h'!M21,'03.08 Naalya-Ntinda-24h'!M21,'04.08 Naalya-Ntinda'!M21)</f>
        <v>91.857142857142861</v>
      </c>
      <c r="N21" s="49">
        <f>AVERAGE('29.07 Naalya-Ntinda'!N21,'30.07 Naalya-Ntinda'!N21,'31.07 Naalya-Ntinda'!N21,'02.08 Naalya-Ntinda'!N21,'01.08 Naalya-Ntinda 24h'!N21,'03.08 Naalya-Ntinda-24h'!N21,'04.08 Naalya-Ntinda'!N21)</f>
        <v>0</v>
      </c>
      <c r="O21" s="15">
        <f t="shared" si="0"/>
        <v>134.85714285714286</v>
      </c>
      <c r="P21" s="15">
        <f t="shared" si="1"/>
        <v>226.71428571428572</v>
      </c>
      <c r="R21" s="36" t="s">
        <v>20</v>
      </c>
      <c r="S21" s="34">
        <f t="shared" ref="S21:AF21" si="13">SUM(C54:C57)</f>
        <v>226.71428571428572</v>
      </c>
      <c r="T21" s="17">
        <f t="shared" si="13"/>
        <v>164.42857142857144</v>
      </c>
      <c r="U21" s="17">
        <f t="shared" si="13"/>
        <v>28</v>
      </c>
      <c r="V21" s="17">
        <f t="shared" si="13"/>
        <v>32.714285714285715</v>
      </c>
      <c r="W21" s="17">
        <f t="shared" si="13"/>
        <v>2</v>
      </c>
      <c r="X21" s="17">
        <f t="shared" si="13"/>
        <v>2.2857142857142856</v>
      </c>
      <c r="Y21" s="17">
        <f t="shared" si="13"/>
        <v>6.8571428571428577</v>
      </c>
      <c r="Z21" s="17">
        <f t="shared" si="13"/>
        <v>4.2857142857142856</v>
      </c>
      <c r="AA21" s="17">
        <f t="shared" si="13"/>
        <v>1.1428571428571428</v>
      </c>
      <c r="AB21" s="17">
        <f t="shared" si="13"/>
        <v>0.85714285714285698</v>
      </c>
      <c r="AC21" s="17">
        <f t="shared" si="13"/>
        <v>348.99999999999994</v>
      </c>
      <c r="AD21" s="17">
        <f t="shared" si="13"/>
        <v>0</v>
      </c>
      <c r="AE21" s="31">
        <f t="shared" si="13"/>
        <v>469.28571428571433</v>
      </c>
      <c r="AF21" s="31">
        <f t="shared" si="13"/>
        <v>818.28571428571422</v>
      </c>
    </row>
    <row r="22" spans="2:32" ht="23.1" customHeight="1" x14ac:dyDescent="0.25">
      <c r="B22" s="23" t="s">
        <v>49</v>
      </c>
      <c r="C22" s="49">
        <f>AVERAGE('29.07 Naalya-Ntinda'!C22,'30.07 Naalya-Ntinda'!C22,'31.07 Naalya-Ntinda'!C22,'02.08 Naalya-Ntinda'!C22,'01.08 Naalya-Ntinda 24h'!C22,'03.08 Naalya-Ntinda-24h'!C22,'04.08 Naalya-Ntinda'!C22)</f>
        <v>72.428571428571431</v>
      </c>
      <c r="D22" s="49">
        <f>AVERAGE('29.07 Naalya-Ntinda'!D22,'30.07 Naalya-Ntinda'!D22,'31.07 Naalya-Ntinda'!D22,'02.08 Naalya-Ntinda'!D22,'01.08 Naalya-Ntinda 24h'!D22,'03.08 Naalya-Ntinda-24h'!D22,'04.08 Naalya-Ntinda'!D22)</f>
        <v>41.285714285714285</v>
      </c>
      <c r="E22" s="49">
        <f>AVERAGE('29.07 Naalya-Ntinda'!E22,'30.07 Naalya-Ntinda'!E22,'31.07 Naalya-Ntinda'!E22,'02.08 Naalya-Ntinda'!E22,'01.08 Naalya-Ntinda 24h'!E22,'03.08 Naalya-Ntinda-24h'!E22,'04.08 Naalya-Ntinda'!E22)</f>
        <v>7.8571428571428568</v>
      </c>
      <c r="F22" s="49">
        <f>AVERAGE('29.07 Naalya-Ntinda'!F22,'30.07 Naalya-Ntinda'!F22,'31.07 Naalya-Ntinda'!F22,'02.08 Naalya-Ntinda'!F22,'01.08 Naalya-Ntinda 24h'!F22,'03.08 Naalya-Ntinda-24h'!F22,'04.08 Naalya-Ntinda'!F22)</f>
        <v>9.5714285714285712</v>
      </c>
      <c r="G22" s="49">
        <f>AVERAGE('29.07 Naalya-Ntinda'!G22,'30.07 Naalya-Ntinda'!G22,'31.07 Naalya-Ntinda'!G22,'02.08 Naalya-Ntinda'!G22,'01.08 Naalya-Ntinda 24h'!G22,'03.08 Naalya-Ntinda-24h'!G22,'04.08 Naalya-Ntinda'!G22)</f>
        <v>0.5714285714285714</v>
      </c>
      <c r="H22" s="49">
        <f>AVERAGE('29.07 Naalya-Ntinda'!H22,'30.07 Naalya-Ntinda'!H22,'31.07 Naalya-Ntinda'!H22,'02.08 Naalya-Ntinda'!H22,'01.08 Naalya-Ntinda 24h'!H22,'03.08 Naalya-Ntinda-24h'!H22,'04.08 Naalya-Ntinda'!H22)</f>
        <v>0</v>
      </c>
      <c r="I22" s="49">
        <f>AVERAGE('29.07 Naalya-Ntinda'!I22,'30.07 Naalya-Ntinda'!I22,'31.07 Naalya-Ntinda'!I22,'02.08 Naalya-Ntinda'!I22,'01.08 Naalya-Ntinda 24h'!I22,'03.08 Naalya-Ntinda-24h'!I22,'04.08 Naalya-Ntinda'!I22)</f>
        <v>2.1428571428571428</v>
      </c>
      <c r="J22" s="49">
        <f>AVERAGE('29.07 Naalya-Ntinda'!J22,'30.07 Naalya-Ntinda'!J22,'31.07 Naalya-Ntinda'!J22,'02.08 Naalya-Ntinda'!J22,'01.08 Naalya-Ntinda 24h'!J22,'03.08 Naalya-Ntinda-24h'!J22,'04.08 Naalya-Ntinda'!J22)</f>
        <v>1.2857142857142858</v>
      </c>
      <c r="K22" s="49">
        <f>AVERAGE('29.07 Naalya-Ntinda'!K22,'30.07 Naalya-Ntinda'!K22,'31.07 Naalya-Ntinda'!K22,'02.08 Naalya-Ntinda'!K22,'01.08 Naalya-Ntinda 24h'!K22,'03.08 Naalya-Ntinda-24h'!K22,'04.08 Naalya-Ntinda'!K22)</f>
        <v>0.14285714285714285</v>
      </c>
      <c r="L22" s="49">
        <f>AVERAGE('29.07 Naalya-Ntinda'!L22,'30.07 Naalya-Ntinda'!L22,'31.07 Naalya-Ntinda'!L22,'02.08 Naalya-Ntinda'!L22,'01.08 Naalya-Ntinda 24h'!L22,'03.08 Naalya-Ntinda-24h'!L22,'04.08 Naalya-Ntinda'!L22)</f>
        <v>0.14285714285714285</v>
      </c>
      <c r="M22" s="49">
        <f>AVERAGE('29.07 Naalya-Ntinda'!M22,'30.07 Naalya-Ntinda'!M22,'31.07 Naalya-Ntinda'!M22,'02.08 Naalya-Ntinda'!M22,'01.08 Naalya-Ntinda 24h'!M22,'03.08 Naalya-Ntinda-24h'!M22,'04.08 Naalya-Ntinda'!M22)</f>
        <v>90.571428571428569</v>
      </c>
      <c r="N22" s="49">
        <f>AVERAGE('29.07 Naalya-Ntinda'!N22,'30.07 Naalya-Ntinda'!N22,'31.07 Naalya-Ntinda'!N22,'02.08 Naalya-Ntinda'!N22,'01.08 Naalya-Ntinda 24h'!N22,'03.08 Naalya-Ntinda-24h'!N22,'04.08 Naalya-Ntinda'!N22)</f>
        <v>0</v>
      </c>
      <c r="O22" s="15">
        <f t="shared" si="0"/>
        <v>135.42857142857144</v>
      </c>
      <c r="P22" s="15">
        <f t="shared" si="1"/>
        <v>226</v>
      </c>
      <c r="R22" s="1" t="s">
        <v>146</v>
      </c>
      <c r="S22" s="34">
        <f>SUM(C58:C61)</f>
        <v>157.5</v>
      </c>
      <c r="T22" s="34">
        <f t="shared" ref="T22:AF22" si="14">SUM(D58:D61)</f>
        <v>111.5</v>
      </c>
      <c r="U22" s="34">
        <f t="shared" si="14"/>
        <v>32.5</v>
      </c>
      <c r="V22" s="34">
        <f t="shared" si="14"/>
        <v>21</v>
      </c>
      <c r="W22" s="34">
        <f t="shared" si="14"/>
        <v>1.5</v>
      </c>
      <c r="X22" s="34">
        <f t="shared" si="14"/>
        <v>1.5</v>
      </c>
      <c r="Y22" s="34">
        <f t="shared" si="14"/>
        <v>1</v>
      </c>
      <c r="Z22" s="34">
        <f t="shared" si="14"/>
        <v>3</v>
      </c>
      <c r="AA22" s="34">
        <f t="shared" si="14"/>
        <v>0</v>
      </c>
      <c r="AB22" s="34">
        <f t="shared" si="14"/>
        <v>1</v>
      </c>
      <c r="AC22" s="34">
        <f t="shared" si="14"/>
        <v>181.5</v>
      </c>
      <c r="AD22" s="34">
        <f t="shared" si="14"/>
        <v>0</v>
      </c>
      <c r="AE22" s="51">
        <f t="shared" si="14"/>
        <v>330.5</v>
      </c>
      <c r="AF22" s="51">
        <f t="shared" si="14"/>
        <v>512</v>
      </c>
    </row>
    <row r="23" spans="2:32" ht="23.1" customHeight="1" x14ac:dyDescent="0.25">
      <c r="B23" s="23" t="s">
        <v>50</v>
      </c>
      <c r="C23" s="49">
        <f>AVERAGE('29.07 Naalya-Ntinda'!C23,'30.07 Naalya-Ntinda'!C23,'31.07 Naalya-Ntinda'!C23,'02.08 Naalya-Ntinda'!C23,'01.08 Naalya-Ntinda 24h'!C23,'03.08 Naalya-Ntinda-24h'!C23,'04.08 Naalya-Ntinda'!C23)</f>
        <v>79.857142857142861</v>
      </c>
      <c r="D23" s="49">
        <f>AVERAGE('29.07 Naalya-Ntinda'!D23,'30.07 Naalya-Ntinda'!D23,'31.07 Naalya-Ntinda'!D23,'02.08 Naalya-Ntinda'!D23,'01.08 Naalya-Ntinda 24h'!D23,'03.08 Naalya-Ntinda-24h'!D23,'04.08 Naalya-Ntinda'!D23)</f>
        <v>59.571428571428569</v>
      </c>
      <c r="E23" s="49">
        <f>AVERAGE('29.07 Naalya-Ntinda'!E23,'30.07 Naalya-Ntinda'!E23,'31.07 Naalya-Ntinda'!E23,'02.08 Naalya-Ntinda'!E23,'01.08 Naalya-Ntinda 24h'!E23,'03.08 Naalya-Ntinda-24h'!E23,'04.08 Naalya-Ntinda'!E23)</f>
        <v>11</v>
      </c>
      <c r="F23" s="49">
        <f>AVERAGE('29.07 Naalya-Ntinda'!F23,'30.07 Naalya-Ntinda'!F23,'31.07 Naalya-Ntinda'!F23,'02.08 Naalya-Ntinda'!F23,'01.08 Naalya-Ntinda 24h'!F23,'03.08 Naalya-Ntinda-24h'!F23,'04.08 Naalya-Ntinda'!F23)</f>
        <v>9.5714285714285712</v>
      </c>
      <c r="G23" s="49">
        <f>AVERAGE('29.07 Naalya-Ntinda'!G23,'30.07 Naalya-Ntinda'!G23,'31.07 Naalya-Ntinda'!G23,'02.08 Naalya-Ntinda'!G23,'01.08 Naalya-Ntinda 24h'!G23,'03.08 Naalya-Ntinda-24h'!G23,'04.08 Naalya-Ntinda'!G23)</f>
        <v>2.1428571428571428</v>
      </c>
      <c r="H23" s="49">
        <f>AVERAGE('29.07 Naalya-Ntinda'!H23,'30.07 Naalya-Ntinda'!H23,'31.07 Naalya-Ntinda'!H23,'02.08 Naalya-Ntinda'!H23,'01.08 Naalya-Ntinda 24h'!H23,'03.08 Naalya-Ntinda-24h'!H23,'04.08 Naalya-Ntinda'!H23)</f>
        <v>0</v>
      </c>
      <c r="I23" s="49">
        <f>AVERAGE('29.07 Naalya-Ntinda'!I23,'30.07 Naalya-Ntinda'!I23,'31.07 Naalya-Ntinda'!I23,'02.08 Naalya-Ntinda'!I23,'01.08 Naalya-Ntinda 24h'!I23,'03.08 Naalya-Ntinda-24h'!I23,'04.08 Naalya-Ntinda'!I23)</f>
        <v>2.7142857142857144</v>
      </c>
      <c r="J23" s="49">
        <f>AVERAGE('29.07 Naalya-Ntinda'!J23,'30.07 Naalya-Ntinda'!J23,'31.07 Naalya-Ntinda'!J23,'02.08 Naalya-Ntinda'!J23,'01.08 Naalya-Ntinda 24h'!J23,'03.08 Naalya-Ntinda-24h'!J23,'04.08 Naalya-Ntinda'!J23)</f>
        <v>2</v>
      </c>
      <c r="K23" s="49">
        <f>AVERAGE('29.07 Naalya-Ntinda'!K23,'30.07 Naalya-Ntinda'!K23,'31.07 Naalya-Ntinda'!K23,'02.08 Naalya-Ntinda'!K23,'01.08 Naalya-Ntinda 24h'!K23,'03.08 Naalya-Ntinda-24h'!K23,'04.08 Naalya-Ntinda'!K23)</f>
        <v>0.42857142857142855</v>
      </c>
      <c r="L23" s="49">
        <f>AVERAGE('29.07 Naalya-Ntinda'!L23,'30.07 Naalya-Ntinda'!L23,'31.07 Naalya-Ntinda'!L23,'02.08 Naalya-Ntinda'!L23,'01.08 Naalya-Ntinda 24h'!L23,'03.08 Naalya-Ntinda-24h'!L23,'04.08 Naalya-Ntinda'!L23)</f>
        <v>0.2857142857142857</v>
      </c>
      <c r="M23" s="49">
        <f>AVERAGE('29.07 Naalya-Ntinda'!M23,'30.07 Naalya-Ntinda'!M23,'31.07 Naalya-Ntinda'!M23,'02.08 Naalya-Ntinda'!M23,'01.08 Naalya-Ntinda 24h'!M23,'03.08 Naalya-Ntinda-24h'!M23,'04.08 Naalya-Ntinda'!M23)</f>
        <v>80.714285714285708</v>
      </c>
      <c r="N23" s="49">
        <f>AVERAGE('29.07 Naalya-Ntinda'!N23,'30.07 Naalya-Ntinda'!N23,'31.07 Naalya-Ntinda'!N23,'02.08 Naalya-Ntinda'!N23,'01.08 Naalya-Ntinda 24h'!N23,'03.08 Naalya-Ntinda-24h'!N23,'04.08 Naalya-Ntinda'!N23)</f>
        <v>0</v>
      </c>
      <c r="O23" s="15">
        <f t="shared" si="0"/>
        <v>167.57142857142858</v>
      </c>
      <c r="P23" s="15">
        <f t="shared" si="1"/>
        <v>248.28571428571428</v>
      </c>
      <c r="R23" s="1" t="s">
        <v>147</v>
      </c>
      <c r="S23" s="34">
        <f>SUM(C62:C65)</f>
        <v>160.5</v>
      </c>
      <c r="T23" s="34">
        <f t="shared" ref="T23:AF23" si="15">SUM(D62:D65)</f>
        <v>143</v>
      </c>
      <c r="U23" s="34">
        <f t="shared" si="15"/>
        <v>23</v>
      </c>
      <c r="V23" s="34">
        <f t="shared" si="15"/>
        <v>24.5</v>
      </c>
      <c r="W23" s="34">
        <f t="shared" si="15"/>
        <v>4.5</v>
      </c>
      <c r="X23" s="34">
        <f t="shared" si="15"/>
        <v>0</v>
      </c>
      <c r="Y23" s="34">
        <f t="shared" si="15"/>
        <v>4</v>
      </c>
      <c r="Z23" s="34">
        <f t="shared" si="15"/>
        <v>6</v>
      </c>
      <c r="AA23" s="34">
        <f t="shared" si="15"/>
        <v>0</v>
      </c>
      <c r="AB23" s="34">
        <f t="shared" si="15"/>
        <v>0</v>
      </c>
      <c r="AC23" s="34">
        <f t="shared" si="15"/>
        <v>305</v>
      </c>
      <c r="AD23" s="34">
        <f t="shared" si="15"/>
        <v>0</v>
      </c>
      <c r="AE23" s="51">
        <f t="shared" si="15"/>
        <v>365.5</v>
      </c>
      <c r="AF23" s="51">
        <f t="shared" si="15"/>
        <v>670.5</v>
      </c>
    </row>
    <row r="24" spans="2:32" ht="23.1" customHeight="1" x14ac:dyDescent="0.25">
      <c r="B24" s="23" t="s">
        <v>51</v>
      </c>
      <c r="C24" s="49">
        <f>AVERAGE('29.07 Naalya-Ntinda'!C24,'30.07 Naalya-Ntinda'!C24,'31.07 Naalya-Ntinda'!C24,'02.08 Naalya-Ntinda'!C24,'01.08 Naalya-Ntinda 24h'!C24,'03.08 Naalya-Ntinda-24h'!C24,'04.08 Naalya-Ntinda'!C24)</f>
        <v>69.714285714285708</v>
      </c>
      <c r="D24" s="49">
        <f>AVERAGE('29.07 Naalya-Ntinda'!D24,'30.07 Naalya-Ntinda'!D24,'31.07 Naalya-Ntinda'!D24,'02.08 Naalya-Ntinda'!D24,'01.08 Naalya-Ntinda 24h'!D24,'03.08 Naalya-Ntinda-24h'!D24,'04.08 Naalya-Ntinda'!D24)</f>
        <v>43.142857142857146</v>
      </c>
      <c r="E24" s="49">
        <f>AVERAGE('29.07 Naalya-Ntinda'!E24,'30.07 Naalya-Ntinda'!E24,'31.07 Naalya-Ntinda'!E24,'02.08 Naalya-Ntinda'!E24,'01.08 Naalya-Ntinda 24h'!E24,'03.08 Naalya-Ntinda-24h'!E24,'04.08 Naalya-Ntinda'!E24)</f>
        <v>7</v>
      </c>
      <c r="F24" s="49">
        <f>AVERAGE('29.07 Naalya-Ntinda'!F24,'30.07 Naalya-Ntinda'!F24,'31.07 Naalya-Ntinda'!F24,'02.08 Naalya-Ntinda'!F24,'01.08 Naalya-Ntinda 24h'!F24,'03.08 Naalya-Ntinda-24h'!F24,'04.08 Naalya-Ntinda'!F24)</f>
        <v>8.7142857142857135</v>
      </c>
      <c r="G24" s="49">
        <f>AVERAGE('29.07 Naalya-Ntinda'!G24,'30.07 Naalya-Ntinda'!G24,'31.07 Naalya-Ntinda'!G24,'02.08 Naalya-Ntinda'!G24,'01.08 Naalya-Ntinda 24h'!G24,'03.08 Naalya-Ntinda-24h'!G24,'04.08 Naalya-Ntinda'!G24)</f>
        <v>2.2857142857142856</v>
      </c>
      <c r="H24" s="49">
        <f>AVERAGE('29.07 Naalya-Ntinda'!H24,'30.07 Naalya-Ntinda'!H24,'31.07 Naalya-Ntinda'!H24,'02.08 Naalya-Ntinda'!H24,'01.08 Naalya-Ntinda 24h'!H24,'03.08 Naalya-Ntinda-24h'!H24,'04.08 Naalya-Ntinda'!H24)</f>
        <v>0</v>
      </c>
      <c r="I24" s="49">
        <f>AVERAGE('29.07 Naalya-Ntinda'!I24,'30.07 Naalya-Ntinda'!I24,'31.07 Naalya-Ntinda'!I24,'02.08 Naalya-Ntinda'!I24,'01.08 Naalya-Ntinda 24h'!I24,'03.08 Naalya-Ntinda-24h'!I24,'04.08 Naalya-Ntinda'!I24)</f>
        <v>3.7142857142857144</v>
      </c>
      <c r="J24" s="49">
        <f>AVERAGE('29.07 Naalya-Ntinda'!J24,'30.07 Naalya-Ntinda'!J24,'31.07 Naalya-Ntinda'!J24,'02.08 Naalya-Ntinda'!J24,'01.08 Naalya-Ntinda 24h'!J24,'03.08 Naalya-Ntinda-24h'!J24,'04.08 Naalya-Ntinda'!J24)</f>
        <v>2.5714285714285716</v>
      </c>
      <c r="K24" s="49">
        <f>AVERAGE('29.07 Naalya-Ntinda'!K24,'30.07 Naalya-Ntinda'!K24,'31.07 Naalya-Ntinda'!K24,'02.08 Naalya-Ntinda'!K24,'01.08 Naalya-Ntinda 24h'!K24,'03.08 Naalya-Ntinda-24h'!K24,'04.08 Naalya-Ntinda'!K24)</f>
        <v>0.2857142857142857</v>
      </c>
      <c r="L24" s="49">
        <f>AVERAGE('29.07 Naalya-Ntinda'!L24,'30.07 Naalya-Ntinda'!L24,'31.07 Naalya-Ntinda'!L24,'02.08 Naalya-Ntinda'!L24,'01.08 Naalya-Ntinda 24h'!L24,'03.08 Naalya-Ntinda-24h'!L24,'04.08 Naalya-Ntinda'!L24)</f>
        <v>0.14285714285714285</v>
      </c>
      <c r="M24" s="49">
        <f>AVERAGE('29.07 Naalya-Ntinda'!M24,'30.07 Naalya-Ntinda'!M24,'31.07 Naalya-Ntinda'!M24,'02.08 Naalya-Ntinda'!M24,'01.08 Naalya-Ntinda 24h'!M24,'03.08 Naalya-Ntinda-24h'!M24,'04.08 Naalya-Ntinda'!M24)</f>
        <v>81.142857142857139</v>
      </c>
      <c r="N24" s="49">
        <f>AVERAGE('29.07 Naalya-Ntinda'!N24,'30.07 Naalya-Ntinda'!N24,'31.07 Naalya-Ntinda'!N24,'02.08 Naalya-Ntinda'!N24,'01.08 Naalya-Ntinda 24h'!N24,'03.08 Naalya-Ntinda-24h'!N24,'04.08 Naalya-Ntinda'!N24)</f>
        <v>0</v>
      </c>
      <c r="O24" s="15">
        <f t="shared" si="0"/>
        <v>137.57142857142858</v>
      </c>
      <c r="P24" s="15">
        <f t="shared" si="1"/>
        <v>218.71428571428572</v>
      </c>
      <c r="R24" s="1" t="s">
        <v>148</v>
      </c>
      <c r="S24" s="34">
        <f>SUM(C66:C69)</f>
        <v>161.5</v>
      </c>
      <c r="T24" s="34">
        <f t="shared" ref="T24:AF24" si="16">SUM(D66:D69)</f>
        <v>148.5</v>
      </c>
      <c r="U24" s="34">
        <f t="shared" si="16"/>
        <v>32</v>
      </c>
      <c r="V24" s="34">
        <f t="shared" si="16"/>
        <v>30</v>
      </c>
      <c r="W24" s="34">
        <f t="shared" si="16"/>
        <v>1</v>
      </c>
      <c r="X24" s="34">
        <f t="shared" si="16"/>
        <v>0</v>
      </c>
      <c r="Y24" s="34">
        <f t="shared" si="16"/>
        <v>3.5</v>
      </c>
      <c r="Z24" s="34">
        <f t="shared" si="16"/>
        <v>3</v>
      </c>
      <c r="AA24" s="34">
        <f t="shared" si="16"/>
        <v>0</v>
      </c>
      <c r="AB24" s="34">
        <f t="shared" si="16"/>
        <v>0</v>
      </c>
      <c r="AC24" s="34">
        <f t="shared" si="16"/>
        <v>230.5</v>
      </c>
      <c r="AD24" s="34">
        <f t="shared" si="16"/>
        <v>0</v>
      </c>
      <c r="AE24" s="51">
        <f t="shared" si="16"/>
        <v>379.5</v>
      </c>
      <c r="AF24" s="51">
        <f t="shared" si="16"/>
        <v>610</v>
      </c>
    </row>
    <row r="25" spans="2:32" ht="23.1" customHeight="1" x14ac:dyDescent="0.25">
      <c r="B25" s="23" t="s">
        <v>52</v>
      </c>
      <c r="C25" s="49">
        <f>AVERAGE('29.07 Naalya-Ntinda'!C25,'30.07 Naalya-Ntinda'!C25,'31.07 Naalya-Ntinda'!C25,'02.08 Naalya-Ntinda'!C25,'01.08 Naalya-Ntinda 24h'!C25,'03.08 Naalya-Ntinda-24h'!C25,'04.08 Naalya-Ntinda'!C25)</f>
        <v>68.285714285714292</v>
      </c>
      <c r="D25" s="49">
        <f>AVERAGE('29.07 Naalya-Ntinda'!D25,'30.07 Naalya-Ntinda'!D25,'31.07 Naalya-Ntinda'!D25,'02.08 Naalya-Ntinda'!D25,'01.08 Naalya-Ntinda 24h'!D25,'03.08 Naalya-Ntinda-24h'!D25,'04.08 Naalya-Ntinda'!D25)</f>
        <v>42.142857142857146</v>
      </c>
      <c r="E25" s="49">
        <f>AVERAGE('29.07 Naalya-Ntinda'!E25,'30.07 Naalya-Ntinda'!E25,'31.07 Naalya-Ntinda'!E25,'02.08 Naalya-Ntinda'!E25,'01.08 Naalya-Ntinda 24h'!E25,'03.08 Naalya-Ntinda-24h'!E25,'04.08 Naalya-Ntinda'!E25)</f>
        <v>9.1428571428571423</v>
      </c>
      <c r="F25" s="49">
        <f>AVERAGE('29.07 Naalya-Ntinda'!F25,'30.07 Naalya-Ntinda'!F25,'31.07 Naalya-Ntinda'!F25,'02.08 Naalya-Ntinda'!F25,'01.08 Naalya-Ntinda 24h'!F25,'03.08 Naalya-Ntinda-24h'!F25,'04.08 Naalya-Ntinda'!F25)</f>
        <v>10.142857142857142</v>
      </c>
      <c r="G25" s="49">
        <f>AVERAGE('29.07 Naalya-Ntinda'!G25,'30.07 Naalya-Ntinda'!G25,'31.07 Naalya-Ntinda'!G25,'02.08 Naalya-Ntinda'!G25,'01.08 Naalya-Ntinda 24h'!G25,'03.08 Naalya-Ntinda-24h'!G25,'04.08 Naalya-Ntinda'!G25)</f>
        <v>1.4285714285714286</v>
      </c>
      <c r="H25" s="49">
        <f>AVERAGE('29.07 Naalya-Ntinda'!H25,'30.07 Naalya-Ntinda'!H25,'31.07 Naalya-Ntinda'!H25,'02.08 Naalya-Ntinda'!H25,'01.08 Naalya-Ntinda 24h'!H25,'03.08 Naalya-Ntinda-24h'!H25,'04.08 Naalya-Ntinda'!H25)</f>
        <v>0</v>
      </c>
      <c r="I25" s="49">
        <f>AVERAGE('29.07 Naalya-Ntinda'!I25,'30.07 Naalya-Ntinda'!I25,'31.07 Naalya-Ntinda'!I25,'02.08 Naalya-Ntinda'!I25,'01.08 Naalya-Ntinda 24h'!I25,'03.08 Naalya-Ntinda-24h'!I25,'04.08 Naalya-Ntinda'!I25)</f>
        <v>4.8571428571428568</v>
      </c>
      <c r="J25" s="49">
        <f>AVERAGE('29.07 Naalya-Ntinda'!J25,'30.07 Naalya-Ntinda'!J25,'31.07 Naalya-Ntinda'!J25,'02.08 Naalya-Ntinda'!J25,'01.08 Naalya-Ntinda 24h'!J25,'03.08 Naalya-Ntinda-24h'!J25,'04.08 Naalya-Ntinda'!J25)</f>
        <v>2.8571428571428572</v>
      </c>
      <c r="K25" s="49">
        <f>AVERAGE('29.07 Naalya-Ntinda'!K25,'30.07 Naalya-Ntinda'!K25,'31.07 Naalya-Ntinda'!K25,'02.08 Naalya-Ntinda'!K25,'01.08 Naalya-Ntinda 24h'!K25,'03.08 Naalya-Ntinda-24h'!K25,'04.08 Naalya-Ntinda'!K25)</f>
        <v>0.14285714285714285</v>
      </c>
      <c r="L25" s="49">
        <f>AVERAGE('29.07 Naalya-Ntinda'!L25,'30.07 Naalya-Ntinda'!L25,'31.07 Naalya-Ntinda'!L25,'02.08 Naalya-Ntinda'!L25,'01.08 Naalya-Ntinda 24h'!L25,'03.08 Naalya-Ntinda-24h'!L25,'04.08 Naalya-Ntinda'!L25)</f>
        <v>0.2857142857142857</v>
      </c>
      <c r="M25" s="49">
        <f>AVERAGE('29.07 Naalya-Ntinda'!M25,'30.07 Naalya-Ntinda'!M25,'31.07 Naalya-Ntinda'!M25,'02.08 Naalya-Ntinda'!M25,'01.08 Naalya-Ntinda 24h'!M25,'03.08 Naalya-Ntinda-24h'!M25,'04.08 Naalya-Ntinda'!M25)</f>
        <v>84.142857142857139</v>
      </c>
      <c r="N25" s="49">
        <f>AVERAGE('29.07 Naalya-Ntinda'!N25,'30.07 Naalya-Ntinda'!N25,'31.07 Naalya-Ntinda'!N25,'02.08 Naalya-Ntinda'!N25,'01.08 Naalya-Ntinda 24h'!N25,'03.08 Naalya-Ntinda-24h'!N25,'04.08 Naalya-Ntinda'!N25)</f>
        <v>0</v>
      </c>
      <c r="O25" s="15">
        <f t="shared" si="0"/>
        <v>139.28571428571428</v>
      </c>
      <c r="P25" s="15">
        <f t="shared" si="1"/>
        <v>223.42857142857142</v>
      </c>
      <c r="R25" s="1" t="s">
        <v>149</v>
      </c>
      <c r="S25" s="34">
        <f>SUM(C70:C73)</f>
        <v>105</v>
      </c>
      <c r="T25" s="34">
        <f t="shared" ref="T25:AF25" si="17">SUM(D70:D73)</f>
        <v>100.5</v>
      </c>
      <c r="U25" s="34">
        <f t="shared" si="17"/>
        <v>26.5</v>
      </c>
      <c r="V25" s="34">
        <f t="shared" si="17"/>
        <v>20.5</v>
      </c>
      <c r="W25" s="34">
        <f t="shared" si="17"/>
        <v>1.5</v>
      </c>
      <c r="X25" s="34">
        <f t="shared" si="17"/>
        <v>0</v>
      </c>
      <c r="Y25" s="34">
        <f t="shared" si="17"/>
        <v>2</v>
      </c>
      <c r="Z25" s="34">
        <f t="shared" si="17"/>
        <v>2</v>
      </c>
      <c r="AA25" s="34">
        <f t="shared" si="17"/>
        <v>1</v>
      </c>
      <c r="AB25" s="34">
        <f t="shared" si="17"/>
        <v>1.5</v>
      </c>
      <c r="AC25" s="34">
        <f t="shared" si="17"/>
        <v>152.5</v>
      </c>
      <c r="AD25" s="34">
        <f t="shared" si="17"/>
        <v>0</v>
      </c>
      <c r="AE25" s="51">
        <f t="shared" si="17"/>
        <v>260.5</v>
      </c>
      <c r="AF25" s="51">
        <f t="shared" si="17"/>
        <v>413</v>
      </c>
    </row>
    <row r="26" spans="2:32" ht="23.1" customHeight="1" x14ac:dyDescent="0.25">
      <c r="B26" s="23" t="s">
        <v>53</v>
      </c>
      <c r="C26" s="49">
        <f>AVERAGE('29.07 Naalya-Ntinda'!C26,'30.07 Naalya-Ntinda'!C26,'31.07 Naalya-Ntinda'!C26,'02.08 Naalya-Ntinda'!C26,'01.08 Naalya-Ntinda 24h'!C26,'03.08 Naalya-Ntinda-24h'!C26,'04.08 Naalya-Ntinda'!C26)</f>
        <v>67.142857142857139</v>
      </c>
      <c r="D26" s="49">
        <f>AVERAGE('29.07 Naalya-Ntinda'!D26,'30.07 Naalya-Ntinda'!D26,'31.07 Naalya-Ntinda'!D26,'02.08 Naalya-Ntinda'!D26,'01.08 Naalya-Ntinda 24h'!D26,'03.08 Naalya-Ntinda-24h'!D26,'04.08 Naalya-Ntinda'!D26)</f>
        <v>35</v>
      </c>
      <c r="E26" s="49">
        <f>AVERAGE('29.07 Naalya-Ntinda'!E26,'30.07 Naalya-Ntinda'!E26,'31.07 Naalya-Ntinda'!E26,'02.08 Naalya-Ntinda'!E26,'01.08 Naalya-Ntinda 24h'!E26,'03.08 Naalya-Ntinda-24h'!E26,'04.08 Naalya-Ntinda'!E26)</f>
        <v>9.1428571428571423</v>
      </c>
      <c r="F26" s="49">
        <f>AVERAGE('29.07 Naalya-Ntinda'!F26,'30.07 Naalya-Ntinda'!F26,'31.07 Naalya-Ntinda'!F26,'02.08 Naalya-Ntinda'!F26,'01.08 Naalya-Ntinda 24h'!F26,'03.08 Naalya-Ntinda-24h'!F26,'04.08 Naalya-Ntinda'!F26)</f>
        <v>11.571428571428571</v>
      </c>
      <c r="G26" s="49">
        <f>AVERAGE('29.07 Naalya-Ntinda'!G26,'30.07 Naalya-Ntinda'!G26,'31.07 Naalya-Ntinda'!G26,'02.08 Naalya-Ntinda'!G26,'01.08 Naalya-Ntinda 24h'!G26,'03.08 Naalya-Ntinda-24h'!G26,'04.08 Naalya-Ntinda'!G26)</f>
        <v>0.7142857142857143</v>
      </c>
      <c r="H26" s="49">
        <f>AVERAGE('29.07 Naalya-Ntinda'!H26,'30.07 Naalya-Ntinda'!H26,'31.07 Naalya-Ntinda'!H26,'02.08 Naalya-Ntinda'!H26,'01.08 Naalya-Ntinda 24h'!H26,'03.08 Naalya-Ntinda-24h'!H26,'04.08 Naalya-Ntinda'!H26)</f>
        <v>0</v>
      </c>
      <c r="I26" s="49">
        <f>AVERAGE('29.07 Naalya-Ntinda'!I26,'30.07 Naalya-Ntinda'!I26,'31.07 Naalya-Ntinda'!I26,'02.08 Naalya-Ntinda'!I26,'01.08 Naalya-Ntinda 24h'!I26,'03.08 Naalya-Ntinda-24h'!I26,'04.08 Naalya-Ntinda'!I26)</f>
        <v>2.7142857142857144</v>
      </c>
      <c r="J26" s="49">
        <f>AVERAGE('29.07 Naalya-Ntinda'!J26,'30.07 Naalya-Ntinda'!J26,'31.07 Naalya-Ntinda'!J26,'02.08 Naalya-Ntinda'!J26,'01.08 Naalya-Ntinda 24h'!J26,'03.08 Naalya-Ntinda-24h'!J26,'04.08 Naalya-Ntinda'!J26)</f>
        <v>1.1428571428571428</v>
      </c>
      <c r="K26" s="49">
        <f>AVERAGE('29.07 Naalya-Ntinda'!K26,'30.07 Naalya-Ntinda'!K26,'31.07 Naalya-Ntinda'!K26,'02.08 Naalya-Ntinda'!K26,'01.08 Naalya-Ntinda 24h'!K26,'03.08 Naalya-Ntinda-24h'!K26,'04.08 Naalya-Ntinda'!K26)</f>
        <v>0</v>
      </c>
      <c r="L26" s="49">
        <f>AVERAGE('29.07 Naalya-Ntinda'!L26,'30.07 Naalya-Ntinda'!L26,'31.07 Naalya-Ntinda'!L26,'02.08 Naalya-Ntinda'!L26,'01.08 Naalya-Ntinda 24h'!L26,'03.08 Naalya-Ntinda-24h'!L26,'04.08 Naalya-Ntinda'!L26)</f>
        <v>0.14285714285714285</v>
      </c>
      <c r="M26" s="49">
        <f>AVERAGE('29.07 Naalya-Ntinda'!M26,'30.07 Naalya-Ntinda'!M26,'31.07 Naalya-Ntinda'!M26,'02.08 Naalya-Ntinda'!M26,'01.08 Naalya-Ntinda 24h'!M26,'03.08 Naalya-Ntinda-24h'!M26,'04.08 Naalya-Ntinda'!M26)</f>
        <v>77</v>
      </c>
      <c r="N26" s="49">
        <f>AVERAGE('29.07 Naalya-Ntinda'!N26,'30.07 Naalya-Ntinda'!N26,'31.07 Naalya-Ntinda'!N26,'02.08 Naalya-Ntinda'!N26,'01.08 Naalya-Ntinda 24h'!N26,'03.08 Naalya-Ntinda-24h'!N26,'04.08 Naalya-Ntinda'!N26)</f>
        <v>0</v>
      </c>
      <c r="O26" s="15">
        <f t="shared" si="0"/>
        <v>127.57142857142854</v>
      </c>
      <c r="P26" s="15">
        <f t="shared" si="1"/>
        <v>204.57142857142856</v>
      </c>
      <c r="R26" s="1" t="s">
        <v>150</v>
      </c>
      <c r="S26" s="34">
        <f>SUM(C74:C77)</f>
        <v>106</v>
      </c>
      <c r="T26" s="34">
        <f t="shared" ref="T26:AF26" si="18">SUM(D74:D77)</f>
        <v>76.5</v>
      </c>
      <c r="U26" s="34">
        <f t="shared" si="18"/>
        <v>13</v>
      </c>
      <c r="V26" s="34">
        <f t="shared" si="18"/>
        <v>12.5</v>
      </c>
      <c r="W26" s="34">
        <f t="shared" si="18"/>
        <v>1</v>
      </c>
      <c r="X26" s="34">
        <f t="shared" si="18"/>
        <v>0</v>
      </c>
      <c r="Y26" s="34">
        <f t="shared" si="18"/>
        <v>1.5</v>
      </c>
      <c r="Z26" s="34">
        <f t="shared" si="18"/>
        <v>1.5</v>
      </c>
      <c r="AA26" s="34">
        <f t="shared" si="18"/>
        <v>0</v>
      </c>
      <c r="AB26" s="34">
        <f t="shared" si="18"/>
        <v>0.5</v>
      </c>
      <c r="AC26" s="34">
        <f t="shared" si="18"/>
        <v>123</v>
      </c>
      <c r="AD26" s="34">
        <f t="shared" si="18"/>
        <v>0</v>
      </c>
      <c r="AE26" s="51">
        <f t="shared" si="18"/>
        <v>212.5</v>
      </c>
      <c r="AF26" s="51">
        <f t="shared" si="18"/>
        <v>335.5</v>
      </c>
    </row>
    <row r="27" spans="2:32" ht="23.1" customHeight="1" x14ac:dyDescent="0.25">
      <c r="B27" s="23" t="s">
        <v>54</v>
      </c>
      <c r="C27" s="49">
        <f>AVERAGE('29.07 Naalya-Ntinda'!C27,'30.07 Naalya-Ntinda'!C27,'31.07 Naalya-Ntinda'!C27,'02.08 Naalya-Ntinda'!C27,'01.08 Naalya-Ntinda 24h'!C27,'03.08 Naalya-Ntinda-24h'!C27,'04.08 Naalya-Ntinda'!C27)</f>
        <v>65.428571428571431</v>
      </c>
      <c r="D27" s="49">
        <f>AVERAGE('29.07 Naalya-Ntinda'!D27,'30.07 Naalya-Ntinda'!D27,'31.07 Naalya-Ntinda'!D27,'02.08 Naalya-Ntinda'!D27,'01.08 Naalya-Ntinda 24h'!D27,'03.08 Naalya-Ntinda-24h'!D27,'04.08 Naalya-Ntinda'!D27)</f>
        <v>42.857142857142854</v>
      </c>
      <c r="E27" s="49">
        <f>AVERAGE('29.07 Naalya-Ntinda'!E27,'30.07 Naalya-Ntinda'!E27,'31.07 Naalya-Ntinda'!E27,'02.08 Naalya-Ntinda'!E27,'01.08 Naalya-Ntinda 24h'!E27,'03.08 Naalya-Ntinda-24h'!E27,'04.08 Naalya-Ntinda'!E27)</f>
        <v>9.2857142857142865</v>
      </c>
      <c r="F27" s="49">
        <f>AVERAGE('29.07 Naalya-Ntinda'!F27,'30.07 Naalya-Ntinda'!F27,'31.07 Naalya-Ntinda'!F27,'02.08 Naalya-Ntinda'!F27,'01.08 Naalya-Ntinda 24h'!F27,'03.08 Naalya-Ntinda-24h'!F27,'04.08 Naalya-Ntinda'!F27)</f>
        <v>12.714285714285714</v>
      </c>
      <c r="G27" s="49">
        <f>AVERAGE('29.07 Naalya-Ntinda'!G27,'30.07 Naalya-Ntinda'!G27,'31.07 Naalya-Ntinda'!G27,'02.08 Naalya-Ntinda'!G27,'01.08 Naalya-Ntinda 24h'!G27,'03.08 Naalya-Ntinda-24h'!G27,'04.08 Naalya-Ntinda'!G27)</f>
        <v>1.1428571428571428</v>
      </c>
      <c r="H27" s="49">
        <f>AVERAGE('29.07 Naalya-Ntinda'!H27,'30.07 Naalya-Ntinda'!H27,'31.07 Naalya-Ntinda'!H27,'02.08 Naalya-Ntinda'!H27,'01.08 Naalya-Ntinda 24h'!H27,'03.08 Naalya-Ntinda-24h'!H27,'04.08 Naalya-Ntinda'!H27)</f>
        <v>0</v>
      </c>
      <c r="I27" s="49">
        <f>AVERAGE('29.07 Naalya-Ntinda'!I27,'30.07 Naalya-Ntinda'!I27,'31.07 Naalya-Ntinda'!I27,'02.08 Naalya-Ntinda'!I27,'01.08 Naalya-Ntinda 24h'!I27,'03.08 Naalya-Ntinda-24h'!I27,'04.08 Naalya-Ntinda'!I27)</f>
        <v>2.8571428571428572</v>
      </c>
      <c r="J27" s="49">
        <f>AVERAGE('29.07 Naalya-Ntinda'!J27,'30.07 Naalya-Ntinda'!J27,'31.07 Naalya-Ntinda'!J27,'02.08 Naalya-Ntinda'!J27,'01.08 Naalya-Ntinda 24h'!J27,'03.08 Naalya-Ntinda-24h'!J27,'04.08 Naalya-Ntinda'!J27)</f>
        <v>2</v>
      </c>
      <c r="K27" s="49">
        <f>AVERAGE('29.07 Naalya-Ntinda'!K27,'30.07 Naalya-Ntinda'!K27,'31.07 Naalya-Ntinda'!K27,'02.08 Naalya-Ntinda'!K27,'01.08 Naalya-Ntinda 24h'!K27,'03.08 Naalya-Ntinda-24h'!K27,'04.08 Naalya-Ntinda'!K27)</f>
        <v>0.7142857142857143</v>
      </c>
      <c r="L27" s="49">
        <f>AVERAGE('29.07 Naalya-Ntinda'!L27,'30.07 Naalya-Ntinda'!L27,'31.07 Naalya-Ntinda'!L27,'02.08 Naalya-Ntinda'!L27,'01.08 Naalya-Ntinda 24h'!L27,'03.08 Naalya-Ntinda-24h'!L27,'04.08 Naalya-Ntinda'!L27)</f>
        <v>0.14285714285714285</v>
      </c>
      <c r="M27" s="49">
        <f>AVERAGE('29.07 Naalya-Ntinda'!M27,'30.07 Naalya-Ntinda'!M27,'31.07 Naalya-Ntinda'!M27,'02.08 Naalya-Ntinda'!M27,'01.08 Naalya-Ntinda 24h'!M27,'03.08 Naalya-Ntinda-24h'!M27,'04.08 Naalya-Ntinda'!M27)</f>
        <v>81.285714285714292</v>
      </c>
      <c r="N27" s="49">
        <f>AVERAGE('29.07 Naalya-Ntinda'!N27,'30.07 Naalya-Ntinda'!N27,'31.07 Naalya-Ntinda'!N27,'02.08 Naalya-Ntinda'!N27,'01.08 Naalya-Ntinda 24h'!N27,'03.08 Naalya-Ntinda-24h'!N27,'04.08 Naalya-Ntinda'!N27)</f>
        <v>0</v>
      </c>
      <c r="O27" s="15">
        <f t="shared" si="0"/>
        <v>137.14285714285714</v>
      </c>
      <c r="P27" s="15">
        <f t="shared" si="1"/>
        <v>218.42857142857144</v>
      </c>
      <c r="R27" s="1" t="s">
        <v>151</v>
      </c>
      <c r="S27" s="34">
        <f>SUM(C78:C81)</f>
        <v>79.5</v>
      </c>
      <c r="T27" s="34">
        <f t="shared" ref="T27:AF27" si="19">SUM(D78:D81)</f>
        <v>40</v>
      </c>
      <c r="U27" s="34">
        <f t="shared" si="19"/>
        <v>5</v>
      </c>
      <c r="V27" s="34">
        <f t="shared" si="19"/>
        <v>5.5</v>
      </c>
      <c r="W27" s="34">
        <f t="shared" si="19"/>
        <v>0</v>
      </c>
      <c r="X27" s="34">
        <f t="shared" si="19"/>
        <v>0</v>
      </c>
      <c r="Y27" s="34">
        <f t="shared" si="19"/>
        <v>2.5</v>
      </c>
      <c r="Z27" s="34">
        <f t="shared" si="19"/>
        <v>1</v>
      </c>
      <c r="AA27" s="34">
        <f t="shared" si="19"/>
        <v>0.5</v>
      </c>
      <c r="AB27" s="34">
        <f t="shared" si="19"/>
        <v>0</v>
      </c>
      <c r="AC27" s="34">
        <f t="shared" si="19"/>
        <v>56.5</v>
      </c>
      <c r="AD27" s="34">
        <f t="shared" si="19"/>
        <v>0</v>
      </c>
      <c r="AE27" s="51">
        <f t="shared" si="19"/>
        <v>134</v>
      </c>
      <c r="AF27" s="51">
        <f t="shared" si="19"/>
        <v>190.5</v>
      </c>
    </row>
    <row r="28" spans="2:32" ht="23.1" customHeight="1" x14ac:dyDescent="0.25">
      <c r="B28" s="23" t="s">
        <v>55</v>
      </c>
      <c r="C28" s="49">
        <f>AVERAGE('29.07 Naalya-Ntinda'!C28,'30.07 Naalya-Ntinda'!C28,'31.07 Naalya-Ntinda'!C28,'02.08 Naalya-Ntinda'!C28,'01.08 Naalya-Ntinda 24h'!C28,'03.08 Naalya-Ntinda-24h'!C28,'04.08 Naalya-Ntinda'!C28)</f>
        <v>60.285714285714285</v>
      </c>
      <c r="D28" s="49">
        <f>AVERAGE('29.07 Naalya-Ntinda'!D28,'30.07 Naalya-Ntinda'!D28,'31.07 Naalya-Ntinda'!D28,'02.08 Naalya-Ntinda'!D28,'01.08 Naalya-Ntinda 24h'!D28,'03.08 Naalya-Ntinda-24h'!D28,'04.08 Naalya-Ntinda'!D28)</f>
        <v>32.285714285714285</v>
      </c>
      <c r="E28" s="49">
        <f>AVERAGE('29.07 Naalya-Ntinda'!E28,'30.07 Naalya-Ntinda'!E28,'31.07 Naalya-Ntinda'!E28,'02.08 Naalya-Ntinda'!E28,'01.08 Naalya-Ntinda 24h'!E28,'03.08 Naalya-Ntinda-24h'!E28,'04.08 Naalya-Ntinda'!E28)</f>
        <v>6.2857142857142856</v>
      </c>
      <c r="F28" s="49">
        <f>AVERAGE('29.07 Naalya-Ntinda'!F28,'30.07 Naalya-Ntinda'!F28,'31.07 Naalya-Ntinda'!F28,'02.08 Naalya-Ntinda'!F28,'01.08 Naalya-Ntinda 24h'!F28,'03.08 Naalya-Ntinda-24h'!F28,'04.08 Naalya-Ntinda'!F28)</f>
        <v>7.7142857142857144</v>
      </c>
      <c r="G28" s="49">
        <f>AVERAGE('29.07 Naalya-Ntinda'!G28,'30.07 Naalya-Ntinda'!G28,'31.07 Naalya-Ntinda'!G28,'02.08 Naalya-Ntinda'!G28,'01.08 Naalya-Ntinda 24h'!G28,'03.08 Naalya-Ntinda-24h'!G28,'04.08 Naalya-Ntinda'!G28)</f>
        <v>0</v>
      </c>
      <c r="H28" s="49">
        <f>AVERAGE('29.07 Naalya-Ntinda'!H28,'30.07 Naalya-Ntinda'!H28,'31.07 Naalya-Ntinda'!H28,'02.08 Naalya-Ntinda'!H28,'01.08 Naalya-Ntinda 24h'!H28,'03.08 Naalya-Ntinda-24h'!H28,'04.08 Naalya-Ntinda'!H28)</f>
        <v>0</v>
      </c>
      <c r="I28" s="49">
        <f>AVERAGE('29.07 Naalya-Ntinda'!I28,'30.07 Naalya-Ntinda'!I28,'31.07 Naalya-Ntinda'!I28,'02.08 Naalya-Ntinda'!I28,'01.08 Naalya-Ntinda 24h'!I28,'03.08 Naalya-Ntinda-24h'!I28,'04.08 Naalya-Ntinda'!I28)</f>
        <v>3.5714285714285716</v>
      </c>
      <c r="J28" s="49">
        <f>AVERAGE('29.07 Naalya-Ntinda'!J28,'30.07 Naalya-Ntinda'!J28,'31.07 Naalya-Ntinda'!J28,'02.08 Naalya-Ntinda'!J28,'01.08 Naalya-Ntinda 24h'!J28,'03.08 Naalya-Ntinda-24h'!J28,'04.08 Naalya-Ntinda'!J28)</f>
        <v>2</v>
      </c>
      <c r="K28" s="49">
        <f>AVERAGE('29.07 Naalya-Ntinda'!K28,'30.07 Naalya-Ntinda'!K28,'31.07 Naalya-Ntinda'!K28,'02.08 Naalya-Ntinda'!K28,'01.08 Naalya-Ntinda 24h'!K28,'03.08 Naalya-Ntinda-24h'!K28,'04.08 Naalya-Ntinda'!K28)</f>
        <v>0.14285714285714285</v>
      </c>
      <c r="L28" s="49">
        <f>AVERAGE('29.07 Naalya-Ntinda'!L28,'30.07 Naalya-Ntinda'!L28,'31.07 Naalya-Ntinda'!L28,'02.08 Naalya-Ntinda'!L28,'01.08 Naalya-Ntinda 24h'!L28,'03.08 Naalya-Ntinda-24h'!L28,'04.08 Naalya-Ntinda'!L28)</f>
        <v>0.42857142857142855</v>
      </c>
      <c r="M28" s="49">
        <f>AVERAGE('29.07 Naalya-Ntinda'!M28,'30.07 Naalya-Ntinda'!M28,'31.07 Naalya-Ntinda'!M28,'02.08 Naalya-Ntinda'!M28,'01.08 Naalya-Ntinda 24h'!M28,'03.08 Naalya-Ntinda-24h'!M28,'04.08 Naalya-Ntinda'!M28)</f>
        <v>76.285714285714292</v>
      </c>
      <c r="N28" s="49">
        <f>AVERAGE('29.07 Naalya-Ntinda'!N28,'30.07 Naalya-Ntinda'!N28,'31.07 Naalya-Ntinda'!N28,'02.08 Naalya-Ntinda'!N28,'01.08 Naalya-Ntinda 24h'!N28,'03.08 Naalya-Ntinda-24h'!N28,'04.08 Naalya-Ntinda'!N28)</f>
        <v>0</v>
      </c>
      <c r="O28" s="15">
        <f t="shared" si="0"/>
        <v>112.71428571428571</v>
      </c>
      <c r="P28" s="15">
        <f t="shared" si="1"/>
        <v>189</v>
      </c>
      <c r="R28" s="1" t="s">
        <v>152</v>
      </c>
      <c r="S28" s="34">
        <f>SUM(C82:C85)</f>
        <v>39.5</v>
      </c>
      <c r="T28" s="34">
        <f t="shared" ref="T28:AF28" si="20">SUM(D82:D85)</f>
        <v>19</v>
      </c>
      <c r="U28" s="34">
        <f t="shared" si="20"/>
        <v>4</v>
      </c>
      <c r="V28" s="34">
        <f t="shared" si="20"/>
        <v>1.5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1</v>
      </c>
      <c r="AA28" s="34">
        <f t="shared" si="20"/>
        <v>1</v>
      </c>
      <c r="AB28" s="34">
        <f t="shared" si="20"/>
        <v>0</v>
      </c>
      <c r="AC28" s="34">
        <f t="shared" si="20"/>
        <v>27.5</v>
      </c>
      <c r="AD28" s="34">
        <f t="shared" si="20"/>
        <v>0</v>
      </c>
      <c r="AE28" s="51">
        <f t="shared" si="20"/>
        <v>67</v>
      </c>
      <c r="AF28" s="51">
        <f t="shared" si="20"/>
        <v>94.5</v>
      </c>
    </row>
    <row r="29" spans="2:32" ht="23.1" customHeight="1" x14ac:dyDescent="0.25">
      <c r="B29" s="23" t="s">
        <v>56</v>
      </c>
      <c r="C29" s="49">
        <f>AVERAGE('29.07 Naalya-Ntinda'!C29,'30.07 Naalya-Ntinda'!C29,'31.07 Naalya-Ntinda'!C29,'02.08 Naalya-Ntinda'!C29,'01.08 Naalya-Ntinda 24h'!C29,'03.08 Naalya-Ntinda-24h'!C29,'04.08 Naalya-Ntinda'!C29)</f>
        <v>49.571428571428569</v>
      </c>
      <c r="D29" s="49">
        <f>AVERAGE('29.07 Naalya-Ntinda'!D29,'30.07 Naalya-Ntinda'!D29,'31.07 Naalya-Ntinda'!D29,'02.08 Naalya-Ntinda'!D29,'01.08 Naalya-Ntinda 24h'!D29,'03.08 Naalya-Ntinda-24h'!D29,'04.08 Naalya-Ntinda'!D29)</f>
        <v>41.142857142857146</v>
      </c>
      <c r="E29" s="49">
        <f>AVERAGE('29.07 Naalya-Ntinda'!E29,'30.07 Naalya-Ntinda'!E29,'31.07 Naalya-Ntinda'!E29,'02.08 Naalya-Ntinda'!E29,'01.08 Naalya-Ntinda 24h'!E29,'03.08 Naalya-Ntinda-24h'!E29,'04.08 Naalya-Ntinda'!E29)</f>
        <v>7</v>
      </c>
      <c r="F29" s="49">
        <f>AVERAGE('29.07 Naalya-Ntinda'!F29,'30.07 Naalya-Ntinda'!F29,'31.07 Naalya-Ntinda'!F29,'02.08 Naalya-Ntinda'!F29,'01.08 Naalya-Ntinda 24h'!F29,'03.08 Naalya-Ntinda-24h'!F29,'04.08 Naalya-Ntinda'!F29)</f>
        <v>7.8571428571428568</v>
      </c>
      <c r="G29" s="49">
        <f>AVERAGE('29.07 Naalya-Ntinda'!G29,'30.07 Naalya-Ntinda'!G29,'31.07 Naalya-Ntinda'!G29,'02.08 Naalya-Ntinda'!G29,'01.08 Naalya-Ntinda 24h'!G29,'03.08 Naalya-Ntinda-24h'!G29,'04.08 Naalya-Ntinda'!G29)</f>
        <v>1</v>
      </c>
      <c r="H29" s="49">
        <f>AVERAGE('29.07 Naalya-Ntinda'!H29,'30.07 Naalya-Ntinda'!H29,'31.07 Naalya-Ntinda'!H29,'02.08 Naalya-Ntinda'!H29,'01.08 Naalya-Ntinda 24h'!H29,'03.08 Naalya-Ntinda-24h'!H29,'04.08 Naalya-Ntinda'!H29)</f>
        <v>0.14285714285714285</v>
      </c>
      <c r="I29" s="49">
        <f>AVERAGE('29.07 Naalya-Ntinda'!I29,'30.07 Naalya-Ntinda'!I29,'31.07 Naalya-Ntinda'!I29,'02.08 Naalya-Ntinda'!I29,'01.08 Naalya-Ntinda 24h'!I29,'03.08 Naalya-Ntinda-24h'!I29,'04.08 Naalya-Ntinda'!I29)</f>
        <v>1.8571428571428572</v>
      </c>
      <c r="J29" s="49">
        <f>AVERAGE('29.07 Naalya-Ntinda'!J29,'30.07 Naalya-Ntinda'!J29,'31.07 Naalya-Ntinda'!J29,'02.08 Naalya-Ntinda'!J29,'01.08 Naalya-Ntinda 24h'!J29,'03.08 Naalya-Ntinda-24h'!J29,'04.08 Naalya-Ntinda'!J29)</f>
        <v>2.8571428571428572</v>
      </c>
      <c r="K29" s="49">
        <f>AVERAGE('29.07 Naalya-Ntinda'!K29,'30.07 Naalya-Ntinda'!K29,'31.07 Naalya-Ntinda'!K29,'02.08 Naalya-Ntinda'!K29,'01.08 Naalya-Ntinda 24h'!K29,'03.08 Naalya-Ntinda-24h'!K29,'04.08 Naalya-Ntinda'!K29)</f>
        <v>0.14285714285714285</v>
      </c>
      <c r="L29" s="49">
        <f>AVERAGE('29.07 Naalya-Ntinda'!L29,'30.07 Naalya-Ntinda'!L29,'31.07 Naalya-Ntinda'!L29,'02.08 Naalya-Ntinda'!L29,'01.08 Naalya-Ntinda 24h'!L29,'03.08 Naalya-Ntinda-24h'!L29,'04.08 Naalya-Ntinda'!L29)</f>
        <v>0</v>
      </c>
      <c r="M29" s="49">
        <f>AVERAGE('29.07 Naalya-Ntinda'!M29,'30.07 Naalya-Ntinda'!M29,'31.07 Naalya-Ntinda'!M29,'02.08 Naalya-Ntinda'!M29,'01.08 Naalya-Ntinda 24h'!M29,'03.08 Naalya-Ntinda-24h'!M29,'04.08 Naalya-Ntinda'!M29)</f>
        <v>73.857142857142861</v>
      </c>
      <c r="N29" s="49">
        <f>AVERAGE('29.07 Naalya-Ntinda'!N29,'30.07 Naalya-Ntinda'!N29,'31.07 Naalya-Ntinda'!N29,'02.08 Naalya-Ntinda'!N29,'01.08 Naalya-Ntinda 24h'!N29,'03.08 Naalya-Ntinda-24h'!N29,'04.08 Naalya-Ntinda'!N29)</f>
        <v>0</v>
      </c>
      <c r="O29" s="15">
        <f t="shared" si="0"/>
        <v>111.57142857142858</v>
      </c>
      <c r="P29" s="15">
        <f t="shared" si="1"/>
        <v>185.42857142857144</v>
      </c>
      <c r="R29" s="1" t="s">
        <v>153</v>
      </c>
      <c r="S29" s="34">
        <f>SUM(C86:C89)</f>
        <v>38.5</v>
      </c>
      <c r="T29" s="34">
        <f t="shared" ref="T29:AF29" si="21">SUM(D86:D89)</f>
        <v>14.5</v>
      </c>
      <c r="U29" s="34">
        <f t="shared" si="21"/>
        <v>3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0.5</v>
      </c>
      <c r="AA29" s="34">
        <f t="shared" si="21"/>
        <v>0.5</v>
      </c>
      <c r="AB29" s="34">
        <f t="shared" si="21"/>
        <v>0.5</v>
      </c>
      <c r="AC29" s="34">
        <f t="shared" si="21"/>
        <v>30.5</v>
      </c>
      <c r="AD29" s="34">
        <f t="shared" si="21"/>
        <v>0</v>
      </c>
      <c r="AE29" s="51">
        <f t="shared" si="21"/>
        <v>57.5</v>
      </c>
      <c r="AF29" s="51">
        <f t="shared" si="21"/>
        <v>88</v>
      </c>
    </row>
    <row r="30" spans="2:32" ht="23.1" customHeight="1" x14ac:dyDescent="0.25">
      <c r="B30" s="23" t="s">
        <v>57</v>
      </c>
      <c r="C30" s="49">
        <f>AVERAGE('29.07 Naalya-Ntinda'!C30,'30.07 Naalya-Ntinda'!C30,'31.07 Naalya-Ntinda'!C30,'02.08 Naalya-Ntinda'!C30,'01.08 Naalya-Ntinda 24h'!C30,'03.08 Naalya-Ntinda-24h'!C30,'04.08 Naalya-Ntinda'!C30)</f>
        <v>50</v>
      </c>
      <c r="D30" s="49">
        <f>AVERAGE('29.07 Naalya-Ntinda'!D30,'30.07 Naalya-Ntinda'!D30,'31.07 Naalya-Ntinda'!D30,'02.08 Naalya-Ntinda'!D30,'01.08 Naalya-Ntinda 24h'!D30,'03.08 Naalya-Ntinda-24h'!D30,'04.08 Naalya-Ntinda'!D30)</f>
        <v>30.857142857142858</v>
      </c>
      <c r="E30" s="49">
        <f>AVERAGE('29.07 Naalya-Ntinda'!E30,'30.07 Naalya-Ntinda'!E30,'31.07 Naalya-Ntinda'!E30,'02.08 Naalya-Ntinda'!E30,'01.08 Naalya-Ntinda 24h'!E30,'03.08 Naalya-Ntinda-24h'!E30,'04.08 Naalya-Ntinda'!E30)</f>
        <v>8.1428571428571423</v>
      </c>
      <c r="F30" s="49">
        <f>AVERAGE('29.07 Naalya-Ntinda'!F30,'30.07 Naalya-Ntinda'!F30,'31.07 Naalya-Ntinda'!F30,'02.08 Naalya-Ntinda'!F30,'01.08 Naalya-Ntinda 24h'!F30,'03.08 Naalya-Ntinda-24h'!F30,'04.08 Naalya-Ntinda'!F30)</f>
        <v>7.7142857142857144</v>
      </c>
      <c r="G30" s="49">
        <f>AVERAGE('29.07 Naalya-Ntinda'!G30,'30.07 Naalya-Ntinda'!G30,'31.07 Naalya-Ntinda'!G30,'02.08 Naalya-Ntinda'!G30,'01.08 Naalya-Ntinda 24h'!G30,'03.08 Naalya-Ntinda-24h'!G30,'04.08 Naalya-Ntinda'!G30)</f>
        <v>1.2857142857142858</v>
      </c>
      <c r="H30" s="49">
        <f>AVERAGE('29.07 Naalya-Ntinda'!H30,'30.07 Naalya-Ntinda'!H30,'31.07 Naalya-Ntinda'!H30,'02.08 Naalya-Ntinda'!H30,'01.08 Naalya-Ntinda 24h'!H30,'03.08 Naalya-Ntinda-24h'!H30,'04.08 Naalya-Ntinda'!H30)</f>
        <v>0.14285714285714285</v>
      </c>
      <c r="I30" s="49">
        <f>AVERAGE('29.07 Naalya-Ntinda'!I30,'30.07 Naalya-Ntinda'!I30,'31.07 Naalya-Ntinda'!I30,'02.08 Naalya-Ntinda'!I30,'01.08 Naalya-Ntinda 24h'!I30,'03.08 Naalya-Ntinda-24h'!I30,'04.08 Naalya-Ntinda'!I30)</f>
        <v>1.7142857142857142</v>
      </c>
      <c r="J30" s="49">
        <f>AVERAGE('29.07 Naalya-Ntinda'!J30,'30.07 Naalya-Ntinda'!J30,'31.07 Naalya-Ntinda'!J30,'02.08 Naalya-Ntinda'!J30,'01.08 Naalya-Ntinda 24h'!J30,'03.08 Naalya-Ntinda-24h'!J30,'04.08 Naalya-Ntinda'!J30)</f>
        <v>2.7142857142857144</v>
      </c>
      <c r="K30" s="49">
        <f>AVERAGE('29.07 Naalya-Ntinda'!K30,'30.07 Naalya-Ntinda'!K30,'31.07 Naalya-Ntinda'!K30,'02.08 Naalya-Ntinda'!K30,'01.08 Naalya-Ntinda 24h'!K30,'03.08 Naalya-Ntinda-24h'!K30,'04.08 Naalya-Ntinda'!K30)</f>
        <v>1</v>
      </c>
      <c r="L30" s="49">
        <f>AVERAGE('29.07 Naalya-Ntinda'!L30,'30.07 Naalya-Ntinda'!L30,'31.07 Naalya-Ntinda'!L30,'02.08 Naalya-Ntinda'!L30,'01.08 Naalya-Ntinda 24h'!L30,'03.08 Naalya-Ntinda-24h'!L30,'04.08 Naalya-Ntinda'!L30)</f>
        <v>0.2857142857142857</v>
      </c>
      <c r="M30" s="49">
        <f>AVERAGE('29.07 Naalya-Ntinda'!M30,'30.07 Naalya-Ntinda'!M30,'31.07 Naalya-Ntinda'!M30,'02.08 Naalya-Ntinda'!M30,'01.08 Naalya-Ntinda 24h'!M30,'03.08 Naalya-Ntinda-24h'!M30,'04.08 Naalya-Ntinda'!M30)</f>
        <v>80.142857142857139</v>
      </c>
      <c r="N30" s="49">
        <f>AVERAGE('29.07 Naalya-Ntinda'!N30,'30.07 Naalya-Ntinda'!N30,'31.07 Naalya-Ntinda'!N30,'02.08 Naalya-Ntinda'!N30,'01.08 Naalya-Ntinda 24h'!N30,'03.08 Naalya-Ntinda-24h'!N30,'04.08 Naalya-Ntinda'!N30)</f>
        <v>0</v>
      </c>
      <c r="O30" s="15">
        <f t="shared" si="0"/>
        <v>103.85714285714285</v>
      </c>
      <c r="P30" s="15">
        <f t="shared" si="1"/>
        <v>184</v>
      </c>
      <c r="R30" s="1" t="s">
        <v>154</v>
      </c>
      <c r="S30" s="34">
        <f>SUM(C90:C93)</f>
        <v>14.5</v>
      </c>
      <c r="T30" s="34">
        <f t="shared" ref="T30:AF30" si="22">SUM(D90:D93)</f>
        <v>4.5</v>
      </c>
      <c r="U30" s="34">
        <f t="shared" si="22"/>
        <v>2</v>
      </c>
      <c r="V30" s="34">
        <f t="shared" si="22"/>
        <v>1.5</v>
      </c>
      <c r="W30" s="34">
        <f t="shared" si="22"/>
        <v>0</v>
      </c>
      <c r="X30" s="34">
        <f t="shared" si="22"/>
        <v>0</v>
      </c>
      <c r="Y30" s="34">
        <f t="shared" si="22"/>
        <v>0.5</v>
      </c>
      <c r="Z30" s="34">
        <f t="shared" si="22"/>
        <v>0.5</v>
      </c>
      <c r="AA30" s="34">
        <f t="shared" si="22"/>
        <v>0</v>
      </c>
      <c r="AB30" s="34">
        <f t="shared" si="22"/>
        <v>0</v>
      </c>
      <c r="AC30" s="34">
        <f t="shared" si="22"/>
        <v>4.5</v>
      </c>
      <c r="AD30" s="34">
        <f t="shared" si="22"/>
        <v>0</v>
      </c>
      <c r="AE30" s="51">
        <f t="shared" si="22"/>
        <v>23.5</v>
      </c>
      <c r="AF30" s="51">
        <f t="shared" si="22"/>
        <v>28</v>
      </c>
    </row>
    <row r="31" spans="2:32" ht="23.1" customHeight="1" x14ac:dyDescent="0.25">
      <c r="B31" s="24" t="s">
        <v>58</v>
      </c>
      <c r="C31" s="49">
        <f>AVERAGE('29.07 Naalya-Ntinda'!C31,'30.07 Naalya-Ntinda'!C31,'31.07 Naalya-Ntinda'!C31,'02.08 Naalya-Ntinda'!C31,'01.08 Naalya-Ntinda 24h'!C31,'03.08 Naalya-Ntinda-24h'!C31,'04.08 Naalya-Ntinda'!C31)</f>
        <v>58.857142857142854</v>
      </c>
      <c r="D31" s="49">
        <f>AVERAGE('29.07 Naalya-Ntinda'!D31,'30.07 Naalya-Ntinda'!D31,'31.07 Naalya-Ntinda'!D31,'02.08 Naalya-Ntinda'!D31,'01.08 Naalya-Ntinda 24h'!D31,'03.08 Naalya-Ntinda-24h'!D31,'04.08 Naalya-Ntinda'!D31)</f>
        <v>35</v>
      </c>
      <c r="E31" s="49">
        <f>AVERAGE('29.07 Naalya-Ntinda'!E31,'30.07 Naalya-Ntinda'!E31,'31.07 Naalya-Ntinda'!E31,'02.08 Naalya-Ntinda'!E31,'01.08 Naalya-Ntinda 24h'!E31,'03.08 Naalya-Ntinda-24h'!E31,'04.08 Naalya-Ntinda'!E31)</f>
        <v>5</v>
      </c>
      <c r="F31" s="49">
        <f>AVERAGE('29.07 Naalya-Ntinda'!F31,'30.07 Naalya-Ntinda'!F31,'31.07 Naalya-Ntinda'!F31,'02.08 Naalya-Ntinda'!F31,'01.08 Naalya-Ntinda 24h'!F31,'03.08 Naalya-Ntinda-24h'!F31,'04.08 Naalya-Ntinda'!F31)</f>
        <v>6.1428571428571432</v>
      </c>
      <c r="G31" s="49">
        <f>AVERAGE('29.07 Naalya-Ntinda'!G31,'30.07 Naalya-Ntinda'!G31,'31.07 Naalya-Ntinda'!G31,'02.08 Naalya-Ntinda'!G31,'01.08 Naalya-Ntinda 24h'!G31,'03.08 Naalya-Ntinda-24h'!G31,'04.08 Naalya-Ntinda'!G31)</f>
        <v>0.7142857142857143</v>
      </c>
      <c r="H31" s="49">
        <f>AVERAGE('29.07 Naalya-Ntinda'!H31,'30.07 Naalya-Ntinda'!H31,'31.07 Naalya-Ntinda'!H31,'02.08 Naalya-Ntinda'!H31,'01.08 Naalya-Ntinda 24h'!H31,'03.08 Naalya-Ntinda-24h'!H31,'04.08 Naalya-Ntinda'!H31)</f>
        <v>0.14285714285714285</v>
      </c>
      <c r="I31" s="49">
        <f>AVERAGE('29.07 Naalya-Ntinda'!I31,'30.07 Naalya-Ntinda'!I31,'31.07 Naalya-Ntinda'!I31,'02.08 Naalya-Ntinda'!I31,'01.08 Naalya-Ntinda 24h'!I31,'03.08 Naalya-Ntinda-24h'!I31,'04.08 Naalya-Ntinda'!I31)</f>
        <v>4.1428571428571432</v>
      </c>
      <c r="J31" s="49">
        <f>AVERAGE('29.07 Naalya-Ntinda'!J31,'30.07 Naalya-Ntinda'!J31,'31.07 Naalya-Ntinda'!J31,'02.08 Naalya-Ntinda'!J31,'01.08 Naalya-Ntinda 24h'!J31,'03.08 Naalya-Ntinda-24h'!J31,'04.08 Naalya-Ntinda'!J31)</f>
        <v>2</v>
      </c>
      <c r="K31" s="49">
        <f>AVERAGE('29.07 Naalya-Ntinda'!K31,'30.07 Naalya-Ntinda'!K31,'31.07 Naalya-Ntinda'!K31,'02.08 Naalya-Ntinda'!K31,'01.08 Naalya-Ntinda 24h'!K31,'03.08 Naalya-Ntinda-24h'!K31,'04.08 Naalya-Ntinda'!K31)</f>
        <v>0.7142857142857143</v>
      </c>
      <c r="L31" s="49">
        <f>AVERAGE('29.07 Naalya-Ntinda'!L31,'30.07 Naalya-Ntinda'!L31,'31.07 Naalya-Ntinda'!L31,'02.08 Naalya-Ntinda'!L31,'01.08 Naalya-Ntinda 24h'!L31,'03.08 Naalya-Ntinda-24h'!L31,'04.08 Naalya-Ntinda'!L31)</f>
        <v>0.2857142857142857</v>
      </c>
      <c r="M31" s="49">
        <f>AVERAGE('29.07 Naalya-Ntinda'!M31,'30.07 Naalya-Ntinda'!M31,'31.07 Naalya-Ntinda'!M31,'02.08 Naalya-Ntinda'!M31,'01.08 Naalya-Ntinda 24h'!M31,'03.08 Naalya-Ntinda-24h'!M31,'04.08 Naalya-Ntinda'!M31)</f>
        <v>71.714285714285708</v>
      </c>
      <c r="N31" s="49">
        <f>AVERAGE('29.07 Naalya-Ntinda'!N31,'30.07 Naalya-Ntinda'!N31,'31.07 Naalya-Ntinda'!N31,'02.08 Naalya-Ntinda'!N31,'01.08 Naalya-Ntinda 24h'!N31,'03.08 Naalya-Ntinda-24h'!N31,'04.08 Naalya-Ntinda'!N31)</f>
        <v>0</v>
      </c>
      <c r="O31" s="15">
        <f t="shared" si="0"/>
        <v>112.99999999999999</v>
      </c>
      <c r="P31" s="15">
        <f t="shared" si="1"/>
        <v>184.71428571428569</v>
      </c>
      <c r="R31" s="1" t="s">
        <v>155</v>
      </c>
      <c r="S31" s="34">
        <f>SUM(C94:C97)</f>
        <v>28.5</v>
      </c>
      <c r="T31" s="34">
        <f t="shared" ref="T31:AF31" si="23">SUM(D94:D97)</f>
        <v>7</v>
      </c>
      <c r="U31" s="34">
        <f t="shared" si="23"/>
        <v>2</v>
      </c>
      <c r="V31" s="34">
        <f t="shared" si="23"/>
        <v>2</v>
      </c>
      <c r="W31" s="34">
        <f t="shared" si="23"/>
        <v>0.5</v>
      </c>
      <c r="X31" s="34">
        <f t="shared" si="23"/>
        <v>0</v>
      </c>
      <c r="Y31" s="34">
        <f t="shared" si="23"/>
        <v>0.5</v>
      </c>
      <c r="Z31" s="34">
        <f t="shared" si="23"/>
        <v>0.5</v>
      </c>
      <c r="AA31" s="34">
        <f t="shared" si="23"/>
        <v>0</v>
      </c>
      <c r="AB31" s="34">
        <f t="shared" si="23"/>
        <v>0</v>
      </c>
      <c r="AC31" s="34">
        <f t="shared" si="23"/>
        <v>5</v>
      </c>
      <c r="AD31" s="34">
        <f t="shared" si="23"/>
        <v>0</v>
      </c>
      <c r="AE31" s="51">
        <f t="shared" si="23"/>
        <v>41</v>
      </c>
      <c r="AF31" s="51">
        <f t="shared" si="23"/>
        <v>46</v>
      </c>
    </row>
    <row r="32" spans="2:32" ht="23.1" customHeight="1" x14ac:dyDescent="0.25">
      <c r="B32" s="24" t="s">
        <v>59</v>
      </c>
      <c r="C32" s="49">
        <f>AVERAGE('29.07 Naalya-Ntinda'!C32,'30.07 Naalya-Ntinda'!C32,'31.07 Naalya-Ntinda'!C32,'02.08 Naalya-Ntinda'!C32,'01.08 Naalya-Ntinda 24h'!C32,'03.08 Naalya-Ntinda-24h'!C32,'04.08 Naalya-Ntinda'!C32)</f>
        <v>46.571428571428569</v>
      </c>
      <c r="D32" s="49">
        <f>AVERAGE('29.07 Naalya-Ntinda'!D32,'30.07 Naalya-Ntinda'!D32,'31.07 Naalya-Ntinda'!D32,'02.08 Naalya-Ntinda'!D32,'01.08 Naalya-Ntinda 24h'!D32,'03.08 Naalya-Ntinda-24h'!D32,'04.08 Naalya-Ntinda'!D32)</f>
        <v>25.571428571428573</v>
      </c>
      <c r="E32" s="49">
        <f>AVERAGE('29.07 Naalya-Ntinda'!E32,'30.07 Naalya-Ntinda'!E32,'31.07 Naalya-Ntinda'!E32,'02.08 Naalya-Ntinda'!E32,'01.08 Naalya-Ntinda 24h'!E32,'03.08 Naalya-Ntinda-24h'!E32,'04.08 Naalya-Ntinda'!E32)</f>
        <v>5.1428571428571432</v>
      </c>
      <c r="F32" s="49">
        <f>AVERAGE('29.07 Naalya-Ntinda'!F32,'30.07 Naalya-Ntinda'!F32,'31.07 Naalya-Ntinda'!F32,'02.08 Naalya-Ntinda'!F32,'01.08 Naalya-Ntinda 24h'!F32,'03.08 Naalya-Ntinda-24h'!F32,'04.08 Naalya-Ntinda'!F32)</f>
        <v>8.7142857142857135</v>
      </c>
      <c r="G32" s="49">
        <f>AVERAGE('29.07 Naalya-Ntinda'!G32,'30.07 Naalya-Ntinda'!G32,'31.07 Naalya-Ntinda'!G32,'02.08 Naalya-Ntinda'!G32,'01.08 Naalya-Ntinda 24h'!G32,'03.08 Naalya-Ntinda-24h'!G32,'04.08 Naalya-Ntinda'!G32)</f>
        <v>0.14285714285714285</v>
      </c>
      <c r="H32" s="49">
        <f>AVERAGE('29.07 Naalya-Ntinda'!H32,'30.07 Naalya-Ntinda'!H32,'31.07 Naalya-Ntinda'!H32,'02.08 Naalya-Ntinda'!H32,'01.08 Naalya-Ntinda 24h'!H32,'03.08 Naalya-Ntinda-24h'!H32,'04.08 Naalya-Ntinda'!H32)</f>
        <v>0.42857142857142855</v>
      </c>
      <c r="I32" s="49">
        <f>AVERAGE('29.07 Naalya-Ntinda'!I32,'30.07 Naalya-Ntinda'!I32,'31.07 Naalya-Ntinda'!I32,'02.08 Naalya-Ntinda'!I32,'01.08 Naalya-Ntinda 24h'!I32,'03.08 Naalya-Ntinda-24h'!I32,'04.08 Naalya-Ntinda'!I32)</f>
        <v>1.5714285714285714</v>
      </c>
      <c r="J32" s="49">
        <f>AVERAGE('29.07 Naalya-Ntinda'!J32,'30.07 Naalya-Ntinda'!J32,'31.07 Naalya-Ntinda'!J32,'02.08 Naalya-Ntinda'!J32,'01.08 Naalya-Ntinda 24h'!J32,'03.08 Naalya-Ntinda-24h'!J32,'04.08 Naalya-Ntinda'!J32)</f>
        <v>1.5714285714285714</v>
      </c>
      <c r="K32" s="49">
        <f>AVERAGE('29.07 Naalya-Ntinda'!K32,'30.07 Naalya-Ntinda'!K32,'31.07 Naalya-Ntinda'!K32,'02.08 Naalya-Ntinda'!K32,'01.08 Naalya-Ntinda 24h'!K32,'03.08 Naalya-Ntinda-24h'!K32,'04.08 Naalya-Ntinda'!K32)</f>
        <v>0.2857142857142857</v>
      </c>
      <c r="L32" s="49">
        <f>AVERAGE('29.07 Naalya-Ntinda'!L32,'30.07 Naalya-Ntinda'!L32,'31.07 Naalya-Ntinda'!L32,'02.08 Naalya-Ntinda'!L32,'01.08 Naalya-Ntinda 24h'!L32,'03.08 Naalya-Ntinda-24h'!L32,'04.08 Naalya-Ntinda'!L32)</f>
        <v>0.14285714285714285</v>
      </c>
      <c r="M32" s="49">
        <f>AVERAGE('29.07 Naalya-Ntinda'!M32,'30.07 Naalya-Ntinda'!M32,'31.07 Naalya-Ntinda'!M32,'02.08 Naalya-Ntinda'!M32,'01.08 Naalya-Ntinda 24h'!M32,'03.08 Naalya-Ntinda-24h'!M32,'04.08 Naalya-Ntinda'!M32)</f>
        <v>71.285714285714292</v>
      </c>
      <c r="N32" s="49">
        <f>AVERAGE('29.07 Naalya-Ntinda'!N32,'30.07 Naalya-Ntinda'!N32,'31.07 Naalya-Ntinda'!N32,'02.08 Naalya-Ntinda'!N32,'01.08 Naalya-Ntinda 24h'!N32,'03.08 Naalya-Ntinda-24h'!N32,'04.08 Naalya-Ntinda'!N32)</f>
        <v>0</v>
      </c>
      <c r="O32" s="15">
        <f t="shared" si="0"/>
        <v>90.142857142857125</v>
      </c>
      <c r="P32" s="15">
        <f t="shared" si="1"/>
        <v>161.42857142857142</v>
      </c>
      <c r="R32" s="1" t="s">
        <v>156</v>
      </c>
      <c r="S32" s="34">
        <f>SUM(C98:C101)</f>
        <v>28</v>
      </c>
      <c r="T32" s="34">
        <f t="shared" ref="T32:AF32" si="24">SUM(D98:D101)</f>
        <v>48.5</v>
      </c>
      <c r="U32" s="34">
        <f t="shared" si="24"/>
        <v>4</v>
      </c>
      <c r="V32" s="34">
        <f t="shared" si="24"/>
        <v>8</v>
      </c>
      <c r="W32" s="34">
        <f t="shared" si="24"/>
        <v>3</v>
      </c>
      <c r="X32" s="34">
        <f t="shared" si="24"/>
        <v>0</v>
      </c>
      <c r="Y32" s="34">
        <f t="shared" si="24"/>
        <v>2.5</v>
      </c>
      <c r="Z32" s="34">
        <f t="shared" si="24"/>
        <v>1</v>
      </c>
      <c r="AA32" s="34">
        <f t="shared" si="24"/>
        <v>0.5</v>
      </c>
      <c r="AB32" s="34">
        <f t="shared" si="24"/>
        <v>0</v>
      </c>
      <c r="AC32" s="34">
        <f t="shared" si="24"/>
        <v>13.5</v>
      </c>
      <c r="AD32" s="34">
        <f t="shared" si="24"/>
        <v>0</v>
      </c>
      <c r="AE32" s="51">
        <f t="shared" si="24"/>
        <v>95.5</v>
      </c>
      <c r="AF32" s="51">
        <f t="shared" si="24"/>
        <v>109</v>
      </c>
    </row>
    <row r="33" spans="2:32" ht="23.1" customHeight="1" x14ac:dyDescent="0.25">
      <c r="B33" s="23" t="s">
        <v>60</v>
      </c>
      <c r="C33" s="49">
        <f>AVERAGE('29.07 Naalya-Ntinda'!C33,'30.07 Naalya-Ntinda'!C33,'31.07 Naalya-Ntinda'!C33,'02.08 Naalya-Ntinda'!C33,'01.08 Naalya-Ntinda 24h'!C33,'03.08 Naalya-Ntinda-24h'!C33,'04.08 Naalya-Ntinda'!C33)</f>
        <v>60.571428571428569</v>
      </c>
      <c r="D33" s="49">
        <f>AVERAGE('29.07 Naalya-Ntinda'!D33,'30.07 Naalya-Ntinda'!D33,'31.07 Naalya-Ntinda'!D33,'02.08 Naalya-Ntinda'!D33,'01.08 Naalya-Ntinda 24h'!D33,'03.08 Naalya-Ntinda-24h'!D33,'04.08 Naalya-Ntinda'!D33)</f>
        <v>31.714285714285715</v>
      </c>
      <c r="E33" s="49">
        <f>AVERAGE('29.07 Naalya-Ntinda'!E33,'30.07 Naalya-Ntinda'!E33,'31.07 Naalya-Ntinda'!E33,'02.08 Naalya-Ntinda'!E33,'01.08 Naalya-Ntinda 24h'!E33,'03.08 Naalya-Ntinda-24h'!E33,'04.08 Naalya-Ntinda'!E33)</f>
        <v>6.4285714285714288</v>
      </c>
      <c r="F33" s="49">
        <f>AVERAGE('29.07 Naalya-Ntinda'!F33,'30.07 Naalya-Ntinda'!F33,'31.07 Naalya-Ntinda'!F33,'02.08 Naalya-Ntinda'!F33,'01.08 Naalya-Ntinda 24h'!F33,'03.08 Naalya-Ntinda-24h'!F33,'04.08 Naalya-Ntinda'!F33)</f>
        <v>6.8571428571428568</v>
      </c>
      <c r="G33" s="49">
        <f>AVERAGE('29.07 Naalya-Ntinda'!G33,'30.07 Naalya-Ntinda'!G33,'31.07 Naalya-Ntinda'!G33,'02.08 Naalya-Ntinda'!G33,'01.08 Naalya-Ntinda 24h'!G33,'03.08 Naalya-Ntinda-24h'!G33,'04.08 Naalya-Ntinda'!G33)</f>
        <v>0.14285714285714285</v>
      </c>
      <c r="H33" s="49">
        <f>AVERAGE('29.07 Naalya-Ntinda'!H33,'30.07 Naalya-Ntinda'!H33,'31.07 Naalya-Ntinda'!H33,'02.08 Naalya-Ntinda'!H33,'01.08 Naalya-Ntinda 24h'!H33,'03.08 Naalya-Ntinda-24h'!H33,'04.08 Naalya-Ntinda'!H33)</f>
        <v>0.14285714285714285</v>
      </c>
      <c r="I33" s="49">
        <f>AVERAGE('29.07 Naalya-Ntinda'!I33,'30.07 Naalya-Ntinda'!I33,'31.07 Naalya-Ntinda'!I33,'02.08 Naalya-Ntinda'!I33,'01.08 Naalya-Ntinda 24h'!I33,'03.08 Naalya-Ntinda-24h'!I33,'04.08 Naalya-Ntinda'!I33)</f>
        <v>3</v>
      </c>
      <c r="J33" s="49">
        <f>AVERAGE('29.07 Naalya-Ntinda'!J33,'30.07 Naalya-Ntinda'!J33,'31.07 Naalya-Ntinda'!J33,'02.08 Naalya-Ntinda'!J33,'01.08 Naalya-Ntinda 24h'!J33,'03.08 Naalya-Ntinda-24h'!J33,'04.08 Naalya-Ntinda'!J33)</f>
        <v>1.4285714285714286</v>
      </c>
      <c r="K33" s="49">
        <f>AVERAGE('29.07 Naalya-Ntinda'!K33,'30.07 Naalya-Ntinda'!K33,'31.07 Naalya-Ntinda'!K33,'02.08 Naalya-Ntinda'!K33,'01.08 Naalya-Ntinda 24h'!K33,'03.08 Naalya-Ntinda-24h'!K33,'04.08 Naalya-Ntinda'!K33)</f>
        <v>0.42857142857142855</v>
      </c>
      <c r="L33" s="49">
        <f>AVERAGE('29.07 Naalya-Ntinda'!L33,'30.07 Naalya-Ntinda'!L33,'31.07 Naalya-Ntinda'!L33,'02.08 Naalya-Ntinda'!L33,'01.08 Naalya-Ntinda 24h'!L33,'03.08 Naalya-Ntinda-24h'!L33,'04.08 Naalya-Ntinda'!L33)</f>
        <v>0.14285714285714285</v>
      </c>
      <c r="M33" s="49">
        <f>AVERAGE('29.07 Naalya-Ntinda'!M33,'30.07 Naalya-Ntinda'!M33,'31.07 Naalya-Ntinda'!M33,'02.08 Naalya-Ntinda'!M33,'01.08 Naalya-Ntinda 24h'!M33,'03.08 Naalya-Ntinda-24h'!M33,'04.08 Naalya-Ntinda'!M33)</f>
        <v>70.142857142857139</v>
      </c>
      <c r="N33" s="49">
        <f>AVERAGE('29.07 Naalya-Ntinda'!N33,'30.07 Naalya-Ntinda'!N33,'31.07 Naalya-Ntinda'!N33,'02.08 Naalya-Ntinda'!N33,'01.08 Naalya-Ntinda 24h'!N33,'03.08 Naalya-Ntinda-24h'!N33,'04.08 Naalya-Ntinda'!N33)</f>
        <v>0</v>
      </c>
      <c r="O33" s="15">
        <f t="shared" si="0"/>
        <v>110.85714285714285</v>
      </c>
      <c r="P33" s="15">
        <f t="shared" si="1"/>
        <v>181</v>
      </c>
      <c r="R33" s="1" t="s">
        <v>157</v>
      </c>
      <c r="S33" s="34">
        <f>SUM(C102:C105)</f>
        <v>126.5</v>
      </c>
      <c r="T33" s="34">
        <f t="shared" ref="T33:AF33" si="25">SUM(D102:D105)</f>
        <v>278</v>
      </c>
      <c r="U33" s="34">
        <f t="shared" si="25"/>
        <v>22</v>
      </c>
      <c r="V33" s="34">
        <f t="shared" si="25"/>
        <v>15</v>
      </c>
      <c r="W33" s="34">
        <f t="shared" si="25"/>
        <v>2</v>
      </c>
      <c r="X33" s="34">
        <f t="shared" si="25"/>
        <v>2</v>
      </c>
      <c r="Y33" s="34">
        <f t="shared" si="25"/>
        <v>0.5</v>
      </c>
      <c r="Z33" s="34">
        <f t="shared" si="25"/>
        <v>3</v>
      </c>
      <c r="AA33" s="34">
        <f t="shared" si="25"/>
        <v>0.5</v>
      </c>
      <c r="AB33" s="34">
        <f t="shared" si="25"/>
        <v>0</v>
      </c>
      <c r="AC33" s="34">
        <f t="shared" si="25"/>
        <v>39</v>
      </c>
      <c r="AD33" s="34">
        <f t="shared" si="25"/>
        <v>0</v>
      </c>
      <c r="AE33" s="51">
        <f t="shared" si="25"/>
        <v>449.5</v>
      </c>
      <c r="AF33" s="51">
        <f t="shared" si="25"/>
        <v>488.5</v>
      </c>
    </row>
    <row r="34" spans="2:32" ht="23.1" customHeight="1" x14ac:dyDescent="0.25">
      <c r="B34" s="24" t="s">
        <v>61</v>
      </c>
      <c r="C34" s="49">
        <f>AVERAGE('29.07 Naalya-Ntinda'!C34,'30.07 Naalya-Ntinda'!C34,'31.07 Naalya-Ntinda'!C34,'02.08 Naalya-Ntinda'!C34,'01.08 Naalya-Ntinda 24h'!C34,'03.08 Naalya-Ntinda-24h'!C34,'04.08 Naalya-Ntinda'!C34)</f>
        <v>56.714285714285715</v>
      </c>
      <c r="D34" s="49">
        <f>AVERAGE('29.07 Naalya-Ntinda'!D34,'30.07 Naalya-Ntinda'!D34,'31.07 Naalya-Ntinda'!D34,'02.08 Naalya-Ntinda'!D34,'01.08 Naalya-Ntinda 24h'!D34,'03.08 Naalya-Ntinda-24h'!D34,'04.08 Naalya-Ntinda'!D34)</f>
        <v>37</v>
      </c>
      <c r="E34" s="49">
        <f>AVERAGE('29.07 Naalya-Ntinda'!E34,'30.07 Naalya-Ntinda'!E34,'31.07 Naalya-Ntinda'!E34,'02.08 Naalya-Ntinda'!E34,'01.08 Naalya-Ntinda 24h'!E34,'03.08 Naalya-Ntinda-24h'!E34,'04.08 Naalya-Ntinda'!E34)</f>
        <v>7.4285714285714288</v>
      </c>
      <c r="F34" s="49">
        <f>AVERAGE('29.07 Naalya-Ntinda'!F34,'30.07 Naalya-Ntinda'!F34,'31.07 Naalya-Ntinda'!F34,'02.08 Naalya-Ntinda'!F34,'01.08 Naalya-Ntinda 24h'!F34,'03.08 Naalya-Ntinda-24h'!F34,'04.08 Naalya-Ntinda'!F34)</f>
        <v>6.2857142857142856</v>
      </c>
      <c r="G34" s="49">
        <f>AVERAGE('29.07 Naalya-Ntinda'!G34,'30.07 Naalya-Ntinda'!G34,'31.07 Naalya-Ntinda'!G34,'02.08 Naalya-Ntinda'!G34,'01.08 Naalya-Ntinda 24h'!G34,'03.08 Naalya-Ntinda-24h'!G34,'04.08 Naalya-Ntinda'!G34)</f>
        <v>0.42857142857142855</v>
      </c>
      <c r="H34" s="49">
        <f>AVERAGE('29.07 Naalya-Ntinda'!H34,'30.07 Naalya-Ntinda'!H34,'31.07 Naalya-Ntinda'!H34,'02.08 Naalya-Ntinda'!H34,'01.08 Naalya-Ntinda 24h'!H34,'03.08 Naalya-Ntinda-24h'!H34,'04.08 Naalya-Ntinda'!H34)</f>
        <v>0.14285714285714285</v>
      </c>
      <c r="I34" s="49">
        <f>AVERAGE('29.07 Naalya-Ntinda'!I34,'30.07 Naalya-Ntinda'!I34,'31.07 Naalya-Ntinda'!I34,'02.08 Naalya-Ntinda'!I34,'01.08 Naalya-Ntinda 24h'!I34,'03.08 Naalya-Ntinda-24h'!I34,'04.08 Naalya-Ntinda'!I34)</f>
        <v>2.7142857142857144</v>
      </c>
      <c r="J34" s="49">
        <f>AVERAGE('29.07 Naalya-Ntinda'!J34,'30.07 Naalya-Ntinda'!J34,'31.07 Naalya-Ntinda'!J34,'02.08 Naalya-Ntinda'!J34,'01.08 Naalya-Ntinda 24h'!J34,'03.08 Naalya-Ntinda-24h'!J34,'04.08 Naalya-Ntinda'!J34)</f>
        <v>1.7142857142857142</v>
      </c>
      <c r="K34" s="49">
        <f>AVERAGE('29.07 Naalya-Ntinda'!K34,'30.07 Naalya-Ntinda'!K34,'31.07 Naalya-Ntinda'!K34,'02.08 Naalya-Ntinda'!K34,'01.08 Naalya-Ntinda 24h'!K34,'03.08 Naalya-Ntinda-24h'!K34,'04.08 Naalya-Ntinda'!K34)</f>
        <v>0.2857142857142857</v>
      </c>
      <c r="L34" s="49">
        <f>AVERAGE('29.07 Naalya-Ntinda'!L34,'30.07 Naalya-Ntinda'!L34,'31.07 Naalya-Ntinda'!L34,'02.08 Naalya-Ntinda'!L34,'01.08 Naalya-Ntinda 24h'!L34,'03.08 Naalya-Ntinda-24h'!L34,'04.08 Naalya-Ntinda'!L34)</f>
        <v>0</v>
      </c>
      <c r="M34" s="49">
        <f>AVERAGE('29.07 Naalya-Ntinda'!M34,'30.07 Naalya-Ntinda'!M34,'31.07 Naalya-Ntinda'!M34,'02.08 Naalya-Ntinda'!M34,'01.08 Naalya-Ntinda 24h'!M34,'03.08 Naalya-Ntinda-24h'!M34,'04.08 Naalya-Ntinda'!M34)</f>
        <v>59.857142857142854</v>
      </c>
      <c r="N34" s="49">
        <f>AVERAGE('29.07 Naalya-Ntinda'!N34,'30.07 Naalya-Ntinda'!N34,'31.07 Naalya-Ntinda'!N34,'02.08 Naalya-Ntinda'!N34,'01.08 Naalya-Ntinda 24h'!N34,'03.08 Naalya-Ntinda-24h'!N34,'04.08 Naalya-Ntinda'!N34)</f>
        <v>0</v>
      </c>
      <c r="O34" s="15">
        <f t="shared" si="0"/>
        <v>112.71428571428572</v>
      </c>
      <c r="P34" s="15">
        <f t="shared" si="1"/>
        <v>172.57142857142858</v>
      </c>
      <c r="R34" s="38" t="s">
        <v>90</v>
      </c>
      <c r="S34" s="39">
        <f t="shared" ref="S34:AF34" si="26">MAX(S10:S12)</f>
        <v>419</v>
      </c>
      <c r="T34" s="39">
        <f t="shared" si="26"/>
        <v>273.85714285714283</v>
      </c>
      <c r="U34" s="39">
        <f t="shared" si="26"/>
        <v>48.428571428571431</v>
      </c>
      <c r="V34" s="39">
        <f t="shared" si="26"/>
        <v>37.428571428571431</v>
      </c>
      <c r="W34" s="39">
        <f t="shared" si="26"/>
        <v>2.7142857142857144</v>
      </c>
      <c r="X34" s="39">
        <f t="shared" si="26"/>
        <v>0.14285714285714285</v>
      </c>
      <c r="Y34" s="39">
        <f t="shared" si="26"/>
        <v>9.9999999999999982</v>
      </c>
      <c r="Z34" s="39">
        <f t="shared" si="26"/>
        <v>7.5714285714285712</v>
      </c>
      <c r="AA34" s="39">
        <f t="shared" si="26"/>
        <v>1.4285714285714286</v>
      </c>
      <c r="AB34" s="39">
        <f t="shared" si="26"/>
        <v>0.99999999999999978</v>
      </c>
      <c r="AC34" s="39">
        <f t="shared" si="26"/>
        <v>427.14285714285711</v>
      </c>
      <c r="AD34" s="39">
        <f t="shared" si="26"/>
        <v>0.14285714285714285</v>
      </c>
      <c r="AE34" s="40">
        <f t="shared" si="26"/>
        <v>782.57142857142856</v>
      </c>
      <c r="AF34" s="40">
        <f t="shared" si="26"/>
        <v>1128.8571428571429</v>
      </c>
    </row>
    <row r="35" spans="2:32" ht="23.1" customHeight="1" x14ac:dyDescent="0.25">
      <c r="B35" s="24" t="s">
        <v>62</v>
      </c>
      <c r="C35" s="49">
        <f>AVERAGE('29.07 Naalya-Ntinda'!C35,'30.07 Naalya-Ntinda'!C35,'31.07 Naalya-Ntinda'!C35,'02.08 Naalya-Ntinda'!C35,'01.08 Naalya-Ntinda 24h'!C35,'03.08 Naalya-Ntinda-24h'!C35,'04.08 Naalya-Ntinda'!C35)</f>
        <v>53.285714285714285</v>
      </c>
      <c r="D35" s="49">
        <f>AVERAGE('29.07 Naalya-Ntinda'!D35,'30.07 Naalya-Ntinda'!D35,'31.07 Naalya-Ntinda'!D35,'02.08 Naalya-Ntinda'!D35,'01.08 Naalya-Ntinda 24h'!D35,'03.08 Naalya-Ntinda-24h'!D35,'04.08 Naalya-Ntinda'!D35)</f>
        <v>41.857142857142854</v>
      </c>
      <c r="E35" s="49">
        <f>AVERAGE('29.07 Naalya-Ntinda'!E35,'30.07 Naalya-Ntinda'!E35,'31.07 Naalya-Ntinda'!E35,'02.08 Naalya-Ntinda'!E35,'01.08 Naalya-Ntinda 24h'!E35,'03.08 Naalya-Ntinda-24h'!E35,'04.08 Naalya-Ntinda'!E35)</f>
        <v>9.7142857142857135</v>
      </c>
      <c r="F35" s="49">
        <f>AVERAGE('29.07 Naalya-Ntinda'!F35,'30.07 Naalya-Ntinda'!F35,'31.07 Naalya-Ntinda'!F35,'02.08 Naalya-Ntinda'!F35,'01.08 Naalya-Ntinda 24h'!F35,'03.08 Naalya-Ntinda-24h'!F35,'04.08 Naalya-Ntinda'!F35)</f>
        <v>8.7142857142857135</v>
      </c>
      <c r="G35" s="49">
        <f>AVERAGE('29.07 Naalya-Ntinda'!G35,'30.07 Naalya-Ntinda'!G35,'31.07 Naalya-Ntinda'!G35,'02.08 Naalya-Ntinda'!G35,'01.08 Naalya-Ntinda 24h'!G35,'03.08 Naalya-Ntinda-24h'!G35,'04.08 Naalya-Ntinda'!G35)</f>
        <v>1</v>
      </c>
      <c r="H35" s="49">
        <f>AVERAGE('29.07 Naalya-Ntinda'!H35,'30.07 Naalya-Ntinda'!H35,'31.07 Naalya-Ntinda'!H35,'02.08 Naalya-Ntinda'!H35,'01.08 Naalya-Ntinda 24h'!H35,'03.08 Naalya-Ntinda-24h'!H35,'04.08 Naalya-Ntinda'!H35)</f>
        <v>0</v>
      </c>
      <c r="I35" s="49">
        <f>AVERAGE('29.07 Naalya-Ntinda'!I35,'30.07 Naalya-Ntinda'!I35,'31.07 Naalya-Ntinda'!I35,'02.08 Naalya-Ntinda'!I35,'01.08 Naalya-Ntinda 24h'!I35,'03.08 Naalya-Ntinda-24h'!I35,'04.08 Naalya-Ntinda'!I35)</f>
        <v>4.1428571428571432</v>
      </c>
      <c r="J35" s="49">
        <f>AVERAGE('29.07 Naalya-Ntinda'!J35,'30.07 Naalya-Ntinda'!J35,'31.07 Naalya-Ntinda'!J35,'02.08 Naalya-Ntinda'!J35,'01.08 Naalya-Ntinda 24h'!J35,'03.08 Naalya-Ntinda-24h'!J35,'04.08 Naalya-Ntinda'!J35)</f>
        <v>1.4285714285714286</v>
      </c>
      <c r="K35" s="49">
        <f>AVERAGE('29.07 Naalya-Ntinda'!K35,'30.07 Naalya-Ntinda'!K35,'31.07 Naalya-Ntinda'!K35,'02.08 Naalya-Ntinda'!K35,'01.08 Naalya-Ntinda 24h'!K35,'03.08 Naalya-Ntinda-24h'!K35,'04.08 Naalya-Ntinda'!K35)</f>
        <v>0.7142857142857143</v>
      </c>
      <c r="L35" s="49">
        <f>AVERAGE('29.07 Naalya-Ntinda'!L35,'30.07 Naalya-Ntinda'!L35,'31.07 Naalya-Ntinda'!L35,'02.08 Naalya-Ntinda'!L35,'01.08 Naalya-Ntinda 24h'!L35,'03.08 Naalya-Ntinda-24h'!L35,'04.08 Naalya-Ntinda'!L35)</f>
        <v>0</v>
      </c>
      <c r="M35" s="49">
        <f>AVERAGE('29.07 Naalya-Ntinda'!M35,'30.07 Naalya-Ntinda'!M35,'31.07 Naalya-Ntinda'!M35,'02.08 Naalya-Ntinda'!M35,'01.08 Naalya-Ntinda 24h'!M35,'03.08 Naalya-Ntinda-24h'!M35,'04.08 Naalya-Ntinda'!M35)</f>
        <v>58.142857142857146</v>
      </c>
      <c r="N35" s="49">
        <f>AVERAGE('29.07 Naalya-Ntinda'!N35,'30.07 Naalya-Ntinda'!N35,'31.07 Naalya-Ntinda'!N35,'02.08 Naalya-Ntinda'!N35,'01.08 Naalya-Ntinda 24h'!N35,'03.08 Naalya-Ntinda-24h'!N35,'04.08 Naalya-Ntinda'!N35)</f>
        <v>0</v>
      </c>
      <c r="O35" s="15">
        <f t="shared" si="0"/>
        <v>120.85714285714283</v>
      </c>
      <c r="P35" s="15">
        <f t="shared" si="1"/>
        <v>178.99999999999997</v>
      </c>
      <c r="R35" s="38" t="s">
        <v>91</v>
      </c>
      <c r="S35" s="39">
        <f t="shared" ref="S35:AF35" si="27">MAX(S13:S18)</f>
        <v>290.28571428571428</v>
      </c>
      <c r="T35" s="39">
        <f t="shared" si="27"/>
        <v>186.14285714285714</v>
      </c>
      <c r="U35" s="39">
        <f t="shared" si="27"/>
        <v>35</v>
      </c>
      <c r="V35" s="39">
        <f t="shared" si="27"/>
        <v>39.857142857142854</v>
      </c>
      <c r="W35" s="39">
        <f t="shared" si="27"/>
        <v>6.4285714285714288</v>
      </c>
      <c r="X35" s="39">
        <f t="shared" si="27"/>
        <v>0.85714285714285698</v>
      </c>
      <c r="Y35" s="39">
        <f t="shared" si="27"/>
        <v>15.142857142857142</v>
      </c>
      <c r="Z35" s="39">
        <f t="shared" si="27"/>
        <v>9.8571428571428577</v>
      </c>
      <c r="AA35" s="39">
        <f t="shared" si="27"/>
        <v>2.4285714285714284</v>
      </c>
      <c r="AB35" s="39">
        <f t="shared" si="27"/>
        <v>0.8571428571428571</v>
      </c>
      <c r="AC35" s="39">
        <f t="shared" si="27"/>
        <v>336.57142857142856</v>
      </c>
      <c r="AD35" s="39">
        <f t="shared" si="27"/>
        <v>0</v>
      </c>
      <c r="AE35" s="40">
        <f t="shared" si="27"/>
        <v>579.85714285714289</v>
      </c>
      <c r="AF35" s="40">
        <f t="shared" si="27"/>
        <v>916.42857142857144</v>
      </c>
    </row>
    <row r="36" spans="2:32" ht="23.1" customHeight="1" x14ac:dyDescent="0.25">
      <c r="B36" s="24" t="s">
        <v>63</v>
      </c>
      <c r="C36" s="49">
        <f>AVERAGE('29.07 Naalya-Ntinda'!C36,'30.07 Naalya-Ntinda'!C36,'31.07 Naalya-Ntinda'!C36,'02.08 Naalya-Ntinda'!C36,'01.08 Naalya-Ntinda 24h'!C36,'03.08 Naalya-Ntinda-24h'!C36,'04.08 Naalya-Ntinda'!C36)</f>
        <v>61.428571428571431</v>
      </c>
      <c r="D36" s="49">
        <f>AVERAGE('29.07 Naalya-Ntinda'!D36,'30.07 Naalya-Ntinda'!D36,'31.07 Naalya-Ntinda'!D36,'02.08 Naalya-Ntinda'!D36,'01.08 Naalya-Ntinda 24h'!D36,'03.08 Naalya-Ntinda-24h'!D36,'04.08 Naalya-Ntinda'!D36)</f>
        <v>45.285714285714285</v>
      </c>
      <c r="E36" s="49">
        <f>AVERAGE('29.07 Naalya-Ntinda'!E36,'30.07 Naalya-Ntinda'!E36,'31.07 Naalya-Ntinda'!E36,'02.08 Naalya-Ntinda'!E36,'01.08 Naalya-Ntinda 24h'!E36,'03.08 Naalya-Ntinda-24h'!E36,'04.08 Naalya-Ntinda'!E36)</f>
        <v>8.8571428571428577</v>
      </c>
      <c r="F36" s="49">
        <f>AVERAGE('29.07 Naalya-Ntinda'!F36,'30.07 Naalya-Ntinda'!F36,'31.07 Naalya-Ntinda'!F36,'02.08 Naalya-Ntinda'!F36,'01.08 Naalya-Ntinda 24h'!F36,'03.08 Naalya-Ntinda-24h'!F36,'04.08 Naalya-Ntinda'!F36)</f>
        <v>8.7142857142857135</v>
      </c>
      <c r="G36" s="49">
        <f>AVERAGE('29.07 Naalya-Ntinda'!G36,'30.07 Naalya-Ntinda'!G36,'31.07 Naalya-Ntinda'!G36,'02.08 Naalya-Ntinda'!G36,'01.08 Naalya-Ntinda 24h'!G36,'03.08 Naalya-Ntinda-24h'!G36,'04.08 Naalya-Ntinda'!G36)</f>
        <v>1.4285714285714286</v>
      </c>
      <c r="H36" s="49">
        <f>AVERAGE('29.07 Naalya-Ntinda'!H36,'30.07 Naalya-Ntinda'!H36,'31.07 Naalya-Ntinda'!H36,'02.08 Naalya-Ntinda'!H36,'01.08 Naalya-Ntinda 24h'!H36,'03.08 Naalya-Ntinda-24h'!H36,'04.08 Naalya-Ntinda'!H36)</f>
        <v>0</v>
      </c>
      <c r="I36" s="49">
        <f>AVERAGE('29.07 Naalya-Ntinda'!I36,'30.07 Naalya-Ntinda'!I36,'31.07 Naalya-Ntinda'!I36,'02.08 Naalya-Ntinda'!I36,'01.08 Naalya-Ntinda 24h'!I36,'03.08 Naalya-Ntinda-24h'!I36,'04.08 Naalya-Ntinda'!I36)</f>
        <v>4</v>
      </c>
      <c r="J36" s="49">
        <f>AVERAGE('29.07 Naalya-Ntinda'!J36,'30.07 Naalya-Ntinda'!J36,'31.07 Naalya-Ntinda'!J36,'02.08 Naalya-Ntinda'!J36,'01.08 Naalya-Ntinda 24h'!J36,'03.08 Naalya-Ntinda-24h'!J36,'04.08 Naalya-Ntinda'!J36)</f>
        <v>1.1428571428571428</v>
      </c>
      <c r="K36" s="49">
        <f>AVERAGE('29.07 Naalya-Ntinda'!K36,'30.07 Naalya-Ntinda'!K36,'31.07 Naalya-Ntinda'!K36,'02.08 Naalya-Ntinda'!K36,'01.08 Naalya-Ntinda 24h'!K36,'03.08 Naalya-Ntinda-24h'!K36,'04.08 Naalya-Ntinda'!K36)</f>
        <v>0.2857142857142857</v>
      </c>
      <c r="L36" s="49">
        <f>AVERAGE('29.07 Naalya-Ntinda'!L36,'30.07 Naalya-Ntinda'!L36,'31.07 Naalya-Ntinda'!L36,'02.08 Naalya-Ntinda'!L36,'01.08 Naalya-Ntinda 24h'!L36,'03.08 Naalya-Ntinda-24h'!L36,'04.08 Naalya-Ntinda'!L36)</f>
        <v>0.2857142857142857</v>
      </c>
      <c r="M36" s="49">
        <f>AVERAGE('29.07 Naalya-Ntinda'!M36,'30.07 Naalya-Ntinda'!M36,'31.07 Naalya-Ntinda'!M36,'02.08 Naalya-Ntinda'!M36,'01.08 Naalya-Ntinda 24h'!M36,'03.08 Naalya-Ntinda-24h'!M36,'04.08 Naalya-Ntinda'!M36)</f>
        <v>54.714285714285715</v>
      </c>
      <c r="N36" s="49">
        <f>AVERAGE('29.07 Naalya-Ntinda'!N36,'30.07 Naalya-Ntinda'!N36,'31.07 Naalya-Ntinda'!N36,'02.08 Naalya-Ntinda'!N36,'01.08 Naalya-Ntinda 24h'!N36,'03.08 Naalya-Ntinda-24h'!N36,'04.08 Naalya-Ntinda'!N36)</f>
        <v>0</v>
      </c>
      <c r="O36" s="15">
        <f t="shared" si="0"/>
        <v>131.42857142857142</v>
      </c>
      <c r="P36" s="15">
        <f t="shared" si="1"/>
        <v>186.14285714285714</v>
      </c>
      <c r="R36" s="38" t="s">
        <v>92</v>
      </c>
      <c r="S36" s="39">
        <f t="shared" ref="S36:AF36" si="28">MAX(S19:S21)</f>
        <v>288.14285714285711</v>
      </c>
      <c r="T36" s="39">
        <f t="shared" si="28"/>
        <v>196.71428571428572</v>
      </c>
      <c r="U36" s="39">
        <f t="shared" si="28"/>
        <v>40.142857142857139</v>
      </c>
      <c r="V36" s="39">
        <f t="shared" si="28"/>
        <v>42.285714285714285</v>
      </c>
      <c r="W36" s="39">
        <f t="shared" si="28"/>
        <v>6.5714285714285712</v>
      </c>
      <c r="X36" s="39">
        <f t="shared" si="28"/>
        <v>2.2857142857142856</v>
      </c>
      <c r="Y36" s="39">
        <f t="shared" si="28"/>
        <v>10.714285714285715</v>
      </c>
      <c r="Z36" s="39">
        <f t="shared" si="28"/>
        <v>5.5714285714285712</v>
      </c>
      <c r="AA36" s="39">
        <f t="shared" si="28"/>
        <v>1.1428571428571428</v>
      </c>
      <c r="AB36" s="39">
        <f t="shared" si="28"/>
        <v>0.85714285714285698</v>
      </c>
      <c r="AC36" s="39">
        <f t="shared" si="28"/>
        <v>348.99999999999994</v>
      </c>
      <c r="AD36" s="39">
        <f t="shared" si="28"/>
        <v>0</v>
      </c>
      <c r="AE36" s="40">
        <f t="shared" si="28"/>
        <v>588.42857142857144</v>
      </c>
      <c r="AF36" s="40">
        <f t="shared" si="28"/>
        <v>914.42857142857133</v>
      </c>
    </row>
    <row r="37" spans="2:32" ht="23.1" customHeight="1" x14ac:dyDescent="0.25">
      <c r="B37" s="23" t="s">
        <v>64</v>
      </c>
      <c r="C37" s="49">
        <f>AVERAGE('29.07 Naalya-Ntinda'!C37,'30.07 Naalya-Ntinda'!C37,'31.07 Naalya-Ntinda'!C37,'02.08 Naalya-Ntinda'!C37,'01.08 Naalya-Ntinda 24h'!C37,'03.08 Naalya-Ntinda-24h'!C37,'04.08 Naalya-Ntinda'!C37)</f>
        <v>60.857142857142854</v>
      </c>
      <c r="D37" s="49">
        <f>AVERAGE('29.07 Naalya-Ntinda'!D37,'30.07 Naalya-Ntinda'!D37,'31.07 Naalya-Ntinda'!D37,'02.08 Naalya-Ntinda'!D37,'01.08 Naalya-Ntinda 24h'!D37,'03.08 Naalya-Ntinda-24h'!D37,'04.08 Naalya-Ntinda'!D37)</f>
        <v>42</v>
      </c>
      <c r="E37" s="49">
        <f>AVERAGE('29.07 Naalya-Ntinda'!E37,'30.07 Naalya-Ntinda'!E37,'31.07 Naalya-Ntinda'!E37,'02.08 Naalya-Ntinda'!E37,'01.08 Naalya-Ntinda 24h'!E37,'03.08 Naalya-Ntinda-24h'!E37,'04.08 Naalya-Ntinda'!E37)</f>
        <v>7.7142857142857144</v>
      </c>
      <c r="F37" s="49">
        <f>AVERAGE('29.07 Naalya-Ntinda'!F37,'30.07 Naalya-Ntinda'!F37,'31.07 Naalya-Ntinda'!F37,'02.08 Naalya-Ntinda'!F37,'01.08 Naalya-Ntinda 24h'!F37,'03.08 Naalya-Ntinda-24h'!F37,'04.08 Naalya-Ntinda'!F37)</f>
        <v>10.142857142857142</v>
      </c>
      <c r="G37" s="49">
        <f>AVERAGE('29.07 Naalya-Ntinda'!G37,'30.07 Naalya-Ntinda'!G37,'31.07 Naalya-Ntinda'!G37,'02.08 Naalya-Ntinda'!G37,'01.08 Naalya-Ntinda 24h'!G37,'03.08 Naalya-Ntinda-24h'!G37,'04.08 Naalya-Ntinda'!G37)</f>
        <v>0.5714285714285714</v>
      </c>
      <c r="H37" s="49">
        <f>AVERAGE('29.07 Naalya-Ntinda'!H37,'30.07 Naalya-Ntinda'!H37,'31.07 Naalya-Ntinda'!H37,'02.08 Naalya-Ntinda'!H37,'01.08 Naalya-Ntinda 24h'!H37,'03.08 Naalya-Ntinda-24h'!H37,'04.08 Naalya-Ntinda'!H37)</f>
        <v>0.14285714285714285</v>
      </c>
      <c r="I37" s="49">
        <f>AVERAGE('29.07 Naalya-Ntinda'!I37,'30.07 Naalya-Ntinda'!I37,'31.07 Naalya-Ntinda'!I37,'02.08 Naalya-Ntinda'!I37,'01.08 Naalya-Ntinda 24h'!I37,'03.08 Naalya-Ntinda-24h'!I37,'04.08 Naalya-Ntinda'!I37)</f>
        <v>4.2857142857142856</v>
      </c>
      <c r="J37" s="49">
        <f>AVERAGE('29.07 Naalya-Ntinda'!J37,'30.07 Naalya-Ntinda'!J37,'31.07 Naalya-Ntinda'!J37,'02.08 Naalya-Ntinda'!J37,'01.08 Naalya-Ntinda 24h'!J37,'03.08 Naalya-Ntinda-24h'!J37,'04.08 Naalya-Ntinda'!J37)</f>
        <v>1.2857142857142858</v>
      </c>
      <c r="K37" s="49">
        <f>AVERAGE('29.07 Naalya-Ntinda'!K37,'30.07 Naalya-Ntinda'!K37,'31.07 Naalya-Ntinda'!K37,'02.08 Naalya-Ntinda'!K37,'01.08 Naalya-Ntinda 24h'!K37,'03.08 Naalya-Ntinda-24h'!K37,'04.08 Naalya-Ntinda'!K37)</f>
        <v>0.5714285714285714</v>
      </c>
      <c r="L37" s="49">
        <f>AVERAGE('29.07 Naalya-Ntinda'!L37,'30.07 Naalya-Ntinda'!L37,'31.07 Naalya-Ntinda'!L37,'02.08 Naalya-Ntinda'!L37,'01.08 Naalya-Ntinda 24h'!L37,'03.08 Naalya-Ntinda-24h'!L37,'04.08 Naalya-Ntinda'!L37)</f>
        <v>0.14285714285714285</v>
      </c>
      <c r="M37" s="49">
        <f>AVERAGE('29.07 Naalya-Ntinda'!M37,'30.07 Naalya-Ntinda'!M37,'31.07 Naalya-Ntinda'!M37,'02.08 Naalya-Ntinda'!M37,'01.08 Naalya-Ntinda 24h'!M37,'03.08 Naalya-Ntinda-24h'!M37,'04.08 Naalya-Ntinda'!M37)</f>
        <v>62.714285714285715</v>
      </c>
      <c r="N37" s="49">
        <f>AVERAGE('29.07 Naalya-Ntinda'!N37,'30.07 Naalya-Ntinda'!N37,'31.07 Naalya-Ntinda'!N37,'02.08 Naalya-Ntinda'!N37,'01.08 Naalya-Ntinda 24h'!N37,'03.08 Naalya-Ntinda-24h'!N37,'04.08 Naalya-Ntinda'!N37)</f>
        <v>0</v>
      </c>
      <c r="O37" s="15">
        <f t="shared" si="0"/>
        <v>127.71428571428571</v>
      </c>
      <c r="P37" s="15">
        <f t="shared" si="1"/>
        <v>190.42857142857142</v>
      </c>
      <c r="R37" s="37" t="s">
        <v>85</v>
      </c>
      <c r="S37" s="35">
        <f t="shared" ref="S37:AF37" si="29">SUM(S10:S12)</f>
        <v>1102</v>
      </c>
      <c r="T37" s="16">
        <f t="shared" si="29"/>
        <v>686.28571428571422</v>
      </c>
      <c r="U37" s="16">
        <f t="shared" si="29"/>
        <v>133.14285714285714</v>
      </c>
      <c r="V37" s="16">
        <f t="shared" si="29"/>
        <v>99</v>
      </c>
      <c r="W37" s="16">
        <f t="shared" si="29"/>
        <v>6.8571428571428568</v>
      </c>
      <c r="X37" s="16">
        <f t="shared" si="29"/>
        <v>0.14285714285714285</v>
      </c>
      <c r="Y37" s="16">
        <f t="shared" si="29"/>
        <v>19.428571428571427</v>
      </c>
      <c r="Z37" s="16">
        <f t="shared" si="29"/>
        <v>16.571428571428569</v>
      </c>
      <c r="AA37" s="16">
        <f t="shared" si="29"/>
        <v>2.4285714285714288</v>
      </c>
      <c r="AB37" s="16">
        <f t="shared" si="29"/>
        <v>1.9999999999999996</v>
      </c>
      <c r="AC37" s="16">
        <f t="shared" si="29"/>
        <v>1119.8571428571427</v>
      </c>
      <c r="AD37" s="16">
        <f t="shared" si="29"/>
        <v>0.14285714285714285</v>
      </c>
      <c r="AE37" s="32">
        <f t="shared" si="29"/>
        <v>2068</v>
      </c>
      <c r="AF37" s="32">
        <f t="shared" si="29"/>
        <v>3187.8571428571427</v>
      </c>
    </row>
    <row r="38" spans="2:32" ht="23.1" customHeight="1" x14ac:dyDescent="0.25">
      <c r="B38" s="24" t="s">
        <v>65</v>
      </c>
      <c r="C38" s="49">
        <f>AVERAGE('29.07 Naalya-Ntinda'!C38,'30.07 Naalya-Ntinda'!C38,'31.07 Naalya-Ntinda'!C38,'02.08 Naalya-Ntinda'!C38,'01.08 Naalya-Ntinda 24h'!C38,'03.08 Naalya-Ntinda-24h'!C38,'04.08 Naalya-Ntinda'!C38)</f>
        <v>43.428571428571431</v>
      </c>
      <c r="D38" s="49">
        <f>AVERAGE('29.07 Naalya-Ntinda'!D38,'30.07 Naalya-Ntinda'!D38,'31.07 Naalya-Ntinda'!D38,'02.08 Naalya-Ntinda'!D38,'01.08 Naalya-Ntinda 24h'!D38,'03.08 Naalya-Ntinda-24h'!D38,'04.08 Naalya-Ntinda'!D38)</f>
        <v>31.142857142857142</v>
      </c>
      <c r="E38" s="49">
        <f>AVERAGE('29.07 Naalya-Ntinda'!E38,'30.07 Naalya-Ntinda'!E38,'31.07 Naalya-Ntinda'!E38,'02.08 Naalya-Ntinda'!E38,'01.08 Naalya-Ntinda 24h'!E38,'03.08 Naalya-Ntinda-24h'!E38,'04.08 Naalya-Ntinda'!E38)</f>
        <v>8.2857142857142865</v>
      </c>
      <c r="F38" s="49">
        <f>AVERAGE('29.07 Naalya-Ntinda'!F38,'30.07 Naalya-Ntinda'!F38,'31.07 Naalya-Ntinda'!F38,'02.08 Naalya-Ntinda'!F38,'01.08 Naalya-Ntinda 24h'!F38,'03.08 Naalya-Ntinda-24h'!F38,'04.08 Naalya-Ntinda'!F38)</f>
        <v>10.714285714285714</v>
      </c>
      <c r="G38" s="49">
        <f>AVERAGE('29.07 Naalya-Ntinda'!G38,'30.07 Naalya-Ntinda'!G38,'31.07 Naalya-Ntinda'!G38,'02.08 Naalya-Ntinda'!G38,'01.08 Naalya-Ntinda 24h'!G38,'03.08 Naalya-Ntinda-24h'!G38,'04.08 Naalya-Ntinda'!G38)</f>
        <v>0.5714285714285714</v>
      </c>
      <c r="H38" s="49">
        <f>AVERAGE('29.07 Naalya-Ntinda'!H38,'30.07 Naalya-Ntinda'!H38,'31.07 Naalya-Ntinda'!H38,'02.08 Naalya-Ntinda'!H38,'01.08 Naalya-Ntinda 24h'!H38,'03.08 Naalya-Ntinda-24h'!H38,'04.08 Naalya-Ntinda'!H38)</f>
        <v>0.2857142857142857</v>
      </c>
      <c r="I38" s="49">
        <f>AVERAGE('29.07 Naalya-Ntinda'!I38,'30.07 Naalya-Ntinda'!I38,'31.07 Naalya-Ntinda'!I38,'02.08 Naalya-Ntinda'!I38,'01.08 Naalya-Ntinda 24h'!I38,'03.08 Naalya-Ntinda-24h'!I38,'04.08 Naalya-Ntinda'!I38)</f>
        <v>2.8571428571428572</v>
      </c>
      <c r="J38" s="49">
        <f>AVERAGE('29.07 Naalya-Ntinda'!J38,'30.07 Naalya-Ntinda'!J38,'31.07 Naalya-Ntinda'!J38,'02.08 Naalya-Ntinda'!J38,'01.08 Naalya-Ntinda 24h'!J38,'03.08 Naalya-Ntinda-24h'!J38,'04.08 Naalya-Ntinda'!J38)</f>
        <v>2.2857142857142856</v>
      </c>
      <c r="K38" s="49">
        <f>AVERAGE('29.07 Naalya-Ntinda'!K38,'30.07 Naalya-Ntinda'!K38,'31.07 Naalya-Ntinda'!K38,'02.08 Naalya-Ntinda'!K38,'01.08 Naalya-Ntinda 24h'!K38,'03.08 Naalya-Ntinda-24h'!K38,'04.08 Naalya-Ntinda'!K38)</f>
        <v>1</v>
      </c>
      <c r="L38" s="49">
        <f>AVERAGE('29.07 Naalya-Ntinda'!L38,'30.07 Naalya-Ntinda'!L38,'31.07 Naalya-Ntinda'!L38,'02.08 Naalya-Ntinda'!L38,'01.08 Naalya-Ntinda 24h'!L38,'03.08 Naalya-Ntinda-24h'!L38,'04.08 Naalya-Ntinda'!L38)</f>
        <v>0</v>
      </c>
      <c r="M38" s="49">
        <f>AVERAGE('29.07 Naalya-Ntinda'!M38,'30.07 Naalya-Ntinda'!M38,'31.07 Naalya-Ntinda'!M38,'02.08 Naalya-Ntinda'!M38,'01.08 Naalya-Ntinda 24h'!M38,'03.08 Naalya-Ntinda-24h'!M38,'04.08 Naalya-Ntinda'!M38)</f>
        <v>58</v>
      </c>
      <c r="N38" s="49">
        <f>AVERAGE('29.07 Naalya-Ntinda'!N38,'30.07 Naalya-Ntinda'!N38,'31.07 Naalya-Ntinda'!N38,'02.08 Naalya-Ntinda'!N38,'01.08 Naalya-Ntinda 24h'!N38,'03.08 Naalya-Ntinda-24h'!N38,'04.08 Naalya-Ntinda'!N38)</f>
        <v>0</v>
      </c>
      <c r="O38" s="15">
        <f t="shared" si="0"/>
        <v>100.57142857142858</v>
      </c>
      <c r="P38" s="15">
        <f t="shared" si="1"/>
        <v>158.57142857142858</v>
      </c>
      <c r="R38" s="28" t="s">
        <v>86</v>
      </c>
      <c r="S38" s="16">
        <f t="shared" ref="S38:AF38" si="30">SUM(S13:S18)</f>
        <v>1386.5714285714287</v>
      </c>
      <c r="T38" s="16">
        <f t="shared" si="30"/>
        <v>911.71428571428555</v>
      </c>
      <c r="U38" s="16">
        <f t="shared" si="30"/>
        <v>179.57142857142861</v>
      </c>
      <c r="V38" s="16">
        <f t="shared" si="30"/>
        <v>203.00000000000003</v>
      </c>
      <c r="W38" s="16">
        <f t="shared" si="30"/>
        <v>21.428571428571427</v>
      </c>
      <c r="X38" s="16">
        <f t="shared" si="30"/>
        <v>1.9999999999999998</v>
      </c>
      <c r="Y38" s="16">
        <f t="shared" si="30"/>
        <v>74.428571428571431</v>
      </c>
      <c r="Z38" s="16">
        <f t="shared" si="30"/>
        <v>49</v>
      </c>
      <c r="AA38" s="16">
        <f t="shared" si="30"/>
        <v>9.4285714285714288</v>
      </c>
      <c r="AB38" s="16">
        <f t="shared" si="30"/>
        <v>3.7142857142857131</v>
      </c>
      <c r="AC38" s="16">
        <f t="shared" si="30"/>
        <v>1745</v>
      </c>
      <c r="AD38" s="16">
        <f t="shared" si="30"/>
        <v>0</v>
      </c>
      <c r="AE38" s="32">
        <f t="shared" si="30"/>
        <v>2840.8571428571431</v>
      </c>
      <c r="AF38" s="32">
        <f t="shared" si="30"/>
        <v>4585.8571428571422</v>
      </c>
    </row>
    <row r="39" spans="2:32" ht="23.1" customHeight="1" x14ac:dyDescent="0.25">
      <c r="B39" s="24" t="s">
        <v>66</v>
      </c>
      <c r="C39" s="49">
        <f>AVERAGE('29.07 Naalya-Ntinda'!C39,'30.07 Naalya-Ntinda'!C39,'31.07 Naalya-Ntinda'!C39,'02.08 Naalya-Ntinda'!C39,'01.08 Naalya-Ntinda 24h'!C39,'03.08 Naalya-Ntinda-24h'!C39,'04.08 Naalya-Ntinda'!C39)</f>
        <v>56.857142857142854</v>
      </c>
      <c r="D39" s="49">
        <f>AVERAGE('29.07 Naalya-Ntinda'!D39,'30.07 Naalya-Ntinda'!D39,'31.07 Naalya-Ntinda'!D39,'02.08 Naalya-Ntinda'!D39,'01.08 Naalya-Ntinda 24h'!D39,'03.08 Naalya-Ntinda-24h'!D39,'04.08 Naalya-Ntinda'!D39)</f>
        <v>42.571428571428569</v>
      </c>
      <c r="E39" s="49">
        <f>AVERAGE('29.07 Naalya-Ntinda'!E39,'30.07 Naalya-Ntinda'!E39,'31.07 Naalya-Ntinda'!E39,'02.08 Naalya-Ntinda'!E39,'01.08 Naalya-Ntinda 24h'!E39,'03.08 Naalya-Ntinda-24h'!E39,'04.08 Naalya-Ntinda'!E39)</f>
        <v>4.4285714285714288</v>
      </c>
      <c r="F39" s="49">
        <f>AVERAGE('29.07 Naalya-Ntinda'!F39,'30.07 Naalya-Ntinda'!F39,'31.07 Naalya-Ntinda'!F39,'02.08 Naalya-Ntinda'!F39,'01.08 Naalya-Ntinda 24h'!F39,'03.08 Naalya-Ntinda-24h'!F39,'04.08 Naalya-Ntinda'!F39)</f>
        <v>7.2857142857142856</v>
      </c>
      <c r="G39" s="49">
        <f>AVERAGE('29.07 Naalya-Ntinda'!G39,'30.07 Naalya-Ntinda'!G39,'31.07 Naalya-Ntinda'!G39,'02.08 Naalya-Ntinda'!G39,'01.08 Naalya-Ntinda 24h'!G39,'03.08 Naalya-Ntinda-24h'!G39,'04.08 Naalya-Ntinda'!G39)</f>
        <v>2.1428571428571428</v>
      </c>
      <c r="H39" s="49">
        <f>AVERAGE('29.07 Naalya-Ntinda'!H39,'30.07 Naalya-Ntinda'!H39,'31.07 Naalya-Ntinda'!H39,'02.08 Naalya-Ntinda'!H39,'01.08 Naalya-Ntinda 24h'!H39,'03.08 Naalya-Ntinda-24h'!H39,'04.08 Naalya-Ntinda'!H39)</f>
        <v>0</v>
      </c>
      <c r="I39" s="49">
        <f>AVERAGE('29.07 Naalya-Ntinda'!I39,'30.07 Naalya-Ntinda'!I39,'31.07 Naalya-Ntinda'!I39,'02.08 Naalya-Ntinda'!I39,'01.08 Naalya-Ntinda 24h'!I39,'03.08 Naalya-Ntinda-24h'!I39,'04.08 Naalya-Ntinda'!I39)</f>
        <v>2.4285714285714284</v>
      </c>
      <c r="J39" s="49">
        <f>AVERAGE('29.07 Naalya-Ntinda'!J39,'30.07 Naalya-Ntinda'!J39,'31.07 Naalya-Ntinda'!J39,'02.08 Naalya-Ntinda'!J39,'01.08 Naalya-Ntinda 24h'!J39,'03.08 Naalya-Ntinda-24h'!J39,'04.08 Naalya-Ntinda'!J39)</f>
        <v>1.8571428571428572</v>
      </c>
      <c r="K39" s="49">
        <f>AVERAGE('29.07 Naalya-Ntinda'!K39,'30.07 Naalya-Ntinda'!K39,'31.07 Naalya-Ntinda'!K39,'02.08 Naalya-Ntinda'!K39,'01.08 Naalya-Ntinda 24h'!K39,'03.08 Naalya-Ntinda-24h'!K39,'04.08 Naalya-Ntinda'!K39)</f>
        <v>0.14285714285714285</v>
      </c>
      <c r="L39" s="49">
        <f>AVERAGE('29.07 Naalya-Ntinda'!L39,'30.07 Naalya-Ntinda'!L39,'31.07 Naalya-Ntinda'!L39,'02.08 Naalya-Ntinda'!L39,'01.08 Naalya-Ntinda 24h'!L39,'03.08 Naalya-Ntinda-24h'!L39,'04.08 Naalya-Ntinda'!L39)</f>
        <v>0</v>
      </c>
      <c r="M39" s="49">
        <f>AVERAGE('29.07 Naalya-Ntinda'!M39,'30.07 Naalya-Ntinda'!M39,'31.07 Naalya-Ntinda'!M39,'02.08 Naalya-Ntinda'!M39,'01.08 Naalya-Ntinda 24h'!M39,'03.08 Naalya-Ntinda-24h'!M39,'04.08 Naalya-Ntinda'!M39)</f>
        <v>67.285714285714292</v>
      </c>
      <c r="N39" s="49">
        <f>AVERAGE('29.07 Naalya-Ntinda'!N39,'30.07 Naalya-Ntinda'!N39,'31.07 Naalya-Ntinda'!N39,'02.08 Naalya-Ntinda'!N39,'01.08 Naalya-Ntinda 24h'!N39,'03.08 Naalya-Ntinda-24h'!N39,'04.08 Naalya-Ntinda'!N39)</f>
        <v>0</v>
      </c>
      <c r="O39" s="15">
        <f t="shared" si="0"/>
        <v>117.71428571428571</v>
      </c>
      <c r="P39" s="15">
        <f t="shared" si="1"/>
        <v>185</v>
      </c>
      <c r="R39" s="29" t="s">
        <v>87</v>
      </c>
      <c r="S39" s="16">
        <f t="shared" ref="S39:AF39" si="31">SUM(S19:S21)</f>
        <v>778.71428571428578</v>
      </c>
      <c r="T39" s="16">
        <f t="shared" si="31"/>
        <v>544.57142857142867</v>
      </c>
      <c r="U39" s="16">
        <f t="shared" si="31"/>
        <v>103</v>
      </c>
      <c r="V39" s="16">
        <f t="shared" si="31"/>
        <v>114</v>
      </c>
      <c r="W39" s="16">
        <f t="shared" si="31"/>
        <v>14.571428571428571</v>
      </c>
      <c r="X39" s="16">
        <f t="shared" si="31"/>
        <v>3.7142857142857144</v>
      </c>
      <c r="Y39" s="16">
        <f t="shared" si="31"/>
        <v>28.142857142857142</v>
      </c>
      <c r="Z39" s="16">
        <f t="shared" si="31"/>
        <v>15.285714285714285</v>
      </c>
      <c r="AA39" s="16">
        <f t="shared" si="31"/>
        <v>2.8571428571428568</v>
      </c>
      <c r="AB39" s="16">
        <f t="shared" si="31"/>
        <v>1.4285714285714284</v>
      </c>
      <c r="AC39" s="16">
        <f t="shared" si="31"/>
        <v>970.57142857142844</v>
      </c>
      <c r="AD39" s="16">
        <f t="shared" si="31"/>
        <v>0</v>
      </c>
      <c r="AE39" s="32">
        <f t="shared" si="31"/>
        <v>1606.2857142857142</v>
      </c>
      <c r="AF39" s="32">
        <f t="shared" si="31"/>
        <v>2576.8571428571427</v>
      </c>
    </row>
    <row r="40" spans="2:32" ht="23.1" customHeight="1" x14ac:dyDescent="0.25">
      <c r="B40" s="24" t="s">
        <v>67</v>
      </c>
      <c r="C40" s="49">
        <f>AVERAGE('29.07 Naalya-Ntinda'!C40,'30.07 Naalya-Ntinda'!C40,'31.07 Naalya-Ntinda'!C40,'02.08 Naalya-Ntinda'!C40,'01.08 Naalya-Ntinda 24h'!C40,'03.08 Naalya-Ntinda-24h'!C40,'04.08 Naalya-Ntinda'!C40)</f>
        <v>50.714285714285715</v>
      </c>
      <c r="D40" s="49">
        <f>AVERAGE('29.07 Naalya-Ntinda'!D40,'30.07 Naalya-Ntinda'!D40,'31.07 Naalya-Ntinda'!D40,'02.08 Naalya-Ntinda'!D40,'01.08 Naalya-Ntinda 24h'!D40,'03.08 Naalya-Ntinda-24h'!D40,'04.08 Naalya-Ntinda'!D40)</f>
        <v>32.285714285714285</v>
      </c>
      <c r="E40" s="49">
        <f>AVERAGE('29.07 Naalya-Ntinda'!E40,'30.07 Naalya-Ntinda'!E40,'31.07 Naalya-Ntinda'!E40,'02.08 Naalya-Ntinda'!E40,'01.08 Naalya-Ntinda 24h'!E40,'03.08 Naalya-Ntinda-24h'!E40,'04.08 Naalya-Ntinda'!E40)</f>
        <v>8.1428571428571423</v>
      </c>
      <c r="F40" s="49">
        <f>AVERAGE('29.07 Naalya-Ntinda'!F40,'30.07 Naalya-Ntinda'!F40,'31.07 Naalya-Ntinda'!F40,'02.08 Naalya-Ntinda'!F40,'01.08 Naalya-Ntinda 24h'!F40,'03.08 Naalya-Ntinda-24h'!F40,'04.08 Naalya-Ntinda'!F40)</f>
        <v>7.8571428571428568</v>
      </c>
      <c r="G40" s="49">
        <f>AVERAGE('29.07 Naalya-Ntinda'!G40,'30.07 Naalya-Ntinda'!G40,'31.07 Naalya-Ntinda'!G40,'02.08 Naalya-Ntinda'!G40,'01.08 Naalya-Ntinda 24h'!G40,'03.08 Naalya-Ntinda-24h'!G40,'04.08 Naalya-Ntinda'!G40)</f>
        <v>0.7142857142857143</v>
      </c>
      <c r="H40" s="49">
        <f>AVERAGE('29.07 Naalya-Ntinda'!H40,'30.07 Naalya-Ntinda'!H40,'31.07 Naalya-Ntinda'!H40,'02.08 Naalya-Ntinda'!H40,'01.08 Naalya-Ntinda 24h'!H40,'03.08 Naalya-Ntinda-24h'!H40,'04.08 Naalya-Ntinda'!H40)</f>
        <v>0.14285714285714285</v>
      </c>
      <c r="I40" s="49">
        <f>AVERAGE('29.07 Naalya-Ntinda'!I40,'30.07 Naalya-Ntinda'!I40,'31.07 Naalya-Ntinda'!I40,'02.08 Naalya-Ntinda'!I40,'01.08 Naalya-Ntinda 24h'!I40,'03.08 Naalya-Ntinda-24h'!I40,'04.08 Naalya-Ntinda'!I40)</f>
        <v>3.2857142857142856</v>
      </c>
      <c r="J40" s="49">
        <f>AVERAGE('29.07 Naalya-Ntinda'!J40,'30.07 Naalya-Ntinda'!J40,'31.07 Naalya-Ntinda'!J40,'02.08 Naalya-Ntinda'!J40,'01.08 Naalya-Ntinda 24h'!J40,'03.08 Naalya-Ntinda-24h'!J40,'04.08 Naalya-Ntinda'!J40)</f>
        <v>3.1428571428571428</v>
      </c>
      <c r="K40" s="49">
        <f>AVERAGE('29.07 Naalya-Ntinda'!K40,'30.07 Naalya-Ntinda'!K40,'31.07 Naalya-Ntinda'!K40,'02.08 Naalya-Ntinda'!K40,'01.08 Naalya-Ntinda 24h'!K40,'03.08 Naalya-Ntinda-24h'!K40,'04.08 Naalya-Ntinda'!K40)</f>
        <v>0.42857142857142855</v>
      </c>
      <c r="L40" s="49">
        <f>AVERAGE('29.07 Naalya-Ntinda'!L40,'30.07 Naalya-Ntinda'!L40,'31.07 Naalya-Ntinda'!L40,'02.08 Naalya-Ntinda'!L40,'01.08 Naalya-Ntinda 24h'!L40,'03.08 Naalya-Ntinda-24h'!L40,'04.08 Naalya-Ntinda'!L40)</f>
        <v>0.14285714285714285</v>
      </c>
      <c r="M40" s="49">
        <f>AVERAGE('29.07 Naalya-Ntinda'!M40,'30.07 Naalya-Ntinda'!M40,'31.07 Naalya-Ntinda'!M40,'02.08 Naalya-Ntinda'!M40,'01.08 Naalya-Ntinda 24h'!M40,'03.08 Naalya-Ntinda-24h'!M40,'04.08 Naalya-Ntinda'!M40)</f>
        <v>75.285714285714292</v>
      </c>
      <c r="N40" s="49">
        <f>AVERAGE('29.07 Naalya-Ntinda'!N40,'30.07 Naalya-Ntinda'!N40,'31.07 Naalya-Ntinda'!N40,'02.08 Naalya-Ntinda'!N40,'01.08 Naalya-Ntinda 24h'!N40,'03.08 Naalya-Ntinda-24h'!N40,'04.08 Naalya-Ntinda'!N40)</f>
        <v>0</v>
      </c>
      <c r="O40" s="15">
        <f t="shared" si="0"/>
        <v>106.85714285714285</v>
      </c>
      <c r="P40" s="15">
        <f t="shared" si="1"/>
        <v>182.14285714285714</v>
      </c>
      <c r="R40" s="5" t="s">
        <v>17</v>
      </c>
      <c r="S40" s="16">
        <f t="shared" ref="S40:AF40" si="32">SUM(S10:S21)</f>
        <v>3267.2857142857142</v>
      </c>
      <c r="T40" s="16">
        <f t="shared" si="32"/>
        <v>2142.5714285714284</v>
      </c>
      <c r="U40" s="16">
        <f t="shared" si="32"/>
        <v>415.71428571428567</v>
      </c>
      <c r="V40" s="16">
        <f t="shared" si="32"/>
        <v>416</v>
      </c>
      <c r="W40" s="16">
        <f t="shared" si="32"/>
        <v>42.857142857142854</v>
      </c>
      <c r="X40" s="16">
        <f t="shared" si="32"/>
        <v>5.8571428571428559</v>
      </c>
      <c r="Y40" s="16">
        <f t="shared" si="32"/>
        <v>122</v>
      </c>
      <c r="Z40" s="16">
        <f t="shared" si="32"/>
        <v>80.857142857142861</v>
      </c>
      <c r="AA40" s="16">
        <f t="shared" si="32"/>
        <v>14.714285714285715</v>
      </c>
      <c r="AB40" s="16">
        <f t="shared" si="32"/>
        <v>7.1428571428571423</v>
      </c>
      <c r="AC40" s="16">
        <f t="shared" si="32"/>
        <v>3835.4285714285716</v>
      </c>
      <c r="AD40" s="16">
        <f t="shared" si="32"/>
        <v>0.14285714285714285</v>
      </c>
      <c r="AE40" s="32">
        <f t="shared" si="32"/>
        <v>6515.1428571428578</v>
      </c>
      <c r="AF40" s="32">
        <f t="shared" si="32"/>
        <v>10350.571428571426</v>
      </c>
    </row>
    <row r="41" spans="2:32" ht="23.1" customHeight="1" x14ac:dyDescent="0.25">
      <c r="B41" s="23" t="s">
        <v>68</v>
      </c>
      <c r="C41" s="49">
        <f>AVERAGE('29.07 Naalya-Ntinda'!C41,'30.07 Naalya-Ntinda'!C41,'31.07 Naalya-Ntinda'!C41,'02.08 Naalya-Ntinda'!C41,'01.08 Naalya-Ntinda 24h'!C41,'03.08 Naalya-Ntinda-24h'!C41,'04.08 Naalya-Ntinda'!C41)</f>
        <v>42.857142857142854</v>
      </c>
      <c r="D41" s="49">
        <f>AVERAGE('29.07 Naalya-Ntinda'!D41,'30.07 Naalya-Ntinda'!D41,'31.07 Naalya-Ntinda'!D41,'02.08 Naalya-Ntinda'!D41,'01.08 Naalya-Ntinda 24h'!D41,'03.08 Naalya-Ntinda-24h'!D41,'04.08 Naalya-Ntinda'!D41)</f>
        <v>24.142857142857142</v>
      </c>
      <c r="E41" s="49">
        <f>AVERAGE('29.07 Naalya-Ntinda'!E41,'30.07 Naalya-Ntinda'!E41,'31.07 Naalya-Ntinda'!E41,'02.08 Naalya-Ntinda'!E41,'01.08 Naalya-Ntinda 24h'!E41,'03.08 Naalya-Ntinda-24h'!E41,'04.08 Naalya-Ntinda'!E41)</f>
        <v>6.7142857142857144</v>
      </c>
      <c r="F41" s="49">
        <f>AVERAGE('29.07 Naalya-Ntinda'!F41,'30.07 Naalya-Ntinda'!F41,'31.07 Naalya-Ntinda'!F41,'02.08 Naalya-Ntinda'!F41,'01.08 Naalya-Ntinda 24h'!F41,'03.08 Naalya-Ntinda-24h'!F41,'04.08 Naalya-Ntinda'!F41)</f>
        <v>4.4285714285714288</v>
      </c>
      <c r="G41" s="49">
        <f>AVERAGE('29.07 Naalya-Ntinda'!G41,'30.07 Naalya-Ntinda'!G41,'31.07 Naalya-Ntinda'!G41,'02.08 Naalya-Ntinda'!G41,'01.08 Naalya-Ntinda 24h'!G41,'03.08 Naalya-Ntinda-24h'!G41,'04.08 Naalya-Ntinda'!G41)</f>
        <v>0.5714285714285714</v>
      </c>
      <c r="H41" s="49">
        <f>AVERAGE('29.07 Naalya-Ntinda'!H41,'30.07 Naalya-Ntinda'!H41,'31.07 Naalya-Ntinda'!H41,'02.08 Naalya-Ntinda'!H41,'01.08 Naalya-Ntinda 24h'!H41,'03.08 Naalya-Ntinda-24h'!H41,'04.08 Naalya-Ntinda'!H41)</f>
        <v>0.2857142857142857</v>
      </c>
      <c r="I41" s="49">
        <f>AVERAGE('29.07 Naalya-Ntinda'!I41,'30.07 Naalya-Ntinda'!I41,'31.07 Naalya-Ntinda'!I41,'02.08 Naalya-Ntinda'!I41,'01.08 Naalya-Ntinda 24h'!I41,'03.08 Naalya-Ntinda-24h'!I41,'04.08 Naalya-Ntinda'!I41)</f>
        <v>1.8571428571428572</v>
      </c>
      <c r="J41" s="49">
        <f>AVERAGE('29.07 Naalya-Ntinda'!J41,'30.07 Naalya-Ntinda'!J41,'31.07 Naalya-Ntinda'!J41,'02.08 Naalya-Ntinda'!J41,'01.08 Naalya-Ntinda 24h'!J41,'03.08 Naalya-Ntinda-24h'!J41,'04.08 Naalya-Ntinda'!J41)</f>
        <v>1.8571428571428572</v>
      </c>
      <c r="K41" s="49">
        <f>AVERAGE('29.07 Naalya-Ntinda'!K41,'30.07 Naalya-Ntinda'!K41,'31.07 Naalya-Ntinda'!K41,'02.08 Naalya-Ntinda'!K41,'01.08 Naalya-Ntinda 24h'!K41,'03.08 Naalya-Ntinda-24h'!K41,'04.08 Naalya-Ntinda'!K41)</f>
        <v>0.14285714285714285</v>
      </c>
      <c r="L41" s="49">
        <f>AVERAGE('29.07 Naalya-Ntinda'!L41,'30.07 Naalya-Ntinda'!L41,'31.07 Naalya-Ntinda'!L41,'02.08 Naalya-Ntinda'!L41,'01.08 Naalya-Ntinda 24h'!L41,'03.08 Naalya-Ntinda-24h'!L41,'04.08 Naalya-Ntinda'!L41)</f>
        <v>0.2857142857142857</v>
      </c>
      <c r="M41" s="49">
        <f>AVERAGE('29.07 Naalya-Ntinda'!M41,'30.07 Naalya-Ntinda'!M41,'31.07 Naalya-Ntinda'!M41,'02.08 Naalya-Ntinda'!M41,'01.08 Naalya-Ntinda 24h'!M41,'03.08 Naalya-Ntinda-24h'!M41,'04.08 Naalya-Ntinda'!M41)</f>
        <v>67.285714285714292</v>
      </c>
      <c r="N41" s="49">
        <f>AVERAGE('29.07 Naalya-Ntinda'!N41,'30.07 Naalya-Ntinda'!N41,'31.07 Naalya-Ntinda'!N41,'02.08 Naalya-Ntinda'!N41,'01.08 Naalya-Ntinda 24h'!N41,'03.08 Naalya-Ntinda-24h'!N41,'04.08 Naalya-Ntinda'!N41)</f>
        <v>0</v>
      </c>
      <c r="O41" s="15">
        <f t="shared" si="0"/>
        <v>83.142857142857153</v>
      </c>
      <c r="P41" s="15">
        <f t="shared" si="1"/>
        <v>150.42857142857144</v>
      </c>
      <c r="R41" s="5" t="s">
        <v>177</v>
      </c>
      <c r="S41" s="53">
        <f>SUM(S10:S33)</f>
        <v>4312.7857142857138</v>
      </c>
      <c r="T41" s="53">
        <f t="shared" ref="T41:AD41" si="33">SUM(T10:T33)</f>
        <v>3134.0714285714284</v>
      </c>
      <c r="U41" s="53">
        <f t="shared" si="33"/>
        <v>584.71428571428567</v>
      </c>
      <c r="V41" s="53">
        <f t="shared" si="33"/>
        <v>558</v>
      </c>
      <c r="W41" s="53">
        <f t="shared" si="33"/>
        <v>57.857142857142854</v>
      </c>
      <c r="X41" s="53">
        <f t="shared" si="33"/>
        <v>9.3571428571428559</v>
      </c>
      <c r="Y41" s="53">
        <f t="shared" si="33"/>
        <v>141.5</v>
      </c>
      <c r="Z41" s="53">
        <f t="shared" si="33"/>
        <v>103.85714285714286</v>
      </c>
      <c r="AA41" s="53">
        <f t="shared" si="33"/>
        <v>18.714285714285715</v>
      </c>
      <c r="AB41" s="53">
        <f t="shared" si="33"/>
        <v>10.642857142857142</v>
      </c>
      <c r="AC41" s="53">
        <f t="shared" si="33"/>
        <v>5004.4285714285716</v>
      </c>
      <c r="AD41" s="53">
        <f t="shared" si="33"/>
        <v>0.14285714285714285</v>
      </c>
      <c r="AE41" s="54">
        <f>SUM(AE10:AE33)</f>
        <v>8931.6428571428587</v>
      </c>
      <c r="AF41" s="54">
        <f>SUM(AF10:AF33)</f>
        <v>13936.071428571426</v>
      </c>
    </row>
    <row r="42" spans="2:32" ht="23.1" customHeight="1" x14ac:dyDescent="0.25">
      <c r="B42" s="24" t="s">
        <v>69</v>
      </c>
      <c r="C42" s="49">
        <f>AVERAGE('29.07 Naalya-Ntinda'!C42,'30.07 Naalya-Ntinda'!C42,'31.07 Naalya-Ntinda'!C42,'02.08 Naalya-Ntinda'!C42,'01.08 Naalya-Ntinda 24h'!C42,'03.08 Naalya-Ntinda-24h'!C42,'04.08 Naalya-Ntinda'!C42)</f>
        <v>50.714285714285715</v>
      </c>
      <c r="D42" s="49">
        <f>AVERAGE('29.07 Naalya-Ntinda'!D42,'30.07 Naalya-Ntinda'!D42,'31.07 Naalya-Ntinda'!D42,'02.08 Naalya-Ntinda'!D42,'01.08 Naalya-Ntinda 24h'!D42,'03.08 Naalya-Ntinda-24h'!D42,'04.08 Naalya-Ntinda'!D42)</f>
        <v>36.714285714285715</v>
      </c>
      <c r="E42" s="49">
        <f>AVERAGE('29.07 Naalya-Ntinda'!E42,'30.07 Naalya-Ntinda'!E42,'31.07 Naalya-Ntinda'!E42,'02.08 Naalya-Ntinda'!E42,'01.08 Naalya-Ntinda 24h'!E42,'03.08 Naalya-Ntinda-24h'!E42,'04.08 Naalya-Ntinda'!E42)</f>
        <v>5.7142857142857144</v>
      </c>
      <c r="F42" s="49">
        <f>AVERAGE('29.07 Naalya-Ntinda'!F42,'30.07 Naalya-Ntinda'!F42,'31.07 Naalya-Ntinda'!F42,'02.08 Naalya-Ntinda'!F42,'01.08 Naalya-Ntinda 24h'!F42,'03.08 Naalya-Ntinda-24h'!F42,'04.08 Naalya-Ntinda'!F42)</f>
        <v>7</v>
      </c>
      <c r="G42" s="49">
        <f>AVERAGE('29.07 Naalya-Ntinda'!G42,'30.07 Naalya-Ntinda'!G42,'31.07 Naalya-Ntinda'!G42,'02.08 Naalya-Ntinda'!G42,'01.08 Naalya-Ntinda 24h'!G42,'03.08 Naalya-Ntinda-24h'!G42,'04.08 Naalya-Ntinda'!G42)</f>
        <v>1.1428571428571428</v>
      </c>
      <c r="H42" s="49">
        <f>AVERAGE('29.07 Naalya-Ntinda'!H42,'30.07 Naalya-Ntinda'!H42,'31.07 Naalya-Ntinda'!H42,'02.08 Naalya-Ntinda'!H42,'01.08 Naalya-Ntinda 24h'!H42,'03.08 Naalya-Ntinda-24h'!H42,'04.08 Naalya-Ntinda'!H42)</f>
        <v>0</v>
      </c>
      <c r="I42" s="49">
        <f>AVERAGE('29.07 Naalya-Ntinda'!I42,'30.07 Naalya-Ntinda'!I42,'31.07 Naalya-Ntinda'!I42,'02.08 Naalya-Ntinda'!I42,'01.08 Naalya-Ntinda 24h'!I42,'03.08 Naalya-Ntinda-24h'!I42,'04.08 Naalya-Ntinda'!I42)</f>
        <v>3.1428571428571428</v>
      </c>
      <c r="J42" s="49">
        <f>AVERAGE('29.07 Naalya-Ntinda'!J42,'30.07 Naalya-Ntinda'!J42,'31.07 Naalya-Ntinda'!J42,'02.08 Naalya-Ntinda'!J42,'01.08 Naalya-Ntinda 24h'!J42,'03.08 Naalya-Ntinda-24h'!J42,'04.08 Naalya-Ntinda'!J42)</f>
        <v>2</v>
      </c>
      <c r="K42" s="49">
        <f>AVERAGE('29.07 Naalya-Ntinda'!K42,'30.07 Naalya-Ntinda'!K42,'31.07 Naalya-Ntinda'!K42,'02.08 Naalya-Ntinda'!K42,'01.08 Naalya-Ntinda 24h'!K42,'03.08 Naalya-Ntinda-24h'!K42,'04.08 Naalya-Ntinda'!K42)</f>
        <v>0.2857142857142857</v>
      </c>
      <c r="L42" s="49">
        <f>AVERAGE('29.07 Naalya-Ntinda'!L42,'30.07 Naalya-Ntinda'!L42,'31.07 Naalya-Ntinda'!L42,'02.08 Naalya-Ntinda'!L42,'01.08 Naalya-Ntinda 24h'!L42,'03.08 Naalya-Ntinda-24h'!L42,'04.08 Naalya-Ntinda'!L42)</f>
        <v>0.14285714285714285</v>
      </c>
      <c r="M42" s="49">
        <f>AVERAGE('29.07 Naalya-Ntinda'!M42,'30.07 Naalya-Ntinda'!M42,'31.07 Naalya-Ntinda'!M42,'02.08 Naalya-Ntinda'!M42,'01.08 Naalya-Ntinda 24h'!M42,'03.08 Naalya-Ntinda-24h'!M42,'04.08 Naalya-Ntinda'!M42)</f>
        <v>74.142857142857139</v>
      </c>
      <c r="N42" s="49">
        <f>AVERAGE('29.07 Naalya-Ntinda'!N42,'30.07 Naalya-Ntinda'!N42,'31.07 Naalya-Ntinda'!N42,'02.08 Naalya-Ntinda'!N42,'01.08 Naalya-Ntinda 24h'!N42,'03.08 Naalya-Ntinda-24h'!N42,'04.08 Naalya-Ntinda'!N42)</f>
        <v>0</v>
      </c>
      <c r="O42" s="15">
        <f t="shared" si="0"/>
        <v>106.85714285714285</v>
      </c>
      <c r="P42" s="15">
        <f t="shared" si="1"/>
        <v>181</v>
      </c>
      <c r="R42" s="5" t="s">
        <v>160</v>
      </c>
      <c r="S42" s="48">
        <f>S41/S40</f>
        <v>1.3199903808316207</v>
      </c>
      <c r="T42" s="48">
        <f t="shared" ref="T42:AF42" si="34">T41/T40</f>
        <v>1.4627617015602081</v>
      </c>
      <c r="U42" s="48">
        <f t="shared" si="34"/>
        <v>1.4065292096219932</v>
      </c>
      <c r="V42" s="48">
        <f t="shared" si="34"/>
        <v>1.3413461538461537</v>
      </c>
      <c r="W42" s="48">
        <f t="shared" si="34"/>
        <v>1.35</v>
      </c>
      <c r="X42" s="48">
        <f t="shared" si="34"/>
        <v>1.5975609756097562</v>
      </c>
      <c r="Y42" s="48">
        <f t="shared" si="34"/>
        <v>1.1598360655737705</v>
      </c>
      <c r="Z42" s="48">
        <f t="shared" si="34"/>
        <v>1.284452296819788</v>
      </c>
      <c r="AA42" s="48">
        <f t="shared" si="34"/>
        <v>1.2718446601941746</v>
      </c>
      <c r="AB42" s="48">
        <f t="shared" si="34"/>
        <v>1.49</v>
      </c>
      <c r="AC42" s="48">
        <f t="shared" si="34"/>
        <v>1.3047899284862932</v>
      </c>
      <c r="AD42" s="48">
        <f>AD41/AD40</f>
        <v>1</v>
      </c>
      <c r="AE42" s="52">
        <f t="shared" si="34"/>
        <v>1.3709051440599922</v>
      </c>
      <c r="AF42" s="52">
        <f t="shared" si="34"/>
        <v>1.3464059955281973</v>
      </c>
    </row>
    <row r="43" spans="2:32" ht="23.1" customHeight="1" x14ac:dyDescent="0.25">
      <c r="B43" s="23" t="s">
        <v>70</v>
      </c>
      <c r="C43" s="49">
        <f>AVERAGE('29.07 Naalya-Ntinda'!C43,'30.07 Naalya-Ntinda'!C43,'31.07 Naalya-Ntinda'!C43,'02.08 Naalya-Ntinda'!C43,'01.08 Naalya-Ntinda 24h'!C43,'03.08 Naalya-Ntinda-24h'!C43,'04.08 Naalya-Ntinda'!C43)</f>
        <v>53.714285714285715</v>
      </c>
      <c r="D43" s="49">
        <f>AVERAGE('29.07 Naalya-Ntinda'!D43,'30.07 Naalya-Ntinda'!D43,'31.07 Naalya-Ntinda'!D43,'02.08 Naalya-Ntinda'!D43,'01.08 Naalya-Ntinda 24h'!D43,'03.08 Naalya-Ntinda-24h'!D43,'04.08 Naalya-Ntinda'!D43)</f>
        <v>36.571428571428569</v>
      </c>
      <c r="E43" s="49">
        <f>AVERAGE('29.07 Naalya-Ntinda'!E43,'30.07 Naalya-Ntinda'!E43,'31.07 Naalya-Ntinda'!E43,'02.08 Naalya-Ntinda'!E43,'01.08 Naalya-Ntinda 24h'!E43,'03.08 Naalya-Ntinda-24h'!E43,'04.08 Naalya-Ntinda'!E43)</f>
        <v>6.8571428571428568</v>
      </c>
      <c r="F43" s="49">
        <f>AVERAGE('29.07 Naalya-Ntinda'!F43,'30.07 Naalya-Ntinda'!F43,'31.07 Naalya-Ntinda'!F43,'02.08 Naalya-Ntinda'!F43,'01.08 Naalya-Ntinda 24h'!F43,'03.08 Naalya-Ntinda-24h'!F43,'04.08 Naalya-Ntinda'!F43)</f>
        <v>5.8571428571428568</v>
      </c>
      <c r="G43" s="49">
        <f>AVERAGE('29.07 Naalya-Ntinda'!G43,'30.07 Naalya-Ntinda'!G43,'31.07 Naalya-Ntinda'!G43,'02.08 Naalya-Ntinda'!G43,'01.08 Naalya-Ntinda 24h'!G43,'03.08 Naalya-Ntinda-24h'!G43,'04.08 Naalya-Ntinda'!G43)</f>
        <v>0.2857142857142857</v>
      </c>
      <c r="H43" s="49">
        <f>AVERAGE('29.07 Naalya-Ntinda'!H43,'30.07 Naalya-Ntinda'!H43,'31.07 Naalya-Ntinda'!H43,'02.08 Naalya-Ntinda'!H43,'01.08 Naalya-Ntinda 24h'!H43,'03.08 Naalya-Ntinda-24h'!H43,'04.08 Naalya-Ntinda'!H43)</f>
        <v>0</v>
      </c>
      <c r="I43" s="49">
        <f>AVERAGE('29.07 Naalya-Ntinda'!I43,'30.07 Naalya-Ntinda'!I43,'31.07 Naalya-Ntinda'!I43,'02.08 Naalya-Ntinda'!I43,'01.08 Naalya-Ntinda 24h'!I43,'03.08 Naalya-Ntinda-24h'!I43,'04.08 Naalya-Ntinda'!I43)</f>
        <v>2.8571428571428572</v>
      </c>
      <c r="J43" s="49">
        <f>AVERAGE('29.07 Naalya-Ntinda'!J43,'30.07 Naalya-Ntinda'!J43,'31.07 Naalya-Ntinda'!J43,'02.08 Naalya-Ntinda'!J43,'01.08 Naalya-Ntinda 24h'!J43,'03.08 Naalya-Ntinda-24h'!J43,'04.08 Naalya-Ntinda'!J43)</f>
        <v>3.2857142857142856</v>
      </c>
      <c r="K43" s="49">
        <f>AVERAGE('29.07 Naalya-Ntinda'!K43,'30.07 Naalya-Ntinda'!K43,'31.07 Naalya-Ntinda'!K43,'02.08 Naalya-Ntinda'!K43,'01.08 Naalya-Ntinda 24h'!K43,'03.08 Naalya-Ntinda-24h'!K43,'04.08 Naalya-Ntinda'!K43)</f>
        <v>0.14285714285714285</v>
      </c>
      <c r="L43" s="49">
        <f>AVERAGE('29.07 Naalya-Ntinda'!L43,'30.07 Naalya-Ntinda'!L43,'31.07 Naalya-Ntinda'!L43,'02.08 Naalya-Ntinda'!L43,'01.08 Naalya-Ntinda 24h'!L43,'03.08 Naalya-Ntinda-24h'!L43,'04.08 Naalya-Ntinda'!L43)</f>
        <v>0</v>
      </c>
      <c r="M43" s="49">
        <f>AVERAGE('29.07 Naalya-Ntinda'!M43,'30.07 Naalya-Ntinda'!M43,'31.07 Naalya-Ntinda'!M43,'02.08 Naalya-Ntinda'!M43,'01.08 Naalya-Ntinda 24h'!M43,'03.08 Naalya-Ntinda-24h'!M43,'04.08 Naalya-Ntinda'!M43)</f>
        <v>75.714285714285708</v>
      </c>
      <c r="N43" s="49">
        <f>AVERAGE('29.07 Naalya-Ntinda'!N43,'30.07 Naalya-Ntinda'!N43,'31.07 Naalya-Ntinda'!N43,'02.08 Naalya-Ntinda'!N43,'01.08 Naalya-Ntinda 24h'!N43,'03.08 Naalya-Ntinda-24h'!N43,'04.08 Naalya-Ntinda'!N43)</f>
        <v>0</v>
      </c>
      <c r="O43" s="15">
        <f t="shared" si="0"/>
        <v>109.57142857142858</v>
      </c>
      <c r="P43" s="15">
        <f t="shared" si="1"/>
        <v>185.28571428571428</v>
      </c>
    </row>
    <row r="44" spans="2:32" ht="23.1" customHeight="1" x14ac:dyDescent="0.25">
      <c r="B44" s="25" t="s">
        <v>71</v>
      </c>
      <c r="C44" s="49">
        <f>AVERAGE('29.07 Naalya-Ntinda'!C44,'30.07 Naalya-Ntinda'!C44,'31.07 Naalya-Ntinda'!C44,'02.08 Naalya-Ntinda'!C44,'01.08 Naalya-Ntinda 24h'!C44,'03.08 Naalya-Ntinda-24h'!C44,'04.08 Naalya-Ntinda'!C44)</f>
        <v>65.428571428571431</v>
      </c>
      <c r="D44" s="49">
        <f>AVERAGE('29.07 Naalya-Ntinda'!D44,'30.07 Naalya-Ntinda'!D44,'31.07 Naalya-Ntinda'!D44,'02.08 Naalya-Ntinda'!D44,'01.08 Naalya-Ntinda 24h'!D44,'03.08 Naalya-Ntinda-24h'!D44,'04.08 Naalya-Ntinda'!D44)</f>
        <v>48</v>
      </c>
      <c r="E44" s="49">
        <f>AVERAGE('29.07 Naalya-Ntinda'!E44,'30.07 Naalya-Ntinda'!E44,'31.07 Naalya-Ntinda'!E44,'02.08 Naalya-Ntinda'!E44,'01.08 Naalya-Ntinda 24h'!E44,'03.08 Naalya-Ntinda-24h'!E44,'04.08 Naalya-Ntinda'!E44)</f>
        <v>7</v>
      </c>
      <c r="F44" s="49">
        <f>AVERAGE('29.07 Naalya-Ntinda'!F44,'30.07 Naalya-Ntinda'!F44,'31.07 Naalya-Ntinda'!F44,'02.08 Naalya-Ntinda'!F44,'01.08 Naalya-Ntinda 24h'!F44,'03.08 Naalya-Ntinda-24h'!F44,'04.08 Naalya-Ntinda'!F44)</f>
        <v>11</v>
      </c>
      <c r="G44" s="49">
        <f>AVERAGE('29.07 Naalya-Ntinda'!G44,'30.07 Naalya-Ntinda'!G44,'31.07 Naalya-Ntinda'!G44,'02.08 Naalya-Ntinda'!G44,'01.08 Naalya-Ntinda 24h'!G44,'03.08 Naalya-Ntinda-24h'!G44,'04.08 Naalya-Ntinda'!G44)</f>
        <v>0.2857142857142857</v>
      </c>
      <c r="H44" s="49">
        <f>AVERAGE('29.07 Naalya-Ntinda'!H44,'30.07 Naalya-Ntinda'!H44,'31.07 Naalya-Ntinda'!H44,'02.08 Naalya-Ntinda'!H44,'01.08 Naalya-Ntinda 24h'!H44,'03.08 Naalya-Ntinda-24h'!H44,'04.08 Naalya-Ntinda'!H44)</f>
        <v>0</v>
      </c>
      <c r="I44" s="49">
        <f>AVERAGE('29.07 Naalya-Ntinda'!I44,'30.07 Naalya-Ntinda'!I44,'31.07 Naalya-Ntinda'!I44,'02.08 Naalya-Ntinda'!I44,'01.08 Naalya-Ntinda 24h'!I44,'03.08 Naalya-Ntinda-24h'!I44,'04.08 Naalya-Ntinda'!I44)</f>
        <v>4.7142857142857144</v>
      </c>
      <c r="J44" s="49">
        <f>AVERAGE('29.07 Naalya-Ntinda'!J44,'30.07 Naalya-Ntinda'!J44,'31.07 Naalya-Ntinda'!J44,'02.08 Naalya-Ntinda'!J44,'01.08 Naalya-Ntinda 24h'!J44,'03.08 Naalya-Ntinda-24h'!J44,'04.08 Naalya-Ntinda'!J44)</f>
        <v>2.7142857142857144</v>
      </c>
      <c r="K44" s="49">
        <f>AVERAGE('29.07 Naalya-Ntinda'!K44,'30.07 Naalya-Ntinda'!K44,'31.07 Naalya-Ntinda'!K44,'02.08 Naalya-Ntinda'!K44,'01.08 Naalya-Ntinda 24h'!K44,'03.08 Naalya-Ntinda-24h'!K44,'04.08 Naalya-Ntinda'!K44)</f>
        <v>1</v>
      </c>
      <c r="L44" s="49">
        <f>AVERAGE('29.07 Naalya-Ntinda'!L44,'30.07 Naalya-Ntinda'!L44,'31.07 Naalya-Ntinda'!L44,'02.08 Naalya-Ntinda'!L44,'01.08 Naalya-Ntinda 24h'!L44,'03.08 Naalya-Ntinda-24h'!L44,'04.08 Naalya-Ntinda'!L44)</f>
        <v>0.14285714285714285</v>
      </c>
      <c r="M44" s="49">
        <f>AVERAGE('29.07 Naalya-Ntinda'!M44,'30.07 Naalya-Ntinda'!M44,'31.07 Naalya-Ntinda'!M44,'02.08 Naalya-Ntinda'!M44,'01.08 Naalya-Ntinda 24h'!M44,'03.08 Naalya-Ntinda-24h'!M44,'04.08 Naalya-Ntinda'!M44)</f>
        <v>83</v>
      </c>
      <c r="N44" s="49">
        <f>AVERAGE('29.07 Naalya-Ntinda'!N44,'30.07 Naalya-Ntinda'!N44,'31.07 Naalya-Ntinda'!N44,'02.08 Naalya-Ntinda'!N44,'01.08 Naalya-Ntinda 24h'!N44,'03.08 Naalya-Ntinda-24h'!N44,'04.08 Naalya-Ntinda'!N44)</f>
        <v>0</v>
      </c>
      <c r="O44" s="15">
        <f t="shared" si="0"/>
        <v>140.28571428571431</v>
      </c>
      <c r="P44" s="15">
        <f t="shared" si="1"/>
        <v>223.28571428571431</v>
      </c>
    </row>
    <row r="45" spans="2:32" ht="23.1" customHeight="1" x14ac:dyDescent="0.25">
      <c r="B45" s="23" t="s">
        <v>72</v>
      </c>
      <c r="C45" s="49">
        <f>AVERAGE('29.07 Naalya-Ntinda'!C45,'30.07 Naalya-Ntinda'!C45,'31.07 Naalya-Ntinda'!C45,'02.08 Naalya-Ntinda'!C45,'01.08 Naalya-Ntinda 24h'!C45,'03.08 Naalya-Ntinda-24h'!C45,'04.08 Naalya-Ntinda'!C45)</f>
        <v>41.857142857142854</v>
      </c>
      <c r="D45" s="49">
        <f>AVERAGE('29.07 Naalya-Ntinda'!D45,'30.07 Naalya-Ntinda'!D45,'31.07 Naalya-Ntinda'!D45,'02.08 Naalya-Ntinda'!D45,'01.08 Naalya-Ntinda 24h'!D45,'03.08 Naalya-Ntinda-24h'!D45,'04.08 Naalya-Ntinda'!D45)</f>
        <v>33.571428571428569</v>
      </c>
      <c r="E45" s="49">
        <f>AVERAGE('29.07 Naalya-Ntinda'!E45,'30.07 Naalya-Ntinda'!E45,'31.07 Naalya-Ntinda'!E45,'02.08 Naalya-Ntinda'!E45,'01.08 Naalya-Ntinda 24h'!E45,'03.08 Naalya-Ntinda-24h'!E45,'04.08 Naalya-Ntinda'!E45)</f>
        <v>7.2857142857142856</v>
      </c>
      <c r="F45" s="49">
        <f>AVERAGE('29.07 Naalya-Ntinda'!F45,'30.07 Naalya-Ntinda'!F45,'31.07 Naalya-Ntinda'!F45,'02.08 Naalya-Ntinda'!F45,'01.08 Naalya-Ntinda 24h'!F45,'03.08 Naalya-Ntinda-24h'!F45,'04.08 Naalya-Ntinda'!F45)</f>
        <v>7.7142857142857144</v>
      </c>
      <c r="G45" s="49">
        <f>AVERAGE('29.07 Naalya-Ntinda'!G45,'30.07 Naalya-Ntinda'!G45,'31.07 Naalya-Ntinda'!G45,'02.08 Naalya-Ntinda'!G45,'01.08 Naalya-Ntinda 24h'!G45,'03.08 Naalya-Ntinda-24h'!G45,'04.08 Naalya-Ntinda'!G45)</f>
        <v>0.7142857142857143</v>
      </c>
      <c r="H45" s="49">
        <f>AVERAGE('29.07 Naalya-Ntinda'!H45,'30.07 Naalya-Ntinda'!H45,'31.07 Naalya-Ntinda'!H45,'02.08 Naalya-Ntinda'!H45,'01.08 Naalya-Ntinda 24h'!H45,'03.08 Naalya-Ntinda-24h'!H45,'04.08 Naalya-Ntinda'!H45)</f>
        <v>0</v>
      </c>
      <c r="I45" s="49">
        <f>AVERAGE('29.07 Naalya-Ntinda'!I45,'30.07 Naalya-Ntinda'!I45,'31.07 Naalya-Ntinda'!I45,'02.08 Naalya-Ntinda'!I45,'01.08 Naalya-Ntinda 24h'!I45,'03.08 Naalya-Ntinda-24h'!I45,'04.08 Naalya-Ntinda'!I45)</f>
        <v>3.2857142857142856</v>
      </c>
      <c r="J45" s="49">
        <f>AVERAGE('29.07 Naalya-Ntinda'!J45,'30.07 Naalya-Ntinda'!J45,'31.07 Naalya-Ntinda'!J45,'02.08 Naalya-Ntinda'!J45,'01.08 Naalya-Ntinda 24h'!J45,'03.08 Naalya-Ntinda-24h'!J45,'04.08 Naalya-Ntinda'!J45)</f>
        <v>1.8571428571428572</v>
      </c>
      <c r="K45" s="49">
        <f>AVERAGE('29.07 Naalya-Ntinda'!K45,'30.07 Naalya-Ntinda'!K45,'31.07 Naalya-Ntinda'!K45,'02.08 Naalya-Ntinda'!K45,'01.08 Naalya-Ntinda 24h'!K45,'03.08 Naalya-Ntinda-24h'!K45,'04.08 Naalya-Ntinda'!K45)</f>
        <v>0</v>
      </c>
      <c r="L45" s="49">
        <f>AVERAGE('29.07 Naalya-Ntinda'!L45,'30.07 Naalya-Ntinda'!L45,'31.07 Naalya-Ntinda'!L45,'02.08 Naalya-Ntinda'!L45,'01.08 Naalya-Ntinda 24h'!L45,'03.08 Naalya-Ntinda-24h'!L45,'04.08 Naalya-Ntinda'!L45)</f>
        <v>0.14285714285714285</v>
      </c>
      <c r="M45" s="49">
        <f>AVERAGE('29.07 Naalya-Ntinda'!M45,'30.07 Naalya-Ntinda'!M45,'31.07 Naalya-Ntinda'!M45,'02.08 Naalya-Ntinda'!M45,'01.08 Naalya-Ntinda 24h'!M45,'03.08 Naalya-Ntinda-24h'!M45,'04.08 Naalya-Ntinda'!M45)</f>
        <v>70.571428571428569</v>
      </c>
      <c r="N45" s="49">
        <f>AVERAGE('29.07 Naalya-Ntinda'!N45,'30.07 Naalya-Ntinda'!N45,'31.07 Naalya-Ntinda'!N45,'02.08 Naalya-Ntinda'!N45,'01.08 Naalya-Ntinda 24h'!N45,'03.08 Naalya-Ntinda-24h'!N45,'04.08 Naalya-Ntinda'!N45)</f>
        <v>0</v>
      </c>
      <c r="O45" s="15">
        <f t="shared" si="0"/>
        <v>96.428571428571416</v>
      </c>
      <c r="P45" s="15">
        <f t="shared" si="1"/>
        <v>167</v>
      </c>
    </row>
    <row r="46" spans="2:32" ht="23.1" customHeight="1" x14ac:dyDescent="0.25">
      <c r="B46" s="24" t="s">
        <v>73</v>
      </c>
      <c r="C46" s="49">
        <f>AVERAGE('29.07 Naalya-Ntinda'!C46,'30.07 Naalya-Ntinda'!C46,'31.07 Naalya-Ntinda'!C46,'02.08 Naalya-Ntinda'!C46,'01.08 Naalya-Ntinda 24h'!C46,'03.08 Naalya-Ntinda-24h'!C46,'04.08 Naalya-Ntinda'!C46)</f>
        <v>50</v>
      </c>
      <c r="D46" s="49">
        <f>AVERAGE('29.07 Naalya-Ntinda'!D46,'30.07 Naalya-Ntinda'!D46,'31.07 Naalya-Ntinda'!D46,'02.08 Naalya-Ntinda'!D46,'01.08 Naalya-Ntinda 24h'!D46,'03.08 Naalya-Ntinda-24h'!D46,'04.08 Naalya-Ntinda'!D46)</f>
        <v>37.714285714285715</v>
      </c>
      <c r="E46" s="49">
        <f>AVERAGE('29.07 Naalya-Ntinda'!E46,'30.07 Naalya-Ntinda'!E46,'31.07 Naalya-Ntinda'!E46,'02.08 Naalya-Ntinda'!E46,'01.08 Naalya-Ntinda 24h'!E46,'03.08 Naalya-Ntinda-24h'!E46,'04.08 Naalya-Ntinda'!E46)</f>
        <v>6.1428571428571432</v>
      </c>
      <c r="F46" s="49">
        <f>AVERAGE('29.07 Naalya-Ntinda'!F46,'30.07 Naalya-Ntinda'!F46,'31.07 Naalya-Ntinda'!F46,'02.08 Naalya-Ntinda'!F46,'01.08 Naalya-Ntinda 24h'!F46,'03.08 Naalya-Ntinda-24h'!F46,'04.08 Naalya-Ntinda'!F46)</f>
        <v>8.8571428571428577</v>
      </c>
      <c r="G46" s="49">
        <f>AVERAGE('29.07 Naalya-Ntinda'!G46,'30.07 Naalya-Ntinda'!G46,'31.07 Naalya-Ntinda'!G46,'02.08 Naalya-Ntinda'!G46,'01.08 Naalya-Ntinda 24h'!G46,'03.08 Naalya-Ntinda-24h'!G46,'04.08 Naalya-Ntinda'!G46)</f>
        <v>0.7142857142857143</v>
      </c>
      <c r="H46" s="49">
        <f>AVERAGE('29.07 Naalya-Ntinda'!H46,'30.07 Naalya-Ntinda'!H46,'31.07 Naalya-Ntinda'!H46,'02.08 Naalya-Ntinda'!H46,'01.08 Naalya-Ntinda 24h'!H46,'03.08 Naalya-Ntinda-24h'!H46,'04.08 Naalya-Ntinda'!H46)</f>
        <v>0</v>
      </c>
      <c r="I46" s="49">
        <f>AVERAGE('29.07 Naalya-Ntinda'!I46,'30.07 Naalya-Ntinda'!I46,'31.07 Naalya-Ntinda'!I46,'02.08 Naalya-Ntinda'!I46,'01.08 Naalya-Ntinda 24h'!I46,'03.08 Naalya-Ntinda-24h'!I46,'04.08 Naalya-Ntinda'!I46)</f>
        <v>3.5714285714285716</v>
      </c>
      <c r="J46" s="49">
        <f>AVERAGE('29.07 Naalya-Ntinda'!J46,'30.07 Naalya-Ntinda'!J46,'31.07 Naalya-Ntinda'!J46,'02.08 Naalya-Ntinda'!J46,'01.08 Naalya-Ntinda 24h'!J46,'03.08 Naalya-Ntinda-24h'!J46,'04.08 Naalya-Ntinda'!J46)</f>
        <v>1.4285714285714286</v>
      </c>
      <c r="K46" s="49">
        <f>AVERAGE('29.07 Naalya-Ntinda'!K46,'30.07 Naalya-Ntinda'!K46,'31.07 Naalya-Ntinda'!K46,'02.08 Naalya-Ntinda'!K46,'01.08 Naalya-Ntinda 24h'!K46,'03.08 Naalya-Ntinda-24h'!K46,'04.08 Naalya-Ntinda'!K46)</f>
        <v>0.14285714285714285</v>
      </c>
      <c r="L46" s="49">
        <f>AVERAGE('29.07 Naalya-Ntinda'!L46,'30.07 Naalya-Ntinda'!L46,'31.07 Naalya-Ntinda'!L46,'02.08 Naalya-Ntinda'!L46,'01.08 Naalya-Ntinda 24h'!L46,'03.08 Naalya-Ntinda-24h'!L46,'04.08 Naalya-Ntinda'!L46)</f>
        <v>0.14285714285714285</v>
      </c>
      <c r="M46" s="49">
        <f>AVERAGE('29.07 Naalya-Ntinda'!M46,'30.07 Naalya-Ntinda'!M46,'31.07 Naalya-Ntinda'!M46,'02.08 Naalya-Ntinda'!M46,'01.08 Naalya-Ntinda 24h'!M46,'03.08 Naalya-Ntinda-24h'!M46,'04.08 Naalya-Ntinda'!M46)</f>
        <v>67.142857142857139</v>
      </c>
      <c r="N46" s="49">
        <f>AVERAGE('29.07 Naalya-Ntinda'!N46,'30.07 Naalya-Ntinda'!N46,'31.07 Naalya-Ntinda'!N46,'02.08 Naalya-Ntinda'!N46,'01.08 Naalya-Ntinda 24h'!N46,'03.08 Naalya-Ntinda-24h'!N46,'04.08 Naalya-Ntinda'!N46)</f>
        <v>0</v>
      </c>
      <c r="O46" s="15">
        <f t="shared" si="0"/>
        <v>108.71428571428571</v>
      </c>
      <c r="P46" s="15">
        <f t="shared" si="1"/>
        <v>175.85714285714283</v>
      </c>
    </row>
    <row r="47" spans="2:32" ht="23.1" customHeight="1" x14ac:dyDescent="0.25">
      <c r="B47" s="24" t="s">
        <v>74</v>
      </c>
      <c r="C47" s="49">
        <f>AVERAGE('29.07 Naalya-Ntinda'!C47,'30.07 Naalya-Ntinda'!C47,'31.07 Naalya-Ntinda'!C47,'02.08 Naalya-Ntinda'!C47,'01.08 Naalya-Ntinda 24h'!C47,'03.08 Naalya-Ntinda-24h'!C47,'04.08 Naalya-Ntinda'!C47)</f>
        <v>56.428571428571431</v>
      </c>
      <c r="D47" s="49">
        <f>AVERAGE('29.07 Naalya-Ntinda'!D47,'30.07 Naalya-Ntinda'!D47,'31.07 Naalya-Ntinda'!D47,'02.08 Naalya-Ntinda'!D47,'01.08 Naalya-Ntinda 24h'!D47,'03.08 Naalya-Ntinda-24h'!D47,'04.08 Naalya-Ntinda'!D47)</f>
        <v>43.714285714285715</v>
      </c>
      <c r="E47" s="49">
        <f>AVERAGE('29.07 Naalya-Ntinda'!E47,'30.07 Naalya-Ntinda'!E47,'31.07 Naalya-Ntinda'!E47,'02.08 Naalya-Ntinda'!E47,'01.08 Naalya-Ntinda 24h'!E47,'03.08 Naalya-Ntinda-24h'!E47,'04.08 Naalya-Ntinda'!E47)</f>
        <v>10</v>
      </c>
      <c r="F47" s="49">
        <f>AVERAGE('29.07 Naalya-Ntinda'!F47,'30.07 Naalya-Ntinda'!F47,'31.07 Naalya-Ntinda'!F47,'02.08 Naalya-Ntinda'!F47,'01.08 Naalya-Ntinda 24h'!F47,'03.08 Naalya-Ntinda-24h'!F47,'04.08 Naalya-Ntinda'!F47)</f>
        <v>8.8571428571428577</v>
      </c>
      <c r="G47" s="49">
        <f>AVERAGE('29.07 Naalya-Ntinda'!G47,'30.07 Naalya-Ntinda'!G47,'31.07 Naalya-Ntinda'!G47,'02.08 Naalya-Ntinda'!G47,'01.08 Naalya-Ntinda 24h'!G47,'03.08 Naalya-Ntinda-24h'!G47,'04.08 Naalya-Ntinda'!G47)</f>
        <v>0.14285714285714285</v>
      </c>
      <c r="H47" s="49">
        <f>AVERAGE('29.07 Naalya-Ntinda'!H47,'30.07 Naalya-Ntinda'!H47,'31.07 Naalya-Ntinda'!H47,'02.08 Naalya-Ntinda'!H47,'01.08 Naalya-Ntinda 24h'!H47,'03.08 Naalya-Ntinda-24h'!H47,'04.08 Naalya-Ntinda'!H47)</f>
        <v>0</v>
      </c>
      <c r="I47" s="49">
        <f>AVERAGE('29.07 Naalya-Ntinda'!I47,'30.07 Naalya-Ntinda'!I47,'31.07 Naalya-Ntinda'!I47,'02.08 Naalya-Ntinda'!I47,'01.08 Naalya-Ntinda 24h'!I47,'03.08 Naalya-Ntinda-24h'!I47,'04.08 Naalya-Ntinda'!I47)</f>
        <v>2.1428571428571428</v>
      </c>
      <c r="J47" s="49">
        <f>AVERAGE('29.07 Naalya-Ntinda'!J47,'30.07 Naalya-Ntinda'!J47,'31.07 Naalya-Ntinda'!J47,'02.08 Naalya-Ntinda'!J47,'01.08 Naalya-Ntinda 24h'!J47,'03.08 Naalya-Ntinda-24h'!J47,'04.08 Naalya-Ntinda'!J47)</f>
        <v>2.1428571428571428</v>
      </c>
      <c r="K47" s="49">
        <f>AVERAGE('29.07 Naalya-Ntinda'!K47,'30.07 Naalya-Ntinda'!K47,'31.07 Naalya-Ntinda'!K47,'02.08 Naalya-Ntinda'!K47,'01.08 Naalya-Ntinda 24h'!K47,'03.08 Naalya-Ntinda-24h'!K47,'04.08 Naalya-Ntinda'!K47)</f>
        <v>0</v>
      </c>
      <c r="L47" s="49">
        <f>AVERAGE('29.07 Naalya-Ntinda'!L47,'30.07 Naalya-Ntinda'!L47,'31.07 Naalya-Ntinda'!L47,'02.08 Naalya-Ntinda'!L47,'01.08 Naalya-Ntinda 24h'!L47,'03.08 Naalya-Ntinda-24h'!L47,'04.08 Naalya-Ntinda'!L47)</f>
        <v>0.14285714285714285</v>
      </c>
      <c r="M47" s="49">
        <f>AVERAGE('29.07 Naalya-Ntinda'!M47,'30.07 Naalya-Ntinda'!M47,'31.07 Naalya-Ntinda'!M47,'02.08 Naalya-Ntinda'!M47,'01.08 Naalya-Ntinda 24h'!M47,'03.08 Naalya-Ntinda-24h'!M47,'04.08 Naalya-Ntinda'!M47)</f>
        <v>74.142857142857139</v>
      </c>
      <c r="N47" s="49">
        <f>AVERAGE('29.07 Naalya-Ntinda'!N47,'30.07 Naalya-Ntinda'!N47,'31.07 Naalya-Ntinda'!N47,'02.08 Naalya-Ntinda'!N47,'01.08 Naalya-Ntinda 24h'!N47,'03.08 Naalya-Ntinda-24h'!N47,'04.08 Naalya-Ntinda'!N47)</f>
        <v>0</v>
      </c>
      <c r="O47" s="15">
        <f t="shared" si="0"/>
        <v>123.57142857142856</v>
      </c>
      <c r="P47" s="15">
        <f t="shared" si="1"/>
        <v>197.71428571428569</v>
      </c>
    </row>
    <row r="48" spans="2:32" ht="23.1" customHeight="1" x14ac:dyDescent="0.25">
      <c r="B48" s="24" t="s">
        <v>75</v>
      </c>
      <c r="C48" s="49">
        <f>AVERAGE('29.07 Naalya-Ntinda'!C48,'30.07 Naalya-Ntinda'!C48,'31.07 Naalya-Ntinda'!C48,'02.08 Naalya-Ntinda'!C48,'01.08 Naalya-Ntinda 24h'!C48,'03.08 Naalya-Ntinda-24h'!C48,'04.08 Naalya-Ntinda'!C48)</f>
        <v>75.714285714285708</v>
      </c>
      <c r="D48" s="49">
        <f>AVERAGE('29.07 Naalya-Ntinda'!D48,'30.07 Naalya-Ntinda'!D48,'31.07 Naalya-Ntinda'!D48,'02.08 Naalya-Ntinda'!D48,'01.08 Naalya-Ntinda 24h'!D48,'03.08 Naalya-Ntinda-24h'!D48,'04.08 Naalya-Ntinda'!D48)</f>
        <v>52.428571428571431</v>
      </c>
      <c r="E48" s="49">
        <f>AVERAGE('29.07 Naalya-Ntinda'!E48,'30.07 Naalya-Ntinda'!E48,'31.07 Naalya-Ntinda'!E48,'02.08 Naalya-Ntinda'!E48,'01.08 Naalya-Ntinda 24h'!E48,'03.08 Naalya-Ntinda-24h'!E48,'04.08 Naalya-Ntinda'!E48)</f>
        <v>9.5714285714285712</v>
      </c>
      <c r="F48" s="49">
        <f>AVERAGE('29.07 Naalya-Ntinda'!F48,'30.07 Naalya-Ntinda'!F48,'31.07 Naalya-Ntinda'!F48,'02.08 Naalya-Ntinda'!F48,'01.08 Naalya-Ntinda 24h'!F48,'03.08 Naalya-Ntinda-24h'!F48,'04.08 Naalya-Ntinda'!F48)</f>
        <v>14</v>
      </c>
      <c r="G48" s="49">
        <f>AVERAGE('29.07 Naalya-Ntinda'!G48,'30.07 Naalya-Ntinda'!G48,'31.07 Naalya-Ntinda'!G48,'02.08 Naalya-Ntinda'!G48,'01.08 Naalya-Ntinda 24h'!G48,'03.08 Naalya-Ntinda-24h'!G48,'04.08 Naalya-Ntinda'!G48)</f>
        <v>2.2857142857142856</v>
      </c>
      <c r="H48" s="49">
        <f>AVERAGE('29.07 Naalya-Ntinda'!H48,'30.07 Naalya-Ntinda'!H48,'31.07 Naalya-Ntinda'!H48,'02.08 Naalya-Ntinda'!H48,'01.08 Naalya-Ntinda 24h'!H48,'03.08 Naalya-Ntinda-24h'!H48,'04.08 Naalya-Ntinda'!H48)</f>
        <v>0.14285714285714285</v>
      </c>
      <c r="I48" s="49">
        <f>AVERAGE('29.07 Naalya-Ntinda'!I48,'30.07 Naalya-Ntinda'!I48,'31.07 Naalya-Ntinda'!I48,'02.08 Naalya-Ntinda'!I48,'01.08 Naalya-Ntinda 24h'!I48,'03.08 Naalya-Ntinda-24h'!I48,'04.08 Naalya-Ntinda'!I48)</f>
        <v>1.8571428571428572</v>
      </c>
      <c r="J48" s="49">
        <f>AVERAGE('29.07 Naalya-Ntinda'!J48,'30.07 Naalya-Ntinda'!J48,'31.07 Naalya-Ntinda'!J48,'02.08 Naalya-Ntinda'!J48,'01.08 Naalya-Ntinda 24h'!J48,'03.08 Naalya-Ntinda-24h'!J48,'04.08 Naalya-Ntinda'!J48)</f>
        <v>1</v>
      </c>
      <c r="K48" s="49">
        <f>AVERAGE('29.07 Naalya-Ntinda'!K48,'30.07 Naalya-Ntinda'!K48,'31.07 Naalya-Ntinda'!K48,'02.08 Naalya-Ntinda'!K48,'01.08 Naalya-Ntinda 24h'!K48,'03.08 Naalya-Ntinda-24h'!K48,'04.08 Naalya-Ntinda'!K48)</f>
        <v>0.5714285714285714</v>
      </c>
      <c r="L48" s="49">
        <f>AVERAGE('29.07 Naalya-Ntinda'!L48,'30.07 Naalya-Ntinda'!L48,'31.07 Naalya-Ntinda'!L48,'02.08 Naalya-Ntinda'!L48,'01.08 Naalya-Ntinda 24h'!L48,'03.08 Naalya-Ntinda-24h'!L48,'04.08 Naalya-Ntinda'!L48)</f>
        <v>0</v>
      </c>
      <c r="M48" s="49">
        <f>AVERAGE('29.07 Naalya-Ntinda'!M48,'30.07 Naalya-Ntinda'!M48,'31.07 Naalya-Ntinda'!M48,'02.08 Naalya-Ntinda'!M48,'01.08 Naalya-Ntinda 24h'!M48,'03.08 Naalya-Ntinda-24h'!M48,'04.08 Naalya-Ntinda'!M48)</f>
        <v>77.857142857142861</v>
      </c>
      <c r="N48" s="49">
        <f>AVERAGE('29.07 Naalya-Ntinda'!N48,'30.07 Naalya-Ntinda'!N48,'31.07 Naalya-Ntinda'!N48,'02.08 Naalya-Ntinda'!N48,'01.08 Naalya-Ntinda 24h'!N48,'03.08 Naalya-Ntinda-24h'!N48,'04.08 Naalya-Ntinda'!N48)</f>
        <v>0</v>
      </c>
      <c r="O48" s="15">
        <f t="shared" si="0"/>
        <v>157.57142857142858</v>
      </c>
      <c r="P48" s="15">
        <f t="shared" si="1"/>
        <v>235.42857142857144</v>
      </c>
      <c r="R48" s="8"/>
      <c r="T48"/>
    </row>
    <row r="49" spans="2:20" ht="23.1" customHeight="1" x14ac:dyDescent="0.25">
      <c r="B49" s="23" t="s">
        <v>76</v>
      </c>
      <c r="C49" s="49">
        <f>AVERAGE('29.07 Naalya-Ntinda'!C49,'30.07 Naalya-Ntinda'!C49,'31.07 Naalya-Ntinda'!C49,'02.08 Naalya-Ntinda'!C49,'01.08 Naalya-Ntinda 24h'!C49,'03.08 Naalya-Ntinda-24h'!C49,'04.08 Naalya-Ntinda'!C49)</f>
        <v>81.714285714285708</v>
      </c>
      <c r="D49" s="49">
        <f>AVERAGE('29.07 Naalya-Ntinda'!D49,'30.07 Naalya-Ntinda'!D49,'31.07 Naalya-Ntinda'!D49,'02.08 Naalya-Ntinda'!D49,'01.08 Naalya-Ntinda 24h'!D49,'03.08 Naalya-Ntinda-24h'!D49,'04.08 Naalya-Ntinda'!D49)</f>
        <v>49.571428571428569</v>
      </c>
      <c r="E49" s="49">
        <f>AVERAGE('29.07 Naalya-Ntinda'!E49,'30.07 Naalya-Ntinda'!E49,'31.07 Naalya-Ntinda'!E49,'02.08 Naalya-Ntinda'!E49,'01.08 Naalya-Ntinda 24h'!E49,'03.08 Naalya-Ntinda-24h'!E49,'04.08 Naalya-Ntinda'!E49)</f>
        <v>9.1428571428571423</v>
      </c>
      <c r="F49" s="49">
        <f>AVERAGE('29.07 Naalya-Ntinda'!F49,'30.07 Naalya-Ntinda'!F49,'31.07 Naalya-Ntinda'!F49,'02.08 Naalya-Ntinda'!F49,'01.08 Naalya-Ntinda 24h'!F49,'03.08 Naalya-Ntinda-24h'!F49,'04.08 Naalya-Ntinda'!F49)</f>
        <v>10.571428571428571</v>
      </c>
      <c r="G49" s="49">
        <f>AVERAGE('29.07 Naalya-Ntinda'!G49,'30.07 Naalya-Ntinda'!G49,'31.07 Naalya-Ntinda'!G49,'02.08 Naalya-Ntinda'!G49,'01.08 Naalya-Ntinda 24h'!G49,'03.08 Naalya-Ntinda-24h'!G49,'04.08 Naalya-Ntinda'!G49)</f>
        <v>3.4285714285714284</v>
      </c>
      <c r="H49" s="49">
        <f>AVERAGE('29.07 Naalya-Ntinda'!H49,'30.07 Naalya-Ntinda'!H49,'31.07 Naalya-Ntinda'!H49,'02.08 Naalya-Ntinda'!H49,'01.08 Naalya-Ntinda 24h'!H49,'03.08 Naalya-Ntinda-24h'!H49,'04.08 Naalya-Ntinda'!H49)</f>
        <v>0.2857142857142857</v>
      </c>
      <c r="I49" s="49">
        <f>AVERAGE('29.07 Naalya-Ntinda'!I49,'30.07 Naalya-Ntinda'!I49,'31.07 Naalya-Ntinda'!I49,'02.08 Naalya-Ntinda'!I49,'01.08 Naalya-Ntinda 24h'!I49,'03.08 Naalya-Ntinda-24h'!I49,'04.08 Naalya-Ntinda'!I49)</f>
        <v>3</v>
      </c>
      <c r="J49" s="49">
        <f>AVERAGE('29.07 Naalya-Ntinda'!J49,'30.07 Naalya-Ntinda'!J49,'31.07 Naalya-Ntinda'!J49,'02.08 Naalya-Ntinda'!J49,'01.08 Naalya-Ntinda 24h'!J49,'03.08 Naalya-Ntinda-24h'!J49,'04.08 Naalya-Ntinda'!J49)</f>
        <v>0.8571428571428571</v>
      </c>
      <c r="K49" s="49">
        <f>AVERAGE('29.07 Naalya-Ntinda'!K49,'30.07 Naalya-Ntinda'!K49,'31.07 Naalya-Ntinda'!K49,'02.08 Naalya-Ntinda'!K49,'01.08 Naalya-Ntinda 24h'!K49,'03.08 Naalya-Ntinda-24h'!K49,'04.08 Naalya-Ntinda'!K49)</f>
        <v>0.14285714285714285</v>
      </c>
      <c r="L49" s="49">
        <f>AVERAGE('29.07 Naalya-Ntinda'!L49,'30.07 Naalya-Ntinda'!L49,'31.07 Naalya-Ntinda'!L49,'02.08 Naalya-Ntinda'!L49,'01.08 Naalya-Ntinda 24h'!L49,'03.08 Naalya-Ntinda-24h'!L49,'04.08 Naalya-Ntinda'!L49)</f>
        <v>0</v>
      </c>
      <c r="M49" s="49">
        <f>AVERAGE('29.07 Naalya-Ntinda'!M49,'30.07 Naalya-Ntinda'!M49,'31.07 Naalya-Ntinda'!M49,'02.08 Naalya-Ntinda'!M49,'01.08 Naalya-Ntinda 24h'!M49,'03.08 Naalya-Ntinda-24h'!M49,'04.08 Naalya-Ntinda'!M49)</f>
        <v>76.428571428571431</v>
      </c>
      <c r="N49" s="49">
        <f>AVERAGE('29.07 Naalya-Ntinda'!N49,'30.07 Naalya-Ntinda'!N49,'31.07 Naalya-Ntinda'!N49,'02.08 Naalya-Ntinda'!N49,'01.08 Naalya-Ntinda 24h'!N49,'03.08 Naalya-Ntinda-24h'!N49,'04.08 Naalya-Ntinda'!N49)</f>
        <v>0</v>
      </c>
      <c r="O49" s="15">
        <f t="shared" si="0"/>
        <v>158.71428571428569</v>
      </c>
      <c r="P49" s="15">
        <f t="shared" si="1"/>
        <v>235.14285714285711</v>
      </c>
      <c r="R49" s="8"/>
      <c r="T49"/>
    </row>
    <row r="50" spans="2:20" ht="23.1" customHeight="1" x14ac:dyDescent="0.25">
      <c r="B50" s="24" t="s">
        <v>77</v>
      </c>
      <c r="C50" s="49">
        <f>AVERAGE('29.07 Naalya-Ntinda'!C50,'30.07 Naalya-Ntinda'!C50,'31.07 Naalya-Ntinda'!C50,'02.08 Naalya-Ntinda'!C50,'01.08 Naalya-Ntinda 24h'!C50,'03.08 Naalya-Ntinda-24h'!C50,'04.08 Naalya-Ntinda'!C50)</f>
        <v>73.142857142857139</v>
      </c>
      <c r="D50" s="49">
        <f>AVERAGE('29.07 Naalya-Ntinda'!D50,'30.07 Naalya-Ntinda'!D50,'31.07 Naalya-Ntinda'!D50,'02.08 Naalya-Ntinda'!D50,'01.08 Naalya-Ntinda 24h'!D50,'03.08 Naalya-Ntinda-24h'!D50,'04.08 Naalya-Ntinda'!D50)</f>
        <v>52</v>
      </c>
      <c r="E50" s="49">
        <f>AVERAGE('29.07 Naalya-Ntinda'!E50,'30.07 Naalya-Ntinda'!E50,'31.07 Naalya-Ntinda'!E50,'02.08 Naalya-Ntinda'!E50,'01.08 Naalya-Ntinda 24h'!E50,'03.08 Naalya-Ntinda-24h'!E50,'04.08 Naalya-Ntinda'!E50)</f>
        <v>11</v>
      </c>
      <c r="F50" s="49">
        <f>AVERAGE('29.07 Naalya-Ntinda'!F50,'30.07 Naalya-Ntinda'!F50,'31.07 Naalya-Ntinda'!F50,'02.08 Naalya-Ntinda'!F50,'01.08 Naalya-Ntinda 24h'!F50,'03.08 Naalya-Ntinda-24h'!F50,'04.08 Naalya-Ntinda'!F50)</f>
        <v>10.428571428571429</v>
      </c>
      <c r="G50" s="49">
        <f>AVERAGE('29.07 Naalya-Ntinda'!G50,'30.07 Naalya-Ntinda'!G50,'31.07 Naalya-Ntinda'!G50,'02.08 Naalya-Ntinda'!G50,'01.08 Naalya-Ntinda 24h'!G50,'03.08 Naalya-Ntinda-24h'!G50,'04.08 Naalya-Ntinda'!G50)</f>
        <v>0.7142857142857143</v>
      </c>
      <c r="H50" s="49">
        <f>AVERAGE('29.07 Naalya-Ntinda'!H50,'30.07 Naalya-Ntinda'!H50,'31.07 Naalya-Ntinda'!H50,'02.08 Naalya-Ntinda'!H50,'01.08 Naalya-Ntinda 24h'!H50,'03.08 Naalya-Ntinda-24h'!H50,'04.08 Naalya-Ntinda'!H50)</f>
        <v>0</v>
      </c>
      <c r="I50" s="49">
        <f>AVERAGE('29.07 Naalya-Ntinda'!I50,'30.07 Naalya-Ntinda'!I50,'31.07 Naalya-Ntinda'!I50,'02.08 Naalya-Ntinda'!I50,'01.08 Naalya-Ntinda 24h'!I50,'03.08 Naalya-Ntinda-24h'!I50,'04.08 Naalya-Ntinda'!I50)</f>
        <v>2</v>
      </c>
      <c r="J50" s="49">
        <f>AVERAGE('29.07 Naalya-Ntinda'!J50,'30.07 Naalya-Ntinda'!J50,'31.07 Naalya-Ntinda'!J50,'02.08 Naalya-Ntinda'!J50,'01.08 Naalya-Ntinda 24h'!J50,'03.08 Naalya-Ntinda-24h'!J50,'04.08 Naalya-Ntinda'!J50)</f>
        <v>1.7142857142857142</v>
      </c>
      <c r="K50" s="49">
        <f>AVERAGE('29.07 Naalya-Ntinda'!K50,'30.07 Naalya-Ntinda'!K50,'31.07 Naalya-Ntinda'!K50,'02.08 Naalya-Ntinda'!K50,'01.08 Naalya-Ntinda 24h'!K50,'03.08 Naalya-Ntinda-24h'!K50,'04.08 Naalya-Ntinda'!K50)</f>
        <v>0.14285714285714285</v>
      </c>
      <c r="L50" s="49">
        <f>AVERAGE('29.07 Naalya-Ntinda'!L50,'30.07 Naalya-Ntinda'!L50,'31.07 Naalya-Ntinda'!L50,'02.08 Naalya-Ntinda'!L50,'01.08 Naalya-Ntinda 24h'!L50,'03.08 Naalya-Ntinda-24h'!L50,'04.08 Naalya-Ntinda'!L50)</f>
        <v>0</v>
      </c>
      <c r="M50" s="49">
        <f>AVERAGE('29.07 Naalya-Ntinda'!M50,'30.07 Naalya-Ntinda'!M50,'31.07 Naalya-Ntinda'!M50,'02.08 Naalya-Ntinda'!M50,'01.08 Naalya-Ntinda 24h'!M50,'03.08 Naalya-Ntinda-24h'!M50,'04.08 Naalya-Ntinda'!M50)</f>
        <v>81.428571428571431</v>
      </c>
      <c r="N50" s="49">
        <f>AVERAGE('29.07 Naalya-Ntinda'!N50,'30.07 Naalya-Ntinda'!N50,'31.07 Naalya-Ntinda'!N50,'02.08 Naalya-Ntinda'!N50,'01.08 Naalya-Ntinda 24h'!N50,'03.08 Naalya-Ntinda-24h'!N50,'04.08 Naalya-Ntinda'!N50)</f>
        <v>0</v>
      </c>
      <c r="O50" s="15">
        <f t="shared" si="0"/>
        <v>151.14285714285714</v>
      </c>
      <c r="P50" s="15">
        <f t="shared" si="1"/>
        <v>232.57142857142856</v>
      </c>
      <c r="R50" s="8"/>
      <c r="T50"/>
    </row>
    <row r="51" spans="2:20" ht="23.1" customHeight="1" x14ac:dyDescent="0.25">
      <c r="B51" s="24" t="s">
        <v>78</v>
      </c>
      <c r="C51" s="49">
        <f>AVERAGE('29.07 Naalya-Ntinda'!C51,'30.07 Naalya-Ntinda'!C51,'31.07 Naalya-Ntinda'!C51,'02.08 Naalya-Ntinda'!C51,'01.08 Naalya-Ntinda 24h'!C51,'03.08 Naalya-Ntinda-24h'!C51,'04.08 Naalya-Ntinda'!C51)</f>
        <v>77.428571428571431</v>
      </c>
      <c r="D51" s="49">
        <f>AVERAGE('29.07 Naalya-Ntinda'!D51,'30.07 Naalya-Ntinda'!D51,'31.07 Naalya-Ntinda'!D51,'02.08 Naalya-Ntinda'!D51,'01.08 Naalya-Ntinda 24h'!D51,'03.08 Naalya-Ntinda-24h'!D51,'04.08 Naalya-Ntinda'!D51)</f>
        <v>51</v>
      </c>
      <c r="E51" s="49">
        <f>AVERAGE('29.07 Naalya-Ntinda'!E51,'30.07 Naalya-Ntinda'!E51,'31.07 Naalya-Ntinda'!E51,'02.08 Naalya-Ntinda'!E51,'01.08 Naalya-Ntinda 24h'!E51,'03.08 Naalya-Ntinda-24h'!E51,'04.08 Naalya-Ntinda'!E51)</f>
        <v>11.428571428571429</v>
      </c>
      <c r="F51" s="49">
        <f>AVERAGE('29.07 Naalya-Ntinda'!F51,'30.07 Naalya-Ntinda'!F51,'31.07 Naalya-Ntinda'!F51,'02.08 Naalya-Ntinda'!F51,'01.08 Naalya-Ntinda 24h'!F51,'03.08 Naalya-Ntinda-24h'!F51,'04.08 Naalya-Ntinda'!F51)</f>
        <v>10.428571428571429</v>
      </c>
      <c r="G51" s="49">
        <f>AVERAGE('29.07 Naalya-Ntinda'!G51,'30.07 Naalya-Ntinda'!G51,'31.07 Naalya-Ntinda'!G51,'02.08 Naalya-Ntinda'!G51,'01.08 Naalya-Ntinda 24h'!G51,'03.08 Naalya-Ntinda-24h'!G51,'04.08 Naalya-Ntinda'!G51)</f>
        <v>2.8571428571428572</v>
      </c>
      <c r="H51" s="49">
        <f>AVERAGE('29.07 Naalya-Ntinda'!H51,'30.07 Naalya-Ntinda'!H51,'31.07 Naalya-Ntinda'!H51,'02.08 Naalya-Ntinda'!H51,'01.08 Naalya-Ntinda 24h'!H51,'03.08 Naalya-Ntinda-24h'!H51,'04.08 Naalya-Ntinda'!H51)</f>
        <v>0</v>
      </c>
      <c r="I51" s="49">
        <f>AVERAGE('29.07 Naalya-Ntinda'!I51,'30.07 Naalya-Ntinda'!I51,'31.07 Naalya-Ntinda'!I51,'02.08 Naalya-Ntinda'!I51,'01.08 Naalya-Ntinda 24h'!I51,'03.08 Naalya-Ntinda-24h'!I51,'04.08 Naalya-Ntinda'!I51)</f>
        <v>3.2857142857142856</v>
      </c>
      <c r="J51" s="49">
        <f>AVERAGE('29.07 Naalya-Ntinda'!J51,'30.07 Naalya-Ntinda'!J51,'31.07 Naalya-Ntinda'!J51,'02.08 Naalya-Ntinda'!J51,'01.08 Naalya-Ntinda 24h'!J51,'03.08 Naalya-Ntinda-24h'!J51,'04.08 Naalya-Ntinda'!J51)</f>
        <v>1.8571428571428572</v>
      </c>
      <c r="K51" s="49">
        <f>AVERAGE('29.07 Naalya-Ntinda'!K51,'30.07 Naalya-Ntinda'!K51,'31.07 Naalya-Ntinda'!K51,'02.08 Naalya-Ntinda'!K51,'01.08 Naalya-Ntinda 24h'!K51,'03.08 Naalya-Ntinda-24h'!K51,'04.08 Naalya-Ntinda'!K51)</f>
        <v>0</v>
      </c>
      <c r="L51" s="49">
        <f>AVERAGE('29.07 Naalya-Ntinda'!L51,'30.07 Naalya-Ntinda'!L51,'31.07 Naalya-Ntinda'!L51,'02.08 Naalya-Ntinda'!L51,'01.08 Naalya-Ntinda 24h'!L51,'03.08 Naalya-Ntinda-24h'!L51,'04.08 Naalya-Ntinda'!L51)</f>
        <v>0</v>
      </c>
      <c r="M51" s="49">
        <f>AVERAGE('29.07 Naalya-Ntinda'!M51,'30.07 Naalya-Ntinda'!M51,'31.07 Naalya-Ntinda'!M51,'02.08 Naalya-Ntinda'!M51,'01.08 Naalya-Ntinda 24h'!M51,'03.08 Naalya-Ntinda-24h'!M51,'04.08 Naalya-Ntinda'!M51)</f>
        <v>78.714285714285708</v>
      </c>
      <c r="N51" s="49">
        <f>AVERAGE('29.07 Naalya-Ntinda'!N51,'30.07 Naalya-Ntinda'!N51,'31.07 Naalya-Ntinda'!N51,'02.08 Naalya-Ntinda'!N51,'01.08 Naalya-Ntinda 24h'!N51,'03.08 Naalya-Ntinda-24h'!N51,'04.08 Naalya-Ntinda'!N51)</f>
        <v>0</v>
      </c>
      <c r="O51" s="15">
        <f t="shared" si="0"/>
        <v>158.28571428571428</v>
      </c>
      <c r="P51" s="15">
        <f t="shared" si="1"/>
        <v>237</v>
      </c>
      <c r="R51" s="8"/>
      <c r="T51"/>
    </row>
    <row r="52" spans="2:20" ht="23.1" customHeight="1" x14ac:dyDescent="0.25">
      <c r="B52" s="24" t="s">
        <v>79</v>
      </c>
      <c r="C52" s="49">
        <f>AVERAGE('29.07 Naalya-Ntinda'!C52,'30.07 Naalya-Ntinda'!C52,'31.07 Naalya-Ntinda'!C52,'02.08 Naalya-Ntinda'!C52,'01.08 Naalya-Ntinda 24h'!C52,'03.08 Naalya-Ntinda-24h'!C52,'04.08 Naalya-Ntinda'!C52)</f>
        <v>71.428571428571431</v>
      </c>
      <c r="D52" s="49">
        <f>AVERAGE('29.07 Naalya-Ntinda'!D52,'30.07 Naalya-Ntinda'!D52,'31.07 Naalya-Ntinda'!D52,'02.08 Naalya-Ntinda'!D52,'01.08 Naalya-Ntinda 24h'!D52,'03.08 Naalya-Ntinda-24h'!D52,'04.08 Naalya-Ntinda'!D52)</f>
        <v>51.714285714285715</v>
      </c>
      <c r="E52" s="49">
        <f>AVERAGE('29.07 Naalya-Ntinda'!E52,'30.07 Naalya-Ntinda'!E52,'31.07 Naalya-Ntinda'!E52,'02.08 Naalya-Ntinda'!E52,'01.08 Naalya-Ntinda 24h'!E52,'03.08 Naalya-Ntinda-24h'!E52,'04.08 Naalya-Ntinda'!E52)</f>
        <v>11.142857142857142</v>
      </c>
      <c r="F52" s="49">
        <f>AVERAGE('29.07 Naalya-Ntinda'!F52,'30.07 Naalya-Ntinda'!F52,'31.07 Naalya-Ntinda'!F52,'02.08 Naalya-Ntinda'!F52,'01.08 Naalya-Ntinda 24h'!F52,'03.08 Naalya-Ntinda-24h'!F52,'04.08 Naalya-Ntinda'!F52)</f>
        <v>10</v>
      </c>
      <c r="G52" s="49">
        <f>AVERAGE('29.07 Naalya-Ntinda'!G52,'30.07 Naalya-Ntinda'!G52,'31.07 Naalya-Ntinda'!G52,'02.08 Naalya-Ntinda'!G52,'01.08 Naalya-Ntinda 24h'!G52,'03.08 Naalya-Ntinda-24h'!G52,'04.08 Naalya-Ntinda'!G52)</f>
        <v>1.5714285714285714</v>
      </c>
      <c r="H52" s="49">
        <f>AVERAGE('29.07 Naalya-Ntinda'!H52,'30.07 Naalya-Ntinda'!H52,'31.07 Naalya-Ntinda'!H52,'02.08 Naalya-Ntinda'!H52,'01.08 Naalya-Ntinda 24h'!H52,'03.08 Naalya-Ntinda-24h'!H52,'04.08 Naalya-Ntinda'!H52)</f>
        <v>0.7142857142857143</v>
      </c>
      <c r="I52" s="49">
        <f>AVERAGE('29.07 Naalya-Ntinda'!I52,'30.07 Naalya-Ntinda'!I52,'31.07 Naalya-Ntinda'!I52,'02.08 Naalya-Ntinda'!I52,'01.08 Naalya-Ntinda 24h'!I52,'03.08 Naalya-Ntinda-24h'!I52,'04.08 Naalya-Ntinda'!I52)</f>
        <v>3.5714285714285716</v>
      </c>
      <c r="J52" s="49">
        <f>AVERAGE('29.07 Naalya-Ntinda'!J52,'30.07 Naalya-Ntinda'!J52,'31.07 Naalya-Ntinda'!J52,'02.08 Naalya-Ntinda'!J52,'01.08 Naalya-Ntinda 24h'!J52,'03.08 Naalya-Ntinda-24h'!J52,'04.08 Naalya-Ntinda'!J52)</f>
        <v>1</v>
      </c>
      <c r="K52" s="49">
        <f>AVERAGE('29.07 Naalya-Ntinda'!K52,'30.07 Naalya-Ntinda'!K52,'31.07 Naalya-Ntinda'!K52,'02.08 Naalya-Ntinda'!K52,'01.08 Naalya-Ntinda 24h'!K52,'03.08 Naalya-Ntinda-24h'!K52,'04.08 Naalya-Ntinda'!K52)</f>
        <v>0.7142857142857143</v>
      </c>
      <c r="L52" s="49">
        <f>AVERAGE('29.07 Naalya-Ntinda'!L52,'30.07 Naalya-Ntinda'!L52,'31.07 Naalya-Ntinda'!L52,'02.08 Naalya-Ntinda'!L52,'01.08 Naalya-Ntinda 24h'!L52,'03.08 Naalya-Ntinda-24h'!L52,'04.08 Naalya-Ntinda'!L52)</f>
        <v>0.14285714285714285</v>
      </c>
      <c r="M52" s="49">
        <f>AVERAGE('29.07 Naalya-Ntinda'!M52,'30.07 Naalya-Ntinda'!M52,'31.07 Naalya-Ntinda'!M52,'02.08 Naalya-Ntinda'!M52,'01.08 Naalya-Ntinda 24h'!M52,'03.08 Naalya-Ntinda-24h'!M52,'04.08 Naalya-Ntinda'!M52)</f>
        <v>81.571428571428569</v>
      </c>
      <c r="N52" s="49">
        <f>AVERAGE('29.07 Naalya-Ntinda'!N52,'30.07 Naalya-Ntinda'!N52,'31.07 Naalya-Ntinda'!N52,'02.08 Naalya-Ntinda'!N52,'01.08 Naalya-Ntinda 24h'!N52,'03.08 Naalya-Ntinda-24h'!N52,'04.08 Naalya-Ntinda'!N52)</f>
        <v>0</v>
      </c>
      <c r="O52" s="15">
        <f t="shared" si="0"/>
        <v>152.00000000000003</v>
      </c>
      <c r="P52" s="15">
        <f t="shared" si="1"/>
        <v>233.57142857142861</v>
      </c>
      <c r="R52" s="8"/>
      <c r="T52"/>
    </row>
    <row r="53" spans="2:20" ht="23.1" customHeight="1" x14ac:dyDescent="0.25">
      <c r="B53" s="23" t="s">
        <v>80</v>
      </c>
      <c r="C53" s="49">
        <f>AVERAGE('29.07 Naalya-Ntinda'!C53,'30.07 Naalya-Ntinda'!C53,'31.07 Naalya-Ntinda'!C53,'02.08 Naalya-Ntinda'!C53,'01.08 Naalya-Ntinda 24h'!C53,'03.08 Naalya-Ntinda-24h'!C53,'04.08 Naalya-Ntinda'!C53)</f>
        <v>66.142857142857139</v>
      </c>
      <c r="D53" s="49">
        <f>AVERAGE('29.07 Naalya-Ntinda'!D53,'30.07 Naalya-Ntinda'!D53,'31.07 Naalya-Ntinda'!D53,'02.08 Naalya-Ntinda'!D53,'01.08 Naalya-Ntinda 24h'!D53,'03.08 Naalya-Ntinda-24h'!D53,'04.08 Naalya-Ntinda'!D53)</f>
        <v>42</v>
      </c>
      <c r="E53" s="49">
        <f>AVERAGE('29.07 Naalya-Ntinda'!E53,'30.07 Naalya-Ntinda'!E53,'31.07 Naalya-Ntinda'!E53,'02.08 Naalya-Ntinda'!E53,'01.08 Naalya-Ntinda 24h'!E53,'03.08 Naalya-Ntinda-24h'!E53,'04.08 Naalya-Ntinda'!E53)</f>
        <v>6.5714285714285712</v>
      </c>
      <c r="F53" s="49">
        <f>AVERAGE('29.07 Naalya-Ntinda'!F53,'30.07 Naalya-Ntinda'!F53,'31.07 Naalya-Ntinda'!F53,'02.08 Naalya-Ntinda'!F53,'01.08 Naalya-Ntinda 24h'!F53,'03.08 Naalya-Ntinda-24h'!F53,'04.08 Naalya-Ntinda'!F53)</f>
        <v>8.1428571428571423</v>
      </c>
      <c r="G53" s="49">
        <f>AVERAGE('29.07 Naalya-Ntinda'!G53,'30.07 Naalya-Ntinda'!G53,'31.07 Naalya-Ntinda'!G53,'02.08 Naalya-Ntinda'!G53,'01.08 Naalya-Ntinda 24h'!G53,'03.08 Naalya-Ntinda-24h'!G53,'04.08 Naalya-Ntinda'!G53)</f>
        <v>0.8571428571428571</v>
      </c>
      <c r="H53" s="49">
        <f>AVERAGE('29.07 Naalya-Ntinda'!H53,'30.07 Naalya-Ntinda'!H53,'31.07 Naalya-Ntinda'!H53,'02.08 Naalya-Ntinda'!H53,'01.08 Naalya-Ntinda 24h'!H53,'03.08 Naalya-Ntinda-24h'!H53,'04.08 Naalya-Ntinda'!H53)</f>
        <v>0.2857142857142857</v>
      </c>
      <c r="I53" s="49">
        <f>AVERAGE('29.07 Naalya-Ntinda'!I53,'30.07 Naalya-Ntinda'!I53,'31.07 Naalya-Ntinda'!I53,'02.08 Naalya-Ntinda'!I53,'01.08 Naalya-Ntinda 24h'!I53,'03.08 Naalya-Ntinda-24h'!I53,'04.08 Naalya-Ntinda'!I53)</f>
        <v>1.8571428571428572</v>
      </c>
      <c r="J53" s="49">
        <f>AVERAGE('29.07 Naalya-Ntinda'!J53,'30.07 Naalya-Ntinda'!J53,'31.07 Naalya-Ntinda'!J53,'02.08 Naalya-Ntinda'!J53,'01.08 Naalya-Ntinda 24h'!J53,'03.08 Naalya-Ntinda-24h'!J53,'04.08 Naalya-Ntinda'!J53)</f>
        <v>1</v>
      </c>
      <c r="K53" s="49">
        <f>AVERAGE('29.07 Naalya-Ntinda'!K53,'30.07 Naalya-Ntinda'!K53,'31.07 Naalya-Ntinda'!K53,'02.08 Naalya-Ntinda'!K53,'01.08 Naalya-Ntinda 24h'!K53,'03.08 Naalya-Ntinda-24h'!K53,'04.08 Naalya-Ntinda'!K53)</f>
        <v>0</v>
      </c>
      <c r="L53" s="49">
        <f>AVERAGE('29.07 Naalya-Ntinda'!L53,'30.07 Naalya-Ntinda'!L53,'31.07 Naalya-Ntinda'!L53,'02.08 Naalya-Ntinda'!L53,'01.08 Naalya-Ntinda 24h'!L53,'03.08 Naalya-Ntinda-24h'!L53,'04.08 Naalya-Ntinda'!L53)</f>
        <v>0.14285714285714285</v>
      </c>
      <c r="M53" s="49">
        <f>AVERAGE('29.07 Naalya-Ntinda'!M53,'30.07 Naalya-Ntinda'!M53,'31.07 Naalya-Ntinda'!M53,'02.08 Naalya-Ntinda'!M53,'01.08 Naalya-Ntinda 24h'!M53,'03.08 Naalya-Ntinda-24h'!M53,'04.08 Naalya-Ntinda'!M53)</f>
        <v>84.285714285714292</v>
      </c>
      <c r="N53" s="49">
        <f>AVERAGE('29.07 Naalya-Ntinda'!N53,'30.07 Naalya-Ntinda'!N53,'31.07 Naalya-Ntinda'!N53,'02.08 Naalya-Ntinda'!N53,'01.08 Naalya-Ntinda 24h'!N53,'03.08 Naalya-Ntinda-24h'!N53,'04.08 Naalya-Ntinda'!N53)</f>
        <v>0</v>
      </c>
      <c r="O53" s="15">
        <f t="shared" si="0"/>
        <v>127</v>
      </c>
      <c r="P53" s="15">
        <f t="shared" si="1"/>
        <v>211.28571428571428</v>
      </c>
      <c r="R53" s="8"/>
      <c r="T53"/>
    </row>
    <row r="54" spans="2:20" ht="23.1" customHeight="1" x14ac:dyDescent="0.25">
      <c r="B54" s="23" t="s">
        <v>81</v>
      </c>
      <c r="C54" s="49">
        <f>AVERAGE('29.07 Naalya-Ntinda'!C54,'30.07 Naalya-Ntinda'!C54,'31.07 Naalya-Ntinda'!C54,'02.08 Naalya-Ntinda'!C54,'01.08 Naalya-Ntinda 24h'!C54,'03.08 Naalya-Ntinda-24h'!C54,'04.08 Naalya-Ntinda'!C54)</f>
        <v>59.857142857142854</v>
      </c>
      <c r="D54" s="49">
        <f>AVERAGE('29.07 Naalya-Ntinda'!D54,'30.07 Naalya-Ntinda'!D54,'31.07 Naalya-Ntinda'!D54,'02.08 Naalya-Ntinda'!D54,'01.08 Naalya-Ntinda 24h'!D54,'03.08 Naalya-Ntinda-24h'!D54,'04.08 Naalya-Ntinda'!D54)</f>
        <v>36</v>
      </c>
      <c r="E54" s="49">
        <f>AVERAGE('29.07 Naalya-Ntinda'!E54,'30.07 Naalya-Ntinda'!E54,'31.07 Naalya-Ntinda'!E54,'02.08 Naalya-Ntinda'!E54,'01.08 Naalya-Ntinda 24h'!E54,'03.08 Naalya-Ntinda-24h'!E54,'04.08 Naalya-Ntinda'!E54)</f>
        <v>10</v>
      </c>
      <c r="F54" s="49">
        <f>AVERAGE('29.07 Naalya-Ntinda'!F54,'30.07 Naalya-Ntinda'!F54,'31.07 Naalya-Ntinda'!F54,'02.08 Naalya-Ntinda'!F54,'01.08 Naalya-Ntinda 24h'!F54,'03.08 Naalya-Ntinda-24h'!F54,'04.08 Naalya-Ntinda'!F54)</f>
        <v>9.8571428571428577</v>
      </c>
      <c r="G54" s="49">
        <f>AVERAGE('29.07 Naalya-Ntinda'!G54,'30.07 Naalya-Ntinda'!G54,'31.07 Naalya-Ntinda'!G54,'02.08 Naalya-Ntinda'!G54,'01.08 Naalya-Ntinda 24h'!G54,'03.08 Naalya-Ntinda-24h'!G54,'04.08 Naalya-Ntinda'!G54)</f>
        <v>0.14285714285714285</v>
      </c>
      <c r="H54" s="49">
        <f>AVERAGE('29.07 Naalya-Ntinda'!H54,'30.07 Naalya-Ntinda'!H54,'31.07 Naalya-Ntinda'!H54,'02.08 Naalya-Ntinda'!H54,'01.08 Naalya-Ntinda 24h'!H54,'03.08 Naalya-Ntinda-24h'!H54,'04.08 Naalya-Ntinda'!H54)</f>
        <v>0.5714285714285714</v>
      </c>
      <c r="I54" s="49">
        <f>AVERAGE('29.07 Naalya-Ntinda'!I54,'30.07 Naalya-Ntinda'!I54,'31.07 Naalya-Ntinda'!I54,'02.08 Naalya-Ntinda'!I54,'01.08 Naalya-Ntinda 24h'!I54,'03.08 Naalya-Ntinda-24h'!I54,'04.08 Naalya-Ntinda'!I54)</f>
        <v>2</v>
      </c>
      <c r="J54" s="49">
        <f>AVERAGE('29.07 Naalya-Ntinda'!J54,'30.07 Naalya-Ntinda'!J54,'31.07 Naalya-Ntinda'!J54,'02.08 Naalya-Ntinda'!J54,'01.08 Naalya-Ntinda 24h'!J54,'03.08 Naalya-Ntinda-24h'!J54,'04.08 Naalya-Ntinda'!J54)</f>
        <v>1.1428571428571428</v>
      </c>
      <c r="K54" s="49">
        <f>AVERAGE('29.07 Naalya-Ntinda'!K54,'30.07 Naalya-Ntinda'!K54,'31.07 Naalya-Ntinda'!K54,'02.08 Naalya-Ntinda'!K54,'01.08 Naalya-Ntinda 24h'!K54,'03.08 Naalya-Ntinda-24h'!K54,'04.08 Naalya-Ntinda'!K54)</f>
        <v>0.7142857142857143</v>
      </c>
      <c r="L54" s="49">
        <f>AVERAGE('29.07 Naalya-Ntinda'!L54,'30.07 Naalya-Ntinda'!L54,'31.07 Naalya-Ntinda'!L54,'02.08 Naalya-Ntinda'!L54,'01.08 Naalya-Ntinda 24h'!L54,'03.08 Naalya-Ntinda-24h'!L54,'04.08 Naalya-Ntinda'!L54)</f>
        <v>0.2857142857142857</v>
      </c>
      <c r="M54" s="49">
        <f>AVERAGE('29.07 Naalya-Ntinda'!M54,'30.07 Naalya-Ntinda'!M54,'31.07 Naalya-Ntinda'!M54,'02.08 Naalya-Ntinda'!M54,'01.08 Naalya-Ntinda 24h'!M54,'03.08 Naalya-Ntinda-24h'!M54,'04.08 Naalya-Ntinda'!M54)</f>
        <v>77.714285714285708</v>
      </c>
      <c r="N54" s="49">
        <f>AVERAGE('29.07 Naalya-Ntinda'!N54,'30.07 Naalya-Ntinda'!N54,'31.07 Naalya-Ntinda'!N54,'02.08 Naalya-Ntinda'!N54,'01.08 Naalya-Ntinda 24h'!N54,'03.08 Naalya-Ntinda-24h'!N54,'04.08 Naalya-Ntinda'!N54)</f>
        <v>0</v>
      </c>
      <c r="O54" s="15">
        <f t="shared" si="0"/>
        <v>120.57142857142857</v>
      </c>
      <c r="P54" s="15">
        <f t="shared" si="1"/>
        <v>198.28571428571428</v>
      </c>
      <c r="R54" s="8"/>
      <c r="T54"/>
    </row>
    <row r="55" spans="2:20" ht="23.1" customHeight="1" x14ac:dyDescent="0.25">
      <c r="B55" s="23" t="s">
        <v>82</v>
      </c>
      <c r="C55" s="49">
        <f>AVERAGE('29.07 Naalya-Ntinda'!C55,'30.07 Naalya-Ntinda'!C55,'31.07 Naalya-Ntinda'!C55,'02.08 Naalya-Ntinda'!C55,'01.08 Naalya-Ntinda 24h'!C55,'03.08 Naalya-Ntinda-24h'!C55,'04.08 Naalya-Ntinda'!C55)</f>
        <v>60.285714285714285</v>
      </c>
      <c r="D55" s="49">
        <f>AVERAGE('29.07 Naalya-Ntinda'!D55,'30.07 Naalya-Ntinda'!D55,'31.07 Naalya-Ntinda'!D55,'02.08 Naalya-Ntinda'!D55,'01.08 Naalya-Ntinda 24h'!D55,'03.08 Naalya-Ntinda-24h'!D55,'04.08 Naalya-Ntinda'!D55)</f>
        <v>43.285714285714285</v>
      </c>
      <c r="E55" s="49">
        <f>AVERAGE('29.07 Naalya-Ntinda'!E55,'30.07 Naalya-Ntinda'!E55,'31.07 Naalya-Ntinda'!E55,'02.08 Naalya-Ntinda'!E55,'01.08 Naalya-Ntinda 24h'!E55,'03.08 Naalya-Ntinda-24h'!E55,'04.08 Naalya-Ntinda'!E55)</f>
        <v>6.2857142857142856</v>
      </c>
      <c r="F55" s="49">
        <f>AVERAGE('29.07 Naalya-Ntinda'!F55,'30.07 Naalya-Ntinda'!F55,'31.07 Naalya-Ntinda'!F55,'02.08 Naalya-Ntinda'!F55,'01.08 Naalya-Ntinda 24h'!F55,'03.08 Naalya-Ntinda-24h'!F55,'04.08 Naalya-Ntinda'!F55)</f>
        <v>10.571428571428571</v>
      </c>
      <c r="G55" s="49">
        <f>AVERAGE('29.07 Naalya-Ntinda'!G55,'30.07 Naalya-Ntinda'!G55,'31.07 Naalya-Ntinda'!G55,'02.08 Naalya-Ntinda'!G55,'01.08 Naalya-Ntinda 24h'!G55,'03.08 Naalya-Ntinda-24h'!G55,'04.08 Naalya-Ntinda'!G55)</f>
        <v>0.8571428571428571</v>
      </c>
      <c r="H55" s="49">
        <f>AVERAGE('29.07 Naalya-Ntinda'!H55,'30.07 Naalya-Ntinda'!H55,'31.07 Naalya-Ntinda'!H55,'02.08 Naalya-Ntinda'!H55,'01.08 Naalya-Ntinda 24h'!H55,'03.08 Naalya-Ntinda-24h'!H55,'04.08 Naalya-Ntinda'!H55)</f>
        <v>1.2857142857142858</v>
      </c>
      <c r="I55" s="49">
        <f>AVERAGE('29.07 Naalya-Ntinda'!I55,'30.07 Naalya-Ntinda'!I55,'31.07 Naalya-Ntinda'!I55,'02.08 Naalya-Ntinda'!I55,'01.08 Naalya-Ntinda 24h'!I55,'03.08 Naalya-Ntinda-24h'!I55,'04.08 Naalya-Ntinda'!I55)</f>
        <v>1.7142857142857142</v>
      </c>
      <c r="J55" s="49">
        <f>AVERAGE('29.07 Naalya-Ntinda'!J55,'30.07 Naalya-Ntinda'!J55,'31.07 Naalya-Ntinda'!J55,'02.08 Naalya-Ntinda'!J55,'01.08 Naalya-Ntinda 24h'!J55,'03.08 Naalya-Ntinda-24h'!J55,'04.08 Naalya-Ntinda'!J55)</f>
        <v>1.1428571428571428</v>
      </c>
      <c r="K55" s="49">
        <f>AVERAGE('29.07 Naalya-Ntinda'!K55,'30.07 Naalya-Ntinda'!K55,'31.07 Naalya-Ntinda'!K55,'02.08 Naalya-Ntinda'!K55,'01.08 Naalya-Ntinda 24h'!K55,'03.08 Naalya-Ntinda-24h'!K55,'04.08 Naalya-Ntinda'!K55)</f>
        <v>0.2857142857142857</v>
      </c>
      <c r="L55" s="49">
        <f>AVERAGE('29.07 Naalya-Ntinda'!L55,'30.07 Naalya-Ntinda'!L55,'31.07 Naalya-Ntinda'!L55,'02.08 Naalya-Ntinda'!L55,'01.08 Naalya-Ntinda 24h'!L55,'03.08 Naalya-Ntinda-24h'!L55,'04.08 Naalya-Ntinda'!L55)</f>
        <v>0.2857142857142857</v>
      </c>
      <c r="M55" s="49">
        <f>AVERAGE('29.07 Naalya-Ntinda'!M55,'30.07 Naalya-Ntinda'!M55,'31.07 Naalya-Ntinda'!M55,'02.08 Naalya-Ntinda'!M55,'01.08 Naalya-Ntinda 24h'!M55,'03.08 Naalya-Ntinda-24h'!M55,'04.08 Naalya-Ntinda'!M55)</f>
        <v>82.857142857142861</v>
      </c>
      <c r="N55" s="49">
        <f>AVERAGE('29.07 Naalya-Ntinda'!N55,'30.07 Naalya-Ntinda'!N55,'31.07 Naalya-Ntinda'!N55,'02.08 Naalya-Ntinda'!N55,'01.08 Naalya-Ntinda 24h'!N55,'03.08 Naalya-Ntinda-24h'!N55,'04.08 Naalya-Ntinda'!N55)</f>
        <v>0</v>
      </c>
      <c r="O55" s="15">
        <f t="shared" si="0"/>
        <v>126.00000000000001</v>
      </c>
      <c r="P55" s="15">
        <f t="shared" si="1"/>
        <v>208.85714285714289</v>
      </c>
      <c r="R55" s="8"/>
      <c r="T55"/>
    </row>
    <row r="56" spans="2:20" ht="23.1" customHeight="1" x14ac:dyDescent="0.25">
      <c r="B56" s="23" t="s">
        <v>83</v>
      </c>
      <c r="C56" s="49">
        <f>AVERAGE('29.07 Naalya-Ntinda'!C56,'30.07 Naalya-Ntinda'!C56,'31.07 Naalya-Ntinda'!C56,'02.08 Naalya-Ntinda'!C56,'01.08 Naalya-Ntinda 24h'!C56,'03.08 Naalya-Ntinda-24h'!C56,'04.08 Naalya-Ntinda'!C56)</f>
        <v>51.571428571428569</v>
      </c>
      <c r="D56" s="49">
        <f>AVERAGE('29.07 Naalya-Ntinda'!D56,'30.07 Naalya-Ntinda'!D56,'31.07 Naalya-Ntinda'!D56,'02.08 Naalya-Ntinda'!D56,'01.08 Naalya-Ntinda 24h'!D56,'03.08 Naalya-Ntinda-24h'!D56,'04.08 Naalya-Ntinda'!D56)</f>
        <v>41.714285714285715</v>
      </c>
      <c r="E56" s="49">
        <f>AVERAGE('29.07 Naalya-Ntinda'!E56,'30.07 Naalya-Ntinda'!E56,'31.07 Naalya-Ntinda'!E56,'02.08 Naalya-Ntinda'!E56,'01.08 Naalya-Ntinda 24h'!E56,'03.08 Naalya-Ntinda-24h'!E56,'04.08 Naalya-Ntinda'!E56)</f>
        <v>6.7142857142857144</v>
      </c>
      <c r="F56" s="49">
        <f>AVERAGE('29.07 Naalya-Ntinda'!F56,'30.07 Naalya-Ntinda'!F56,'31.07 Naalya-Ntinda'!F56,'02.08 Naalya-Ntinda'!F56,'01.08 Naalya-Ntinda 24h'!F56,'03.08 Naalya-Ntinda-24h'!F56,'04.08 Naalya-Ntinda'!F56)</f>
        <v>6.8571428571428568</v>
      </c>
      <c r="G56" s="49">
        <f>AVERAGE('29.07 Naalya-Ntinda'!G56,'30.07 Naalya-Ntinda'!G56,'31.07 Naalya-Ntinda'!G56,'02.08 Naalya-Ntinda'!G56,'01.08 Naalya-Ntinda 24h'!G56,'03.08 Naalya-Ntinda-24h'!G56,'04.08 Naalya-Ntinda'!G56)</f>
        <v>0.42857142857142855</v>
      </c>
      <c r="H56" s="49">
        <f>AVERAGE('29.07 Naalya-Ntinda'!H56,'30.07 Naalya-Ntinda'!H56,'31.07 Naalya-Ntinda'!H56,'02.08 Naalya-Ntinda'!H56,'01.08 Naalya-Ntinda 24h'!H56,'03.08 Naalya-Ntinda-24h'!H56,'04.08 Naalya-Ntinda'!H56)</f>
        <v>0.14285714285714285</v>
      </c>
      <c r="I56" s="49">
        <f>AVERAGE('29.07 Naalya-Ntinda'!I56,'30.07 Naalya-Ntinda'!I56,'31.07 Naalya-Ntinda'!I56,'02.08 Naalya-Ntinda'!I56,'01.08 Naalya-Ntinda 24h'!I56,'03.08 Naalya-Ntinda-24h'!I56,'04.08 Naalya-Ntinda'!I56)</f>
        <v>1.2857142857142858</v>
      </c>
      <c r="J56" s="49">
        <f>AVERAGE('29.07 Naalya-Ntinda'!J56,'30.07 Naalya-Ntinda'!J56,'31.07 Naalya-Ntinda'!J56,'02.08 Naalya-Ntinda'!J56,'01.08 Naalya-Ntinda 24h'!J56,'03.08 Naalya-Ntinda-24h'!J56,'04.08 Naalya-Ntinda'!J56)</f>
        <v>1</v>
      </c>
      <c r="K56" s="49">
        <f>AVERAGE('29.07 Naalya-Ntinda'!K56,'30.07 Naalya-Ntinda'!K56,'31.07 Naalya-Ntinda'!K56,'02.08 Naalya-Ntinda'!K56,'01.08 Naalya-Ntinda 24h'!K56,'03.08 Naalya-Ntinda-24h'!K56,'04.08 Naalya-Ntinda'!K56)</f>
        <v>0</v>
      </c>
      <c r="L56" s="49">
        <f>AVERAGE('29.07 Naalya-Ntinda'!L56,'30.07 Naalya-Ntinda'!L56,'31.07 Naalya-Ntinda'!L56,'02.08 Naalya-Ntinda'!L56,'01.08 Naalya-Ntinda 24h'!L56,'03.08 Naalya-Ntinda-24h'!L56,'04.08 Naalya-Ntinda'!L56)</f>
        <v>0.14285714285714285</v>
      </c>
      <c r="M56" s="49">
        <f>AVERAGE('29.07 Naalya-Ntinda'!M56,'30.07 Naalya-Ntinda'!M56,'31.07 Naalya-Ntinda'!M56,'02.08 Naalya-Ntinda'!M56,'01.08 Naalya-Ntinda 24h'!M56,'03.08 Naalya-Ntinda-24h'!M56,'04.08 Naalya-Ntinda'!M56)</f>
        <v>96.142857142857139</v>
      </c>
      <c r="N56" s="49">
        <f>AVERAGE('29.07 Naalya-Ntinda'!N56,'30.07 Naalya-Ntinda'!N56,'31.07 Naalya-Ntinda'!N56,'02.08 Naalya-Ntinda'!N56,'01.08 Naalya-Ntinda 24h'!N56,'03.08 Naalya-Ntinda-24h'!N56,'04.08 Naalya-Ntinda'!N56)</f>
        <v>0</v>
      </c>
      <c r="O56" s="15">
        <f t="shared" si="0"/>
        <v>109.85714285714285</v>
      </c>
      <c r="P56" s="15">
        <f t="shared" si="1"/>
        <v>206</v>
      </c>
      <c r="R56" s="8"/>
      <c r="T56"/>
    </row>
    <row r="57" spans="2:20" ht="23.1" customHeight="1" x14ac:dyDescent="0.25">
      <c r="B57" s="23" t="s">
        <v>84</v>
      </c>
      <c r="C57" s="49">
        <f>AVERAGE('29.07 Naalya-Ntinda'!C57,'30.07 Naalya-Ntinda'!C57,'31.07 Naalya-Ntinda'!C57,'02.08 Naalya-Ntinda'!C57,'01.08 Naalya-Ntinda 24h'!C57,'03.08 Naalya-Ntinda-24h'!C57,'04.08 Naalya-Ntinda'!C57)</f>
        <v>55</v>
      </c>
      <c r="D57" s="49">
        <f>AVERAGE('29.07 Naalya-Ntinda'!D57,'30.07 Naalya-Ntinda'!D57,'31.07 Naalya-Ntinda'!D57,'02.08 Naalya-Ntinda'!D57,'01.08 Naalya-Ntinda 24h'!D57,'03.08 Naalya-Ntinda-24h'!D57,'04.08 Naalya-Ntinda'!D57)</f>
        <v>43.428571428571431</v>
      </c>
      <c r="E57" s="49">
        <f>AVERAGE('29.07 Naalya-Ntinda'!E57,'30.07 Naalya-Ntinda'!E57,'31.07 Naalya-Ntinda'!E57,'02.08 Naalya-Ntinda'!E57,'01.08 Naalya-Ntinda 24h'!E57,'03.08 Naalya-Ntinda-24h'!E57,'04.08 Naalya-Ntinda'!E57)</f>
        <v>5</v>
      </c>
      <c r="F57" s="49">
        <f>AVERAGE('29.07 Naalya-Ntinda'!F57,'30.07 Naalya-Ntinda'!F57,'31.07 Naalya-Ntinda'!F57,'02.08 Naalya-Ntinda'!F57,'01.08 Naalya-Ntinda 24h'!F57,'03.08 Naalya-Ntinda-24h'!F57,'04.08 Naalya-Ntinda'!F57)</f>
        <v>5.4285714285714288</v>
      </c>
      <c r="G57" s="49">
        <f>AVERAGE('29.07 Naalya-Ntinda'!G57,'30.07 Naalya-Ntinda'!G57,'31.07 Naalya-Ntinda'!G57,'02.08 Naalya-Ntinda'!G57,'01.08 Naalya-Ntinda 24h'!G57,'03.08 Naalya-Ntinda-24h'!G57,'04.08 Naalya-Ntinda'!G57)</f>
        <v>0.5714285714285714</v>
      </c>
      <c r="H57" s="49">
        <f>AVERAGE('29.07 Naalya-Ntinda'!H57,'30.07 Naalya-Ntinda'!H57,'31.07 Naalya-Ntinda'!H57,'02.08 Naalya-Ntinda'!H57,'01.08 Naalya-Ntinda 24h'!H57,'03.08 Naalya-Ntinda-24h'!H57,'04.08 Naalya-Ntinda'!H57)</f>
        <v>0.2857142857142857</v>
      </c>
      <c r="I57" s="49">
        <f>AVERAGE('29.07 Naalya-Ntinda'!I57,'30.07 Naalya-Ntinda'!I57,'31.07 Naalya-Ntinda'!I57,'02.08 Naalya-Ntinda'!I57,'01.08 Naalya-Ntinda 24h'!I57,'03.08 Naalya-Ntinda-24h'!I57,'04.08 Naalya-Ntinda'!I57)</f>
        <v>1.8571428571428572</v>
      </c>
      <c r="J57" s="49">
        <f>AVERAGE('29.07 Naalya-Ntinda'!J57,'30.07 Naalya-Ntinda'!J57,'31.07 Naalya-Ntinda'!J57,'02.08 Naalya-Ntinda'!J57,'01.08 Naalya-Ntinda 24h'!J57,'03.08 Naalya-Ntinda-24h'!J57,'04.08 Naalya-Ntinda'!J57)</f>
        <v>1</v>
      </c>
      <c r="K57" s="49">
        <f>AVERAGE('29.07 Naalya-Ntinda'!K57,'30.07 Naalya-Ntinda'!K57,'31.07 Naalya-Ntinda'!K57,'02.08 Naalya-Ntinda'!K57,'01.08 Naalya-Ntinda 24h'!K57,'03.08 Naalya-Ntinda-24h'!K57,'04.08 Naalya-Ntinda'!K57)</f>
        <v>0.14285714285714285</v>
      </c>
      <c r="L57" s="49">
        <f>AVERAGE('29.07 Naalya-Ntinda'!L57,'30.07 Naalya-Ntinda'!L57,'31.07 Naalya-Ntinda'!L57,'02.08 Naalya-Ntinda'!L57,'01.08 Naalya-Ntinda 24h'!L57,'03.08 Naalya-Ntinda-24h'!L57,'04.08 Naalya-Ntinda'!L57)</f>
        <v>0.14285714285714285</v>
      </c>
      <c r="M57" s="49">
        <f>AVERAGE('29.07 Naalya-Ntinda'!M57,'30.07 Naalya-Ntinda'!M57,'31.07 Naalya-Ntinda'!M57,'02.08 Naalya-Ntinda'!M57,'01.08 Naalya-Ntinda 24h'!M57,'03.08 Naalya-Ntinda-24h'!M57,'04.08 Naalya-Ntinda'!M57)</f>
        <v>92.285714285714292</v>
      </c>
      <c r="N57" s="49">
        <f>AVERAGE('29.07 Naalya-Ntinda'!N57,'30.07 Naalya-Ntinda'!N57,'31.07 Naalya-Ntinda'!N57,'02.08 Naalya-Ntinda'!N57,'01.08 Naalya-Ntinda 24h'!N57,'03.08 Naalya-Ntinda-24h'!N57,'04.08 Naalya-Ntinda'!N57)</f>
        <v>0</v>
      </c>
      <c r="O57" s="15">
        <f t="shared" si="0"/>
        <v>112.85714285714286</v>
      </c>
      <c r="P57" s="15">
        <f t="shared" si="1"/>
        <v>205.14285714285717</v>
      </c>
      <c r="R57" s="8"/>
      <c r="T57"/>
    </row>
    <row r="58" spans="2:20" ht="23.1" customHeight="1" x14ac:dyDescent="0.25">
      <c r="B58" s="23" t="s">
        <v>99</v>
      </c>
      <c r="C58" s="49">
        <f>AVERAGE('01.08 Naalya-Ntinda 24h'!C58,'03.08 Naalya-Ntinda-24h'!C58)</f>
        <v>52</v>
      </c>
      <c r="D58" s="49">
        <f>AVERAGE('01.08 Naalya-Ntinda 24h'!D58,'03.08 Naalya-Ntinda-24h'!D58)</f>
        <v>25.5</v>
      </c>
      <c r="E58" s="49">
        <f>AVERAGE('01.08 Naalya-Ntinda 24h'!E58,'03.08 Naalya-Ntinda-24h'!E58)</f>
        <v>12.5</v>
      </c>
      <c r="F58" s="49">
        <f>AVERAGE('01.08 Naalya-Ntinda 24h'!F58,'03.08 Naalya-Ntinda-24h'!F58)</f>
        <v>8</v>
      </c>
      <c r="G58" s="49">
        <f>AVERAGE('01.08 Naalya-Ntinda 24h'!G58,'03.08 Naalya-Ntinda-24h'!G58)</f>
        <v>0.5</v>
      </c>
      <c r="H58" s="49">
        <f>AVERAGE('01.08 Naalya-Ntinda 24h'!H58,'03.08 Naalya-Ntinda-24h'!H58)</f>
        <v>0</v>
      </c>
      <c r="I58" s="49">
        <f>AVERAGE('01.08 Naalya-Ntinda 24h'!I58,'03.08 Naalya-Ntinda-24h'!I58)</f>
        <v>0.5</v>
      </c>
      <c r="J58" s="49">
        <f>AVERAGE('01.08 Naalya-Ntinda 24h'!J58,'03.08 Naalya-Ntinda-24h'!J58)</f>
        <v>2.5</v>
      </c>
      <c r="K58" s="49">
        <f>AVERAGE('01.08 Naalya-Ntinda 24h'!K58,'03.08 Naalya-Ntinda-24h'!K58)</f>
        <v>0</v>
      </c>
      <c r="L58" s="49">
        <f>AVERAGE('01.08 Naalya-Ntinda 24h'!L58,'03.08 Naalya-Ntinda-24h'!L58)</f>
        <v>0.5</v>
      </c>
      <c r="M58" s="49">
        <f>AVERAGE('01.08 Naalya-Ntinda 24h'!M58,'03.08 Naalya-Ntinda-24h'!M58)</f>
        <v>75</v>
      </c>
      <c r="N58" s="49">
        <f>AVERAGE('01.08 Naalya-Ntinda 24h'!N58,'03.08 Naalya-Ntinda-24h'!N58)</f>
        <v>0</v>
      </c>
      <c r="O58" s="15">
        <f t="shared" si="0"/>
        <v>102</v>
      </c>
      <c r="P58" s="15">
        <f t="shared" si="1"/>
        <v>177</v>
      </c>
      <c r="R58" s="8"/>
      <c r="T58"/>
    </row>
    <row r="59" spans="2:20" ht="23.1" customHeight="1" x14ac:dyDescent="0.25">
      <c r="B59" s="23" t="s">
        <v>100</v>
      </c>
      <c r="C59" s="49">
        <f>AVERAGE('01.08 Naalya-Ntinda 24h'!C59,'03.08 Naalya-Ntinda-24h'!C59)</f>
        <v>35.5</v>
      </c>
      <c r="D59" s="49">
        <f>AVERAGE('01.08 Naalya-Ntinda 24h'!D59,'03.08 Naalya-Ntinda-24h'!D59)</f>
        <v>17</v>
      </c>
      <c r="E59" s="49">
        <f>AVERAGE('01.08 Naalya-Ntinda 24h'!E59,'03.08 Naalya-Ntinda-24h'!E59)</f>
        <v>3.5</v>
      </c>
      <c r="F59" s="49">
        <f>AVERAGE('01.08 Naalya-Ntinda 24h'!F59,'03.08 Naalya-Ntinda-24h'!F59)</f>
        <v>5.5</v>
      </c>
      <c r="G59" s="49">
        <f>AVERAGE('01.08 Naalya-Ntinda 24h'!G59,'03.08 Naalya-Ntinda-24h'!G59)</f>
        <v>0</v>
      </c>
      <c r="H59" s="49">
        <f>AVERAGE('01.08 Naalya-Ntinda 24h'!H59,'03.08 Naalya-Ntinda-24h'!H59)</f>
        <v>1</v>
      </c>
      <c r="I59" s="49">
        <f>AVERAGE('01.08 Naalya-Ntinda 24h'!I59,'03.08 Naalya-Ntinda-24h'!I59)</f>
        <v>0</v>
      </c>
      <c r="J59" s="49">
        <f>AVERAGE('01.08 Naalya-Ntinda 24h'!J59,'03.08 Naalya-Ntinda-24h'!J59)</f>
        <v>0</v>
      </c>
      <c r="K59" s="49">
        <f>AVERAGE('01.08 Naalya-Ntinda 24h'!K59,'03.08 Naalya-Ntinda-24h'!K59)</f>
        <v>0</v>
      </c>
      <c r="L59" s="49">
        <f>AVERAGE('01.08 Naalya-Ntinda 24h'!L59,'03.08 Naalya-Ntinda-24h'!L59)</f>
        <v>0.5</v>
      </c>
      <c r="M59" s="49">
        <f>AVERAGE('01.08 Naalya-Ntinda 24h'!M59,'03.08 Naalya-Ntinda-24h'!M59)</f>
        <v>37.5</v>
      </c>
      <c r="N59" s="49">
        <f>AVERAGE('01.08 Naalya-Ntinda 24h'!N59,'03.08 Naalya-Ntinda-24h'!N59)</f>
        <v>0</v>
      </c>
      <c r="O59" s="15">
        <f t="shared" ref="O59:O105" si="35">SUM(C59:L59,N59)</f>
        <v>63</v>
      </c>
      <c r="P59" s="15">
        <f t="shared" ref="P59:P105" si="36">SUM(C59:N59)</f>
        <v>100.5</v>
      </c>
      <c r="R59" s="8"/>
      <c r="T59"/>
    </row>
    <row r="60" spans="2:20" ht="23.1" customHeight="1" x14ac:dyDescent="0.25">
      <c r="B60" s="23" t="s">
        <v>101</v>
      </c>
      <c r="C60" s="49">
        <f>AVERAGE('01.08 Naalya-Ntinda 24h'!C60,'03.08 Naalya-Ntinda-24h'!C60)</f>
        <v>37</v>
      </c>
      <c r="D60" s="49">
        <f>AVERAGE('01.08 Naalya-Ntinda 24h'!D60,'03.08 Naalya-Ntinda-24h'!D60)</f>
        <v>34</v>
      </c>
      <c r="E60" s="49">
        <f>AVERAGE('01.08 Naalya-Ntinda 24h'!E60,'03.08 Naalya-Ntinda-24h'!E60)</f>
        <v>8.5</v>
      </c>
      <c r="F60" s="49">
        <f>AVERAGE('01.08 Naalya-Ntinda 24h'!F60,'03.08 Naalya-Ntinda-24h'!F60)</f>
        <v>5.5</v>
      </c>
      <c r="G60" s="49">
        <f>AVERAGE('01.08 Naalya-Ntinda 24h'!G60,'03.08 Naalya-Ntinda-24h'!G60)</f>
        <v>0.5</v>
      </c>
      <c r="H60" s="49">
        <f>AVERAGE('01.08 Naalya-Ntinda 24h'!H60,'03.08 Naalya-Ntinda-24h'!H60)</f>
        <v>0.5</v>
      </c>
      <c r="I60" s="49">
        <f>AVERAGE('01.08 Naalya-Ntinda 24h'!I60,'03.08 Naalya-Ntinda-24h'!I60)</f>
        <v>0.5</v>
      </c>
      <c r="J60" s="49">
        <f>AVERAGE('01.08 Naalya-Ntinda 24h'!J60,'03.08 Naalya-Ntinda-24h'!J60)</f>
        <v>0.5</v>
      </c>
      <c r="K60" s="49">
        <f>AVERAGE('01.08 Naalya-Ntinda 24h'!K60,'03.08 Naalya-Ntinda-24h'!K60)</f>
        <v>0</v>
      </c>
      <c r="L60" s="49">
        <f>AVERAGE('01.08 Naalya-Ntinda 24h'!L60,'03.08 Naalya-Ntinda-24h'!L60)</f>
        <v>0</v>
      </c>
      <c r="M60" s="49">
        <f>AVERAGE('01.08 Naalya-Ntinda 24h'!M60,'03.08 Naalya-Ntinda-24h'!M60)</f>
        <v>33</v>
      </c>
      <c r="N60" s="49">
        <f>AVERAGE('01.08 Naalya-Ntinda 24h'!N60,'03.08 Naalya-Ntinda-24h'!N60)</f>
        <v>0</v>
      </c>
      <c r="O60" s="15">
        <f t="shared" si="35"/>
        <v>87</v>
      </c>
      <c r="P60" s="15">
        <f t="shared" si="36"/>
        <v>120</v>
      </c>
      <c r="R60" s="8"/>
      <c r="T60"/>
    </row>
    <row r="61" spans="2:20" ht="23.1" customHeight="1" x14ac:dyDescent="0.25">
      <c r="B61" s="23" t="s">
        <v>102</v>
      </c>
      <c r="C61" s="49">
        <f>AVERAGE('01.08 Naalya-Ntinda 24h'!C61,'03.08 Naalya-Ntinda-24h'!C61)</f>
        <v>33</v>
      </c>
      <c r="D61" s="49">
        <f>AVERAGE('01.08 Naalya-Ntinda 24h'!D61,'03.08 Naalya-Ntinda-24h'!D61)</f>
        <v>35</v>
      </c>
      <c r="E61" s="49">
        <f>AVERAGE('01.08 Naalya-Ntinda 24h'!E61,'03.08 Naalya-Ntinda-24h'!E61)</f>
        <v>8</v>
      </c>
      <c r="F61" s="49">
        <f>AVERAGE('01.08 Naalya-Ntinda 24h'!F61,'03.08 Naalya-Ntinda-24h'!F61)</f>
        <v>2</v>
      </c>
      <c r="G61" s="49">
        <f>AVERAGE('01.08 Naalya-Ntinda 24h'!G61,'03.08 Naalya-Ntinda-24h'!G61)</f>
        <v>0.5</v>
      </c>
      <c r="H61" s="49">
        <f>AVERAGE('01.08 Naalya-Ntinda 24h'!H61,'03.08 Naalya-Ntinda-24h'!H61)</f>
        <v>0</v>
      </c>
      <c r="I61" s="49">
        <f>AVERAGE('01.08 Naalya-Ntinda 24h'!I61,'03.08 Naalya-Ntinda-24h'!I61)</f>
        <v>0</v>
      </c>
      <c r="J61" s="49">
        <f>AVERAGE('01.08 Naalya-Ntinda 24h'!J61,'03.08 Naalya-Ntinda-24h'!J61)</f>
        <v>0</v>
      </c>
      <c r="K61" s="49">
        <f>AVERAGE('01.08 Naalya-Ntinda 24h'!K61,'03.08 Naalya-Ntinda-24h'!K61)</f>
        <v>0</v>
      </c>
      <c r="L61" s="49">
        <f>AVERAGE('01.08 Naalya-Ntinda 24h'!L61,'03.08 Naalya-Ntinda-24h'!L61)</f>
        <v>0</v>
      </c>
      <c r="M61" s="49">
        <f>AVERAGE('01.08 Naalya-Ntinda 24h'!M61,'03.08 Naalya-Ntinda-24h'!M61)</f>
        <v>36</v>
      </c>
      <c r="N61" s="49">
        <f>AVERAGE('01.08 Naalya-Ntinda 24h'!N61,'03.08 Naalya-Ntinda-24h'!N61)</f>
        <v>0</v>
      </c>
      <c r="O61" s="15">
        <f t="shared" si="35"/>
        <v>78.5</v>
      </c>
      <c r="P61" s="15">
        <f t="shared" si="36"/>
        <v>114.5</v>
      </c>
      <c r="R61" s="8"/>
      <c r="T61"/>
    </row>
    <row r="62" spans="2:20" ht="23.1" customHeight="1" x14ac:dyDescent="0.25">
      <c r="B62" s="23" t="s">
        <v>107</v>
      </c>
      <c r="C62" s="49">
        <f>AVERAGE('01.08 Naalya-Ntinda 24h'!C62,'03.08 Naalya-Ntinda-24h'!C62)</f>
        <v>33.5</v>
      </c>
      <c r="D62" s="49">
        <f>AVERAGE('01.08 Naalya-Ntinda 24h'!D62,'03.08 Naalya-Ntinda-24h'!D62)</f>
        <v>31.5</v>
      </c>
      <c r="E62" s="49">
        <f>AVERAGE('01.08 Naalya-Ntinda 24h'!E62,'03.08 Naalya-Ntinda-24h'!E62)</f>
        <v>1.5</v>
      </c>
      <c r="F62" s="49">
        <f>AVERAGE('01.08 Naalya-Ntinda 24h'!F62,'03.08 Naalya-Ntinda-24h'!F62)</f>
        <v>3</v>
      </c>
      <c r="G62" s="49">
        <f>AVERAGE('01.08 Naalya-Ntinda 24h'!G62,'03.08 Naalya-Ntinda-24h'!G62)</f>
        <v>1.5</v>
      </c>
      <c r="H62" s="49">
        <f>AVERAGE('01.08 Naalya-Ntinda 24h'!H62,'03.08 Naalya-Ntinda-24h'!H62)</f>
        <v>0</v>
      </c>
      <c r="I62" s="49">
        <f>AVERAGE('01.08 Naalya-Ntinda 24h'!I62,'03.08 Naalya-Ntinda-24h'!I62)</f>
        <v>1</v>
      </c>
      <c r="J62" s="49">
        <f>AVERAGE('01.08 Naalya-Ntinda 24h'!J62,'03.08 Naalya-Ntinda-24h'!J62)</f>
        <v>0</v>
      </c>
      <c r="K62" s="49">
        <f>AVERAGE('01.08 Naalya-Ntinda 24h'!K62,'03.08 Naalya-Ntinda-24h'!K62)</f>
        <v>0</v>
      </c>
      <c r="L62" s="49">
        <f>AVERAGE('01.08 Naalya-Ntinda 24h'!L62,'03.08 Naalya-Ntinda-24h'!L62)</f>
        <v>0</v>
      </c>
      <c r="M62" s="49">
        <f>AVERAGE('01.08 Naalya-Ntinda 24h'!M62,'03.08 Naalya-Ntinda-24h'!M62)</f>
        <v>78.5</v>
      </c>
      <c r="N62" s="49">
        <f>AVERAGE('01.08 Naalya-Ntinda 24h'!N62,'03.08 Naalya-Ntinda-24h'!N62)</f>
        <v>0</v>
      </c>
      <c r="O62" s="15">
        <f t="shared" si="35"/>
        <v>72</v>
      </c>
      <c r="P62" s="15">
        <f t="shared" si="36"/>
        <v>150.5</v>
      </c>
      <c r="R62" s="8"/>
      <c r="T62"/>
    </row>
    <row r="63" spans="2:20" ht="23.1" customHeight="1" x14ac:dyDescent="0.25">
      <c r="B63" s="23" t="s">
        <v>108</v>
      </c>
      <c r="C63" s="49">
        <f>AVERAGE('01.08 Naalya-Ntinda 24h'!C63,'03.08 Naalya-Ntinda-24h'!C63)</f>
        <v>38.5</v>
      </c>
      <c r="D63" s="49">
        <f>AVERAGE('01.08 Naalya-Ntinda 24h'!D63,'03.08 Naalya-Ntinda-24h'!D63)</f>
        <v>39</v>
      </c>
      <c r="E63" s="49">
        <f>AVERAGE('01.08 Naalya-Ntinda 24h'!E63,'03.08 Naalya-Ntinda-24h'!E63)</f>
        <v>7</v>
      </c>
      <c r="F63" s="49">
        <f>AVERAGE('01.08 Naalya-Ntinda 24h'!F63,'03.08 Naalya-Ntinda-24h'!F63)</f>
        <v>8.5</v>
      </c>
      <c r="G63" s="49">
        <f>AVERAGE('01.08 Naalya-Ntinda 24h'!G63,'03.08 Naalya-Ntinda-24h'!G63)</f>
        <v>2.5</v>
      </c>
      <c r="H63" s="49">
        <f>AVERAGE('01.08 Naalya-Ntinda 24h'!H63,'03.08 Naalya-Ntinda-24h'!H63)</f>
        <v>0</v>
      </c>
      <c r="I63" s="49">
        <f>AVERAGE('01.08 Naalya-Ntinda 24h'!I63,'03.08 Naalya-Ntinda-24h'!I63)</f>
        <v>0.5</v>
      </c>
      <c r="J63" s="49">
        <f>AVERAGE('01.08 Naalya-Ntinda 24h'!J63,'03.08 Naalya-Ntinda-24h'!J63)</f>
        <v>1</v>
      </c>
      <c r="K63" s="49">
        <f>AVERAGE('01.08 Naalya-Ntinda 24h'!K63,'03.08 Naalya-Ntinda-24h'!K63)</f>
        <v>0</v>
      </c>
      <c r="L63" s="49">
        <f>AVERAGE('01.08 Naalya-Ntinda 24h'!L63,'03.08 Naalya-Ntinda-24h'!L63)</f>
        <v>0</v>
      </c>
      <c r="M63" s="49">
        <f>AVERAGE('01.08 Naalya-Ntinda 24h'!M63,'03.08 Naalya-Ntinda-24h'!M63)</f>
        <v>80</v>
      </c>
      <c r="N63" s="49">
        <f>AVERAGE('01.08 Naalya-Ntinda 24h'!N63,'03.08 Naalya-Ntinda-24h'!N63)</f>
        <v>0</v>
      </c>
      <c r="O63" s="15">
        <f t="shared" si="35"/>
        <v>97</v>
      </c>
      <c r="P63" s="15">
        <f t="shared" si="36"/>
        <v>177</v>
      </c>
      <c r="R63" s="8"/>
      <c r="T63"/>
    </row>
    <row r="64" spans="2:20" ht="23.1" customHeight="1" x14ac:dyDescent="0.25">
      <c r="B64" s="23" t="s">
        <v>109</v>
      </c>
      <c r="C64" s="49">
        <f>AVERAGE('01.08 Naalya-Ntinda 24h'!C64,'03.08 Naalya-Ntinda-24h'!C64)</f>
        <v>45</v>
      </c>
      <c r="D64" s="49">
        <f>AVERAGE('01.08 Naalya-Ntinda 24h'!D64,'03.08 Naalya-Ntinda-24h'!D64)</f>
        <v>41.5</v>
      </c>
      <c r="E64" s="49">
        <f>AVERAGE('01.08 Naalya-Ntinda 24h'!E64,'03.08 Naalya-Ntinda-24h'!E64)</f>
        <v>6</v>
      </c>
      <c r="F64" s="49">
        <f>AVERAGE('01.08 Naalya-Ntinda 24h'!F64,'03.08 Naalya-Ntinda-24h'!F64)</f>
        <v>8</v>
      </c>
      <c r="G64" s="49">
        <f>AVERAGE('01.08 Naalya-Ntinda 24h'!G64,'03.08 Naalya-Ntinda-24h'!G64)</f>
        <v>0.5</v>
      </c>
      <c r="H64" s="49">
        <f>AVERAGE('01.08 Naalya-Ntinda 24h'!H64,'03.08 Naalya-Ntinda-24h'!H64)</f>
        <v>0</v>
      </c>
      <c r="I64" s="49">
        <f>AVERAGE('01.08 Naalya-Ntinda 24h'!I64,'03.08 Naalya-Ntinda-24h'!I64)</f>
        <v>1.5</v>
      </c>
      <c r="J64" s="49">
        <f>AVERAGE('01.08 Naalya-Ntinda 24h'!J64,'03.08 Naalya-Ntinda-24h'!J64)</f>
        <v>2</v>
      </c>
      <c r="K64" s="49">
        <f>AVERAGE('01.08 Naalya-Ntinda 24h'!K64,'03.08 Naalya-Ntinda-24h'!K64)</f>
        <v>0</v>
      </c>
      <c r="L64" s="49">
        <f>AVERAGE('01.08 Naalya-Ntinda 24h'!L64,'03.08 Naalya-Ntinda-24h'!L64)</f>
        <v>0</v>
      </c>
      <c r="M64" s="49">
        <f>AVERAGE('01.08 Naalya-Ntinda 24h'!M64,'03.08 Naalya-Ntinda-24h'!M64)</f>
        <v>84</v>
      </c>
      <c r="N64" s="49">
        <f>AVERAGE('01.08 Naalya-Ntinda 24h'!N64,'03.08 Naalya-Ntinda-24h'!N64)</f>
        <v>0</v>
      </c>
      <c r="O64" s="15">
        <f t="shared" si="35"/>
        <v>104.5</v>
      </c>
      <c r="P64" s="15">
        <f t="shared" si="36"/>
        <v>188.5</v>
      </c>
      <c r="R64" s="8"/>
      <c r="T64"/>
    </row>
    <row r="65" spans="2:20" ht="23.1" customHeight="1" x14ac:dyDescent="0.25">
      <c r="B65" s="23" t="s">
        <v>158</v>
      </c>
      <c r="C65" s="49">
        <f>AVERAGE('01.08 Naalya-Ntinda 24h'!C65,'03.08 Naalya-Ntinda-24h'!C65)</f>
        <v>43.5</v>
      </c>
      <c r="D65" s="49">
        <f>AVERAGE('01.08 Naalya-Ntinda 24h'!D65,'03.08 Naalya-Ntinda-24h'!D65)</f>
        <v>31</v>
      </c>
      <c r="E65" s="49">
        <f>AVERAGE('01.08 Naalya-Ntinda 24h'!E65,'03.08 Naalya-Ntinda-24h'!E65)</f>
        <v>8.5</v>
      </c>
      <c r="F65" s="49">
        <f>AVERAGE('01.08 Naalya-Ntinda 24h'!F65,'03.08 Naalya-Ntinda-24h'!F65)</f>
        <v>5</v>
      </c>
      <c r="G65" s="49">
        <f>AVERAGE('01.08 Naalya-Ntinda 24h'!G65,'03.08 Naalya-Ntinda-24h'!G65)</f>
        <v>0</v>
      </c>
      <c r="H65" s="49">
        <f>AVERAGE('01.08 Naalya-Ntinda 24h'!H65,'03.08 Naalya-Ntinda-24h'!H65)</f>
        <v>0</v>
      </c>
      <c r="I65" s="49">
        <f>AVERAGE('01.08 Naalya-Ntinda 24h'!I65,'03.08 Naalya-Ntinda-24h'!I65)</f>
        <v>1</v>
      </c>
      <c r="J65" s="49">
        <f>AVERAGE('01.08 Naalya-Ntinda 24h'!J65,'03.08 Naalya-Ntinda-24h'!J65)</f>
        <v>3</v>
      </c>
      <c r="K65" s="49">
        <f>AVERAGE('01.08 Naalya-Ntinda 24h'!K65,'03.08 Naalya-Ntinda-24h'!K65)</f>
        <v>0</v>
      </c>
      <c r="L65" s="49">
        <f>AVERAGE('01.08 Naalya-Ntinda 24h'!L65,'03.08 Naalya-Ntinda-24h'!L65)</f>
        <v>0</v>
      </c>
      <c r="M65" s="49">
        <f>AVERAGE('01.08 Naalya-Ntinda 24h'!M65,'03.08 Naalya-Ntinda-24h'!M65)</f>
        <v>62.5</v>
      </c>
      <c r="N65" s="49">
        <f>AVERAGE('01.08 Naalya-Ntinda 24h'!N65,'03.08 Naalya-Ntinda-24h'!N65)</f>
        <v>0</v>
      </c>
      <c r="O65" s="15">
        <f t="shared" si="35"/>
        <v>92</v>
      </c>
      <c r="P65" s="15">
        <f t="shared" si="36"/>
        <v>154.5</v>
      </c>
      <c r="R65" s="8"/>
      <c r="T65"/>
    </row>
    <row r="66" spans="2:20" ht="23.1" customHeight="1" x14ac:dyDescent="0.25">
      <c r="B66" s="23" t="s">
        <v>103</v>
      </c>
      <c r="C66" s="49">
        <f>AVERAGE('01.08 Naalya-Ntinda 24h'!C66,'03.08 Naalya-Ntinda-24h'!C66)</f>
        <v>39.5</v>
      </c>
      <c r="D66" s="49">
        <f>AVERAGE('01.08 Naalya-Ntinda 24h'!D66,'03.08 Naalya-Ntinda-24h'!D66)</f>
        <v>36</v>
      </c>
      <c r="E66" s="49">
        <f>AVERAGE('01.08 Naalya-Ntinda 24h'!E66,'03.08 Naalya-Ntinda-24h'!E66)</f>
        <v>5.5</v>
      </c>
      <c r="F66" s="49">
        <f>AVERAGE('01.08 Naalya-Ntinda 24h'!F66,'03.08 Naalya-Ntinda-24h'!F66)</f>
        <v>8.5</v>
      </c>
      <c r="G66" s="49">
        <f>AVERAGE('01.08 Naalya-Ntinda 24h'!G66,'03.08 Naalya-Ntinda-24h'!G66)</f>
        <v>0</v>
      </c>
      <c r="H66" s="49">
        <f>AVERAGE('01.08 Naalya-Ntinda 24h'!H66,'03.08 Naalya-Ntinda-24h'!H66)</f>
        <v>0</v>
      </c>
      <c r="I66" s="49">
        <f>AVERAGE('01.08 Naalya-Ntinda 24h'!I66,'03.08 Naalya-Ntinda-24h'!I66)</f>
        <v>0.5</v>
      </c>
      <c r="J66" s="49">
        <f>AVERAGE('01.08 Naalya-Ntinda 24h'!J66,'03.08 Naalya-Ntinda-24h'!J66)</f>
        <v>0.5</v>
      </c>
      <c r="K66" s="49">
        <f>AVERAGE('01.08 Naalya-Ntinda 24h'!K66,'03.08 Naalya-Ntinda-24h'!K66)</f>
        <v>0</v>
      </c>
      <c r="L66" s="49">
        <f>AVERAGE('01.08 Naalya-Ntinda 24h'!L66,'03.08 Naalya-Ntinda-24h'!L66)</f>
        <v>0</v>
      </c>
      <c r="M66" s="49">
        <f>AVERAGE('01.08 Naalya-Ntinda 24h'!M66,'03.08 Naalya-Ntinda-24h'!M66)</f>
        <v>70</v>
      </c>
      <c r="N66" s="49">
        <f>AVERAGE('01.08 Naalya-Ntinda 24h'!N66,'03.08 Naalya-Ntinda-24h'!N66)</f>
        <v>0</v>
      </c>
      <c r="O66" s="15">
        <f t="shared" si="35"/>
        <v>90.5</v>
      </c>
      <c r="P66" s="15">
        <f t="shared" si="36"/>
        <v>160.5</v>
      </c>
      <c r="R66" s="8"/>
      <c r="T66"/>
    </row>
    <row r="67" spans="2:20" ht="23.1" customHeight="1" x14ac:dyDescent="0.25">
      <c r="B67" s="23" t="s">
        <v>104</v>
      </c>
      <c r="C67" s="49">
        <f>AVERAGE('01.08 Naalya-Ntinda 24h'!C67,'03.08 Naalya-Ntinda-24h'!C67)</f>
        <v>45.5</v>
      </c>
      <c r="D67" s="49">
        <f>AVERAGE('01.08 Naalya-Ntinda 24h'!D67,'03.08 Naalya-Ntinda-24h'!D67)</f>
        <v>44.5</v>
      </c>
      <c r="E67" s="49">
        <f>AVERAGE('01.08 Naalya-Ntinda 24h'!E67,'03.08 Naalya-Ntinda-24h'!E67)</f>
        <v>6.5</v>
      </c>
      <c r="F67" s="49">
        <f>AVERAGE('01.08 Naalya-Ntinda 24h'!F67,'03.08 Naalya-Ntinda-24h'!F67)</f>
        <v>6</v>
      </c>
      <c r="G67" s="49">
        <f>AVERAGE('01.08 Naalya-Ntinda 24h'!G67,'03.08 Naalya-Ntinda-24h'!G67)</f>
        <v>0</v>
      </c>
      <c r="H67" s="49">
        <f>AVERAGE('01.08 Naalya-Ntinda 24h'!H67,'03.08 Naalya-Ntinda-24h'!H67)</f>
        <v>0</v>
      </c>
      <c r="I67" s="49">
        <f>AVERAGE('01.08 Naalya-Ntinda 24h'!I67,'03.08 Naalya-Ntinda-24h'!I67)</f>
        <v>1.5</v>
      </c>
      <c r="J67" s="49">
        <f>AVERAGE('01.08 Naalya-Ntinda 24h'!J67,'03.08 Naalya-Ntinda-24h'!J67)</f>
        <v>1.5</v>
      </c>
      <c r="K67" s="49">
        <f>AVERAGE('01.08 Naalya-Ntinda 24h'!K67,'03.08 Naalya-Ntinda-24h'!K67)</f>
        <v>0</v>
      </c>
      <c r="L67" s="49">
        <f>AVERAGE('01.08 Naalya-Ntinda 24h'!L67,'03.08 Naalya-Ntinda-24h'!L67)</f>
        <v>0</v>
      </c>
      <c r="M67" s="49">
        <f>AVERAGE('01.08 Naalya-Ntinda 24h'!M67,'03.08 Naalya-Ntinda-24h'!M67)</f>
        <v>58.5</v>
      </c>
      <c r="N67" s="49">
        <f>AVERAGE('01.08 Naalya-Ntinda 24h'!N67,'03.08 Naalya-Ntinda-24h'!N67)</f>
        <v>0</v>
      </c>
      <c r="O67" s="15">
        <f t="shared" si="35"/>
        <v>105.5</v>
      </c>
      <c r="P67" s="15">
        <f t="shared" si="36"/>
        <v>164</v>
      </c>
      <c r="R67" s="8"/>
      <c r="T67"/>
    </row>
    <row r="68" spans="2:20" ht="23.1" customHeight="1" x14ac:dyDescent="0.25">
      <c r="B68" s="23" t="s">
        <v>105</v>
      </c>
      <c r="C68" s="49">
        <f>AVERAGE('01.08 Naalya-Ntinda 24h'!C68,'03.08 Naalya-Ntinda-24h'!C68)</f>
        <v>45.5</v>
      </c>
      <c r="D68" s="49">
        <f>AVERAGE('01.08 Naalya-Ntinda 24h'!D68,'03.08 Naalya-Ntinda-24h'!D68)</f>
        <v>41.5</v>
      </c>
      <c r="E68" s="49">
        <f>AVERAGE('01.08 Naalya-Ntinda 24h'!E68,'03.08 Naalya-Ntinda-24h'!E68)</f>
        <v>15</v>
      </c>
      <c r="F68" s="49">
        <f>AVERAGE('01.08 Naalya-Ntinda 24h'!F68,'03.08 Naalya-Ntinda-24h'!F68)</f>
        <v>9</v>
      </c>
      <c r="G68" s="49">
        <f>AVERAGE('01.08 Naalya-Ntinda 24h'!G68,'03.08 Naalya-Ntinda-24h'!G68)</f>
        <v>1</v>
      </c>
      <c r="H68" s="49">
        <f>AVERAGE('01.08 Naalya-Ntinda 24h'!H68,'03.08 Naalya-Ntinda-24h'!H68)</f>
        <v>0</v>
      </c>
      <c r="I68" s="49">
        <f>AVERAGE('01.08 Naalya-Ntinda 24h'!I68,'03.08 Naalya-Ntinda-24h'!I68)</f>
        <v>1.5</v>
      </c>
      <c r="J68" s="49">
        <f>AVERAGE('01.08 Naalya-Ntinda 24h'!J68,'03.08 Naalya-Ntinda-24h'!J68)</f>
        <v>1</v>
      </c>
      <c r="K68" s="49">
        <f>AVERAGE('01.08 Naalya-Ntinda 24h'!K68,'03.08 Naalya-Ntinda-24h'!K68)</f>
        <v>0</v>
      </c>
      <c r="L68" s="49">
        <f>AVERAGE('01.08 Naalya-Ntinda 24h'!L68,'03.08 Naalya-Ntinda-24h'!L68)</f>
        <v>0</v>
      </c>
      <c r="M68" s="49">
        <f>AVERAGE('01.08 Naalya-Ntinda 24h'!M68,'03.08 Naalya-Ntinda-24h'!M68)</f>
        <v>52.5</v>
      </c>
      <c r="N68" s="49">
        <f>AVERAGE('01.08 Naalya-Ntinda 24h'!N68,'03.08 Naalya-Ntinda-24h'!N68)</f>
        <v>0</v>
      </c>
      <c r="O68" s="15">
        <f t="shared" si="35"/>
        <v>114.5</v>
      </c>
      <c r="P68" s="15">
        <f t="shared" si="36"/>
        <v>167</v>
      </c>
      <c r="R68" s="8"/>
      <c r="T68"/>
    </row>
    <row r="69" spans="2:20" ht="23.1" customHeight="1" x14ac:dyDescent="0.25">
      <c r="B69" s="23" t="s">
        <v>106</v>
      </c>
      <c r="C69" s="49">
        <f>AVERAGE('01.08 Naalya-Ntinda 24h'!C69,'03.08 Naalya-Ntinda-24h'!C69)</f>
        <v>31</v>
      </c>
      <c r="D69" s="49">
        <f>AVERAGE('01.08 Naalya-Ntinda 24h'!D69,'03.08 Naalya-Ntinda-24h'!D69)</f>
        <v>26.5</v>
      </c>
      <c r="E69" s="49">
        <f>AVERAGE('01.08 Naalya-Ntinda 24h'!E69,'03.08 Naalya-Ntinda-24h'!E69)</f>
        <v>5</v>
      </c>
      <c r="F69" s="49">
        <f>AVERAGE('01.08 Naalya-Ntinda 24h'!F69,'03.08 Naalya-Ntinda-24h'!F69)</f>
        <v>6.5</v>
      </c>
      <c r="G69" s="49">
        <f>AVERAGE('01.08 Naalya-Ntinda 24h'!G69,'03.08 Naalya-Ntinda-24h'!G69)</f>
        <v>0</v>
      </c>
      <c r="H69" s="49">
        <f>AVERAGE('01.08 Naalya-Ntinda 24h'!H69,'03.08 Naalya-Ntinda-24h'!H69)</f>
        <v>0</v>
      </c>
      <c r="I69" s="49">
        <f>AVERAGE('01.08 Naalya-Ntinda 24h'!I69,'03.08 Naalya-Ntinda-24h'!I69)</f>
        <v>0</v>
      </c>
      <c r="J69" s="49">
        <f>AVERAGE('01.08 Naalya-Ntinda 24h'!J69,'03.08 Naalya-Ntinda-24h'!J69)</f>
        <v>0</v>
      </c>
      <c r="K69" s="49">
        <f>AVERAGE('01.08 Naalya-Ntinda 24h'!K69,'03.08 Naalya-Ntinda-24h'!K69)</f>
        <v>0</v>
      </c>
      <c r="L69" s="49">
        <f>AVERAGE('01.08 Naalya-Ntinda 24h'!L69,'03.08 Naalya-Ntinda-24h'!L69)</f>
        <v>0</v>
      </c>
      <c r="M69" s="49">
        <f>AVERAGE('01.08 Naalya-Ntinda 24h'!M69,'03.08 Naalya-Ntinda-24h'!M69)</f>
        <v>49.5</v>
      </c>
      <c r="N69" s="49">
        <f>AVERAGE('01.08 Naalya-Ntinda 24h'!N69,'03.08 Naalya-Ntinda-24h'!N69)</f>
        <v>0</v>
      </c>
      <c r="O69" s="15">
        <f t="shared" si="35"/>
        <v>69</v>
      </c>
      <c r="P69" s="15">
        <f t="shared" si="36"/>
        <v>118.5</v>
      </c>
      <c r="R69" s="8"/>
      <c r="T69"/>
    </row>
    <row r="70" spans="2:20" ht="23.1" customHeight="1" x14ac:dyDescent="0.25">
      <c r="B70" s="23" t="s">
        <v>110</v>
      </c>
      <c r="C70" s="49">
        <f>AVERAGE('01.08 Naalya-Ntinda 24h'!C70,'03.08 Naalya-Ntinda-24h'!C70)</f>
        <v>33</v>
      </c>
      <c r="D70" s="49">
        <f>AVERAGE('01.08 Naalya-Ntinda 24h'!D70,'03.08 Naalya-Ntinda-24h'!D70)</f>
        <v>15.5</v>
      </c>
      <c r="E70" s="49">
        <f>AVERAGE('01.08 Naalya-Ntinda 24h'!E70,'03.08 Naalya-Ntinda-24h'!E70)</f>
        <v>5.5</v>
      </c>
      <c r="F70" s="49">
        <f>AVERAGE('01.08 Naalya-Ntinda 24h'!F70,'03.08 Naalya-Ntinda-24h'!F70)</f>
        <v>6.5</v>
      </c>
      <c r="G70" s="49">
        <f>AVERAGE('01.08 Naalya-Ntinda 24h'!G70,'03.08 Naalya-Ntinda-24h'!G70)</f>
        <v>0</v>
      </c>
      <c r="H70" s="49">
        <f>AVERAGE('01.08 Naalya-Ntinda 24h'!H70,'03.08 Naalya-Ntinda-24h'!H70)</f>
        <v>0</v>
      </c>
      <c r="I70" s="49">
        <f>AVERAGE('01.08 Naalya-Ntinda 24h'!I70,'03.08 Naalya-Ntinda-24h'!I70)</f>
        <v>0.5</v>
      </c>
      <c r="J70" s="49">
        <f>AVERAGE('01.08 Naalya-Ntinda 24h'!J70,'03.08 Naalya-Ntinda-24h'!J70)</f>
        <v>0.5</v>
      </c>
      <c r="K70" s="49">
        <f>AVERAGE('01.08 Naalya-Ntinda 24h'!K70,'03.08 Naalya-Ntinda-24h'!K70)</f>
        <v>0.5</v>
      </c>
      <c r="L70" s="49">
        <f>AVERAGE('01.08 Naalya-Ntinda 24h'!L70,'03.08 Naalya-Ntinda-24h'!L70)</f>
        <v>1</v>
      </c>
      <c r="M70" s="49">
        <f>AVERAGE('01.08 Naalya-Ntinda 24h'!M70,'03.08 Naalya-Ntinda-24h'!M70)</f>
        <v>38.5</v>
      </c>
      <c r="N70" s="49">
        <f>AVERAGE('01.08 Naalya-Ntinda 24h'!N70,'03.08 Naalya-Ntinda-24h'!N70)</f>
        <v>0</v>
      </c>
      <c r="O70" s="15">
        <f t="shared" si="35"/>
        <v>63</v>
      </c>
      <c r="P70" s="15">
        <f t="shared" si="36"/>
        <v>101.5</v>
      </c>
      <c r="R70" s="8"/>
      <c r="T70"/>
    </row>
    <row r="71" spans="2:20" ht="23.1" customHeight="1" x14ac:dyDescent="0.25">
      <c r="B71" s="23" t="s">
        <v>111</v>
      </c>
      <c r="C71" s="49">
        <f>AVERAGE('01.08 Naalya-Ntinda 24h'!C71,'03.08 Naalya-Ntinda-24h'!C71)</f>
        <v>27.5</v>
      </c>
      <c r="D71" s="49">
        <f>AVERAGE('01.08 Naalya-Ntinda 24h'!D71,'03.08 Naalya-Ntinda-24h'!D71)</f>
        <v>33.5</v>
      </c>
      <c r="E71" s="49">
        <f>AVERAGE('01.08 Naalya-Ntinda 24h'!E71,'03.08 Naalya-Ntinda-24h'!E71)</f>
        <v>9.5</v>
      </c>
      <c r="F71" s="49">
        <f>AVERAGE('01.08 Naalya-Ntinda 24h'!F71,'03.08 Naalya-Ntinda-24h'!F71)</f>
        <v>7</v>
      </c>
      <c r="G71" s="49">
        <f>AVERAGE('01.08 Naalya-Ntinda 24h'!G71,'03.08 Naalya-Ntinda-24h'!G71)</f>
        <v>0.5</v>
      </c>
      <c r="H71" s="49">
        <f>AVERAGE('01.08 Naalya-Ntinda 24h'!H71,'03.08 Naalya-Ntinda-24h'!H71)</f>
        <v>0</v>
      </c>
      <c r="I71" s="49">
        <f>AVERAGE('01.08 Naalya-Ntinda 24h'!I71,'03.08 Naalya-Ntinda-24h'!I71)</f>
        <v>0.5</v>
      </c>
      <c r="J71" s="49">
        <f>AVERAGE('01.08 Naalya-Ntinda 24h'!J71,'03.08 Naalya-Ntinda-24h'!J71)</f>
        <v>0.5</v>
      </c>
      <c r="K71" s="49">
        <f>AVERAGE('01.08 Naalya-Ntinda 24h'!K71,'03.08 Naalya-Ntinda-24h'!K71)</f>
        <v>0</v>
      </c>
      <c r="L71" s="49">
        <f>AVERAGE('01.08 Naalya-Ntinda 24h'!L71,'03.08 Naalya-Ntinda-24h'!L71)</f>
        <v>0</v>
      </c>
      <c r="M71" s="49">
        <f>AVERAGE('01.08 Naalya-Ntinda 24h'!M71,'03.08 Naalya-Ntinda-24h'!M71)</f>
        <v>44</v>
      </c>
      <c r="N71" s="49">
        <f>AVERAGE('01.08 Naalya-Ntinda 24h'!N71,'03.08 Naalya-Ntinda-24h'!N71)</f>
        <v>0</v>
      </c>
      <c r="O71" s="15">
        <f t="shared" si="35"/>
        <v>79</v>
      </c>
      <c r="P71" s="15">
        <f t="shared" si="36"/>
        <v>123</v>
      </c>
      <c r="R71" s="8"/>
      <c r="T71"/>
    </row>
    <row r="72" spans="2:20" ht="23.1" customHeight="1" x14ac:dyDescent="0.25">
      <c r="B72" s="23" t="s">
        <v>112</v>
      </c>
      <c r="C72" s="49">
        <f>AVERAGE('01.08 Naalya-Ntinda 24h'!C72,'03.08 Naalya-Ntinda-24h'!C72)</f>
        <v>17.5</v>
      </c>
      <c r="D72" s="49">
        <f>AVERAGE('01.08 Naalya-Ntinda 24h'!D72,'03.08 Naalya-Ntinda-24h'!D72)</f>
        <v>22</v>
      </c>
      <c r="E72" s="49">
        <f>AVERAGE('01.08 Naalya-Ntinda 24h'!E72,'03.08 Naalya-Ntinda-24h'!E72)</f>
        <v>7.5</v>
      </c>
      <c r="F72" s="49">
        <f>AVERAGE('01.08 Naalya-Ntinda 24h'!F72,'03.08 Naalya-Ntinda-24h'!F72)</f>
        <v>1.5</v>
      </c>
      <c r="G72" s="49">
        <f>AVERAGE('01.08 Naalya-Ntinda 24h'!G72,'03.08 Naalya-Ntinda-24h'!G72)</f>
        <v>1</v>
      </c>
      <c r="H72" s="49">
        <f>AVERAGE('01.08 Naalya-Ntinda 24h'!H72,'03.08 Naalya-Ntinda-24h'!H72)</f>
        <v>0</v>
      </c>
      <c r="I72" s="49">
        <f>AVERAGE('01.08 Naalya-Ntinda 24h'!I72,'03.08 Naalya-Ntinda-24h'!I72)</f>
        <v>1</v>
      </c>
      <c r="J72" s="49">
        <f>AVERAGE('01.08 Naalya-Ntinda 24h'!J72,'03.08 Naalya-Ntinda-24h'!J72)</f>
        <v>0.5</v>
      </c>
      <c r="K72" s="49">
        <f>AVERAGE('01.08 Naalya-Ntinda 24h'!K72,'03.08 Naalya-Ntinda-24h'!K72)</f>
        <v>0</v>
      </c>
      <c r="L72" s="49">
        <f>AVERAGE('01.08 Naalya-Ntinda 24h'!L72,'03.08 Naalya-Ntinda-24h'!L72)</f>
        <v>0.5</v>
      </c>
      <c r="M72" s="49">
        <f>AVERAGE('01.08 Naalya-Ntinda 24h'!M72,'03.08 Naalya-Ntinda-24h'!M72)</f>
        <v>32</v>
      </c>
      <c r="N72" s="49">
        <f>AVERAGE('01.08 Naalya-Ntinda 24h'!N72,'03.08 Naalya-Ntinda-24h'!N72)</f>
        <v>0</v>
      </c>
      <c r="O72" s="15">
        <f t="shared" si="35"/>
        <v>51.5</v>
      </c>
      <c r="P72" s="15">
        <f t="shared" si="36"/>
        <v>83.5</v>
      </c>
      <c r="R72" s="8"/>
      <c r="T72"/>
    </row>
    <row r="73" spans="2:20" ht="23.1" customHeight="1" x14ac:dyDescent="0.25">
      <c r="B73" s="23" t="s">
        <v>113</v>
      </c>
      <c r="C73" s="49">
        <f>AVERAGE('01.08 Naalya-Ntinda 24h'!C73,'03.08 Naalya-Ntinda-24h'!C73)</f>
        <v>27</v>
      </c>
      <c r="D73" s="49">
        <f>AVERAGE('01.08 Naalya-Ntinda 24h'!D73,'03.08 Naalya-Ntinda-24h'!D73)</f>
        <v>29.5</v>
      </c>
      <c r="E73" s="49">
        <f>AVERAGE('01.08 Naalya-Ntinda 24h'!E73,'03.08 Naalya-Ntinda-24h'!E73)</f>
        <v>4</v>
      </c>
      <c r="F73" s="49">
        <f>AVERAGE('01.08 Naalya-Ntinda 24h'!F73,'03.08 Naalya-Ntinda-24h'!F73)</f>
        <v>5.5</v>
      </c>
      <c r="G73" s="49">
        <f>AVERAGE('01.08 Naalya-Ntinda 24h'!G73,'03.08 Naalya-Ntinda-24h'!G73)</f>
        <v>0</v>
      </c>
      <c r="H73" s="49">
        <f>AVERAGE('01.08 Naalya-Ntinda 24h'!H73,'03.08 Naalya-Ntinda-24h'!H73)</f>
        <v>0</v>
      </c>
      <c r="I73" s="49">
        <f>AVERAGE('01.08 Naalya-Ntinda 24h'!I73,'03.08 Naalya-Ntinda-24h'!I73)</f>
        <v>0</v>
      </c>
      <c r="J73" s="49">
        <f>AVERAGE('01.08 Naalya-Ntinda 24h'!J73,'03.08 Naalya-Ntinda-24h'!J73)</f>
        <v>0.5</v>
      </c>
      <c r="K73" s="49">
        <f>AVERAGE('01.08 Naalya-Ntinda 24h'!K73,'03.08 Naalya-Ntinda-24h'!K73)</f>
        <v>0.5</v>
      </c>
      <c r="L73" s="49">
        <f>AVERAGE('01.08 Naalya-Ntinda 24h'!L73,'03.08 Naalya-Ntinda-24h'!L73)</f>
        <v>0</v>
      </c>
      <c r="M73" s="49">
        <f>AVERAGE('01.08 Naalya-Ntinda 24h'!M73,'03.08 Naalya-Ntinda-24h'!M73)</f>
        <v>38</v>
      </c>
      <c r="N73" s="49">
        <f>AVERAGE('01.08 Naalya-Ntinda 24h'!N73,'03.08 Naalya-Ntinda-24h'!N73)</f>
        <v>0</v>
      </c>
      <c r="O73" s="15">
        <f t="shared" si="35"/>
        <v>67</v>
      </c>
      <c r="P73" s="15">
        <f t="shared" si="36"/>
        <v>105</v>
      </c>
      <c r="R73" s="8"/>
      <c r="T73"/>
    </row>
    <row r="74" spans="2:20" ht="23.1" customHeight="1" x14ac:dyDescent="0.25">
      <c r="B74" s="23" t="s">
        <v>114</v>
      </c>
      <c r="C74" s="49">
        <f>AVERAGE('01.08 Naalya-Ntinda 24h'!C74,'03.08 Naalya-Ntinda-24h'!C74)</f>
        <v>26</v>
      </c>
      <c r="D74" s="49">
        <f>AVERAGE('01.08 Naalya-Ntinda 24h'!D74,'03.08 Naalya-Ntinda-24h'!D74)</f>
        <v>18</v>
      </c>
      <c r="E74" s="49">
        <f>AVERAGE('01.08 Naalya-Ntinda 24h'!E74,'03.08 Naalya-Ntinda-24h'!E74)</f>
        <v>3.5</v>
      </c>
      <c r="F74" s="49">
        <f>AVERAGE('01.08 Naalya-Ntinda 24h'!F74,'03.08 Naalya-Ntinda-24h'!F74)</f>
        <v>2.5</v>
      </c>
      <c r="G74" s="49">
        <f>AVERAGE('01.08 Naalya-Ntinda 24h'!G74,'03.08 Naalya-Ntinda-24h'!G74)</f>
        <v>0</v>
      </c>
      <c r="H74" s="49">
        <f>AVERAGE('01.08 Naalya-Ntinda 24h'!H74,'03.08 Naalya-Ntinda-24h'!H74)</f>
        <v>0</v>
      </c>
      <c r="I74" s="49">
        <f>AVERAGE('01.08 Naalya-Ntinda 24h'!I74,'03.08 Naalya-Ntinda-24h'!I74)</f>
        <v>1</v>
      </c>
      <c r="J74" s="49">
        <f>AVERAGE('01.08 Naalya-Ntinda 24h'!J74,'03.08 Naalya-Ntinda-24h'!J74)</f>
        <v>0.5</v>
      </c>
      <c r="K74" s="49">
        <f>AVERAGE('01.08 Naalya-Ntinda 24h'!K74,'03.08 Naalya-Ntinda-24h'!K74)</f>
        <v>0</v>
      </c>
      <c r="L74" s="49">
        <f>AVERAGE('01.08 Naalya-Ntinda 24h'!L74,'03.08 Naalya-Ntinda-24h'!L74)</f>
        <v>0</v>
      </c>
      <c r="M74" s="49">
        <f>AVERAGE('01.08 Naalya-Ntinda 24h'!M74,'03.08 Naalya-Ntinda-24h'!M74)</f>
        <v>31</v>
      </c>
      <c r="N74" s="49">
        <f>AVERAGE('01.08 Naalya-Ntinda 24h'!N74,'03.08 Naalya-Ntinda-24h'!N74)</f>
        <v>0</v>
      </c>
      <c r="O74" s="15">
        <f t="shared" si="35"/>
        <v>51.5</v>
      </c>
      <c r="P74" s="15">
        <f t="shared" si="36"/>
        <v>82.5</v>
      </c>
      <c r="R74" s="8"/>
      <c r="T74"/>
    </row>
    <row r="75" spans="2:20" ht="23.1" customHeight="1" x14ac:dyDescent="0.25">
      <c r="B75" s="23" t="s">
        <v>115</v>
      </c>
      <c r="C75" s="49">
        <f>AVERAGE('01.08 Naalya-Ntinda 24h'!C75,'03.08 Naalya-Ntinda-24h'!C75)</f>
        <v>26</v>
      </c>
      <c r="D75" s="49">
        <f>AVERAGE('01.08 Naalya-Ntinda 24h'!D75,'03.08 Naalya-Ntinda-24h'!D75)</f>
        <v>17.5</v>
      </c>
      <c r="E75" s="49">
        <f>AVERAGE('01.08 Naalya-Ntinda 24h'!E75,'03.08 Naalya-Ntinda-24h'!E75)</f>
        <v>4.5</v>
      </c>
      <c r="F75" s="49">
        <f>AVERAGE('01.08 Naalya-Ntinda 24h'!F75,'03.08 Naalya-Ntinda-24h'!F75)</f>
        <v>3</v>
      </c>
      <c r="G75" s="49">
        <f>AVERAGE('01.08 Naalya-Ntinda 24h'!G75,'03.08 Naalya-Ntinda-24h'!G75)</f>
        <v>0.5</v>
      </c>
      <c r="H75" s="49">
        <f>AVERAGE('01.08 Naalya-Ntinda 24h'!H75,'03.08 Naalya-Ntinda-24h'!H75)</f>
        <v>0</v>
      </c>
      <c r="I75" s="49">
        <f>AVERAGE('01.08 Naalya-Ntinda 24h'!I75,'03.08 Naalya-Ntinda-24h'!I75)</f>
        <v>0.5</v>
      </c>
      <c r="J75" s="49">
        <f>AVERAGE('01.08 Naalya-Ntinda 24h'!J75,'03.08 Naalya-Ntinda-24h'!J75)</f>
        <v>0</v>
      </c>
      <c r="K75" s="49">
        <f>AVERAGE('01.08 Naalya-Ntinda 24h'!K75,'03.08 Naalya-Ntinda-24h'!K75)</f>
        <v>0</v>
      </c>
      <c r="L75" s="49">
        <f>AVERAGE('01.08 Naalya-Ntinda 24h'!L75,'03.08 Naalya-Ntinda-24h'!L75)</f>
        <v>0</v>
      </c>
      <c r="M75" s="49">
        <f>AVERAGE('01.08 Naalya-Ntinda 24h'!M75,'03.08 Naalya-Ntinda-24h'!M75)</f>
        <v>41.5</v>
      </c>
      <c r="N75" s="49">
        <f>AVERAGE('01.08 Naalya-Ntinda 24h'!N75,'03.08 Naalya-Ntinda-24h'!N75)</f>
        <v>0</v>
      </c>
      <c r="O75" s="15">
        <f t="shared" si="35"/>
        <v>52</v>
      </c>
      <c r="P75" s="15">
        <f t="shared" si="36"/>
        <v>93.5</v>
      </c>
      <c r="R75" s="8"/>
      <c r="T75"/>
    </row>
    <row r="76" spans="2:20" ht="23.1" customHeight="1" x14ac:dyDescent="0.25">
      <c r="B76" s="23" t="s">
        <v>116</v>
      </c>
      <c r="C76" s="49">
        <f>AVERAGE('01.08 Naalya-Ntinda 24h'!C76,'03.08 Naalya-Ntinda-24h'!C76)</f>
        <v>27.5</v>
      </c>
      <c r="D76" s="49">
        <f>AVERAGE('01.08 Naalya-Ntinda 24h'!D76,'03.08 Naalya-Ntinda-24h'!D76)</f>
        <v>23.5</v>
      </c>
      <c r="E76" s="49">
        <f>AVERAGE('01.08 Naalya-Ntinda 24h'!E76,'03.08 Naalya-Ntinda-24h'!E76)</f>
        <v>2.5</v>
      </c>
      <c r="F76" s="49">
        <f>AVERAGE('01.08 Naalya-Ntinda 24h'!F76,'03.08 Naalya-Ntinda-24h'!F76)</f>
        <v>5.5</v>
      </c>
      <c r="G76" s="49">
        <f>AVERAGE('01.08 Naalya-Ntinda 24h'!G76,'03.08 Naalya-Ntinda-24h'!G76)</f>
        <v>0.5</v>
      </c>
      <c r="H76" s="49">
        <f>AVERAGE('01.08 Naalya-Ntinda 24h'!H76,'03.08 Naalya-Ntinda-24h'!H76)</f>
        <v>0</v>
      </c>
      <c r="I76" s="49">
        <f>AVERAGE('01.08 Naalya-Ntinda 24h'!I76,'03.08 Naalya-Ntinda-24h'!I76)</f>
        <v>0</v>
      </c>
      <c r="J76" s="49">
        <f>AVERAGE('01.08 Naalya-Ntinda 24h'!J76,'03.08 Naalya-Ntinda-24h'!J76)</f>
        <v>0.5</v>
      </c>
      <c r="K76" s="49">
        <f>AVERAGE('01.08 Naalya-Ntinda 24h'!K76,'03.08 Naalya-Ntinda-24h'!K76)</f>
        <v>0</v>
      </c>
      <c r="L76" s="49">
        <f>AVERAGE('01.08 Naalya-Ntinda 24h'!L76,'03.08 Naalya-Ntinda-24h'!L76)</f>
        <v>0</v>
      </c>
      <c r="M76" s="49">
        <f>AVERAGE('01.08 Naalya-Ntinda 24h'!M76,'03.08 Naalya-Ntinda-24h'!M76)</f>
        <v>28</v>
      </c>
      <c r="N76" s="49">
        <f>AVERAGE('01.08 Naalya-Ntinda 24h'!N76,'03.08 Naalya-Ntinda-24h'!N76)</f>
        <v>0</v>
      </c>
      <c r="O76" s="15">
        <f t="shared" si="35"/>
        <v>60</v>
      </c>
      <c r="P76" s="15">
        <f t="shared" si="36"/>
        <v>88</v>
      </c>
      <c r="R76" s="8"/>
      <c r="T76"/>
    </row>
    <row r="77" spans="2:20" ht="23.1" customHeight="1" x14ac:dyDescent="0.25">
      <c r="B77" s="23" t="s">
        <v>117</v>
      </c>
      <c r="C77" s="49">
        <f>AVERAGE('01.08 Naalya-Ntinda 24h'!C77,'03.08 Naalya-Ntinda-24h'!C77)</f>
        <v>26.5</v>
      </c>
      <c r="D77" s="49">
        <f>AVERAGE('01.08 Naalya-Ntinda 24h'!D77,'03.08 Naalya-Ntinda-24h'!D77)</f>
        <v>17.5</v>
      </c>
      <c r="E77" s="49">
        <f>AVERAGE('01.08 Naalya-Ntinda 24h'!E77,'03.08 Naalya-Ntinda-24h'!E77)</f>
        <v>2.5</v>
      </c>
      <c r="F77" s="49">
        <f>AVERAGE('01.08 Naalya-Ntinda 24h'!F77,'03.08 Naalya-Ntinda-24h'!F77)</f>
        <v>1.5</v>
      </c>
      <c r="G77" s="49">
        <f>AVERAGE('01.08 Naalya-Ntinda 24h'!G77,'03.08 Naalya-Ntinda-24h'!G77)</f>
        <v>0</v>
      </c>
      <c r="H77" s="49">
        <f>AVERAGE('01.08 Naalya-Ntinda 24h'!H77,'03.08 Naalya-Ntinda-24h'!H77)</f>
        <v>0</v>
      </c>
      <c r="I77" s="49">
        <f>AVERAGE('01.08 Naalya-Ntinda 24h'!I77,'03.08 Naalya-Ntinda-24h'!I77)</f>
        <v>0</v>
      </c>
      <c r="J77" s="49">
        <f>AVERAGE('01.08 Naalya-Ntinda 24h'!J77,'03.08 Naalya-Ntinda-24h'!J77)</f>
        <v>0.5</v>
      </c>
      <c r="K77" s="49">
        <f>AVERAGE('01.08 Naalya-Ntinda 24h'!K77,'03.08 Naalya-Ntinda-24h'!K77)</f>
        <v>0</v>
      </c>
      <c r="L77" s="49">
        <f>AVERAGE('01.08 Naalya-Ntinda 24h'!L77,'03.08 Naalya-Ntinda-24h'!L77)</f>
        <v>0.5</v>
      </c>
      <c r="M77" s="49">
        <f>AVERAGE('01.08 Naalya-Ntinda 24h'!M77,'03.08 Naalya-Ntinda-24h'!M77)</f>
        <v>22.5</v>
      </c>
      <c r="N77" s="49">
        <f>AVERAGE('01.08 Naalya-Ntinda 24h'!N77,'03.08 Naalya-Ntinda-24h'!N77)</f>
        <v>0</v>
      </c>
      <c r="O77" s="15">
        <f t="shared" si="35"/>
        <v>49</v>
      </c>
      <c r="P77" s="15">
        <f t="shared" si="36"/>
        <v>71.5</v>
      </c>
      <c r="R77" s="8"/>
      <c r="T77"/>
    </row>
    <row r="78" spans="2:20" ht="23.1" customHeight="1" x14ac:dyDescent="0.25">
      <c r="B78" s="24" t="s">
        <v>118</v>
      </c>
      <c r="C78" s="49">
        <f>AVERAGE('01.08 Naalya-Ntinda 24h'!C78,'03.08 Naalya-Ntinda-24h'!C78)</f>
        <v>33</v>
      </c>
      <c r="D78" s="49">
        <f>AVERAGE('01.08 Naalya-Ntinda 24h'!D78,'03.08 Naalya-Ntinda-24h'!D78)</f>
        <v>17</v>
      </c>
      <c r="E78" s="49">
        <f>AVERAGE('01.08 Naalya-Ntinda 24h'!E78,'03.08 Naalya-Ntinda-24h'!E78)</f>
        <v>1.5</v>
      </c>
      <c r="F78" s="49">
        <f>AVERAGE('01.08 Naalya-Ntinda 24h'!F78,'03.08 Naalya-Ntinda-24h'!F78)</f>
        <v>2.5</v>
      </c>
      <c r="G78" s="49">
        <f>AVERAGE('01.08 Naalya-Ntinda 24h'!G78,'03.08 Naalya-Ntinda-24h'!G78)</f>
        <v>0</v>
      </c>
      <c r="H78" s="49">
        <f>AVERAGE('01.08 Naalya-Ntinda 24h'!H78,'03.08 Naalya-Ntinda-24h'!H78)</f>
        <v>0</v>
      </c>
      <c r="I78" s="49">
        <f>AVERAGE('01.08 Naalya-Ntinda 24h'!I78,'03.08 Naalya-Ntinda-24h'!I78)</f>
        <v>1</v>
      </c>
      <c r="J78" s="49">
        <f>AVERAGE('01.08 Naalya-Ntinda 24h'!J78,'03.08 Naalya-Ntinda-24h'!J78)</f>
        <v>0.5</v>
      </c>
      <c r="K78" s="49">
        <f>AVERAGE('01.08 Naalya-Ntinda 24h'!K78,'03.08 Naalya-Ntinda-24h'!K78)</f>
        <v>0</v>
      </c>
      <c r="L78" s="49">
        <f>AVERAGE('01.08 Naalya-Ntinda 24h'!L78,'03.08 Naalya-Ntinda-24h'!L78)</f>
        <v>0</v>
      </c>
      <c r="M78" s="49">
        <f>AVERAGE('01.08 Naalya-Ntinda 24h'!M78,'03.08 Naalya-Ntinda-24h'!M78)</f>
        <v>17.5</v>
      </c>
      <c r="N78" s="49">
        <f>AVERAGE('01.08 Naalya-Ntinda 24h'!N78,'03.08 Naalya-Ntinda-24h'!N78)</f>
        <v>0</v>
      </c>
      <c r="O78" s="15">
        <f t="shared" si="35"/>
        <v>55.5</v>
      </c>
      <c r="P78" s="15">
        <f t="shared" si="36"/>
        <v>73</v>
      </c>
      <c r="R78" s="8"/>
      <c r="T78"/>
    </row>
    <row r="79" spans="2:20" ht="23.1" customHeight="1" x14ac:dyDescent="0.25">
      <c r="B79" s="23" t="s">
        <v>119</v>
      </c>
      <c r="C79" s="49">
        <f>AVERAGE('01.08 Naalya-Ntinda 24h'!C79,'03.08 Naalya-Ntinda-24h'!C79)</f>
        <v>17.5</v>
      </c>
      <c r="D79" s="49">
        <f>AVERAGE('01.08 Naalya-Ntinda 24h'!D79,'03.08 Naalya-Ntinda-24h'!D79)</f>
        <v>13</v>
      </c>
      <c r="E79" s="49">
        <f>AVERAGE('01.08 Naalya-Ntinda 24h'!E79,'03.08 Naalya-Ntinda-24h'!E79)</f>
        <v>2.5</v>
      </c>
      <c r="F79" s="49">
        <f>AVERAGE('01.08 Naalya-Ntinda 24h'!F79,'03.08 Naalya-Ntinda-24h'!F79)</f>
        <v>1.5</v>
      </c>
      <c r="G79" s="49">
        <f>AVERAGE('01.08 Naalya-Ntinda 24h'!G79,'03.08 Naalya-Ntinda-24h'!G79)</f>
        <v>0</v>
      </c>
      <c r="H79" s="49">
        <f>AVERAGE('01.08 Naalya-Ntinda 24h'!H79,'03.08 Naalya-Ntinda-24h'!H79)</f>
        <v>0</v>
      </c>
      <c r="I79" s="49">
        <f>AVERAGE('01.08 Naalya-Ntinda 24h'!I79,'03.08 Naalya-Ntinda-24h'!I79)</f>
        <v>0.5</v>
      </c>
      <c r="J79" s="49">
        <f>AVERAGE('01.08 Naalya-Ntinda 24h'!J79,'03.08 Naalya-Ntinda-24h'!J79)</f>
        <v>0.5</v>
      </c>
      <c r="K79" s="49">
        <f>AVERAGE('01.08 Naalya-Ntinda 24h'!K79,'03.08 Naalya-Ntinda-24h'!K79)</f>
        <v>0</v>
      </c>
      <c r="L79" s="49">
        <f>AVERAGE('01.08 Naalya-Ntinda 24h'!L79,'03.08 Naalya-Ntinda-24h'!L79)</f>
        <v>0</v>
      </c>
      <c r="M79" s="49">
        <f>AVERAGE('01.08 Naalya-Ntinda 24h'!M79,'03.08 Naalya-Ntinda-24h'!M79)</f>
        <v>14.5</v>
      </c>
      <c r="N79" s="49">
        <f>AVERAGE('01.08 Naalya-Ntinda 24h'!N79,'03.08 Naalya-Ntinda-24h'!N79)</f>
        <v>0</v>
      </c>
      <c r="O79" s="15">
        <f t="shared" si="35"/>
        <v>35.5</v>
      </c>
      <c r="P79" s="15">
        <f t="shared" si="36"/>
        <v>50</v>
      </c>
      <c r="R79" s="8"/>
      <c r="T79"/>
    </row>
    <row r="80" spans="2:20" ht="23.1" customHeight="1" x14ac:dyDescent="0.25">
      <c r="B80" s="25" t="s">
        <v>120</v>
      </c>
      <c r="C80" s="49">
        <f>AVERAGE('01.08 Naalya-Ntinda 24h'!C80,'03.08 Naalya-Ntinda-24h'!C80)</f>
        <v>15.5</v>
      </c>
      <c r="D80" s="49">
        <f>AVERAGE('01.08 Naalya-Ntinda 24h'!D80,'03.08 Naalya-Ntinda-24h'!D80)</f>
        <v>4.5</v>
      </c>
      <c r="E80" s="49">
        <f>AVERAGE('01.08 Naalya-Ntinda 24h'!E80,'03.08 Naalya-Ntinda-24h'!E80)</f>
        <v>1</v>
      </c>
      <c r="F80" s="49">
        <f>AVERAGE('01.08 Naalya-Ntinda 24h'!F80,'03.08 Naalya-Ntinda-24h'!F80)</f>
        <v>1.5</v>
      </c>
      <c r="G80" s="49">
        <f>AVERAGE('01.08 Naalya-Ntinda 24h'!G80,'03.08 Naalya-Ntinda-24h'!G80)</f>
        <v>0</v>
      </c>
      <c r="H80" s="49">
        <f>AVERAGE('01.08 Naalya-Ntinda 24h'!H80,'03.08 Naalya-Ntinda-24h'!H80)</f>
        <v>0</v>
      </c>
      <c r="I80" s="49">
        <f>AVERAGE('01.08 Naalya-Ntinda 24h'!I80,'03.08 Naalya-Ntinda-24h'!I80)</f>
        <v>1</v>
      </c>
      <c r="J80" s="49">
        <f>AVERAGE('01.08 Naalya-Ntinda 24h'!J80,'03.08 Naalya-Ntinda-24h'!J80)</f>
        <v>0</v>
      </c>
      <c r="K80" s="49">
        <f>AVERAGE('01.08 Naalya-Ntinda 24h'!K80,'03.08 Naalya-Ntinda-24h'!K80)</f>
        <v>0.5</v>
      </c>
      <c r="L80" s="49">
        <f>AVERAGE('01.08 Naalya-Ntinda 24h'!L80,'03.08 Naalya-Ntinda-24h'!L80)</f>
        <v>0</v>
      </c>
      <c r="M80" s="49">
        <f>AVERAGE('01.08 Naalya-Ntinda 24h'!M80,'03.08 Naalya-Ntinda-24h'!M80)</f>
        <v>15.5</v>
      </c>
      <c r="N80" s="49">
        <f>AVERAGE('01.08 Naalya-Ntinda 24h'!N80,'03.08 Naalya-Ntinda-24h'!N80)</f>
        <v>0</v>
      </c>
      <c r="O80" s="15">
        <f t="shared" si="35"/>
        <v>24</v>
      </c>
      <c r="P80" s="15">
        <f t="shared" si="36"/>
        <v>39.5</v>
      </c>
      <c r="R80" s="8"/>
      <c r="T80"/>
    </row>
    <row r="81" spans="2:20" ht="23.1" customHeight="1" x14ac:dyDescent="0.25">
      <c r="B81" s="23" t="s">
        <v>121</v>
      </c>
      <c r="C81" s="49">
        <f>AVERAGE('01.08 Naalya-Ntinda 24h'!C81,'03.08 Naalya-Ntinda-24h'!C81)</f>
        <v>13.5</v>
      </c>
      <c r="D81" s="49">
        <f>AVERAGE('01.08 Naalya-Ntinda 24h'!D81,'03.08 Naalya-Ntinda-24h'!D81)</f>
        <v>5.5</v>
      </c>
      <c r="E81" s="49">
        <f>AVERAGE('01.08 Naalya-Ntinda 24h'!E81,'03.08 Naalya-Ntinda-24h'!E81)</f>
        <v>0</v>
      </c>
      <c r="F81" s="49">
        <f>AVERAGE('01.08 Naalya-Ntinda 24h'!F81,'03.08 Naalya-Ntinda-24h'!F81)</f>
        <v>0</v>
      </c>
      <c r="G81" s="49">
        <f>AVERAGE('01.08 Naalya-Ntinda 24h'!G81,'03.08 Naalya-Ntinda-24h'!G81)</f>
        <v>0</v>
      </c>
      <c r="H81" s="49">
        <f>AVERAGE('01.08 Naalya-Ntinda 24h'!H81,'03.08 Naalya-Ntinda-24h'!H81)</f>
        <v>0</v>
      </c>
      <c r="I81" s="49">
        <f>AVERAGE('01.08 Naalya-Ntinda 24h'!I81,'03.08 Naalya-Ntinda-24h'!I81)</f>
        <v>0</v>
      </c>
      <c r="J81" s="49">
        <f>AVERAGE('01.08 Naalya-Ntinda 24h'!J81,'03.08 Naalya-Ntinda-24h'!J81)</f>
        <v>0</v>
      </c>
      <c r="K81" s="49">
        <f>AVERAGE('01.08 Naalya-Ntinda 24h'!K81,'03.08 Naalya-Ntinda-24h'!K81)</f>
        <v>0</v>
      </c>
      <c r="L81" s="49">
        <f>AVERAGE('01.08 Naalya-Ntinda 24h'!L81,'03.08 Naalya-Ntinda-24h'!L81)</f>
        <v>0</v>
      </c>
      <c r="M81" s="49">
        <f>AVERAGE('01.08 Naalya-Ntinda 24h'!M81,'03.08 Naalya-Ntinda-24h'!M81)</f>
        <v>9</v>
      </c>
      <c r="N81" s="49">
        <f>AVERAGE('01.08 Naalya-Ntinda 24h'!N81,'03.08 Naalya-Ntinda-24h'!N81)</f>
        <v>0</v>
      </c>
      <c r="O81" s="15">
        <f t="shared" si="35"/>
        <v>19</v>
      </c>
      <c r="P81" s="15">
        <f t="shared" si="36"/>
        <v>28</v>
      </c>
      <c r="R81" s="8"/>
      <c r="T81"/>
    </row>
    <row r="82" spans="2:20" ht="23.1" customHeight="1" x14ac:dyDescent="0.25">
      <c r="B82" s="24" t="s">
        <v>122</v>
      </c>
      <c r="C82" s="49">
        <f>AVERAGE('01.08 Naalya-Ntinda 24h'!C82,'03.08 Naalya-Ntinda-24h'!C82)</f>
        <v>12.5</v>
      </c>
      <c r="D82" s="49">
        <f>AVERAGE('01.08 Naalya-Ntinda 24h'!D82,'03.08 Naalya-Ntinda-24h'!D82)</f>
        <v>4.5</v>
      </c>
      <c r="E82" s="49">
        <f>AVERAGE('01.08 Naalya-Ntinda 24h'!E82,'03.08 Naalya-Ntinda-24h'!E82)</f>
        <v>2.5</v>
      </c>
      <c r="F82" s="49">
        <f>AVERAGE('01.08 Naalya-Ntinda 24h'!F82,'03.08 Naalya-Ntinda-24h'!F82)</f>
        <v>0.5</v>
      </c>
      <c r="G82" s="49">
        <f>AVERAGE('01.08 Naalya-Ntinda 24h'!G82,'03.08 Naalya-Ntinda-24h'!G82)</f>
        <v>0</v>
      </c>
      <c r="H82" s="49">
        <f>AVERAGE('01.08 Naalya-Ntinda 24h'!H82,'03.08 Naalya-Ntinda-24h'!H82)</f>
        <v>0</v>
      </c>
      <c r="I82" s="49">
        <f>AVERAGE('01.08 Naalya-Ntinda 24h'!I82,'03.08 Naalya-Ntinda-24h'!I82)</f>
        <v>1</v>
      </c>
      <c r="J82" s="49">
        <f>AVERAGE('01.08 Naalya-Ntinda 24h'!J82,'03.08 Naalya-Ntinda-24h'!J82)</f>
        <v>1</v>
      </c>
      <c r="K82" s="49">
        <f>AVERAGE('01.08 Naalya-Ntinda 24h'!K82,'03.08 Naalya-Ntinda-24h'!K82)</f>
        <v>1</v>
      </c>
      <c r="L82" s="49">
        <f>AVERAGE('01.08 Naalya-Ntinda 24h'!L82,'03.08 Naalya-Ntinda-24h'!L82)</f>
        <v>0</v>
      </c>
      <c r="M82" s="49">
        <f>AVERAGE('01.08 Naalya-Ntinda 24h'!M82,'03.08 Naalya-Ntinda-24h'!M82)</f>
        <v>7.5</v>
      </c>
      <c r="N82" s="49">
        <f>AVERAGE('01.08 Naalya-Ntinda 24h'!N82,'03.08 Naalya-Ntinda-24h'!N82)</f>
        <v>0</v>
      </c>
      <c r="O82" s="15">
        <f t="shared" si="35"/>
        <v>23</v>
      </c>
      <c r="P82" s="15">
        <f t="shared" si="36"/>
        <v>30.5</v>
      </c>
      <c r="R82" s="8"/>
      <c r="T82"/>
    </row>
    <row r="83" spans="2:20" ht="23.1" customHeight="1" x14ac:dyDescent="0.25">
      <c r="B83" s="23" t="s">
        <v>123</v>
      </c>
      <c r="C83" s="49">
        <f>AVERAGE('01.08 Naalya-Ntinda 24h'!C83,'03.08 Naalya-Ntinda-24h'!C83)</f>
        <v>10</v>
      </c>
      <c r="D83" s="49">
        <f>AVERAGE('01.08 Naalya-Ntinda 24h'!D83,'03.08 Naalya-Ntinda-24h'!D83)</f>
        <v>6.5</v>
      </c>
      <c r="E83" s="49">
        <f>AVERAGE('01.08 Naalya-Ntinda 24h'!E83,'03.08 Naalya-Ntinda-24h'!E83)</f>
        <v>1</v>
      </c>
      <c r="F83" s="49">
        <f>AVERAGE('01.08 Naalya-Ntinda 24h'!F83,'03.08 Naalya-Ntinda-24h'!F83)</f>
        <v>0</v>
      </c>
      <c r="G83" s="49">
        <f>AVERAGE('01.08 Naalya-Ntinda 24h'!G83,'03.08 Naalya-Ntinda-24h'!G83)</f>
        <v>0</v>
      </c>
      <c r="H83" s="49">
        <f>AVERAGE('01.08 Naalya-Ntinda 24h'!H83,'03.08 Naalya-Ntinda-24h'!H83)</f>
        <v>0</v>
      </c>
      <c r="I83" s="49">
        <f>AVERAGE('01.08 Naalya-Ntinda 24h'!I83,'03.08 Naalya-Ntinda-24h'!I83)</f>
        <v>0</v>
      </c>
      <c r="J83" s="49">
        <f>AVERAGE('01.08 Naalya-Ntinda 24h'!J83,'03.08 Naalya-Ntinda-24h'!J83)</f>
        <v>0</v>
      </c>
      <c r="K83" s="49">
        <f>AVERAGE('01.08 Naalya-Ntinda 24h'!K83,'03.08 Naalya-Ntinda-24h'!K83)</f>
        <v>0</v>
      </c>
      <c r="L83" s="49">
        <f>AVERAGE('01.08 Naalya-Ntinda 24h'!L83,'03.08 Naalya-Ntinda-24h'!L83)</f>
        <v>0</v>
      </c>
      <c r="M83" s="49">
        <f>AVERAGE('01.08 Naalya-Ntinda 24h'!M83,'03.08 Naalya-Ntinda-24h'!M83)</f>
        <v>8</v>
      </c>
      <c r="N83" s="49">
        <f>AVERAGE('01.08 Naalya-Ntinda 24h'!N83,'03.08 Naalya-Ntinda-24h'!N83)</f>
        <v>0</v>
      </c>
      <c r="O83" s="15">
        <f t="shared" si="35"/>
        <v>17.5</v>
      </c>
      <c r="P83" s="15">
        <f t="shared" si="36"/>
        <v>25.5</v>
      </c>
      <c r="R83" s="8"/>
      <c r="T83"/>
    </row>
    <row r="84" spans="2:20" ht="23.1" customHeight="1" x14ac:dyDescent="0.25">
      <c r="B84" s="25" t="s">
        <v>124</v>
      </c>
      <c r="C84" s="49">
        <f>AVERAGE('01.08 Naalya-Ntinda 24h'!C84,'03.08 Naalya-Ntinda-24h'!C84)</f>
        <v>9</v>
      </c>
      <c r="D84" s="49">
        <f>AVERAGE('01.08 Naalya-Ntinda 24h'!D84,'03.08 Naalya-Ntinda-24h'!D84)</f>
        <v>4.5</v>
      </c>
      <c r="E84" s="49">
        <f>AVERAGE('01.08 Naalya-Ntinda 24h'!E84,'03.08 Naalya-Ntinda-24h'!E84)</f>
        <v>0</v>
      </c>
      <c r="F84" s="49">
        <f>AVERAGE('01.08 Naalya-Ntinda 24h'!F84,'03.08 Naalya-Ntinda-24h'!F84)</f>
        <v>0</v>
      </c>
      <c r="G84" s="49">
        <f>AVERAGE('01.08 Naalya-Ntinda 24h'!G84,'03.08 Naalya-Ntinda-24h'!G84)</f>
        <v>0</v>
      </c>
      <c r="H84" s="49">
        <f>AVERAGE('01.08 Naalya-Ntinda 24h'!H84,'03.08 Naalya-Ntinda-24h'!H84)</f>
        <v>0</v>
      </c>
      <c r="I84" s="49">
        <f>AVERAGE('01.08 Naalya-Ntinda 24h'!I84,'03.08 Naalya-Ntinda-24h'!I84)</f>
        <v>0</v>
      </c>
      <c r="J84" s="49">
        <f>AVERAGE('01.08 Naalya-Ntinda 24h'!J84,'03.08 Naalya-Ntinda-24h'!J84)</f>
        <v>0</v>
      </c>
      <c r="K84" s="49">
        <f>AVERAGE('01.08 Naalya-Ntinda 24h'!K84,'03.08 Naalya-Ntinda-24h'!K84)</f>
        <v>0</v>
      </c>
      <c r="L84" s="49">
        <f>AVERAGE('01.08 Naalya-Ntinda 24h'!L84,'03.08 Naalya-Ntinda-24h'!L84)</f>
        <v>0</v>
      </c>
      <c r="M84" s="49">
        <f>AVERAGE('01.08 Naalya-Ntinda 24h'!M84,'03.08 Naalya-Ntinda-24h'!M84)</f>
        <v>6</v>
      </c>
      <c r="N84" s="49">
        <f>AVERAGE('01.08 Naalya-Ntinda 24h'!N84,'03.08 Naalya-Ntinda-24h'!N84)</f>
        <v>0</v>
      </c>
      <c r="O84" s="15">
        <f t="shared" si="35"/>
        <v>13.5</v>
      </c>
      <c r="P84" s="15">
        <f t="shared" si="36"/>
        <v>19.5</v>
      </c>
      <c r="R84" s="8"/>
      <c r="T84"/>
    </row>
    <row r="85" spans="2:20" ht="23.1" customHeight="1" x14ac:dyDescent="0.25">
      <c r="B85" s="23" t="s">
        <v>125</v>
      </c>
      <c r="C85" s="49">
        <f>AVERAGE('01.08 Naalya-Ntinda 24h'!C85,'03.08 Naalya-Ntinda-24h'!C85)</f>
        <v>8</v>
      </c>
      <c r="D85" s="49">
        <f>AVERAGE('01.08 Naalya-Ntinda 24h'!D85,'03.08 Naalya-Ntinda-24h'!D85)</f>
        <v>3.5</v>
      </c>
      <c r="E85" s="49">
        <f>AVERAGE('01.08 Naalya-Ntinda 24h'!E85,'03.08 Naalya-Ntinda-24h'!E85)</f>
        <v>0.5</v>
      </c>
      <c r="F85" s="49">
        <f>AVERAGE('01.08 Naalya-Ntinda 24h'!F85,'03.08 Naalya-Ntinda-24h'!F85)</f>
        <v>1</v>
      </c>
      <c r="G85" s="49">
        <f>AVERAGE('01.08 Naalya-Ntinda 24h'!G85,'03.08 Naalya-Ntinda-24h'!G85)</f>
        <v>0</v>
      </c>
      <c r="H85" s="49">
        <f>AVERAGE('01.08 Naalya-Ntinda 24h'!H85,'03.08 Naalya-Ntinda-24h'!H85)</f>
        <v>0</v>
      </c>
      <c r="I85" s="49">
        <f>AVERAGE('01.08 Naalya-Ntinda 24h'!I85,'03.08 Naalya-Ntinda-24h'!I85)</f>
        <v>0</v>
      </c>
      <c r="J85" s="49">
        <f>AVERAGE('01.08 Naalya-Ntinda 24h'!J85,'03.08 Naalya-Ntinda-24h'!J85)</f>
        <v>0</v>
      </c>
      <c r="K85" s="49">
        <f>AVERAGE('01.08 Naalya-Ntinda 24h'!K85,'03.08 Naalya-Ntinda-24h'!K85)</f>
        <v>0</v>
      </c>
      <c r="L85" s="49">
        <f>AVERAGE('01.08 Naalya-Ntinda 24h'!L85,'03.08 Naalya-Ntinda-24h'!L85)</f>
        <v>0</v>
      </c>
      <c r="M85" s="49">
        <f>AVERAGE('01.08 Naalya-Ntinda 24h'!M85,'03.08 Naalya-Ntinda-24h'!M85)</f>
        <v>6</v>
      </c>
      <c r="N85" s="49">
        <f>AVERAGE('01.08 Naalya-Ntinda 24h'!N85,'03.08 Naalya-Ntinda-24h'!N85)</f>
        <v>0</v>
      </c>
      <c r="O85" s="15">
        <f t="shared" si="35"/>
        <v>13</v>
      </c>
      <c r="P85" s="15">
        <f t="shared" si="36"/>
        <v>19</v>
      </c>
      <c r="R85" s="8"/>
      <c r="T85"/>
    </row>
    <row r="86" spans="2:20" ht="23.1" customHeight="1" x14ac:dyDescent="0.25">
      <c r="B86" s="24" t="s">
        <v>126</v>
      </c>
      <c r="C86" s="49">
        <f>AVERAGE('01.08 Naalya-Ntinda 24h'!C86,'03.08 Naalya-Ntinda-24h'!C86)</f>
        <v>12.5</v>
      </c>
      <c r="D86" s="49">
        <f>AVERAGE('01.08 Naalya-Ntinda 24h'!D86,'03.08 Naalya-Ntinda-24h'!D86)</f>
        <v>6</v>
      </c>
      <c r="E86" s="49">
        <f>AVERAGE('01.08 Naalya-Ntinda 24h'!E86,'03.08 Naalya-Ntinda-24h'!E86)</f>
        <v>2</v>
      </c>
      <c r="F86" s="49">
        <f>AVERAGE('01.08 Naalya-Ntinda 24h'!F86,'03.08 Naalya-Ntinda-24h'!F86)</f>
        <v>0</v>
      </c>
      <c r="G86" s="49">
        <f>AVERAGE('01.08 Naalya-Ntinda 24h'!G86,'03.08 Naalya-Ntinda-24h'!G86)</f>
        <v>0</v>
      </c>
      <c r="H86" s="49">
        <f>AVERAGE('01.08 Naalya-Ntinda 24h'!H86,'03.08 Naalya-Ntinda-24h'!H86)</f>
        <v>0</v>
      </c>
      <c r="I86" s="49">
        <f>AVERAGE('01.08 Naalya-Ntinda 24h'!I86,'03.08 Naalya-Ntinda-24h'!I86)</f>
        <v>0</v>
      </c>
      <c r="J86" s="49">
        <f>AVERAGE('01.08 Naalya-Ntinda 24h'!J86,'03.08 Naalya-Ntinda-24h'!J86)</f>
        <v>0</v>
      </c>
      <c r="K86" s="49">
        <f>AVERAGE('01.08 Naalya-Ntinda 24h'!K86,'03.08 Naalya-Ntinda-24h'!K86)</f>
        <v>0</v>
      </c>
      <c r="L86" s="49">
        <f>AVERAGE('01.08 Naalya-Ntinda 24h'!L86,'03.08 Naalya-Ntinda-24h'!L86)</f>
        <v>0</v>
      </c>
      <c r="M86" s="49">
        <f>AVERAGE('01.08 Naalya-Ntinda 24h'!M86,'03.08 Naalya-Ntinda-24h'!M86)</f>
        <v>10.5</v>
      </c>
      <c r="N86" s="49">
        <f>AVERAGE('01.08 Naalya-Ntinda 24h'!N86,'03.08 Naalya-Ntinda-24h'!N86)</f>
        <v>0</v>
      </c>
      <c r="O86" s="15">
        <f t="shared" si="35"/>
        <v>20.5</v>
      </c>
      <c r="P86" s="15">
        <f t="shared" si="36"/>
        <v>31</v>
      </c>
      <c r="R86" s="8"/>
      <c r="T86"/>
    </row>
    <row r="87" spans="2:20" ht="23.1" customHeight="1" x14ac:dyDescent="0.25">
      <c r="B87" s="23" t="s">
        <v>127</v>
      </c>
      <c r="C87" s="49">
        <f>AVERAGE('01.08 Naalya-Ntinda 24h'!C87,'03.08 Naalya-Ntinda-24h'!C87)</f>
        <v>13.5</v>
      </c>
      <c r="D87" s="49">
        <f>AVERAGE('01.08 Naalya-Ntinda 24h'!D87,'03.08 Naalya-Ntinda-24h'!D87)</f>
        <v>3.5</v>
      </c>
      <c r="E87" s="49">
        <f>AVERAGE('01.08 Naalya-Ntinda 24h'!E87,'03.08 Naalya-Ntinda-24h'!E87)</f>
        <v>0</v>
      </c>
      <c r="F87" s="49">
        <f>AVERAGE('01.08 Naalya-Ntinda 24h'!F87,'03.08 Naalya-Ntinda-24h'!F87)</f>
        <v>0</v>
      </c>
      <c r="G87" s="49">
        <f>AVERAGE('01.08 Naalya-Ntinda 24h'!G87,'03.08 Naalya-Ntinda-24h'!G87)</f>
        <v>0</v>
      </c>
      <c r="H87" s="49">
        <f>AVERAGE('01.08 Naalya-Ntinda 24h'!H87,'03.08 Naalya-Ntinda-24h'!H87)</f>
        <v>0</v>
      </c>
      <c r="I87" s="49">
        <f>AVERAGE('01.08 Naalya-Ntinda 24h'!I87,'03.08 Naalya-Ntinda-24h'!I87)</f>
        <v>0</v>
      </c>
      <c r="J87" s="49">
        <f>AVERAGE('01.08 Naalya-Ntinda 24h'!J87,'03.08 Naalya-Ntinda-24h'!J87)</f>
        <v>0</v>
      </c>
      <c r="K87" s="49">
        <f>AVERAGE('01.08 Naalya-Ntinda 24h'!K87,'03.08 Naalya-Ntinda-24h'!K87)</f>
        <v>0</v>
      </c>
      <c r="L87" s="49">
        <f>AVERAGE('01.08 Naalya-Ntinda 24h'!L87,'03.08 Naalya-Ntinda-24h'!L87)</f>
        <v>0</v>
      </c>
      <c r="M87" s="49">
        <f>AVERAGE('01.08 Naalya-Ntinda 24h'!M87,'03.08 Naalya-Ntinda-24h'!M87)</f>
        <v>7.5</v>
      </c>
      <c r="N87" s="49">
        <f>AVERAGE('01.08 Naalya-Ntinda 24h'!N87,'03.08 Naalya-Ntinda-24h'!N87)</f>
        <v>0</v>
      </c>
      <c r="O87" s="15">
        <f t="shared" si="35"/>
        <v>17</v>
      </c>
      <c r="P87" s="15">
        <f t="shared" si="36"/>
        <v>24.5</v>
      </c>
      <c r="R87" s="8"/>
      <c r="T87"/>
    </row>
    <row r="88" spans="2:20" ht="23.1" customHeight="1" x14ac:dyDescent="0.25">
      <c r="B88" s="25" t="s">
        <v>128</v>
      </c>
      <c r="C88" s="49">
        <f>AVERAGE('01.08 Naalya-Ntinda 24h'!C88,'03.08 Naalya-Ntinda-24h'!C88)</f>
        <v>10.5</v>
      </c>
      <c r="D88" s="49">
        <f>AVERAGE('01.08 Naalya-Ntinda 24h'!D88,'03.08 Naalya-Ntinda-24h'!D88)</f>
        <v>2.5</v>
      </c>
      <c r="E88" s="49">
        <f>AVERAGE('01.08 Naalya-Ntinda 24h'!E88,'03.08 Naalya-Ntinda-24h'!E88)</f>
        <v>0.5</v>
      </c>
      <c r="F88" s="49">
        <f>AVERAGE('01.08 Naalya-Ntinda 24h'!F88,'03.08 Naalya-Ntinda-24h'!F88)</f>
        <v>0</v>
      </c>
      <c r="G88" s="49">
        <f>AVERAGE('01.08 Naalya-Ntinda 24h'!G88,'03.08 Naalya-Ntinda-24h'!G88)</f>
        <v>0</v>
      </c>
      <c r="H88" s="49">
        <f>AVERAGE('01.08 Naalya-Ntinda 24h'!H88,'03.08 Naalya-Ntinda-24h'!H88)</f>
        <v>0</v>
      </c>
      <c r="I88" s="49">
        <f>AVERAGE('01.08 Naalya-Ntinda 24h'!I88,'03.08 Naalya-Ntinda-24h'!I88)</f>
        <v>0</v>
      </c>
      <c r="J88" s="49">
        <f>AVERAGE('01.08 Naalya-Ntinda 24h'!J88,'03.08 Naalya-Ntinda-24h'!J88)</f>
        <v>0.5</v>
      </c>
      <c r="K88" s="49">
        <f>AVERAGE('01.08 Naalya-Ntinda 24h'!K88,'03.08 Naalya-Ntinda-24h'!K88)</f>
        <v>0</v>
      </c>
      <c r="L88" s="49">
        <f>AVERAGE('01.08 Naalya-Ntinda 24h'!L88,'03.08 Naalya-Ntinda-24h'!L88)</f>
        <v>0.5</v>
      </c>
      <c r="M88" s="49">
        <f>AVERAGE('01.08 Naalya-Ntinda 24h'!M88,'03.08 Naalya-Ntinda-24h'!M88)</f>
        <v>7</v>
      </c>
      <c r="N88" s="49">
        <f>AVERAGE('01.08 Naalya-Ntinda 24h'!N88,'03.08 Naalya-Ntinda-24h'!N88)</f>
        <v>0</v>
      </c>
      <c r="O88" s="15">
        <f t="shared" si="35"/>
        <v>14.5</v>
      </c>
      <c r="P88" s="15">
        <f t="shared" si="36"/>
        <v>21.5</v>
      </c>
      <c r="R88" s="8"/>
      <c r="T88"/>
    </row>
    <row r="89" spans="2:20" ht="23.1" customHeight="1" x14ac:dyDescent="0.25">
      <c r="B89" s="23" t="s">
        <v>129</v>
      </c>
      <c r="C89" s="49">
        <f>AVERAGE('01.08 Naalya-Ntinda 24h'!C89,'03.08 Naalya-Ntinda-24h'!C89)</f>
        <v>2</v>
      </c>
      <c r="D89" s="49">
        <f>AVERAGE('01.08 Naalya-Ntinda 24h'!D89,'03.08 Naalya-Ntinda-24h'!D89)</f>
        <v>2.5</v>
      </c>
      <c r="E89" s="49">
        <f>AVERAGE('01.08 Naalya-Ntinda 24h'!E89,'03.08 Naalya-Ntinda-24h'!E89)</f>
        <v>0.5</v>
      </c>
      <c r="F89" s="49">
        <f>AVERAGE('01.08 Naalya-Ntinda 24h'!F89,'03.08 Naalya-Ntinda-24h'!F89)</f>
        <v>0</v>
      </c>
      <c r="G89" s="49">
        <f>AVERAGE('01.08 Naalya-Ntinda 24h'!G89,'03.08 Naalya-Ntinda-24h'!G89)</f>
        <v>0</v>
      </c>
      <c r="H89" s="49">
        <f>AVERAGE('01.08 Naalya-Ntinda 24h'!H89,'03.08 Naalya-Ntinda-24h'!H89)</f>
        <v>0</v>
      </c>
      <c r="I89" s="49">
        <f>AVERAGE('01.08 Naalya-Ntinda 24h'!I89,'03.08 Naalya-Ntinda-24h'!I89)</f>
        <v>0</v>
      </c>
      <c r="J89" s="49">
        <f>AVERAGE('01.08 Naalya-Ntinda 24h'!J89,'03.08 Naalya-Ntinda-24h'!J89)</f>
        <v>0</v>
      </c>
      <c r="K89" s="49">
        <f>AVERAGE('01.08 Naalya-Ntinda 24h'!K89,'03.08 Naalya-Ntinda-24h'!K89)</f>
        <v>0.5</v>
      </c>
      <c r="L89" s="49">
        <f>AVERAGE('01.08 Naalya-Ntinda 24h'!L89,'03.08 Naalya-Ntinda-24h'!L89)</f>
        <v>0</v>
      </c>
      <c r="M89" s="49">
        <f>AVERAGE('01.08 Naalya-Ntinda 24h'!M89,'03.08 Naalya-Ntinda-24h'!M89)</f>
        <v>5.5</v>
      </c>
      <c r="N89" s="49">
        <f>AVERAGE('01.08 Naalya-Ntinda 24h'!N89,'03.08 Naalya-Ntinda-24h'!N89)</f>
        <v>0</v>
      </c>
      <c r="O89" s="15">
        <f t="shared" si="35"/>
        <v>5.5</v>
      </c>
      <c r="P89" s="15">
        <f t="shared" si="36"/>
        <v>11</v>
      </c>
      <c r="R89" s="8"/>
      <c r="T89"/>
    </row>
    <row r="90" spans="2:20" ht="23.1" customHeight="1" x14ac:dyDescent="0.25">
      <c r="B90" s="24" t="s">
        <v>130</v>
      </c>
      <c r="C90" s="49">
        <f>AVERAGE('01.08 Naalya-Ntinda 24h'!C90,'03.08 Naalya-Ntinda-24h'!C90)</f>
        <v>4.5</v>
      </c>
      <c r="D90" s="49">
        <f>AVERAGE('01.08 Naalya-Ntinda 24h'!D90,'03.08 Naalya-Ntinda-24h'!D90)</f>
        <v>1</v>
      </c>
      <c r="E90" s="49">
        <f>AVERAGE('01.08 Naalya-Ntinda 24h'!E90,'03.08 Naalya-Ntinda-24h'!E90)</f>
        <v>1</v>
      </c>
      <c r="F90" s="49">
        <f>AVERAGE('01.08 Naalya-Ntinda 24h'!F90,'03.08 Naalya-Ntinda-24h'!F90)</f>
        <v>0.5</v>
      </c>
      <c r="G90" s="49">
        <f>AVERAGE('01.08 Naalya-Ntinda 24h'!G90,'03.08 Naalya-Ntinda-24h'!G90)</f>
        <v>0</v>
      </c>
      <c r="H90" s="49">
        <f>AVERAGE('01.08 Naalya-Ntinda 24h'!H90,'03.08 Naalya-Ntinda-24h'!H90)</f>
        <v>0</v>
      </c>
      <c r="I90" s="49">
        <f>AVERAGE('01.08 Naalya-Ntinda 24h'!I90,'03.08 Naalya-Ntinda-24h'!I90)</f>
        <v>0</v>
      </c>
      <c r="J90" s="49">
        <f>AVERAGE('01.08 Naalya-Ntinda 24h'!J90,'03.08 Naalya-Ntinda-24h'!J90)</f>
        <v>0</v>
      </c>
      <c r="K90" s="49">
        <f>AVERAGE('01.08 Naalya-Ntinda 24h'!K90,'03.08 Naalya-Ntinda-24h'!K90)</f>
        <v>0</v>
      </c>
      <c r="L90" s="49">
        <f>AVERAGE('01.08 Naalya-Ntinda 24h'!L90,'03.08 Naalya-Ntinda-24h'!L90)</f>
        <v>0</v>
      </c>
      <c r="M90" s="49">
        <f>AVERAGE('01.08 Naalya-Ntinda 24h'!M90,'03.08 Naalya-Ntinda-24h'!M90)</f>
        <v>1</v>
      </c>
      <c r="N90" s="49">
        <f>AVERAGE('01.08 Naalya-Ntinda 24h'!N90,'03.08 Naalya-Ntinda-24h'!N90)</f>
        <v>0</v>
      </c>
      <c r="O90" s="15">
        <f t="shared" si="35"/>
        <v>7</v>
      </c>
      <c r="P90" s="15">
        <f t="shared" si="36"/>
        <v>8</v>
      </c>
      <c r="R90" s="8"/>
      <c r="T90"/>
    </row>
    <row r="91" spans="2:20" ht="23.1" customHeight="1" x14ac:dyDescent="0.25">
      <c r="B91" s="23" t="s">
        <v>131</v>
      </c>
      <c r="C91" s="49">
        <f>AVERAGE('01.08 Naalya-Ntinda 24h'!C91,'03.08 Naalya-Ntinda-24h'!C91)</f>
        <v>7</v>
      </c>
      <c r="D91" s="49">
        <f>AVERAGE('01.08 Naalya-Ntinda 24h'!D91,'03.08 Naalya-Ntinda-24h'!D91)</f>
        <v>3</v>
      </c>
      <c r="E91" s="49">
        <f>AVERAGE('01.08 Naalya-Ntinda 24h'!E91,'03.08 Naalya-Ntinda-24h'!E91)</f>
        <v>0.5</v>
      </c>
      <c r="F91" s="49">
        <f>AVERAGE('01.08 Naalya-Ntinda 24h'!F91,'03.08 Naalya-Ntinda-24h'!F91)</f>
        <v>0.5</v>
      </c>
      <c r="G91" s="49">
        <f>AVERAGE('01.08 Naalya-Ntinda 24h'!G91,'03.08 Naalya-Ntinda-24h'!G91)</f>
        <v>0</v>
      </c>
      <c r="H91" s="49">
        <f>AVERAGE('01.08 Naalya-Ntinda 24h'!H91,'03.08 Naalya-Ntinda-24h'!H91)</f>
        <v>0</v>
      </c>
      <c r="I91" s="49">
        <f>AVERAGE('01.08 Naalya-Ntinda 24h'!I91,'03.08 Naalya-Ntinda-24h'!I91)</f>
        <v>0.5</v>
      </c>
      <c r="J91" s="49">
        <f>AVERAGE('01.08 Naalya-Ntinda 24h'!J91,'03.08 Naalya-Ntinda-24h'!J91)</f>
        <v>0</v>
      </c>
      <c r="K91" s="49">
        <f>AVERAGE('01.08 Naalya-Ntinda 24h'!K91,'03.08 Naalya-Ntinda-24h'!K91)</f>
        <v>0</v>
      </c>
      <c r="L91" s="49">
        <f>AVERAGE('01.08 Naalya-Ntinda 24h'!L91,'03.08 Naalya-Ntinda-24h'!L91)</f>
        <v>0</v>
      </c>
      <c r="M91" s="49">
        <f>AVERAGE('01.08 Naalya-Ntinda 24h'!M91,'03.08 Naalya-Ntinda-24h'!M91)</f>
        <v>2.5</v>
      </c>
      <c r="N91" s="49">
        <f>AVERAGE('01.08 Naalya-Ntinda 24h'!N91,'03.08 Naalya-Ntinda-24h'!N91)</f>
        <v>0</v>
      </c>
      <c r="O91" s="15">
        <f t="shared" si="35"/>
        <v>11.5</v>
      </c>
      <c r="P91" s="15">
        <f t="shared" si="36"/>
        <v>14</v>
      </c>
      <c r="R91" s="8"/>
      <c r="T91"/>
    </row>
    <row r="92" spans="2:20" ht="23.1" customHeight="1" x14ac:dyDescent="0.25">
      <c r="B92" s="25" t="s">
        <v>132</v>
      </c>
      <c r="C92" s="49">
        <f>AVERAGE('01.08 Naalya-Ntinda 24h'!C92,'03.08 Naalya-Ntinda-24h'!C92)</f>
        <v>1</v>
      </c>
      <c r="D92" s="49">
        <f>AVERAGE('01.08 Naalya-Ntinda 24h'!D92,'03.08 Naalya-Ntinda-24h'!D92)</f>
        <v>0</v>
      </c>
      <c r="E92" s="49">
        <f>AVERAGE('01.08 Naalya-Ntinda 24h'!E92,'03.08 Naalya-Ntinda-24h'!E92)</f>
        <v>0</v>
      </c>
      <c r="F92" s="49">
        <f>AVERAGE('01.08 Naalya-Ntinda 24h'!F92,'03.08 Naalya-Ntinda-24h'!F92)</f>
        <v>0.5</v>
      </c>
      <c r="G92" s="49">
        <f>AVERAGE('01.08 Naalya-Ntinda 24h'!G92,'03.08 Naalya-Ntinda-24h'!G92)</f>
        <v>0</v>
      </c>
      <c r="H92" s="49">
        <f>AVERAGE('01.08 Naalya-Ntinda 24h'!H92,'03.08 Naalya-Ntinda-24h'!H92)</f>
        <v>0</v>
      </c>
      <c r="I92" s="49">
        <f>AVERAGE('01.08 Naalya-Ntinda 24h'!I92,'03.08 Naalya-Ntinda-24h'!I92)</f>
        <v>0</v>
      </c>
      <c r="J92" s="49">
        <f>AVERAGE('01.08 Naalya-Ntinda 24h'!J92,'03.08 Naalya-Ntinda-24h'!J92)</f>
        <v>0</v>
      </c>
      <c r="K92" s="49">
        <f>AVERAGE('01.08 Naalya-Ntinda 24h'!K92,'03.08 Naalya-Ntinda-24h'!K92)</f>
        <v>0</v>
      </c>
      <c r="L92" s="49">
        <f>AVERAGE('01.08 Naalya-Ntinda 24h'!L92,'03.08 Naalya-Ntinda-24h'!L92)</f>
        <v>0</v>
      </c>
      <c r="M92" s="49">
        <f>AVERAGE('01.08 Naalya-Ntinda 24h'!M92,'03.08 Naalya-Ntinda-24h'!M92)</f>
        <v>0.5</v>
      </c>
      <c r="N92" s="49">
        <f>AVERAGE('01.08 Naalya-Ntinda 24h'!N92,'03.08 Naalya-Ntinda-24h'!N92)</f>
        <v>0</v>
      </c>
      <c r="O92" s="15">
        <f t="shared" si="35"/>
        <v>1.5</v>
      </c>
      <c r="P92" s="15">
        <f t="shared" si="36"/>
        <v>2</v>
      </c>
      <c r="R92" s="8"/>
      <c r="T92"/>
    </row>
    <row r="93" spans="2:20" ht="23.1" customHeight="1" x14ac:dyDescent="0.25">
      <c r="B93" s="23" t="s">
        <v>133</v>
      </c>
      <c r="C93" s="49">
        <f>AVERAGE('01.08 Naalya-Ntinda 24h'!C93,'03.08 Naalya-Ntinda-24h'!C93)</f>
        <v>2</v>
      </c>
      <c r="D93" s="49">
        <f>AVERAGE('01.08 Naalya-Ntinda 24h'!D93,'03.08 Naalya-Ntinda-24h'!D93)</f>
        <v>0.5</v>
      </c>
      <c r="E93" s="49">
        <f>AVERAGE('01.08 Naalya-Ntinda 24h'!E93,'03.08 Naalya-Ntinda-24h'!E93)</f>
        <v>0.5</v>
      </c>
      <c r="F93" s="49">
        <f>AVERAGE('01.08 Naalya-Ntinda 24h'!F93,'03.08 Naalya-Ntinda-24h'!F93)</f>
        <v>0</v>
      </c>
      <c r="G93" s="49">
        <f>AVERAGE('01.08 Naalya-Ntinda 24h'!G93,'03.08 Naalya-Ntinda-24h'!G93)</f>
        <v>0</v>
      </c>
      <c r="H93" s="49">
        <f>AVERAGE('01.08 Naalya-Ntinda 24h'!H93,'03.08 Naalya-Ntinda-24h'!H93)</f>
        <v>0</v>
      </c>
      <c r="I93" s="49">
        <f>AVERAGE('01.08 Naalya-Ntinda 24h'!I93,'03.08 Naalya-Ntinda-24h'!I93)</f>
        <v>0</v>
      </c>
      <c r="J93" s="49">
        <f>AVERAGE('01.08 Naalya-Ntinda 24h'!J93,'03.08 Naalya-Ntinda-24h'!J93)</f>
        <v>0.5</v>
      </c>
      <c r="K93" s="49">
        <f>AVERAGE('01.08 Naalya-Ntinda 24h'!K93,'03.08 Naalya-Ntinda-24h'!K93)</f>
        <v>0</v>
      </c>
      <c r="L93" s="49">
        <f>AVERAGE('01.08 Naalya-Ntinda 24h'!L93,'03.08 Naalya-Ntinda-24h'!L93)</f>
        <v>0</v>
      </c>
      <c r="M93" s="49">
        <f>AVERAGE('01.08 Naalya-Ntinda 24h'!M93,'03.08 Naalya-Ntinda-24h'!M93)</f>
        <v>0.5</v>
      </c>
      <c r="N93" s="49">
        <f>AVERAGE('01.08 Naalya-Ntinda 24h'!N93,'03.08 Naalya-Ntinda-24h'!N93)</f>
        <v>0</v>
      </c>
      <c r="O93" s="15">
        <f t="shared" si="35"/>
        <v>3.5</v>
      </c>
      <c r="P93" s="15">
        <f t="shared" si="36"/>
        <v>4</v>
      </c>
      <c r="R93" s="8"/>
      <c r="T93"/>
    </row>
    <row r="94" spans="2:20" ht="23.1" customHeight="1" x14ac:dyDescent="0.25">
      <c r="B94" s="24" t="s">
        <v>134</v>
      </c>
      <c r="C94" s="49">
        <f>AVERAGE('01.08 Naalya-Ntinda 24h'!C94,'03.08 Naalya-Ntinda-24h'!C94)</f>
        <v>2</v>
      </c>
      <c r="D94" s="49">
        <f>AVERAGE('01.08 Naalya-Ntinda 24h'!D94,'03.08 Naalya-Ntinda-24h'!D94)</f>
        <v>2.5</v>
      </c>
      <c r="E94" s="49">
        <f>AVERAGE('01.08 Naalya-Ntinda 24h'!E94,'03.08 Naalya-Ntinda-24h'!E94)</f>
        <v>0.5</v>
      </c>
      <c r="F94" s="49">
        <f>AVERAGE('01.08 Naalya-Ntinda 24h'!F94,'03.08 Naalya-Ntinda-24h'!F94)</f>
        <v>0</v>
      </c>
      <c r="G94" s="49">
        <f>AVERAGE('01.08 Naalya-Ntinda 24h'!G94,'03.08 Naalya-Ntinda-24h'!G94)</f>
        <v>0</v>
      </c>
      <c r="H94" s="49">
        <f>AVERAGE('01.08 Naalya-Ntinda 24h'!H94,'03.08 Naalya-Ntinda-24h'!H94)</f>
        <v>0</v>
      </c>
      <c r="I94" s="49">
        <f>AVERAGE('01.08 Naalya-Ntinda 24h'!I94,'03.08 Naalya-Ntinda-24h'!I94)</f>
        <v>0</v>
      </c>
      <c r="J94" s="49">
        <f>AVERAGE('01.08 Naalya-Ntinda 24h'!J94,'03.08 Naalya-Ntinda-24h'!J94)</f>
        <v>0</v>
      </c>
      <c r="K94" s="49">
        <f>AVERAGE('01.08 Naalya-Ntinda 24h'!K94,'03.08 Naalya-Ntinda-24h'!K94)</f>
        <v>0</v>
      </c>
      <c r="L94" s="49">
        <f>AVERAGE('01.08 Naalya-Ntinda 24h'!L94,'03.08 Naalya-Ntinda-24h'!L94)</f>
        <v>0</v>
      </c>
      <c r="M94" s="49">
        <f>AVERAGE('01.08 Naalya-Ntinda 24h'!M94,'03.08 Naalya-Ntinda-24h'!M94)</f>
        <v>0.5</v>
      </c>
      <c r="N94" s="49">
        <f>AVERAGE('01.08 Naalya-Ntinda 24h'!N94,'03.08 Naalya-Ntinda-24h'!N94)</f>
        <v>0</v>
      </c>
      <c r="O94" s="15">
        <f t="shared" si="35"/>
        <v>5</v>
      </c>
      <c r="P94" s="15">
        <f t="shared" si="36"/>
        <v>5.5</v>
      </c>
      <c r="R94" s="8"/>
      <c r="T94"/>
    </row>
    <row r="95" spans="2:20" ht="23.1" customHeight="1" x14ac:dyDescent="0.25">
      <c r="B95" s="23" t="s">
        <v>135</v>
      </c>
      <c r="C95" s="49">
        <f>AVERAGE('01.08 Naalya-Ntinda 24h'!C95,'03.08 Naalya-Ntinda-24h'!C95)</f>
        <v>8.5</v>
      </c>
      <c r="D95" s="49">
        <f>AVERAGE('01.08 Naalya-Ntinda 24h'!D95,'03.08 Naalya-Ntinda-24h'!D95)</f>
        <v>2.5</v>
      </c>
      <c r="E95" s="49">
        <f>AVERAGE('01.08 Naalya-Ntinda 24h'!E95,'03.08 Naalya-Ntinda-24h'!E95)</f>
        <v>0.5</v>
      </c>
      <c r="F95" s="49">
        <f>AVERAGE('01.08 Naalya-Ntinda 24h'!F95,'03.08 Naalya-Ntinda-24h'!F95)</f>
        <v>0.5</v>
      </c>
      <c r="G95" s="49">
        <f>AVERAGE('01.08 Naalya-Ntinda 24h'!G95,'03.08 Naalya-Ntinda-24h'!G95)</f>
        <v>0.5</v>
      </c>
      <c r="H95" s="49">
        <f>AVERAGE('01.08 Naalya-Ntinda 24h'!H95,'03.08 Naalya-Ntinda-24h'!H95)</f>
        <v>0</v>
      </c>
      <c r="I95" s="49">
        <f>AVERAGE('01.08 Naalya-Ntinda 24h'!I95,'03.08 Naalya-Ntinda-24h'!I95)</f>
        <v>0</v>
      </c>
      <c r="J95" s="49">
        <f>AVERAGE('01.08 Naalya-Ntinda 24h'!J95,'03.08 Naalya-Ntinda-24h'!J95)</f>
        <v>0</v>
      </c>
      <c r="K95" s="49">
        <f>AVERAGE('01.08 Naalya-Ntinda 24h'!K95,'03.08 Naalya-Ntinda-24h'!K95)</f>
        <v>0</v>
      </c>
      <c r="L95" s="49">
        <f>AVERAGE('01.08 Naalya-Ntinda 24h'!L95,'03.08 Naalya-Ntinda-24h'!L95)</f>
        <v>0</v>
      </c>
      <c r="M95" s="49">
        <f>AVERAGE('01.08 Naalya-Ntinda 24h'!M95,'03.08 Naalya-Ntinda-24h'!M95)</f>
        <v>1</v>
      </c>
      <c r="N95" s="49">
        <f>AVERAGE('01.08 Naalya-Ntinda 24h'!N95,'03.08 Naalya-Ntinda-24h'!N95)</f>
        <v>0</v>
      </c>
      <c r="O95" s="15">
        <f t="shared" si="35"/>
        <v>12.5</v>
      </c>
      <c r="P95" s="15">
        <f t="shared" si="36"/>
        <v>13.5</v>
      </c>
      <c r="R95" s="8"/>
      <c r="T95"/>
    </row>
    <row r="96" spans="2:20" ht="23.1" customHeight="1" x14ac:dyDescent="0.25">
      <c r="B96" s="25" t="s">
        <v>136</v>
      </c>
      <c r="C96" s="49">
        <f>AVERAGE('01.08 Naalya-Ntinda 24h'!C96,'03.08 Naalya-Ntinda-24h'!C96)</f>
        <v>8</v>
      </c>
      <c r="D96" s="49">
        <f>AVERAGE('01.08 Naalya-Ntinda 24h'!D96,'03.08 Naalya-Ntinda-24h'!D96)</f>
        <v>1.5</v>
      </c>
      <c r="E96" s="49">
        <f>AVERAGE('01.08 Naalya-Ntinda 24h'!E96,'03.08 Naalya-Ntinda-24h'!E96)</f>
        <v>0</v>
      </c>
      <c r="F96" s="49">
        <f>AVERAGE('01.08 Naalya-Ntinda 24h'!F96,'03.08 Naalya-Ntinda-24h'!F96)</f>
        <v>1.5</v>
      </c>
      <c r="G96" s="49">
        <f>AVERAGE('01.08 Naalya-Ntinda 24h'!G96,'03.08 Naalya-Ntinda-24h'!G96)</f>
        <v>0</v>
      </c>
      <c r="H96" s="49">
        <f>AVERAGE('01.08 Naalya-Ntinda 24h'!H96,'03.08 Naalya-Ntinda-24h'!H96)</f>
        <v>0</v>
      </c>
      <c r="I96" s="49">
        <f>AVERAGE('01.08 Naalya-Ntinda 24h'!I96,'03.08 Naalya-Ntinda-24h'!I96)</f>
        <v>0</v>
      </c>
      <c r="J96" s="49">
        <f>AVERAGE('01.08 Naalya-Ntinda 24h'!J96,'03.08 Naalya-Ntinda-24h'!J96)</f>
        <v>0.5</v>
      </c>
      <c r="K96" s="49">
        <f>AVERAGE('01.08 Naalya-Ntinda 24h'!K96,'03.08 Naalya-Ntinda-24h'!K96)</f>
        <v>0</v>
      </c>
      <c r="L96" s="49">
        <f>AVERAGE('01.08 Naalya-Ntinda 24h'!L96,'03.08 Naalya-Ntinda-24h'!L96)</f>
        <v>0</v>
      </c>
      <c r="M96" s="49">
        <f>AVERAGE('01.08 Naalya-Ntinda 24h'!M96,'03.08 Naalya-Ntinda-24h'!M96)</f>
        <v>2</v>
      </c>
      <c r="N96" s="49">
        <f>AVERAGE('01.08 Naalya-Ntinda 24h'!N96,'03.08 Naalya-Ntinda-24h'!N96)</f>
        <v>0</v>
      </c>
      <c r="O96" s="15">
        <f t="shared" si="35"/>
        <v>11.5</v>
      </c>
      <c r="P96" s="15">
        <f t="shared" si="36"/>
        <v>13.5</v>
      </c>
      <c r="R96" s="8"/>
      <c r="T96"/>
    </row>
    <row r="97" spans="2:20" ht="23.1" customHeight="1" x14ac:dyDescent="0.25">
      <c r="B97" s="23" t="s">
        <v>137</v>
      </c>
      <c r="C97" s="49">
        <f>AVERAGE('01.08 Naalya-Ntinda 24h'!C97,'03.08 Naalya-Ntinda-24h'!C97)</f>
        <v>10</v>
      </c>
      <c r="D97" s="49">
        <f>AVERAGE('01.08 Naalya-Ntinda 24h'!D97,'03.08 Naalya-Ntinda-24h'!D97)</f>
        <v>0.5</v>
      </c>
      <c r="E97" s="49">
        <f>AVERAGE('01.08 Naalya-Ntinda 24h'!E97,'03.08 Naalya-Ntinda-24h'!E97)</f>
        <v>1</v>
      </c>
      <c r="F97" s="49">
        <f>AVERAGE('01.08 Naalya-Ntinda 24h'!F97,'03.08 Naalya-Ntinda-24h'!F97)</f>
        <v>0</v>
      </c>
      <c r="G97" s="49">
        <f>AVERAGE('01.08 Naalya-Ntinda 24h'!G97,'03.08 Naalya-Ntinda-24h'!G97)</f>
        <v>0</v>
      </c>
      <c r="H97" s="49">
        <f>AVERAGE('01.08 Naalya-Ntinda 24h'!H97,'03.08 Naalya-Ntinda-24h'!H97)</f>
        <v>0</v>
      </c>
      <c r="I97" s="49">
        <f>AVERAGE('01.08 Naalya-Ntinda 24h'!I97,'03.08 Naalya-Ntinda-24h'!I97)</f>
        <v>0.5</v>
      </c>
      <c r="J97" s="49">
        <f>AVERAGE('01.08 Naalya-Ntinda 24h'!J97,'03.08 Naalya-Ntinda-24h'!J97)</f>
        <v>0</v>
      </c>
      <c r="K97" s="49">
        <f>AVERAGE('01.08 Naalya-Ntinda 24h'!K97,'03.08 Naalya-Ntinda-24h'!K97)</f>
        <v>0</v>
      </c>
      <c r="L97" s="49">
        <f>AVERAGE('01.08 Naalya-Ntinda 24h'!L97,'03.08 Naalya-Ntinda-24h'!L97)</f>
        <v>0</v>
      </c>
      <c r="M97" s="49">
        <f>AVERAGE('01.08 Naalya-Ntinda 24h'!M97,'03.08 Naalya-Ntinda-24h'!M97)</f>
        <v>1.5</v>
      </c>
      <c r="N97" s="49">
        <f>AVERAGE('01.08 Naalya-Ntinda 24h'!N97,'03.08 Naalya-Ntinda-24h'!N97)</f>
        <v>0</v>
      </c>
      <c r="O97" s="15">
        <f t="shared" si="35"/>
        <v>12</v>
      </c>
      <c r="P97" s="15">
        <f t="shared" si="36"/>
        <v>13.5</v>
      </c>
      <c r="R97" s="8"/>
      <c r="T97"/>
    </row>
    <row r="98" spans="2:20" ht="23.1" customHeight="1" x14ac:dyDescent="0.25">
      <c r="B98" s="24" t="s">
        <v>138</v>
      </c>
      <c r="C98" s="49">
        <f>AVERAGE('01.08 Naalya-Ntinda 24h'!C98,'03.08 Naalya-Ntinda-24h'!C98)</f>
        <v>6</v>
      </c>
      <c r="D98" s="49">
        <f>AVERAGE('01.08 Naalya-Ntinda 24h'!D98,'03.08 Naalya-Ntinda-24h'!D98)</f>
        <v>7.5</v>
      </c>
      <c r="E98" s="49">
        <f>AVERAGE('01.08 Naalya-Ntinda 24h'!E98,'03.08 Naalya-Ntinda-24h'!E98)</f>
        <v>0.5</v>
      </c>
      <c r="F98" s="49">
        <f>AVERAGE('01.08 Naalya-Ntinda 24h'!F98,'03.08 Naalya-Ntinda-24h'!F98)</f>
        <v>1</v>
      </c>
      <c r="G98" s="49">
        <f>AVERAGE('01.08 Naalya-Ntinda 24h'!G98,'03.08 Naalya-Ntinda-24h'!G98)</f>
        <v>1.5</v>
      </c>
      <c r="H98" s="49">
        <f>AVERAGE('01.08 Naalya-Ntinda 24h'!H98,'03.08 Naalya-Ntinda-24h'!H98)</f>
        <v>0</v>
      </c>
      <c r="I98" s="49">
        <f>AVERAGE('01.08 Naalya-Ntinda 24h'!I98,'03.08 Naalya-Ntinda-24h'!I98)</f>
        <v>2</v>
      </c>
      <c r="J98" s="49">
        <f>AVERAGE('01.08 Naalya-Ntinda 24h'!J98,'03.08 Naalya-Ntinda-24h'!J98)</f>
        <v>0</v>
      </c>
      <c r="K98" s="49">
        <f>AVERAGE('01.08 Naalya-Ntinda 24h'!K98,'03.08 Naalya-Ntinda-24h'!K98)</f>
        <v>0</v>
      </c>
      <c r="L98" s="49">
        <f>AVERAGE('01.08 Naalya-Ntinda 24h'!L98,'03.08 Naalya-Ntinda-24h'!L98)</f>
        <v>0</v>
      </c>
      <c r="M98" s="49">
        <f>AVERAGE('01.08 Naalya-Ntinda 24h'!M98,'03.08 Naalya-Ntinda-24h'!M98)</f>
        <v>3</v>
      </c>
      <c r="N98" s="49">
        <f>AVERAGE('01.08 Naalya-Ntinda 24h'!N98,'03.08 Naalya-Ntinda-24h'!N98)</f>
        <v>0</v>
      </c>
      <c r="O98" s="15">
        <f t="shared" si="35"/>
        <v>18.5</v>
      </c>
      <c r="P98" s="15">
        <f t="shared" si="36"/>
        <v>21.5</v>
      </c>
      <c r="R98" s="8"/>
      <c r="T98"/>
    </row>
    <row r="99" spans="2:20" ht="23.1" customHeight="1" x14ac:dyDescent="0.25">
      <c r="B99" s="23" t="s">
        <v>139</v>
      </c>
      <c r="C99" s="49">
        <f>AVERAGE('01.08 Naalya-Ntinda 24h'!C99,'03.08 Naalya-Ntinda-24h'!C99)</f>
        <v>5</v>
      </c>
      <c r="D99" s="49">
        <f>AVERAGE('01.08 Naalya-Ntinda 24h'!D99,'03.08 Naalya-Ntinda-24h'!D99)</f>
        <v>4.5</v>
      </c>
      <c r="E99" s="49">
        <f>AVERAGE('01.08 Naalya-Ntinda 24h'!E99,'03.08 Naalya-Ntinda-24h'!E99)</f>
        <v>0</v>
      </c>
      <c r="F99" s="49">
        <f>AVERAGE('01.08 Naalya-Ntinda 24h'!F99,'03.08 Naalya-Ntinda-24h'!F99)</f>
        <v>1.5</v>
      </c>
      <c r="G99" s="49">
        <f>AVERAGE('01.08 Naalya-Ntinda 24h'!G99,'03.08 Naalya-Ntinda-24h'!G99)</f>
        <v>0.5</v>
      </c>
      <c r="H99" s="49">
        <f>AVERAGE('01.08 Naalya-Ntinda 24h'!H99,'03.08 Naalya-Ntinda-24h'!H99)</f>
        <v>0</v>
      </c>
      <c r="I99" s="49">
        <f>AVERAGE('01.08 Naalya-Ntinda 24h'!I99,'03.08 Naalya-Ntinda-24h'!I99)</f>
        <v>0</v>
      </c>
      <c r="J99" s="49">
        <f>AVERAGE('01.08 Naalya-Ntinda 24h'!J99,'03.08 Naalya-Ntinda-24h'!J99)</f>
        <v>0</v>
      </c>
      <c r="K99" s="49">
        <f>AVERAGE('01.08 Naalya-Ntinda 24h'!K99,'03.08 Naalya-Ntinda-24h'!K99)</f>
        <v>0</v>
      </c>
      <c r="L99" s="49">
        <f>AVERAGE('01.08 Naalya-Ntinda 24h'!L99,'03.08 Naalya-Ntinda-24h'!L99)</f>
        <v>0</v>
      </c>
      <c r="M99" s="49">
        <f>AVERAGE('01.08 Naalya-Ntinda 24h'!M99,'03.08 Naalya-Ntinda-24h'!M99)</f>
        <v>0.5</v>
      </c>
      <c r="N99" s="49">
        <f>AVERAGE('01.08 Naalya-Ntinda 24h'!N99,'03.08 Naalya-Ntinda-24h'!N99)</f>
        <v>0</v>
      </c>
      <c r="O99" s="15">
        <f t="shared" si="35"/>
        <v>11.5</v>
      </c>
      <c r="P99" s="15">
        <f t="shared" si="36"/>
        <v>12</v>
      </c>
      <c r="R99" s="8"/>
      <c r="T99"/>
    </row>
    <row r="100" spans="2:20" ht="23.1" customHeight="1" x14ac:dyDescent="0.25">
      <c r="B100" s="25" t="s">
        <v>140</v>
      </c>
      <c r="C100" s="49">
        <f>AVERAGE('01.08 Naalya-Ntinda 24h'!C100,'03.08 Naalya-Ntinda-24h'!C100)</f>
        <v>6</v>
      </c>
      <c r="D100" s="49">
        <f>AVERAGE('01.08 Naalya-Ntinda 24h'!D100,'03.08 Naalya-Ntinda-24h'!D100)</f>
        <v>6.5</v>
      </c>
      <c r="E100" s="49">
        <f>AVERAGE('01.08 Naalya-Ntinda 24h'!E100,'03.08 Naalya-Ntinda-24h'!E100)</f>
        <v>1</v>
      </c>
      <c r="F100" s="49">
        <f>AVERAGE('01.08 Naalya-Ntinda 24h'!F100,'03.08 Naalya-Ntinda-24h'!F100)</f>
        <v>0.5</v>
      </c>
      <c r="G100" s="49">
        <f>AVERAGE('01.08 Naalya-Ntinda 24h'!G100,'03.08 Naalya-Ntinda-24h'!G100)</f>
        <v>1</v>
      </c>
      <c r="H100" s="49">
        <f>AVERAGE('01.08 Naalya-Ntinda 24h'!H100,'03.08 Naalya-Ntinda-24h'!H100)</f>
        <v>0</v>
      </c>
      <c r="I100" s="49">
        <f>AVERAGE('01.08 Naalya-Ntinda 24h'!I100,'03.08 Naalya-Ntinda-24h'!I100)</f>
        <v>0.5</v>
      </c>
      <c r="J100" s="49">
        <f>AVERAGE('01.08 Naalya-Ntinda 24h'!J100,'03.08 Naalya-Ntinda-24h'!J100)</f>
        <v>0.5</v>
      </c>
      <c r="K100" s="49">
        <f>AVERAGE('01.08 Naalya-Ntinda 24h'!K100,'03.08 Naalya-Ntinda-24h'!K100)</f>
        <v>0</v>
      </c>
      <c r="L100" s="49">
        <f>AVERAGE('01.08 Naalya-Ntinda 24h'!L100,'03.08 Naalya-Ntinda-24h'!L100)</f>
        <v>0</v>
      </c>
      <c r="M100" s="49">
        <f>AVERAGE('01.08 Naalya-Ntinda 24h'!M100,'03.08 Naalya-Ntinda-24h'!M100)</f>
        <v>3.5</v>
      </c>
      <c r="N100" s="49">
        <f>AVERAGE('01.08 Naalya-Ntinda 24h'!N100,'03.08 Naalya-Ntinda-24h'!N100)</f>
        <v>0</v>
      </c>
      <c r="O100" s="15">
        <f t="shared" si="35"/>
        <v>16</v>
      </c>
      <c r="P100" s="15">
        <f t="shared" si="36"/>
        <v>19.5</v>
      </c>
      <c r="R100" s="8"/>
      <c r="T100"/>
    </row>
    <row r="101" spans="2:20" ht="23.1" customHeight="1" x14ac:dyDescent="0.25">
      <c r="B101" s="23" t="s">
        <v>141</v>
      </c>
      <c r="C101" s="49">
        <f>AVERAGE('01.08 Naalya-Ntinda 24h'!C101,'03.08 Naalya-Ntinda-24h'!C101)</f>
        <v>11</v>
      </c>
      <c r="D101" s="49">
        <f>AVERAGE('01.08 Naalya-Ntinda 24h'!D101,'03.08 Naalya-Ntinda-24h'!D101)</f>
        <v>30</v>
      </c>
      <c r="E101" s="49">
        <f>AVERAGE('01.08 Naalya-Ntinda 24h'!E101,'03.08 Naalya-Ntinda-24h'!E101)</f>
        <v>2.5</v>
      </c>
      <c r="F101" s="49">
        <f>AVERAGE('01.08 Naalya-Ntinda 24h'!F101,'03.08 Naalya-Ntinda-24h'!F101)</f>
        <v>5</v>
      </c>
      <c r="G101" s="49">
        <f>AVERAGE('01.08 Naalya-Ntinda 24h'!G101,'03.08 Naalya-Ntinda-24h'!G101)</f>
        <v>0</v>
      </c>
      <c r="H101" s="49">
        <f>AVERAGE('01.08 Naalya-Ntinda 24h'!H101,'03.08 Naalya-Ntinda-24h'!H101)</f>
        <v>0</v>
      </c>
      <c r="I101" s="49">
        <f>AVERAGE('01.08 Naalya-Ntinda 24h'!I101,'03.08 Naalya-Ntinda-24h'!I101)</f>
        <v>0</v>
      </c>
      <c r="J101" s="49">
        <f>AVERAGE('01.08 Naalya-Ntinda 24h'!J101,'03.08 Naalya-Ntinda-24h'!J101)</f>
        <v>0.5</v>
      </c>
      <c r="K101" s="49">
        <f>AVERAGE('01.08 Naalya-Ntinda 24h'!K101,'03.08 Naalya-Ntinda-24h'!K101)</f>
        <v>0.5</v>
      </c>
      <c r="L101" s="49">
        <f>AVERAGE('01.08 Naalya-Ntinda 24h'!L101,'03.08 Naalya-Ntinda-24h'!L101)</f>
        <v>0</v>
      </c>
      <c r="M101" s="49">
        <f>AVERAGE('01.08 Naalya-Ntinda 24h'!M101,'03.08 Naalya-Ntinda-24h'!M101)</f>
        <v>6.5</v>
      </c>
      <c r="N101" s="49">
        <f>AVERAGE('01.08 Naalya-Ntinda 24h'!N101,'03.08 Naalya-Ntinda-24h'!N101)</f>
        <v>0</v>
      </c>
      <c r="O101" s="15">
        <f t="shared" si="35"/>
        <v>49.5</v>
      </c>
      <c r="P101" s="15">
        <f t="shared" si="36"/>
        <v>56</v>
      </c>
      <c r="R101" s="8"/>
      <c r="T101"/>
    </row>
    <row r="102" spans="2:20" ht="23.1" customHeight="1" x14ac:dyDescent="0.25">
      <c r="B102" s="24" t="s">
        <v>142</v>
      </c>
      <c r="C102" s="49">
        <f>AVERAGE('01.08 Naalya-Ntinda 24h'!C102,'03.08 Naalya-Ntinda-24h'!C102)</f>
        <v>25</v>
      </c>
      <c r="D102" s="49">
        <f>AVERAGE('01.08 Naalya-Ntinda 24h'!D102,'03.08 Naalya-Ntinda-24h'!D102)</f>
        <v>61.5</v>
      </c>
      <c r="E102" s="49">
        <f>AVERAGE('01.08 Naalya-Ntinda 24h'!E102,'03.08 Naalya-Ntinda-24h'!E102)</f>
        <v>4</v>
      </c>
      <c r="F102" s="49">
        <f>AVERAGE('01.08 Naalya-Ntinda 24h'!F102,'03.08 Naalya-Ntinda-24h'!F102)</f>
        <v>1</v>
      </c>
      <c r="G102" s="49">
        <f>AVERAGE('01.08 Naalya-Ntinda 24h'!G102,'03.08 Naalya-Ntinda-24h'!G102)</f>
        <v>0.5</v>
      </c>
      <c r="H102" s="49">
        <f>AVERAGE('01.08 Naalya-Ntinda 24h'!H102,'03.08 Naalya-Ntinda-24h'!H102)</f>
        <v>0</v>
      </c>
      <c r="I102" s="49">
        <f>AVERAGE('01.08 Naalya-Ntinda 24h'!I102,'03.08 Naalya-Ntinda-24h'!I102)</f>
        <v>0</v>
      </c>
      <c r="J102" s="49">
        <f>AVERAGE('01.08 Naalya-Ntinda 24h'!J102,'03.08 Naalya-Ntinda-24h'!J102)</f>
        <v>0</v>
      </c>
      <c r="K102" s="49">
        <f>AVERAGE('01.08 Naalya-Ntinda 24h'!K102,'03.08 Naalya-Ntinda-24h'!K102)</f>
        <v>0.5</v>
      </c>
      <c r="L102" s="49">
        <f>AVERAGE('01.08 Naalya-Ntinda 24h'!L102,'03.08 Naalya-Ntinda-24h'!L102)</f>
        <v>0</v>
      </c>
      <c r="M102" s="49">
        <f>AVERAGE('01.08 Naalya-Ntinda 24h'!M102,'03.08 Naalya-Ntinda-24h'!M102)</f>
        <v>8.5</v>
      </c>
      <c r="N102" s="49">
        <f>AVERAGE('01.08 Naalya-Ntinda 24h'!N102,'03.08 Naalya-Ntinda-24h'!N102)</f>
        <v>0</v>
      </c>
      <c r="O102" s="15">
        <f t="shared" si="35"/>
        <v>92.5</v>
      </c>
      <c r="P102" s="15">
        <f t="shared" si="36"/>
        <v>101</v>
      </c>
      <c r="R102" s="8"/>
      <c r="T102"/>
    </row>
    <row r="103" spans="2:20" ht="23.1" customHeight="1" x14ac:dyDescent="0.25">
      <c r="B103" s="23" t="s">
        <v>143</v>
      </c>
      <c r="C103" s="49">
        <f>AVERAGE('01.08 Naalya-Ntinda 24h'!C103,'03.08 Naalya-Ntinda-24h'!C103)</f>
        <v>20.5</v>
      </c>
      <c r="D103" s="49">
        <f>AVERAGE('01.08 Naalya-Ntinda 24h'!D103,'03.08 Naalya-Ntinda-24h'!D103)</f>
        <v>68</v>
      </c>
      <c r="E103" s="49">
        <f>AVERAGE('01.08 Naalya-Ntinda 24h'!E103,'03.08 Naalya-Ntinda-24h'!E103)</f>
        <v>5</v>
      </c>
      <c r="F103" s="49">
        <f>AVERAGE('01.08 Naalya-Ntinda 24h'!F103,'03.08 Naalya-Ntinda-24h'!F103)</f>
        <v>6</v>
      </c>
      <c r="G103" s="49">
        <f>AVERAGE('01.08 Naalya-Ntinda 24h'!G103,'03.08 Naalya-Ntinda-24h'!G103)</f>
        <v>0.5</v>
      </c>
      <c r="H103" s="49">
        <f>AVERAGE('01.08 Naalya-Ntinda 24h'!H103,'03.08 Naalya-Ntinda-24h'!H103)</f>
        <v>0</v>
      </c>
      <c r="I103" s="49">
        <f>AVERAGE('01.08 Naalya-Ntinda 24h'!I103,'03.08 Naalya-Ntinda-24h'!I103)</f>
        <v>0</v>
      </c>
      <c r="J103" s="49">
        <f>AVERAGE('01.08 Naalya-Ntinda 24h'!J103,'03.08 Naalya-Ntinda-24h'!J103)</f>
        <v>1</v>
      </c>
      <c r="K103" s="49">
        <f>AVERAGE('01.08 Naalya-Ntinda 24h'!K103,'03.08 Naalya-Ntinda-24h'!K103)</f>
        <v>0</v>
      </c>
      <c r="L103" s="49">
        <f>AVERAGE('01.08 Naalya-Ntinda 24h'!L103,'03.08 Naalya-Ntinda-24h'!L103)</f>
        <v>0</v>
      </c>
      <c r="M103" s="49">
        <f>AVERAGE('01.08 Naalya-Ntinda 24h'!M103,'03.08 Naalya-Ntinda-24h'!M103)</f>
        <v>14</v>
      </c>
      <c r="N103" s="49">
        <f>AVERAGE('01.08 Naalya-Ntinda 24h'!N103,'03.08 Naalya-Ntinda-24h'!N103)</f>
        <v>0</v>
      </c>
      <c r="O103" s="15">
        <f t="shared" si="35"/>
        <v>101</v>
      </c>
      <c r="P103" s="15">
        <f t="shared" si="36"/>
        <v>115</v>
      </c>
      <c r="R103" s="8"/>
      <c r="T103"/>
    </row>
    <row r="104" spans="2:20" ht="23.1" customHeight="1" x14ac:dyDescent="0.25">
      <c r="B104" s="25" t="s">
        <v>144</v>
      </c>
      <c r="C104" s="49">
        <f>AVERAGE('01.08 Naalya-Ntinda 24h'!C104,'03.08 Naalya-Ntinda-24h'!C104)</f>
        <v>15</v>
      </c>
      <c r="D104" s="49">
        <f>AVERAGE('01.08 Naalya-Ntinda 24h'!D104,'03.08 Naalya-Ntinda-24h'!D104)</f>
        <v>71</v>
      </c>
      <c r="E104" s="49">
        <f>AVERAGE('01.08 Naalya-Ntinda 24h'!E104,'03.08 Naalya-Ntinda-24h'!E104)</f>
        <v>7</v>
      </c>
      <c r="F104" s="49">
        <f>AVERAGE('01.08 Naalya-Ntinda 24h'!F104,'03.08 Naalya-Ntinda-24h'!F104)</f>
        <v>6</v>
      </c>
      <c r="G104" s="49">
        <f>AVERAGE('01.08 Naalya-Ntinda 24h'!G104,'03.08 Naalya-Ntinda-24h'!G104)</f>
        <v>1</v>
      </c>
      <c r="H104" s="49">
        <f>AVERAGE('01.08 Naalya-Ntinda 24h'!H104,'03.08 Naalya-Ntinda-24h'!H104)</f>
        <v>1.5</v>
      </c>
      <c r="I104" s="49">
        <f>AVERAGE('01.08 Naalya-Ntinda 24h'!I104,'03.08 Naalya-Ntinda-24h'!I104)</f>
        <v>0</v>
      </c>
      <c r="J104" s="49">
        <f>AVERAGE('01.08 Naalya-Ntinda 24h'!J104,'03.08 Naalya-Ntinda-24h'!J104)</f>
        <v>1.5</v>
      </c>
      <c r="K104" s="49">
        <f>AVERAGE('01.08 Naalya-Ntinda 24h'!K104,'03.08 Naalya-Ntinda-24h'!K104)</f>
        <v>0</v>
      </c>
      <c r="L104" s="49">
        <f>AVERAGE('01.08 Naalya-Ntinda 24h'!L104,'03.08 Naalya-Ntinda-24h'!L104)</f>
        <v>0</v>
      </c>
      <c r="M104" s="49">
        <f>AVERAGE('01.08 Naalya-Ntinda 24h'!M104,'03.08 Naalya-Ntinda-24h'!M104)</f>
        <v>7.5</v>
      </c>
      <c r="N104" s="49">
        <f>AVERAGE('01.08 Naalya-Ntinda 24h'!N104,'03.08 Naalya-Ntinda-24h'!N104)</f>
        <v>0</v>
      </c>
      <c r="O104" s="15">
        <f t="shared" si="35"/>
        <v>103</v>
      </c>
      <c r="P104" s="15">
        <f t="shared" si="36"/>
        <v>110.5</v>
      </c>
      <c r="R104" s="8"/>
      <c r="T104"/>
    </row>
    <row r="105" spans="2:20" ht="23.1" customHeight="1" x14ac:dyDescent="0.25">
      <c r="B105" s="23" t="s">
        <v>145</v>
      </c>
      <c r="C105" s="49">
        <f>AVERAGE('01.08 Naalya-Ntinda 24h'!C105,'03.08 Naalya-Ntinda-24h'!C105)</f>
        <v>66</v>
      </c>
      <c r="D105" s="49">
        <f>AVERAGE('01.08 Naalya-Ntinda 24h'!D105,'03.08 Naalya-Ntinda-24h'!D105)</f>
        <v>77.5</v>
      </c>
      <c r="E105" s="49">
        <f>AVERAGE('01.08 Naalya-Ntinda 24h'!E105,'03.08 Naalya-Ntinda-24h'!E105)</f>
        <v>6</v>
      </c>
      <c r="F105" s="49">
        <f>AVERAGE('01.08 Naalya-Ntinda 24h'!F105,'03.08 Naalya-Ntinda-24h'!F105)</f>
        <v>2</v>
      </c>
      <c r="G105" s="49">
        <f>AVERAGE('01.08 Naalya-Ntinda 24h'!G105,'03.08 Naalya-Ntinda-24h'!G105)</f>
        <v>0</v>
      </c>
      <c r="H105" s="49">
        <f>AVERAGE('01.08 Naalya-Ntinda 24h'!H105,'03.08 Naalya-Ntinda-24h'!H105)</f>
        <v>0.5</v>
      </c>
      <c r="I105" s="49">
        <f>AVERAGE('01.08 Naalya-Ntinda 24h'!I105,'03.08 Naalya-Ntinda-24h'!I105)</f>
        <v>0.5</v>
      </c>
      <c r="J105" s="49">
        <f>AVERAGE('01.08 Naalya-Ntinda 24h'!J105,'03.08 Naalya-Ntinda-24h'!J105)</f>
        <v>0.5</v>
      </c>
      <c r="K105" s="49">
        <f>AVERAGE('01.08 Naalya-Ntinda 24h'!K105,'03.08 Naalya-Ntinda-24h'!K105)</f>
        <v>0</v>
      </c>
      <c r="L105" s="49">
        <f>AVERAGE('01.08 Naalya-Ntinda 24h'!L105,'03.08 Naalya-Ntinda-24h'!L105)</f>
        <v>0</v>
      </c>
      <c r="M105" s="49">
        <f>AVERAGE('01.08 Naalya-Ntinda 24h'!M105,'03.08 Naalya-Ntinda-24h'!M105)</f>
        <v>9</v>
      </c>
      <c r="N105" s="49">
        <f>AVERAGE('01.08 Naalya-Ntinda 24h'!N105,'03.08 Naalya-Ntinda-24h'!N105)</f>
        <v>0</v>
      </c>
      <c r="O105" s="15">
        <f t="shared" si="35"/>
        <v>153</v>
      </c>
      <c r="P105" s="15">
        <f t="shared" si="36"/>
        <v>162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4312.7857142857138</v>
      </c>
      <c r="D106" s="16">
        <f t="shared" ref="D106:O106" si="37">SUM(D10:D105)</f>
        <v>3134.0714285714294</v>
      </c>
      <c r="E106" s="16">
        <f t="shared" si="37"/>
        <v>584.71428571428578</v>
      </c>
      <c r="F106" s="16">
        <f t="shared" si="37"/>
        <v>558</v>
      </c>
      <c r="G106" s="16">
        <f t="shared" si="37"/>
        <v>57.857142857142847</v>
      </c>
      <c r="H106" s="16">
        <f t="shared" si="37"/>
        <v>9.3571428571428577</v>
      </c>
      <c r="I106" s="16">
        <f t="shared" si="37"/>
        <v>141.50000000000003</v>
      </c>
      <c r="J106" s="16">
        <f t="shared" si="37"/>
        <v>103.85714285714285</v>
      </c>
      <c r="K106" s="16">
        <f t="shared" si="37"/>
        <v>18.714285714285712</v>
      </c>
      <c r="L106" s="16">
        <f t="shared" si="37"/>
        <v>10.642857142857146</v>
      </c>
      <c r="M106" s="16">
        <f t="shared" si="37"/>
        <v>5004.4285714285725</v>
      </c>
      <c r="N106" s="16">
        <f t="shared" si="37"/>
        <v>0.14285714285714285</v>
      </c>
      <c r="O106" s="16">
        <f t="shared" si="37"/>
        <v>8931.6428571428569</v>
      </c>
      <c r="P106" s="16">
        <f>SUM(P10:P105)</f>
        <v>13936.071428571428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0.30946926014197484</v>
      </c>
      <c r="D107" s="43">
        <f t="shared" si="38"/>
        <v>0.22488916224597019</v>
      </c>
      <c r="E107" s="43">
        <f t="shared" si="38"/>
        <v>4.195689500525359E-2</v>
      </c>
      <c r="F107" s="43">
        <f t="shared" si="38"/>
        <v>4.0039978473129859E-2</v>
      </c>
      <c r="G107" s="43">
        <f t="shared" si="38"/>
        <v>4.1516106711770584E-3</v>
      </c>
      <c r="H107" s="43">
        <f t="shared" si="38"/>
        <v>6.7143333077061081E-4</v>
      </c>
      <c r="I107" s="43">
        <f t="shared" si="38"/>
        <v>1.0153507085928094E-2</v>
      </c>
      <c r="J107" s="43">
        <f t="shared" si="38"/>
        <v>7.4523974270264727E-3</v>
      </c>
      <c r="K107" s="43">
        <f t="shared" si="38"/>
        <v>1.3428666615412214E-3</v>
      </c>
      <c r="L107" s="43">
        <f t="shared" si="38"/>
        <v>7.6369134568565668E-4</v>
      </c>
      <c r="M107" s="43">
        <f t="shared" si="38"/>
        <v>0.35909894672099651</v>
      </c>
      <c r="N107" s="43">
        <f t="shared" si="38"/>
        <v>1.0250890546116193E-5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0.48286589413241843</v>
      </c>
      <c r="D108" s="44">
        <f t="shared" ref="D108:N108" si="39">D106/$O$106</f>
        <v>0.35089529201954539</v>
      </c>
      <c r="E108" s="44">
        <f t="shared" si="39"/>
        <v>6.546547987492303E-2</v>
      </c>
      <c r="F108" s="44">
        <f t="shared" si="39"/>
        <v>6.2474508768983472E-2</v>
      </c>
      <c r="G108" s="44">
        <f t="shared" si="39"/>
        <v>6.4777716465535843E-3</v>
      </c>
      <c r="H108" s="44">
        <f t="shared" si="39"/>
        <v>1.0476396119734812E-3</v>
      </c>
      <c r="I108" s="44">
        <f t="shared" si="39"/>
        <v>1.584255016274402E-2</v>
      </c>
      <c r="J108" s="44">
        <f t="shared" si="39"/>
        <v>1.1627999968011003E-2</v>
      </c>
      <c r="K108" s="44">
        <f t="shared" si="39"/>
        <v>2.0952792239469619E-3</v>
      </c>
      <c r="L108" s="44">
        <f t="shared" si="39"/>
        <v>1.1915900930080056E-3</v>
      </c>
      <c r="M108" s="44"/>
      <c r="N108" s="44">
        <f t="shared" si="39"/>
        <v>1.5994497892724902E-5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tabSelected="1" view="pageBreakPreview" topLeftCell="M48" zoomScale="64" zoomScaleSheetLayoutView="64" workbookViewId="0">
      <selection activeCell="AD58" sqref="AD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9" t="s">
        <v>23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2:32" ht="20.100000000000001" customHeight="1" x14ac:dyDescent="0.25">
      <c r="B2" s="60" t="s">
        <v>95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2:32" ht="20.100000000000001" customHeight="1" x14ac:dyDescent="0.25">
      <c r="B3" s="22" t="s">
        <v>96</v>
      </c>
      <c r="C3" s="64" t="str">
        <f>'04.08 Naalya-Ntinda'!C3:G3</f>
        <v>MCC - C1 - STN38 - NAALYA EAST ROAD</v>
      </c>
      <c r="D3" s="64"/>
      <c r="E3" s="64"/>
      <c r="F3" s="64"/>
      <c r="G3" s="6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7" t="s">
        <v>162</v>
      </c>
      <c r="E5" s="68"/>
      <c r="F5" s="41" t="s">
        <v>1</v>
      </c>
      <c r="G5" s="65" t="str">
        <f>'Avg Week Naalya-Ntinda'!G5:H5</f>
        <v>NAALYA ROUND ABOUT</v>
      </c>
      <c r="H5" s="66"/>
      <c r="I5" s="14"/>
      <c r="J5" s="2" t="s">
        <v>5</v>
      </c>
      <c r="K5" s="65" t="str">
        <f>'Avg Week Naalya-Ntinda'!K5:L5</f>
        <v>HARRIET N/NASSIWA A/MUTE C/PHOEBY/KAZIBWE J/NAKAYE J.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69" t="s">
        <v>161</v>
      </c>
      <c r="E6" s="70"/>
      <c r="F6" s="2" t="s">
        <v>2</v>
      </c>
      <c r="G6" s="69" t="s">
        <v>161</v>
      </c>
      <c r="H6" s="70"/>
      <c r="J6" s="2" t="s">
        <v>21</v>
      </c>
      <c r="K6" s="65" t="str">
        <f>'Avg Week Naalya-Ntinda'!K6:L6</f>
        <v>STEVEN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8" t="s">
        <v>88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Ntinda-Naalya'!C10+'Avg Week Naalya-Ntinda'!C10</f>
        <v>155</v>
      </c>
      <c r="D10" s="49">
        <f>'Avg Week Ntinda-Naalya'!D10+'Avg Week Naalya-Ntinda'!D10</f>
        <v>63.285714285714292</v>
      </c>
      <c r="E10" s="49">
        <f>'Avg Week Ntinda-Naalya'!E10+'Avg Week Naalya-Ntinda'!E10</f>
        <v>11.142857142857144</v>
      </c>
      <c r="F10" s="49">
        <f>'Avg Week Ntinda-Naalya'!F10+'Avg Week Naalya-Ntinda'!F10</f>
        <v>9.8571428571428577</v>
      </c>
      <c r="G10" s="49">
        <f>'Avg Week Ntinda-Naalya'!G10+'Avg Week Naalya-Ntinda'!G10</f>
        <v>0.7142857142857143</v>
      </c>
      <c r="H10" s="49">
        <f>'Avg Week Ntinda-Naalya'!H10+'Avg Week Naalya-Ntinda'!H10</f>
        <v>0.2857142857142857</v>
      </c>
      <c r="I10" s="49">
        <f>'Avg Week Ntinda-Naalya'!I10+'Avg Week Naalya-Ntinda'!I10</f>
        <v>1.7142857142857144</v>
      </c>
      <c r="J10" s="49">
        <f>'Avg Week Ntinda-Naalya'!J10+'Avg Week Naalya-Ntinda'!J10</f>
        <v>1.5714285714285714</v>
      </c>
      <c r="K10" s="49">
        <f>'Avg Week Ntinda-Naalya'!K10+'Avg Week Naalya-Ntinda'!K10</f>
        <v>0.42857142857142855</v>
      </c>
      <c r="L10" s="49">
        <f>'Avg Week Ntinda-Naalya'!L10+'Avg Week Naalya-Ntinda'!L10</f>
        <v>0.14285714285714285</v>
      </c>
      <c r="M10" s="49">
        <f>'Avg Week Ntinda-Naalya'!M10+'Avg Week Naalya-Ntinda'!M10</f>
        <v>69.714285714285708</v>
      </c>
      <c r="N10" s="49">
        <f>'Avg Week Ntinda-Naalya'!N10+'Avg Week Naalya-Ntinda'!N10</f>
        <v>0</v>
      </c>
      <c r="O10" s="15">
        <f t="shared" ref="O10:O58" si="0">SUM(C10:L10,N10)</f>
        <v>244.14285714285714</v>
      </c>
      <c r="P10" s="15">
        <f t="shared" ref="P10:P58" si="1">SUM(C10:N10)</f>
        <v>313.85714285714283</v>
      </c>
      <c r="R10" s="1" t="s">
        <v>6</v>
      </c>
      <c r="S10" s="17">
        <f t="shared" ref="S10:AF10" si="2">SUM(C10:C13)</f>
        <v>794.28571428571433</v>
      </c>
      <c r="T10" s="17">
        <f t="shared" si="2"/>
        <v>337.57142857142856</v>
      </c>
      <c r="U10" s="17">
        <f t="shared" si="2"/>
        <v>57</v>
      </c>
      <c r="V10" s="17">
        <f t="shared" si="2"/>
        <v>49.285714285714285</v>
      </c>
      <c r="W10" s="17">
        <f t="shared" si="2"/>
        <v>3.1428571428571432</v>
      </c>
      <c r="X10" s="17">
        <f t="shared" si="2"/>
        <v>0.2857142857142857</v>
      </c>
      <c r="Y10" s="17">
        <f t="shared" si="2"/>
        <v>11.285714285714286</v>
      </c>
      <c r="Z10" s="17">
        <f t="shared" si="2"/>
        <v>6.5714285714285712</v>
      </c>
      <c r="AA10" s="17">
        <f t="shared" si="2"/>
        <v>1.1428571428571428</v>
      </c>
      <c r="AB10" s="17">
        <f t="shared" si="2"/>
        <v>0.71428571428571419</v>
      </c>
      <c r="AC10" s="17">
        <f t="shared" si="2"/>
        <v>476.57142857142856</v>
      </c>
      <c r="AD10" s="17">
        <f t="shared" si="2"/>
        <v>0</v>
      </c>
      <c r="AE10" s="31">
        <f t="shared" si="2"/>
        <v>1261.2857142857142</v>
      </c>
      <c r="AF10" s="31">
        <f t="shared" si="2"/>
        <v>1737.8571428571431</v>
      </c>
    </row>
    <row r="11" spans="2:32" s="6" customFormat="1" ht="23.1" customHeight="1" x14ac:dyDescent="0.25">
      <c r="B11" s="23" t="s">
        <v>38</v>
      </c>
      <c r="C11" s="49">
        <f>'Avg Week Ntinda-Naalya'!C11+'Avg Week Naalya-Ntinda'!C11</f>
        <v>188.71428571428572</v>
      </c>
      <c r="D11" s="49">
        <f>'Avg Week Ntinda-Naalya'!D11+'Avg Week Naalya-Ntinda'!D11</f>
        <v>84.285714285714292</v>
      </c>
      <c r="E11" s="49">
        <f>'Avg Week Ntinda-Naalya'!E11+'Avg Week Naalya-Ntinda'!E11</f>
        <v>14.285714285714285</v>
      </c>
      <c r="F11" s="49">
        <f>'Avg Week Ntinda-Naalya'!F11+'Avg Week Naalya-Ntinda'!F11</f>
        <v>11.428571428571429</v>
      </c>
      <c r="G11" s="49">
        <f>'Avg Week Ntinda-Naalya'!G11+'Avg Week Naalya-Ntinda'!G11</f>
        <v>0.2857142857142857</v>
      </c>
      <c r="H11" s="49">
        <f>'Avg Week Ntinda-Naalya'!H11+'Avg Week Naalya-Ntinda'!H11</f>
        <v>0</v>
      </c>
      <c r="I11" s="49">
        <f>'Avg Week Ntinda-Naalya'!I11+'Avg Week Naalya-Ntinda'!I11</f>
        <v>2.5714285714285716</v>
      </c>
      <c r="J11" s="49">
        <f>'Avg Week Ntinda-Naalya'!J11+'Avg Week Naalya-Ntinda'!J11</f>
        <v>1.5714285714285714</v>
      </c>
      <c r="K11" s="49">
        <f>'Avg Week Ntinda-Naalya'!K11+'Avg Week Naalya-Ntinda'!K11</f>
        <v>0</v>
      </c>
      <c r="L11" s="49">
        <f>'Avg Week Ntinda-Naalya'!L11+'Avg Week Naalya-Ntinda'!L11</f>
        <v>0</v>
      </c>
      <c r="M11" s="49">
        <f>'Avg Week Ntinda-Naalya'!M11+'Avg Week Naalya-Ntinda'!M11</f>
        <v>93.285714285714278</v>
      </c>
      <c r="N11" s="49">
        <f>'Avg Week Ntinda-Naalya'!N11+'Avg Week Naalya-Ntinda'!N11</f>
        <v>0</v>
      </c>
      <c r="O11" s="15">
        <f t="shared" si="0"/>
        <v>303.14285714285711</v>
      </c>
      <c r="P11" s="15">
        <f t="shared" si="1"/>
        <v>396.42857142857139</v>
      </c>
      <c r="R11" s="1" t="s">
        <v>7</v>
      </c>
      <c r="S11" s="17">
        <f t="shared" ref="S11:AF11" si="3">SUM(C14:C17)</f>
        <v>663.14285714285722</v>
      </c>
      <c r="T11" s="17">
        <f t="shared" si="3"/>
        <v>308.85714285714283</v>
      </c>
      <c r="U11" s="17">
        <f t="shared" si="3"/>
        <v>52.571428571428577</v>
      </c>
      <c r="V11" s="17">
        <f t="shared" si="3"/>
        <v>73.714285714285722</v>
      </c>
      <c r="W11" s="17">
        <f t="shared" si="3"/>
        <v>3.8571428571428568</v>
      </c>
      <c r="X11" s="17">
        <f t="shared" si="3"/>
        <v>0.71428571428571419</v>
      </c>
      <c r="Y11" s="17">
        <f t="shared" si="3"/>
        <v>12.285714285714286</v>
      </c>
      <c r="Z11" s="17">
        <f t="shared" si="3"/>
        <v>8.2857142857142865</v>
      </c>
      <c r="AA11" s="17">
        <f t="shared" si="3"/>
        <v>1.714285714285714</v>
      </c>
      <c r="AB11" s="17">
        <f t="shared" si="3"/>
        <v>1.2857142857142856</v>
      </c>
      <c r="AC11" s="17">
        <f t="shared" si="3"/>
        <v>672</v>
      </c>
      <c r="AD11" s="17">
        <f t="shared" si="3"/>
        <v>0.2857142857142857</v>
      </c>
      <c r="AE11" s="31">
        <f t="shared" si="3"/>
        <v>1126.7142857142858</v>
      </c>
      <c r="AF11" s="31">
        <f t="shared" si="3"/>
        <v>1798.7142857142858</v>
      </c>
    </row>
    <row r="12" spans="2:32" ht="23.1" customHeight="1" x14ac:dyDescent="0.25">
      <c r="B12" s="23" t="s">
        <v>39</v>
      </c>
      <c r="C12" s="49">
        <f>'Avg Week Ntinda-Naalya'!C12+'Avg Week Naalya-Ntinda'!C12</f>
        <v>235.14285714285717</v>
      </c>
      <c r="D12" s="49">
        <f>'Avg Week Ntinda-Naalya'!D12+'Avg Week Naalya-Ntinda'!D12</f>
        <v>98.285714285714278</v>
      </c>
      <c r="E12" s="49">
        <f>'Avg Week Ntinda-Naalya'!E12+'Avg Week Naalya-Ntinda'!E12</f>
        <v>13.428571428571427</v>
      </c>
      <c r="F12" s="49">
        <f>'Avg Week Ntinda-Naalya'!F12+'Avg Week Naalya-Ntinda'!F12</f>
        <v>12.571428571428571</v>
      </c>
      <c r="G12" s="49">
        <f>'Avg Week Ntinda-Naalya'!G12+'Avg Week Naalya-Ntinda'!G12</f>
        <v>0.7142857142857143</v>
      </c>
      <c r="H12" s="49">
        <f>'Avg Week Ntinda-Naalya'!H12+'Avg Week Naalya-Ntinda'!H12</f>
        <v>0</v>
      </c>
      <c r="I12" s="49">
        <f>'Avg Week Ntinda-Naalya'!I12+'Avg Week Naalya-Ntinda'!I12</f>
        <v>3</v>
      </c>
      <c r="J12" s="49">
        <f>'Avg Week Ntinda-Naalya'!J12+'Avg Week Naalya-Ntinda'!J12</f>
        <v>2.1428571428571428</v>
      </c>
      <c r="K12" s="49">
        <f>'Avg Week Ntinda-Naalya'!K12+'Avg Week Naalya-Ntinda'!K12</f>
        <v>0.14285714285714285</v>
      </c>
      <c r="L12" s="49">
        <f>'Avg Week Ntinda-Naalya'!L12+'Avg Week Naalya-Ntinda'!L12</f>
        <v>0.42857142857142855</v>
      </c>
      <c r="M12" s="49">
        <f>'Avg Week Ntinda-Naalya'!M12+'Avg Week Naalya-Ntinda'!M12</f>
        <v>141.57142857142856</v>
      </c>
      <c r="N12" s="49">
        <f>'Avg Week Ntinda-Naalya'!N12+'Avg Week Naalya-Ntinda'!N12</f>
        <v>0</v>
      </c>
      <c r="O12" s="15">
        <f t="shared" si="0"/>
        <v>365.85714285714295</v>
      </c>
      <c r="P12" s="15">
        <f t="shared" si="1"/>
        <v>507.4285714285715</v>
      </c>
      <c r="R12" s="1" t="s">
        <v>8</v>
      </c>
      <c r="S12" s="17">
        <f t="shared" ref="S12:AF12" si="4">SUM(C18:C21)</f>
        <v>556.42857142857144</v>
      </c>
      <c r="T12" s="17">
        <f t="shared" si="4"/>
        <v>248.14285714285714</v>
      </c>
      <c r="U12" s="17">
        <f t="shared" si="4"/>
        <v>58.285714285714292</v>
      </c>
      <c r="V12" s="17">
        <f t="shared" si="4"/>
        <v>65.142857142857139</v>
      </c>
      <c r="W12" s="17">
        <f t="shared" si="4"/>
        <v>3.1428571428571423</v>
      </c>
      <c r="X12" s="17">
        <f t="shared" si="4"/>
        <v>1</v>
      </c>
      <c r="Y12" s="17">
        <f t="shared" si="4"/>
        <v>25.857142857142854</v>
      </c>
      <c r="Z12" s="17">
        <f t="shared" si="4"/>
        <v>12.857142857142858</v>
      </c>
      <c r="AA12" s="17">
        <f t="shared" si="4"/>
        <v>3.1428571428571423</v>
      </c>
      <c r="AB12" s="17">
        <f t="shared" si="4"/>
        <v>1</v>
      </c>
      <c r="AC12" s="17">
        <f t="shared" si="4"/>
        <v>656</v>
      </c>
      <c r="AD12" s="17">
        <f t="shared" si="4"/>
        <v>0</v>
      </c>
      <c r="AE12" s="31">
        <f t="shared" si="4"/>
        <v>974.99999999999977</v>
      </c>
      <c r="AF12" s="31">
        <f t="shared" si="4"/>
        <v>1630.9999999999998</v>
      </c>
    </row>
    <row r="13" spans="2:32" ht="23.1" customHeight="1" x14ac:dyDescent="0.25">
      <c r="B13" s="23" t="s">
        <v>40</v>
      </c>
      <c r="C13" s="49">
        <f>'Avg Week Ntinda-Naalya'!C13+'Avg Week Naalya-Ntinda'!C13</f>
        <v>215.42857142857144</v>
      </c>
      <c r="D13" s="49">
        <f>'Avg Week Ntinda-Naalya'!D13+'Avg Week Naalya-Ntinda'!D13</f>
        <v>91.714285714285708</v>
      </c>
      <c r="E13" s="49">
        <f>'Avg Week Ntinda-Naalya'!E13+'Avg Week Naalya-Ntinda'!E13</f>
        <v>18.142857142857142</v>
      </c>
      <c r="F13" s="49">
        <f>'Avg Week Ntinda-Naalya'!F13+'Avg Week Naalya-Ntinda'!F13</f>
        <v>15.428571428571431</v>
      </c>
      <c r="G13" s="49">
        <f>'Avg Week Ntinda-Naalya'!G13+'Avg Week Naalya-Ntinda'!G13</f>
        <v>1.4285714285714286</v>
      </c>
      <c r="H13" s="49">
        <f>'Avg Week Ntinda-Naalya'!H13+'Avg Week Naalya-Ntinda'!H13</f>
        <v>0</v>
      </c>
      <c r="I13" s="49">
        <f>'Avg Week Ntinda-Naalya'!I13+'Avg Week Naalya-Ntinda'!I13</f>
        <v>4</v>
      </c>
      <c r="J13" s="49">
        <f>'Avg Week Ntinda-Naalya'!J13+'Avg Week Naalya-Ntinda'!J13</f>
        <v>1.2857142857142856</v>
      </c>
      <c r="K13" s="49">
        <f>'Avg Week Ntinda-Naalya'!K13+'Avg Week Naalya-Ntinda'!K13</f>
        <v>0.5714285714285714</v>
      </c>
      <c r="L13" s="49">
        <f>'Avg Week Ntinda-Naalya'!L13+'Avg Week Naalya-Ntinda'!L13</f>
        <v>0.14285714285714285</v>
      </c>
      <c r="M13" s="49">
        <f>'Avg Week Ntinda-Naalya'!M13+'Avg Week Naalya-Ntinda'!M13</f>
        <v>172</v>
      </c>
      <c r="N13" s="49">
        <f>'Avg Week Ntinda-Naalya'!N13+'Avg Week Naalya-Ntinda'!N13</f>
        <v>0</v>
      </c>
      <c r="O13" s="15">
        <f t="shared" si="0"/>
        <v>348.14285714285722</v>
      </c>
      <c r="P13" s="15">
        <f t="shared" si="1"/>
        <v>520.14285714285722</v>
      </c>
      <c r="R13" s="1" t="s">
        <v>9</v>
      </c>
      <c r="S13" s="17">
        <f t="shared" ref="S13:AF13" si="5">SUM(C22:C25)</f>
        <v>574.71428571428578</v>
      </c>
      <c r="T13" s="17">
        <f t="shared" si="5"/>
        <v>258.42857142857139</v>
      </c>
      <c r="U13" s="17">
        <f t="shared" si="5"/>
        <v>52.571428571428569</v>
      </c>
      <c r="V13" s="17">
        <f t="shared" si="5"/>
        <v>63.428571428571423</v>
      </c>
      <c r="W13" s="17">
        <f t="shared" si="5"/>
        <v>8.1428571428571423</v>
      </c>
      <c r="X13" s="17">
        <f t="shared" si="5"/>
        <v>0.71428571428571419</v>
      </c>
      <c r="Y13" s="17">
        <f t="shared" si="5"/>
        <v>32.285714285714285</v>
      </c>
      <c r="Z13" s="17">
        <f t="shared" si="5"/>
        <v>14.714285714285715</v>
      </c>
      <c r="AA13" s="17">
        <f t="shared" si="5"/>
        <v>2.2857142857142856</v>
      </c>
      <c r="AB13" s="17">
        <f t="shared" si="5"/>
        <v>1.5714285714285714</v>
      </c>
      <c r="AC13" s="17">
        <f t="shared" si="5"/>
        <v>613.14285714285711</v>
      </c>
      <c r="AD13" s="17">
        <f t="shared" si="5"/>
        <v>0</v>
      </c>
      <c r="AE13" s="31">
        <f t="shared" si="5"/>
        <v>1008.8571428571429</v>
      </c>
      <c r="AF13" s="31">
        <f t="shared" si="5"/>
        <v>1622</v>
      </c>
    </row>
    <row r="14" spans="2:32" ht="23.1" customHeight="1" x14ac:dyDescent="0.25">
      <c r="B14" s="23" t="s">
        <v>41</v>
      </c>
      <c r="C14" s="49">
        <f>'Avg Week Ntinda-Naalya'!C14+'Avg Week Naalya-Ntinda'!C14</f>
        <v>197.57142857142856</v>
      </c>
      <c r="D14" s="49">
        <f>'Avg Week Ntinda-Naalya'!D14+'Avg Week Naalya-Ntinda'!D14</f>
        <v>89.571428571428569</v>
      </c>
      <c r="E14" s="49">
        <f>'Avg Week Ntinda-Naalya'!E14+'Avg Week Naalya-Ntinda'!E14</f>
        <v>13.142857142857144</v>
      </c>
      <c r="F14" s="49">
        <f>'Avg Week Ntinda-Naalya'!F14+'Avg Week Naalya-Ntinda'!F14</f>
        <v>21.285714285714285</v>
      </c>
      <c r="G14" s="49">
        <f>'Avg Week Ntinda-Naalya'!G14+'Avg Week Naalya-Ntinda'!G14</f>
        <v>0.85714285714285721</v>
      </c>
      <c r="H14" s="49">
        <f>'Avg Week Ntinda-Naalya'!H14+'Avg Week Naalya-Ntinda'!H14</f>
        <v>0.14285714285714285</v>
      </c>
      <c r="I14" s="49">
        <f>'Avg Week Ntinda-Naalya'!I14+'Avg Week Naalya-Ntinda'!I14</f>
        <v>2.5714285714285712</v>
      </c>
      <c r="J14" s="49">
        <f>'Avg Week Ntinda-Naalya'!J14+'Avg Week Naalya-Ntinda'!J14</f>
        <v>2.1428571428571428</v>
      </c>
      <c r="K14" s="49">
        <f>'Avg Week Ntinda-Naalya'!K14+'Avg Week Naalya-Ntinda'!K14</f>
        <v>0.5714285714285714</v>
      </c>
      <c r="L14" s="49">
        <f>'Avg Week Ntinda-Naalya'!L14+'Avg Week Naalya-Ntinda'!L14</f>
        <v>0.5714285714285714</v>
      </c>
      <c r="M14" s="49">
        <f>'Avg Week Ntinda-Naalya'!M14+'Avg Week Naalya-Ntinda'!M14</f>
        <v>168.42857142857144</v>
      </c>
      <c r="N14" s="49">
        <f>'Avg Week Ntinda-Naalya'!N14+'Avg Week Naalya-Ntinda'!N14</f>
        <v>0</v>
      </c>
      <c r="O14" s="15">
        <f t="shared" si="0"/>
        <v>328.42857142857139</v>
      </c>
      <c r="P14" s="15">
        <f t="shared" si="1"/>
        <v>496.85714285714283</v>
      </c>
      <c r="R14" s="1" t="s">
        <v>10</v>
      </c>
      <c r="S14" s="17">
        <f t="shared" ref="S14:AF14" si="6">SUM(C26:C29)</f>
        <v>535</v>
      </c>
      <c r="T14" s="17">
        <f t="shared" si="6"/>
        <v>227.71428571428572</v>
      </c>
      <c r="U14" s="17">
        <f t="shared" si="6"/>
        <v>49</v>
      </c>
      <c r="V14" s="17">
        <f t="shared" si="6"/>
        <v>67.714285714285708</v>
      </c>
      <c r="W14" s="17">
        <f t="shared" si="6"/>
        <v>4.2857142857142847</v>
      </c>
      <c r="X14" s="17">
        <f t="shared" si="6"/>
        <v>0.71428571428571419</v>
      </c>
      <c r="Y14" s="17">
        <f t="shared" si="6"/>
        <v>27.142857142857146</v>
      </c>
      <c r="Z14" s="17">
        <f t="shared" si="6"/>
        <v>13.714285714285714</v>
      </c>
      <c r="AA14" s="17">
        <f t="shared" si="6"/>
        <v>2.8571428571428572</v>
      </c>
      <c r="AB14" s="17">
        <f t="shared" si="6"/>
        <v>1.2857142857142856</v>
      </c>
      <c r="AC14" s="17">
        <f t="shared" si="6"/>
        <v>572.71428571428578</v>
      </c>
      <c r="AD14" s="17">
        <f t="shared" si="6"/>
        <v>0</v>
      </c>
      <c r="AE14" s="31">
        <f t="shared" si="6"/>
        <v>929.42857142857133</v>
      </c>
      <c r="AF14" s="31">
        <f t="shared" si="6"/>
        <v>1502.1428571428569</v>
      </c>
    </row>
    <row r="15" spans="2:32" ht="23.1" customHeight="1" x14ac:dyDescent="0.25">
      <c r="B15" s="23" t="s">
        <v>42</v>
      </c>
      <c r="C15" s="49">
        <f>'Avg Week Ntinda-Naalya'!C15+'Avg Week Naalya-Ntinda'!C15</f>
        <v>174.14285714285717</v>
      </c>
      <c r="D15" s="49">
        <f>'Avg Week Ntinda-Naalya'!D15+'Avg Week Naalya-Ntinda'!D15</f>
        <v>82.142857142857139</v>
      </c>
      <c r="E15" s="49">
        <f>'Avg Week Ntinda-Naalya'!E15+'Avg Week Naalya-Ntinda'!E15</f>
        <v>11.857142857142858</v>
      </c>
      <c r="F15" s="49">
        <f>'Avg Week Ntinda-Naalya'!F15+'Avg Week Naalya-Ntinda'!F15</f>
        <v>19.428571428571431</v>
      </c>
      <c r="G15" s="49">
        <f>'Avg Week Ntinda-Naalya'!G15+'Avg Week Naalya-Ntinda'!G15</f>
        <v>1.4285714285714286</v>
      </c>
      <c r="H15" s="49">
        <f>'Avg Week Ntinda-Naalya'!H15+'Avg Week Naalya-Ntinda'!H15</f>
        <v>0.2857142857142857</v>
      </c>
      <c r="I15" s="49">
        <f>'Avg Week Ntinda-Naalya'!I15+'Avg Week Naalya-Ntinda'!I15</f>
        <v>4.2857142857142856</v>
      </c>
      <c r="J15" s="49">
        <f>'Avg Week Ntinda-Naalya'!J15+'Avg Week Naalya-Ntinda'!J15</f>
        <v>2.7142857142857144</v>
      </c>
      <c r="K15" s="49">
        <f>'Avg Week Ntinda-Naalya'!K15+'Avg Week Naalya-Ntinda'!K15</f>
        <v>0.5714285714285714</v>
      </c>
      <c r="L15" s="49">
        <f>'Avg Week Ntinda-Naalya'!L15+'Avg Week Naalya-Ntinda'!L15</f>
        <v>0.2857142857142857</v>
      </c>
      <c r="M15" s="49">
        <f>'Avg Week Ntinda-Naalya'!M15+'Avg Week Naalya-Ntinda'!M15</f>
        <v>164.42857142857144</v>
      </c>
      <c r="N15" s="49">
        <f>'Avg Week Ntinda-Naalya'!N15+'Avg Week Naalya-Ntinda'!N15</f>
        <v>0</v>
      </c>
      <c r="O15" s="15">
        <f t="shared" si="0"/>
        <v>297.14285714285717</v>
      </c>
      <c r="P15" s="15">
        <f t="shared" si="1"/>
        <v>461.57142857142861</v>
      </c>
      <c r="R15" s="1" t="s">
        <v>11</v>
      </c>
      <c r="S15" s="17">
        <f t="shared" ref="S15:AF15" si="7">SUM(C30:C33)</f>
        <v>522.14285714285711</v>
      </c>
      <c r="T15" s="17">
        <f t="shared" si="7"/>
        <v>202.42857142857144</v>
      </c>
      <c r="U15" s="17">
        <f t="shared" si="7"/>
        <v>41.428571428571431</v>
      </c>
      <c r="V15" s="17">
        <f t="shared" si="7"/>
        <v>52.571428571428569</v>
      </c>
      <c r="W15" s="17">
        <f t="shared" si="7"/>
        <v>4.7142857142857153</v>
      </c>
      <c r="X15" s="17">
        <f t="shared" si="7"/>
        <v>1.9999999999999998</v>
      </c>
      <c r="Y15" s="17">
        <f t="shared" si="7"/>
        <v>27.857142857142858</v>
      </c>
      <c r="Z15" s="17">
        <f t="shared" si="7"/>
        <v>14</v>
      </c>
      <c r="AA15" s="17">
        <f t="shared" si="7"/>
        <v>5.4285714285714288</v>
      </c>
      <c r="AB15" s="17">
        <f t="shared" si="7"/>
        <v>1.857142857142857</v>
      </c>
      <c r="AC15" s="17">
        <f t="shared" si="7"/>
        <v>509.28571428571433</v>
      </c>
      <c r="AD15" s="17">
        <f t="shared" si="7"/>
        <v>0.14285714285714285</v>
      </c>
      <c r="AE15" s="31">
        <f t="shared" si="7"/>
        <v>874.57142857142844</v>
      </c>
      <c r="AF15" s="31">
        <f t="shared" si="7"/>
        <v>1383.8571428571427</v>
      </c>
    </row>
    <row r="16" spans="2:32" ht="23.1" customHeight="1" x14ac:dyDescent="0.25">
      <c r="B16" s="23" t="s">
        <v>43</v>
      </c>
      <c r="C16" s="49">
        <f>'Avg Week Ntinda-Naalya'!C16+'Avg Week Naalya-Ntinda'!C16</f>
        <v>146.57142857142858</v>
      </c>
      <c r="D16" s="49">
        <f>'Avg Week Ntinda-Naalya'!D16+'Avg Week Naalya-Ntinda'!D16</f>
        <v>69.571428571428569</v>
      </c>
      <c r="E16" s="49">
        <f>'Avg Week Ntinda-Naalya'!E16+'Avg Week Naalya-Ntinda'!E16</f>
        <v>13.857142857142858</v>
      </c>
      <c r="F16" s="49">
        <f>'Avg Week Ntinda-Naalya'!F16+'Avg Week Naalya-Ntinda'!F16</f>
        <v>17.285714285714285</v>
      </c>
      <c r="G16" s="49">
        <f>'Avg Week Ntinda-Naalya'!G16+'Avg Week Naalya-Ntinda'!G16</f>
        <v>0.42857142857142855</v>
      </c>
      <c r="H16" s="49">
        <f>'Avg Week Ntinda-Naalya'!H16+'Avg Week Naalya-Ntinda'!H16</f>
        <v>0.2857142857142857</v>
      </c>
      <c r="I16" s="49">
        <f>'Avg Week Ntinda-Naalya'!I16+'Avg Week Naalya-Ntinda'!I16</f>
        <v>3</v>
      </c>
      <c r="J16" s="49">
        <f>'Avg Week Ntinda-Naalya'!J16+'Avg Week Naalya-Ntinda'!J16</f>
        <v>1.5714285714285714</v>
      </c>
      <c r="K16" s="49">
        <f>'Avg Week Ntinda-Naalya'!K16+'Avg Week Naalya-Ntinda'!K16</f>
        <v>0.2857142857142857</v>
      </c>
      <c r="L16" s="49">
        <f>'Avg Week Ntinda-Naalya'!L16+'Avg Week Naalya-Ntinda'!L16</f>
        <v>0.14285714285714285</v>
      </c>
      <c r="M16" s="49">
        <f>'Avg Week Ntinda-Naalya'!M16+'Avg Week Naalya-Ntinda'!M16</f>
        <v>161.57142857142858</v>
      </c>
      <c r="N16" s="49">
        <f>'Avg Week Ntinda-Naalya'!N16+'Avg Week Naalya-Ntinda'!N16</f>
        <v>0.14285714285714285</v>
      </c>
      <c r="O16" s="15">
        <f t="shared" si="0"/>
        <v>253.14285714285714</v>
      </c>
      <c r="P16" s="15">
        <f t="shared" si="1"/>
        <v>414.71428571428572</v>
      </c>
      <c r="R16" s="1" t="s">
        <v>12</v>
      </c>
      <c r="S16" s="17">
        <f t="shared" ref="S16:AF16" si="8">SUM(C34:C37)</f>
        <v>581.14285714285711</v>
      </c>
      <c r="T16" s="17">
        <f t="shared" si="8"/>
        <v>237.14285714285717</v>
      </c>
      <c r="U16" s="17">
        <f t="shared" si="8"/>
        <v>53.571428571428569</v>
      </c>
      <c r="V16" s="17">
        <f t="shared" si="8"/>
        <v>54.571428571428569</v>
      </c>
      <c r="W16" s="17">
        <f t="shared" si="8"/>
        <v>6</v>
      </c>
      <c r="X16" s="17">
        <f t="shared" si="8"/>
        <v>0.8571428571428571</v>
      </c>
      <c r="Y16" s="17">
        <f t="shared" si="8"/>
        <v>32.142857142857139</v>
      </c>
      <c r="Z16" s="17">
        <f t="shared" si="8"/>
        <v>11</v>
      </c>
      <c r="AA16" s="17">
        <f t="shared" si="8"/>
        <v>3.5714285714285712</v>
      </c>
      <c r="AB16" s="17">
        <f t="shared" si="8"/>
        <v>0.8571428571428571</v>
      </c>
      <c r="AC16" s="17">
        <f t="shared" si="8"/>
        <v>448.85714285714283</v>
      </c>
      <c r="AD16" s="17">
        <f t="shared" si="8"/>
        <v>0</v>
      </c>
      <c r="AE16" s="31">
        <f t="shared" si="8"/>
        <v>980.85714285714289</v>
      </c>
      <c r="AF16" s="31">
        <f t="shared" si="8"/>
        <v>1429.7142857142856</v>
      </c>
    </row>
    <row r="17" spans="2:32" ht="23.1" customHeight="1" x14ac:dyDescent="0.25">
      <c r="B17" s="23" t="s">
        <v>44</v>
      </c>
      <c r="C17" s="49">
        <f>'Avg Week Ntinda-Naalya'!C17+'Avg Week Naalya-Ntinda'!C17</f>
        <v>144.85714285714286</v>
      </c>
      <c r="D17" s="49">
        <f>'Avg Week Ntinda-Naalya'!D17+'Avg Week Naalya-Ntinda'!D17</f>
        <v>67.571428571428569</v>
      </c>
      <c r="E17" s="49">
        <f>'Avg Week Ntinda-Naalya'!E17+'Avg Week Naalya-Ntinda'!E17</f>
        <v>13.714285714285715</v>
      </c>
      <c r="F17" s="49">
        <f>'Avg Week Ntinda-Naalya'!F17+'Avg Week Naalya-Ntinda'!F17</f>
        <v>15.714285714285715</v>
      </c>
      <c r="G17" s="49">
        <f>'Avg Week Ntinda-Naalya'!G17+'Avg Week Naalya-Ntinda'!G17</f>
        <v>1.1428571428571428</v>
      </c>
      <c r="H17" s="49">
        <f>'Avg Week Ntinda-Naalya'!H17+'Avg Week Naalya-Ntinda'!H17</f>
        <v>0</v>
      </c>
      <c r="I17" s="49">
        <f>'Avg Week Ntinda-Naalya'!I17+'Avg Week Naalya-Ntinda'!I17</f>
        <v>2.4285714285714288</v>
      </c>
      <c r="J17" s="49">
        <f>'Avg Week Ntinda-Naalya'!J17+'Avg Week Naalya-Ntinda'!J17</f>
        <v>1.8571428571428572</v>
      </c>
      <c r="K17" s="49">
        <f>'Avg Week Ntinda-Naalya'!K17+'Avg Week Naalya-Ntinda'!K17</f>
        <v>0.2857142857142857</v>
      </c>
      <c r="L17" s="49">
        <f>'Avg Week Ntinda-Naalya'!L17+'Avg Week Naalya-Ntinda'!L17</f>
        <v>0.2857142857142857</v>
      </c>
      <c r="M17" s="49">
        <f>'Avg Week Ntinda-Naalya'!M17+'Avg Week Naalya-Ntinda'!M17</f>
        <v>177.57142857142856</v>
      </c>
      <c r="N17" s="49">
        <f>'Avg Week Ntinda-Naalya'!N17+'Avg Week Naalya-Ntinda'!N17</f>
        <v>0.14285714285714285</v>
      </c>
      <c r="O17" s="15">
        <f t="shared" si="0"/>
        <v>248</v>
      </c>
      <c r="P17" s="15">
        <f t="shared" si="1"/>
        <v>425.57142857142861</v>
      </c>
      <c r="R17" s="1" t="s">
        <v>13</v>
      </c>
      <c r="S17" s="17">
        <f t="shared" ref="S17:AF17" si="9">SUM(C38:C41)</f>
        <v>559.71428571428578</v>
      </c>
      <c r="T17" s="17">
        <f t="shared" si="9"/>
        <v>206.85714285714286</v>
      </c>
      <c r="U17" s="17">
        <f t="shared" si="9"/>
        <v>44.285714285714292</v>
      </c>
      <c r="V17" s="17">
        <f t="shared" si="9"/>
        <v>52.142857142857146</v>
      </c>
      <c r="W17" s="17">
        <f t="shared" si="9"/>
        <v>6.4285714285714279</v>
      </c>
      <c r="X17" s="17">
        <f t="shared" si="9"/>
        <v>1.5714285714285714</v>
      </c>
      <c r="Y17" s="17">
        <f t="shared" si="9"/>
        <v>27.428571428571427</v>
      </c>
      <c r="Z17" s="17">
        <f t="shared" si="9"/>
        <v>15.142857142857144</v>
      </c>
      <c r="AA17" s="17">
        <f t="shared" si="9"/>
        <v>3.5714285714285712</v>
      </c>
      <c r="AB17" s="17">
        <f t="shared" si="9"/>
        <v>1.2857142857142856</v>
      </c>
      <c r="AC17" s="17">
        <f t="shared" si="9"/>
        <v>495.42857142857144</v>
      </c>
      <c r="AD17" s="17">
        <f t="shared" si="9"/>
        <v>0</v>
      </c>
      <c r="AE17" s="31">
        <f t="shared" si="9"/>
        <v>918.42857142857133</v>
      </c>
      <c r="AF17" s="31">
        <f t="shared" si="9"/>
        <v>1413.8571428571427</v>
      </c>
    </row>
    <row r="18" spans="2:32" ht="23.1" customHeight="1" x14ac:dyDescent="0.25">
      <c r="B18" s="23" t="s">
        <v>45</v>
      </c>
      <c r="C18" s="49">
        <f>'Avg Week Ntinda-Naalya'!C18+'Avg Week Naalya-Ntinda'!C18</f>
        <v>139.28571428571428</v>
      </c>
      <c r="D18" s="49">
        <f>'Avg Week Ntinda-Naalya'!D18+'Avg Week Naalya-Ntinda'!D18</f>
        <v>68</v>
      </c>
      <c r="E18" s="49">
        <f>'Avg Week Ntinda-Naalya'!E18+'Avg Week Naalya-Ntinda'!E18</f>
        <v>13.285714285714285</v>
      </c>
      <c r="F18" s="49">
        <f>'Avg Week Ntinda-Naalya'!F18+'Avg Week Naalya-Ntinda'!F18</f>
        <v>17.285714285714285</v>
      </c>
      <c r="G18" s="49">
        <f>'Avg Week Ntinda-Naalya'!G18+'Avg Week Naalya-Ntinda'!G18</f>
        <v>0.5714285714285714</v>
      </c>
      <c r="H18" s="49">
        <f>'Avg Week Ntinda-Naalya'!H18+'Avg Week Naalya-Ntinda'!H18</f>
        <v>0.42857142857142855</v>
      </c>
      <c r="I18" s="49">
        <f>'Avg Week Ntinda-Naalya'!I18+'Avg Week Naalya-Ntinda'!I18</f>
        <v>7.1428571428571423</v>
      </c>
      <c r="J18" s="49">
        <f>'Avg Week Ntinda-Naalya'!J18+'Avg Week Naalya-Ntinda'!J18</f>
        <v>3.2857142857142856</v>
      </c>
      <c r="K18" s="49">
        <f>'Avg Week Ntinda-Naalya'!K18+'Avg Week Naalya-Ntinda'!K18</f>
        <v>0.42857142857142855</v>
      </c>
      <c r="L18" s="49">
        <f>'Avg Week Ntinda-Naalya'!L18+'Avg Week Naalya-Ntinda'!L18</f>
        <v>0.2857142857142857</v>
      </c>
      <c r="M18" s="49">
        <f>'Avg Week Ntinda-Naalya'!M18+'Avg Week Naalya-Ntinda'!M18</f>
        <v>170</v>
      </c>
      <c r="N18" s="49">
        <f>'Avg Week Ntinda-Naalya'!N18+'Avg Week Naalya-Ntinda'!N18</f>
        <v>0</v>
      </c>
      <c r="O18" s="15">
        <f t="shared" si="0"/>
        <v>249.99999999999994</v>
      </c>
      <c r="P18" s="15">
        <f t="shared" si="1"/>
        <v>419.99999999999994</v>
      </c>
      <c r="R18" s="1" t="s">
        <v>14</v>
      </c>
      <c r="S18" s="17">
        <f t="shared" ref="S18:AF18" si="10">SUM(C42:C45)</f>
        <v>626.85714285714289</v>
      </c>
      <c r="T18" s="17">
        <f t="shared" si="10"/>
        <v>236.28571428571428</v>
      </c>
      <c r="U18" s="17">
        <f t="shared" si="10"/>
        <v>42.285714285714278</v>
      </c>
      <c r="V18" s="17">
        <f t="shared" si="10"/>
        <v>60.285714285714285</v>
      </c>
      <c r="W18" s="17">
        <f t="shared" si="10"/>
        <v>5.7142857142857144</v>
      </c>
      <c r="X18" s="17">
        <f t="shared" si="10"/>
        <v>0.42857142857142855</v>
      </c>
      <c r="Y18" s="17">
        <f t="shared" si="10"/>
        <v>34.142857142857139</v>
      </c>
      <c r="Z18" s="17">
        <f t="shared" si="10"/>
        <v>18.285714285714285</v>
      </c>
      <c r="AA18" s="17">
        <f t="shared" si="10"/>
        <v>3.2857142857142856</v>
      </c>
      <c r="AB18" s="17">
        <f t="shared" si="10"/>
        <v>0.99999999999999989</v>
      </c>
      <c r="AC18" s="17">
        <f t="shared" si="10"/>
        <v>549.14285714285711</v>
      </c>
      <c r="AD18" s="17">
        <f t="shared" si="10"/>
        <v>0</v>
      </c>
      <c r="AE18" s="31">
        <f t="shared" si="10"/>
        <v>1028.5714285714287</v>
      </c>
      <c r="AF18" s="31">
        <f t="shared" si="10"/>
        <v>1577.7142857142858</v>
      </c>
    </row>
    <row r="19" spans="2:32" ht="23.1" customHeight="1" x14ac:dyDescent="0.25">
      <c r="B19" s="23" t="s">
        <v>46</v>
      </c>
      <c r="C19" s="49">
        <f>'Avg Week Ntinda-Naalya'!C19+'Avg Week Naalya-Ntinda'!C19</f>
        <v>145</v>
      </c>
      <c r="D19" s="49">
        <f>'Avg Week Ntinda-Naalya'!D19+'Avg Week Naalya-Ntinda'!D19</f>
        <v>61.142857142857139</v>
      </c>
      <c r="E19" s="49">
        <f>'Avg Week Ntinda-Naalya'!E19+'Avg Week Naalya-Ntinda'!E19</f>
        <v>16.428571428571431</v>
      </c>
      <c r="F19" s="49">
        <f>'Avg Week Ntinda-Naalya'!F19+'Avg Week Naalya-Ntinda'!F19</f>
        <v>15.714285714285714</v>
      </c>
      <c r="G19" s="49">
        <f>'Avg Week Ntinda-Naalya'!G19+'Avg Week Naalya-Ntinda'!G19</f>
        <v>0.5714285714285714</v>
      </c>
      <c r="H19" s="49">
        <f>'Avg Week Ntinda-Naalya'!H19+'Avg Week Naalya-Ntinda'!H19</f>
        <v>0</v>
      </c>
      <c r="I19" s="49">
        <f>'Avg Week Ntinda-Naalya'!I19+'Avg Week Naalya-Ntinda'!I19</f>
        <v>7.1428571428571423</v>
      </c>
      <c r="J19" s="49">
        <f>'Avg Week Ntinda-Naalya'!J19+'Avg Week Naalya-Ntinda'!J19</f>
        <v>2.5714285714285716</v>
      </c>
      <c r="K19" s="49">
        <f>'Avg Week Ntinda-Naalya'!K19+'Avg Week Naalya-Ntinda'!K19</f>
        <v>1.4285714285714284</v>
      </c>
      <c r="L19" s="49">
        <f>'Avg Week Ntinda-Naalya'!L19+'Avg Week Naalya-Ntinda'!L19</f>
        <v>0.2857142857142857</v>
      </c>
      <c r="M19" s="49">
        <f>'Avg Week Ntinda-Naalya'!M19+'Avg Week Naalya-Ntinda'!M19</f>
        <v>164.57142857142856</v>
      </c>
      <c r="N19" s="49">
        <f>'Avg Week Ntinda-Naalya'!N19+'Avg Week Naalya-Ntinda'!N19</f>
        <v>0</v>
      </c>
      <c r="O19" s="15">
        <f t="shared" si="0"/>
        <v>250.28571428571428</v>
      </c>
      <c r="P19" s="15">
        <f t="shared" si="1"/>
        <v>414.85714285714283</v>
      </c>
      <c r="R19" s="1" t="s">
        <v>15</v>
      </c>
      <c r="S19" s="17">
        <f t="shared" ref="S19:AF19" si="11">SUM(C46:C49)</f>
        <v>807.14285714285711</v>
      </c>
      <c r="T19" s="17">
        <f t="shared" si="11"/>
        <v>289.71428571428572</v>
      </c>
      <c r="U19" s="17">
        <f t="shared" si="11"/>
        <v>47</v>
      </c>
      <c r="V19" s="17">
        <f t="shared" si="11"/>
        <v>69.428571428571431</v>
      </c>
      <c r="W19" s="17">
        <f t="shared" si="11"/>
        <v>9.1428571428571423</v>
      </c>
      <c r="X19" s="17">
        <f t="shared" si="11"/>
        <v>1.7142857142857142</v>
      </c>
      <c r="Y19" s="17">
        <f t="shared" si="11"/>
        <v>26.714285714285712</v>
      </c>
      <c r="Z19" s="17">
        <f t="shared" si="11"/>
        <v>12.857142857142858</v>
      </c>
      <c r="AA19" s="17">
        <f t="shared" si="11"/>
        <v>2.714285714285714</v>
      </c>
      <c r="AB19" s="17">
        <f t="shared" si="11"/>
        <v>0.71428571428571419</v>
      </c>
      <c r="AC19" s="17">
        <f t="shared" si="11"/>
        <v>575.28571428571422</v>
      </c>
      <c r="AD19" s="17">
        <f t="shared" si="11"/>
        <v>0</v>
      </c>
      <c r="AE19" s="31">
        <f t="shared" si="11"/>
        <v>1267.1428571428571</v>
      </c>
      <c r="AF19" s="31">
        <f t="shared" si="11"/>
        <v>1842.4285714285716</v>
      </c>
    </row>
    <row r="20" spans="2:32" ht="23.1" customHeight="1" x14ac:dyDescent="0.25">
      <c r="B20" s="23" t="s">
        <v>47</v>
      </c>
      <c r="C20" s="49">
        <f>'Avg Week Ntinda-Naalya'!C20+'Avg Week Naalya-Ntinda'!C20</f>
        <v>142</v>
      </c>
      <c r="D20" s="49">
        <f>'Avg Week Ntinda-Naalya'!D20+'Avg Week Naalya-Ntinda'!D20</f>
        <v>63.857142857142861</v>
      </c>
      <c r="E20" s="49">
        <f>'Avg Week Ntinda-Naalya'!E20+'Avg Week Naalya-Ntinda'!E20</f>
        <v>14.428571428571431</v>
      </c>
      <c r="F20" s="49">
        <f>'Avg Week Ntinda-Naalya'!F20+'Avg Week Naalya-Ntinda'!F20</f>
        <v>15.428571428571429</v>
      </c>
      <c r="G20" s="49">
        <f>'Avg Week Ntinda-Naalya'!G20+'Avg Week Naalya-Ntinda'!G20</f>
        <v>0.5714285714285714</v>
      </c>
      <c r="H20" s="49">
        <f>'Avg Week Ntinda-Naalya'!H20+'Avg Week Naalya-Ntinda'!H20</f>
        <v>0.42857142857142855</v>
      </c>
      <c r="I20" s="49">
        <f>'Avg Week Ntinda-Naalya'!I20+'Avg Week Naalya-Ntinda'!I20</f>
        <v>7.1428571428571423</v>
      </c>
      <c r="J20" s="49">
        <f>'Avg Week Ntinda-Naalya'!J20+'Avg Week Naalya-Ntinda'!J20</f>
        <v>3</v>
      </c>
      <c r="K20" s="49">
        <f>'Avg Week Ntinda-Naalya'!K20+'Avg Week Naalya-Ntinda'!K20</f>
        <v>0.14285714285714285</v>
      </c>
      <c r="L20" s="49">
        <f>'Avg Week Ntinda-Naalya'!L20+'Avg Week Naalya-Ntinda'!L20</f>
        <v>0.2857142857142857</v>
      </c>
      <c r="M20" s="49">
        <f>'Avg Week Ntinda-Naalya'!M20+'Avg Week Naalya-Ntinda'!M20</f>
        <v>169</v>
      </c>
      <c r="N20" s="49">
        <f>'Avg Week Ntinda-Naalya'!N20+'Avg Week Naalya-Ntinda'!N20</f>
        <v>0</v>
      </c>
      <c r="O20" s="15">
        <f t="shared" si="0"/>
        <v>247.28571428571425</v>
      </c>
      <c r="P20" s="15">
        <f t="shared" si="1"/>
        <v>416.28571428571422</v>
      </c>
      <c r="R20" s="1" t="s">
        <v>16</v>
      </c>
      <c r="S20" s="17">
        <f t="shared" ref="S20:AF20" si="12">SUM(C50:C53)</f>
        <v>861</v>
      </c>
      <c r="T20" s="17">
        <f t="shared" si="12"/>
        <v>301.85714285714289</v>
      </c>
      <c r="U20" s="17">
        <f t="shared" si="12"/>
        <v>56</v>
      </c>
      <c r="V20" s="17">
        <f t="shared" si="12"/>
        <v>71.142857142857153</v>
      </c>
      <c r="W20" s="17">
        <f t="shared" si="12"/>
        <v>9</v>
      </c>
      <c r="X20" s="17">
        <f t="shared" si="12"/>
        <v>1.857142857142857</v>
      </c>
      <c r="Y20" s="17">
        <f t="shared" si="12"/>
        <v>26.857142857142858</v>
      </c>
      <c r="Z20" s="17">
        <f t="shared" si="12"/>
        <v>11.142857142857142</v>
      </c>
      <c r="AA20" s="17">
        <f t="shared" si="12"/>
        <v>3.2857142857142856</v>
      </c>
      <c r="AB20" s="17">
        <f t="shared" si="12"/>
        <v>1.857142857142857</v>
      </c>
      <c r="AC20" s="17">
        <f t="shared" si="12"/>
        <v>605.85714285714289</v>
      </c>
      <c r="AD20" s="17">
        <f t="shared" si="12"/>
        <v>0.14285714285714285</v>
      </c>
      <c r="AE20" s="31">
        <f t="shared" si="12"/>
        <v>1344.1428571428573</v>
      </c>
      <c r="AF20" s="31">
        <f t="shared" si="12"/>
        <v>1950</v>
      </c>
    </row>
    <row r="21" spans="2:32" ht="23.1" customHeight="1" x14ac:dyDescent="0.25">
      <c r="B21" s="23" t="s">
        <v>48</v>
      </c>
      <c r="C21" s="49">
        <f>'Avg Week Ntinda-Naalya'!C21+'Avg Week Naalya-Ntinda'!C21</f>
        <v>130.14285714285714</v>
      </c>
      <c r="D21" s="49">
        <f>'Avg Week Ntinda-Naalya'!D21+'Avg Week Naalya-Ntinda'!D21</f>
        <v>55.142857142857139</v>
      </c>
      <c r="E21" s="49">
        <f>'Avg Week Ntinda-Naalya'!E21+'Avg Week Naalya-Ntinda'!E21</f>
        <v>14.142857142857142</v>
      </c>
      <c r="F21" s="49">
        <f>'Avg Week Ntinda-Naalya'!F21+'Avg Week Naalya-Ntinda'!F21</f>
        <v>16.714285714285715</v>
      </c>
      <c r="G21" s="49">
        <f>'Avg Week Ntinda-Naalya'!G21+'Avg Week Naalya-Ntinda'!G21</f>
        <v>1.4285714285714284</v>
      </c>
      <c r="H21" s="49">
        <f>'Avg Week Ntinda-Naalya'!H21+'Avg Week Naalya-Ntinda'!H21</f>
        <v>0.14285714285714285</v>
      </c>
      <c r="I21" s="49">
        <f>'Avg Week Ntinda-Naalya'!I21+'Avg Week Naalya-Ntinda'!I21</f>
        <v>4.4285714285714288</v>
      </c>
      <c r="J21" s="49">
        <f>'Avg Week Ntinda-Naalya'!J21+'Avg Week Naalya-Ntinda'!J21</f>
        <v>4</v>
      </c>
      <c r="K21" s="49">
        <f>'Avg Week Ntinda-Naalya'!K21+'Avg Week Naalya-Ntinda'!K21</f>
        <v>1.1428571428571428</v>
      </c>
      <c r="L21" s="49">
        <f>'Avg Week Ntinda-Naalya'!L21+'Avg Week Naalya-Ntinda'!L21</f>
        <v>0.14285714285714285</v>
      </c>
      <c r="M21" s="49">
        <f>'Avg Week Ntinda-Naalya'!M21+'Avg Week Naalya-Ntinda'!M21</f>
        <v>152.42857142857144</v>
      </c>
      <c r="N21" s="49">
        <f>'Avg Week Ntinda-Naalya'!N21+'Avg Week Naalya-Ntinda'!N21</f>
        <v>0</v>
      </c>
      <c r="O21" s="15">
        <f t="shared" si="0"/>
        <v>227.42857142857139</v>
      </c>
      <c r="P21" s="15">
        <f t="shared" si="1"/>
        <v>379.85714285714283</v>
      </c>
      <c r="R21" s="36" t="s">
        <v>20</v>
      </c>
      <c r="S21" s="34">
        <f t="shared" ref="S21:AF21" si="13">SUM(C54:C57)</f>
        <v>785</v>
      </c>
      <c r="T21" s="17">
        <f t="shared" si="13"/>
        <v>274.28571428571428</v>
      </c>
      <c r="U21" s="17">
        <f t="shared" si="13"/>
        <v>39.857142857142861</v>
      </c>
      <c r="V21" s="17">
        <f t="shared" si="13"/>
        <v>63.428571428571431</v>
      </c>
      <c r="W21" s="17">
        <f t="shared" si="13"/>
        <v>12.428571428571429</v>
      </c>
      <c r="X21" s="17">
        <f t="shared" si="13"/>
        <v>4</v>
      </c>
      <c r="Y21" s="17">
        <f t="shared" si="13"/>
        <v>18.714285714285715</v>
      </c>
      <c r="Z21" s="17">
        <f t="shared" si="13"/>
        <v>10.714285714285715</v>
      </c>
      <c r="AA21" s="17">
        <f t="shared" si="13"/>
        <v>3.4285714285714288</v>
      </c>
      <c r="AB21" s="17">
        <f t="shared" si="13"/>
        <v>0.99999999999999978</v>
      </c>
      <c r="AC21" s="17">
        <f t="shared" si="13"/>
        <v>589</v>
      </c>
      <c r="AD21" s="17">
        <f t="shared" si="13"/>
        <v>0</v>
      </c>
      <c r="AE21" s="31">
        <f t="shared" si="13"/>
        <v>1212.8571428571429</v>
      </c>
      <c r="AF21" s="31">
        <f t="shared" si="13"/>
        <v>1801.8571428571431</v>
      </c>
    </row>
    <row r="22" spans="2:32" ht="23.1" customHeight="1" x14ac:dyDescent="0.25">
      <c r="B22" s="23" t="s">
        <v>49</v>
      </c>
      <c r="C22" s="49">
        <f>'Avg Week Ntinda-Naalya'!C22+'Avg Week Naalya-Ntinda'!C22</f>
        <v>148.28571428571428</v>
      </c>
      <c r="D22" s="49">
        <f>'Avg Week Ntinda-Naalya'!D22+'Avg Week Naalya-Ntinda'!D22</f>
        <v>61.857142857142861</v>
      </c>
      <c r="E22" s="49">
        <f>'Avg Week Ntinda-Naalya'!E22+'Avg Week Naalya-Ntinda'!E22</f>
        <v>12</v>
      </c>
      <c r="F22" s="49">
        <f>'Avg Week Ntinda-Naalya'!F22+'Avg Week Naalya-Ntinda'!F22</f>
        <v>17.571428571428569</v>
      </c>
      <c r="G22" s="49">
        <f>'Avg Week Ntinda-Naalya'!G22+'Avg Week Naalya-Ntinda'!G22</f>
        <v>1.2857142857142856</v>
      </c>
      <c r="H22" s="49">
        <f>'Avg Week Ntinda-Naalya'!H22+'Avg Week Naalya-Ntinda'!H22</f>
        <v>0.14285714285714285</v>
      </c>
      <c r="I22" s="49">
        <f>'Avg Week Ntinda-Naalya'!I22+'Avg Week Naalya-Ntinda'!I22</f>
        <v>6.5714285714285712</v>
      </c>
      <c r="J22" s="49">
        <f>'Avg Week Ntinda-Naalya'!J22+'Avg Week Naalya-Ntinda'!J22</f>
        <v>2</v>
      </c>
      <c r="K22" s="49">
        <f>'Avg Week Ntinda-Naalya'!K22+'Avg Week Naalya-Ntinda'!K22</f>
        <v>0.2857142857142857</v>
      </c>
      <c r="L22" s="49">
        <f>'Avg Week Ntinda-Naalya'!L22+'Avg Week Naalya-Ntinda'!L22</f>
        <v>0.14285714285714285</v>
      </c>
      <c r="M22" s="49">
        <f>'Avg Week Ntinda-Naalya'!M22+'Avg Week Naalya-Ntinda'!M22</f>
        <v>155.85714285714286</v>
      </c>
      <c r="N22" s="49">
        <f>'Avg Week Ntinda-Naalya'!N22+'Avg Week Naalya-Ntinda'!N22</f>
        <v>0</v>
      </c>
      <c r="O22" s="15">
        <f t="shared" si="0"/>
        <v>250.14285714285714</v>
      </c>
      <c r="P22" s="15">
        <f t="shared" si="1"/>
        <v>406</v>
      </c>
      <c r="R22" s="1" t="s">
        <v>146</v>
      </c>
      <c r="S22" s="34">
        <f>SUM(C58:C61)</f>
        <v>646</v>
      </c>
      <c r="T22" s="34">
        <f t="shared" ref="T22:AF22" si="14">SUM(D58:D61)</f>
        <v>213.5</v>
      </c>
      <c r="U22" s="34">
        <f t="shared" si="14"/>
        <v>57.5</v>
      </c>
      <c r="V22" s="34">
        <f t="shared" si="14"/>
        <v>52.5</v>
      </c>
      <c r="W22" s="34">
        <f t="shared" si="14"/>
        <v>2</v>
      </c>
      <c r="X22" s="34">
        <f t="shared" si="14"/>
        <v>3</v>
      </c>
      <c r="Y22" s="34">
        <f t="shared" si="14"/>
        <v>7</v>
      </c>
      <c r="Z22" s="34">
        <f t="shared" si="14"/>
        <v>5</v>
      </c>
      <c r="AA22" s="34">
        <f t="shared" si="14"/>
        <v>1.5</v>
      </c>
      <c r="AB22" s="34">
        <f t="shared" si="14"/>
        <v>2</v>
      </c>
      <c r="AC22" s="34">
        <f t="shared" si="14"/>
        <v>525.5</v>
      </c>
      <c r="AD22" s="34">
        <f t="shared" si="14"/>
        <v>0</v>
      </c>
      <c r="AE22" s="51">
        <f t="shared" si="14"/>
        <v>990</v>
      </c>
      <c r="AF22" s="51">
        <f t="shared" si="14"/>
        <v>1515.5</v>
      </c>
    </row>
    <row r="23" spans="2:32" ht="23.1" customHeight="1" x14ac:dyDescent="0.25">
      <c r="B23" s="23" t="s">
        <v>50</v>
      </c>
      <c r="C23" s="49">
        <f>'Avg Week Ntinda-Naalya'!C23+'Avg Week Naalya-Ntinda'!C23</f>
        <v>148.14285714285717</v>
      </c>
      <c r="D23" s="49">
        <f>'Avg Week Ntinda-Naalya'!D23+'Avg Week Naalya-Ntinda'!D23</f>
        <v>79.714285714285708</v>
      </c>
      <c r="E23" s="49">
        <f>'Avg Week Ntinda-Naalya'!E23+'Avg Week Naalya-Ntinda'!E23</f>
        <v>16.142857142857142</v>
      </c>
      <c r="F23" s="49">
        <f>'Avg Week Ntinda-Naalya'!F23+'Avg Week Naalya-Ntinda'!F23</f>
        <v>14.714285714285715</v>
      </c>
      <c r="G23" s="49">
        <f>'Avg Week Ntinda-Naalya'!G23+'Avg Week Naalya-Ntinda'!G23</f>
        <v>2.5714285714285712</v>
      </c>
      <c r="H23" s="49">
        <f>'Avg Week Ntinda-Naalya'!H23+'Avg Week Naalya-Ntinda'!H23</f>
        <v>0.14285714285714285</v>
      </c>
      <c r="I23" s="49">
        <f>'Avg Week Ntinda-Naalya'!I23+'Avg Week Naalya-Ntinda'!I23</f>
        <v>5.2857142857142865</v>
      </c>
      <c r="J23" s="49">
        <f>'Avg Week Ntinda-Naalya'!J23+'Avg Week Naalya-Ntinda'!J23</f>
        <v>3.4285714285714288</v>
      </c>
      <c r="K23" s="49">
        <f>'Avg Week Ntinda-Naalya'!K23+'Avg Week Naalya-Ntinda'!K23</f>
        <v>0.8571428571428571</v>
      </c>
      <c r="L23" s="49">
        <f>'Avg Week Ntinda-Naalya'!L23+'Avg Week Naalya-Ntinda'!L23</f>
        <v>0.71428571428571419</v>
      </c>
      <c r="M23" s="49">
        <f>'Avg Week Ntinda-Naalya'!M23+'Avg Week Naalya-Ntinda'!M23</f>
        <v>152.57142857142856</v>
      </c>
      <c r="N23" s="49">
        <f>'Avg Week Ntinda-Naalya'!N23+'Avg Week Naalya-Ntinda'!N23</f>
        <v>0</v>
      </c>
      <c r="O23" s="15">
        <f t="shared" si="0"/>
        <v>271.71428571428572</v>
      </c>
      <c r="P23" s="15">
        <f t="shared" si="1"/>
        <v>424.28571428571428</v>
      </c>
      <c r="R23" s="1" t="s">
        <v>147</v>
      </c>
      <c r="S23" s="34">
        <f>SUM(C62:C65)</f>
        <v>561</v>
      </c>
      <c r="T23" s="34">
        <f t="shared" ref="T23:AF23" si="15">SUM(D62:D65)</f>
        <v>236</v>
      </c>
      <c r="U23" s="34">
        <f t="shared" si="15"/>
        <v>45</v>
      </c>
      <c r="V23" s="34">
        <f t="shared" si="15"/>
        <v>70</v>
      </c>
      <c r="W23" s="34">
        <f t="shared" si="15"/>
        <v>6</v>
      </c>
      <c r="X23" s="34">
        <f t="shared" si="15"/>
        <v>0.5</v>
      </c>
      <c r="Y23" s="34">
        <f t="shared" si="15"/>
        <v>7.5</v>
      </c>
      <c r="Z23" s="34">
        <f t="shared" si="15"/>
        <v>7.5</v>
      </c>
      <c r="AA23" s="34">
        <f t="shared" si="15"/>
        <v>0.5</v>
      </c>
      <c r="AB23" s="34">
        <f t="shared" si="15"/>
        <v>0.5</v>
      </c>
      <c r="AC23" s="34">
        <f t="shared" si="15"/>
        <v>701</v>
      </c>
      <c r="AD23" s="34">
        <f t="shared" si="15"/>
        <v>0</v>
      </c>
      <c r="AE23" s="51">
        <f t="shared" si="15"/>
        <v>934.5</v>
      </c>
      <c r="AF23" s="51">
        <f t="shared" si="15"/>
        <v>1635.5</v>
      </c>
    </row>
    <row r="24" spans="2:32" ht="23.1" customHeight="1" x14ac:dyDescent="0.25">
      <c r="B24" s="23" t="s">
        <v>51</v>
      </c>
      <c r="C24" s="49">
        <f>'Avg Week Ntinda-Naalya'!C24+'Avg Week Naalya-Ntinda'!C24</f>
        <v>139.14285714285714</v>
      </c>
      <c r="D24" s="49">
        <f>'Avg Week Ntinda-Naalya'!D24+'Avg Week Naalya-Ntinda'!D24</f>
        <v>59.285714285714292</v>
      </c>
      <c r="E24" s="49">
        <f>'Avg Week Ntinda-Naalya'!E24+'Avg Week Naalya-Ntinda'!E24</f>
        <v>11.285714285714285</v>
      </c>
      <c r="F24" s="49">
        <f>'Avg Week Ntinda-Naalya'!F24+'Avg Week Naalya-Ntinda'!F24</f>
        <v>14.571428571428569</v>
      </c>
      <c r="G24" s="49">
        <f>'Avg Week Ntinda-Naalya'!G24+'Avg Week Naalya-Ntinda'!G24</f>
        <v>2.2857142857142856</v>
      </c>
      <c r="H24" s="49">
        <f>'Avg Week Ntinda-Naalya'!H24+'Avg Week Naalya-Ntinda'!H24</f>
        <v>0.2857142857142857</v>
      </c>
      <c r="I24" s="49">
        <f>'Avg Week Ntinda-Naalya'!I24+'Avg Week Naalya-Ntinda'!I24</f>
        <v>8.8571428571428577</v>
      </c>
      <c r="J24" s="49">
        <f>'Avg Week Ntinda-Naalya'!J24+'Avg Week Naalya-Ntinda'!J24</f>
        <v>4.4285714285714288</v>
      </c>
      <c r="K24" s="49">
        <f>'Avg Week Ntinda-Naalya'!K24+'Avg Week Naalya-Ntinda'!K24</f>
        <v>0.8571428571428571</v>
      </c>
      <c r="L24" s="49">
        <f>'Avg Week Ntinda-Naalya'!L24+'Avg Week Naalya-Ntinda'!L24</f>
        <v>0.2857142857142857</v>
      </c>
      <c r="M24" s="49">
        <f>'Avg Week Ntinda-Naalya'!M24+'Avg Week Naalya-Ntinda'!M24</f>
        <v>146</v>
      </c>
      <c r="N24" s="49">
        <f>'Avg Week Ntinda-Naalya'!N24+'Avg Week Naalya-Ntinda'!N24</f>
        <v>0</v>
      </c>
      <c r="O24" s="15">
        <f t="shared" si="0"/>
        <v>241.28571428571425</v>
      </c>
      <c r="P24" s="15">
        <f t="shared" si="1"/>
        <v>387.28571428571422</v>
      </c>
      <c r="R24" s="1" t="s">
        <v>148</v>
      </c>
      <c r="S24" s="34">
        <f>SUM(C66:C69)</f>
        <v>634</v>
      </c>
      <c r="T24" s="34">
        <f t="shared" ref="T24:AF24" si="16">SUM(D66:D69)</f>
        <v>257</v>
      </c>
      <c r="U24" s="34">
        <f t="shared" si="16"/>
        <v>112.5</v>
      </c>
      <c r="V24" s="34">
        <f t="shared" si="16"/>
        <v>48.5</v>
      </c>
      <c r="W24" s="34">
        <f t="shared" si="16"/>
        <v>2</v>
      </c>
      <c r="X24" s="34">
        <f t="shared" si="16"/>
        <v>0</v>
      </c>
      <c r="Y24" s="34">
        <f t="shared" si="16"/>
        <v>5</v>
      </c>
      <c r="Z24" s="34">
        <f t="shared" si="16"/>
        <v>6</v>
      </c>
      <c r="AA24" s="34">
        <f t="shared" si="16"/>
        <v>0.5</v>
      </c>
      <c r="AB24" s="34">
        <f t="shared" si="16"/>
        <v>0</v>
      </c>
      <c r="AC24" s="34">
        <f t="shared" si="16"/>
        <v>436.5</v>
      </c>
      <c r="AD24" s="34">
        <f t="shared" si="16"/>
        <v>0</v>
      </c>
      <c r="AE24" s="51">
        <f t="shared" si="16"/>
        <v>1065.5</v>
      </c>
      <c r="AF24" s="51">
        <f t="shared" si="16"/>
        <v>1502</v>
      </c>
    </row>
    <row r="25" spans="2:32" ht="23.1" customHeight="1" x14ac:dyDescent="0.25">
      <c r="B25" s="23" t="s">
        <v>52</v>
      </c>
      <c r="C25" s="49">
        <f>'Avg Week Ntinda-Naalya'!C25+'Avg Week Naalya-Ntinda'!C25</f>
        <v>139.14285714285717</v>
      </c>
      <c r="D25" s="49">
        <f>'Avg Week Ntinda-Naalya'!D25+'Avg Week Naalya-Ntinda'!D25</f>
        <v>57.571428571428577</v>
      </c>
      <c r="E25" s="49">
        <f>'Avg Week Ntinda-Naalya'!E25+'Avg Week Naalya-Ntinda'!E25</f>
        <v>13.142857142857142</v>
      </c>
      <c r="F25" s="49">
        <f>'Avg Week Ntinda-Naalya'!F25+'Avg Week Naalya-Ntinda'!F25</f>
        <v>16.571428571428569</v>
      </c>
      <c r="G25" s="49">
        <f>'Avg Week Ntinda-Naalya'!G25+'Avg Week Naalya-Ntinda'!G25</f>
        <v>2</v>
      </c>
      <c r="H25" s="49">
        <f>'Avg Week Ntinda-Naalya'!H25+'Avg Week Naalya-Ntinda'!H25</f>
        <v>0.14285714285714285</v>
      </c>
      <c r="I25" s="49">
        <f>'Avg Week Ntinda-Naalya'!I25+'Avg Week Naalya-Ntinda'!I25</f>
        <v>11.571428571428571</v>
      </c>
      <c r="J25" s="49">
        <f>'Avg Week Ntinda-Naalya'!J25+'Avg Week Naalya-Ntinda'!J25</f>
        <v>4.8571428571428577</v>
      </c>
      <c r="K25" s="49">
        <f>'Avg Week Ntinda-Naalya'!K25+'Avg Week Naalya-Ntinda'!K25</f>
        <v>0.2857142857142857</v>
      </c>
      <c r="L25" s="49">
        <f>'Avg Week Ntinda-Naalya'!L25+'Avg Week Naalya-Ntinda'!L25</f>
        <v>0.42857142857142855</v>
      </c>
      <c r="M25" s="49">
        <f>'Avg Week Ntinda-Naalya'!M25+'Avg Week Naalya-Ntinda'!M25</f>
        <v>158.71428571428572</v>
      </c>
      <c r="N25" s="49">
        <f>'Avg Week Ntinda-Naalya'!N25+'Avg Week Naalya-Ntinda'!N25</f>
        <v>0</v>
      </c>
      <c r="O25" s="15">
        <f t="shared" si="0"/>
        <v>245.71428571428572</v>
      </c>
      <c r="P25" s="15">
        <f t="shared" si="1"/>
        <v>404.42857142857144</v>
      </c>
      <c r="R25" s="1" t="s">
        <v>149</v>
      </c>
      <c r="S25" s="34">
        <f>SUM(C70:C73)</f>
        <v>475</v>
      </c>
      <c r="T25" s="34">
        <f t="shared" ref="T25:AF25" si="17">SUM(D70:D73)</f>
        <v>162.5</v>
      </c>
      <c r="U25" s="34">
        <f t="shared" si="17"/>
        <v>54.5</v>
      </c>
      <c r="V25" s="34">
        <f t="shared" si="17"/>
        <v>27</v>
      </c>
      <c r="W25" s="34">
        <f t="shared" si="17"/>
        <v>2</v>
      </c>
      <c r="X25" s="34">
        <f t="shared" si="17"/>
        <v>0.5</v>
      </c>
      <c r="Y25" s="34">
        <f t="shared" si="17"/>
        <v>5.5</v>
      </c>
      <c r="Z25" s="34">
        <f t="shared" si="17"/>
        <v>3.5</v>
      </c>
      <c r="AA25" s="34">
        <f t="shared" si="17"/>
        <v>2</v>
      </c>
      <c r="AB25" s="34">
        <f t="shared" si="17"/>
        <v>1.5</v>
      </c>
      <c r="AC25" s="34">
        <f t="shared" si="17"/>
        <v>320.5</v>
      </c>
      <c r="AD25" s="34">
        <f t="shared" si="17"/>
        <v>0</v>
      </c>
      <c r="AE25" s="51">
        <f t="shared" si="17"/>
        <v>734</v>
      </c>
      <c r="AF25" s="51">
        <f t="shared" si="17"/>
        <v>1054.5</v>
      </c>
    </row>
    <row r="26" spans="2:32" ht="23.1" customHeight="1" x14ac:dyDescent="0.25">
      <c r="B26" s="23" t="s">
        <v>53</v>
      </c>
      <c r="C26" s="49">
        <f>'Avg Week Ntinda-Naalya'!C26+'Avg Week Naalya-Ntinda'!C26</f>
        <v>133.57142857142856</v>
      </c>
      <c r="D26" s="49">
        <f>'Avg Week Ntinda-Naalya'!D26+'Avg Week Naalya-Ntinda'!D26</f>
        <v>54.285714285714285</v>
      </c>
      <c r="E26" s="49">
        <f>'Avg Week Ntinda-Naalya'!E26+'Avg Week Naalya-Ntinda'!E26</f>
        <v>13.857142857142858</v>
      </c>
      <c r="F26" s="49">
        <f>'Avg Week Ntinda-Naalya'!F26+'Avg Week Naalya-Ntinda'!F26</f>
        <v>18.285714285714285</v>
      </c>
      <c r="G26" s="49">
        <f>'Avg Week Ntinda-Naalya'!G26+'Avg Week Naalya-Ntinda'!G26</f>
        <v>0.85714285714285721</v>
      </c>
      <c r="H26" s="49">
        <f>'Avg Week Ntinda-Naalya'!H26+'Avg Week Naalya-Ntinda'!H26</f>
        <v>0.14285714285714285</v>
      </c>
      <c r="I26" s="49">
        <f>'Avg Week Ntinda-Naalya'!I26+'Avg Week Naalya-Ntinda'!I26</f>
        <v>6.7142857142857144</v>
      </c>
      <c r="J26" s="49">
        <f>'Avg Week Ntinda-Naalya'!J26+'Avg Week Naalya-Ntinda'!J26</f>
        <v>3</v>
      </c>
      <c r="K26" s="49">
        <f>'Avg Week Ntinda-Naalya'!K26+'Avg Week Naalya-Ntinda'!K26</f>
        <v>0.42857142857142855</v>
      </c>
      <c r="L26" s="49">
        <f>'Avg Week Ntinda-Naalya'!L26+'Avg Week Naalya-Ntinda'!L26</f>
        <v>0.14285714285714285</v>
      </c>
      <c r="M26" s="49">
        <f>'Avg Week Ntinda-Naalya'!M26+'Avg Week Naalya-Ntinda'!M26</f>
        <v>147.71428571428572</v>
      </c>
      <c r="N26" s="49">
        <f>'Avg Week Ntinda-Naalya'!N26+'Avg Week Naalya-Ntinda'!N26</f>
        <v>0</v>
      </c>
      <c r="O26" s="15">
        <f t="shared" si="0"/>
        <v>231.28571428571425</v>
      </c>
      <c r="P26" s="15">
        <f t="shared" si="1"/>
        <v>379</v>
      </c>
      <c r="R26" s="1" t="s">
        <v>150</v>
      </c>
      <c r="S26" s="34">
        <f>SUM(C74:C77)</f>
        <v>396</v>
      </c>
      <c r="T26" s="34">
        <f t="shared" ref="T26:AF26" si="18">SUM(D74:D77)</f>
        <v>124</v>
      </c>
      <c r="U26" s="34">
        <f t="shared" si="18"/>
        <v>26.5</v>
      </c>
      <c r="V26" s="34">
        <f t="shared" si="18"/>
        <v>20.5</v>
      </c>
      <c r="W26" s="34">
        <f t="shared" si="18"/>
        <v>1</v>
      </c>
      <c r="X26" s="34">
        <f t="shared" si="18"/>
        <v>0</v>
      </c>
      <c r="Y26" s="34">
        <f t="shared" si="18"/>
        <v>2</v>
      </c>
      <c r="Z26" s="34">
        <f t="shared" si="18"/>
        <v>2.5</v>
      </c>
      <c r="AA26" s="34">
        <f t="shared" si="18"/>
        <v>0</v>
      </c>
      <c r="AB26" s="34">
        <f t="shared" si="18"/>
        <v>0.5</v>
      </c>
      <c r="AC26" s="34">
        <f t="shared" si="18"/>
        <v>215</v>
      </c>
      <c r="AD26" s="34">
        <f t="shared" si="18"/>
        <v>0</v>
      </c>
      <c r="AE26" s="51">
        <f t="shared" si="18"/>
        <v>573</v>
      </c>
      <c r="AF26" s="51">
        <f t="shared" si="18"/>
        <v>788</v>
      </c>
    </row>
    <row r="27" spans="2:32" ht="23.1" customHeight="1" x14ac:dyDescent="0.25">
      <c r="B27" s="23" t="s">
        <v>54</v>
      </c>
      <c r="C27" s="49">
        <f>'Avg Week Ntinda-Naalya'!C27+'Avg Week Naalya-Ntinda'!C27</f>
        <v>135.28571428571428</v>
      </c>
      <c r="D27" s="49">
        <f>'Avg Week Ntinda-Naalya'!D27+'Avg Week Naalya-Ntinda'!D27</f>
        <v>62.857142857142854</v>
      </c>
      <c r="E27" s="49">
        <f>'Avg Week Ntinda-Naalya'!E27+'Avg Week Naalya-Ntinda'!E27</f>
        <v>13.285714285714286</v>
      </c>
      <c r="F27" s="49">
        <f>'Avg Week Ntinda-Naalya'!F27+'Avg Week Naalya-Ntinda'!F27</f>
        <v>20.142857142857142</v>
      </c>
      <c r="G27" s="49">
        <f>'Avg Week Ntinda-Naalya'!G27+'Avg Week Naalya-Ntinda'!G27</f>
        <v>1.7142857142857142</v>
      </c>
      <c r="H27" s="49">
        <f>'Avg Week Ntinda-Naalya'!H27+'Avg Week Naalya-Ntinda'!H27</f>
        <v>0.14285714285714285</v>
      </c>
      <c r="I27" s="49">
        <f>'Avg Week Ntinda-Naalya'!I27+'Avg Week Naalya-Ntinda'!I27</f>
        <v>6.7142857142857144</v>
      </c>
      <c r="J27" s="49">
        <f>'Avg Week Ntinda-Naalya'!J27+'Avg Week Naalya-Ntinda'!J27</f>
        <v>3.5714285714285712</v>
      </c>
      <c r="K27" s="49">
        <f>'Avg Week Ntinda-Naalya'!K27+'Avg Week Naalya-Ntinda'!K27</f>
        <v>1.1428571428571428</v>
      </c>
      <c r="L27" s="49">
        <f>'Avg Week Ntinda-Naalya'!L27+'Avg Week Naalya-Ntinda'!L27</f>
        <v>0.42857142857142855</v>
      </c>
      <c r="M27" s="49">
        <f>'Avg Week Ntinda-Naalya'!M27+'Avg Week Naalya-Ntinda'!M27</f>
        <v>153.14285714285717</v>
      </c>
      <c r="N27" s="49">
        <f>'Avg Week Ntinda-Naalya'!N27+'Avg Week Naalya-Ntinda'!N27</f>
        <v>0</v>
      </c>
      <c r="O27" s="15">
        <f t="shared" si="0"/>
        <v>245.28571428571428</v>
      </c>
      <c r="P27" s="15">
        <f t="shared" si="1"/>
        <v>398.42857142857144</v>
      </c>
      <c r="R27" s="1" t="s">
        <v>151</v>
      </c>
      <c r="S27" s="34">
        <f>SUM(C78:C81)</f>
        <v>203.5</v>
      </c>
      <c r="T27" s="34">
        <f t="shared" ref="T27:AF27" si="19">SUM(D78:D81)</f>
        <v>65.5</v>
      </c>
      <c r="U27" s="34">
        <f t="shared" si="19"/>
        <v>12</v>
      </c>
      <c r="V27" s="34">
        <f t="shared" si="19"/>
        <v>10</v>
      </c>
      <c r="W27" s="34">
        <f t="shared" si="19"/>
        <v>0</v>
      </c>
      <c r="X27" s="34">
        <f t="shared" si="19"/>
        <v>0</v>
      </c>
      <c r="Y27" s="34">
        <f t="shared" si="19"/>
        <v>2.5</v>
      </c>
      <c r="Z27" s="34">
        <f t="shared" si="19"/>
        <v>3</v>
      </c>
      <c r="AA27" s="34">
        <f t="shared" si="19"/>
        <v>5</v>
      </c>
      <c r="AB27" s="34">
        <f t="shared" si="19"/>
        <v>0</v>
      </c>
      <c r="AC27" s="34">
        <f t="shared" si="19"/>
        <v>95</v>
      </c>
      <c r="AD27" s="34">
        <f t="shared" si="19"/>
        <v>0</v>
      </c>
      <c r="AE27" s="51">
        <f t="shared" si="19"/>
        <v>301.5</v>
      </c>
      <c r="AF27" s="51">
        <f t="shared" si="19"/>
        <v>396.5</v>
      </c>
    </row>
    <row r="28" spans="2:32" ht="23.1" customHeight="1" x14ac:dyDescent="0.25">
      <c r="B28" s="23" t="s">
        <v>55</v>
      </c>
      <c r="C28" s="49">
        <f>'Avg Week Ntinda-Naalya'!C28+'Avg Week Naalya-Ntinda'!C28</f>
        <v>137.71428571428572</v>
      </c>
      <c r="D28" s="49">
        <f>'Avg Week Ntinda-Naalya'!D28+'Avg Week Naalya-Ntinda'!D28</f>
        <v>50</v>
      </c>
      <c r="E28" s="49">
        <f>'Avg Week Ntinda-Naalya'!E28+'Avg Week Naalya-Ntinda'!E28</f>
        <v>10.857142857142858</v>
      </c>
      <c r="F28" s="49">
        <f>'Avg Week Ntinda-Naalya'!F28+'Avg Week Naalya-Ntinda'!F28</f>
        <v>15.142857142857142</v>
      </c>
      <c r="G28" s="49">
        <f>'Avg Week Ntinda-Naalya'!G28+'Avg Week Naalya-Ntinda'!G28</f>
        <v>0.42857142857142855</v>
      </c>
      <c r="H28" s="49">
        <f>'Avg Week Ntinda-Naalya'!H28+'Avg Week Naalya-Ntinda'!H28</f>
        <v>0</v>
      </c>
      <c r="I28" s="49">
        <f>'Avg Week Ntinda-Naalya'!I28+'Avg Week Naalya-Ntinda'!I28</f>
        <v>8.2857142857142865</v>
      </c>
      <c r="J28" s="49">
        <f>'Avg Week Ntinda-Naalya'!J28+'Avg Week Naalya-Ntinda'!J28</f>
        <v>3.5714285714285712</v>
      </c>
      <c r="K28" s="49">
        <f>'Avg Week Ntinda-Naalya'!K28+'Avg Week Naalya-Ntinda'!K28</f>
        <v>0.42857142857142855</v>
      </c>
      <c r="L28" s="49">
        <f>'Avg Week Ntinda-Naalya'!L28+'Avg Week Naalya-Ntinda'!L28</f>
        <v>0.71428571428571419</v>
      </c>
      <c r="M28" s="49">
        <f>'Avg Week Ntinda-Naalya'!M28+'Avg Week Naalya-Ntinda'!M28</f>
        <v>138</v>
      </c>
      <c r="N28" s="49">
        <f>'Avg Week Ntinda-Naalya'!N28+'Avg Week Naalya-Ntinda'!N28</f>
        <v>0</v>
      </c>
      <c r="O28" s="15">
        <f t="shared" si="0"/>
        <v>227.14285714285714</v>
      </c>
      <c r="P28" s="15">
        <f t="shared" si="1"/>
        <v>365.14285714285711</v>
      </c>
      <c r="R28" s="1" t="s">
        <v>152</v>
      </c>
      <c r="S28" s="34">
        <f>SUM(C82:C85)</f>
        <v>99.5</v>
      </c>
      <c r="T28" s="34">
        <f t="shared" ref="T28:AF28" si="20">SUM(D82:D85)</f>
        <v>31.5</v>
      </c>
      <c r="U28" s="34">
        <f t="shared" si="20"/>
        <v>7.5</v>
      </c>
      <c r="V28" s="34">
        <f t="shared" si="20"/>
        <v>2.5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2.5</v>
      </c>
      <c r="AA28" s="34">
        <f t="shared" si="20"/>
        <v>1</v>
      </c>
      <c r="AB28" s="34">
        <f t="shared" si="20"/>
        <v>0</v>
      </c>
      <c r="AC28" s="34">
        <f t="shared" si="20"/>
        <v>50.5</v>
      </c>
      <c r="AD28" s="34">
        <f t="shared" si="20"/>
        <v>0</v>
      </c>
      <c r="AE28" s="51">
        <f t="shared" si="20"/>
        <v>145.5</v>
      </c>
      <c r="AF28" s="51">
        <f t="shared" si="20"/>
        <v>196</v>
      </c>
    </row>
    <row r="29" spans="2:32" ht="23.1" customHeight="1" x14ac:dyDescent="0.25">
      <c r="B29" s="23" t="s">
        <v>56</v>
      </c>
      <c r="C29" s="49">
        <f>'Avg Week Ntinda-Naalya'!C29+'Avg Week Naalya-Ntinda'!C29</f>
        <v>128.42857142857144</v>
      </c>
      <c r="D29" s="49">
        <f>'Avg Week Ntinda-Naalya'!D29+'Avg Week Naalya-Ntinda'!D29</f>
        <v>60.571428571428569</v>
      </c>
      <c r="E29" s="49">
        <f>'Avg Week Ntinda-Naalya'!E29+'Avg Week Naalya-Ntinda'!E29</f>
        <v>11</v>
      </c>
      <c r="F29" s="49">
        <f>'Avg Week Ntinda-Naalya'!F29+'Avg Week Naalya-Ntinda'!F29</f>
        <v>14.142857142857142</v>
      </c>
      <c r="G29" s="49">
        <f>'Avg Week Ntinda-Naalya'!G29+'Avg Week Naalya-Ntinda'!G29</f>
        <v>1.2857142857142856</v>
      </c>
      <c r="H29" s="49">
        <f>'Avg Week Ntinda-Naalya'!H29+'Avg Week Naalya-Ntinda'!H29</f>
        <v>0.42857142857142855</v>
      </c>
      <c r="I29" s="49">
        <f>'Avg Week Ntinda-Naalya'!I29+'Avg Week Naalya-Ntinda'!I29</f>
        <v>5.4285714285714288</v>
      </c>
      <c r="J29" s="49">
        <f>'Avg Week Ntinda-Naalya'!J29+'Avg Week Naalya-Ntinda'!J29</f>
        <v>3.5714285714285716</v>
      </c>
      <c r="K29" s="49">
        <f>'Avg Week Ntinda-Naalya'!K29+'Avg Week Naalya-Ntinda'!K29</f>
        <v>0.85714285714285721</v>
      </c>
      <c r="L29" s="49">
        <f>'Avg Week Ntinda-Naalya'!L29+'Avg Week Naalya-Ntinda'!L29</f>
        <v>0</v>
      </c>
      <c r="M29" s="49">
        <f>'Avg Week Ntinda-Naalya'!M29+'Avg Week Naalya-Ntinda'!M29</f>
        <v>133.85714285714286</v>
      </c>
      <c r="N29" s="49">
        <f>'Avg Week Ntinda-Naalya'!N29+'Avg Week Naalya-Ntinda'!N29</f>
        <v>0</v>
      </c>
      <c r="O29" s="15">
        <f t="shared" si="0"/>
        <v>225.71428571428569</v>
      </c>
      <c r="P29" s="15">
        <f t="shared" si="1"/>
        <v>359.57142857142856</v>
      </c>
      <c r="R29" s="1" t="s">
        <v>153</v>
      </c>
      <c r="S29" s="34">
        <f>SUM(C86:C89)</f>
        <v>79.5</v>
      </c>
      <c r="T29" s="34">
        <f t="shared" ref="T29:AF29" si="21">SUM(D86:D89)</f>
        <v>27.5</v>
      </c>
      <c r="U29" s="34">
        <f t="shared" si="21"/>
        <v>7</v>
      </c>
      <c r="V29" s="34">
        <f t="shared" si="21"/>
        <v>0.5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1</v>
      </c>
      <c r="AA29" s="34">
        <f t="shared" si="21"/>
        <v>0.5</v>
      </c>
      <c r="AB29" s="34">
        <f t="shared" si="21"/>
        <v>0.5</v>
      </c>
      <c r="AC29" s="34">
        <f t="shared" si="21"/>
        <v>60</v>
      </c>
      <c r="AD29" s="34">
        <f t="shared" si="21"/>
        <v>0</v>
      </c>
      <c r="AE29" s="51">
        <f t="shared" si="21"/>
        <v>116.5</v>
      </c>
      <c r="AF29" s="51">
        <f t="shared" si="21"/>
        <v>176.5</v>
      </c>
    </row>
    <row r="30" spans="2:32" ht="23.1" customHeight="1" x14ac:dyDescent="0.25">
      <c r="B30" s="23" t="s">
        <v>57</v>
      </c>
      <c r="C30" s="49">
        <f>'Avg Week Ntinda-Naalya'!C30+'Avg Week Naalya-Ntinda'!C30</f>
        <v>126.42857142857143</v>
      </c>
      <c r="D30" s="49">
        <f>'Avg Week Ntinda-Naalya'!D30+'Avg Week Naalya-Ntinda'!D30</f>
        <v>48.857142857142861</v>
      </c>
      <c r="E30" s="49">
        <f>'Avg Week Ntinda-Naalya'!E30+'Avg Week Naalya-Ntinda'!E30</f>
        <v>11.428571428571427</v>
      </c>
      <c r="F30" s="49">
        <f>'Avg Week Ntinda-Naalya'!F30+'Avg Week Naalya-Ntinda'!F30</f>
        <v>13.428571428571429</v>
      </c>
      <c r="G30" s="49">
        <f>'Avg Week Ntinda-Naalya'!G30+'Avg Week Naalya-Ntinda'!G30</f>
        <v>2.4285714285714288</v>
      </c>
      <c r="H30" s="49">
        <f>'Avg Week Ntinda-Naalya'!H30+'Avg Week Naalya-Ntinda'!H30</f>
        <v>1</v>
      </c>
      <c r="I30" s="49">
        <f>'Avg Week Ntinda-Naalya'!I30+'Avg Week Naalya-Ntinda'!I30</f>
        <v>6</v>
      </c>
      <c r="J30" s="49">
        <f>'Avg Week Ntinda-Naalya'!J30+'Avg Week Naalya-Ntinda'!J30</f>
        <v>5</v>
      </c>
      <c r="K30" s="49">
        <f>'Avg Week Ntinda-Naalya'!K30+'Avg Week Naalya-Ntinda'!K30</f>
        <v>1.5714285714285714</v>
      </c>
      <c r="L30" s="49">
        <f>'Avg Week Ntinda-Naalya'!L30+'Avg Week Naalya-Ntinda'!L30</f>
        <v>0.2857142857142857</v>
      </c>
      <c r="M30" s="49">
        <f>'Avg Week Ntinda-Naalya'!M30+'Avg Week Naalya-Ntinda'!M30</f>
        <v>134</v>
      </c>
      <c r="N30" s="49">
        <f>'Avg Week Ntinda-Naalya'!N30+'Avg Week Naalya-Ntinda'!N30</f>
        <v>0</v>
      </c>
      <c r="O30" s="15">
        <f t="shared" si="0"/>
        <v>216.42857142857139</v>
      </c>
      <c r="P30" s="15">
        <f t="shared" si="1"/>
        <v>350.42857142857139</v>
      </c>
      <c r="R30" s="1" t="s">
        <v>154</v>
      </c>
      <c r="S30" s="34">
        <f>SUM(C90:C93)</f>
        <v>48</v>
      </c>
      <c r="T30" s="34">
        <f t="shared" ref="T30:AF30" si="22">SUM(D90:D93)</f>
        <v>12.5</v>
      </c>
      <c r="U30" s="34">
        <f t="shared" si="22"/>
        <v>4</v>
      </c>
      <c r="V30" s="34">
        <f t="shared" si="22"/>
        <v>2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1.5</v>
      </c>
      <c r="AA30" s="34">
        <f t="shared" si="22"/>
        <v>0</v>
      </c>
      <c r="AB30" s="34">
        <f t="shared" si="22"/>
        <v>0</v>
      </c>
      <c r="AC30" s="34">
        <f t="shared" si="22"/>
        <v>18</v>
      </c>
      <c r="AD30" s="34">
        <f t="shared" si="22"/>
        <v>0</v>
      </c>
      <c r="AE30" s="51">
        <f t="shared" si="22"/>
        <v>69</v>
      </c>
      <c r="AF30" s="51">
        <f t="shared" si="22"/>
        <v>87</v>
      </c>
    </row>
    <row r="31" spans="2:32" ht="23.1" customHeight="1" x14ac:dyDescent="0.25">
      <c r="B31" s="24" t="s">
        <v>58</v>
      </c>
      <c r="C31" s="49">
        <f>'Avg Week Ntinda-Naalya'!C31+'Avg Week Naalya-Ntinda'!C31</f>
        <v>119.14285714285714</v>
      </c>
      <c r="D31" s="49">
        <f>'Avg Week Ntinda-Naalya'!D31+'Avg Week Naalya-Ntinda'!D31</f>
        <v>56.714285714285715</v>
      </c>
      <c r="E31" s="49">
        <f>'Avg Week Ntinda-Naalya'!E31+'Avg Week Naalya-Ntinda'!E31</f>
        <v>8.8571428571428577</v>
      </c>
      <c r="F31" s="49">
        <f>'Avg Week Ntinda-Naalya'!F31+'Avg Week Naalya-Ntinda'!F31</f>
        <v>12</v>
      </c>
      <c r="G31" s="49">
        <f>'Avg Week Ntinda-Naalya'!G31+'Avg Week Naalya-Ntinda'!G31</f>
        <v>1.4285714285714286</v>
      </c>
      <c r="H31" s="49">
        <f>'Avg Week Ntinda-Naalya'!H31+'Avg Week Naalya-Ntinda'!H31</f>
        <v>0.2857142857142857</v>
      </c>
      <c r="I31" s="49">
        <f>'Avg Week Ntinda-Naalya'!I31+'Avg Week Naalya-Ntinda'!I31</f>
        <v>8.7142857142857153</v>
      </c>
      <c r="J31" s="49">
        <f>'Avg Week Ntinda-Naalya'!J31+'Avg Week Naalya-Ntinda'!J31</f>
        <v>3.1428571428571428</v>
      </c>
      <c r="K31" s="49">
        <f>'Avg Week Ntinda-Naalya'!K31+'Avg Week Naalya-Ntinda'!K31</f>
        <v>1.5714285714285714</v>
      </c>
      <c r="L31" s="49">
        <f>'Avg Week Ntinda-Naalya'!L31+'Avg Week Naalya-Ntinda'!L31</f>
        <v>0.8571428571428571</v>
      </c>
      <c r="M31" s="49">
        <f>'Avg Week Ntinda-Naalya'!M31+'Avg Week Naalya-Ntinda'!M31</f>
        <v>129.42857142857142</v>
      </c>
      <c r="N31" s="49">
        <f>'Avg Week Ntinda-Naalya'!N31+'Avg Week Naalya-Ntinda'!N31</f>
        <v>0</v>
      </c>
      <c r="O31" s="15">
        <f t="shared" si="0"/>
        <v>212.71428571428572</v>
      </c>
      <c r="P31" s="15">
        <f t="shared" si="1"/>
        <v>342.14285714285711</v>
      </c>
      <c r="R31" s="1" t="s">
        <v>155</v>
      </c>
      <c r="S31" s="34">
        <f>SUM(C94:C97)</f>
        <v>54</v>
      </c>
      <c r="T31" s="34">
        <f t="shared" ref="T31:AF31" si="23">SUM(D94:D97)</f>
        <v>12</v>
      </c>
      <c r="U31" s="34">
        <f t="shared" si="23"/>
        <v>4</v>
      </c>
      <c r="V31" s="34">
        <f t="shared" si="23"/>
        <v>4</v>
      </c>
      <c r="W31" s="34">
        <f t="shared" si="23"/>
        <v>1.5</v>
      </c>
      <c r="X31" s="34">
        <f t="shared" si="23"/>
        <v>0</v>
      </c>
      <c r="Y31" s="34">
        <f t="shared" si="23"/>
        <v>1</v>
      </c>
      <c r="Z31" s="34">
        <f t="shared" si="23"/>
        <v>1</v>
      </c>
      <c r="AA31" s="34">
        <f t="shared" si="23"/>
        <v>1</v>
      </c>
      <c r="AB31" s="34">
        <f t="shared" si="23"/>
        <v>0</v>
      </c>
      <c r="AC31" s="34">
        <f t="shared" si="23"/>
        <v>16</v>
      </c>
      <c r="AD31" s="34">
        <f t="shared" si="23"/>
        <v>0</v>
      </c>
      <c r="AE31" s="51">
        <f t="shared" si="23"/>
        <v>78.5</v>
      </c>
      <c r="AF31" s="51">
        <f t="shared" si="23"/>
        <v>94.5</v>
      </c>
    </row>
    <row r="32" spans="2:32" ht="23.1" customHeight="1" x14ac:dyDescent="0.25">
      <c r="B32" s="24" t="s">
        <v>59</v>
      </c>
      <c r="C32" s="49">
        <f>'Avg Week Ntinda-Naalya'!C32+'Avg Week Naalya-Ntinda'!C32</f>
        <v>134</v>
      </c>
      <c r="D32" s="49">
        <f>'Avg Week Ntinda-Naalya'!D32+'Avg Week Naalya-Ntinda'!D32</f>
        <v>46</v>
      </c>
      <c r="E32" s="49">
        <f>'Avg Week Ntinda-Naalya'!E32+'Avg Week Naalya-Ntinda'!E32</f>
        <v>10.285714285714286</v>
      </c>
      <c r="F32" s="49">
        <f>'Avg Week Ntinda-Naalya'!F32+'Avg Week Naalya-Ntinda'!F32</f>
        <v>14</v>
      </c>
      <c r="G32" s="49">
        <f>'Avg Week Ntinda-Naalya'!G32+'Avg Week Naalya-Ntinda'!G32</f>
        <v>0.14285714285714285</v>
      </c>
      <c r="H32" s="49">
        <f>'Avg Week Ntinda-Naalya'!H32+'Avg Week Naalya-Ntinda'!H32</f>
        <v>0.5714285714285714</v>
      </c>
      <c r="I32" s="49">
        <f>'Avg Week Ntinda-Naalya'!I32+'Avg Week Naalya-Ntinda'!I32</f>
        <v>6.1428571428571423</v>
      </c>
      <c r="J32" s="49">
        <f>'Avg Week Ntinda-Naalya'!J32+'Avg Week Naalya-Ntinda'!J32</f>
        <v>3</v>
      </c>
      <c r="K32" s="49">
        <f>'Avg Week Ntinda-Naalya'!K32+'Avg Week Naalya-Ntinda'!K32</f>
        <v>1.2857142857142856</v>
      </c>
      <c r="L32" s="49">
        <f>'Avg Week Ntinda-Naalya'!L32+'Avg Week Naalya-Ntinda'!L32</f>
        <v>0.5714285714285714</v>
      </c>
      <c r="M32" s="49">
        <f>'Avg Week Ntinda-Naalya'!M32+'Avg Week Naalya-Ntinda'!M32</f>
        <v>124</v>
      </c>
      <c r="N32" s="49">
        <f>'Avg Week Ntinda-Naalya'!N32+'Avg Week Naalya-Ntinda'!N32</f>
        <v>0.14285714285714285</v>
      </c>
      <c r="O32" s="15">
        <f t="shared" si="0"/>
        <v>216.14285714285714</v>
      </c>
      <c r="P32" s="15">
        <f t="shared" si="1"/>
        <v>340.14285714285717</v>
      </c>
      <c r="R32" s="1" t="s">
        <v>156</v>
      </c>
      <c r="S32" s="34">
        <f>SUM(C98:C101)</f>
        <v>107</v>
      </c>
      <c r="T32" s="34">
        <f t="shared" ref="T32:AF32" si="24">SUM(D98:D101)</f>
        <v>55.5</v>
      </c>
      <c r="U32" s="34">
        <f t="shared" si="24"/>
        <v>6</v>
      </c>
      <c r="V32" s="34">
        <f t="shared" si="24"/>
        <v>12.5</v>
      </c>
      <c r="W32" s="34">
        <f t="shared" si="24"/>
        <v>3</v>
      </c>
      <c r="X32" s="34">
        <f t="shared" si="24"/>
        <v>0.5</v>
      </c>
      <c r="Y32" s="34">
        <f t="shared" si="24"/>
        <v>4</v>
      </c>
      <c r="Z32" s="34">
        <f t="shared" si="24"/>
        <v>1.5</v>
      </c>
      <c r="AA32" s="34">
        <f t="shared" si="24"/>
        <v>0.5</v>
      </c>
      <c r="AB32" s="34">
        <f t="shared" si="24"/>
        <v>0</v>
      </c>
      <c r="AC32" s="34">
        <f t="shared" si="24"/>
        <v>32</v>
      </c>
      <c r="AD32" s="34">
        <f t="shared" si="24"/>
        <v>0</v>
      </c>
      <c r="AE32" s="51">
        <f t="shared" si="24"/>
        <v>190.5</v>
      </c>
      <c r="AF32" s="51">
        <f t="shared" si="24"/>
        <v>222.5</v>
      </c>
    </row>
    <row r="33" spans="2:32" ht="23.1" customHeight="1" x14ac:dyDescent="0.25">
      <c r="B33" s="23" t="s">
        <v>60</v>
      </c>
      <c r="C33" s="49">
        <f>'Avg Week Ntinda-Naalya'!C33+'Avg Week Naalya-Ntinda'!C33</f>
        <v>142.57142857142856</v>
      </c>
      <c r="D33" s="49">
        <f>'Avg Week Ntinda-Naalya'!D33+'Avg Week Naalya-Ntinda'!D33</f>
        <v>50.857142857142861</v>
      </c>
      <c r="E33" s="49">
        <f>'Avg Week Ntinda-Naalya'!E33+'Avg Week Naalya-Ntinda'!E33</f>
        <v>10.857142857142858</v>
      </c>
      <c r="F33" s="49">
        <f>'Avg Week Ntinda-Naalya'!F33+'Avg Week Naalya-Ntinda'!F33</f>
        <v>13.142857142857142</v>
      </c>
      <c r="G33" s="49">
        <f>'Avg Week Ntinda-Naalya'!G33+'Avg Week Naalya-Ntinda'!G33</f>
        <v>0.71428571428571419</v>
      </c>
      <c r="H33" s="49">
        <f>'Avg Week Ntinda-Naalya'!H33+'Avg Week Naalya-Ntinda'!H33</f>
        <v>0.14285714285714285</v>
      </c>
      <c r="I33" s="49">
        <f>'Avg Week Ntinda-Naalya'!I33+'Avg Week Naalya-Ntinda'!I33</f>
        <v>7</v>
      </c>
      <c r="J33" s="49">
        <f>'Avg Week Ntinda-Naalya'!J33+'Avg Week Naalya-Ntinda'!J33</f>
        <v>2.8571428571428572</v>
      </c>
      <c r="K33" s="49">
        <f>'Avg Week Ntinda-Naalya'!K33+'Avg Week Naalya-Ntinda'!K33</f>
        <v>1</v>
      </c>
      <c r="L33" s="49">
        <f>'Avg Week Ntinda-Naalya'!L33+'Avg Week Naalya-Ntinda'!L33</f>
        <v>0.14285714285714285</v>
      </c>
      <c r="M33" s="49">
        <f>'Avg Week Ntinda-Naalya'!M33+'Avg Week Naalya-Ntinda'!M33</f>
        <v>121.85714285714286</v>
      </c>
      <c r="N33" s="49">
        <f>'Avg Week Ntinda-Naalya'!N33+'Avg Week Naalya-Ntinda'!N33</f>
        <v>0</v>
      </c>
      <c r="O33" s="15">
        <f t="shared" si="0"/>
        <v>229.28571428571428</v>
      </c>
      <c r="P33" s="15">
        <f t="shared" si="1"/>
        <v>351.14285714285711</v>
      </c>
      <c r="R33" s="1" t="s">
        <v>157</v>
      </c>
      <c r="S33" s="34">
        <f>SUM(C102:C105)</f>
        <v>290</v>
      </c>
      <c r="T33" s="34">
        <f t="shared" ref="T33:AF33" si="25">SUM(D102:D105)</f>
        <v>313.5</v>
      </c>
      <c r="U33" s="34">
        <f t="shared" si="25"/>
        <v>36.5</v>
      </c>
      <c r="V33" s="34">
        <f t="shared" si="25"/>
        <v>33.5</v>
      </c>
      <c r="W33" s="34">
        <f t="shared" si="25"/>
        <v>5</v>
      </c>
      <c r="X33" s="34">
        <f t="shared" si="25"/>
        <v>2</v>
      </c>
      <c r="Y33" s="34">
        <f t="shared" si="25"/>
        <v>0.5</v>
      </c>
      <c r="Z33" s="34">
        <f t="shared" si="25"/>
        <v>3</v>
      </c>
      <c r="AA33" s="34">
        <f t="shared" si="25"/>
        <v>0.5</v>
      </c>
      <c r="AB33" s="34">
        <f t="shared" si="25"/>
        <v>0</v>
      </c>
      <c r="AC33" s="34">
        <f t="shared" si="25"/>
        <v>68.5</v>
      </c>
      <c r="AD33" s="34">
        <f t="shared" si="25"/>
        <v>0</v>
      </c>
      <c r="AE33" s="51">
        <f t="shared" si="25"/>
        <v>684.5</v>
      </c>
      <c r="AF33" s="51">
        <f t="shared" si="25"/>
        <v>753</v>
      </c>
    </row>
    <row r="34" spans="2:32" ht="23.1" customHeight="1" x14ac:dyDescent="0.25">
      <c r="B34" s="24" t="s">
        <v>61</v>
      </c>
      <c r="C34" s="49">
        <f>'Avg Week Ntinda-Naalya'!C34+'Avg Week Naalya-Ntinda'!C34</f>
        <v>128.14285714285714</v>
      </c>
      <c r="D34" s="49">
        <f>'Avg Week Ntinda-Naalya'!D34+'Avg Week Naalya-Ntinda'!D34</f>
        <v>51.428571428571431</v>
      </c>
      <c r="E34" s="49">
        <f>'Avg Week Ntinda-Naalya'!E34+'Avg Week Naalya-Ntinda'!E34</f>
        <v>11.857142857142858</v>
      </c>
      <c r="F34" s="49">
        <f>'Avg Week Ntinda-Naalya'!F34+'Avg Week Naalya-Ntinda'!F34</f>
        <v>12.142857142857142</v>
      </c>
      <c r="G34" s="49">
        <f>'Avg Week Ntinda-Naalya'!G34+'Avg Week Naalya-Ntinda'!G34</f>
        <v>1.1428571428571428</v>
      </c>
      <c r="H34" s="49">
        <f>'Avg Week Ntinda-Naalya'!H34+'Avg Week Naalya-Ntinda'!H34</f>
        <v>0.2857142857142857</v>
      </c>
      <c r="I34" s="49">
        <f>'Avg Week Ntinda-Naalya'!I34+'Avg Week Naalya-Ntinda'!I34</f>
        <v>6</v>
      </c>
      <c r="J34" s="49">
        <f>'Avg Week Ntinda-Naalya'!J34+'Avg Week Naalya-Ntinda'!J34</f>
        <v>3</v>
      </c>
      <c r="K34" s="49">
        <f>'Avg Week Ntinda-Naalya'!K34+'Avg Week Naalya-Ntinda'!K34</f>
        <v>0.5714285714285714</v>
      </c>
      <c r="L34" s="49">
        <f>'Avg Week Ntinda-Naalya'!L34+'Avg Week Naalya-Ntinda'!L34</f>
        <v>0</v>
      </c>
      <c r="M34" s="49">
        <f>'Avg Week Ntinda-Naalya'!M34+'Avg Week Naalya-Ntinda'!M34</f>
        <v>107.42857142857142</v>
      </c>
      <c r="N34" s="49">
        <f>'Avg Week Ntinda-Naalya'!N34+'Avg Week Naalya-Ntinda'!N34</f>
        <v>0</v>
      </c>
      <c r="O34" s="15">
        <f t="shared" si="0"/>
        <v>214.57142857142856</v>
      </c>
      <c r="P34" s="15">
        <f t="shared" si="1"/>
        <v>322</v>
      </c>
      <c r="R34" s="38" t="s">
        <v>90</v>
      </c>
      <c r="S34" s="39">
        <f t="shared" ref="S34:AF34" si="26">MAX(S10:S12)</f>
        <v>794.28571428571433</v>
      </c>
      <c r="T34" s="39">
        <f t="shared" si="26"/>
        <v>337.57142857142856</v>
      </c>
      <c r="U34" s="39">
        <f t="shared" si="26"/>
        <v>58.285714285714292</v>
      </c>
      <c r="V34" s="39">
        <f t="shared" si="26"/>
        <v>73.714285714285722</v>
      </c>
      <c r="W34" s="39">
        <f t="shared" si="26"/>
        <v>3.8571428571428568</v>
      </c>
      <c r="X34" s="39">
        <f t="shared" si="26"/>
        <v>1</v>
      </c>
      <c r="Y34" s="39">
        <f t="shared" si="26"/>
        <v>25.857142857142854</v>
      </c>
      <c r="Z34" s="39">
        <f t="shared" si="26"/>
        <v>12.857142857142858</v>
      </c>
      <c r="AA34" s="39">
        <f t="shared" si="26"/>
        <v>3.1428571428571423</v>
      </c>
      <c r="AB34" s="39">
        <f t="shared" si="26"/>
        <v>1.2857142857142856</v>
      </c>
      <c r="AC34" s="39">
        <f t="shared" si="26"/>
        <v>672</v>
      </c>
      <c r="AD34" s="39">
        <f t="shared" si="26"/>
        <v>0.2857142857142857</v>
      </c>
      <c r="AE34" s="40">
        <f t="shared" si="26"/>
        <v>1261.2857142857142</v>
      </c>
      <c r="AF34" s="40">
        <f t="shared" si="26"/>
        <v>1798.7142857142858</v>
      </c>
    </row>
    <row r="35" spans="2:32" ht="23.1" customHeight="1" x14ac:dyDescent="0.25">
      <c r="B35" s="24" t="s">
        <v>62</v>
      </c>
      <c r="C35" s="49">
        <f>'Avg Week Ntinda-Naalya'!C35+'Avg Week Naalya-Ntinda'!C35</f>
        <v>136</v>
      </c>
      <c r="D35" s="49">
        <f>'Avg Week Ntinda-Naalya'!D35+'Avg Week Naalya-Ntinda'!D35</f>
        <v>57.857142857142854</v>
      </c>
      <c r="E35" s="49">
        <f>'Avg Week Ntinda-Naalya'!E35+'Avg Week Naalya-Ntinda'!E35</f>
        <v>14.285714285714285</v>
      </c>
      <c r="F35" s="49">
        <f>'Avg Week Ntinda-Naalya'!F35+'Avg Week Naalya-Ntinda'!F35</f>
        <v>14.285714285714285</v>
      </c>
      <c r="G35" s="49">
        <f>'Avg Week Ntinda-Naalya'!G35+'Avg Week Naalya-Ntinda'!G35</f>
        <v>1.2857142857142856</v>
      </c>
      <c r="H35" s="49">
        <f>'Avg Week Ntinda-Naalya'!H35+'Avg Week Naalya-Ntinda'!H35</f>
        <v>0</v>
      </c>
      <c r="I35" s="49">
        <f>'Avg Week Ntinda-Naalya'!I35+'Avg Week Naalya-Ntinda'!I35</f>
        <v>8.4285714285714288</v>
      </c>
      <c r="J35" s="49">
        <f>'Avg Week Ntinda-Naalya'!J35+'Avg Week Naalya-Ntinda'!J35</f>
        <v>2.5714285714285712</v>
      </c>
      <c r="K35" s="49">
        <f>'Avg Week Ntinda-Naalya'!K35+'Avg Week Naalya-Ntinda'!K35</f>
        <v>1.2857142857142856</v>
      </c>
      <c r="L35" s="49">
        <f>'Avg Week Ntinda-Naalya'!L35+'Avg Week Naalya-Ntinda'!L35</f>
        <v>0.14285714285714285</v>
      </c>
      <c r="M35" s="49">
        <f>'Avg Week Ntinda-Naalya'!M35+'Avg Week Naalya-Ntinda'!M35</f>
        <v>110.14285714285714</v>
      </c>
      <c r="N35" s="49">
        <f>'Avg Week Ntinda-Naalya'!N35+'Avg Week Naalya-Ntinda'!N35</f>
        <v>0</v>
      </c>
      <c r="O35" s="15">
        <f t="shared" si="0"/>
        <v>236.14285714285711</v>
      </c>
      <c r="P35" s="15">
        <f t="shared" si="1"/>
        <v>346.28571428571422</v>
      </c>
      <c r="R35" s="38" t="s">
        <v>91</v>
      </c>
      <c r="S35" s="39">
        <f t="shared" ref="S35:AF35" si="27">MAX(S13:S18)</f>
        <v>626.85714285714289</v>
      </c>
      <c r="T35" s="39">
        <f t="shared" si="27"/>
        <v>258.42857142857139</v>
      </c>
      <c r="U35" s="39">
        <f t="shared" si="27"/>
        <v>53.571428571428569</v>
      </c>
      <c r="V35" s="39">
        <f t="shared" si="27"/>
        <v>67.714285714285708</v>
      </c>
      <c r="W35" s="39">
        <f t="shared" si="27"/>
        <v>8.1428571428571423</v>
      </c>
      <c r="X35" s="39">
        <f t="shared" si="27"/>
        <v>1.9999999999999998</v>
      </c>
      <c r="Y35" s="39">
        <f t="shared" si="27"/>
        <v>34.142857142857139</v>
      </c>
      <c r="Z35" s="39">
        <f t="shared" si="27"/>
        <v>18.285714285714285</v>
      </c>
      <c r="AA35" s="39">
        <f t="shared" si="27"/>
        <v>5.4285714285714288</v>
      </c>
      <c r="AB35" s="39">
        <f t="shared" si="27"/>
        <v>1.857142857142857</v>
      </c>
      <c r="AC35" s="39">
        <f t="shared" si="27"/>
        <v>613.14285714285711</v>
      </c>
      <c r="AD35" s="39">
        <f t="shared" si="27"/>
        <v>0.14285714285714285</v>
      </c>
      <c r="AE35" s="40">
        <f t="shared" si="27"/>
        <v>1028.5714285714287</v>
      </c>
      <c r="AF35" s="40">
        <f t="shared" si="27"/>
        <v>1622</v>
      </c>
    </row>
    <row r="36" spans="2:32" ht="23.1" customHeight="1" x14ac:dyDescent="0.25">
      <c r="B36" s="24" t="s">
        <v>63</v>
      </c>
      <c r="C36" s="49">
        <f>'Avg Week Ntinda-Naalya'!C36+'Avg Week Naalya-Ntinda'!C36</f>
        <v>156.42857142857144</v>
      </c>
      <c r="D36" s="49">
        <f>'Avg Week Ntinda-Naalya'!D36+'Avg Week Naalya-Ntinda'!D36</f>
        <v>65.428571428571431</v>
      </c>
      <c r="E36" s="49">
        <f>'Avg Week Ntinda-Naalya'!E36+'Avg Week Naalya-Ntinda'!E36</f>
        <v>14.285714285714286</v>
      </c>
      <c r="F36" s="49">
        <f>'Avg Week Ntinda-Naalya'!F36+'Avg Week Naalya-Ntinda'!F36</f>
        <v>12.714285714285714</v>
      </c>
      <c r="G36" s="49">
        <f>'Avg Week Ntinda-Naalya'!G36+'Avg Week Naalya-Ntinda'!G36</f>
        <v>1.7142857142857144</v>
      </c>
      <c r="H36" s="49">
        <f>'Avg Week Ntinda-Naalya'!H36+'Avg Week Naalya-Ntinda'!H36</f>
        <v>0.2857142857142857</v>
      </c>
      <c r="I36" s="49">
        <f>'Avg Week Ntinda-Naalya'!I36+'Avg Week Naalya-Ntinda'!I36</f>
        <v>8.8571428571428577</v>
      </c>
      <c r="J36" s="49">
        <f>'Avg Week Ntinda-Naalya'!J36+'Avg Week Naalya-Ntinda'!J36</f>
        <v>2.2857142857142856</v>
      </c>
      <c r="K36" s="49">
        <f>'Avg Week Ntinda-Naalya'!K36+'Avg Week Naalya-Ntinda'!K36</f>
        <v>0.5714285714285714</v>
      </c>
      <c r="L36" s="49">
        <f>'Avg Week Ntinda-Naalya'!L36+'Avg Week Naalya-Ntinda'!L36</f>
        <v>0.42857142857142855</v>
      </c>
      <c r="M36" s="49">
        <f>'Avg Week Ntinda-Naalya'!M36+'Avg Week Naalya-Ntinda'!M36</f>
        <v>109.57142857142857</v>
      </c>
      <c r="N36" s="49">
        <f>'Avg Week Ntinda-Naalya'!N36+'Avg Week Naalya-Ntinda'!N36</f>
        <v>0</v>
      </c>
      <c r="O36" s="15">
        <f t="shared" si="0"/>
        <v>263</v>
      </c>
      <c r="P36" s="15">
        <f t="shared" si="1"/>
        <v>372.57142857142856</v>
      </c>
      <c r="R36" s="38" t="s">
        <v>92</v>
      </c>
      <c r="S36" s="39">
        <f t="shared" ref="S36:AF36" si="28">MAX(S19:S21)</f>
        <v>861</v>
      </c>
      <c r="T36" s="39">
        <f t="shared" si="28"/>
        <v>301.85714285714289</v>
      </c>
      <c r="U36" s="39">
        <f t="shared" si="28"/>
        <v>56</v>
      </c>
      <c r="V36" s="39">
        <f t="shared" si="28"/>
        <v>71.142857142857153</v>
      </c>
      <c r="W36" s="39">
        <f t="shared" si="28"/>
        <v>12.428571428571429</v>
      </c>
      <c r="X36" s="39">
        <f t="shared" si="28"/>
        <v>4</v>
      </c>
      <c r="Y36" s="39">
        <f t="shared" si="28"/>
        <v>26.857142857142858</v>
      </c>
      <c r="Z36" s="39">
        <f t="shared" si="28"/>
        <v>12.857142857142858</v>
      </c>
      <c r="AA36" s="39">
        <f t="shared" si="28"/>
        <v>3.4285714285714288</v>
      </c>
      <c r="AB36" s="39">
        <f t="shared" si="28"/>
        <v>1.857142857142857</v>
      </c>
      <c r="AC36" s="39">
        <f t="shared" si="28"/>
        <v>605.85714285714289</v>
      </c>
      <c r="AD36" s="39">
        <f t="shared" si="28"/>
        <v>0.14285714285714285</v>
      </c>
      <c r="AE36" s="40">
        <f t="shared" si="28"/>
        <v>1344.1428571428573</v>
      </c>
      <c r="AF36" s="40">
        <f t="shared" si="28"/>
        <v>1950</v>
      </c>
    </row>
    <row r="37" spans="2:32" ht="23.1" customHeight="1" x14ac:dyDescent="0.25">
      <c r="B37" s="23" t="s">
        <v>64</v>
      </c>
      <c r="C37" s="49">
        <f>'Avg Week Ntinda-Naalya'!C37+'Avg Week Naalya-Ntinda'!C37</f>
        <v>160.57142857142856</v>
      </c>
      <c r="D37" s="49">
        <f>'Avg Week Ntinda-Naalya'!D37+'Avg Week Naalya-Ntinda'!D37</f>
        <v>62.428571428571431</v>
      </c>
      <c r="E37" s="49">
        <f>'Avg Week Ntinda-Naalya'!E37+'Avg Week Naalya-Ntinda'!E37</f>
        <v>13.142857142857142</v>
      </c>
      <c r="F37" s="49">
        <f>'Avg Week Ntinda-Naalya'!F37+'Avg Week Naalya-Ntinda'!F37</f>
        <v>15.428571428571427</v>
      </c>
      <c r="G37" s="49">
        <f>'Avg Week Ntinda-Naalya'!G37+'Avg Week Naalya-Ntinda'!G37</f>
        <v>1.8571428571428572</v>
      </c>
      <c r="H37" s="49">
        <f>'Avg Week Ntinda-Naalya'!H37+'Avg Week Naalya-Ntinda'!H37</f>
        <v>0.2857142857142857</v>
      </c>
      <c r="I37" s="49">
        <f>'Avg Week Ntinda-Naalya'!I37+'Avg Week Naalya-Ntinda'!I37</f>
        <v>8.8571428571428577</v>
      </c>
      <c r="J37" s="49">
        <f>'Avg Week Ntinda-Naalya'!J37+'Avg Week Naalya-Ntinda'!J37</f>
        <v>3.1428571428571432</v>
      </c>
      <c r="K37" s="49">
        <f>'Avg Week Ntinda-Naalya'!K37+'Avg Week Naalya-Ntinda'!K37</f>
        <v>1.1428571428571428</v>
      </c>
      <c r="L37" s="49">
        <f>'Avg Week Ntinda-Naalya'!L37+'Avg Week Naalya-Ntinda'!L37</f>
        <v>0.2857142857142857</v>
      </c>
      <c r="M37" s="49">
        <f>'Avg Week Ntinda-Naalya'!M37+'Avg Week Naalya-Ntinda'!M37</f>
        <v>121.71428571428572</v>
      </c>
      <c r="N37" s="49">
        <f>'Avg Week Ntinda-Naalya'!N37+'Avg Week Naalya-Ntinda'!N37</f>
        <v>0</v>
      </c>
      <c r="O37" s="15">
        <f t="shared" si="0"/>
        <v>267.14285714285717</v>
      </c>
      <c r="P37" s="15">
        <f t="shared" si="1"/>
        <v>388.85714285714289</v>
      </c>
      <c r="R37" s="37" t="s">
        <v>85</v>
      </c>
      <c r="S37" s="35">
        <f t="shared" ref="S37:AF37" si="29">SUM(S10:S12)</f>
        <v>2013.8571428571431</v>
      </c>
      <c r="T37" s="16">
        <f t="shared" si="29"/>
        <v>894.57142857142844</v>
      </c>
      <c r="U37" s="16">
        <f t="shared" si="29"/>
        <v>167.85714285714289</v>
      </c>
      <c r="V37" s="16">
        <f t="shared" si="29"/>
        <v>188.14285714285714</v>
      </c>
      <c r="W37" s="16">
        <f t="shared" si="29"/>
        <v>10.142857142857142</v>
      </c>
      <c r="X37" s="16">
        <f t="shared" si="29"/>
        <v>2</v>
      </c>
      <c r="Y37" s="16">
        <f t="shared" si="29"/>
        <v>49.428571428571431</v>
      </c>
      <c r="Z37" s="16">
        <f t="shared" si="29"/>
        <v>27.714285714285715</v>
      </c>
      <c r="AA37" s="16">
        <f t="shared" si="29"/>
        <v>5.9999999999999991</v>
      </c>
      <c r="AB37" s="16">
        <f t="shared" si="29"/>
        <v>3</v>
      </c>
      <c r="AC37" s="16">
        <f t="shared" si="29"/>
        <v>1804.5714285714284</v>
      </c>
      <c r="AD37" s="16">
        <f t="shared" si="29"/>
        <v>0.2857142857142857</v>
      </c>
      <c r="AE37" s="32">
        <f t="shared" si="29"/>
        <v>3363</v>
      </c>
      <c r="AF37" s="32">
        <f t="shared" si="29"/>
        <v>5167.5714285714284</v>
      </c>
    </row>
    <row r="38" spans="2:32" ht="23.1" customHeight="1" x14ac:dyDescent="0.25">
      <c r="B38" s="24" t="s">
        <v>65</v>
      </c>
      <c r="C38" s="49">
        <f>'Avg Week Ntinda-Naalya'!C38+'Avg Week Naalya-Ntinda'!C38</f>
        <v>124.85714285714286</v>
      </c>
      <c r="D38" s="49">
        <f>'Avg Week Ntinda-Naalya'!D38+'Avg Week Naalya-Ntinda'!D38</f>
        <v>45.571428571428569</v>
      </c>
      <c r="E38" s="49">
        <f>'Avg Week Ntinda-Naalya'!E38+'Avg Week Naalya-Ntinda'!E38</f>
        <v>13.428571428571431</v>
      </c>
      <c r="F38" s="49">
        <f>'Avg Week Ntinda-Naalya'!F38+'Avg Week Naalya-Ntinda'!F38</f>
        <v>16</v>
      </c>
      <c r="G38" s="49">
        <f>'Avg Week Ntinda-Naalya'!G38+'Avg Week Naalya-Ntinda'!G38</f>
        <v>0.8571428571428571</v>
      </c>
      <c r="H38" s="49">
        <f>'Avg Week Ntinda-Naalya'!H38+'Avg Week Naalya-Ntinda'!H38</f>
        <v>0.8571428571428571</v>
      </c>
      <c r="I38" s="49">
        <f>'Avg Week Ntinda-Naalya'!I38+'Avg Week Naalya-Ntinda'!I38</f>
        <v>6.5714285714285712</v>
      </c>
      <c r="J38" s="49">
        <f>'Avg Week Ntinda-Naalya'!J38+'Avg Week Naalya-Ntinda'!J38</f>
        <v>4.4285714285714288</v>
      </c>
      <c r="K38" s="49">
        <f>'Avg Week Ntinda-Naalya'!K38+'Avg Week Naalya-Ntinda'!K38</f>
        <v>1.4285714285714286</v>
      </c>
      <c r="L38" s="49">
        <f>'Avg Week Ntinda-Naalya'!L38+'Avg Week Naalya-Ntinda'!L38</f>
        <v>0.42857142857142855</v>
      </c>
      <c r="M38" s="49">
        <f>'Avg Week Ntinda-Naalya'!M38+'Avg Week Naalya-Ntinda'!M38</f>
        <v>113.14285714285714</v>
      </c>
      <c r="N38" s="49">
        <f>'Avg Week Ntinda-Naalya'!N38+'Avg Week Naalya-Ntinda'!N38</f>
        <v>0</v>
      </c>
      <c r="O38" s="15">
        <f t="shared" si="0"/>
        <v>214.42857142857144</v>
      </c>
      <c r="P38" s="15">
        <f t="shared" si="1"/>
        <v>327.57142857142856</v>
      </c>
      <c r="R38" s="28" t="s">
        <v>86</v>
      </c>
      <c r="S38" s="16">
        <f t="shared" ref="S38:AF38" si="30">SUM(S13:S18)</f>
        <v>3399.5714285714284</v>
      </c>
      <c r="T38" s="16">
        <f t="shared" si="30"/>
        <v>1368.8571428571429</v>
      </c>
      <c r="U38" s="16">
        <f t="shared" si="30"/>
        <v>283.14285714285711</v>
      </c>
      <c r="V38" s="16">
        <f t="shared" si="30"/>
        <v>350.71428571428572</v>
      </c>
      <c r="W38" s="16">
        <f t="shared" si="30"/>
        <v>35.285714285714285</v>
      </c>
      <c r="X38" s="16">
        <f t="shared" si="30"/>
        <v>6.2857142857142847</v>
      </c>
      <c r="Y38" s="16">
        <f t="shared" si="30"/>
        <v>181</v>
      </c>
      <c r="Z38" s="16">
        <f t="shared" si="30"/>
        <v>86.857142857142861</v>
      </c>
      <c r="AA38" s="16">
        <f t="shared" si="30"/>
        <v>21</v>
      </c>
      <c r="AB38" s="16">
        <f t="shared" si="30"/>
        <v>7.8571428571428559</v>
      </c>
      <c r="AC38" s="16">
        <f t="shared" si="30"/>
        <v>3188.5714285714284</v>
      </c>
      <c r="AD38" s="16">
        <f t="shared" si="30"/>
        <v>0.14285714285714285</v>
      </c>
      <c r="AE38" s="32">
        <f t="shared" si="30"/>
        <v>5740.7142857142853</v>
      </c>
      <c r="AF38" s="32">
        <f t="shared" si="30"/>
        <v>8929.2857142857138</v>
      </c>
    </row>
    <row r="39" spans="2:32" ht="23.1" customHeight="1" x14ac:dyDescent="0.25">
      <c r="B39" s="24" t="s">
        <v>66</v>
      </c>
      <c r="C39" s="49">
        <f>'Avg Week Ntinda-Naalya'!C39+'Avg Week Naalya-Ntinda'!C39</f>
        <v>146.85714285714286</v>
      </c>
      <c r="D39" s="49">
        <f>'Avg Week Ntinda-Naalya'!D39+'Avg Week Naalya-Ntinda'!D39</f>
        <v>65.714285714285708</v>
      </c>
      <c r="E39" s="49">
        <f>'Avg Week Ntinda-Naalya'!E39+'Avg Week Naalya-Ntinda'!E39</f>
        <v>8.4285714285714288</v>
      </c>
      <c r="F39" s="49">
        <f>'Avg Week Ntinda-Naalya'!F39+'Avg Week Naalya-Ntinda'!F39</f>
        <v>12.142857142857142</v>
      </c>
      <c r="G39" s="49">
        <f>'Avg Week Ntinda-Naalya'!G39+'Avg Week Naalya-Ntinda'!G39</f>
        <v>2.7142857142857144</v>
      </c>
      <c r="H39" s="49">
        <f>'Avg Week Ntinda-Naalya'!H39+'Avg Week Naalya-Ntinda'!H39</f>
        <v>0.14285714285714285</v>
      </c>
      <c r="I39" s="49">
        <f>'Avg Week Ntinda-Naalya'!I39+'Avg Week Naalya-Ntinda'!I39</f>
        <v>7</v>
      </c>
      <c r="J39" s="49">
        <f>'Avg Week Ntinda-Naalya'!J39+'Avg Week Naalya-Ntinda'!J39</f>
        <v>3</v>
      </c>
      <c r="K39" s="49">
        <f>'Avg Week Ntinda-Naalya'!K39+'Avg Week Naalya-Ntinda'!K39</f>
        <v>0.5714285714285714</v>
      </c>
      <c r="L39" s="49">
        <f>'Avg Week Ntinda-Naalya'!L39+'Avg Week Naalya-Ntinda'!L39</f>
        <v>0.14285714285714285</v>
      </c>
      <c r="M39" s="49">
        <f>'Avg Week Ntinda-Naalya'!M39+'Avg Week Naalya-Ntinda'!M39</f>
        <v>127.85714285714286</v>
      </c>
      <c r="N39" s="49">
        <f>'Avg Week Ntinda-Naalya'!N39+'Avg Week Naalya-Ntinda'!N39</f>
        <v>0</v>
      </c>
      <c r="O39" s="15">
        <f t="shared" si="0"/>
        <v>246.71428571428569</v>
      </c>
      <c r="P39" s="15">
        <f t="shared" si="1"/>
        <v>374.57142857142856</v>
      </c>
      <c r="R39" s="29" t="s">
        <v>87</v>
      </c>
      <c r="S39" s="16">
        <f t="shared" ref="S39:AF39" si="31">SUM(S19:S21)</f>
        <v>2453.1428571428569</v>
      </c>
      <c r="T39" s="16">
        <f t="shared" si="31"/>
        <v>865.85714285714289</v>
      </c>
      <c r="U39" s="16">
        <f t="shared" si="31"/>
        <v>142.85714285714286</v>
      </c>
      <c r="V39" s="16">
        <f t="shared" si="31"/>
        <v>204</v>
      </c>
      <c r="W39" s="16">
        <f t="shared" si="31"/>
        <v>30.571428571428569</v>
      </c>
      <c r="X39" s="16">
        <f t="shared" si="31"/>
        <v>7.5714285714285712</v>
      </c>
      <c r="Y39" s="16">
        <f t="shared" si="31"/>
        <v>72.285714285714278</v>
      </c>
      <c r="Z39" s="16">
        <f t="shared" si="31"/>
        <v>34.714285714285715</v>
      </c>
      <c r="AA39" s="16">
        <f t="shared" si="31"/>
        <v>9.4285714285714288</v>
      </c>
      <c r="AB39" s="16">
        <f t="shared" si="31"/>
        <v>3.5714285714285712</v>
      </c>
      <c r="AC39" s="16">
        <f t="shared" si="31"/>
        <v>1770.1428571428571</v>
      </c>
      <c r="AD39" s="16">
        <f t="shared" si="31"/>
        <v>0.14285714285714285</v>
      </c>
      <c r="AE39" s="32">
        <f t="shared" si="31"/>
        <v>3824.1428571428578</v>
      </c>
      <c r="AF39" s="32">
        <f t="shared" si="31"/>
        <v>5594.2857142857147</v>
      </c>
    </row>
    <row r="40" spans="2:32" ht="23.1" customHeight="1" x14ac:dyDescent="0.25">
      <c r="B40" s="24" t="s">
        <v>67</v>
      </c>
      <c r="C40" s="49">
        <f>'Avg Week Ntinda-Naalya'!C40+'Avg Week Naalya-Ntinda'!C40</f>
        <v>153.57142857142858</v>
      </c>
      <c r="D40" s="49">
        <f>'Avg Week Ntinda-Naalya'!D40+'Avg Week Naalya-Ntinda'!D40</f>
        <v>52.714285714285708</v>
      </c>
      <c r="E40" s="49">
        <f>'Avg Week Ntinda-Naalya'!E40+'Avg Week Naalya-Ntinda'!E40</f>
        <v>13.285714285714285</v>
      </c>
      <c r="F40" s="49">
        <f>'Avg Week Ntinda-Naalya'!F40+'Avg Week Naalya-Ntinda'!F40</f>
        <v>15.571428571428571</v>
      </c>
      <c r="G40" s="49">
        <f>'Avg Week Ntinda-Naalya'!G40+'Avg Week Naalya-Ntinda'!G40</f>
        <v>2</v>
      </c>
      <c r="H40" s="49">
        <f>'Avg Week Ntinda-Naalya'!H40+'Avg Week Naalya-Ntinda'!H40</f>
        <v>0.14285714285714285</v>
      </c>
      <c r="I40" s="49">
        <f>'Avg Week Ntinda-Naalya'!I40+'Avg Week Naalya-Ntinda'!I40</f>
        <v>7.8571428571428568</v>
      </c>
      <c r="J40" s="49">
        <f>'Avg Week Ntinda-Naalya'!J40+'Avg Week Naalya-Ntinda'!J40</f>
        <v>4.2857142857142856</v>
      </c>
      <c r="K40" s="49">
        <f>'Avg Week Ntinda-Naalya'!K40+'Avg Week Naalya-Ntinda'!K40</f>
        <v>0.5714285714285714</v>
      </c>
      <c r="L40" s="49">
        <f>'Avg Week Ntinda-Naalya'!L40+'Avg Week Naalya-Ntinda'!L40</f>
        <v>0.2857142857142857</v>
      </c>
      <c r="M40" s="49">
        <f>'Avg Week Ntinda-Naalya'!M40+'Avg Week Naalya-Ntinda'!M40</f>
        <v>134</v>
      </c>
      <c r="N40" s="49">
        <f>'Avg Week Ntinda-Naalya'!N40+'Avg Week Naalya-Ntinda'!N40</f>
        <v>0</v>
      </c>
      <c r="O40" s="15">
        <f t="shared" si="0"/>
        <v>250.28571428571428</v>
      </c>
      <c r="P40" s="15">
        <f t="shared" si="1"/>
        <v>384.28571428571428</v>
      </c>
      <c r="R40" s="5" t="s">
        <v>17</v>
      </c>
      <c r="S40" s="16">
        <f t="shared" ref="S40:AF40" si="32">SUM(S10:S21)</f>
        <v>7866.5714285714294</v>
      </c>
      <c r="T40" s="16">
        <f t="shared" si="32"/>
        <v>3129.2857142857142</v>
      </c>
      <c r="U40" s="16">
        <f t="shared" si="32"/>
        <v>593.85714285714289</v>
      </c>
      <c r="V40" s="16">
        <f t="shared" si="32"/>
        <v>742.85714285714289</v>
      </c>
      <c r="W40" s="16">
        <f t="shared" si="32"/>
        <v>76</v>
      </c>
      <c r="X40" s="16">
        <f t="shared" si="32"/>
        <v>15.857142857142856</v>
      </c>
      <c r="Y40" s="16">
        <f t="shared" si="32"/>
        <v>302.71428571428567</v>
      </c>
      <c r="Z40" s="16">
        <f t="shared" si="32"/>
        <v>149.28571428571428</v>
      </c>
      <c r="AA40" s="16">
        <f t="shared" si="32"/>
        <v>36.428571428571423</v>
      </c>
      <c r="AB40" s="16">
        <f t="shared" si="32"/>
        <v>14.428571428571429</v>
      </c>
      <c r="AC40" s="16">
        <f t="shared" si="32"/>
        <v>6763.2857142857138</v>
      </c>
      <c r="AD40" s="16">
        <f t="shared" si="32"/>
        <v>0.5714285714285714</v>
      </c>
      <c r="AE40" s="32">
        <f t="shared" si="32"/>
        <v>12927.857142857143</v>
      </c>
      <c r="AF40" s="32">
        <f t="shared" si="32"/>
        <v>19691.142857142862</v>
      </c>
    </row>
    <row r="41" spans="2:32" ht="23.1" customHeight="1" x14ac:dyDescent="0.25">
      <c r="B41" s="23" t="s">
        <v>68</v>
      </c>
      <c r="C41" s="49">
        <f>'Avg Week Ntinda-Naalya'!C41+'Avg Week Naalya-Ntinda'!C41</f>
        <v>134.42857142857142</v>
      </c>
      <c r="D41" s="49">
        <f>'Avg Week Ntinda-Naalya'!D41+'Avg Week Naalya-Ntinda'!D41</f>
        <v>42.857142857142861</v>
      </c>
      <c r="E41" s="49">
        <f>'Avg Week Ntinda-Naalya'!E41+'Avg Week Naalya-Ntinda'!E41</f>
        <v>9.1428571428571423</v>
      </c>
      <c r="F41" s="49">
        <f>'Avg Week Ntinda-Naalya'!F41+'Avg Week Naalya-Ntinda'!F41</f>
        <v>8.4285714285714288</v>
      </c>
      <c r="G41" s="49">
        <f>'Avg Week Ntinda-Naalya'!G41+'Avg Week Naalya-Ntinda'!G41</f>
        <v>0.8571428571428571</v>
      </c>
      <c r="H41" s="49">
        <f>'Avg Week Ntinda-Naalya'!H41+'Avg Week Naalya-Ntinda'!H41</f>
        <v>0.42857142857142855</v>
      </c>
      <c r="I41" s="49">
        <f>'Avg Week Ntinda-Naalya'!I41+'Avg Week Naalya-Ntinda'!I41</f>
        <v>6</v>
      </c>
      <c r="J41" s="49">
        <f>'Avg Week Ntinda-Naalya'!J41+'Avg Week Naalya-Ntinda'!J41</f>
        <v>3.4285714285714288</v>
      </c>
      <c r="K41" s="49">
        <f>'Avg Week Ntinda-Naalya'!K41+'Avg Week Naalya-Ntinda'!K41</f>
        <v>1</v>
      </c>
      <c r="L41" s="49">
        <f>'Avg Week Ntinda-Naalya'!L41+'Avg Week Naalya-Ntinda'!L41</f>
        <v>0.42857142857142855</v>
      </c>
      <c r="M41" s="49">
        <f>'Avg Week Ntinda-Naalya'!M41+'Avg Week Naalya-Ntinda'!M41</f>
        <v>120.42857142857144</v>
      </c>
      <c r="N41" s="49">
        <f>'Avg Week Ntinda-Naalya'!N41+'Avg Week Naalya-Ntinda'!N41</f>
        <v>0</v>
      </c>
      <c r="O41" s="15">
        <f t="shared" si="0"/>
        <v>206.99999999999994</v>
      </c>
      <c r="P41" s="15">
        <f t="shared" si="1"/>
        <v>327.42857142857139</v>
      </c>
      <c r="R41" s="5" t="s">
        <v>177</v>
      </c>
      <c r="S41" s="53">
        <f>SUM(S10:S33)</f>
        <v>11460.071428571429</v>
      </c>
      <c r="T41" s="53">
        <f t="shared" ref="T41:AD41" si="33">SUM(T10:T33)</f>
        <v>4640.2857142857138</v>
      </c>
      <c r="U41" s="53">
        <f t="shared" si="33"/>
        <v>966.85714285714289</v>
      </c>
      <c r="V41" s="53">
        <f t="shared" si="33"/>
        <v>1026.3571428571429</v>
      </c>
      <c r="W41" s="53">
        <f t="shared" si="33"/>
        <v>98.5</v>
      </c>
      <c r="X41" s="53">
        <f t="shared" si="33"/>
        <v>22.357142857142854</v>
      </c>
      <c r="Y41" s="53">
        <f t="shared" si="33"/>
        <v>339.71428571428567</v>
      </c>
      <c r="Z41" s="53">
        <f t="shared" si="33"/>
        <v>187.28571428571428</v>
      </c>
      <c r="AA41" s="53">
        <f t="shared" si="33"/>
        <v>49.428571428571423</v>
      </c>
      <c r="AB41" s="53">
        <f t="shared" si="33"/>
        <v>19.428571428571431</v>
      </c>
      <c r="AC41" s="53">
        <f t="shared" si="33"/>
        <v>9301.7857142857138</v>
      </c>
      <c r="AD41" s="53">
        <f t="shared" si="33"/>
        <v>0.5714285714285714</v>
      </c>
      <c r="AE41" s="54">
        <f>SUM(AE10:AE33)</f>
        <v>18810.857142857145</v>
      </c>
      <c r="AF41" s="54">
        <f>SUM(AF10:AF33)</f>
        <v>28112.642857142862</v>
      </c>
    </row>
    <row r="42" spans="2:32" ht="23.1" customHeight="1" x14ac:dyDescent="0.25">
      <c r="B42" s="24" t="s">
        <v>69</v>
      </c>
      <c r="C42" s="49">
        <f>'Avg Week Ntinda-Naalya'!C42+'Avg Week Naalya-Ntinda'!C42</f>
        <v>145.14285714285714</v>
      </c>
      <c r="D42" s="49">
        <f>'Avg Week Ntinda-Naalya'!D42+'Avg Week Naalya-Ntinda'!D42</f>
        <v>54.142857142857139</v>
      </c>
      <c r="E42" s="49">
        <f>'Avg Week Ntinda-Naalya'!E42+'Avg Week Naalya-Ntinda'!E42</f>
        <v>9.2857142857142865</v>
      </c>
      <c r="F42" s="49">
        <f>'Avg Week Ntinda-Naalya'!F42+'Avg Week Naalya-Ntinda'!F42</f>
        <v>11.857142857142858</v>
      </c>
      <c r="G42" s="49">
        <f>'Avg Week Ntinda-Naalya'!G42+'Avg Week Naalya-Ntinda'!G42</f>
        <v>2.2857142857142856</v>
      </c>
      <c r="H42" s="49">
        <f>'Avg Week Ntinda-Naalya'!H42+'Avg Week Naalya-Ntinda'!H42</f>
        <v>0</v>
      </c>
      <c r="I42" s="49">
        <f>'Avg Week Ntinda-Naalya'!I42+'Avg Week Naalya-Ntinda'!I42</f>
        <v>8.8571428571428577</v>
      </c>
      <c r="J42" s="49">
        <f>'Avg Week Ntinda-Naalya'!J42+'Avg Week Naalya-Ntinda'!J42</f>
        <v>3</v>
      </c>
      <c r="K42" s="49">
        <f>'Avg Week Ntinda-Naalya'!K42+'Avg Week Naalya-Ntinda'!K42</f>
        <v>0.5714285714285714</v>
      </c>
      <c r="L42" s="49">
        <f>'Avg Week Ntinda-Naalya'!L42+'Avg Week Naalya-Ntinda'!L42</f>
        <v>0.2857142857142857</v>
      </c>
      <c r="M42" s="49">
        <f>'Avg Week Ntinda-Naalya'!M42+'Avg Week Naalya-Ntinda'!M42</f>
        <v>130.71428571428572</v>
      </c>
      <c r="N42" s="49">
        <f>'Avg Week Ntinda-Naalya'!N42+'Avg Week Naalya-Ntinda'!N42</f>
        <v>0</v>
      </c>
      <c r="O42" s="15">
        <f t="shared" si="0"/>
        <v>235.42857142857142</v>
      </c>
      <c r="P42" s="15">
        <f t="shared" si="1"/>
        <v>366.14285714285711</v>
      </c>
      <c r="R42" s="5" t="s">
        <v>160</v>
      </c>
      <c r="S42" s="48">
        <f>S41/S40</f>
        <v>1.4568063778011839</v>
      </c>
      <c r="T42" s="48">
        <f t="shared" ref="T42:AF42" si="34">T41/T40</f>
        <v>1.482857795023967</v>
      </c>
      <c r="U42" s="48">
        <f t="shared" si="34"/>
        <v>1.628097185470291</v>
      </c>
      <c r="V42" s="48">
        <f t="shared" si="34"/>
        <v>1.3816346153846153</v>
      </c>
      <c r="W42" s="48">
        <f t="shared" si="34"/>
        <v>1.2960526315789473</v>
      </c>
      <c r="X42" s="48">
        <f t="shared" si="34"/>
        <v>1.4099099099099097</v>
      </c>
      <c r="Y42" s="48">
        <f t="shared" si="34"/>
        <v>1.1222274657857481</v>
      </c>
      <c r="Z42" s="48">
        <f t="shared" si="34"/>
        <v>1.2545454545454546</v>
      </c>
      <c r="AA42" s="48">
        <f t="shared" si="34"/>
        <v>1.3568627450980393</v>
      </c>
      <c r="AB42" s="48">
        <f t="shared" si="34"/>
        <v>1.3465346534653466</v>
      </c>
      <c r="AC42" s="48">
        <f t="shared" si="34"/>
        <v>1.3753353188433348</v>
      </c>
      <c r="AD42" s="48">
        <f t="shared" si="34"/>
        <v>1</v>
      </c>
      <c r="AE42" s="52">
        <f t="shared" si="34"/>
        <v>1.4550638156804245</v>
      </c>
      <c r="AF42" s="52">
        <f t="shared" si="34"/>
        <v>1.4276795948867509</v>
      </c>
    </row>
    <row r="43" spans="2:32" ht="23.1" customHeight="1" x14ac:dyDescent="0.25">
      <c r="B43" s="23" t="s">
        <v>70</v>
      </c>
      <c r="C43" s="49">
        <f>'Avg Week Ntinda-Naalya'!C43+'Avg Week Naalya-Ntinda'!C43</f>
        <v>152.85714285714286</v>
      </c>
      <c r="D43" s="49">
        <f>'Avg Week Ntinda-Naalya'!D43+'Avg Week Naalya-Ntinda'!D43</f>
        <v>59.142857142857139</v>
      </c>
      <c r="E43" s="49">
        <f>'Avg Week Ntinda-Naalya'!E43+'Avg Week Naalya-Ntinda'!E43</f>
        <v>10.285714285714285</v>
      </c>
      <c r="F43" s="49">
        <f>'Avg Week Ntinda-Naalya'!F43+'Avg Week Naalya-Ntinda'!F43</f>
        <v>11.142857142857142</v>
      </c>
      <c r="G43" s="49">
        <f>'Avg Week Ntinda-Naalya'!G43+'Avg Week Naalya-Ntinda'!G43</f>
        <v>1.1428571428571428</v>
      </c>
      <c r="H43" s="49">
        <f>'Avg Week Ntinda-Naalya'!H43+'Avg Week Naalya-Ntinda'!H43</f>
        <v>0.14285714285714285</v>
      </c>
      <c r="I43" s="49">
        <f>'Avg Week Ntinda-Naalya'!I43+'Avg Week Naalya-Ntinda'!I43</f>
        <v>7.4285714285714288</v>
      </c>
      <c r="J43" s="49">
        <f>'Avg Week Ntinda-Naalya'!J43+'Avg Week Naalya-Ntinda'!J43</f>
        <v>5.5714285714285712</v>
      </c>
      <c r="K43" s="49">
        <f>'Avg Week Ntinda-Naalya'!K43+'Avg Week Naalya-Ntinda'!K43</f>
        <v>0.42857142857142855</v>
      </c>
      <c r="L43" s="49">
        <f>'Avg Week Ntinda-Naalya'!L43+'Avg Week Naalya-Ntinda'!L43</f>
        <v>0.14285714285714285</v>
      </c>
      <c r="M43" s="49">
        <f>'Avg Week Ntinda-Naalya'!M43+'Avg Week Naalya-Ntinda'!M43</f>
        <v>134</v>
      </c>
      <c r="N43" s="49">
        <f>'Avg Week Ntinda-Naalya'!N43+'Avg Week Naalya-Ntinda'!N43</f>
        <v>0</v>
      </c>
      <c r="O43" s="15">
        <f t="shared" si="0"/>
        <v>248.28571428571425</v>
      </c>
      <c r="P43" s="15">
        <f t="shared" si="1"/>
        <v>382.28571428571422</v>
      </c>
    </row>
    <row r="44" spans="2:32" ht="23.1" customHeight="1" x14ac:dyDescent="0.25">
      <c r="B44" s="25" t="s">
        <v>71</v>
      </c>
      <c r="C44" s="49">
        <f>'Avg Week Ntinda-Naalya'!C44+'Avg Week Naalya-Ntinda'!C44</f>
        <v>171.14285714285714</v>
      </c>
      <c r="D44" s="49">
        <f>'Avg Week Ntinda-Naalya'!D44+'Avg Week Naalya-Ntinda'!D44</f>
        <v>65.571428571428569</v>
      </c>
      <c r="E44" s="49">
        <f>'Avg Week Ntinda-Naalya'!E44+'Avg Week Naalya-Ntinda'!E44</f>
        <v>11.571428571428571</v>
      </c>
      <c r="F44" s="49">
        <f>'Avg Week Ntinda-Naalya'!F44+'Avg Week Naalya-Ntinda'!F44</f>
        <v>16.285714285714285</v>
      </c>
      <c r="G44" s="49">
        <f>'Avg Week Ntinda-Naalya'!G44+'Avg Week Naalya-Ntinda'!G44</f>
        <v>1</v>
      </c>
      <c r="H44" s="49">
        <f>'Avg Week Ntinda-Naalya'!H44+'Avg Week Naalya-Ntinda'!H44</f>
        <v>0.2857142857142857</v>
      </c>
      <c r="I44" s="49">
        <f>'Avg Week Ntinda-Naalya'!I44+'Avg Week Naalya-Ntinda'!I44</f>
        <v>9</v>
      </c>
      <c r="J44" s="49">
        <f>'Avg Week Ntinda-Naalya'!J44+'Avg Week Naalya-Ntinda'!J44</f>
        <v>4</v>
      </c>
      <c r="K44" s="49">
        <f>'Avg Week Ntinda-Naalya'!K44+'Avg Week Naalya-Ntinda'!K44</f>
        <v>2</v>
      </c>
      <c r="L44" s="49">
        <f>'Avg Week Ntinda-Naalya'!L44+'Avg Week Naalya-Ntinda'!L44</f>
        <v>0.2857142857142857</v>
      </c>
      <c r="M44" s="49">
        <f>'Avg Week Ntinda-Naalya'!M44+'Avg Week Naalya-Ntinda'!M44</f>
        <v>143.71428571428572</v>
      </c>
      <c r="N44" s="49">
        <f>'Avg Week Ntinda-Naalya'!N44+'Avg Week Naalya-Ntinda'!N44</f>
        <v>0</v>
      </c>
      <c r="O44" s="15">
        <f t="shared" si="0"/>
        <v>281.14285714285717</v>
      </c>
      <c r="P44" s="15">
        <f t="shared" si="1"/>
        <v>424.85714285714289</v>
      </c>
    </row>
    <row r="45" spans="2:32" ht="23.1" customHeight="1" x14ac:dyDescent="0.25">
      <c r="B45" s="23" t="s">
        <v>72</v>
      </c>
      <c r="C45" s="49">
        <f>'Avg Week Ntinda-Naalya'!C45+'Avg Week Naalya-Ntinda'!C45</f>
        <v>157.71428571428572</v>
      </c>
      <c r="D45" s="49">
        <f>'Avg Week Ntinda-Naalya'!D45+'Avg Week Naalya-Ntinda'!D45</f>
        <v>57.428571428571431</v>
      </c>
      <c r="E45" s="49">
        <f>'Avg Week Ntinda-Naalya'!E45+'Avg Week Naalya-Ntinda'!E45</f>
        <v>11.142857142857142</v>
      </c>
      <c r="F45" s="49">
        <f>'Avg Week Ntinda-Naalya'!F45+'Avg Week Naalya-Ntinda'!F45</f>
        <v>21</v>
      </c>
      <c r="G45" s="49">
        <f>'Avg Week Ntinda-Naalya'!G45+'Avg Week Naalya-Ntinda'!G45</f>
        <v>1.2857142857142856</v>
      </c>
      <c r="H45" s="49">
        <f>'Avg Week Ntinda-Naalya'!H45+'Avg Week Naalya-Ntinda'!H45</f>
        <v>0</v>
      </c>
      <c r="I45" s="49">
        <f>'Avg Week Ntinda-Naalya'!I45+'Avg Week Naalya-Ntinda'!I45</f>
        <v>8.8571428571428577</v>
      </c>
      <c r="J45" s="49">
        <f>'Avg Week Ntinda-Naalya'!J45+'Avg Week Naalya-Ntinda'!J45</f>
        <v>5.7142857142857144</v>
      </c>
      <c r="K45" s="49">
        <f>'Avg Week Ntinda-Naalya'!K45+'Avg Week Naalya-Ntinda'!K45</f>
        <v>0.2857142857142857</v>
      </c>
      <c r="L45" s="49">
        <f>'Avg Week Ntinda-Naalya'!L45+'Avg Week Naalya-Ntinda'!L45</f>
        <v>0.2857142857142857</v>
      </c>
      <c r="M45" s="49">
        <f>'Avg Week Ntinda-Naalya'!M45+'Avg Week Naalya-Ntinda'!M45</f>
        <v>140.71428571428572</v>
      </c>
      <c r="N45" s="49">
        <f>'Avg Week Ntinda-Naalya'!N45+'Avg Week Naalya-Ntinda'!N45</f>
        <v>0</v>
      </c>
      <c r="O45" s="15">
        <f t="shared" si="0"/>
        <v>263.71428571428572</v>
      </c>
      <c r="P45" s="15">
        <f t="shared" si="1"/>
        <v>404.42857142857144</v>
      </c>
    </row>
    <row r="46" spans="2:32" ht="23.1" customHeight="1" x14ac:dyDescent="0.25">
      <c r="B46" s="24" t="s">
        <v>73</v>
      </c>
      <c r="C46" s="49">
        <f>'Avg Week Ntinda-Naalya'!C46+'Avg Week Naalya-Ntinda'!C46</f>
        <v>174.42857142857144</v>
      </c>
      <c r="D46" s="49">
        <f>'Avg Week Ntinda-Naalya'!D46+'Avg Week Naalya-Ntinda'!D46</f>
        <v>63.428571428571431</v>
      </c>
      <c r="E46" s="49">
        <f>'Avg Week Ntinda-Naalya'!E46+'Avg Week Naalya-Ntinda'!E46</f>
        <v>9.4285714285714288</v>
      </c>
      <c r="F46" s="49">
        <f>'Avg Week Ntinda-Naalya'!F46+'Avg Week Naalya-Ntinda'!F46</f>
        <v>14.714285714285715</v>
      </c>
      <c r="G46" s="49">
        <f>'Avg Week Ntinda-Naalya'!G46+'Avg Week Naalya-Ntinda'!G46</f>
        <v>1.7142857142857144</v>
      </c>
      <c r="H46" s="49">
        <f>'Avg Week Ntinda-Naalya'!H46+'Avg Week Naalya-Ntinda'!H46</f>
        <v>0.8571428571428571</v>
      </c>
      <c r="I46" s="49">
        <f>'Avg Week Ntinda-Naalya'!I46+'Avg Week Naalya-Ntinda'!I46</f>
        <v>9.1428571428571423</v>
      </c>
      <c r="J46" s="49">
        <f>'Avg Week Ntinda-Naalya'!J46+'Avg Week Naalya-Ntinda'!J46</f>
        <v>3.4285714285714288</v>
      </c>
      <c r="K46" s="49">
        <f>'Avg Week Ntinda-Naalya'!K46+'Avg Week Naalya-Ntinda'!K46</f>
        <v>1</v>
      </c>
      <c r="L46" s="49">
        <f>'Avg Week Ntinda-Naalya'!L46+'Avg Week Naalya-Ntinda'!L46</f>
        <v>0.42857142857142855</v>
      </c>
      <c r="M46" s="49">
        <f>'Avg Week Ntinda-Naalya'!M46+'Avg Week Naalya-Ntinda'!M46</f>
        <v>134.28571428571428</v>
      </c>
      <c r="N46" s="49">
        <f>'Avg Week Ntinda-Naalya'!N46+'Avg Week Naalya-Ntinda'!N46</f>
        <v>0</v>
      </c>
      <c r="O46" s="15">
        <f t="shared" si="0"/>
        <v>278.57142857142861</v>
      </c>
      <c r="P46" s="15">
        <f t="shared" si="1"/>
        <v>412.85714285714289</v>
      </c>
    </row>
    <row r="47" spans="2:32" ht="23.1" customHeight="1" x14ac:dyDescent="0.25">
      <c r="B47" s="24" t="s">
        <v>74</v>
      </c>
      <c r="C47" s="49">
        <f>'Avg Week Ntinda-Naalya'!C47+'Avg Week Naalya-Ntinda'!C47</f>
        <v>189.28571428571428</v>
      </c>
      <c r="D47" s="49">
        <f>'Avg Week Ntinda-Naalya'!D47+'Avg Week Naalya-Ntinda'!D47</f>
        <v>69</v>
      </c>
      <c r="E47" s="49">
        <f>'Avg Week Ntinda-Naalya'!E47+'Avg Week Naalya-Ntinda'!E47</f>
        <v>12.857142857142858</v>
      </c>
      <c r="F47" s="49">
        <f>'Avg Week Ntinda-Naalya'!F47+'Avg Week Naalya-Ntinda'!F47</f>
        <v>13</v>
      </c>
      <c r="G47" s="49">
        <f>'Avg Week Ntinda-Naalya'!G47+'Avg Week Naalya-Ntinda'!G47</f>
        <v>0.2857142857142857</v>
      </c>
      <c r="H47" s="49">
        <f>'Avg Week Ntinda-Naalya'!H47+'Avg Week Naalya-Ntinda'!H47</f>
        <v>0.14285714285714285</v>
      </c>
      <c r="I47" s="49">
        <f>'Avg Week Ntinda-Naalya'!I47+'Avg Week Naalya-Ntinda'!I47</f>
        <v>6.1428571428571423</v>
      </c>
      <c r="J47" s="49">
        <f>'Avg Week Ntinda-Naalya'!J47+'Avg Week Naalya-Ntinda'!J47</f>
        <v>3.4285714285714288</v>
      </c>
      <c r="K47" s="49">
        <f>'Avg Week Ntinda-Naalya'!K47+'Avg Week Naalya-Ntinda'!K47</f>
        <v>0.2857142857142857</v>
      </c>
      <c r="L47" s="49">
        <f>'Avg Week Ntinda-Naalya'!L47+'Avg Week Naalya-Ntinda'!L47</f>
        <v>0.14285714285714285</v>
      </c>
      <c r="M47" s="49">
        <f>'Avg Week Ntinda-Naalya'!M47+'Avg Week Naalya-Ntinda'!M47</f>
        <v>139.71428571428572</v>
      </c>
      <c r="N47" s="49">
        <f>'Avg Week Ntinda-Naalya'!N47+'Avg Week Naalya-Ntinda'!N47</f>
        <v>0</v>
      </c>
      <c r="O47" s="15">
        <f t="shared" si="0"/>
        <v>294.57142857142861</v>
      </c>
      <c r="P47" s="15">
        <f t="shared" si="1"/>
        <v>434.28571428571433</v>
      </c>
    </row>
    <row r="48" spans="2:32" ht="23.1" customHeight="1" x14ac:dyDescent="0.25">
      <c r="B48" s="24" t="s">
        <v>75</v>
      </c>
      <c r="C48" s="49">
        <f>'Avg Week Ntinda-Naalya'!C48+'Avg Week Naalya-Ntinda'!C48</f>
        <v>214.42857142857144</v>
      </c>
      <c r="D48" s="49">
        <f>'Avg Week Ntinda-Naalya'!D48+'Avg Week Naalya-Ntinda'!D48</f>
        <v>79.285714285714292</v>
      </c>
      <c r="E48" s="49">
        <f>'Avg Week Ntinda-Naalya'!E48+'Avg Week Naalya-Ntinda'!E48</f>
        <v>11.857142857142858</v>
      </c>
      <c r="F48" s="49">
        <f>'Avg Week Ntinda-Naalya'!F48+'Avg Week Naalya-Ntinda'!F48</f>
        <v>23.571428571428569</v>
      </c>
      <c r="G48" s="49">
        <f>'Avg Week Ntinda-Naalya'!G48+'Avg Week Naalya-Ntinda'!G48</f>
        <v>2.8571428571428568</v>
      </c>
      <c r="H48" s="49">
        <f>'Avg Week Ntinda-Naalya'!H48+'Avg Week Naalya-Ntinda'!H48</f>
        <v>0.14285714285714285</v>
      </c>
      <c r="I48" s="49">
        <f>'Avg Week Ntinda-Naalya'!I48+'Avg Week Naalya-Ntinda'!I48</f>
        <v>5.2857142857142856</v>
      </c>
      <c r="J48" s="49">
        <f>'Avg Week Ntinda-Naalya'!J48+'Avg Week Naalya-Ntinda'!J48</f>
        <v>3.5714285714285716</v>
      </c>
      <c r="K48" s="49">
        <f>'Avg Week Ntinda-Naalya'!K48+'Avg Week Naalya-Ntinda'!K48</f>
        <v>1</v>
      </c>
      <c r="L48" s="49">
        <f>'Avg Week Ntinda-Naalya'!L48+'Avg Week Naalya-Ntinda'!L48</f>
        <v>0</v>
      </c>
      <c r="M48" s="49">
        <f>'Avg Week Ntinda-Naalya'!M48+'Avg Week Naalya-Ntinda'!M48</f>
        <v>150.71428571428572</v>
      </c>
      <c r="N48" s="49">
        <f>'Avg Week Ntinda-Naalya'!N48+'Avg Week Naalya-Ntinda'!N48</f>
        <v>0</v>
      </c>
      <c r="O48" s="15">
        <f t="shared" si="0"/>
        <v>341.99999999999994</v>
      </c>
      <c r="P48" s="15">
        <f t="shared" si="1"/>
        <v>492.71428571428567</v>
      </c>
    </row>
    <row r="49" spans="2:20" ht="23.1" customHeight="1" x14ac:dyDescent="0.25">
      <c r="B49" s="23" t="s">
        <v>76</v>
      </c>
      <c r="C49" s="49">
        <f>'Avg Week Ntinda-Naalya'!C49+'Avg Week Naalya-Ntinda'!C49</f>
        <v>229</v>
      </c>
      <c r="D49" s="49">
        <f>'Avg Week Ntinda-Naalya'!D49+'Avg Week Naalya-Ntinda'!D49</f>
        <v>78</v>
      </c>
      <c r="E49" s="49">
        <f>'Avg Week Ntinda-Naalya'!E49+'Avg Week Naalya-Ntinda'!E49</f>
        <v>12.857142857142858</v>
      </c>
      <c r="F49" s="49">
        <f>'Avg Week Ntinda-Naalya'!F49+'Avg Week Naalya-Ntinda'!F49</f>
        <v>18.142857142857142</v>
      </c>
      <c r="G49" s="49">
        <f>'Avg Week Ntinda-Naalya'!G49+'Avg Week Naalya-Ntinda'!G49</f>
        <v>4.2857142857142856</v>
      </c>
      <c r="H49" s="49">
        <f>'Avg Week Ntinda-Naalya'!H49+'Avg Week Naalya-Ntinda'!H49</f>
        <v>0.5714285714285714</v>
      </c>
      <c r="I49" s="49">
        <f>'Avg Week Ntinda-Naalya'!I49+'Avg Week Naalya-Ntinda'!I49</f>
        <v>6.1428571428571423</v>
      </c>
      <c r="J49" s="49">
        <f>'Avg Week Ntinda-Naalya'!J49+'Avg Week Naalya-Ntinda'!J49</f>
        <v>2.4285714285714284</v>
      </c>
      <c r="K49" s="49">
        <f>'Avg Week Ntinda-Naalya'!K49+'Avg Week Naalya-Ntinda'!K49</f>
        <v>0.42857142857142855</v>
      </c>
      <c r="L49" s="49">
        <f>'Avg Week Ntinda-Naalya'!L49+'Avg Week Naalya-Ntinda'!L49</f>
        <v>0.14285714285714285</v>
      </c>
      <c r="M49" s="49">
        <f>'Avg Week Ntinda-Naalya'!M49+'Avg Week Naalya-Ntinda'!M49</f>
        <v>150.57142857142856</v>
      </c>
      <c r="N49" s="49">
        <f>'Avg Week Ntinda-Naalya'!N49+'Avg Week Naalya-Ntinda'!N49</f>
        <v>0</v>
      </c>
      <c r="O49" s="15">
        <f t="shared" si="0"/>
        <v>352.00000000000006</v>
      </c>
      <c r="P49" s="15">
        <f t="shared" si="1"/>
        <v>502.57142857142861</v>
      </c>
    </row>
    <row r="50" spans="2:20" ht="23.1" customHeight="1" x14ac:dyDescent="0.25">
      <c r="B50" s="24" t="s">
        <v>77</v>
      </c>
      <c r="C50" s="49">
        <f>'Avg Week Ntinda-Naalya'!C50+'Avg Week Naalya-Ntinda'!C50</f>
        <v>208.14285714285714</v>
      </c>
      <c r="D50" s="49">
        <f>'Avg Week Ntinda-Naalya'!D50+'Avg Week Naalya-Ntinda'!D50</f>
        <v>80.571428571428569</v>
      </c>
      <c r="E50" s="49">
        <f>'Avg Week Ntinda-Naalya'!E50+'Avg Week Naalya-Ntinda'!E50</f>
        <v>15.428571428571429</v>
      </c>
      <c r="F50" s="49">
        <f>'Avg Week Ntinda-Naalya'!F50+'Avg Week Naalya-Ntinda'!F50</f>
        <v>19.714285714285715</v>
      </c>
      <c r="G50" s="49">
        <f>'Avg Week Ntinda-Naalya'!G50+'Avg Week Naalya-Ntinda'!G50</f>
        <v>1.5714285714285714</v>
      </c>
      <c r="H50" s="49">
        <f>'Avg Week Ntinda-Naalya'!H50+'Avg Week Naalya-Ntinda'!H50</f>
        <v>0.14285714285714285</v>
      </c>
      <c r="I50" s="49">
        <f>'Avg Week Ntinda-Naalya'!I50+'Avg Week Naalya-Ntinda'!I50</f>
        <v>7.1428571428571432</v>
      </c>
      <c r="J50" s="49">
        <f>'Avg Week Ntinda-Naalya'!J50+'Avg Week Naalya-Ntinda'!J50</f>
        <v>2.7142857142857144</v>
      </c>
      <c r="K50" s="49">
        <f>'Avg Week Ntinda-Naalya'!K50+'Avg Week Naalya-Ntinda'!K50</f>
        <v>0.71428571428571419</v>
      </c>
      <c r="L50" s="49">
        <f>'Avg Week Ntinda-Naalya'!L50+'Avg Week Naalya-Ntinda'!L50</f>
        <v>0.14285714285714285</v>
      </c>
      <c r="M50" s="49">
        <f>'Avg Week Ntinda-Naalya'!M50+'Avg Week Naalya-Ntinda'!M50</f>
        <v>152</v>
      </c>
      <c r="N50" s="49">
        <f>'Avg Week Ntinda-Naalya'!N50+'Avg Week Naalya-Ntinda'!N50</f>
        <v>0.14285714285714285</v>
      </c>
      <c r="O50" s="15">
        <f t="shared" si="0"/>
        <v>336.42857142857156</v>
      </c>
      <c r="P50" s="15">
        <f t="shared" si="1"/>
        <v>488.42857142857156</v>
      </c>
      <c r="R50" s="8"/>
      <c r="T50"/>
    </row>
    <row r="51" spans="2:20" ht="23.1" customHeight="1" x14ac:dyDescent="0.25">
      <c r="B51" s="24" t="s">
        <v>78</v>
      </c>
      <c r="C51" s="49">
        <f>'Avg Week Ntinda-Naalya'!C51+'Avg Week Naalya-Ntinda'!C51</f>
        <v>221.85714285714283</v>
      </c>
      <c r="D51" s="49">
        <f>'Avg Week Ntinda-Naalya'!D51+'Avg Week Naalya-Ntinda'!D51</f>
        <v>74.571428571428569</v>
      </c>
      <c r="E51" s="49">
        <f>'Avg Week Ntinda-Naalya'!E51+'Avg Week Naalya-Ntinda'!E51</f>
        <v>14.714285714285715</v>
      </c>
      <c r="F51" s="49">
        <f>'Avg Week Ntinda-Naalya'!F51+'Avg Week Naalya-Ntinda'!F51</f>
        <v>17.142857142857142</v>
      </c>
      <c r="G51" s="49">
        <f>'Avg Week Ntinda-Naalya'!G51+'Avg Week Naalya-Ntinda'!G51</f>
        <v>3.2857142857142856</v>
      </c>
      <c r="H51" s="49">
        <f>'Avg Week Ntinda-Naalya'!H51+'Avg Week Naalya-Ntinda'!H51</f>
        <v>0.14285714285714285</v>
      </c>
      <c r="I51" s="49">
        <f>'Avg Week Ntinda-Naalya'!I51+'Avg Week Naalya-Ntinda'!I51</f>
        <v>6.7142857142857135</v>
      </c>
      <c r="J51" s="49">
        <f>'Avg Week Ntinda-Naalya'!J51+'Avg Week Naalya-Ntinda'!J51</f>
        <v>3.8571428571428572</v>
      </c>
      <c r="K51" s="49">
        <f>'Avg Week Ntinda-Naalya'!K51+'Avg Week Naalya-Ntinda'!K51</f>
        <v>0.2857142857142857</v>
      </c>
      <c r="L51" s="49">
        <f>'Avg Week Ntinda-Naalya'!L51+'Avg Week Naalya-Ntinda'!L51</f>
        <v>0.5714285714285714</v>
      </c>
      <c r="M51" s="49">
        <f>'Avg Week Ntinda-Naalya'!M51+'Avg Week Naalya-Ntinda'!M51</f>
        <v>146.14285714285714</v>
      </c>
      <c r="N51" s="49">
        <f>'Avg Week Ntinda-Naalya'!N51+'Avg Week Naalya-Ntinda'!N51</f>
        <v>0</v>
      </c>
      <c r="O51" s="15">
        <f t="shared" si="0"/>
        <v>343.14285714285711</v>
      </c>
      <c r="P51" s="15">
        <f t="shared" si="1"/>
        <v>489.28571428571422</v>
      </c>
      <c r="R51" s="8"/>
      <c r="T51"/>
    </row>
    <row r="52" spans="2:20" ht="23.1" customHeight="1" x14ac:dyDescent="0.25">
      <c r="B52" s="24" t="s">
        <v>79</v>
      </c>
      <c r="C52" s="49">
        <f>'Avg Week Ntinda-Naalya'!C52+'Avg Week Naalya-Ntinda'!C52</f>
        <v>217.71428571428572</v>
      </c>
      <c r="D52" s="49">
        <f>'Avg Week Ntinda-Naalya'!D52+'Avg Week Naalya-Ntinda'!D52</f>
        <v>78.857142857142861</v>
      </c>
      <c r="E52" s="49">
        <f>'Avg Week Ntinda-Naalya'!E52+'Avg Week Naalya-Ntinda'!E52</f>
        <v>15.428571428571427</v>
      </c>
      <c r="F52" s="49">
        <f>'Avg Week Ntinda-Naalya'!F52+'Avg Week Naalya-Ntinda'!F52</f>
        <v>18.857142857142858</v>
      </c>
      <c r="G52" s="49">
        <f>'Avg Week Ntinda-Naalya'!G52+'Avg Week Naalya-Ntinda'!G52</f>
        <v>2.2857142857142856</v>
      </c>
      <c r="H52" s="49">
        <f>'Avg Week Ntinda-Naalya'!H52+'Avg Week Naalya-Ntinda'!H52</f>
        <v>0.85714285714285721</v>
      </c>
      <c r="I52" s="49">
        <f>'Avg Week Ntinda-Naalya'!I52+'Avg Week Naalya-Ntinda'!I52</f>
        <v>7.1428571428571432</v>
      </c>
      <c r="J52" s="49">
        <f>'Avg Week Ntinda-Naalya'!J52+'Avg Week Naalya-Ntinda'!J52</f>
        <v>2.7142857142857144</v>
      </c>
      <c r="K52" s="49">
        <f>'Avg Week Ntinda-Naalya'!K52+'Avg Week Naalya-Ntinda'!K52</f>
        <v>2</v>
      </c>
      <c r="L52" s="49">
        <f>'Avg Week Ntinda-Naalya'!L52+'Avg Week Naalya-Ntinda'!L52</f>
        <v>0.71428571428571419</v>
      </c>
      <c r="M52" s="49">
        <f>'Avg Week Ntinda-Naalya'!M52+'Avg Week Naalya-Ntinda'!M52</f>
        <v>156.85714285714286</v>
      </c>
      <c r="N52" s="49">
        <f>'Avg Week Ntinda-Naalya'!N52+'Avg Week Naalya-Ntinda'!N52</f>
        <v>0</v>
      </c>
      <c r="O52" s="15">
        <f t="shared" si="0"/>
        <v>346.57142857142856</v>
      </c>
      <c r="P52" s="15">
        <f t="shared" si="1"/>
        <v>503.42857142857144</v>
      </c>
      <c r="R52" s="8"/>
      <c r="T52"/>
    </row>
    <row r="53" spans="2:20" ht="23.1" customHeight="1" x14ac:dyDescent="0.25">
      <c r="B53" s="23" t="s">
        <v>80</v>
      </c>
      <c r="C53" s="49">
        <f>'Avg Week Ntinda-Naalya'!C53+'Avg Week Naalya-Ntinda'!C53</f>
        <v>213.28571428571428</v>
      </c>
      <c r="D53" s="49">
        <f>'Avg Week Ntinda-Naalya'!D53+'Avg Week Naalya-Ntinda'!D53</f>
        <v>67.857142857142861</v>
      </c>
      <c r="E53" s="49">
        <f>'Avg Week Ntinda-Naalya'!E53+'Avg Week Naalya-Ntinda'!E53</f>
        <v>10.428571428571429</v>
      </c>
      <c r="F53" s="49">
        <f>'Avg Week Ntinda-Naalya'!F53+'Avg Week Naalya-Ntinda'!F53</f>
        <v>15.428571428571427</v>
      </c>
      <c r="G53" s="49">
        <f>'Avg Week Ntinda-Naalya'!G53+'Avg Week Naalya-Ntinda'!G53</f>
        <v>1.8571428571428572</v>
      </c>
      <c r="H53" s="49">
        <f>'Avg Week Ntinda-Naalya'!H53+'Avg Week Naalya-Ntinda'!H53</f>
        <v>0.71428571428571419</v>
      </c>
      <c r="I53" s="49">
        <f>'Avg Week Ntinda-Naalya'!I53+'Avg Week Naalya-Ntinda'!I53</f>
        <v>5.8571428571428577</v>
      </c>
      <c r="J53" s="49">
        <f>'Avg Week Ntinda-Naalya'!J53+'Avg Week Naalya-Ntinda'!J53</f>
        <v>1.8571428571428572</v>
      </c>
      <c r="K53" s="49">
        <f>'Avg Week Ntinda-Naalya'!K53+'Avg Week Naalya-Ntinda'!K53</f>
        <v>0.2857142857142857</v>
      </c>
      <c r="L53" s="49">
        <f>'Avg Week Ntinda-Naalya'!L53+'Avg Week Naalya-Ntinda'!L53</f>
        <v>0.42857142857142855</v>
      </c>
      <c r="M53" s="49">
        <f>'Avg Week Ntinda-Naalya'!M53+'Avg Week Naalya-Ntinda'!M53</f>
        <v>150.85714285714286</v>
      </c>
      <c r="N53" s="49">
        <f>'Avg Week Ntinda-Naalya'!N53+'Avg Week Naalya-Ntinda'!N53</f>
        <v>0</v>
      </c>
      <c r="O53" s="15">
        <f t="shared" si="0"/>
        <v>317.99999999999994</v>
      </c>
      <c r="P53" s="15">
        <f t="shared" si="1"/>
        <v>468.85714285714278</v>
      </c>
      <c r="R53" s="8"/>
      <c r="T53"/>
    </row>
    <row r="54" spans="2:20" ht="23.1" customHeight="1" x14ac:dyDescent="0.25">
      <c r="B54" s="23" t="s">
        <v>81</v>
      </c>
      <c r="C54" s="49">
        <f>'Avg Week Ntinda-Naalya'!C54+'Avg Week Naalya-Ntinda'!C54</f>
        <v>197.42857142857144</v>
      </c>
      <c r="D54" s="49">
        <f>'Avg Week Ntinda-Naalya'!D54+'Avg Week Naalya-Ntinda'!D54</f>
        <v>61.857142857142861</v>
      </c>
      <c r="E54" s="49">
        <f>'Avg Week Ntinda-Naalya'!E54+'Avg Week Naalya-Ntinda'!E54</f>
        <v>13.571428571428571</v>
      </c>
      <c r="F54" s="49">
        <f>'Avg Week Ntinda-Naalya'!F54+'Avg Week Naalya-Ntinda'!F54</f>
        <v>18.285714285714285</v>
      </c>
      <c r="G54" s="49">
        <f>'Avg Week Ntinda-Naalya'!G54+'Avg Week Naalya-Ntinda'!G54</f>
        <v>4.7142857142857144</v>
      </c>
      <c r="H54" s="49">
        <f>'Avg Week Ntinda-Naalya'!H54+'Avg Week Naalya-Ntinda'!H54</f>
        <v>1.4285714285714284</v>
      </c>
      <c r="I54" s="49">
        <f>'Avg Week Ntinda-Naalya'!I54+'Avg Week Naalya-Ntinda'!I54</f>
        <v>5.4285714285714288</v>
      </c>
      <c r="J54" s="49">
        <f>'Avg Week Ntinda-Naalya'!J54+'Avg Week Naalya-Ntinda'!J54</f>
        <v>2.2857142857142856</v>
      </c>
      <c r="K54" s="49">
        <f>'Avg Week Ntinda-Naalya'!K54+'Avg Week Naalya-Ntinda'!K54</f>
        <v>1.2857142857142856</v>
      </c>
      <c r="L54" s="49">
        <f>'Avg Week Ntinda-Naalya'!L54+'Avg Week Naalya-Ntinda'!L54</f>
        <v>0.42857142857142855</v>
      </c>
      <c r="M54" s="49">
        <f>'Avg Week Ntinda-Naalya'!M54+'Avg Week Naalya-Ntinda'!M54</f>
        <v>142.71428571428572</v>
      </c>
      <c r="N54" s="49">
        <f>'Avg Week Ntinda-Naalya'!N54+'Avg Week Naalya-Ntinda'!N54</f>
        <v>0</v>
      </c>
      <c r="O54" s="15">
        <f t="shared" si="0"/>
        <v>306.71428571428578</v>
      </c>
      <c r="P54" s="15">
        <f t="shared" si="1"/>
        <v>449.4285714285715</v>
      </c>
      <c r="R54" s="8"/>
      <c r="T54"/>
    </row>
    <row r="55" spans="2:20" ht="23.1" customHeight="1" x14ac:dyDescent="0.25">
      <c r="B55" s="23" t="s">
        <v>82</v>
      </c>
      <c r="C55" s="49">
        <f>'Avg Week Ntinda-Naalya'!C55+'Avg Week Naalya-Ntinda'!C55</f>
        <v>201.42857142857142</v>
      </c>
      <c r="D55" s="49">
        <f>'Avg Week Ntinda-Naalya'!D55+'Avg Week Naalya-Ntinda'!D55</f>
        <v>70.285714285714278</v>
      </c>
      <c r="E55" s="49">
        <f>'Avg Week Ntinda-Naalya'!E55+'Avg Week Naalya-Ntinda'!E55</f>
        <v>9.1428571428571423</v>
      </c>
      <c r="F55" s="49">
        <f>'Avg Week Ntinda-Naalya'!F55+'Avg Week Naalya-Ntinda'!F55</f>
        <v>19.285714285714285</v>
      </c>
      <c r="G55" s="49">
        <f>'Avg Week Ntinda-Naalya'!G55+'Avg Week Naalya-Ntinda'!G55</f>
        <v>3.5714285714285716</v>
      </c>
      <c r="H55" s="49">
        <f>'Avg Week Ntinda-Naalya'!H55+'Avg Week Naalya-Ntinda'!H55</f>
        <v>1.7142857142857144</v>
      </c>
      <c r="I55" s="49">
        <f>'Avg Week Ntinda-Naalya'!I55+'Avg Week Naalya-Ntinda'!I55</f>
        <v>4.5714285714285712</v>
      </c>
      <c r="J55" s="49">
        <f>'Avg Week Ntinda-Naalya'!J55+'Avg Week Naalya-Ntinda'!J55</f>
        <v>3.1428571428571428</v>
      </c>
      <c r="K55" s="49">
        <f>'Avg Week Ntinda-Naalya'!K55+'Avg Week Naalya-Ntinda'!K55</f>
        <v>0.8571428571428571</v>
      </c>
      <c r="L55" s="49">
        <f>'Avg Week Ntinda-Naalya'!L55+'Avg Week Naalya-Ntinda'!L55</f>
        <v>0.2857142857142857</v>
      </c>
      <c r="M55" s="49">
        <f>'Avg Week Ntinda-Naalya'!M55+'Avg Week Naalya-Ntinda'!M55</f>
        <v>144.14285714285714</v>
      </c>
      <c r="N55" s="49">
        <f>'Avg Week Ntinda-Naalya'!N55+'Avg Week Naalya-Ntinda'!N55</f>
        <v>0</v>
      </c>
      <c r="O55" s="15">
        <f t="shared" si="0"/>
        <v>314.28571428571422</v>
      </c>
      <c r="P55" s="15">
        <f t="shared" si="1"/>
        <v>458.42857142857133</v>
      </c>
      <c r="R55" s="8"/>
      <c r="T55"/>
    </row>
    <row r="56" spans="2:20" ht="23.1" customHeight="1" x14ac:dyDescent="0.25">
      <c r="B56" s="23" t="s">
        <v>83</v>
      </c>
      <c r="C56" s="49">
        <f>'Avg Week Ntinda-Naalya'!C56+'Avg Week Naalya-Ntinda'!C56</f>
        <v>207.14285714285717</v>
      </c>
      <c r="D56" s="49">
        <f>'Avg Week Ntinda-Naalya'!D56+'Avg Week Naalya-Ntinda'!D56</f>
        <v>70</v>
      </c>
      <c r="E56" s="49">
        <f>'Avg Week Ntinda-Naalya'!E56+'Avg Week Naalya-Ntinda'!E56</f>
        <v>9.2857142857142865</v>
      </c>
      <c r="F56" s="49">
        <f>'Avg Week Ntinda-Naalya'!F56+'Avg Week Naalya-Ntinda'!F56</f>
        <v>14.857142857142858</v>
      </c>
      <c r="G56" s="49">
        <f>'Avg Week Ntinda-Naalya'!G56+'Avg Week Naalya-Ntinda'!G56</f>
        <v>2</v>
      </c>
      <c r="H56" s="49">
        <f>'Avg Week Ntinda-Naalya'!H56+'Avg Week Naalya-Ntinda'!H56</f>
        <v>0.14285714285714285</v>
      </c>
      <c r="I56" s="49">
        <f>'Avg Week Ntinda-Naalya'!I56+'Avg Week Naalya-Ntinda'!I56</f>
        <v>4.5714285714285712</v>
      </c>
      <c r="J56" s="49">
        <f>'Avg Week Ntinda-Naalya'!J56+'Avg Week Naalya-Ntinda'!J56</f>
        <v>2.4285714285714288</v>
      </c>
      <c r="K56" s="49">
        <f>'Avg Week Ntinda-Naalya'!K56+'Avg Week Naalya-Ntinda'!K56</f>
        <v>0.7142857142857143</v>
      </c>
      <c r="L56" s="49">
        <f>'Avg Week Ntinda-Naalya'!L56+'Avg Week Naalya-Ntinda'!L56</f>
        <v>0.14285714285714285</v>
      </c>
      <c r="M56" s="49">
        <f>'Avg Week Ntinda-Naalya'!M56+'Avg Week Naalya-Ntinda'!M56</f>
        <v>153.28571428571428</v>
      </c>
      <c r="N56" s="49">
        <f>'Avg Week Ntinda-Naalya'!N56+'Avg Week Naalya-Ntinda'!N56</f>
        <v>0</v>
      </c>
      <c r="O56" s="15">
        <f t="shared" si="0"/>
        <v>311.28571428571433</v>
      </c>
      <c r="P56" s="15">
        <f t="shared" si="1"/>
        <v>464.57142857142861</v>
      </c>
      <c r="R56" s="8"/>
      <c r="T56"/>
    </row>
    <row r="57" spans="2:20" ht="23.1" customHeight="1" x14ac:dyDescent="0.25">
      <c r="B57" s="23" t="s">
        <v>84</v>
      </c>
      <c r="C57" s="49">
        <f>'Avg Week Ntinda-Naalya'!C57+'Avg Week Naalya-Ntinda'!C57</f>
        <v>179</v>
      </c>
      <c r="D57" s="49">
        <f>'Avg Week Ntinda-Naalya'!D57+'Avg Week Naalya-Ntinda'!D57</f>
        <v>72.142857142857139</v>
      </c>
      <c r="E57" s="49">
        <f>'Avg Week Ntinda-Naalya'!E57+'Avg Week Naalya-Ntinda'!E57</f>
        <v>7.8571428571428577</v>
      </c>
      <c r="F57" s="49">
        <f>'Avg Week Ntinda-Naalya'!F57+'Avg Week Naalya-Ntinda'!F57</f>
        <v>11</v>
      </c>
      <c r="G57" s="49">
        <f>'Avg Week Ntinda-Naalya'!G57+'Avg Week Naalya-Ntinda'!G57</f>
        <v>2.1428571428571428</v>
      </c>
      <c r="H57" s="49">
        <f>'Avg Week Ntinda-Naalya'!H57+'Avg Week Naalya-Ntinda'!H57</f>
        <v>0.71428571428571419</v>
      </c>
      <c r="I57" s="49">
        <f>'Avg Week Ntinda-Naalya'!I57+'Avg Week Naalya-Ntinda'!I57</f>
        <v>4.1428571428571423</v>
      </c>
      <c r="J57" s="49">
        <f>'Avg Week Ntinda-Naalya'!J57+'Avg Week Naalya-Ntinda'!J57</f>
        <v>2.8571428571428572</v>
      </c>
      <c r="K57" s="49">
        <f>'Avg Week Ntinda-Naalya'!K57+'Avg Week Naalya-Ntinda'!K57</f>
        <v>0.5714285714285714</v>
      </c>
      <c r="L57" s="49">
        <f>'Avg Week Ntinda-Naalya'!L57+'Avg Week Naalya-Ntinda'!L57</f>
        <v>0.14285714285714285</v>
      </c>
      <c r="M57" s="49">
        <f>'Avg Week Ntinda-Naalya'!M57+'Avg Week Naalya-Ntinda'!M57</f>
        <v>148.85714285714286</v>
      </c>
      <c r="N57" s="49">
        <f>'Avg Week Ntinda-Naalya'!N57+'Avg Week Naalya-Ntinda'!N57</f>
        <v>0</v>
      </c>
      <c r="O57" s="15">
        <f t="shared" si="0"/>
        <v>280.57142857142861</v>
      </c>
      <c r="P57" s="15">
        <f t="shared" si="1"/>
        <v>429.42857142857144</v>
      </c>
      <c r="R57" s="8"/>
      <c r="T57"/>
    </row>
    <row r="58" spans="2:20" ht="23.1" customHeight="1" x14ac:dyDescent="0.25">
      <c r="B58" s="23" t="s">
        <v>99</v>
      </c>
      <c r="C58" s="49">
        <f>'Avg Week Ntinda-Naalya'!C58+'Avg Week Naalya-Ntinda'!C58</f>
        <v>201</v>
      </c>
      <c r="D58" s="49">
        <f>'Avg Week Ntinda-Naalya'!D58+'Avg Week Naalya-Ntinda'!D58</f>
        <v>47</v>
      </c>
      <c r="E58" s="49">
        <f>'Avg Week Ntinda-Naalya'!E58+'Avg Week Naalya-Ntinda'!E58</f>
        <v>15</v>
      </c>
      <c r="F58" s="49">
        <f>'Avg Week Ntinda-Naalya'!F58+'Avg Week Naalya-Ntinda'!F58</f>
        <v>15.5</v>
      </c>
      <c r="G58" s="49">
        <f>'Avg Week Ntinda-Naalya'!G58+'Avg Week Naalya-Ntinda'!G58</f>
        <v>1</v>
      </c>
      <c r="H58" s="49">
        <f>'Avg Week Ntinda-Naalya'!H58+'Avg Week Naalya-Ntinda'!H58</f>
        <v>1</v>
      </c>
      <c r="I58" s="49">
        <f>'Avg Week Ntinda-Naalya'!I58+'Avg Week Naalya-Ntinda'!I58</f>
        <v>2</v>
      </c>
      <c r="J58" s="49">
        <f>'Avg Week Ntinda-Naalya'!J58+'Avg Week Naalya-Ntinda'!J58</f>
        <v>3</v>
      </c>
      <c r="K58" s="49">
        <f>'Avg Week Ntinda-Naalya'!K58+'Avg Week Naalya-Ntinda'!K58</f>
        <v>0</v>
      </c>
      <c r="L58" s="49">
        <f>'Avg Week Ntinda-Naalya'!L58+'Avg Week Naalya-Ntinda'!L58</f>
        <v>1</v>
      </c>
      <c r="M58" s="49">
        <f>'Avg Week Ntinda-Naalya'!M58+'Avg Week Naalya-Ntinda'!M58</f>
        <v>151.5</v>
      </c>
      <c r="N58" s="49">
        <f>'Avg Week Ntinda-Naalya'!N58+'Avg Week Naalya-Ntinda'!N58</f>
        <v>0</v>
      </c>
      <c r="O58" s="15">
        <f t="shared" si="0"/>
        <v>286.5</v>
      </c>
      <c r="P58" s="15">
        <f t="shared" si="1"/>
        <v>438</v>
      </c>
      <c r="R58" s="8"/>
      <c r="T58"/>
    </row>
    <row r="59" spans="2:20" ht="23.1" customHeight="1" x14ac:dyDescent="0.25">
      <c r="B59" s="23" t="s">
        <v>100</v>
      </c>
      <c r="C59" s="49">
        <f>'Avg Week Ntinda-Naalya'!C59+'Avg Week Naalya-Ntinda'!C59</f>
        <v>143.5</v>
      </c>
      <c r="D59" s="49">
        <f>'Avg Week Ntinda-Naalya'!D59+'Avg Week Naalya-Ntinda'!D59</f>
        <v>48.5</v>
      </c>
      <c r="E59" s="49">
        <f>'Avg Week Ntinda-Naalya'!E59+'Avg Week Naalya-Ntinda'!E59</f>
        <v>5</v>
      </c>
      <c r="F59" s="49">
        <f>'Avg Week Ntinda-Naalya'!F59+'Avg Week Naalya-Ntinda'!F59</f>
        <v>10.5</v>
      </c>
      <c r="G59" s="49">
        <f>'Avg Week Ntinda-Naalya'!G59+'Avg Week Naalya-Ntinda'!G59</f>
        <v>0</v>
      </c>
      <c r="H59" s="49">
        <f>'Avg Week Ntinda-Naalya'!H59+'Avg Week Naalya-Ntinda'!H59</f>
        <v>1</v>
      </c>
      <c r="I59" s="49">
        <f>'Avg Week Ntinda-Naalya'!I59+'Avg Week Naalya-Ntinda'!I59</f>
        <v>2</v>
      </c>
      <c r="J59" s="49">
        <f>'Avg Week Ntinda-Naalya'!J59+'Avg Week Naalya-Ntinda'!J59</f>
        <v>0.5</v>
      </c>
      <c r="K59" s="49">
        <f>'Avg Week Ntinda-Naalya'!K59+'Avg Week Naalya-Ntinda'!K59</f>
        <v>0.5</v>
      </c>
      <c r="L59" s="49">
        <f>'Avg Week Ntinda-Naalya'!L59+'Avg Week Naalya-Ntinda'!L59</f>
        <v>1</v>
      </c>
      <c r="M59" s="49">
        <f>'Avg Week Ntinda-Naalya'!M59+'Avg Week Naalya-Ntinda'!M59</f>
        <v>130.5</v>
      </c>
      <c r="N59" s="49">
        <f>'Avg Week Ntinda-Naalya'!N59+'Avg Week Naalya-Ntinda'!N59</f>
        <v>0</v>
      </c>
      <c r="O59" s="15">
        <f t="shared" ref="O59:O105" si="35">SUM(C59:L59,N59)</f>
        <v>212.5</v>
      </c>
      <c r="P59" s="15">
        <f t="shared" ref="P59:P105" si="36">SUM(C59:N59)</f>
        <v>343</v>
      </c>
      <c r="R59" s="8"/>
      <c r="T59"/>
    </row>
    <row r="60" spans="2:20" ht="23.1" customHeight="1" x14ac:dyDescent="0.25">
      <c r="B60" s="23" t="s">
        <v>101</v>
      </c>
      <c r="C60" s="49">
        <f>'Avg Week Ntinda-Naalya'!C60+'Avg Week Naalya-Ntinda'!C60</f>
        <v>132</v>
      </c>
      <c r="D60" s="49">
        <f>'Avg Week Ntinda-Naalya'!D60+'Avg Week Naalya-Ntinda'!D60</f>
        <v>54</v>
      </c>
      <c r="E60" s="49">
        <f>'Avg Week Ntinda-Naalya'!E60+'Avg Week Naalya-Ntinda'!E60</f>
        <v>17.5</v>
      </c>
      <c r="F60" s="49">
        <f>'Avg Week Ntinda-Naalya'!F60+'Avg Week Naalya-Ntinda'!F60</f>
        <v>12</v>
      </c>
      <c r="G60" s="49">
        <f>'Avg Week Ntinda-Naalya'!G60+'Avg Week Naalya-Ntinda'!G60</f>
        <v>0.5</v>
      </c>
      <c r="H60" s="49">
        <f>'Avg Week Ntinda-Naalya'!H60+'Avg Week Naalya-Ntinda'!H60</f>
        <v>0.5</v>
      </c>
      <c r="I60" s="49">
        <f>'Avg Week Ntinda-Naalya'!I60+'Avg Week Naalya-Ntinda'!I60</f>
        <v>1.5</v>
      </c>
      <c r="J60" s="49">
        <f>'Avg Week Ntinda-Naalya'!J60+'Avg Week Naalya-Ntinda'!J60</f>
        <v>0.5</v>
      </c>
      <c r="K60" s="49">
        <f>'Avg Week Ntinda-Naalya'!K60+'Avg Week Naalya-Ntinda'!K60</f>
        <v>0.5</v>
      </c>
      <c r="L60" s="49">
        <f>'Avg Week Ntinda-Naalya'!L60+'Avg Week Naalya-Ntinda'!L60</f>
        <v>0</v>
      </c>
      <c r="M60" s="49">
        <f>'Avg Week Ntinda-Naalya'!M60+'Avg Week Naalya-Ntinda'!M60</f>
        <v>108.5</v>
      </c>
      <c r="N60" s="49">
        <f>'Avg Week Ntinda-Naalya'!N60+'Avg Week Naalya-Ntinda'!N60</f>
        <v>0</v>
      </c>
      <c r="O60" s="15">
        <f t="shared" si="35"/>
        <v>219</v>
      </c>
      <c r="P60" s="15">
        <f t="shared" si="36"/>
        <v>327.5</v>
      </c>
      <c r="R60" s="8"/>
      <c r="T60"/>
    </row>
    <row r="61" spans="2:20" ht="23.1" customHeight="1" x14ac:dyDescent="0.25">
      <c r="B61" s="23" t="s">
        <v>102</v>
      </c>
      <c r="C61" s="49">
        <f>'Avg Week Ntinda-Naalya'!C61+'Avg Week Naalya-Ntinda'!C61</f>
        <v>169.5</v>
      </c>
      <c r="D61" s="49">
        <f>'Avg Week Ntinda-Naalya'!D61+'Avg Week Naalya-Ntinda'!D61</f>
        <v>64</v>
      </c>
      <c r="E61" s="49">
        <f>'Avg Week Ntinda-Naalya'!E61+'Avg Week Naalya-Ntinda'!E61</f>
        <v>20</v>
      </c>
      <c r="F61" s="49">
        <f>'Avg Week Ntinda-Naalya'!F61+'Avg Week Naalya-Ntinda'!F61</f>
        <v>14.5</v>
      </c>
      <c r="G61" s="49">
        <f>'Avg Week Ntinda-Naalya'!G61+'Avg Week Naalya-Ntinda'!G61</f>
        <v>0.5</v>
      </c>
      <c r="H61" s="49">
        <f>'Avg Week Ntinda-Naalya'!H61+'Avg Week Naalya-Ntinda'!H61</f>
        <v>0.5</v>
      </c>
      <c r="I61" s="49">
        <f>'Avg Week Ntinda-Naalya'!I61+'Avg Week Naalya-Ntinda'!I61</f>
        <v>1.5</v>
      </c>
      <c r="J61" s="49">
        <f>'Avg Week Ntinda-Naalya'!J61+'Avg Week Naalya-Ntinda'!J61</f>
        <v>1</v>
      </c>
      <c r="K61" s="49">
        <f>'Avg Week Ntinda-Naalya'!K61+'Avg Week Naalya-Ntinda'!K61</f>
        <v>0.5</v>
      </c>
      <c r="L61" s="49">
        <f>'Avg Week Ntinda-Naalya'!L61+'Avg Week Naalya-Ntinda'!L61</f>
        <v>0</v>
      </c>
      <c r="M61" s="49">
        <f>'Avg Week Ntinda-Naalya'!M61+'Avg Week Naalya-Ntinda'!M61</f>
        <v>135</v>
      </c>
      <c r="N61" s="49">
        <f>'Avg Week Ntinda-Naalya'!N61+'Avg Week Naalya-Ntinda'!N61</f>
        <v>0</v>
      </c>
      <c r="O61" s="15">
        <f t="shared" si="35"/>
        <v>272</v>
      </c>
      <c r="P61" s="15">
        <f t="shared" si="36"/>
        <v>407</v>
      </c>
      <c r="R61" s="8"/>
      <c r="T61"/>
    </row>
    <row r="62" spans="2:20" ht="23.1" customHeight="1" x14ac:dyDescent="0.25">
      <c r="B62" s="23" t="s">
        <v>107</v>
      </c>
      <c r="C62" s="49">
        <f>'Avg Week Ntinda-Naalya'!C62+'Avg Week Naalya-Ntinda'!C62</f>
        <v>105</v>
      </c>
      <c r="D62" s="49">
        <f>'Avg Week Ntinda-Naalya'!D62+'Avg Week Naalya-Ntinda'!D62</f>
        <v>55.5</v>
      </c>
      <c r="E62" s="49">
        <f>'Avg Week Ntinda-Naalya'!E62+'Avg Week Naalya-Ntinda'!E62</f>
        <v>10</v>
      </c>
      <c r="F62" s="49">
        <f>'Avg Week Ntinda-Naalya'!F62+'Avg Week Naalya-Ntinda'!F62</f>
        <v>19</v>
      </c>
      <c r="G62" s="49">
        <f>'Avg Week Ntinda-Naalya'!G62+'Avg Week Naalya-Ntinda'!G62</f>
        <v>1.5</v>
      </c>
      <c r="H62" s="49">
        <f>'Avg Week Ntinda-Naalya'!H62+'Avg Week Naalya-Ntinda'!H62</f>
        <v>0.5</v>
      </c>
      <c r="I62" s="49">
        <f>'Avg Week Ntinda-Naalya'!I62+'Avg Week Naalya-Ntinda'!I62</f>
        <v>1.5</v>
      </c>
      <c r="J62" s="49">
        <f>'Avg Week Ntinda-Naalya'!J62+'Avg Week Naalya-Ntinda'!J62</f>
        <v>1</v>
      </c>
      <c r="K62" s="49">
        <f>'Avg Week Ntinda-Naalya'!K62+'Avg Week Naalya-Ntinda'!K62</f>
        <v>0</v>
      </c>
      <c r="L62" s="49">
        <f>'Avg Week Ntinda-Naalya'!L62+'Avg Week Naalya-Ntinda'!L62</f>
        <v>0</v>
      </c>
      <c r="M62" s="49">
        <f>'Avg Week Ntinda-Naalya'!M62+'Avg Week Naalya-Ntinda'!M62</f>
        <v>178</v>
      </c>
      <c r="N62" s="49">
        <f>'Avg Week Ntinda-Naalya'!N62+'Avg Week Naalya-Ntinda'!N62</f>
        <v>0</v>
      </c>
      <c r="O62" s="15">
        <f t="shared" si="35"/>
        <v>194</v>
      </c>
      <c r="P62" s="15">
        <f t="shared" si="36"/>
        <v>372</v>
      </c>
      <c r="R62" s="8"/>
      <c r="T62"/>
    </row>
    <row r="63" spans="2:20" ht="23.1" customHeight="1" x14ac:dyDescent="0.25">
      <c r="B63" s="23" t="s">
        <v>108</v>
      </c>
      <c r="C63" s="49">
        <f>'Avg Week Ntinda-Naalya'!C63+'Avg Week Naalya-Ntinda'!C63</f>
        <v>177.5</v>
      </c>
      <c r="D63" s="49">
        <f>'Avg Week Ntinda-Naalya'!D63+'Avg Week Naalya-Ntinda'!D63</f>
        <v>55.5</v>
      </c>
      <c r="E63" s="49">
        <f>'Avg Week Ntinda-Naalya'!E63+'Avg Week Naalya-Ntinda'!E63</f>
        <v>11</v>
      </c>
      <c r="F63" s="49">
        <f>'Avg Week Ntinda-Naalya'!F63+'Avg Week Naalya-Ntinda'!F63</f>
        <v>30.5</v>
      </c>
      <c r="G63" s="49">
        <f>'Avg Week Ntinda-Naalya'!G63+'Avg Week Naalya-Ntinda'!G63</f>
        <v>4</v>
      </c>
      <c r="H63" s="49">
        <f>'Avg Week Ntinda-Naalya'!H63+'Avg Week Naalya-Ntinda'!H63</f>
        <v>0</v>
      </c>
      <c r="I63" s="49">
        <f>'Avg Week Ntinda-Naalya'!I63+'Avg Week Naalya-Ntinda'!I63</f>
        <v>1.5</v>
      </c>
      <c r="J63" s="49">
        <f>'Avg Week Ntinda-Naalya'!J63+'Avg Week Naalya-Ntinda'!J63</f>
        <v>1</v>
      </c>
      <c r="K63" s="49">
        <f>'Avg Week Ntinda-Naalya'!K63+'Avg Week Naalya-Ntinda'!K63</f>
        <v>0.5</v>
      </c>
      <c r="L63" s="49">
        <f>'Avg Week Ntinda-Naalya'!L63+'Avg Week Naalya-Ntinda'!L63</f>
        <v>0.5</v>
      </c>
      <c r="M63" s="49">
        <f>'Avg Week Ntinda-Naalya'!M63+'Avg Week Naalya-Ntinda'!M63</f>
        <v>198.5</v>
      </c>
      <c r="N63" s="49">
        <f>'Avg Week Ntinda-Naalya'!N63+'Avg Week Naalya-Ntinda'!N63</f>
        <v>0</v>
      </c>
      <c r="O63" s="15">
        <f t="shared" si="35"/>
        <v>282</v>
      </c>
      <c r="P63" s="15">
        <f t="shared" si="36"/>
        <v>480.5</v>
      </c>
      <c r="R63" s="8"/>
      <c r="T63"/>
    </row>
    <row r="64" spans="2:20" ht="23.1" customHeight="1" x14ac:dyDescent="0.25">
      <c r="B64" s="23" t="s">
        <v>109</v>
      </c>
      <c r="C64" s="49">
        <f>'Avg Week Ntinda-Naalya'!C64+'Avg Week Naalya-Ntinda'!C64</f>
        <v>150.5</v>
      </c>
      <c r="D64" s="49">
        <f>'Avg Week Ntinda-Naalya'!D64+'Avg Week Naalya-Ntinda'!D64</f>
        <v>67.5</v>
      </c>
      <c r="E64" s="49">
        <f>'Avg Week Ntinda-Naalya'!E64+'Avg Week Naalya-Ntinda'!E64</f>
        <v>11</v>
      </c>
      <c r="F64" s="49">
        <f>'Avg Week Ntinda-Naalya'!F64+'Avg Week Naalya-Ntinda'!F64</f>
        <v>11</v>
      </c>
      <c r="G64" s="49">
        <f>'Avg Week Ntinda-Naalya'!G64+'Avg Week Naalya-Ntinda'!G64</f>
        <v>0.5</v>
      </c>
      <c r="H64" s="49">
        <f>'Avg Week Ntinda-Naalya'!H64+'Avg Week Naalya-Ntinda'!H64</f>
        <v>0</v>
      </c>
      <c r="I64" s="49">
        <f>'Avg Week Ntinda-Naalya'!I64+'Avg Week Naalya-Ntinda'!I64</f>
        <v>2</v>
      </c>
      <c r="J64" s="49">
        <f>'Avg Week Ntinda-Naalya'!J64+'Avg Week Naalya-Ntinda'!J64</f>
        <v>2</v>
      </c>
      <c r="K64" s="49">
        <f>'Avg Week Ntinda-Naalya'!K64+'Avg Week Naalya-Ntinda'!K64</f>
        <v>0</v>
      </c>
      <c r="L64" s="49">
        <f>'Avg Week Ntinda-Naalya'!L64+'Avg Week Naalya-Ntinda'!L64</f>
        <v>0</v>
      </c>
      <c r="M64" s="49">
        <f>'Avg Week Ntinda-Naalya'!M64+'Avg Week Naalya-Ntinda'!M64</f>
        <v>178</v>
      </c>
      <c r="N64" s="49">
        <f>'Avg Week Ntinda-Naalya'!N64+'Avg Week Naalya-Ntinda'!N64</f>
        <v>0</v>
      </c>
      <c r="O64" s="15">
        <f t="shared" si="35"/>
        <v>244.5</v>
      </c>
      <c r="P64" s="15">
        <f t="shared" si="36"/>
        <v>422.5</v>
      </c>
      <c r="R64" s="8"/>
      <c r="T64"/>
    </row>
    <row r="65" spans="2:20" ht="23.1" customHeight="1" x14ac:dyDescent="0.25">
      <c r="B65" s="23" t="s">
        <v>158</v>
      </c>
      <c r="C65" s="49">
        <f>'Avg Week Ntinda-Naalya'!C65+'Avg Week Naalya-Ntinda'!C65</f>
        <v>128</v>
      </c>
      <c r="D65" s="49">
        <f>'Avg Week Ntinda-Naalya'!D65+'Avg Week Naalya-Ntinda'!D65</f>
        <v>57.5</v>
      </c>
      <c r="E65" s="49">
        <f>'Avg Week Ntinda-Naalya'!E65+'Avg Week Naalya-Ntinda'!E65</f>
        <v>13</v>
      </c>
      <c r="F65" s="49">
        <f>'Avg Week Ntinda-Naalya'!F65+'Avg Week Naalya-Ntinda'!F65</f>
        <v>9.5</v>
      </c>
      <c r="G65" s="49">
        <f>'Avg Week Ntinda-Naalya'!G65+'Avg Week Naalya-Ntinda'!G65</f>
        <v>0</v>
      </c>
      <c r="H65" s="49">
        <f>'Avg Week Ntinda-Naalya'!H65+'Avg Week Naalya-Ntinda'!H65</f>
        <v>0</v>
      </c>
      <c r="I65" s="49">
        <f>'Avg Week Ntinda-Naalya'!I65+'Avg Week Naalya-Ntinda'!I65</f>
        <v>2.5</v>
      </c>
      <c r="J65" s="49">
        <f>'Avg Week Ntinda-Naalya'!J65+'Avg Week Naalya-Ntinda'!J65</f>
        <v>3.5</v>
      </c>
      <c r="K65" s="49">
        <f>'Avg Week Ntinda-Naalya'!K65+'Avg Week Naalya-Ntinda'!K65</f>
        <v>0</v>
      </c>
      <c r="L65" s="49">
        <f>'Avg Week Ntinda-Naalya'!L65+'Avg Week Naalya-Ntinda'!L65</f>
        <v>0</v>
      </c>
      <c r="M65" s="49">
        <f>'Avg Week Ntinda-Naalya'!M65+'Avg Week Naalya-Ntinda'!M65</f>
        <v>146.5</v>
      </c>
      <c r="N65" s="49">
        <f>'Avg Week Ntinda-Naalya'!N65+'Avg Week Naalya-Ntinda'!N65</f>
        <v>0</v>
      </c>
      <c r="O65" s="15">
        <f t="shared" si="35"/>
        <v>214</v>
      </c>
      <c r="P65" s="15">
        <f t="shared" si="36"/>
        <v>360.5</v>
      </c>
      <c r="R65" s="8"/>
      <c r="T65"/>
    </row>
    <row r="66" spans="2:20" ht="23.1" customHeight="1" x14ac:dyDescent="0.25">
      <c r="B66" s="23" t="s">
        <v>103</v>
      </c>
      <c r="C66" s="49">
        <f>'Avg Week Ntinda-Naalya'!C66+'Avg Week Naalya-Ntinda'!C66</f>
        <v>164.5</v>
      </c>
      <c r="D66" s="49">
        <f>'Avg Week Ntinda-Naalya'!D66+'Avg Week Naalya-Ntinda'!D66</f>
        <v>73.5</v>
      </c>
      <c r="E66" s="49">
        <f>'Avg Week Ntinda-Naalya'!E66+'Avg Week Naalya-Ntinda'!E66</f>
        <v>8.5</v>
      </c>
      <c r="F66" s="49">
        <f>'Avg Week Ntinda-Naalya'!F66+'Avg Week Naalya-Ntinda'!F66</f>
        <v>12</v>
      </c>
      <c r="G66" s="49">
        <f>'Avg Week Ntinda-Naalya'!G66+'Avg Week Naalya-Ntinda'!G66</f>
        <v>0.5</v>
      </c>
      <c r="H66" s="49">
        <f>'Avg Week Ntinda-Naalya'!H66+'Avg Week Naalya-Ntinda'!H66</f>
        <v>0</v>
      </c>
      <c r="I66" s="49">
        <f>'Avg Week Ntinda-Naalya'!I66+'Avg Week Naalya-Ntinda'!I66</f>
        <v>0.5</v>
      </c>
      <c r="J66" s="49">
        <f>'Avg Week Ntinda-Naalya'!J66+'Avg Week Naalya-Ntinda'!J66</f>
        <v>1</v>
      </c>
      <c r="K66" s="49">
        <f>'Avg Week Ntinda-Naalya'!K66+'Avg Week Naalya-Ntinda'!K66</f>
        <v>0.5</v>
      </c>
      <c r="L66" s="49">
        <f>'Avg Week Ntinda-Naalya'!L66+'Avg Week Naalya-Ntinda'!L66</f>
        <v>0</v>
      </c>
      <c r="M66" s="49">
        <f>'Avg Week Ntinda-Naalya'!M66+'Avg Week Naalya-Ntinda'!M66</f>
        <v>122.5</v>
      </c>
      <c r="N66" s="49">
        <f>'Avg Week Ntinda-Naalya'!N66+'Avg Week Naalya-Ntinda'!N66</f>
        <v>0</v>
      </c>
      <c r="O66" s="15">
        <f t="shared" si="35"/>
        <v>261</v>
      </c>
      <c r="P66" s="15">
        <f t="shared" si="36"/>
        <v>383.5</v>
      </c>
      <c r="R66" s="8"/>
      <c r="T66"/>
    </row>
    <row r="67" spans="2:20" ht="23.1" customHeight="1" x14ac:dyDescent="0.25">
      <c r="B67" s="23" t="s">
        <v>104</v>
      </c>
      <c r="C67" s="49">
        <f>'Avg Week Ntinda-Naalya'!C67+'Avg Week Naalya-Ntinda'!C67</f>
        <v>165.5</v>
      </c>
      <c r="D67" s="49">
        <f>'Avg Week Ntinda-Naalya'!D67+'Avg Week Naalya-Ntinda'!D67</f>
        <v>71.5</v>
      </c>
      <c r="E67" s="49">
        <f>'Avg Week Ntinda-Naalya'!E67+'Avg Week Naalya-Ntinda'!E67</f>
        <v>23</v>
      </c>
      <c r="F67" s="49">
        <f>'Avg Week Ntinda-Naalya'!F67+'Avg Week Naalya-Ntinda'!F67</f>
        <v>12</v>
      </c>
      <c r="G67" s="49">
        <f>'Avg Week Ntinda-Naalya'!G67+'Avg Week Naalya-Ntinda'!G67</f>
        <v>0</v>
      </c>
      <c r="H67" s="49">
        <f>'Avg Week Ntinda-Naalya'!H67+'Avg Week Naalya-Ntinda'!H67</f>
        <v>0</v>
      </c>
      <c r="I67" s="49">
        <f>'Avg Week Ntinda-Naalya'!I67+'Avg Week Naalya-Ntinda'!I67</f>
        <v>2</v>
      </c>
      <c r="J67" s="49">
        <f>'Avg Week Ntinda-Naalya'!J67+'Avg Week Naalya-Ntinda'!J67</f>
        <v>2.5</v>
      </c>
      <c r="K67" s="49">
        <f>'Avg Week Ntinda-Naalya'!K67+'Avg Week Naalya-Ntinda'!K67</f>
        <v>0</v>
      </c>
      <c r="L67" s="49">
        <f>'Avg Week Ntinda-Naalya'!L67+'Avg Week Naalya-Ntinda'!L67</f>
        <v>0</v>
      </c>
      <c r="M67" s="49">
        <f>'Avg Week Ntinda-Naalya'!M67+'Avg Week Naalya-Ntinda'!M67</f>
        <v>101</v>
      </c>
      <c r="N67" s="49">
        <f>'Avg Week Ntinda-Naalya'!N67+'Avg Week Naalya-Ntinda'!N67</f>
        <v>0</v>
      </c>
      <c r="O67" s="15">
        <f t="shared" si="35"/>
        <v>276.5</v>
      </c>
      <c r="P67" s="15">
        <f t="shared" si="36"/>
        <v>377.5</v>
      </c>
      <c r="R67" s="8"/>
      <c r="T67"/>
    </row>
    <row r="68" spans="2:20" ht="23.1" customHeight="1" x14ac:dyDescent="0.25">
      <c r="B68" s="23" t="s">
        <v>105</v>
      </c>
      <c r="C68" s="49">
        <f>'Avg Week Ntinda-Naalya'!C68+'Avg Week Naalya-Ntinda'!C68</f>
        <v>163</v>
      </c>
      <c r="D68" s="49">
        <f>'Avg Week Ntinda-Naalya'!D68+'Avg Week Naalya-Ntinda'!D68</f>
        <v>64.5</v>
      </c>
      <c r="E68" s="49">
        <f>'Avg Week Ntinda-Naalya'!E68+'Avg Week Naalya-Ntinda'!E68</f>
        <v>23.5</v>
      </c>
      <c r="F68" s="49">
        <f>'Avg Week Ntinda-Naalya'!F68+'Avg Week Naalya-Ntinda'!F68</f>
        <v>13</v>
      </c>
      <c r="G68" s="49">
        <f>'Avg Week Ntinda-Naalya'!G68+'Avg Week Naalya-Ntinda'!G68</f>
        <v>1.5</v>
      </c>
      <c r="H68" s="49">
        <f>'Avg Week Ntinda-Naalya'!H68+'Avg Week Naalya-Ntinda'!H68</f>
        <v>0</v>
      </c>
      <c r="I68" s="49">
        <f>'Avg Week Ntinda-Naalya'!I68+'Avg Week Naalya-Ntinda'!I68</f>
        <v>2</v>
      </c>
      <c r="J68" s="49">
        <f>'Avg Week Ntinda-Naalya'!J68+'Avg Week Naalya-Ntinda'!J68</f>
        <v>1</v>
      </c>
      <c r="K68" s="49">
        <f>'Avg Week Ntinda-Naalya'!K68+'Avg Week Naalya-Ntinda'!K68</f>
        <v>0</v>
      </c>
      <c r="L68" s="49">
        <f>'Avg Week Ntinda-Naalya'!L68+'Avg Week Naalya-Ntinda'!L68</f>
        <v>0</v>
      </c>
      <c r="M68" s="49">
        <f>'Avg Week Ntinda-Naalya'!M68+'Avg Week Naalya-Ntinda'!M68</f>
        <v>99.5</v>
      </c>
      <c r="N68" s="49">
        <f>'Avg Week Ntinda-Naalya'!N68+'Avg Week Naalya-Ntinda'!N68</f>
        <v>0</v>
      </c>
      <c r="O68" s="15">
        <f t="shared" si="35"/>
        <v>268.5</v>
      </c>
      <c r="P68" s="15">
        <f t="shared" si="36"/>
        <v>368</v>
      </c>
      <c r="R68" s="8"/>
      <c r="T68"/>
    </row>
    <row r="69" spans="2:20" ht="23.1" customHeight="1" x14ac:dyDescent="0.25">
      <c r="B69" s="23" t="s">
        <v>106</v>
      </c>
      <c r="C69" s="49">
        <f>'Avg Week Ntinda-Naalya'!C69+'Avg Week Naalya-Ntinda'!C69</f>
        <v>141</v>
      </c>
      <c r="D69" s="49">
        <f>'Avg Week Ntinda-Naalya'!D69+'Avg Week Naalya-Ntinda'!D69</f>
        <v>47.5</v>
      </c>
      <c r="E69" s="49">
        <f>'Avg Week Ntinda-Naalya'!E69+'Avg Week Naalya-Ntinda'!E69</f>
        <v>57.5</v>
      </c>
      <c r="F69" s="49">
        <f>'Avg Week Ntinda-Naalya'!F69+'Avg Week Naalya-Ntinda'!F69</f>
        <v>11.5</v>
      </c>
      <c r="G69" s="49">
        <f>'Avg Week Ntinda-Naalya'!G69+'Avg Week Naalya-Ntinda'!G69</f>
        <v>0</v>
      </c>
      <c r="H69" s="49">
        <f>'Avg Week Ntinda-Naalya'!H69+'Avg Week Naalya-Ntinda'!H69</f>
        <v>0</v>
      </c>
      <c r="I69" s="49">
        <f>'Avg Week Ntinda-Naalya'!I69+'Avg Week Naalya-Ntinda'!I69</f>
        <v>0.5</v>
      </c>
      <c r="J69" s="49">
        <f>'Avg Week Ntinda-Naalya'!J69+'Avg Week Naalya-Ntinda'!J69</f>
        <v>1.5</v>
      </c>
      <c r="K69" s="49">
        <f>'Avg Week Ntinda-Naalya'!K69+'Avg Week Naalya-Ntinda'!K69</f>
        <v>0</v>
      </c>
      <c r="L69" s="49">
        <f>'Avg Week Ntinda-Naalya'!L69+'Avg Week Naalya-Ntinda'!L69</f>
        <v>0</v>
      </c>
      <c r="M69" s="49">
        <f>'Avg Week Ntinda-Naalya'!M69+'Avg Week Naalya-Ntinda'!M69</f>
        <v>113.5</v>
      </c>
      <c r="N69" s="49">
        <f>'Avg Week Ntinda-Naalya'!N69+'Avg Week Naalya-Ntinda'!N69</f>
        <v>0</v>
      </c>
      <c r="O69" s="15">
        <f t="shared" si="35"/>
        <v>259.5</v>
      </c>
      <c r="P69" s="15">
        <f t="shared" si="36"/>
        <v>373</v>
      </c>
      <c r="R69" s="8"/>
      <c r="T69"/>
    </row>
    <row r="70" spans="2:20" ht="23.1" customHeight="1" x14ac:dyDescent="0.25">
      <c r="B70" s="23" t="s">
        <v>110</v>
      </c>
      <c r="C70" s="49">
        <f>'Avg Week Ntinda-Naalya'!C70+'Avg Week Naalya-Ntinda'!C70</f>
        <v>107.5</v>
      </c>
      <c r="D70" s="49">
        <f>'Avg Week Ntinda-Naalya'!D70+'Avg Week Naalya-Ntinda'!D70</f>
        <v>28.5</v>
      </c>
      <c r="E70" s="49">
        <f>'Avg Week Ntinda-Naalya'!E70+'Avg Week Naalya-Ntinda'!E70</f>
        <v>17.5</v>
      </c>
      <c r="F70" s="49">
        <f>'Avg Week Ntinda-Naalya'!F70+'Avg Week Naalya-Ntinda'!F70</f>
        <v>8.5</v>
      </c>
      <c r="G70" s="49">
        <f>'Avg Week Ntinda-Naalya'!G70+'Avg Week Naalya-Ntinda'!G70</f>
        <v>0</v>
      </c>
      <c r="H70" s="49">
        <f>'Avg Week Ntinda-Naalya'!H70+'Avg Week Naalya-Ntinda'!H70</f>
        <v>0</v>
      </c>
      <c r="I70" s="49">
        <f>'Avg Week Ntinda-Naalya'!I70+'Avg Week Naalya-Ntinda'!I70</f>
        <v>1.5</v>
      </c>
      <c r="J70" s="49">
        <f>'Avg Week Ntinda-Naalya'!J70+'Avg Week Naalya-Ntinda'!J70</f>
        <v>1</v>
      </c>
      <c r="K70" s="49">
        <f>'Avg Week Ntinda-Naalya'!K70+'Avg Week Naalya-Ntinda'!K70</f>
        <v>1</v>
      </c>
      <c r="L70" s="49">
        <f>'Avg Week Ntinda-Naalya'!L70+'Avg Week Naalya-Ntinda'!L70</f>
        <v>1</v>
      </c>
      <c r="M70" s="49">
        <f>'Avg Week Ntinda-Naalya'!M70+'Avg Week Naalya-Ntinda'!M70</f>
        <v>83.5</v>
      </c>
      <c r="N70" s="49">
        <f>'Avg Week Ntinda-Naalya'!N70+'Avg Week Naalya-Ntinda'!N70</f>
        <v>0</v>
      </c>
      <c r="O70" s="15">
        <f t="shared" si="35"/>
        <v>166.5</v>
      </c>
      <c r="P70" s="15">
        <f t="shared" si="36"/>
        <v>250</v>
      </c>
      <c r="R70" s="8"/>
      <c r="T70"/>
    </row>
    <row r="71" spans="2:20" ht="23.1" customHeight="1" x14ac:dyDescent="0.25">
      <c r="B71" s="23" t="s">
        <v>111</v>
      </c>
      <c r="C71" s="49">
        <f>'Avg Week Ntinda-Naalya'!C71+'Avg Week Naalya-Ntinda'!C71</f>
        <v>133.5</v>
      </c>
      <c r="D71" s="49">
        <f>'Avg Week Ntinda-Naalya'!D71+'Avg Week Naalya-Ntinda'!D71</f>
        <v>45.5</v>
      </c>
      <c r="E71" s="49">
        <f>'Avg Week Ntinda-Naalya'!E71+'Avg Week Naalya-Ntinda'!E71</f>
        <v>14.5</v>
      </c>
      <c r="F71" s="49">
        <f>'Avg Week Ntinda-Naalya'!F71+'Avg Week Naalya-Ntinda'!F71</f>
        <v>8</v>
      </c>
      <c r="G71" s="49">
        <f>'Avg Week Ntinda-Naalya'!G71+'Avg Week Naalya-Ntinda'!G71</f>
        <v>1</v>
      </c>
      <c r="H71" s="49">
        <f>'Avg Week Ntinda-Naalya'!H71+'Avg Week Naalya-Ntinda'!H71</f>
        <v>0</v>
      </c>
      <c r="I71" s="49">
        <f>'Avg Week Ntinda-Naalya'!I71+'Avg Week Naalya-Ntinda'!I71</f>
        <v>2</v>
      </c>
      <c r="J71" s="49">
        <f>'Avg Week Ntinda-Naalya'!J71+'Avg Week Naalya-Ntinda'!J71</f>
        <v>1</v>
      </c>
      <c r="K71" s="49">
        <f>'Avg Week Ntinda-Naalya'!K71+'Avg Week Naalya-Ntinda'!K71</f>
        <v>0</v>
      </c>
      <c r="L71" s="49">
        <f>'Avg Week Ntinda-Naalya'!L71+'Avg Week Naalya-Ntinda'!L71</f>
        <v>0</v>
      </c>
      <c r="M71" s="49">
        <f>'Avg Week Ntinda-Naalya'!M71+'Avg Week Naalya-Ntinda'!M71</f>
        <v>83</v>
      </c>
      <c r="N71" s="49">
        <f>'Avg Week Ntinda-Naalya'!N71+'Avg Week Naalya-Ntinda'!N71</f>
        <v>0</v>
      </c>
      <c r="O71" s="15">
        <f t="shared" si="35"/>
        <v>205.5</v>
      </c>
      <c r="P71" s="15">
        <f t="shared" si="36"/>
        <v>288.5</v>
      </c>
      <c r="R71" s="8"/>
      <c r="T71"/>
    </row>
    <row r="72" spans="2:20" ht="23.1" customHeight="1" x14ac:dyDescent="0.25">
      <c r="B72" s="23" t="s">
        <v>112</v>
      </c>
      <c r="C72" s="49">
        <f>'Avg Week Ntinda-Naalya'!C72+'Avg Week Naalya-Ntinda'!C72</f>
        <v>112.5</v>
      </c>
      <c r="D72" s="49">
        <f>'Avg Week Ntinda-Naalya'!D72+'Avg Week Naalya-Ntinda'!D72</f>
        <v>31.5</v>
      </c>
      <c r="E72" s="49">
        <f>'Avg Week Ntinda-Naalya'!E72+'Avg Week Naalya-Ntinda'!E72</f>
        <v>13</v>
      </c>
      <c r="F72" s="49">
        <f>'Avg Week Ntinda-Naalya'!F72+'Avg Week Naalya-Ntinda'!F72</f>
        <v>2.5</v>
      </c>
      <c r="G72" s="49">
        <f>'Avg Week Ntinda-Naalya'!G72+'Avg Week Naalya-Ntinda'!G72</f>
        <v>1</v>
      </c>
      <c r="H72" s="49">
        <f>'Avg Week Ntinda-Naalya'!H72+'Avg Week Naalya-Ntinda'!H72</f>
        <v>0.5</v>
      </c>
      <c r="I72" s="49">
        <f>'Avg Week Ntinda-Naalya'!I72+'Avg Week Naalya-Ntinda'!I72</f>
        <v>1.5</v>
      </c>
      <c r="J72" s="49">
        <f>'Avg Week Ntinda-Naalya'!J72+'Avg Week Naalya-Ntinda'!J72</f>
        <v>1</v>
      </c>
      <c r="K72" s="49">
        <f>'Avg Week Ntinda-Naalya'!K72+'Avg Week Naalya-Ntinda'!K72</f>
        <v>0</v>
      </c>
      <c r="L72" s="49">
        <f>'Avg Week Ntinda-Naalya'!L72+'Avg Week Naalya-Ntinda'!L72</f>
        <v>0.5</v>
      </c>
      <c r="M72" s="49">
        <f>'Avg Week Ntinda-Naalya'!M72+'Avg Week Naalya-Ntinda'!M72</f>
        <v>76.5</v>
      </c>
      <c r="N72" s="49">
        <f>'Avg Week Ntinda-Naalya'!N72+'Avg Week Naalya-Ntinda'!N72</f>
        <v>0</v>
      </c>
      <c r="O72" s="15">
        <f t="shared" si="35"/>
        <v>164</v>
      </c>
      <c r="P72" s="15">
        <f t="shared" si="36"/>
        <v>240.5</v>
      </c>
      <c r="R72" s="8"/>
      <c r="T72"/>
    </row>
    <row r="73" spans="2:20" ht="23.1" customHeight="1" x14ac:dyDescent="0.25">
      <c r="B73" s="23" t="s">
        <v>113</v>
      </c>
      <c r="C73" s="49">
        <f>'Avg Week Ntinda-Naalya'!C73+'Avg Week Naalya-Ntinda'!C73</f>
        <v>121.5</v>
      </c>
      <c r="D73" s="49">
        <f>'Avg Week Ntinda-Naalya'!D73+'Avg Week Naalya-Ntinda'!D73</f>
        <v>57</v>
      </c>
      <c r="E73" s="49">
        <f>'Avg Week Ntinda-Naalya'!E73+'Avg Week Naalya-Ntinda'!E73</f>
        <v>9.5</v>
      </c>
      <c r="F73" s="49">
        <f>'Avg Week Ntinda-Naalya'!F73+'Avg Week Naalya-Ntinda'!F73</f>
        <v>8</v>
      </c>
      <c r="G73" s="49">
        <f>'Avg Week Ntinda-Naalya'!G73+'Avg Week Naalya-Ntinda'!G73</f>
        <v>0</v>
      </c>
      <c r="H73" s="49">
        <f>'Avg Week Ntinda-Naalya'!H73+'Avg Week Naalya-Ntinda'!H73</f>
        <v>0</v>
      </c>
      <c r="I73" s="49">
        <f>'Avg Week Ntinda-Naalya'!I73+'Avg Week Naalya-Ntinda'!I73</f>
        <v>0.5</v>
      </c>
      <c r="J73" s="49">
        <f>'Avg Week Ntinda-Naalya'!J73+'Avg Week Naalya-Ntinda'!J73</f>
        <v>0.5</v>
      </c>
      <c r="K73" s="49">
        <f>'Avg Week Ntinda-Naalya'!K73+'Avg Week Naalya-Ntinda'!K73</f>
        <v>1</v>
      </c>
      <c r="L73" s="49">
        <f>'Avg Week Ntinda-Naalya'!L73+'Avg Week Naalya-Ntinda'!L73</f>
        <v>0</v>
      </c>
      <c r="M73" s="49">
        <f>'Avg Week Ntinda-Naalya'!M73+'Avg Week Naalya-Ntinda'!M73</f>
        <v>77.5</v>
      </c>
      <c r="N73" s="49">
        <f>'Avg Week Ntinda-Naalya'!N73+'Avg Week Naalya-Ntinda'!N73</f>
        <v>0</v>
      </c>
      <c r="O73" s="15">
        <f t="shared" si="35"/>
        <v>198</v>
      </c>
      <c r="P73" s="15">
        <f t="shared" si="36"/>
        <v>275.5</v>
      </c>
      <c r="R73" s="8"/>
      <c r="T73"/>
    </row>
    <row r="74" spans="2:20" ht="23.1" customHeight="1" x14ac:dyDescent="0.25">
      <c r="B74" s="23" t="s">
        <v>114</v>
      </c>
      <c r="C74" s="49">
        <f>'Avg Week Ntinda-Naalya'!C74+'Avg Week Naalya-Ntinda'!C74</f>
        <v>103.5</v>
      </c>
      <c r="D74" s="49">
        <f>'Avg Week Ntinda-Naalya'!D74+'Avg Week Naalya-Ntinda'!D74</f>
        <v>29.5</v>
      </c>
      <c r="E74" s="49">
        <f>'Avg Week Ntinda-Naalya'!E74+'Avg Week Naalya-Ntinda'!E74</f>
        <v>8.5</v>
      </c>
      <c r="F74" s="49">
        <f>'Avg Week Ntinda-Naalya'!F74+'Avg Week Naalya-Ntinda'!F74</f>
        <v>5</v>
      </c>
      <c r="G74" s="49">
        <f>'Avg Week Ntinda-Naalya'!G74+'Avg Week Naalya-Ntinda'!G74</f>
        <v>0</v>
      </c>
      <c r="H74" s="49">
        <f>'Avg Week Ntinda-Naalya'!H74+'Avg Week Naalya-Ntinda'!H74</f>
        <v>0</v>
      </c>
      <c r="I74" s="49">
        <f>'Avg Week Ntinda-Naalya'!I74+'Avg Week Naalya-Ntinda'!I74</f>
        <v>1</v>
      </c>
      <c r="J74" s="49">
        <f>'Avg Week Ntinda-Naalya'!J74+'Avg Week Naalya-Ntinda'!J74</f>
        <v>1</v>
      </c>
      <c r="K74" s="49">
        <f>'Avg Week Ntinda-Naalya'!K74+'Avg Week Naalya-Ntinda'!K74</f>
        <v>0</v>
      </c>
      <c r="L74" s="49">
        <f>'Avg Week Ntinda-Naalya'!L74+'Avg Week Naalya-Ntinda'!L74</f>
        <v>0</v>
      </c>
      <c r="M74" s="49">
        <f>'Avg Week Ntinda-Naalya'!M74+'Avg Week Naalya-Ntinda'!M74</f>
        <v>45.5</v>
      </c>
      <c r="N74" s="49">
        <f>'Avg Week Ntinda-Naalya'!N74+'Avg Week Naalya-Ntinda'!N74</f>
        <v>0</v>
      </c>
      <c r="O74" s="15">
        <f t="shared" si="35"/>
        <v>148.5</v>
      </c>
      <c r="P74" s="15">
        <f t="shared" si="36"/>
        <v>194</v>
      </c>
      <c r="R74" s="8"/>
      <c r="T74"/>
    </row>
    <row r="75" spans="2:20" ht="23.1" customHeight="1" x14ac:dyDescent="0.25">
      <c r="B75" s="23" t="s">
        <v>115</v>
      </c>
      <c r="C75" s="49">
        <f>'Avg Week Ntinda-Naalya'!C75+'Avg Week Naalya-Ntinda'!C75</f>
        <v>118.5</v>
      </c>
      <c r="D75" s="49">
        <f>'Avg Week Ntinda-Naalya'!D75+'Avg Week Naalya-Ntinda'!D75</f>
        <v>34.5</v>
      </c>
      <c r="E75" s="49">
        <f>'Avg Week Ntinda-Naalya'!E75+'Avg Week Naalya-Ntinda'!E75</f>
        <v>8.5</v>
      </c>
      <c r="F75" s="49">
        <f>'Avg Week Ntinda-Naalya'!F75+'Avg Week Naalya-Ntinda'!F75</f>
        <v>5.5</v>
      </c>
      <c r="G75" s="49">
        <f>'Avg Week Ntinda-Naalya'!G75+'Avg Week Naalya-Ntinda'!G75</f>
        <v>0.5</v>
      </c>
      <c r="H75" s="49">
        <f>'Avg Week Ntinda-Naalya'!H75+'Avg Week Naalya-Ntinda'!H75</f>
        <v>0</v>
      </c>
      <c r="I75" s="49">
        <f>'Avg Week Ntinda-Naalya'!I75+'Avg Week Naalya-Ntinda'!I75</f>
        <v>1</v>
      </c>
      <c r="J75" s="49">
        <f>'Avg Week Ntinda-Naalya'!J75+'Avg Week Naalya-Ntinda'!J75</f>
        <v>0</v>
      </c>
      <c r="K75" s="49">
        <f>'Avg Week Ntinda-Naalya'!K75+'Avg Week Naalya-Ntinda'!K75</f>
        <v>0</v>
      </c>
      <c r="L75" s="49">
        <f>'Avg Week Ntinda-Naalya'!L75+'Avg Week Naalya-Ntinda'!L75</f>
        <v>0</v>
      </c>
      <c r="M75" s="49">
        <f>'Avg Week Ntinda-Naalya'!M75+'Avg Week Naalya-Ntinda'!M75</f>
        <v>71</v>
      </c>
      <c r="N75" s="49">
        <f>'Avg Week Ntinda-Naalya'!N75+'Avg Week Naalya-Ntinda'!N75</f>
        <v>0</v>
      </c>
      <c r="O75" s="15">
        <f t="shared" si="35"/>
        <v>168.5</v>
      </c>
      <c r="P75" s="15">
        <f t="shared" si="36"/>
        <v>239.5</v>
      </c>
      <c r="R75" s="8"/>
      <c r="T75"/>
    </row>
    <row r="76" spans="2:20" ht="23.1" customHeight="1" x14ac:dyDescent="0.25">
      <c r="B76" s="23" t="s">
        <v>116</v>
      </c>
      <c r="C76" s="49">
        <f>'Avg Week Ntinda-Naalya'!C76+'Avg Week Naalya-Ntinda'!C76</f>
        <v>97</v>
      </c>
      <c r="D76" s="49">
        <f>'Avg Week Ntinda-Naalya'!D76+'Avg Week Naalya-Ntinda'!D76</f>
        <v>32.5</v>
      </c>
      <c r="E76" s="49">
        <f>'Avg Week Ntinda-Naalya'!E76+'Avg Week Naalya-Ntinda'!E76</f>
        <v>6</v>
      </c>
      <c r="F76" s="49">
        <f>'Avg Week Ntinda-Naalya'!F76+'Avg Week Naalya-Ntinda'!F76</f>
        <v>5.5</v>
      </c>
      <c r="G76" s="49">
        <f>'Avg Week Ntinda-Naalya'!G76+'Avg Week Naalya-Ntinda'!G76</f>
        <v>0.5</v>
      </c>
      <c r="H76" s="49">
        <f>'Avg Week Ntinda-Naalya'!H76+'Avg Week Naalya-Ntinda'!H76</f>
        <v>0</v>
      </c>
      <c r="I76" s="49">
        <f>'Avg Week Ntinda-Naalya'!I76+'Avg Week Naalya-Ntinda'!I76</f>
        <v>0</v>
      </c>
      <c r="J76" s="49">
        <f>'Avg Week Ntinda-Naalya'!J76+'Avg Week Naalya-Ntinda'!J76</f>
        <v>0.5</v>
      </c>
      <c r="K76" s="49">
        <f>'Avg Week Ntinda-Naalya'!K76+'Avg Week Naalya-Ntinda'!K76</f>
        <v>0</v>
      </c>
      <c r="L76" s="49">
        <f>'Avg Week Ntinda-Naalya'!L76+'Avg Week Naalya-Ntinda'!L76</f>
        <v>0</v>
      </c>
      <c r="M76" s="49">
        <f>'Avg Week Ntinda-Naalya'!M76+'Avg Week Naalya-Ntinda'!M76</f>
        <v>57.5</v>
      </c>
      <c r="N76" s="49">
        <f>'Avg Week Ntinda-Naalya'!N76+'Avg Week Naalya-Ntinda'!N76</f>
        <v>0</v>
      </c>
      <c r="O76" s="15">
        <f t="shared" si="35"/>
        <v>142</v>
      </c>
      <c r="P76" s="15">
        <f t="shared" si="36"/>
        <v>199.5</v>
      </c>
      <c r="R76" s="8"/>
      <c r="T76"/>
    </row>
    <row r="77" spans="2:20" ht="23.1" customHeight="1" x14ac:dyDescent="0.25">
      <c r="B77" s="23" t="s">
        <v>117</v>
      </c>
      <c r="C77" s="49">
        <f>'Avg Week Ntinda-Naalya'!C77+'Avg Week Naalya-Ntinda'!C77</f>
        <v>77</v>
      </c>
      <c r="D77" s="49">
        <f>'Avg Week Ntinda-Naalya'!D77+'Avg Week Naalya-Ntinda'!D77</f>
        <v>27.5</v>
      </c>
      <c r="E77" s="49">
        <f>'Avg Week Ntinda-Naalya'!E77+'Avg Week Naalya-Ntinda'!E77</f>
        <v>3.5</v>
      </c>
      <c r="F77" s="49">
        <f>'Avg Week Ntinda-Naalya'!F77+'Avg Week Naalya-Ntinda'!F77</f>
        <v>4.5</v>
      </c>
      <c r="G77" s="49">
        <f>'Avg Week Ntinda-Naalya'!G77+'Avg Week Naalya-Ntinda'!G77</f>
        <v>0</v>
      </c>
      <c r="H77" s="49">
        <f>'Avg Week Ntinda-Naalya'!H77+'Avg Week Naalya-Ntinda'!H77</f>
        <v>0</v>
      </c>
      <c r="I77" s="49">
        <f>'Avg Week Ntinda-Naalya'!I77+'Avg Week Naalya-Ntinda'!I77</f>
        <v>0</v>
      </c>
      <c r="J77" s="49">
        <f>'Avg Week Ntinda-Naalya'!J77+'Avg Week Naalya-Ntinda'!J77</f>
        <v>1</v>
      </c>
      <c r="K77" s="49">
        <f>'Avg Week Ntinda-Naalya'!K77+'Avg Week Naalya-Ntinda'!K77</f>
        <v>0</v>
      </c>
      <c r="L77" s="49">
        <f>'Avg Week Ntinda-Naalya'!L77+'Avg Week Naalya-Ntinda'!L77</f>
        <v>0.5</v>
      </c>
      <c r="M77" s="49">
        <f>'Avg Week Ntinda-Naalya'!M77+'Avg Week Naalya-Ntinda'!M77</f>
        <v>41</v>
      </c>
      <c r="N77" s="49">
        <f>'Avg Week Ntinda-Naalya'!N77+'Avg Week Naalya-Ntinda'!N77</f>
        <v>0</v>
      </c>
      <c r="O77" s="15">
        <f t="shared" si="35"/>
        <v>114</v>
      </c>
      <c r="P77" s="15">
        <f t="shared" si="36"/>
        <v>155</v>
      </c>
      <c r="R77" s="8"/>
      <c r="T77"/>
    </row>
    <row r="78" spans="2:20" ht="23.1" customHeight="1" x14ac:dyDescent="0.25">
      <c r="B78" s="24" t="s">
        <v>118</v>
      </c>
      <c r="C78" s="49">
        <f>'Avg Week Ntinda-Naalya'!C78+'Avg Week Naalya-Ntinda'!C78</f>
        <v>67</v>
      </c>
      <c r="D78" s="49">
        <f>'Avg Week Ntinda-Naalya'!D78+'Avg Week Naalya-Ntinda'!D78</f>
        <v>24</v>
      </c>
      <c r="E78" s="49">
        <f>'Avg Week Ntinda-Naalya'!E78+'Avg Week Naalya-Ntinda'!E78</f>
        <v>2.5</v>
      </c>
      <c r="F78" s="49">
        <f>'Avg Week Ntinda-Naalya'!F78+'Avg Week Naalya-Ntinda'!F78</f>
        <v>4</v>
      </c>
      <c r="G78" s="49">
        <f>'Avg Week Ntinda-Naalya'!G78+'Avg Week Naalya-Ntinda'!G78</f>
        <v>0</v>
      </c>
      <c r="H78" s="49">
        <f>'Avg Week Ntinda-Naalya'!H78+'Avg Week Naalya-Ntinda'!H78</f>
        <v>0</v>
      </c>
      <c r="I78" s="49">
        <f>'Avg Week Ntinda-Naalya'!I78+'Avg Week Naalya-Ntinda'!I78</f>
        <v>1</v>
      </c>
      <c r="J78" s="49">
        <f>'Avg Week Ntinda-Naalya'!J78+'Avg Week Naalya-Ntinda'!J78</f>
        <v>1</v>
      </c>
      <c r="K78" s="49">
        <f>'Avg Week Ntinda-Naalya'!K78+'Avg Week Naalya-Ntinda'!K78</f>
        <v>0</v>
      </c>
      <c r="L78" s="49">
        <f>'Avg Week Ntinda-Naalya'!L78+'Avg Week Naalya-Ntinda'!L78</f>
        <v>0</v>
      </c>
      <c r="M78" s="49">
        <f>'Avg Week Ntinda-Naalya'!M78+'Avg Week Naalya-Ntinda'!M78</f>
        <v>33</v>
      </c>
      <c r="N78" s="49">
        <f>'Avg Week Ntinda-Naalya'!N78+'Avg Week Naalya-Ntinda'!N78</f>
        <v>0</v>
      </c>
      <c r="O78" s="15">
        <f t="shared" si="35"/>
        <v>99.5</v>
      </c>
      <c r="P78" s="15">
        <f t="shared" si="36"/>
        <v>132.5</v>
      </c>
      <c r="R78" s="8"/>
      <c r="T78"/>
    </row>
    <row r="79" spans="2:20" ht="23.1" customHeight="1" x14ac:dyDescent="0.25">
      <c r="B79" s="23" t="s">
        <v>119</v>
      </c>
      <c r="C79" s="49">
        <f>'Avg Week Ntinda-Naalya'!C79+'Avg Week Naalya-Ntinda'!C79</f>
        <v>54</v>
      </c>
      <c r="D79" s="49">
        <f>'Avg Week Ntinda-Naalya'!D79+'Avg Week Naalya-Ntinda'!D79</f>
        <v>19</v>
      </c>
      <c r="E79" s="49">
        <f>'Avg Week Ntinda-Naalya'!E79+'Avg Week Naalya-Ntinda'!E79</f>
        <v>5.5</v>
      </c>
      <c r="F79" s="49">
        <f>'Avg Week Ntinda-Naalya'!F79+'Avg Week Naalya-Ntinda'!F79</f>
        <v>2</v>
      </c>
      <c r="G79" s="49">
        <f>'Avg Week Ntinda-Naalya'!G79+'Avg Week Naalya-Ntinda'!G79</f>
        <v>0</v>
      </c>
      <c r="H79" s="49">
        <f>'Avg Week Ntinda-Naalya'!H79+'Avg Week Naalya-Ntinda'!H79</f>
        <v>0</v>
      </c>
      <c r="I79" s="49">
        <f>'Avg Week Ntinda-Naalya'!I79+'Avg Week Naalya-Ntinda'!I79</f>
        <v>0.5</v>
      </c>
      <c r="J79" s="49">
        <f>'Avg Week Ntinda-Naalya'!J79+'Avg Week Naalya-Ntinda'!J79</f>
        <v>1.5</v>
      </c>
      <c r="K79" s="49">
        <f>'Avg Week Ntinda-Naalya'!K79+'Avg Week Naalya-Ntinda'!K79</f>
        <v>0</v>
      </c>
      <c r="L79" s="49">
        <f>'Avg Week Ntinda-Naalya'!L79+'Avg Week Naalya-Ntinda'!L79</f>
        <v>0</v>
      </c>
      <c r="M79" s="49">
        <f>'Avg Week Ntinda-Naalya'!M79+'Avg Week Naalya-Ntinda'!M79</f>
        <v>26</v>
      </c>
      <c r="N79" s="49">
        <f>'Avg Week Ntinda-Naalya'!N79+'Avg Week Naalya-Ntinda'!N79</f>
        <v>0</v>
      </c>
      <c r="O79" s="15">
        <f t="shared" si="35"/>
        <v>82.5</v>
      </c>
      <c r="P79" s="15">
        <f t="shared" si="36"/>
        <v>108.5</v>
      </c>
      <c r="R79" s="8"/>
      <c r="T79"/>
    </row>
    <row r="80" spans="2:20" ht="23.1" customHeight="1" x14ac:dyDescent="0.25">
      <c r="B80" s="25" t="s">
        <v>120</v>
      </c>
      <c r="C80" s="49">
        <f>'Avg Week Ntinda-Naalya'!C80+'Avg Week Naalya-Ntinda'!C80</f>
        <v>40.5</v>
      </c>
      <c r="D80" s="49">
        <f>'Avg Week Ntinda-Naalya'!D80+'Avg Week Naalya-Ntinda'!D80</f>
        <v>9.5</v>
      </c>
      <c r="E80" s="49">
        <f>'Avg Week Ntinda-Naalya'!E80+'Avg Week Naalya-Ntinda'!E80</f>
        <v>1.5</v>
      </c>
      <c r="F80" s="49">
        <f>'Avg Week Ntinda-Naalya'!F80+'Avg Week Naalya-Ntinda'!F80</f>
        <v>1.5</v>
      </c>
      <c r="G80" s="49">
        <f>'Avg Week Ntinda-Naalya'!G80+'Avg Week Naalya-Ntinda'!G80</f>
        <v>0</v>
      </c>
      <c r="H80" s="49">
        <f>'Avg Week Ntinda-Naalya'!H80+'Avg Week Naalya-Ntinda'!H80</f>
        <v>0</v>
      </c>
      <c r="I80" s="49">
        <f>'Avg Week Ntinda-Naalya'!I80+'Avg Week Naalya-Ntinda'!I80</f>
        <v>1</v>
      </c>
      <c r="J80" s="49">
        <f>'Avg Week Ntinda-Naalya'!J80+'Avg Week Naalya-Ntinda'!J80</f>
        <v>0</v>
      </c>
      <c r="K80" s="49">
        <f>'Avg Week Ntinda-Naalya'!K80+'Avg Week Naalya-Ntinda'!K80</f>
        <v>0.5</v>
      </c>
      <c r="L80" s="49">
        <f>'Avg Week Ntinda-Naalya'!L80+'Avg Week Naalya-Ntinda'!L80</f>
        <v>0</v>
      </c>
      <c r="M80" s="49">
        <f>'Avg Week Ntinda-Naalya'!M80+'Avg Week Naalya-Ntinda'!M80</f>
        <v>18.5</v>
      </c>
      <c r="N80" s="49">
        <f>'Avg Week Ntinda-Naalya'!N80+'Avg Week Naalya-Ntinda'!N80</f>
        <v>0</v>
      </c>
      <c r="O80" s="15">
        <f t="shared" si="35"/>
        <v>54.5</v>
      </c>
      <c r="P80" s="15">
        <f t="shared" si="36"/>
        <v>73</v>
      </c>
      <c r="R80" s="8"/>
      <c r="T80"/>
    </row>
    <row r="81" spans="2:20" ht="23.1" customHeight="1" x14ac:dyDescent="0.25">
      <c r="B81" s="23" t="s">
        <v>121</v>
      </c>
      <c r="C81" s="49">
        <f>'Avg Week Ntinda-Naalya'!C81+'Avg Week Naalya-Ntinda'!C81</f>
        <v>42</v>
      </c>
      <c r="D81" s="49">
        <f>'Avg Week Ntinda-Naalya'!D81+'Avg Week Naalya-Ntinda'!D81</f>
        <v>13</v>
      </c>
      <c r="E81" s="49">
        <f>'Avg Week Ntinda-Naalya'!E81+'Avg Week Naalya-Ntinda'!E81</f>
        <v>2.5</v>
      </c>
      <c r="F81" s="49">
        <f>'Avg Week Ntinda-Naalya'!F81+'Avg Week Naalya-Ntinda'!F81</f>
        <v>2.5</v>
      </c>
      <c r="G81" s="49">
        <f>'Avg Week Ntinda-Naalya'!G81+'Avg Week Naalya-Ntinda'!G81</f>
        <v>0</v>
      </c>
      <c r="H81" s="49">
        <f>'Avg Week Ntinda-Naalya'!H81+'Avg Week Naalya-Ntinda'!H81</f>
        <v>0</v>
      </c>
      <c r="I81" s="49">
        <f>'Avg Week Ntinda-Naalya'!I81+'Avg Week Naalya-Ntinda'!I81</f>
        <v>0</v>
      </c>
      <c r="J81" s="49">
        <f>'Avg Week Ntinda-Naalya'!J81+'Avg Week Naalya-Ntinda'!J81</f>
        <v>0.5</v>
      </c>
      <c r="K81" s="49">
        <f>'Avg Week Ntinda-Naalya'!K81+'Avg Week Naalya-Ntinda'!K81</f>
        <v>4.5</v>
      </c>
      <c r="L81" s="49">
        <f>'Avg Week Ntinda-Naalya'!L81+'Avg Week Naalya-Ntinda'!L81</f>
        <v>0</v>
      </c>
      <c r="M81" s="49">
        <f>'Avg Week Ntinda-Naalya'!M81+'Avg Week Naalya-Ntinda'!M81</f>
        <v>17.5</v>
      </c>
      <c r="N81" s="49">
        <f>'Avg Week Ntinda-Naalya'!N81+'Avg Week Naalya-Ntinda'!N81</f>
        <v>0</v>
      </c>
      <c r="O81" s="15">
        <f t="shared" si="35"/>
        <v>65</v>
      </c>
      <c r="P81" s="15">
        <f t="shared" si="36"/>
        <v>82.5</v>
      </c>
      <c r="R81" s="8"/>
      <c r="T81"/>
    </row>
    <row r="82" spans="2:20" ht="23.1" customHeight="1" x14ac:dyDescent="0.25">
      <c r="B82" s="24" t="s">
        <v>122</v>
      </c>
      <c r="C82" s="49">
        <f>'Avg Week Ntinda-Naalya'!C82+'Avg Week Naalya-Ntinda'!C82</f>
        <v>31</v>
      </c>
      <c r="D82" s="49">
        <f>'Avg Week Ntinda-Naalya'!D82+'Avg Week Naalya-Ntinda'!D82</f>
        <v>8.5</v>
      </c>
      <c r="E82" s="49">
        <f>'Avg Week Ntinda-Naalya'!E82+'Avg Week Naalya-Ntinda'!E82</f>
        <v>4</v>
      </c>
      <c r="F82" s="49">
        <f>'Avg Week Ntinda-Naalya'!F82+'Avg Week Naalya-Ntinda'!F82</f>
        <v>0.5</v>
      </c>
      <c r="G82" s="49">
        <f>'Avg Week Ntinda-Naalya'!G82+'Avg Week Naalya-Ntinda'!G82</f>
        <v>0</v>
      </c>
      <c r="H82" s="49">
        <f>'Avg Week Ntinda-Naalya'!H82+'Avg Week Naalya-Ntinda'!H82</f>
        <v>0</v>
      </c>
      <c r="I82" s="49">
        <f>'Avg Week Ntinda-Naalya'!I82+'Avg Week Naalya-Ntinda'!I82</f>
        <v>1</v>
      </c>
      <c r="J82" s="49">
        <f>'Avg Week Ntinda-Naalya'!J82+'Avg Week Naalya-Ntinda'!J82</f>
        <v>1.5</v>
      </c>
      <c r="K82" s="49">
        <f>'Avg Week Ntinda-Naalya'!K82+'Avg Week Naalya-Ntinda'!K82</f>
        <v>1</v>
      </c>
      <c r="L82" s="49">
        <f>'Avg Week Ntinda-Naalya'!L82+'Avg Week Naalya-Ntinda'!L82</f>
        <v>0</v>
      </c>
      <c r="M82" s="49">
        <f>'Avg Week Ntinda-Naalya'!M82+'Avg Week Naalya-Ntinda'!M82</f>
        <v>18</v>
      </c>
      <c r="N82" s="49">
        <f>'Avg Week Ntinda-Naalya'!N82+'Avg Week Naalya-Ntinda'!N82</f>
        <v>0</v>
      </c>
      <c r="O82" s="15">
        <f t="shared" si="35"/>
        <v>47.5</v>
      </c>
      <c r="P82" s="15">
        <f t="shared" si="36"/>
        <v>65.5</v>
      </c>
      <c r="R82" s="8"/>
      <c r="T82"/>
    </row>
    <row r="83" spans="2:20" ht="23.1" customHeight="1" x14ac:dyDescent="0.25">
      <c r="B83" s="23" t="s">
        <v>123</v>
      </c>
      <c r="C83" s="49">
        <f>'Avg Week Ntinda-Naalya'!C83+'Avg Week Naalya-Ntinda'!C83</f>
        <v>23</v>
      </c>
      <c r="D83" s="49">
        <f>'Avg Week Ntinda-Naalya'!D83+'Avg Week Naalya-Ntinda'!D83</f>
        <v>11.5</v>
      </c>
      <c r="E83" s="49">
        <f>'Avg Week Ntinda-Naalya'!E83+'Avg Week Naalya-Ntinda'!E83</f>
        <v>2</v>
      </c>
      <c r="F83" s="49">
        <f>'Avg Week Ntinda-Naalya'!F83+'Avg Week Naalya-Ntinda'!F83</f>
        <v>0</v>
      </c>
      <c r="G83" s="49">
        <f>'Avg Week Ntinda-Naalya'!G83+'Avg Week Naalya-Ntinda'!G83</f>
        <v>0</v>
      </c>
      <c r="H83" s="49">
        <f>'Avg Week Ntinda-Naalya'!H83+'Avg Week Naalya-Ntinda'!H83</f>
        <v>0</v>
      </c>
      <c r="I83" s="49">
        <f>'Avg Week Ntinda-Naalya'!I83+'Avg Week Naalya-Ntinda'!I83</f>
        <v>0</v>
      </c>
      <c r="J83" s="49">
        <f>'Avg Week Ntinda-Naalya'!J83+'Avg Week Naalya-Ntinda'!J83</f>
        <v>0.5</v>
      </c>
      <c r="K83" s="49">
        <f>'Avg Week Ntinda-Naalya'!K83+'Avg Week Naalya-Ntinda'!K83</f>
        <v>0</v>
      </c>
      <c r="L83" s="49">
        <f>'Avg Week Ntinda-Naalya'!L83+'Avg Week Naalya-Ntinda'!L83</f>
        <v>0</v>
      </c>
      <c r="M83" s="49">
        <f>'Avg Week Ntinda-Naalya'!M83+'Avg Week Naalya-Ntinda'!M83</f>
        <v>11.5</v>
      </c>
      <c r="N83" s="49">
        <f>'Avg Week Ntinda-Naalya'!N83+'Avg Week Naalya-Ntinda'!N83</f>
        <v>0</v>
      </c>
      <c r="O83" s="15">
        <f t="shared" si="35"/>
        <v>37</v>
      </c>
      <c r="P83" s="15">
        <f t="shared" si="36"/>
        <v>48.5</v>
      </c>
      <c r="R83" s="8"/>
      <c r="T83"/>
    </row>
    <row r="84" spans="2:20" ht="23.1" customHeight="1" x14ac:dyDescent="0.25">
      <c r="B84" s="25" t="s">
        <v>124</v>
      </c>
      <c r="C84" s="49">
        <f>'Avg Week Ntinda-Naalya'!C84+'Avg Week Naalya-Ntinda'!C84</f>
        <v>22.5</v>
      </c>
      <c r="D84" s="49">
        <f>'Avg Week Ntinda-Naalya'!D84+'Avg Week Naalya-Ntinda'!D84</f>
        <v>6</v>
      </c>
      <c r="E84" s="49">
        <f>'Avg Week Ntinda-Naalya'!E84+'Avg Week Naalya-Ntinda'!E84</f>
        <v>0.5</v>
      </c>
      <c r="F84" s="49">
        <f>'Avg Week Ntinda-Naalya'!F84+'Avg Week Naalya-Ntinda'!F84</f>
        <v>0</v>
      </c>
      <c r="G84" s="49">
        <f>'Avg Week Ntinda-Naalya'!G84+'Avg Week Naalya-Ntinda'!G84</f>
        <v>0</v>
      </c>
      <c r="H84" s="49">
        <f>'Avg Week Ntinda-Naalya'!H84+'Avg Week Naalya-Ntinda'!H84</f>
        <v>0</v>
      </c>
      <c r="I84" s="49">
        <f>'Avg Week Ntinda-Naalya'!I84+'Avg Week Naalya-Ntinda'!I84</f>
        <v>0</v>
      </c>
      <c r="J84" s="49">
        <f>'Avg Week Ntinda-Naalya'!J84+'Avg Week Naalya-Ntinda'!J84</f>
        <v>0</v>
      </c>
      <c r="K84" s="49">
        <f>'Avg Week Ntinda-Naalya'!K84+'Avg Week Naalya-Ntinda'!K84</f>
        <v>0</v>
      </c>
      <c r="L84" s="49">
        <f>'Avg Week Ntinda-Naalya'!L84+'Avg Week Naalya-Ntinda'!L84</f>
        <v>0</v>
      </c>
      <c r="M84" s="49">
        <f>'Avg Week Ntinda-Naalya'!M84+'Avg Week Naalya-Ntinda'!M84</f>
        <v>12.5</v>
      </c>
      <c r="N84" s="49">
        <f>'Avg Week Ntinda-Naalya'!N84+'Avg Week Naalya-Ntinda'!N84</f>
        <v>0</v>
      </c>
      <c r="O84" s="15">
        <f t="shared" si="35"/>
        <v>29</v>
      </c>
      <c r="P84" s="15">
        <f t="shared" si="36"/>
        <v>41.5</v>
      </c>
      <c r="R84" s="8"/>
      <c r="T84"/>
    </row>
    <row r="85" spans="2:20" ht="23.1" customHeight="1" x14ac:dyDescent="0.25">
      <c r="B85" s="23" t="s">
        <v>125</v>
      </c>
      <c r="C85" s="49">
        <f>'Avg Week Ntinda-Naalya'!C85+'Avg Week Naalya-Ntinda'!C85</f>
        <v>23</v>
      </c>
      <c r="D85" s="49">
        <f>'Avg Week Ntinda-Naalya'!D85+'Avg Week Naalya-Ntinda'!D85</f>
        <v>5.5</v>
      </c>
      <c r="E85" s="49">
        <f>'Avg Week Ntinda-Naalya'!E85+'Avg Week Naalya-Ntinda'!E85</f>
        <v>1</v>
      </c>
      <c r="F85" s="49">
        <f>'Avg Week Ntinda-Naalya'!F85+'Avg Week Naalya-Ntinda'!F85</f>
        <v>2</v>
      </c>
      <c r="G85" s="49">
        <f>'Avg Week Ntinda-Naalya'!G85+'Avg Week Naalya-Ntinda'!G85</f>
        <v>0</v>
      </c>
      <c r="H85" s="49">
        <f>'Avg Week Ntinda-Naalya'!H85+'Avg Week Naalya-Ntinda'!H85</f>
        <v>0</v>
      </c>
      <c r="I85" s="49">
        <f>'Avg Week Ntinda-Naalya'!I85+'Avg Week Naalya-Ntinda'!I85</f>
        <v>0</v>
      </c>
      <c r="J85" s="49">
        <f>'Avg Week Ntinda-Naalya'!J85+'Avg Week Naalya-Ntinda'!J85</f>
        <v>0.5</v>
      </c>
      <c r="K85" s="49">
        <f>'Avg Week Ntinda-Naalya'!K85+'Avg Week Naalya-Ntinda'!K85</f>
        <v>0</v>
      </c>
      <c r="L85" s="49">
        <f>'Avg Week Ntinda-Naalya'!L85+'Avg Week Naalya-Ntinda'!L85</f>
        <v>0</v>
      </c>
      <c r="M85" s="49">
        <f>'Avg Week Ntinda-Naalya'!M85+'Avg Week Naalya-Ntinda'!M85</f>
        <v>8.5</v>
      </c>
      <c r="N85" s="49">
        <f>'Avg Week Ntinda-Naalya'!N85+'Avg Week Naalya-Ntinda'!N85</f>
        <v>0</v>
      </c>
      <c r="O85" s="15">
        <f t="shared" si="35"/>
        <v>32</v>
      </c>
      <c r="P85" s="15">
        <f t="shared" si="36"/>
        <v>40.5</v>
      </c>
      <c r="R85" s="8"/>
      <c r="T85"/>
    </row>
    <row r="86" spans="2:20" ht="23.1" customHeight="1" x14ac:dyDescent="0.25">
      <c r="B86" s="24" t="s">
        <v>126</v>
      </c>
      <c r="C86" s="49">
        <f>'Avg Week Ntinda-Naalya'!C86+'Avg Week Naalya-Ntinda'!C86</f>
        <v>23.5</v>
      </c>
      <c r="D86" s="49">
        <f>'Avg Week Ntinda-Naalya'!D86+'Avg Week Naalya-Ntinda'!D86</f>
        <v>9.5</v>
      </c>
      <c r="E86" s="49">
        <f>'Avg Week Ntinda-Naalya'!E86+'Avg Week Naalya-Ntinda'!E86</f>
        <v>3</v>
      </c>
      <c r="F86" s="49">
        <f>'Avg Week Ntinda-Naalya'!F86+'Avg Week Naalya-Ntinda'!F86</f>
        <v>0</v>
      </c>
      <c r="G86" s="49">
        <f>'Avg Week Ntinda-Naalya'!G86+'Avg Week Naalya-Ntinda'!G86</f>
        <v>0</v>
      </c>
      <c r="H86" s="49">
        <f>'Avg Week Ntinda-Naalya'!H86+'Avg Week Naalya-Ntinda'!H86</f>
        <v>0</v>
      </c>
      <c r="I86" s="49">
        <f>'Avg Week Ntinda-Naalya'!I86+'Avg Week Naalya-Ntinda'!I86</f>
        <v>0</v>
      </c>
      <c r="J86" s="49">
        <f>'Avg Week Ntinda-Naalya'!J86+'Avg Week Naalya-Ntinda'!J86</f>
        <v>0</v>
      </c>
      <c r="K86" s="49">
        <f>'Avg Week Ntinda-Naalya'!K86+'Avg Week Naalya-Ntinda'!K86</f>
        <v>0</v>
      </c>
      <c r="L86" s="49">
        <f>'Avg Week Ntinda-Naalya'!L86+'Avg Week Naalya-Ntinda'!L86</f>
        <v>0</v>
      </c>
      <c r="M86" s="49">
        <f>'Avg Week Ntinda-Naalya'!M86+'Avg Week Naalya-Ntinda'!M86</f>
        <v>15</v>
      </c>
      <c r="N86" s="49">
        <f>'Avg Week Ntinda-Naalya'!N86+'Avg Week Naalya-Ntinda'!N86</f>
        <v>0</v>
      </c>
      <c r="O86" s="15">
        <f t="shared" si="35"/>
        <v>36</v>
      </c>
      <c r="P86" s="15">
        <f t="shared" si="36"/>
        <v>51</v>
      </c>
      <c r="R86" s="8"/>
      <c r="T86"/>
    </row>
    <row r="87" spans="2:20" ht="23.1" customHeight="1" x14ac:dyDescent="0.25">
      <c r="B87" s="23" t="s">
        <v>127</v>
      </c>
      <c r="C87" s="49">
        <f>'Avg Week Ntinda-Naalya'!C87+'Avg Week Naalya-Ntinda'!C87</f>
        <v>22.5</v>
      </c>
      <c r="D87" s="49">
        <f>'Avg Week Ntinda-Naalya'!D87+'Avg Week Naalya-Ntinda'!D87</f>
        <v>6.5</v>
      </c>
      <c r="E87" s="49">
        <f>'Avg Week Ntinda-Naalya'!E87+'Avg Week Naalya-Ntinda'!E87</f>
        <v>1.5</v>
      </c>
      <c r="F87" s="49">
        <f>'Avg Week Ntinda-Naalya'!F87+'Avg Week Naalya-Ntinda'!F87</f>
        <v>0</v>
      </c>
      <c r="G87" s="49">
        <f>'Avg Week Ntinda-Naalya'!G87+'Avg Week Naalya-Ntinda'!G87</f>
        <v>0</v>
      </c>
      <c r="H87" s="49">
        <f>'Avg Week Ntinda-Naalya'!H87+'Avg Week Naalya-Ntinda'!H87</f>
        <v>0</v>
      </c>
      <c r="I87" s="49">
        <f>'Avg Week Ntinda-Naalya'!I87+'Avg Week Naalya-Ntinda'!I87</f>
        <v>0</v>
      </c>
      <c r="J87" s="49">
        <f>'Avg Week Ntinda-Naalya'!J87+'Avg Week Naalya-Ntinda'!J87</f>
        <v>0</v>
      </c>
      <c r="K87" s="49">
        <f>'Avg Week Ntinda-Naalya'!K87+'Avg Week Naalya-Ntinda'!K87</f>
        <v>0</v>
      </c>
      <c r="L87" s="49">
        <f>'Avg Week Ntinda-Naalya'!L87+'Avg Week Naalya-Ntinda'!L87</f>
        <v>0</v>
      </c>
      <c r="M87" s="49">
        <f>'Avg Week Ntinda-Naalya'!M87+'Avg Week Naalya-Ntinda'!M87</f>
        <v>14.5</v>
      </c>
      <c r="N87" s="49">
        <f>'Avg Week Ntinda-Naalya'!N87+'Avg Week Naalya-Ntinda'!N87</f>
        <v>0</v>
      </c>
      <c r="O87" s="15">
        <f t="shared" si="35"/>
        <v>30.5</v>
      </c>
      <c r="P87" s="15">
        <f t="shared" si="36"/>
        <v>45</v>
      </c>
      <c r="R87" s="8"/>
      <c r="T87"/>
    </row>
    <row r="88" spans="2:20" ht="23.1" customHeight="1" x14ac:dyDescent="0.25">
      <c r="B88" s="25" t="s">
        <v>128</v>
      </c>
      <c r="C88" s="49">
        <f>'Avg Week Ntinda-Naalya'!C88+'Avg Week Naalya-Ntinda'!C88</f>
        <v>19</v>
      </c>
      <c r="D88" s="49">
        <f>'Avg Week Ntinda-Naalya'!D88+'Avg Week Naalya-Ntinda'!D88</f>
        <v>7.5</v>
      </c>
      <c r="E88" s="49">
        <f>'Avg Week Ntinda-Naalya'!E88+'Avg Week Naalya-Ntinda'!E88</f>
        <v>1.5</v>
      </c>
      <c r="F88" s="49">
        <f>'Avg Week Ntinda-Naalya'!F88+'Avg Week Naalya-Ntinda'!F88</f>
        <v>0.5</v>
      </c>
      <c r="G88" s="49">
        <f>'Avg Week Ntinda-Naalya'!G88+'Avg Week Naalya-Ntinda'!G88</f>
        <v>0</v>
      </c>
      <c r="H88" s="49">
        <f>'Avg Week Ntinda-Naalya'!H88+'Avg Week Naalya-Ntinda'!H88</f>
        <v>0</v>
      </c>
      <c r="I88" s="49">
        <f>'Avg Week Ntinda-Naalya'!I88+'Avg Week Naalya-Ntinda'!I88</f>
        <v>0</v>
      </c>
      <c r="J88" s="49">
        <f>'Avg Week Ntinda-Naalya'!J88+'Avg Week Naalya-Ntinda'!J88</f>
        <v>0.5</v>
      </c>
      <c r="K88" s="49">
        <f>'Avg Week Ntinda-Naalya'!K88+'Avg Week Naalya-Ntinda'!K88</f>
        <v>0</v>
      </c>
      <c r="L88" s="49">
        <f>'Avg Week Ntinda-Naalya'!L88+'Avg Week Naalya-Ntinda'!L88</f>
        <v>0.5</v>
      </c>
      <c r="M88" s="49">
        <f>'Avg Week Ntinda-Naalya'!M88+'Avg Week Naalya-Ntinda'!M88</f>
        <v>15.5</v>
      </c>
      <c r="N88" s="49">
        <f>'Avg Week Ntinda-Naalya'!N88+'Avg Week Naalya-Ntinda'!N88</f>
        <v>0</v>
      </c>
      <c r="O88" s="15">
        <f t="shared" si="35"/>
        <v>29.5</v>
      </c>
      <c r="P88" s="15">
        <f t="shared" si="36"/>
        <v>45</v>
      </c>
      <c r="R88" s="8"/>
      <c r="T88"/>
    </row>
    <row r="89" spans="2:20" ht="23.1" customHeight="1" x14ac:dyDescent="0.25">
      <c r="B89" s="23" t="s">
        <v>129</v>
      </c>
      <c r="C89" s="49">
        <f>'Avg Week Ntinda-Naalya'!C89+'Avg Week Naalya-Ntinda'!C89</f>
        <v>14.5</v>
      </c>
      <c r="D89" s="49">
        <f>'Avg Week Ntinda-Naalya'!D89+'Avg Week Naalya-Ntinda'!D89</f>
        <v>4</v>
      </c>
      <c r="E89" s="49">
        <f>'Avg Week Ntinda-Naalya'!E89+'Avg Week Naalya-Ntinda'!E89</f>
        <v>1</v>
      </c>
      <c r="F89" s="49">
        <f>'Avg Week Ntinda-Naalya'!F89+'Avg Week Naalya-Ntinda'!F89</f>
        <v>0</v>
      </c>
      <c r="G89" s="49">
        <f>'Avg Week Ntinda-Naalya'!G89+'Avg Week Naalya-Ntinda'!G89</f>
        <v>0</v>
      </c>
      <c r="H89" s="49">
        <f>'Avg Week Ntinda-Naalya'!H89+'Avg Week Naalya-Ntinda'!H89</f>
        <v>0</v>
      </c>
      <c r="I89" s="49">
        <f>'Avg Week Ntinda-Naalya'!I89+'Avg Week Naalya-Ntinda'!I89</f>
        <v>0</v>
      </c>
      <c r="J89" s="49">
        <f>'Avg Week Ntinda-Naalya'!J89+'Avg Week Naalya-Ntinda'!J89</f>
        <v>0.5</v>
      </c>
      <c r="K89" s="49">
        <f>'Avg Week Ntinda-Naalya'!K89+'Avg Week Naalya-Ntinda'!K89</f>
        <v>0.5</v>
      </c>
      <c r="L89" s="49">
        <f>'Avg Week Ntinda-Naalya'!L89+'Avg Week Naalya-Ntinda'!L89</f>
        <v>0</v>
      </c>
      <c r="M89" s="49">
        <f>'Avg Week Ntinda-Naalya'!M89+'Avg Week Naalya-Ntinda'!M89</f>
        <v>15</v>
      </c>
      <c r="N89" s="49">
        <f>'Avg Week Ntinda-Naalya'!N89+'Avg Week Naalya-Ntinda'!N89</f>
        <v>0</v>
      </c>
      <c r="O89" s="15">
        <f t="shared" si="35"/>
        <v>20.5</v>
      </c>
      <c r="P89" s="15">
        <f t="shared" si="36"/>
        <v>35.5</v>
      </c>
      <c r="R89" s="8"/>
      <c r="T89"/>
    </row>
    <row r="90" spans="2:20" ht="23.1" customHeight="1" x14ac:dyDescent="0.25">
      <c r="B90" s="24" t="s">
        <v>130</v>
      </c>
      <c r="C90" s="49">
        <f>'Avg Week Ntinda-Naalya'!C90+'Avg Week Naalya-Ntinda'!C90</f>
        <v>19.5</v>
      </c>
      <c r="D90" s="49">
        <f>'Avg Week Ntinda-Naalya'!D90+'Avg Week Naalya-Ntinda'!D90</f>
        <v>5.5</v>
      </c>
      <c r="E90" s="49">
        <f>'Avg Week Ntinda-Naalya'!E90+'Avg Week Naalya-Ntinda'!E90</f>
        <v>1</v>
      </c>
      <c r="F90" s="49">
        <f>'Avg Week Ntinda-Naalya'!F90+'Avg Week Naalya-Ntinda'!F90</f>
        <v>0.5</v>
      </c>
      <c r="G90" s="49">
        <f>'Avg Week Ntinda-Naalya'!G90+'Avg Week Naalya-Ntinda'!G90</f>
        <v>0</v>
      </c>
      <c r="H90" s="49">
        <f>'Avg Week Ntinda-Naalya'!H90+'Avg Week Naalya-Ntinda'!H90</f>
        <v>0</v>
      </c>
      <c r="I90" s="49">
        <f>'Avg Week Ntinda-Naalya'!I90+'Avg Week Naalya-Ntinda'!I90</f>
        <v>0</v>
      </c>
      <c r="J90" s="49">
        <f>'Avg Week Ntinda-Naalya'!J90+'Avg Week Naalya-Ntinda'!J90</f>
        <v>0</v>
      </c>
      <c r="K90" s="49">
        <f>'Avg Week Ntinda-Naalya'!K90+'Avg Week Naalya-Ntinda'!K90</f>
        <v>0</v>
      </c>
      <c r="L90" s="49">
        <f>'Avg Week Ntinda-Naalya'!L90+'Avg Week Naalya-Ntinda'!L90</f>
        <v>0</v>
      </c>
      <c r="M90" s="49">
        <f>'Avg Week Ntinda-Naalya'!M90+'Avg Week Naalya-Ntinda'!M90</f>
        <v>6.5</v>
      </c>
      <c r="N90" s="49">
        <f>'Avg Week Ntinda-Naalya'!N90+'Avg Week Naalya-Ntinda'!N90</f>
        <v>0</v>
      </c>
      <c r="O90" s="15">
        <f t="shared" si="35"/>
        <v>26.5</v>
      </c>
      <c r="P90" s="15">
        <f t="shared" si="36"/>
        <v>33</v>
      </c>
      <c r="R90" s="8"/>
      <c r="T90"/>
    </row>
    <row r="91" spans="2:20" ht="23.1" customHeight="1" x14ac:dyDescent="0.25">
      <c r="B91" s="23" t="s">
        <v>131</v>
      </c>
      <c r="C91" s="49">
        <f>'Avg Week Ntinda-Naalya'!C91+'Avg Week Naalya-Ntinda'!C91</f>
        <v>17.5</v>
      </c>
      <c r="D91" s="49">
        <f>'Avg Week Ntinda-Naalya'!D91+'Avg Week Naalya-Ntinda'!D91</f>
        <v>6.5</v>
      </c>
      <c r="E91" s="49">
        <f>'Avg Week Ntinda-Naalya'!E91+'Avg Week Naalya-Ntinda'!E91</f>
        <v>0.5</v>
      </c>
      <c r="F91" s="49">
        <f>'Avg Week Ntinda-Naalya'!F91+'Avg Week Naalya-Ntinda'!F91</f>
        <v>1</v>
      </c>
      <c r="G91" s="49">
        <f>'Avg Week Ntinda-Naalya'!G91+'Avg Week Naalya-Ntinda'!G91</f>
        <v>0</v>
      </c>
      <c r="H91" s="49">
        <f>'Avg Week Ntinda-Naalya'!H91+'Avg Week Naalya-Ntinda'!H91</f>
        <v>0</v>
      </c>
      <c r="I91" s="49">
        <f>'Avg Week Ntinda-Naalya'!I91+'Avg Week Naalya-Ntinda'!I91</f>
        <v>1</v>
      </c>
      <c r="J91" s="49">
        <f>'Avg Week Ntinda-Naalya'!J91+'Avg Week Naalya-Ntinda'!J91</f>
        <v>0.5</v>
      </c>
      <c r="K91" s="49">
        <f>'Avg Week Ntinda-Naalya'!K91+'Avg Week Naalya-Ntinda'!K91</f>
        <v>0</v>
      </c>
      <c r="L91" s="49">
        <f>'Avg Week Ntinda-Naalya'!L91+'Avg Week Naalya-Ntinda'!L91</f>
        <v>0</v>
      </c>
      <c r="M91" s="49">
        <f>'Avg Week Ntinda-Naalya'!M91+'Avg Week Naalya-Ntinda'!M91</f>
        <v>7</v>
      </c>
      <c r="N91" s="49">
        <f>'Avg Week Ntinda-Naalya'!N91+'Avg Week Naalya-Ntinda'!N91</f>
        <v>0</v>
      </c>
      <c r="O91" s="15">
        <f t="shared" si="35"/>
        <v>27</v>
      </c>
      <c r="P91" s="15">
        <f t="shared" si="36"/>
        <v>34</v>
      </c>
      <c r="R91" s="8"/>
      <c r="T91"/>
    </row>
    <row r="92" spans="2:20" ht="23.1" customHeight="1" x14ac:dyDescent="0.25">
      <c r="B92" s="25" t="s">
        <v>132</v>
      </c>
      <c r="C92" s="49">
        <f>'Avg Week Ntinda-Naalya'!C92+'Avg Week Naalya-Ntinda'!C92</f>
        <v>5</v>
      </c>
      <c r="D92" s="49">
        <f>'Avg Week Ntinda-Naalya'!D92+'Avg Week Naalya-Ntinda'!D92</f>
        <v>0</v>
      </c>
      <c r="E92" s="49">
        <f>'Avg Week Ntinda-Naalya'!E92+'Avg Week Naalya-Ntinda'!E92</f>
        <v>1</v>
      </c>
      <c r="F92" s="49">
        <f>'Avg Week Ntinda-Naalya'!F92+'Avg Week Naalya-Ntinda'!F92</f>
        <v>0.5</v>
      </c>
      <c r="G92" s="49">
        <f>'Avg Week Ntinda-Naalya'!G92+'Avg Week Naalya-Ntinda'!G92</f>
        <v>0</v>
      </c>
      <c r="H92" s="49">
        <f>'Avg Week Ntinda-Naalya'!H92+'Avg Week Naalya-Ntinda'!H92</f>
        <v>0</v>
      </c>
      <c r="I92" s="49">
        <f>'Avg Week Ntinda-Naalya'!I92+'Avg Week Naalya-Ntinda'!I92</f>
        <v>0</v>
      </c>
      <c r="J92" s="49">
        <f>'Avg Week Ntinda-Naalya'!J92+'Avg Week Naalya-Ntinda'!J92</f>
        <v>0.5</v>
      </c>
      <c r="K92" s="49">
        <f>'Avg Week Ntinda-Naalya'!K92+'Avg Week Naalya-Ntinda'!K92</f>
        <v>0</v>
      </c>
      <c r="L92" s="49">
        <f>'Avg Week Ntinda-Naalya'!L92+'Avg Week Naalya-Ntinda'!L92</f>
        <v>0</v>
      </c>
      <c r="M92" s="49">
        <f>'Avg Week Ntinda-Naalya'!M92+'Avg Week Naalya-Ntinda'!M92</f>
        <v>2.5</v>
      </c>
      <c r="N92" s="49">
        <f>'Avg Week Ntinda-Naalya'!N92+'Avg Week Naalya-Ntinda'!N92</f>
        <v>0</v>
      </c>
      <c r="O92" s="15">
        <f t="shared" si="35"/>
        <v>7</v>
      </c>
      <c r="P92" s="15">
        <f t="shared" si="36"/>
        <v>9.5</v>
      </c>
      <c r="R92" s="8"/>
      <c r="T92"/>
    </row>
    <row r="93" spans="2:20" ht="23.1" customHeight="1" x14ac:dyDescent="0.25">
      <c r="B93" s="23" t="s">
        <v>133</v>
      </c>
      <c r="C93" s="49">
        <f>'Avg Week Ntinda-Naalya'!C93+'Avg Week Naalya-Ntinda'!C93</f>
        <v>6</v>
      </c>
      <c r="D93" s="49">
        <f>'Avg Week Ntinda-Naalya'!D93+'Avg Week Naalya-Ntinda'!D93</f>
        <v>0.5</v>
      </c>
      <c r="E93" s="49">
        <f>'Avg Week Ntinda-Naalya'!E93+'Avg Week Naalya-Ntinda'!E93</f>
        <v>1.5</v>
      </c>
      <c r="F93" s="49">
        <f>'Avg Week Ntinda-Naalya'!F93+'Avg Week Naalya-Ntinda'!F93</f>
        <v>0</v>
      </c>
      <c r="G93" s="49">
        <f>'Avg Week Ntinda-Naalya'!G93+'Avg Week Naalya-Ntinda'!G93</f>
        <v>0</v>
      </c>
      <c r="H93" s="49">
        <f>'Avg Week Ntinda-Naalya'!H93+'Avg Week Naalya-Ntinda'!H93</f>
        <v>0</v>
      </c>
      <c r="I93" s="49">
        <f>'Avg Week Ntinda-Naalya'!I93+'Avg Week Naalya-Ntinda'!I93</f>
        <v>0</v>
      </c>
      <c r="J93" s="49">
        <f>'Avg Week Ntinda-Naalya'!J93+'Avg Week Naalya-Ntinda'!J93</f>
        <v>0.5</v>
      </c>
      <c r="K93" s="49">
        <f>'Avg Week Ntinda-Naalya'!K93+'Avg Week Naalya-Ntinda'!K93</f>
        <v>0</v>
      </c>
      <c r="L93" s="49">
        <f>'Avg Week Ntinda-Naalya'!L93+'Avg Week Naalya-Ntinda'!L93</f>
        <v>0</v>
      </c>
      <c r="M93" s="49">
        <f>'Avg Week Ntinda-Naalya'!M93+'Avg Week Naalya-Ntinda'!M93</f>
        <v>2</v>
      </c>
      <c r="N93" s="49">
        <f>'Avg Week Ntinda-Naalya'!N93+'Avg Week Naalya-Ntinda'!N93</f>
        <v>0</v>
      </c>
      <c r="O93" s="15">
        <f t="shared" si="35"/>
        <v>8.5</v>
      </c>
      <c r="P93" s="15">
        <f t="shared" si="36"/>
        <v>10.5</v>
      </c>
      <c r="R93" s="8"/>
      <c r="T93"/>
    </row>
    <row r="94" spans="2:20" ht="23.1" customHeight="1" x14ac:dyDescent="0.25">
      <c r="B94" s="24" t="s">
        <v>134</v>
      </c>
      <c r="C94" s="49">
        <f>'Avg Week Ntinda-Naalya'!C94+'Avg Week Naalya-Ntinda'!C94</f>
        <v>4</v>
      </c>
      <c r="D94" s="49">
        <f>'Avg Week Ntinda-Naalya'!D94+'Avg Week Naalya-Ntinda'!D94</f>
        <v>3</v>
      </c>
      <c r="E94" s="49">
        <f>'Avg Week Ntinda-Naalya'!E94+'Avg Week Naalya-Ntinda'!E94</f>
        <v>0.5</v>
      </c>
      <c r="F94" s="49">
        <f>'Avg Week Ntinda-Naalya'!F94+'Avg Week Naalya-Ntinda'!F94</f>
        <v>0</v>
      </c>
      <c r="G94" s="49">
        <f>'Avg Week Ntinda-Naalya'!G94+'Avg Week Naalya-Ntinda'!G94</f>
        <v>0.5</v>
      </c>
      <c r="H94" s="49">
        <f>'Avg Week Ntinda-Naalya'!H94+'Avg Week Naalya-Ntinda'!H94</f>
        <v>0</v>
      </c>
      <c r="I94" s="49">
        <f>'Avg Week Ntinda-Naalya'!I94+'Avg Week Naalya-Ntinda'!I94</f>
        <v>0</v>
      </c>
      <c r="J94" s="49">
        <f>'Avg Week Ntinda-Naalya'!J94+'Avg Week Naalya-Ntinda'!J94</f>
        <v>0</v>
      </c>
      <c r="K94" s="49">
        <f>'Avg Week Ntinda-Naalya'!K94+'Avg Week Naalya-Ntinda'!K94</f>
        <v>0</v>
      </c>
      <c r="L94" s="49">
        <f>'Avg Week Ntinda-Naalya'!L94+'Avg Week Naalya-Ntinda'!L94</f>
        <v>0</v>
      </c>
      <c r="M94" s="49">
        <f>'Avg Week Ntinda-Naalya'!M94+'Avg Week Naalya-Ntinda'!M94</f>
        <v>1.5</v>
      </c>
      <c r="N94" s="49">
        <f>'Avg Week Ntinda-Naalya'!N94+'Avg Week Naalya-Ntinda'!N94</f>
        <v>0</v>
      </c>
      <c r="O94" s="15">
        <f t="shared" si="35"/>
        <v>8</v>
      </c>
      <c r="P94" s="15">
        <f t="shared" si="36"/>
        <v>9.5</v>
      </c>
      <c r="R94" s="8"/>
      <c r="T94"/>
    </row>
    <row r="95" spans="2:20" ht="23.1" customHeight="1" x14ac:dyDescent="0.25">
      <c r="B95" s="23" t="s">
        <v>135</v>
      </c>
      <c r="C95" s="49">
        <f>'Avg Week Ntinda-Naalya'!C95+'Avg Week Naalya-Ntinda'!C95</f>
        <v>19</v>
      </c>
      <c r="D95" s="49">
        <f>'Avg Week Ntinda-Naalya'!D95+'Avg Week Naalya-Ntinda'!D95</f>
        <v>6</v>
      </c>
      <c r="E95" s="49">
        <f>'Avg Week Ntinda-Naalya'!E95+'Avg Week Naalya-Ntinda'!E95</f>
        <v>0.5</v>
      </c>
      <c r="F95" s="49">
        <f>'Avg Week Ntinda-Naalya'!F95+'Avg Week Naalya-Ntinda'!F95</f>
        <v>2</v>
      </c>
      <c r="G95" s="49">
        <f>'Avg Week Ntinda-Naalya'!G95+'Avg Week Naalya-Ntinda'!G95</f>
        <v>1</v>
      </c>
      <c r="H95" s="49">
        <f>'Avg Week Ntinda-Naalya'!H95+'Avg Week Naalya-Ntinda'!H95</f>
        <v>0</v>
      </c>
      <c r="I95" s="49">
        <f>'Avg Week Ntinda-Naalya'!I95+'Avg Week Naalya-Ntinda'!I95</f>
        <v>0.5</v>
      </c>
      <c r="J95" s="49">
        <f>'Avg Week Ntinda-Naalya'!J95+'Avg Week Naalya-Ntinda'!J95</f>
        <v>0</v>
      </c>
      <c r="K95" s="49">
        <f>'Avg Week Ntinda-Naalya'!K95+'Avg Week Naalya-Ntinda'!K95</f>
        <v>0</v>
      </c>
      <c r="L95" s="49">
        <f>'Avg Week Ntinda-Naalya'!L95+'Avg Week Naalya-Ntinda'!L95</f>
        <v>0</v>
      </c>
      <c r="M95" s="49">
        <f>'Avg Week Ntinda-Naalya'!M95+'Avg Week Naalya-Ntinda'!M95</f>
        <v>5.5</v>
      </c>
      <c r="N95" s="49">
        <f>'Avg Week Ntinda-Naalya'!N95+'Avg Week Naalya-Ntinda'!N95</f>
        <v>0</v>
      </c>
      <c r="O95" s="15">
        <f t="shared" si="35"/>
        <v>29</v>
      </c>
      <c r="P95" s="15">
        <f t="shared" si="36"/>
        <v>34.5</v>
      </c>
      <c r="R95" s="8"/>
      <c r="T95"/>
    </row>
    <row r="96" spans="2:20" ht="23.1" customHeight="1" x14ac:dyDescent="0.25">
      <c r="B96" s="25" t="s">
        <v>136</v>
      </c>
      <c r="C96" s="49">
        <f>'Avg Week Ntinda-Naalya'!C96+'Avg Week Naalya-Ntinda'!C96</f>
        <v>12.5</v>
      </c>
      <c r="D96" s="49">
        <f>'Avg Week Ntinda-Naalya'!D96+'Avg Week Naalya-Ntinda'!D96</f>
        <v>1.5</v>
      </c>
      <c r="E96" s="49">
        <f>'Avg Week Ntinda-Naalya'!E96+'Avg Week Naalya-Ntinda'!E96</f>
        <v>0.5</v>
      </c>
      <c r="F96" s="49">
        <f>'Avg Week Ntinda-Naalya'!F96+'Avg Week Naalya-Ntinda'!F96</f>
        <v>1.5</v>
      </c>
      <c r="G96" s="49">
        <f>'Avg Week Ntinda-Naalya'!G96+'Avg Week Naalya-Ntinda'!G96</f>
        <v>0</v>
      </c>
      <c r="H96" s="49">
        <f>'Avg Week Ntinda-Naalya'!H96+'Avg Week Naalya-Ntinda'!H96</f>
        <v>0</v>
      </c>
      <c r="I96" s="49">
        <f>'Avg Week Ntinda-Naalya'!I96+'Avg Week Naalya-Ntinda'!I96</f>
        <v>0</v>
      </c>
      <c r="J96" s="49">
        <f>'Avg Week Ntinda-Naalya'!J96+'Avg Week Naalya-Ntinda'!J96</f>
        <v>0.5</v>
      </c>
      <c r="K96" s="49">
        <f>'Avg Week Ntinda-Naalya'!K96+'Avg Week Naalya-Ntinda'!K96</f>
        <v>0.5</v>
      </c>
      <c r="L96" s="49">
        <f>'Avg Week Ntinda-Naalya'!L96+'Avg Week Naalya-Ntinda'!L96</f>
        <v>0</v>
      </c>
      <c r="M96" s="49">
        <f>'Avg Week Ntinda-Naalya'!M96+'Avg Week Naalya-Ntinda'!M96</f>
        <v>4</v>
      </c>
      <c r="N96" s="49">
        <f>'Avg Week Ntinda-Naalya'!N96+'Avg Week Naalya-Ntinda'!N96</f>
        <v>0</v>
      </c>
      <c r="O96" s="15">
        <f t="shared" si="35"/>
        <v>17</v>
      </c>
      <c r="P96" s="15">
        <f t="shared" si="36"/>
        <v>21</v>
      </c>
      <c r="R96" s="8"/>
      <c r="T96"/>
    </row>
    <row r="97" spans="2:20" ht="23.1" customHeight="1" x14ac:dyDescent="0.25">
      <c r="B97" s="23" t="s">
        <v>137</v>
      </c>
      <c r="C97" s="49">
        <f>'Avg Week Ntinda-Naalya'!C97+'Avg Week Naalya-Ntinda'!C97</f>
        <v>18.5</v>
      </c>
      <c r="D97" s="49">
        <f>'Avg Week Ntinda-Naalya'!D97+'Avg Week Naalya-Ntinda'!D97</f>
        <v>1.5</v>
      </c>
      <c r="E97" s="49">
        <f>'Avg Week Ntinda-Naalya'!E97+'Avg Week Naalya-Ntinda'!E97</f>
        <v>2.5</v>
      </c>
      <c r="F97" s="49">
        <f>'Avg Week Ntinda-Naalya'!F97+'Avg Week Naalya-Ntinda'!F97</f>
        <v>0.5</v>
      </c>
      <c r="G97" s="49">
        <f>'Avg Week Ntinda-Naalya'!G97+'Avg Week Naalya-Ntinda'!G97</f>
        <v>0</v>
      </c>
      <c r="H97" s="49">
        <f>'Avg Week Ntinda-Naalya'!H97+'Avg Week Naalya-Ntinda'!H97</f>
        <v>0</v>
      </c>
      <c r="I97" s="49">
        <f>'Avg Week Ntinda-Naalya'!I97+'Avg Week Naalya-Ntinda'!I97</f>
        <v>0.5</v>
      </c>
      <c r="J97" s="49">
        <f>'Avg Week Ntinda-Naalya'!J97+'Avg Week Naalya-Ntinda'!J97</f>
        <v>0.5</v>
      </c>
      <c r="K97" s="49">
        <f>'Avg Week Ntinda-Naalya'!K97+'Avg Week Naalya-Ntinda'!K97</f>
        <v>0.5</v>
      </c>
      <c r="L97" s="49">
        <f>'Avg Week Ntinda-Naalya'!L97+'Avg Week Naalya-Ntinda'!L97</f>
        <v>0</v>
      </c>
      <c r="M97" s="49">
        <f>'Avg Week Ntinda-Naalya'!M97+'Avg Week Naalya-Ntinda'!M97</f>
        <v>5</v>
      </c>
      <c r="N97" s="49">
        <f>'Avg Week Ntinda-Naalya'!N97+'Avg Week Naalya-Ntinda'!N97</f>
        <v>0</v>
      </c>
      <c r="O97" s="15">
        <f t="shared" si="35"/>
        <v>24.5</v>
      </c>
      <c r="P97" s="15">
        <f t="shared" si="36"/>
        <v>29.5</v>
      </c>
      <c r="R97" s="8"/>
      <c r="T97"/>
    </row>
    <row r="98" spans="2:20" ht="23.1" customHeight="1" x14ac:dyDescent="0.25">
      <c r="B98" s="24" t="s">
        <v>138</v>
      </c>
      <c r="C98" s="49">
        <f>'Avg Week Ntinda-Naalya'!C98+'Avg Week Naalya-Ntinda'!C98</f>
        <v>26.5</v>
      </c>
      <c r="D98" s="49">
        <f>'Avg Week Ntinda-Naalya'!D98+'Avg Week Naalya-Ntinda'!D98</f>
        <v>8.5</v>
      </c>
      <c r="E98" s="49">
        <f>'Avg Week Ntinda-Naalya'!E98+'Avg Week Naalya-Ntinda'!E98</f>
        <v>1</v>
      </c>
      <c r="F98" s="49">
        <f>'Avg Week Ntinda-Naalya'!F98+'Avg Week Naalya-Ntinda'!F98</f>
        <v>1</v>
      </c>
      <c r="G98" s="49">
        <f>'Avg Week Ntinda-Naalya'!G98+'Avg Week Naalya-Ntinda'!G98</f>
        <v>1.5</v>
      </c>
      <c r="H98" s="49">
        <f>'Avg Week Ntinda-Naalya'!H98+'Avg Week Naalya-Ntinda'!H98</f>
        <v>0</v>
      </c>
      <c r="I98" s="49">
        <f>'Avg Week Ntinda-Naalya'!I98+'Avg Week Naalya-Ntinda'!I98</f>
        <v>3.5</v>
      </c>
      <c r="J98" s="49">
        <f>'Avg Week Ntinda-Naalya'!J98+'Avg Week Naalya-Ntinda'!J98</f>
        <v>0.5</v>
      </c>
      <c r="K98" s="49">
        <f>'Avg Week Ntinda-Naalya'!K98+'Avg Week Naalya-Ntinda'!K98</f>
        <v>0</v>
      </c>
      <c r="L98" s="49">
        <f>'Avg Week Ntinda-Naalya'!L98+'Avg Week Naalya-Ntinda'!L98</f>
        <v>0</v>
      </c>
      <c r="M98" s="49">
        <f>'Avg Week Ntinda-Naalya'!M98+'Avg Week Naalya-Ntinda'!M98</f>
        <v>6</v>
      </c>
      <c r="N98" s="49">
        <f>'Avg Week Ntinda-Naalya'!N98+'Avg Week Naalya-Ntinda'!N98</f>
        <v>0</v>
      </c>
      <c r="O98" s="15">
        <f t="shared" si="35"/>
        <v>42.5</v>
      </c>
      <c r="P98" s="15">
        <f t="shared" si="36"/>
        <v>48.5</v>
      </c>
      <c r="R98" s="8"/>
      <c r="T98"/>
    </row>
    <row r="99" spans="2:20" ht="23.1" customHeight="1" x14ac:dyDescent="0.25">
      <c r="B99" s="23" t="s">
        <v>139</v>
      </c>
      <c r="C99" s="49">
        <f>'Avg Week Ntinda-Naalya'!C99+'Avg Week Naalya-Ntinda'!C99</f>
        <v>21.5</v>
      </c>
      <c r="D99" s="49">
        <f>'Avg Week Ntinda-Naalya'!D99+'Avg Week Naalya-Ntinda'!D99</f>
        <v>9</v>
      </c>
      <c r="E99" s="49">
        <f>'Avg Week Ntinda-Naalya'!E99+'Avg Week Naalya-Ntinda'!E99</f>
        <v>0</v>
      </c>
      <c r="F99" s="49">
        <f>'Avg Week Ntinda-Naalya'!F99+'Avg Week Naalya-Ntinda'!F99</f>
        <v>1.5</v>
      </c>
      <c r="G99" s="49">
        <f>'Avg Week Ntinda-Naalya'!G99+'Avg Week Naalya-Ntinda'!G99</f>
        <v>0.5</v>
      </c>
      <c r="H99" s="49">
        <f>'Avg Week Ntinda-Naalya'!H99+'Avg Week Naalya-Ntinda'!H99</f>
        <v>0</v>
      </c>
      <c r="I99" s="49">
        <f>'Avg Week Ntinda-Naalya'!I99+'Avg Week Naalya-Ntinda'!I99</f>
        <v>0</v>
      </c>
      <c r="J99" s="49">
        <f>'Avg Week Ntinda-Naalya'!J99+'Avg Week Naalya-Ntinda'!J99</f>
        <v>0</v>
      </c>
      <c r="K99" s="49">
        <f>'Avg Week Ntinda-Naalya'!K99+'Avg Week Naalya-Ntinda'!K99</f>
        <v>0</v>
      </c>
      <c r="L99" s="49">
        <f>'Avg Week Ntinda-Naalya'!L99+'Avg Week Naalya-Ntinda'!L99</f>
        <v>0</v>
      </c>
      <c r="M99" s="49">
        <f>'Avg Week Ntinda-Naalya'!M99+'Avg Week Naalya-Ntinda'!M99</f>
        <v>4</v>
      </c>
      <c r="N99" s="49">
        <f>'Avg Week Ntinda-Naalya'!N99+'Avg Week Naalya-Ntinda'!N99</f>
        <v>0</v>
      </c>
      <c r="O99" s="15">
        <f t="shared" si="35"/>
        <v>32.5</v>
      </c>
      <c r="P99" s="15">
        <f t="shared" si="36"/>
        <v>36.5</v>
      </c>
      <c r="R99" s="8"/>
      <c r="T99"/>
    </row>
    <row r="100" spans="2:20" ht="23.1" customHeight="1" x14ac:dyDescent="0.25">
      <c r="B100" s="25" t="s">
        <v>140</v>
      </c>
      <c r="C100" s="49">
        <f>'Avg Week Ntinda-Naalya'!C100+'Avg Week Naalya-Ntinda'!C100</f>
        <v>28.5</v>
      </c>
      <c r="D100" s="49">
        <f>'Avg Week Ntinda-Naalya'!D100+'Avg Week Naalya-Ntinda'!D100</f>
        <v>7</v>
      </c>
      <c r="E100" s="49">
        <f>'Avg Week Ntinda-Naalya'!E100+'Avg Week Naalya-Ntinda'!E100</f>
        <v>2</v>
      </c>
      <c r="F100" s="49">
        <f>'Avg Week Ntinda-Naalya'!F100+'Avg Week Naalya-Ntinda'!F100</f>
        <v>1</v>
      </c>
      <c r="G100" s="49">
        <f>'Avg Week Ntinda-Naalya'!G100+'Avg Week Naalya-Ntinda'!G100</f>
        <v>1</v>
      </c>
      <c r="H100" s="49">
        <f>'Avg Week Ntinda-Naalya'!H100+'Avg Week Naalya-Ntinda'!H100</f>
        <v>0.5</v>
      </c>
      <c r="I100" s="49">
        <f>'Avg Week Ntinda-Naalya'!I100+'Avg Week Naalya-Ntinda'!I100</f>
        <v>0.5</v>
      </c>
      <c r="J100" s="49">
        <f>'Avg Week Ntinda-Naalya'!J100+'Avg Week Naalya-Ntinda'!J100</f>
        <v>0.5</v>
      </c>
      <c r="K100" s="49">
        <f>'Avg Week Ntinda-Naalya'!K100+'Avg Week Naalya-Ntinda'!K100</f>
        <v>0</v>
      </c>
      <c r="L100" s="49">
        <f>'Avg Week Ntinda-Naalya'!L100+'Avg Week Naalya-Ntinda'!L100</f>
        <v>0</v>
      </c>
      <c r="M100" s="49">
        <f>'Avg Week Ntinda-Naalya'!M100+'Avg Week Naalya-Ntinda'!M100</f>
        <v>9</v>
      </c>
      <c r="N100" s="49">
        <f>'Avg Week Ntinda-Naalya'!N100+'Avg Week Naalya-Ntinda'!N100</f>
        <v>0</v>
      </c>
      <c r="O100" s="15">
        <f t="shared" si="35"/>
        <v>41</v>
      </c>
      <c r="P100" s="15">
        <f t="shared" si="36"/>
        <v>50</v>
      </c>
      <c r="R100" s="8"/>
      <c r="T100"/>
    </row>
    <row r="101" spans="2:20" ht="23.1" customHeight="1" x14ac:dyDescent="0.25">
      <c r="B101" s="23" t="s">
        <v>141</v>
      </c>
      <c r="C101" s="49">
        <f>'Avg Week Ntinda-Naalya'!C101+'Avg Week Naalya-Ntinda'!C101</f>
        <v>30.5</v>
      </c>
      <c r="D101" s="49">
        <f>'Avg Week Ntinda-Naalya'!D101+'Avg Week Naalya-Ntinda'!D101</f>
        <v>31</v>
      </c>
      <c r="E101" s="49">
        <f>'Avg Week Ntinda-Naalya'!E101+'Avg Week Naalya-Ntinda'!E101</f>
        <v>3</v>
      </c>
      <c r="F101" s="49">
        <f>'Avg Week Ntinda-Naalya'!F101+'Avg Week Naalya-Ntinda'!F101</f>
        <v>9</v>
      </c>
      <c r="G101" s="49">
        <f>'Avg Week Ntinda-Naalya'!G101+'Avg Week Naalya-Ntinda'!G101</f>
        <v>0</v>
      </c>
      <c r="H101" s="49">
        <f>'Avg Week Ntinda-Naalya'!H101+'Avg Week Naalya-Ntinda'!H101</f>
        <v>0</v>
      </c>
      <c r="I101" s="49">
        <f>'Avg Week Ntinda-Naalya'!I101+'Avg Week Naalya-Ntinda'!I101</f>
        <v>0</v>
      </c>
      <c r="J101" s="49">
        <f>'Avg Week Ntinda-Naalya'!J101+'Avg Week Naalya-Ntinda'!J101</f>
        <v>0.5</v>
      </c>
      <c r="K101" s="49">
        <f>'Avg Week Ntinda-Naalya'!K101+'Avg Week Naalya-Ntinda'!K101</f>
        <v>0.5</v>
      </c>
      <c r="L101" s="49">
        <f>'Avg Week Ntinda-Naalya'!L101+'Avg Week Naalya-Ntinda'!L101</f>
        <v>0</v>
      </c>
      <c r="M101" s="49">
        <f>'Avg Week Ntinda-Naalya'!M101+'Avg Week Naalya-Ntinda'!M101</f>
        <v>13</v>
      </c>
      <c r="N101" s="49">
        <f>'Avg Week Ntinda-Naalya'!N101+'Avg Week Naalya-Ntinda'!N101</f>
        <v>0</v>
      </c>
      <c r="O101" s="15">
        <f t="shared" si="35"/>
        <v>74.5</v>
      </c>
      <c r="P101" s="15">
        <f t="shared" si="36"/>
        <v>87.5</v>
      </c>
      <c r="R101" s="8"/>
      <c r="T101"/>
    </row>
    <row r="102" spans="2:20" ht="23.1" customHeight="1" x14ac:dyDescent="0.25">
      <c r="B102" s="24" t="s">
        <v>142</v>
      </c>
      <c r="C102" s="49">
        <f>'Avg Week Ntinda-Naalya'!C102+'Avg Week Naalya-Ntinda'!C102</f>
        <v>49.5</v>
      </c>
      <c r="D102" s="49">
        <f>'Avg Week Ntinda-Naalya'!D102+'Avg Week Naalya-Ntinda'!D102</f>
        <v>65</v>
      </c>
      <c r="E102" s="49">
        <f>'Avg Week Ntinda-Naalya'!E102+'Avg Week Naalya-Ntinda'!E102</f>
        <v>7.5</v>
      </c>
      <c r="F102" s="49">
        <f>'Avg Week Ntinda-Naalya'!F102+'Avg Week Naalya-Ntinda'!F102</f>
        <v>4</v>
      </c>
      <c r="G102" s="49">
        <f>'Avg Week Ntinda-Naalya'!G102+'Avg Week Naalya-Ntinda'!G102</f>
        <v>0.5</v>
      </c>
      <c r="H102" s="49">
        <f>'Avg Week Ntinda-Naalya'!H102+'Avg Week Naalya-Ntinda'!H102</f>
        <v>0</v>
      </c>
      <c r="I102" s="49">
        <f>'Avg Week Ntinda-Naalya'!I102+'Avg Week Naalya-Ntinda'!I102</f>
        <v>0</v>
      </c>
      <c r="J102" s="49">
        <f>'Avg Week Ntinda-Naalya'!J102+'Avg Week Naalya-Ntinda'!J102</f>
        <v>0</v>
      </c>
      <c r="K102" s="49">
        <f>'Avg Week Ntinda-Naalya'!K102+'Avg Week Naalya-Ntinda'!K102</f>
        <v>0.5</v>
      </c>
      <c r="L102" s="49">
        <f>'Avg Week Ntinda-Naalya'!L102+'Avg Week Naalya-Ntinda'!L102</f>
        <v>0</v>
      </c>
      <c r="M102" s="49">
        <f>'Avg Week Ntinda-Naalya'!M102+'Avg Week Naalya-Ntinda'!M102</f>
        <v>12.5</v>
      </c>
      <c r="N102" s="49">
        <f>'Avg Week Ntinda-Naalya'!N102+'Avg Week Naalya-Ntinda'!N102</f>
        <v>0</v>
      </c>
      <c r="O102" s="15">
        <f t="shared" si="35"/>
        <v>127</v>
      </c>
      <c r="P102" s="15">
        <f t="shared" si="36"/>
        <v>139.5</v>
      </c>
      <c r="R102" s="8"/>
      <c r="T102"/>
    </row>
    <row r="103" spans="2:20" ht="23.1" customHeight="1" x14ac:dyDescent="0.25">
      <c r="B103" s="23" t="s">
        <v>143</v>
      </c>
      <c r="C103" s="49">
        <f>'Avg Week Ntinda-Naalya'!C103+'Avg Week Naalya-Ntinda'!C103</f>
        <v>56.5</v>
      </c>
      <c r="D103" s="49">
        <f>'Avg Week Ntinda-Naalya'!D103+'Avg Week Naalya-Ntinda'!D103</f>
        <v>80.5</v>
      </c>
      <c r="E103" s="49">
        <f>'Avg Week Ntinda-Naalya'!E103+'Avg Week Naalya-Ntinda'!E103</f>
        <v>9</v>
      </c>
      <c r="F103" s="49">
        <f>'Avg Week Ntinda-Naalya'!F103+'Avg Week Naalya-Ntinda'!F103</f>
        <v>12.5</v>
      </c>
      <c r="G103" s="49">
        <f>'Avg Week Ntinda-Naalya'!G103+'Avg Week Naalya-Ntinda'!G103</f>
        <v>1</v>
      </c>
      <c r="H103" s="49">
        <f>'Avg Week Ntinda-Naalya'!H103+'Avg Week Naalya-Ntinda'!H103</f>
        <v>0</v>
      </c>
      <c r="I103" s="49">
        <f>'Avg Week Ntinda-Naalya'!I103+'Avg Week Naalya-Ntinda'!I103</f>
        <v>0</v>
      </c>
      <c r="J103" s="49">
        <f>'Avg Week Ntinda-Naalya'!J103+'Avg Week Naalya-Ntinda'!J103</f>
        <v>1</v>
      </c>
      <c r="K103" s="49">
        <f>'Avg Week Ntinda-Naalya'!K103+'Avg Week Naalya-Ntinda'!K103</f>
        <v>0</v>
      </c>
      <c r="L103" s="49">
        <f>'Avg Week Ntinda-Naalya'!L103+'Avg Week Naalya-Ntinda'!L103</f>
        <v>0</v>
      </c>
      <c r="M103" s="49">
        <f>'Avg Week Ntinda-Naalya'!M103+'Avg Week Naalya-Ntinda'!M103</f>
        <v>22</v>
      </c>
      <c r="N103" s="49">
        <f>'Avg Week Ntinda-Naalya'!N103+'Avg Week Naalya-Ntinda'!N103</f>
        <v>0</v>
      </c>
      <c r="O103" s="15">
        <f t="shared" si="35"/>
        <v>160.5</v>
      </c>
      <c r="P103" s="15">
        <f t="shared" si="36"/>
        <v>182.5</v>
      </c>
      <c r="R103" s="8"/>
      <c r="T103"/>
    </row>
    <row r="104" spans="2:20" ht="23.1" customHeight="1" x14ac:dyDescent="0.25">
      <c r="B104" s="25" t="s">
        <v>144</v>
      </c>
      <c r="C104" s="49">
        <f>'Avg Week Ntinda-Naalya'!C104+'Avg Week Naalya-Ntinda'!C104</f>
        <v>69.5</v>
      </c>
      <c r="D104" s="49">
        <f>'Avg Week Ntinda-Naalya'!D104+'Avg Week Naalya-Ntinda'!D104</f>
        <v>79.5</v>
      </c>
      <c r="E104" s="49">
        <f>'Avg Week Ntinda-Naalya'!E104+'Avg Week Naalya-Ntinda'!E104</f>
        <v>11</v>
      </c>
      <c r="F104" s="49">
        <f>'Avg Week Ntinda-Naalya'!F104+'Avg Week Naalya-Ntinda'!F104</f>
        <v>11.5</v>
      </c>
      <c r="G104" s="49">
        <f>'Avg Week Ntinda-Naalya'!G104+'Avg Week Naalya-Ntinda'!G104</f>
        <v>2.5</v>
      </c>
      <c r="H104" s="49">
        <f>'Avg Week Ntinda-Naalya'!H104+'Avg Week Naalya-Ntinda'!H104</f>
        <v>1.5</v>
      </c>
      <c r="I104" s="49">
        <f>'Avg Week Ntinda-Naalya'!I104+'Avg Week Naalya-Ntinda'!I104</f>
        <v>0</v>
      </c>
      <c r="J104" s="49">
        <f>'Avg Week Ntinda-Naalya'!J104+'Avg Week Naalya-Ntinda'!J104</f>
        <v>1.5</v>
      </c>
      <c r="K104" s="49">
        <f>'Avg Week Ntinda-Naalya'!K104+'Avg Week Naalya-Ntinda'!K104</f>
        <v>0</v>
      </c>
      <c r="L104" s="49">
        <f>'Avg Week Ntinda-Naalya'!L104+'Avg Week Naalya-Ntinda'!L104</f>
        <v>0</v>
      </c>
      <c r="M104" s="49">
        <f>'Avg Week Ntinda-Naalya'!M104+'Avg Week Naalya-Ntinda'!M104</f>
        <v>17.5</v>
      </c>
      <c r="N104" s="49">
        <f>'Avg Week Ntinda-Naalya'!N104+'Avg Week Naalya-Ntinda'!N104</f>
        <v>0</v>
      </c>
      <c r="O104" s="15">
        <f t="shared" si="35"/>
        <v>177</v>
      </c>
      <c r="P104" s="15">
        <f t="shared" si="36"/>
        <v>194.5</v>
      </c>
      <c r="R104" s="55"/>
      <c r="T104"/>
    </row>
    <row r="105" spans="2:20" ht="23.1" customHeight="1" x14ac:dyDescent="0.25">
      <c r="B105" s="23" t="s">
        <v>145</v>
      </c>
      <c r="C105" s="49">
        <f>'Avg Week Ntinda-Naalya'!C105+'Avg Week Naalya-Ntinda'!C105</f>
        <v>114.5</v>
      </c>
      <c r="D105" s="49">
        <f>'Avg Week Ntinda-Naalya'!D105+'Avg Week Naalya-Ntinda'!D105</f>
        <v>88.5</v>
      </c>
      <c r="E105" s="49">
        <f>'Avg Week Ntinda-Naalya'!E105+'Avg Week Naalya-Ntinda'!E105</f>
        <v>9</v>
      </c>
      <c r="F105" s="49">
        <f>'Avg Week Ntinda-Naalya'!F105+'Avg Week Naalya-Ntinda'!F105</f>
        <v>5.5</v>
      </c>
      <c r="G105" s="49">
        <f>'Avg Week Ntinda-Naalya'!G105+'Avg Week Naalya-Ntinda'!G105</f>
        <v>1</v>
      </c>
      <c r="H105" s="49">
        <f>'Avg Week Ntinda-Naalya'!H105+'Avg Week Naalya-Ntinda'!H105</f>
        <v>0.5</v>
      </c>
      <c r="I105" s="49">
        <f>'Avg Week Ntinda-Naalya'!I105+'Avg Week Naalya-Ntinda'!I105</f>
        <v>0.5</v>
      </c>
      <c r="J105" s="49">
        <f>'Avg Week Ntinda-Naalya'!J105+'Avg Week Naalya-Ntinda'!J105</f>
        <v>0.5</v>
      </c>
      <c r="K105" s="49">
        <f>'Avg Week Ntinda-Naalya'!K105+'Avg Week Naalya-Ntinda'!K105</f>
        <v>0</v>
      </c>
      <c r="L105" s="49">
        <f>'Avg Week Ntinda-Naalya'!L105+'Avg Week Naalya-Ntinda'!L105</f>
        <v>0</v>
      </c>
      <c r="M105" s="49">
        <f>'Avg Week Ntinda-Naalya'!M105+'Avg Week Naalya-Ntinda'!M105</f>
        <v>16.5</v>
      </c>
      <c r="N105" s="49">
        <f>'Avg Week Ntinda-Naalya'!N105+'Avg Week Naalya-Ntinda'!N105</f>
        <v>0</v>
      </c>
      <c r="O105" s="15">
        <f t="shared" si="35"/>
        <v>220</v>
      </c>
      <c r="P105" s="15">
        <f t="shared" si="36"/>
        <v>236.5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11460.071428571431</v>
      </c>
      <c r="D106" s="16">
        <f t="shared" ref="D106:O106" si="37">SUM(D10:D105)</f>
        <v>4640.2857142857138</v>
      </c>
      <c r="E106" s="16">
        <f t="shared" si="37"/>
        <v>966.85714285714278</v>
      </c>
      <c r="F106" s="16">
        <f t="shared" si="37"/>
        <v>1026.3571428571431</v>
      </c>
      <c r="G106" s="16">
        <f t="shared" si="37"/>
        <v>98.499999999999972</v>
      </c>
      <c r="H106" s="16">
        <f t="shared" si="37"/>
        <v>22.357142857142854</v>
      </c>
      <c r="I106" s="16">
        <f t="shared" si="37"/>
        <v>339.71428571428572</v>
      </c>
      <c r="J106" s="16">
        <f t="shared" si="37"/>
        <v>187.28571428571428</v>
      </c>
      <c r="K106" s="16">
        <f t="shared" si="37"/>
        <v>49.428571428571416</v>
      </c>
      <c r="L106" s="16">
        <f t="shared" si="37"/>
        <v>19.428571428571431</v>
      </c>
      <c r="M106" s="16">
        <f t="shared" si="37"/>
        <v>9301.7857142857138</v>
      </c>
      <c r="N106" s="16">
        <f t="shared" si="37"/>
        <v>0.5714285714285714</v>
      </c>
      <c r="O106" s="16">
        <f t="shared" si="37"/>
        <v>18810.857142857145</v>
      </c>
      <c r="P106" s="16">
        <f>SUM(P10:P105)</f>
        <v>28112.642857142859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0.40764831278250513</v>
      </c>
      <c r="D107" s="43">
        <f t="shared" si="38"/>
        <v>0.16506045830930158</v>
      </c>
      <c r="E107" s="43">
        <f t="shared" si="38"/>
        <v>3.4392253612380803E-2</v>
      </c>
      <c r="F107" s="43">
        <f t="shared" si="38"/>
        <v>3.6508739077740833E-2</v>
      </c>
      <c r="G107" s="43">
        <f t="shared" si="38"/>
        <v>3.5037616527388528E-3</v>
      </c>
      <c r="H107" s="43">
        <f t="shared" si="38"/>
        <v>7.9527004880874626E-4</v>
      </c>
      <c r="I107" s="43">
        <f t="shared" si="38"/>
        <v>1.2084039463688172E-2</v>
      </c>
      <c r="J107" s="43">
        <f t="shared" si="38"/>
        <v>6.6619746580719903E-3</v>
      </c>
      <c r="K107" s="43">
        <f t="shared" si="38"/>
        <v>1.7582328235643846E-3</v>
      </c>
      <c r="L107" s="43">
        <f t="shared" si="38"/>
        <v>6.910972948114346E-4</v>
      </c>
      <c r="M107" s="43">
        <f t="shared" si="38"/>
        <v>0.33087553388536423</v>
      </c>
      <c r="N107" s="43">
        <f t="shared" si="38"/>
        <v>2.032639102386572E-5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0.60922643458185255</v>
      </c>
      <c r="D108" s="44">
        <f t="shared" ref="D108:N108" si="39">D106/$O$106</f>
        <v>0.24668124791154039</v>
      </c>
      <c r="E108" s="44">
        <f t="shared" si="39"/>
        <v>5.1398888180078366E-2</v>
      </c>
      <c r="F108" s="44">
        <f t="shared" si="39"/>
        <v>5.4561955101916831E-2</v>
      </c>
      <c r="G108" s="44">
        <f t="shared" si="39"/>
        <v>5.2363376773292003E-3</v>
      </c>
      <c r="H108" s="44">
        <f t="shared" si="39"/>
        <v>1.1885233451805945E-3</v>
      </c>
      <c r="I108" s="44">
        <f t="shared" si="39"/>
        <v>1.8059479328047631E-2</v>
      </c>
      <c r="J108" s="44">
        <f t="shared" si="39"/>
        <v>9.9562562653786549E-3</v>
      </c>
      <c r="K108" s="44">
        <f t="shared" si="39"/>
        <v>2.6276618366293013E-3</v>
      </c>
      <c r="L108" s="44">
        <f t="shared" si="39"/>
        <v>1.0328381785594946E-3</v>
      </c>
      <c r="M108" s="44"/>
      <c r="N108" s="44">
        <f t="shared" si="39"/>
        <v>3.0377593487043951E-5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29.07 Ntinda-Naalya</vt:lpstr>
      <vt:lpstr>29.07 Naalya-Ntinda</vt:lpstr>
      <vt:lpstr>30.07 Ntinda-Naalya</vt:lpstr>
      <vt:lpstr>30.07 Naalya-Ntinda</vt:lpstr>
      <vt:lpstr>31.07 Ntinda-Naalya</vt:lpstr>
      <vt:lpstr>31.07 Naalya-Ntinda</vt:lpstr>
      <vt:lpstr>01.08 Ntinda-Naalya 24h</vt:lpstr>
      <vt:lpstr>01.08 Naalya-Ntinda 24h</vt:lpstr>
      <vt:lpstr>02.08 Ntinda-Naalya</vt:lpstr>
      <vt:lpstr>02.08 Naalya-Ntinda</vt:lpstr>
      <vt:lpstr>03.08 Ntinda-Naalya 24h</vt:lpstr>
      <vt:lpstr>03.08 Naalya-Ntinda-24h</vt:lpstr>
      <vt:lpstr>04.08 Ntinda-Naalya</vt:lpstr>
      <vt:lpstr>04.08 Naalya-Ntinda</vt:lpstr>
      <vt:lpstr>Avg Week Ntinda-Naalya</vt:lpstr>
      <vt:lpstr>Avg Week Naalya-Ntinda</vt:lpstr>
      <vt:lpstr>Avg Week Ntinda-Naalya-2Dir</vt:lpstr>
      <vt:lpstr>'01.08 Naalya-Ntinda 24h'!Print_Area</vt:lpstr>
      <vt:lpstr>'01.08 Ntinda-Naalya 24h'!Print_Area</vt:lpstr>
      <vt:lpstr>'02.08 Naalya-Ntinda'!Print_Area</vt:lpstr>
      <vt:lpstr>'02.08 Ntinda-Naalya'!Print_Area</vt:lpstr>
      <vt:lpstr>'03.08 Naalya-Ntinda-24h'!Print_Area</vt:lpstr>
      <vt:lpstr>'03.08 Ntinda-Naalya 24h'!Print_Area</vt:lpstr>
      <vt:lpstr>'04.08 Naalya-Ntinda'!Print_Area</vt:lpstr>
      <vt:lpstr>'04.08 Ntinda-Naalya'!Print_Area</vt:lpstr>
      <vt:lpstr>'29.07 Naalya-Ntinda'!Print_Area</vt:lpstr>
      <vt:lpstr>'29.07 Ntinda-Naalya'!Print_Area</vt:lpstr>
      <vt:lpstr>'30.07 Naalya-Ntinda'!Print_Area</vt:lpstr>
      <vt:lpstr>'30.07 Ntinda-Naalya'!Print_Area</vt:lpstr>
      <vt:lpstr>'31.07 Naalya-Ntinda'!Print_Area</vt:lpstr>
      <vt:lpstr>'31.07 Ntinda-Naalya'!Print_Area</vt:lpstr>
      <vt:lpstr>'Avg Week Naalya-Ntinda'!Print_Area</vt:lpstr>
      <vt:lpstr>'Avg Week Ntinda-Naalya'!Print_Area</vt:lpstr>
      <vt:lpstr>'Avg Week Ntinda-Naalya-2Dir'!Print_Area</vt:lpstr>
      <vt:lpstr>'01.08 Naalya-Ntinda 24h'!Print_Titles</vt:lpstr>
      <vt:lpstr>'01.08 Ntinda-Naalya 24h'!Print_Titles</vt:lpstr>
      <vt:lpstr>'02.08 Naalya-Ntinda'!Print_Titles</vt:lpstr>
      <vt:lpstr>'02.08 Ntinda-Naalya'!Print_Titles</vt:lpstr>
      <vt:lpstr>'03.08 Naalya-Ntinda-24h'!Print_Titles</vt:lpstr>
      <vt:lpstr>'03.08 Ntinda-Naalya 24h'!Print_Titles</vt:lpstr>
      <vt:lpstr>'04.08 Naalya-Ntinda'!Print_Titles</vt:lpstr>
      <vt:lpstr>'04.08 Ntinda-Naalya'!Print_Titles</vt:lpstr>
      <vt:lpstr>'29.07 Naalya-Ntinda'!Print_Titles</vt:lpstr>
      <vt:lpstr>'29.07 Ntinda-Naalya'!Print_Titles</vt:lpstr>
      <vt:lpstr>'30.07 Naalya-Ntinda'!Print_Titles</vt:lpstr>
      <vt:lpstr>'30.07 Ntinda-Naalya'!Print_Titles</vt:lpstr>
      <vt:lpstr>'31.07 Naalya-Ntinda'!Print_Titles</vt:lpstr>
      <vt:lpstr>'31.07 Ntinda-Naalya'!Print_Titles</vt:lpstr>
      <vt:lpstr>'Avg Week Naalya-Ntinda'!Print_Titles</vt:lpstr>
      <vt:lpstr>'Avg Week Ntinda-Naalya'!Print_Titles</vt:lpstr>
      <vt:lpstr>'Avg Week Ntinda-Naalya-2Dir'!Print_Titles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ALLAN</cp:lastModifiedBy>
  <cp:lastPrinted>2019-07-25T18:18:41Z</cp:lastPrinted>
  <dcterms:created xsi:type="dcterms:W3CDTF">2010-07-06T07:39:49Z</dcterms:created>
  <dcterms:modified xsi:type="dcterms:W3CDTF">2020-01-15T17:58:50Z</dcterms:modified>
</cp:coreProperties>
</file>