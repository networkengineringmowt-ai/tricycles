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drawings/drawing16.xml" ContentType="application/vnd.openxmlformats-officedocument.drawing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drawings/drawing17.xml" ContentType="application/vnd.openxmlformats-officedocument.drawing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43-KYAMBOGO\MCC DATA\"/>
    </mc:Choice>
  </mc:AlternateContent>
  <bookViews>
    <workbookView xWindow="-120" yWindow="-120" windowWidth="20730" windowHeight="11160" tabRatio="940" firstSheet="14" activeTab="16"/>
  </bookViews>
  <sheets>
    <sheet name="29.07 Spear Motors-Kyambogo" sheetId="93" r:id="rId1"/>
    <sheet name="29.07 Kyambogo-Spear Motors" sheetId="94" r:id="rId2"/>
    <sheet name="30.07 Spear Motors-Kyambogo" sheetId="95" r:id="rId3"/>
    <sheet name="30.07 Kyambogo-Spear Motors" sheetId="96" r:id="rId4"/>
    <sheet name="31.07 Spear Motors-Kyambogo" sheetId="97" r:id="rId5"/>
    <sheet name="31.07 Kyambogo-Spear Motors" sheetId="98" r:id="rId6"/>
    <sheet name="01.08 Spear Motors-Kyambogo" sheetId="101" r:id="rId7"/>
    <sheet name="01.08 Kyambogo-Spear Motors" sheetId="109" r:id="rId8"/>
    <sheet name="02.08 Spear Motors-Kyambogo" sheetId="99" r:id="rId9"/>
    <sheet name="02.08 Kyambogo-Spear Motors" sheetId="100" r:id="rId10"/>
    <sheet name="03.08 Spear Motors-Kyambogo" sheetId="105" r:id="rId11"/>
    <sheet name="03.08 Kyambogo-Spear Motors" sheetId="110" r:id="rId12"/>
    <sheet name="04.08 Spear Motors-Kyambogo" sheetId="103" r:id="rId13"/>
    <sheet name="04.08 Kyambogo-Spear Motors" sheetId="104" r:id="rId14"/>
    <sheet name="Avg Week Spear Motors-Kyambogo" sheetId="107" r:id="rId15"/>
    <sheet name="Avg Week Kyambogo-Spear Motors" sheetId="108" r:id="rId16"/>
    <sheet name="Avg Week Spear Motors-2Dir" sheetId="111" r:id="rId17"/>
  </sheets>
  <definedNames>
    <definedName name="_xlnm.Print_Area" localSheetId="7">'01.08 Kyambogo-Spear Motors'!$A$1:$AF$108</definedName>
    <definedName name="_xlnm.Print_Area" localSheetId="6">'01.08 Spear Motors-Kyambogo'!$A$1:$AF$108</definedName>
    <definedName name="_xlnm.Print_Area" localSheetId="9">'02.08 Kyambogo-Spear Motors'!$A$1:$AF$60</definedName>
    <definedName name="_xlnm.Print_Area" localSheetId="8">'02.08 Spear Motors-Kyambogo'!$A$1:$AF$60</definedName>
    <definedName name="_xlnm.Print_Area" localSheetId="11">'03.08 Kyambogo-Spear Motors'!$A$1:$AF$108</definedName>
    <definedName name="_xlnm.Print_Area" localSheetId="10">'03.08 Spear Motors-Kyambogo'!$A$1:$AF$108</definedName>
    <definedName name="_xlnm.Print_Area" localSheetId="13">'04.08 Kyambogo-Spear Motors'!$A$1:$AF$60</definedName>
    <definedName name="_xlnm.Print_Area" localSheetId="12">'04.08 Spear Motors-Kyambogo'!$A$1:$AF$60</definedName>
    <definedName name="_xlnm.Print_Area" localSheetId="1">'29.07 Kyambogo-Spear Motors'!$A$1:$AF$60</definedName>
    <definedName name="_xlnm.Print_Area" localSheetId="0">'29.07 Spear Motors-Kyambogo'!$A$1:$AF$60</definedName>
    <definedName name="_xlnm.Print_Area" localSheetId="3">'30.07 Kyambogo-Spear Motors'!$A$1:$AF$60</definedName>
    <definedName name="_xlnm.Print_Area" localSheetId="2">'30.07 Spear Motors-Kyambogo'!$A$1:$AF$60</definedName>
    <definedName name="_xlnm.Print_Area" localSheetId="5">'31.07 Kyambogo-Spear Motors'!$A$1:$AF$60</definedName>
    <definedName name="_xlnm.Print_Area" localSheetId="4">'31.07 Spear Motors-Kyambogo'!$A$1:$AF$60</definedName>
    <definedName name="_xlnm.Print_Area" localSheetId="15">'Avg Week Kyambogo-Spear Motors'!$A$1:$AF$108</definedName>
    <definedName name="_xlnm.Print_Area" localSheetId="16">'Avg Week Spear Motors-2Dir'!$A$1:$AF$108</definedName>
    <definedName name="_xlnm.Print_Area" localSheetId="14">'Avg Week Spear Motors-Kyambogo'!$A$1:$AF$108</definedName>
    <definedName name="_xlnm.Print_Titles" localSheetId="7">'01.08 Kyambogo-Spear Motors'!$1:$8</definedName>
    <definedName name="_xlnm.Print_Titles" localSheetId="6">'01.08 Spear Motors-Kyambogo'!$1:$8</definedName>
    <definedName name="_xlnm.Print_Titles" localSheetId="9">'02.08 Kyambogo-Spear Motors'!$1:$8</definedName>
    <definedName name="_xlnm.Print_Titles" localSheetId="8">'02.08 Spear Motors-Kyambogo'!$1:$8</definedName>
    <definedName name="_xlnm.Print_Titles" localSheetId="11">'03.08 Kyambogo-Spear Motors'!$1:$8</definedName>
    <definedName name="_xlnm.Print_Titles" localSheetId="10">'03.08 Spear Motors-Kyambogo'!$1:$8</definedName>
    <definedName name="_xlnm.Print_Titles" localSheetId="13">'04.08 Kyambogo-Spear Motors'!$1:$8</definedName>
    <definedName name="_xlnm.Print_Titles" localSheetId="12">'04.08 Spear Motors-Kyambogo'!$1:$8</definedName>
    <definedName name="_xlnm.Print_Titles" localSheetId="1">'29.07 Kyambogo-Spear Motors'!$1:$8</definedName>
    <definedName name="_xlnm.Print_Titles" localSheetId="0">'29.07 Spear Motors-Kyambogo'!$1:$8</definedName>
    <definedName name="_xlnm.Print_Titles" localSheetId="3">'30.07 Kyambogo-Spear Motors'!$1:$8</definedName>
    <definedName name="_xlnm.Print_Titles" localSheetId="2">'30.07 Spear Motors-Kyambogo'!$1:$8</definedName>
    <definedName name="_xlnm.Print_Titles" localSheetId="5">'31.07 Kyambogo-Spear Motors'!$1:$8</definedName>
    <definedName name="_xlnm.Print_Titles" localSheetId="4">'31.07 Spear Motors-Kyambogo'!$1:$8</definedName>
    <definedName name="_xlnm.Print_Titles" localSheetId="15">'Avg Week Kyambogo-Spear Motors'!$1:$8</definedName>
    <definedName name="_xlnm.Print_Titles" localSheetId="16">'Avg Week Spear Motors-2Dir'!$1:$8</definedName>
    <definedName name="_xlnm.Print_Titles" localSheetId="14">'Avg Week Spear Motors-Kyambogo'!$1:$8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06" i="111" l="1"/>
  <c r="E106" i="111"/>
  <c r="F106" i="111"/>
  <c r="G106" i="111"/>
  <c r="H106" i="111"/>
  <c r="I106" i="111"/>
  <c r="J106" i="111"/>
  <c r="K106" i="111"/>
  <c r="L106" i="111"/>
  <c r="M106" i="111"/>
  <c r="N106" i="111"/>
  <c r="O106" i="111"/>
  <c r="P106" i="111"/>
  <c r="C106" i="111"/>
  <c r="AB40" i="111" l="1"/>
  <c r="AF41" i="111"/>
  <c r="AF42" i="111" s="1"/>
  <c r="AE41" i="111"/>
  <c r="AE42" i="111" s="1"/>
  <c r="AC41" i="111"/>
  <c r="AC42" i="111" s="1"/>
  <c r="AB41" i="111"/>
  <c r="AB42" i="111" s="1"/>
  <c r="AA41" i="111"/>
  <c r="AA42" i="111" s="1"/>
  <c r="Z41" i="111"/>
  <c r="Z42" i="111" s="1"/>
  <c r="Y41" i="111"/>
  <c r="Y42" i="111" s="1"/>
  <c r="X41" i="111"/>
  <c r="X42" i="111" s="1"/>
  <c r="W41" i="111"/>
  <c r="W42" i="111" s="1"/>
  <c r="V41" i="111"/>
  <c r="V42" i="111" s="1"/>
  <c r="U41" i="111"/>
  <c r="U42" i="111" s="1"/>
  <c r="T41" i="111"/>
  <c r="T42" i="111" s="1"/>
  <c r="S41" i="111"/>
  <c r="S42" i="111" s="1"/>
  <c r="T22" i="111"/>
  <c r="U22" i="111"/>
  <c r="V22" i="111"/>
  <c r="W22" i="111"/>
  <c r="X22" i="111"/>
  <c r="Y22" i="111"/>
  <c r="Z22" i="111"/>
  <c r="AA22" i="111"/>
  <c r="AB22" i="111"/>
  <c r="AC22" i="111"/>
  <c r="AD22" i="111"/>
  <c r="AE22" i="111"/>
  <c r="AF22" i="111"/>
  <c r="T23" i="111"/>
  <c r="U23" i="111"/>
  <c r="V23" i="111"/>
  <c r="W23" i="111"/>
  <c r="X23" i="111"/>
  <c r="Y23" i="111"/>
  <c r="Z23" i="111"/>
  <c r="AA23" i="111"/>
  <c r="AB23" i="111"/>
  <c r="AC23" i="111"/>
  <c r="AD23" i="111"/>
  <c r="AE23" i="111"/>
  <c r="AF23" i="111"/>
  <c r="T24" i="111"/>
  <c r="U24" i="111"/>
  <c r="V24" i="111"/>
  <c r="W24" i="111"/>
  <c r="X24" i="111"/>
  <c r="Y24" i="111"/>
  <c r="Z24" i="111"/>
  <c r="AA24" i="111"/>
  <c r="AB24" i="111"/>
  <c r="AC24" i="111"/>
  <c r="AD24" i="111"/>
  <c r="AE24" i="111"/>
  <c r="AF24" i="111"/>
  <c r="T25" i="111"/>
  <c r="U25" i="111"/>
  <c r="V25" i="111"/>
  <c r="W25" i="111"/>
  <c r="X25" i="111"/>
  <c r="Y25" i="111"/>
  <c r="Z25" i="111"/>
  <c r="AA25" i="111"/>
  <c r="AB25" i="111"/>
  <c r="AC25" i="111"/>
  <c r="AD25" i="111"/>
  <c r="AE25" i="111"/>
  <c r="AF25" i="111"/>
  <c r="T26" i="111"/>
  <c r="U26" i="111"/>
  <c r="V26" i="111"/>
  <c r="W26" i="111"/>
  <c r="X26" i="111"/>
  <c r="Y26" i="111"/>
  <c r="Z26" i="111"/>
  <c r="AA26" i="111"/>
  <c r="AB26" i="111"/>
  <c r="AC26" i="111"/>
  <c r="AD26" i="111"/>
  <c r="AE26" i="111"/>
  <c r="AF26" i="111"/>
  <c r="T27" i="111"/>
  <c r="U27" i="111"/>
  <c r="V27" i="111"/>
  <c r="W27" i="111"/>
  <c r="X27" i="111"/>
  <c r="Y27" i="111"/>
  <c r="Z27" i="111"/>
  <c r="AA27" i="111"/>
  <c r="AB27" i="111"/>
  <c r="AC27" i="111"/>
  <c r="AD27" i="111"/>
  <c r="AE27" i="111"/>
  <c r="AF27" i="111"/>
  <c r="T28" i="111"/>
  <c r="U28" i="111"/>
  <c r="V28" i="111"/>
  <c r="W28" i="111"/>
  <c r="X28" i="111"/>
  <c r="Y28" i="111"/>
  <c r="Z28" i="111"/>
  <c r="AA28" i="111"/>
  <c r="AB28" i="111"/>
  <c r="AC28" i="111"/>
  <c r="AD28" i="111"/>
  <c r="AE28" i="111"/>
  <c r="AF28" i="111"/>
  <c r="T29" i="111"/>
  <c r="U29" i="111"/>
  <c r="V29" i="111"/>
  <c r="W29" i="111"/>
  <c r="X29" i="111"/>
  <c r="Y29" i="111"/>
  <c r="Z29" i="111"/>
  <c r="AA29" i="111"/>
  <c r="AB29" i="111"/>
  <c r="AC29" i="111"/>
  <c r="AD29" i="111"/>
  <c r="AE29" i="111"/>
  <c r="AF29" i="111"/>
  <c r="T30" i="111"/>
  <c r="U30" i="111"/>
  <c r="V30" i="111"/>
  <c r="W30" i="111"/>
  <c r="X30" i="111"/>
  <c r="Y30" i="111"/>
  <c r="Z30" i="111"/>
  <c r="AA30" i="111"/>
  <c r="AB30" i="111"/>
  <c r="AC30" i="111"/>
  <c r="AD30" i="111"/>
  <c r="AE30" i="111"/>
  <c r="AF30" i="111"/>
  <c r="T31" i="111"/>
  <c r="U31" i="111"/>
  <c r="V31" i="111"/>
  <c r="W31" i="111"/>
  <c r="X31" i="111"/>
  <c r="Y31" i="111"/>
  <c r="Z31" i="111"/>
  <c r="AA31" i="111"/>
  <c r="AB31" i="111"/>
  <c r="AC31" i="111"/>
  <c r="AD31" i="111"/>
  <c r="AE31" i="111"/>
  <c r="AF31" i="111"/>
  <c r="T32" i="111"/>
  <c r="U32" i="111"/>
  <c r="V32" i="111"/>
  <c r="W32" i="111"/>
  <c r="X32" i="111"/>
  <c r="Y32" i="111"/>
  <c r="Z32" i="111"/>
  <c r="AA32" i="111"/>
  <c r="AB32" i="111"/>
  <c r="AC32" i="111"/>
  <c r="AD32" i="111"/>
  <c r="AE32" i="111"/>
  <c r="AF32" i="111"/>
  <c r="T33" i="111"/>
  <c r="U33" i="111"/>
  <c r="V33" i="111"/>
  <c r="W33" i="111"/>
  <c r="X33" i="111"/>
  <c r="Y33" i="111"/>
  <c r="Z33" i="111"/>
  <c r="AA33" i="111"/>
  <c r="AB33" i="111"/>
  <c r="AC33" i="111"/>
  <c r="AD33" i="111"/>
  <c r="AE33" i="111"/>
  <c r="AF33" i="111"/>
  <c r="S33" i="111"/>
  <c r="S32" i="111"/>
  <c r="S31" i="111"/>
  <c r="S30" i="111"/>
  <c r="S29" i="111"/>
  <c r="S28" i="111"/>
  <c r="S27" i="111"/>
  <c r="S26" i="111"/>
  <c r="S25" i="111"/>
  <c r="S24" i="111"/>
  <c r="S23" i="111"/>
  <c r="S22" i="111"/>
  <c r="AF41" i="108"/>
  <c r="AF42" i="108" s="1"/>
  <c r="AE41" i="108"/>
  <c r="AE42" i="108" s="1"/>
  <c r="AD41" i="108"/>
  <c r="AD42" i="108" s="1"/>
  <c r="AC41" i="108"/>
  <c r="AC42" i="108" s="1"/>
  <c r="AB41" i="108"/>
  <c r="AB42" i="108" s="1"/>
  <c r="AA41" i="108"/>
  <c r="AA42" i="108" s="1"/>
  <c r="Z41" i="108"/>
  <c r="Z42" i="108" s="1"/>
  <c r="Y41" i="108"/>
  <c r="Y42" i="108" s="1"/>
  <c r="X41" i="108"/>
  <c r="X42" i="108" s="1"/>
  <c r="W41" i="108"/>
  <c r="W42" i="108" s="1"/>
  <c r="V41" i="108"/>
  <c r="V42" i="108" s="1"/>
  <c r="U41" i="108"/>
  <c r="U42" i="108" s="1"/>
  <c r="T41" i="108"/>
  <c r="T42" i="108" s="1"/>
  <c r="S41" i="108"/>
  <c r="S42" i="108" s="1"/>
  <c r="AF41" i="107"/>
  <c r="AF42" i="107" s="1"/>
  <c r="AE41" i="107"/>
  <c r="AE42" i="107" s="1"/>
  <c r="AD41" i="107"/>
  <c r="AD42" i="107" s="1"/>
  <c r="AC41" i="107"/>
  <c r="AC42" i="107" s="1"/>
  <c r="AB41" i="107"/>
  <c r="AB42" i="107" s="1"/>
  <c r="AA41" i="107"/>
  <c r="AA42" i="107" s="1"/>
  <c r="Z41" i="107"/>
  <c r="Z42" i="107" s="1"/>
  <c r="Y41" i="107"/>
  <c r="Y42" i="107" s="1"/>
  <c r="X41" i="107"/>
  <c r="X42" i="107" s="1"/>
  <c r="W41" i="107"/>
  <c r="W42" i="107" s="1"/>
  <c r="V41" i="107"/>
  <c r="V42" i="107" s="1"/>
  <c r="U41" i="107"/>
  <c r="U42" i="107" s="1"/>
  <c r="T41" i="107"/>
  <c r="T42" i="107" s="1"/>
  <c r="S41" i="107"/>
  <c r="S42" i="107" s="1"/>
  <c r="T22" i="108"/>
  <c r="U22" i="108"/>
  <c r="V22" i="108"/>
  <c r="W22" i="108"/>
  <c r="X22" i="108"/>
  <c r="Y22" i="108"/>
  <c r="Z22" i="108"/>
  <c r="AA22" i="108"/>
  <c r="AB22" i="108"/>
  <c r="AC22" i="108"/>
  <c r="AD22" i="108"/>
  <c r="AE22" i="108"/>
  <c r="AF22" i="108"/>
  <c r="T23" i="108"/>
  <c r="U23" i="108"/>
  <c r="V23" i="108"/>
  <c r="W23" i="108"/>
  <c r="X23" i="108"/>
  <c r="Y23" i="108"/>
  <c r="Z23" i="108"/>
  <c r="AA23" i="108"/>
  <c r="AB23" i="108"/>
  <c r="AC23" i="108"/>
  <c r="AD23" i="108"/>
  <c r="AE23" i="108"/>
  <c r="AF23" i="108"/>
  <c r="T24" i="108"/>
  <c r="U24" i="108"/>
  <c r="V24" i="108"/>
  <c r="W24" i="108"/>
  <c r="X24" i="108"/>
  <c r="Y24" i="108"/>
  <c r="Z24" i="108"/>
  <c r="AA24" i="108"/>
  <c r="AB24" i="108"/>
  <c r="AC24" i="108"/>
  <c r="AD24" i="108"/>
  <c r="AE24" i="108"/>
  <c r="AF24" i="108"/>
  <c r="T25" i="108"/>
  <c r="U25" i="108"/>
  <c r="V25" i="108"/>
  <c r="W25" i="108"/>
  <c r="X25" i="108"/>
  <c r="Y25" i="108"/>
  <c r="Z25" i="108"/>
  <c r="AA25" i="108"/>
  <c r="AB25" i="108"/>
  <c r="AC25" i="108"/>
  <c r="AD25" i="108"/>
  <c r="AE25" i="108"/>
  <c r="AF25" i="108"/>
  <c r="T26" i="108"/>
  <c r="U26" i="108"/>
  <c r="V26" i="108"/>
  <c r="W26" i="108"/>
  <c r="X26" i="108"/>
  <c r="Y26" i="108"/>
  <c r="Z26" i="108"/>
  <c r="AA26" i="108"/>
  <c r="AB26" i="108"/>
  <c r="AC26" i="108"/>
  <c r="AD26" i="108"/>
  <c r="AE26" i="108"/>
  <c r="AF26" i="108"/>
  <c r="T27" i="108"/>
  <c r="U27" i="108"/>
  <c r="V27" i="108"/>
  <c r="W27" i="108"/>
  <c r="X27" i="108"/>
  <c r="Y27" i="108"/>
  <c r="Z27" i="108"/>
  <c r="AA27" i="108"/>
  <c r="AB27" i="108"/>
  <c r="AC27" i="108"/>
  <c r="AD27" i="108"/>
  <c r="AE27" i="108"/>
  <c r="AF27" i="108"/>
  <c r="T28" i="108"/>
  <c r="U28" i="108"/>
  <c r="V28" i="108"/>
  <c r="W28" i="108"/>
  <c r="X28" i="108"/>
  <c r="Y28" i="108"/>
  <c r="Z28" i="108"/>
  <c r="AA28" i="108"/>
  <c r="AB28" i="108"/>
  <c r="AC28" i="108"/>
  <c r="AD28" i="108"/>
  <c r="AE28" i="108"/>
  <c r="AF28" i="108"/>
  <c r="T29" i="108"/>
  <c r="U29" i="108"/>
  <c r="V29" i="108"/>
  <c r="W29" i="108"/>
  <c r="X29" i="108"/>
  <c r="Y29" i="108"/>
  <c r="Z29" i="108"/>
  <c r="AA29" i="108"/>
  <c r="AB29" i="108"/>
  <c r="AC29" i="108"/>
  <c r="AD29" i="108"/>
  <c r="AE29" i="108"/>
  <c r="AF29" i="108"/>
  <c r="T30" i="108"/>
  <c r="U30" i="108"/>
  <c r="V30" i="108"/>
  <c r="W30" i="108"/>
  <c r="X30" i="108"/>
  <c r="Y30" i="108"/>
  <c r="Z30" i="108"/>
  <c r="AA30" i="108"/>
  <c r="AB30" i="108"/>
  <c r="AC30" i="108"/>
  <c r="AD30" i="108"/>
  <c r="AE30" i="108"/>
  <c r="AF30" i="108"/>
  <c r="T31" i="108"/>
  <c r="U31" i="108"/>
  <c r="V31" i="108"/>
  <c r="W31" i="108"/>
  <c r="X31" i="108"/>
  <c r="Y31" i="108"/>
  <c r="Z31" i="108"/>
  <c r="AA31" i="108"/>
  <c r="AB31" i="108"/>
  <c r="AC31" i="108"/>
  <c r="AD31" i="108"/>
  <c r="AE31" i="108"/>
  <c r="AF31" i="108"/>
  <c r="T32" i="108"/>
  <c r="U32" i="108"/>
  <c r="V32" i="108"/>
  <c r="W32" i="108"/>
  <c r="X32" i="108"/>
  <c r="Y32" i="108"/>
  <c r="Z32" i="108"/>
  <c r="AA32" i="108"/>
  <c r="AB32" i="108"/>
  <c r="AC32" i="108"/>
  <c r="AD32" i="108"/>
  <c r="AE32" i="108"/>
  <c r="AF32" i="108"/>
  <c r="T33" i="108"/>
  <c r="U33" i="108"/>
  <c r="V33" i="108"/>
  <c r="W33" i="108"/>
  <c r="X33" i="108"/>
  <c r="Y33" i="108"/>
  <c r="Z33" i="108"/>
  <c r="AA33" i="108"/>
  <c r="AB33" i="108"/>
  <c r="AC33" i="108"/>
  <c r="AD33" i="108"/>
  <c r="AE33" i="108"/>
  <c r="AF33" i="108"/>
  <c r="S33" i="108"/>
  <c r="S32" i="108"/>
  <c r="S31" i="108"/>
  <c r="S30" i="108"/>
  <c r="S29" i="108"/>
  <c r="S28" i="108"/>
  <c r="S27" i="108"/>
  <c r="S26" i="108"/>
  <c r="S25" i="108"/>
  <c r="S24" i="108"/>
  <c r="S23" i="108"/>
  <c r="S22" i="108"/>
  <c r="T22" i="107"/>
  <c r="U22" i="107"/>
  <c r="V22" i="107"/>
  <c r="W22" i="107"/>
  <c r="X22" i="107"/>
  <c r="Y22" i="107"/>
  <c r="Z22" i="107"/>
  <c r="AA22" i="107"/>
  <c r="AB22" i="107"/>
  <c r="AC22" i="107"/>
  <c r="AD22" i="107"/>
  <c r="AE22" i="107"/>
  <c r="AF22" i="107"/>
  <c r="T23" i="107"/>
  <c r="U23" i="107"/>
  <c r="V23" i="107"/>
  <c r="W23" i="107"/>
  <c r="X23" i="107"/>
  <c r="Y23" i="107"/>
  <c r="Z23" i="107"/>
  <c r="AA23" i="107"/>
  <c r="AB23" i="107"/>
  <c r="AC23" i="107"/>
  <c r="AD23" i="107"/>
  <c r="AE23" i="107"/>
  <c r="AF23" i="107"/>
  <c r="T24" i="107"/>
  <c r="U24" i="107"/>
  <c r="V24" i="107"/>
  <c r="W24" i="107"/>
  <c r="X24" i="107"/>
  <c r="Y24" i="107"/>
  <c r="Z24" i="107"/>
  <c r="AA24" i="107"/>
  <c r="AB24" i="107"/>
  <c r="AC24" i="107"/>
  <c r="AD24" i="107"/>
  <c r="AE24" i="107"/>
  <c r="AF24" i="107"/>
  <c r="T25" i="107"/>
  <c r="U25" i="107"/>
  <c r="V25" i="107"/>
  <c r="W25" i="107"/>
  <c r="X25" i="107"/>
  <c r="Y25" i="107"/>
  <c r="Z25" i="107"/>
  <c r="AA25" i="107"/>
  <c r="AB25" i="107"/>
  <c r="AC25" i="107"/>
  <c r="AD25" i="107"/>
  <c r="AE25" i="107"/>
  <c r="AF25" i="107"/>
  <c r="T26" i="107"/>
  <c r="U26" i="107"/>
  <c r="V26" i="107"/>
  <c r="W26" i="107"/>
  <c r="X26" i="107"/>
  <c r="Y26" i="107"/>
  <c r="Z26" i="107"/>
  <c r="AA26" i="107"/>
  <c r="AB26" i="107"/>
  <c r="AC26" i="107"/>
  <c r="AD26" i="107"/>
  <c r="AE26" i="107"/>
  <c r="AF26" i="107"/>
  <c r="T27" i="107"/>
  <c r="U27" i="107"/>
  <c r="V27" i="107"/>
  <c r="W27" i="107"/>
  <c r="X27" i="107"/>
  <c r="Y27" i="107"/>
  <c r="Z27" i="107"/>
  <c r="AA27" i="107"/>
  <c r="AB27" i="107"/>
  <c r="AC27" i="107"/>
  <c r="AD27" i="107"/>
  <c r="AE27" i="107"/>
  <c r="AF27" i="107"/>
  <c r="T28" i="107"/>
  <c r="U28" i="107"/>
  <c r="V28" i="107"/>
  <c r="W28" i="107"/>
  <c r="X28" i="107"/>
  <c r="Y28" i="107"/>
  <c r="Z28" i="107"/>
  <c r="AA28" i="107"/>
  <c r="AB28" i="107"/>
  <c r="AC28" i="107"/>
  <c r="AD28" i="107"/>
  <c r="AE28" i="107"/>
  <c r="AF28" i="107"/>
  <c r="T29" i="107"/>
  <c r="U29" i="107"/>
  <c r="V29" i="107"/>
  <c r="W29" i="107"/>
  <c r="X29" i="107"/>
  <c r="Y29" i="107"/>
  <c r="Z29" i="107"/>
  <c r="AA29" i="107"/>
  <c r="AB29" i="107"/>
  <c r="AC29" i="107"/>
  <c r="AD29" i="107"/>
  <c r="AE29" i="107"/>
  <c r="AF29" i="107"/>
  <c r="T30" i="107"/>
  <c r="U30" i="107"/>
  <c r="V30" i="107"/>
  <c r="W30" i="107"/>
  <c r="X30" i="107"/>
  <c r="Y30" i="107"/>
  <c r="Z30" i="107"/>
  <c r="AA30" i="107"/>
  <c r="AB30" i="107"/>
  <c r="AC30" i="107"/>
  <c r="AD30" i="107"/>
  <c r="AE30" i="107"/>
  <c r="AF30" i="107"/>
  <c r="T31" i="107"/>
  <c r="U31" i="107"/>
  <c r="V31" i="107"/>
  <c r="W31" i="107"/>
  <c r="X31" i="107"/>
  <c r="Y31" i="107"/>
  <c r="Z31" i="107"/>
  <c r="AA31" i="107"/>
  <c r="AB31" i="107"/>
  <c r="AC31" i="107"/>
  <c r="AD31" i="107"/>
  <c r="AE31" i="107"/>
  <c r="AF31" i="107"/>
  <c r="T32" i="107"/>
  <c r="U32" i="107"/>
  <c r="V32" i="107"/>
  <c r="W32" i="107"/>
  <c r="X32" i="107"/>
  <c r="Y32" i="107"/>
  <c r="Z32" i="107"/>
  <c r="AA32" i="107"/>
  <c r="AB32" i="107"/>
  <c r="AC32" i="107"/>
  <c r="AD32" i="107"/>
  <c r="AE32" i="107"/>
  <c r="AF32" i="107"/>
  <c r="T33" i="107"/>
  <c r="U33" i="107"/>
  <c r="V33" i="107"/>
  <c r="W33" i="107"/>
  <c r="X33" i="107"/>
  <c r="Y33" i="107"/>
  <c r="Z33" i="107"/>
  <c r="AA33" i="107"/>
  <c r="AB33" i="107"/>
  <c r="AC33" i="107"/>
  <c r="AD33" i="107"/>
  <c r="AE33" i="107"/>
  <c r="AF33" i="107"/>
  <c r="S33" i="107"/>
  <c r="S32" i="107"/>
  <c r="S31" i="107"/>
  <c r="S30" i="107"/>
  <c r="S29" i="107"/>
  <c r="S28" i="107"/>
  <c r="S27" i="107"/>
  <c r="S26" i="107"/>
  <c r="S25" i="107"/>
  <c r="S24" i="107"/>
  <c r="S23" i="107"/>
  <c r="S22" i="107"/>
  <c r="D58" i="111"/>
  <c r="E58" i="111"/>
  <c r="F58" i="111"/>
  <c r="G58" i="111"/>
  <c r="H58" i="111"/>
  <c r="I58" i="111"/>
  <c r="J58" i="111"/>
  <c r="K58" i="111"/>
  <c r="L58" i="111"/>
  <c r="M58" i="111"/>
  <c r="N58" i="111"/>
  <c r="D59" i="111"/>
  <c r="E59" i="111"/>
  <c r="F59" i="111"/>
  <c r="G59" i="111"/>
  <c r="H59" i="111"/>
  <c r="I59" i="111"/>
  <c r="J59" i="111"/>
  <c r="K59" i="111"/>
  <c r="L59" i="111"/>
  <c r="M59" i="111"/>
  <c r="N59" i="111"/>
  <c r="D60" i="111"/>
  <c r="E60" i="111"/>
  <c r="F60" i="111"/>
  <c r="G60" i="111"/>
  <c r="H60" i="111"/>
  <c r="I60" i="111"/>
  <c r="J60" i="111"/>
  <c r="K60" i="111"/>
  <c r="L60" i="111"/>
  <c r="M60" i="111"/>
  <c r="N60" i="111"/>
  <c r="D61" i="111"/>
  <c r="E61" i="111"/>
  <c r="F61" i="111"/>
  <c r="G61" i="111"/>
  <c r="H61" i="111"/>
  <c r="I61" i="111"/>
  <c r="J61" i="111"/>
  <c r="K61" i="111"/>
  <c r="L61" i="111"/>
  <c r="M61" i="111"/>
  <c r="N61" i="111"/>
  <c r="D62" i="111"/>
  <c r="E62" i="111"/>
  <c r="F62" i="111"/>
  <c r="G62" i="111"/>
  <c r="H62" i="111"/>
  <c r="I62" i="111"/>
  <c r="J62" i="111"/>
  <c r="K62" i="111"/>
  <c r="L62" i="111"/>
  <c r="M62" i="111"/>
  <c r="N62" i="111"/>
  <c r="D63" i="111"/>
  <c r="E63" i="111"/>
  <c r="F63" i="111"/>
  <c r="G63" i="111"/>
  <c r="H63" i="111"/>
  <c r="I63" i="111"/>
  <c r="J63" i="111"/>
  <c r="K63" i="111"/>
  <c r="L63" i="111"/>
  <c r="M63" i="111"/>
  <c r="N63" i="111"/>
  <c r="D64" i="111"/>
  <c r="E64" i="111"/>
  <c r="F64" i="111"/>
  <c r="G64" i="111"/>
  <c r="H64" i="111"/>
  <c r="I64" i="111"/>
  <c r="J64" i="111"/>
  <c r="K64" i="111"/>
  <c r="L64" i="111"/>
  <c r="M64" i="111"/>
  <c r="N64" i="111"/>
  <c r="D65" i="111"/>
  <c r="E65" i="111"/>
  <c r="F65" i="111"/>
  <c r="G65" i="111"/>
  <c r="H65" i="111"/>
  <c r="I65" i="111"/>
  <c r="J65" i="111"/>
  <c r="K65" i="111"/>
  <c r="L65" i="111"/>
  <c r="M65" i="111"/>
  <c r="N65" i="111"/>
  <c r="D66" i="111"/>
  <c r="E66" i="111"/>
  <c r="F66" i="111"/>
  <c r="G66" i="111"/>
  <c r="H66" i="111"/>
  <c r="I66" i="111"/>
  <c r="J66" i="111"/>
  <c r="K66" i="111"/>
  <c r="L66" i="111"/>
  <c r="M66" i="111"/>
  <c r="N66" i="111"/>
  <c r="D67" i="111"/>
  <c r="E67" i="111"/>
  <c r="F67" i="111"/>
  <c r="G67" i="111"/>
  <c r="H67" i="111"/>
  <c r="I67" i="111"/>
  <c r="J67" i="111"/>
  <c r="K67" i="111"/>
  <c r="L67" i="111"/>
  <c r="M67" i="111"/>
  <c r="N67" i="111"/>
  <c r="D68" i="111"/>
  <c r="E68" i="111"/>
  <c r="F68" i="111"/>
  <c r="G68" i="111"/>
  <c r="H68" i="111"/>
  <c r="I68" i="111"/>
  <c r="J68" i="111"/>
  <c r="K68" i="111"/>
  <c r="L68" i="111"/>
  <c r="M68" i="111"/>
  <c r="N68" i="111"/>
  <c r="D69" i="111"/>
  <c r="E69" i="111"/>
  <c r="F69" i="111"/>
  <c r="G69" i="111"/>
  <c r="H69" i="111"/>
  <c r="I69" i="111"/>
  <c r="J69" i="111"/>
  <c r="K69" i="111"/>
  <c r="L69" i="111"/>
  <c r="M69" i="111"/>
  <c r="N69" i="111"/>
  <c r="D70" i="111"/>
  <c r="E70" i="111"/>
  <c r="F70" i="111"/>
  <c r="G70" i="111"/>
  <c r="H70" i="111"/>
  <c r="I70" i="111"/>
  <c r="J70" i="111"/>
  <c r="K70" i="111"/>
  <c r="L70" i="111"/>
  <c r="M70" i="111"/>
  <c r="N70" i="111"/>
  <c r="D71" i="111"/>
  <c r="E71" i="111"/>
  <c r="F71" i="111"/>
  <c r="G71" i="111"/>
  <c r="H71" i="111"/>
  <c r="I71" i="111"/>
  <c r="J71" i="111"/>
  <c r="K71" i="111"/>
  <c r="L71" i="111"/>
  <c r="M71" i="111"/>
  <c r="N71" i="111"/>
  <c r="D72" i="111"/>
  <c r="E72" i="111"/>
  <c r="F72" i="111"/>
  <c r="G72" i="111"/>
  <c r="H72" i="111"/>
  <c r="I72" i="111"/>
  <c r="J72" i="111"/>
  <c r="K72" i="111"/>
  <c r="L72" i="111"/>
  <c r="M72" i="111"/>
  <c r="N72" i="111"/>
  <c r="D73" i="111"/>
  <c r="E73" i="111"/>
  <c r="F73" i="111"/>
  <c r="G73" i="111"/>
  <c r="H73" i="111"/>
  <c r="I73" i="111"/>
  <c r="J73" i="111"/>
  <c r="K73" i="111"/>
  <c r="L73" i="111"/>
  <c r="M73" i="111"/>
  <c r="N73" i="111"/>
  <c r="D74" i="111"/>
  <c r="E74" i="111"/>
  <c r="F74" i="111"/>
  <c r="G74" i="111"/>
  <c r="H74" i="111"/>
  <c r="I74" i="111"/>
  <c r="J74" i="111"/>
  <c r="K74" i="111"/>
  <c r="L74" i="111"/>
  <c r="M74" i="111"/>
  <c r="N74" i="111"/>
  <c r="D75" i="111"/>
  <c r="E75" i="111"/>
  <c r="F75" i="111"/>
  <c r="G75" i="111"/>
  <c r="H75" i="111"/>
  <c r="I75" i="111"/>
  <c r="J75" i="111"/>
  <c r="K75" i="111"/>
  <c r="L75" i="111"/>
  <c r="M75" i="111"/>
  <c r="N75" i="111"/>
  <c r="D76" i="111"/>
  <c r="E76" i="111"/>
  <c r="F76" i="111"/>
  <c r="G76" i="111"/>
  <c r="H76" i="111"/>
  <c r="I76" i="111"/>
  <c r="J76" i="111"/>
  <c r="K76" i="111"/>
  <c r="L76" i="111"/>
  <c r="M76" i="111"/>
  <c r="N76" i="111"/>
  <c r="D77" i="111"/>
  <c r="E77" i="111"/>
  <c r="F77" i="111"/>
  <c r="G77" i="111"/>
  <c r="H77" i="111"/>
  <c r="I77" i="111"/>
  <c r="J77" i="111"/>
  <c r="K77" i="111"/>
  <c r="L77" i="111"/>
  <c r="M77" i="111"/>
  <c r="N77" i="111"/>
  <c r="D78" i="111"/>
  <c r="E78" i="111"/>
  <c r="F78" i="111"/>
  <c r="G78" i="111"/>
  <c r="H78" i="111"/>
  <c r="I78" i="111"/>
  <c r="J78" i="111"/>
  <c r="K78" i="111"/>
  <c r="L78" i="111"/>
  <c r="M78" i="111"/>
  <c r="N78" i="111"/>
  <c r="D79" i="111"/>
  <c r="E79" i="111"/>
  <c r="F79" i="111"/>
  <c r="G79" i="111"/>
  <c r="H79" i="111"/>
  <c r="I79" i="111"/>
  <c r="J79" i="111"/>
  <c r="K79" i="111"/>
  <c r="L79" i="111"/>
  <c r="M79" i="111"/>
  <c r="N79" i="111"/>
  <c r="D80" i="111"/>
  <c r="E80" i="111"/>
  <c r="F80" i="111"/>
  <c r="G80" i="111"/>
  <c r="H80" i="111"/>
  <c r="I80" i="111"/>
  <c r="J80" i="111"/>
  <c r="K80" i="111"/>
  <c r="L80" i="111"/>
  <c r="M80" i="111"/>
  <c r="N80" i="111"/>
  <c r="D81" i="111"/>
  <c r="E81" i="111"/>
  <c r="F81" i="111"/>
  <c r="G81" i="111"/>
  <c r="H81" i="111"/>
  <c r="I81" i="111"/>
  <c r="J81" i="111"/>
  <c r="K81" i="111"/>
  <c r="L81" i="111"/>
  <c r="M81" i="111"/>
  <c r="N81" i="111"/>
  <c r="D82" i="111"/>
  <c r="E82" i="111"/>
  <c r="F82" i="111"/>
  <c r="G82" i="111"/>
  <c r="H82" i="111"/>
  <c r="I82" i="111"/>
  <c r="J82" i="111"/>
  <c r="K82" i="111"/>
  <c r="L82" i="111"/>
  <c r="M82" i="111"/>
  <c r="N82" i="111"/>
  <c r="D83" i="111"/>
  <c r="E83" i="111"/>
  <c r="F83" i="111"/>
  <c r="G83" i="111"/>
  <c r="H83" i="111"/>
  <c r="I83" i="111"/>
  <c r="J83" i="111"/>
  <c r="K83" i="111"/>
  <c r="L83" i="111"/>
  <c r="M83" i="111"/>
  <c r="N83" i="111"/>
  <c r="D84" i="111"/>
  <c r="E84" i="111"/>
  <c r="F84" i="111"/>
  <c r="G84" i="111"/>
  <c r="H84" i="111"/>
  <c r="I84" i="111"/>
  <c r="J84" i="111"/>
  <c r="K84" i="111"/>
  <c r="L84" i="111"/>
  <c r="M84" i="111"/>
  <c r="N84" i="111"/>
  <c r="D85" i="111"/>
  <c r="E85" i="111"/>
  <c r="F85" i="111"/>
  <c r="G85" i="111"/>
  <c r="H85" i="111"/>
  <c r="I85" i="111"/>
  <c r="J85" i="111"/>
  <c r="K85" i="111"/>
  <c r="L85" i="111"/>
  <c r="M85" i="111"/>
  <c r="N85" i="111"/>
  <c r="D86" i="111"/>
  <c r="E86" i="111"/>
  <c r="F86" i="111"/>
  <c r="G86" i="111"/>
  <c r="H86" i="111"/>
  <c r="I86" i="111"/>
  <c r="J86" i="111"/>
  <c r="K86" i="111"/>
  <c r="L86" i="111"/>
  <c r="M86" i="111"/>
  <c r="N86" i="111"/>
  <c r="D87" i="111"/>
  <c r="E87" i="111"/>
  <c r="F87" i="111"/>
  <c r="G87" i="111"/>
  <c r="H87" i="111"/>
  <c r="I87" i="111"/>
  <c r="J87" i="111"/>
  <c r="K87" i="111"/>
  <c r="L87" i="111"/>
  <c r="M87" i="111"/>
  <c r="N87" i="111"/>
  <c r="D88" i="111"/>
  <c r="E88" i="111"/>
  <c r="F88" i="111"/>
  <c r="G88" i="111"/>
  <c r="H88" i="111"/>
  <c r="I88" i="111"/>
  <c r="J88" i="111"/>
  <c r="K88" i="111"/>
  <c r="L88" i="111"/>
  <c r="M88" i="111"/>
  <c r="N88" i="111"/>
  <c r="D89" i="111"/>
  <c r="E89" i="111"/>
  <c r="F89" i="111"/>
  <c r="G89" i="111"/>
  <c r="H89" i="111"/>
  <c r="I89" i="111"/>
  <c r="J89" i="111"/>
  <c r="K89" i="111"/>
  <c r="L89" i="111"/>
  <c r="M89" i="111"/>
  <c r="N89" i="111"/>
  <c r="D90" i="111"/>
  <c r="E90" i="111"/>
  <c r="F90" i="111"/>
  <c r="G90" i="111"/>
  <c r="H90" i="111"/>
  <c r="I90" i="111"/>
  <c r="J90" i="111"/>
  <c r="K90" i="111"/>
  <c r="L90" i="111"/>
  <c r="M90" i="111"/>
  <c r="N90" i="111"/>
  <c r="D91" i="111"/>
  <c r="E91" i="111"/>
  <c r="F91" i="111"/>
  <c r="G91" i="111"/>
  <c r="H91" i="111"/>
  <c r="I91" i="111"/>
  <c r="J91" i="111"/>
  <c r="K91" i="111"/>
  <c r="L91" i="111"/>
  <c r="M91" i="111"/>
  <c r="N91" i="111"/>
  <c r="D92" i="111"/>
  <c r="E92" i="111"/>
  <c r="F92" i="111"/>
  <c r="G92" i="111"/>
  <c r="H92" i="111"/>
  <c r="I92" i="111"/>
  <c r="J92" i="111"/>
  <c r="K92" i="111"/>
  <c r="L92" i="111"/>
  <c r="M92" i="111"/>
  <c r="N92" i="111"/>
  <c r="D93" i="111"/>
  <c r="E93" i="111"/>
  <c r="F93" i="111"/>
  <c r="G93" i="111"/>
  <c r="H93" i="111"/>
  <c r="I93" i="111"/>
  <c r="J93" i="111"/>
  <c r="K93" i="111"/>
  <c r="L93" i="111"/>
  <c r="M93" i="111"/>
  <c r="N93" i="111"/>
  <c r="D94" i="111"/>
  <c r="E94" i="111"/>
  <c r="F94" i="111"/>
  <c r="G94" i="111"/>
  <c r="H94" i="111"/>
  <c r="I94" i="111"/>
  <c r="J94" i="111"/>
  <c r="K94" i="111"/>
  <c r="L94" i="111"/>
  <c r="M94" i="111"/>
  <c r="N94" i="111"/>
  <c r="D95" i="111"/>
  <c r="E95" i="111"/>
  <c r="F95" i="111"/>
  <c r="G95" i="111"/>
  <c r="H95" i="111"/>
  <c r="I95" i="111"/>
  <c r="J95" i="111"/>
  <c r="K95" i="111"/>
  <c r="L95" i="111"/>
  <c r="M95" i="111"/>
  <c r="N95" i="111"/>
  <c r="D96" i="111"/>
  <c r="E96" i="111"/>
  <c r="F96" i="111"/>
  <c r="G96" i="111"/>
  <c r="H96" i="111"/>
  <c r="I96" i="111"/>
  <c r="J96" i="111"/>
  <c r="K96" i="111"/>
  <c r="L96" i="111"/>
  <c r="M96" i="111"/>
  <c r="N96" i="111"/>
  <c r="D97" i="111"/>
  <c r="E97" i="111"/>
  <c r="F97" i="111"/>
  <c r="G97" i="111"/>
  <c r="H97" i="111"/>
  <c r="I97" i="111"/>
  <c r="J97" i="111"/>
  <c r="K97" i="111"/>
  <c r="L97" i="111"/>
  <c r="M97" i="111"/>
  <c r="N97" i="111"/>
  <c r="D98" i="111"/>
  <c r="E98" i="111"/>
  <c r="F98" i="111"/>
  <c r="G98" i="111"/>
  <c r="H98" i="111"/>
  <c r="I98" i="111"/>
  <c r="J98" i="111"/>
  <c r="K98" i="111"/>
  <c r="L98" i="111"/>
  <c r="M98" i="111"/>
  <c r="N98" i="111"/>
  <c r="D99" i="111"/>
  <c r="E99" i="111"/>
  <c r="F99" i="111"/>
  <c r="G99" i="111"/>
  <c r="H99" i="111"/>
  <c r="I99" i="111"/>
  <c r="J99" i="111"/>
  <c r="K99" i="111"/>
  <c r="L99" i="111"/>
  <c r="M99" i="111"/>
  <c r="N99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C59" i="111"/>
  <c r="C60" i="111"/>
  <c r="C61" i="111"/>
  <c r="C62" i="111"/>
  <c r="C63" i="111"/>
  <c r="C64" i="111"/>
  <c r="C65" i="111"/>
  <c r="C66" i="111"/>
  <c r="C67" i="111"/>
  <c r="C68" i="111"/>
  <c r="C69" i="111"/>
  <c r="C70" i="111"/>
  <c r="C71" i="111"/>
  <c r="C72" i="111"/>
  <c r="C73" i="111"/>
  <c r="C74" i="111"/>
  <c r="C75" i="111"/>
  <c r="C76" i="111"/>
  <c r="C77" i="111"/>
  <c r="C78" i="111"/>
  <c r="C79" i="111"/>
  <c r="C80" i="111"/>
  <c r="C81" i="111"/>
  <c r="C82" i="111"/>
  <c r="C83" i="111"/>
  <c r="C84" i="111"/>
  <c r="C85" i="111"/>
  <c r="C86" i="111"/>
  <c r="C87" i="111"/>
  <c r="C88" i="111"/>
  <c r="C89" i="111"/>
  <c r="C90" i="111"/>
  <c r="C91" i="111"/>
  <c r="C92" i="111"/>
  <c r="C93" i="111"/>
  <c r="C94" i="111"/>
  <c r="C95" i="111"/>
  <c r="C96" i="111"/>
  <c r="C97" i="111"/>
  <c r="C98" i="111"/>
  <c r="C99" i="111"/>
  <c r="C100" i="111"/>
  <c r="C101" i="111"/>
  <c r="C102" i="111"/>
  <c r="C103" i="111"/>
  <c r="C104" i="111"/>
  <c r="C105" i="111"/>
  <c r="C58" i="111"/>
  <c r="D106" i="108"/>
  <c r="E106" i="108"/>
  <c r="F106" i="108"/>
  <c r="G106" i="108"/>
  <c r="H106" i="108"/>
  <c r="I106" i="108"/>
  <c r="J106" i="108"/>
  <c r="K106" i="108"/>
  <c r="L106" i="108"/>
  <c r="M106" i="108"/>
  <c r="N106" i="108"/>
  <c r="O106" i="108"/>
  <c r="P106" i="108"/>
  <c r="C106" i="108"/>
  <c r="D58" i="108"/>
  <c r="E58" i="108"/>
  <c r="F58" i="108"/>
  <c r="G58" i="108"/>
  <c r="H58" i="108"/>
  <c r="I58" i="108"/>
  <c r="J58" i="108"/>
  <c r="K58" i="108"/>
  <c r="L58" i="108"/>
  <c r="M58" i="108"/>
  <c r="N58" i="108"/>
  <c r="O58" i="108"/>
  <c r="P58" i="108"/>
  <c r="D59" i="108"/>
  <c r="E59" i="108"/>
  <c r="F59" i="108"/>
  <c r="G59" i="108"/>
  <c r="H59" i="108"/>
  <c r="I59" i="108"/>
  <c r="J59" i="108"/>
  <c r="K59" i="108"/>
  <c r="L59" i="108"/>
  <c r="M59" i="108"/>
  <c r="N59" i="108"/>
  <c r="O59" i="108"/>
  <c r="P59" i="108"/>
  <c r="D60" i="108"/>
  <c r="E60" i="108"/>
  <c r="F60" i="108"/>
  <c r="G60" i="108"/>
  <c r="H60" i="108"/>
  <c r="I60" i="108"/>
  <c r="J60" i="108"/>
  <c r="K60" i="108"/>
  <c r="L60" i="108"/>
  <c r="M60" i="108"/>
  <c r="N60" i="108"/>
  <c r="O60" i="108"/>
  <c r="P60" i="108"/>
  <c r="D61" i="108"/>
  <c r="E61" i="108"/>
  <c r="F61" i="108"/>
  <c r="G61" i="108"/>
  <c r="H61" i="108"/>
  <c r="I61" i="108"/>
  <c r="J61" i="108"/>
  <c r="K61" i="108"/>
  <c r="L61" i="108"/>
  <c r="M61" i="108"/>
  <c r="N61" i="108"/>
  <c r="O61" i="108"/>
  <c r="P61" i="108"/>
  <c r="D62" i="108"/>
  <c r="E62" i="108"/>
  <c r="F62" i="108"/>
  <c r="G62" i="108"/>
  <c r="H62" i="108"/>
  <c r="I62" i="108"/>
  <c r="J62" i="108"/>
  <c r="K62" i="108"/>
  <c r="L62" i="108"/>
  <c r="M62" i="108"/>
  <c r="N62" i="108"/>
  <c r="O62" i="108"/>
  <c r="P62" i="108"/>
  <c r="D63" i="108"/>
  <c r="E63" i="108"/>
  <c r="F63" i="108"/>
  <c r="G63" i="108"/>
  <c r="H63" i="108"/>
  <c r="I63" i="108"/>
  <c r="J63" i="108"/>
  <c r="K63" i="108"/>
  <c r="L63" i="108"/>
  <c r="M63" i="108"/>
  <c r="N63" i="108"/>
  <c r="O63" i="108"/>
  <c r="P63" i="108"/>
  <c r="D64" i="108"/>
  <c r="E64" i="108"/>
  <c r="F64" i="108"/>
  <c r="G64" i="108"/>
  <c r="H64" i="108"/>
  <c r="I64" i="108"/>
  <c r="J64" i="108"/>
  <c r="K64" i="108"/>
  <c r="L64" i="108"/>
  <c r="M64" i="108"/>
  <c r="N64" i="108"/>
  <c r="O64" i="108"/>
  <c r="P64" i="108"/>
  <c r="D65" i="108"/>
  <c r="E65" i="108"/>
  <c r="F65" i="108"/>
  <c r="G65" i="108"/>
  <c r="H65" i="108"/>
  <c r="I65" i="108"/>
  <c r="J65" i="108"/>
  <c r="K65" i="108"/>
  <c r="L65" i="108"/>
  <c r="M65" i="108"/>
  <c r="N65" i="108"/>
  <c r="O65" i="108"/>
  <c r="P65" i="108"/>
  <c r="D66" i="108"/>
  <c r="E66" i="108"/>
  <c r="F66" i="108"/>
  <c r="G66" i="108"/>
  <c r="H66" i="108"/>
  <c r="I66" i="108"/>
  <c r="J66" i="108"/>
  <c r="K66" i="108"/>
  <c r="L66" i="108"/>
  <c r="M66" i="108"/>
  <c r="N66" i="108"/>
  <c r="O66" i="108"/>
  <c r="P66" i="108"/>
  <c r="D67" i="108"/>
  <c r="E67" i="108"/>
  <c r="F67" i="108"/>
  <c r="G67" i="108"/>
  <c r="H67" i="108"/>
  <c r="I67" i="108"/>
  <c r="J67" i="108"/>
  <c r="K67" i="108"/>
  <c r="L67" i="108"/>
  <c r="M67" i="108"/>
  <c r="N67" i="108"/>
  <c r="O67" i="108"/>
  <c r="P67" i="108"/>
  <c r="D68" i="108"/>
  <c r="E68" i="108"/>
  <c r="F68" i="108"/>
  <c r="G68" i="108"/>
  <c r="H68" i="108"/>
  <c r="I68" i="108"/>
  <c r="J68" i="108"/>
  <c r="K68" i="108"/>
  <c r="L68" i="108"/>
  <c r="M68" i="108"/>
  <c r="N68" i="108"/>
  <c r="O68" i="108"/>
  <c r="P68" i="108"/>
  <c r="D69" i="108"/>
  <c r="E69" i="108"/>
  <c r="F69" i="108"/>
  <c r="G69" i="108"/>
  <c r="H69" i="108"/>
  <c r="I69" i="108"/>
  <c r="J69" i="108"/>
  <c r="K69" i="108"/>
  <c r="L69" i="108"/>
  <c r="M69" i="108"/>
  <c r="N69" i="108"/>
  <c r="O69" i="108"/>
  <c r="P69" i="108"/>
  <c r="D70" i="108"/>
  <c r="E70" i="108"/>
  <c r="F70" i="108"/>
  <c r="G70" i="108"/>
  <c r="H70" i="108"/>
  <c r="I70" i="108"/>
  <c r="J70" i="108"/>
  <c r="K70" i="108"/>
  <c r="L70" i="108"/>
  <c r="M70" i="108"/>
  <c r="N70" i="108"/>
  <c r="O70" i="108"/>
  <c r="P70" i="108"/>
  <c r="D71" i="108"/>
  <c r="E71" i="108"/>
  <c r="F71" i="108"/>
  <c r="G71" i="108"/>
  <c r="H71" i="108"/>
  <c r="I71" i="108"/>
  <c r="J71" i="108"/>
  <c r="K71" i="108"/>
  <c r="L71" i="108"/>
  <c r="M71" i="108"/>
  <c r="N71" i="108"/>
  <c r="O71" i="108"/>
  <c r="P71" i="108"/>
  <c r="D72" i="108"/>
  <c r="E72" i="108"/>
  <c r="F72" i="108"/>
  <c r="G72" i="108"/>
  <c r="H72" i="108"/>
  <c r="I72" i="108"/>
  <c r="J72" i="108"/>
  <c r="K72" i="108"/>
  <c r="L72" i="108"/>
  <c r="M72" i="108"/>
  <c r="N72" i="108"/>
  <c r="O72" i="108"/>
  <c r="P72" i="108"/>
  <c r="D73" i="108"/>
  <c r="E73" i="108"/>
  <c r="F73" i="108"/>
  <c r="G73" i="108"/>
  <c r="H73" i="108"/>
  <c r="I73" i="108"/>
  <c r="J73" i="108"/>
  <c r="K73" i="108"/>
  <c r="L73" i="108"/>
  <c r="M73" i="108"/>
  <c r="N73" i="108"/>
  <c r="O73" i="108"/>
  <c r="P73" i="108"/>
  <c r="D74" i="108"/>
  <c r="E74" i="108"/>
  <c r="F74" i="108"/>
  <c r="G74" i="108"/>
  <c r="H74" i="108"/>
  <c r="I74" i="108"/>
  <c r="J74" i="108"/>
  <c r="K74" i="108"/>
  <c r="L74" i="108"/>
  <c r="M74" i="108"/>
  <c r="N74" i="108"/>
  <c r="O74" i="108"/>
  <c r="P74" i="108"/>
  <c r="D75" i="108"/>
  <c r="E75" i="108"/>
  <c r="F75" i="108"/>
  <c r="G75" i="108"/>
  <c r="H75" i="108"/>
  <c r="I75" i="108"/>
  <c r="J75" i="108"/>
  <c r="K75" i="108"/>
  <c r="L75" i="108"/>
  <c r="M75" i="108"/>
  <c r="N75" i="108"/>
  <c r="O75" i="108"/>
  <c r="P75" i="108"/>
  <c r="D76" i="108"/>
  <c r="E76" i="108"/>
  <c r="F76" i="108"/>
  <c r="G76" i="108"/>
  <c r="H76" i="108"/>
  <c r="I76" i="108"/>
  <c r="J76" i="108"/>
  <c r="K76" i="108"/>
  <c r="L76" i="108"/>
  <c r="M76" i="108"/>
  <c r="N76" i="108"/>
  <c r="O76" i="108"/>
  <c r="P76" i="108"/>
  <c r="D77" i="108"/>
  <c r="E77" i="108"/>
  <c r="F77" i="108"/>
  <c r="G77" i="108"/>
  <c r="H77" i="108"/>
  <c r="I77" i="108"/>
  <c r="J77" i="108"/>
  <c r="K77" i="108"/>
  <c r="L77" i="108"/>
  <c r="M77" i="108"/>
  <c r="N77" i="108"/>
  <c r="O77" i="108"/>
  <c r="P77" i="108"/>
  <c r="D78" i="108"/>
  <c r="E78" i="108"/>
  <c r="F78" i="108"/>
  <c r="G78" i="108"/>
  <c r="H78" i="108"/>
  <c r="I78" i="108"/>
  <c r="J78" i="108"/>
  <c r="K78" i="108"/>
  <c r="L78" i="108"/>
  <c r="M78" i="108"/>
  <c r="N78" i="108"/>
  <c r="O78" i="108"/>
  <c r="P78" i="108"/>
  <c r="D79" i="108"/>
  <c r="E79" i="108"/>
  <c r="F79" i="108"/>
  <c r="G79" i="108"/>
  <c r="H79" i="108"/>
  <c r="I79" i="108"/>
  <c r="J79" i="108"/>
  <c r="K79" i="108"/>
  <c r="L79" i="108"/>
  <c r="M79" i="108"/>
  <c r="N79" i="108"/>
  <c r="O79" i="108"/>
  <c r="P79" i="108"/>
  <c r="D80" i="108"/>
  <c r="E80" i="108"/>
  <c r="F80" i="108"/>
  <c r="G80" i="108"/>
  <c r="H80" i="108"/>
  <c r="I80" i="108"/>
  <c r="J80" i="108"/>
  <c r="K80" i="108"/>
  <c r="L80" i="108"/>
  <c r="M80" i="108"/>
  <c r="N80" i="108"/>
  <c r="O80" i="108"/>
  <c r="P80" i="108"/>
  <c r="D81" i="108"/>
  <c r="E81" i="108"/>
  <c r="F81" i="108"/>
  <c r="G81" i="108"/>
  <c r="H81" i="108"/>
  <c r="I81" i="108"/>
  <c r="J81" i="108"/>
  <c r="K81" i="108"/>
  <c r="L81" i="108"/>
  <c r="M81" i="108"/>
  <c r="N81" i="108"/>
  <c r="O81" i="108"/>
  <c r="P81" i="108"/>
  <c r="D82" i="108"/>
  <c r="E82" i="108"/>
  <c r="F82" i="108"/>
  <c r="G82" i="108"/>
  <c r="H82" i="108"/>
  <c r="I82" i="108"/>
  <c r="J82" i="108"/>
  <c r="K82" i="108"/>
  <c r="L82" i="108"/>
  <c r="M82" i="108"/>
  <c r="N82" i="108"/>
  <c r="O82" i="108"/>
  <c r="P82" i="108"/>
  <c r="D83" i="108"/>
  <c r="E83" i="108"/>
  <c r="F83" i="108"/>
  <c r="G83" i="108"/>
  <c r="H83" i="108"/>
  <c r="I83" i="108"/>
  <c r="J83" i="108"/>
  <c r="K83" i="108"/>
  <c r="L83" i="108"/>
  <c r="M83" i="108"/>
  <c r="N83" i="108"/>
  <c r="O83" i="108"/>
  <c r="P83" i="108"/>
  <c r="D84" i="108"/>
  <c r="E84" i="108"/>
  <c r="F84" i="108"/>
  <c r="G84" i="108"/>
  <c r="H84" i="108"/>
  <c r="I84" i="108"/>
  <c r="J84" i="108"/>
  <c r="K84" i="108"/>
  <c r="L84" i="108"/>
  <c r="M84" i="108"/>
  <c r="N84" i="108"/>
  <c r="O84" i="108"/>
  <c r="P84" i="108"/>
  <c r="D85" i="108"/>
  <c r="E85" i="108"/>
  <c r="F85" i="108"/>
  <c r="G85" i="108"/>
  <c r="H85" i="108"/>
  <c r="I85" i="108"/>
  <c r="J85" i="108"/>
  <c r="K85" i="108"/>
  <c r="L85" i="108"/>
  <c r="M85" i="108"/>
  <c r="N85" i="108"/>
  <c r="O85" i="108"/>
  <c r="P85" i="108"/>
  <c r="D86" i="108"/>
  <c r="E86" i="108"/>
  <c r="F86" i="108"/>
  <c r="G86" i="108"/>
  <c r="H86" i="108"/>
  <c r="I86" i="108"/>
  <c r="J86" i="108"/>
  <c r="K86" i="108"/>
  <c r="L86" i="108"/>
  <c r="M86" i="108"/>
  <c r="N86" i="108"/>
  <c r="O86" i="108"/>
  <c r="P86" i="108"/>
  <c r="D87" i="108"/>
  <c r="E87" i="108"/>
  <c r="F87" i="108"/>
  <c r="G87" i="108"/>
  <c r="H87" i="108"/>
  <c r="I87" i="108"/>
  <c r="J87" i="108"/>
  <c r="K87" i="108"/>
  <c r="L87" i="108"/>
  <c r="M87" i="108"/>
  <c r="N87" i="108"/>
  <c r="O87" i="108"/>
  <c r="P87" i="108"/>
  <c r="D88" i="108"/>
  <c r="E88" i="108"/>
  <c r="F88" i="108"/>
  <c r="G88" i="108"/>
  <c r="H88" i="108"/>
  <c r="I88" i="108"/>
  <c r="J88" i="108"/>
  <c r="K88" i="108"/>
  <c r="L88" i="108"/>
  <c r="M88" i="108"/>
  <c r="N88" i="108"/>
  <c r="O88" i="108"/>
  <c r="P88" i="108"/>
  <c r="D89" i="108"/>
  <c r="E89" i="108"/>
  <c r="F89" i="108"/>
  <c r="G89" i="108"/>
  <c r="H89" i="108"/>
  <c r="I89" i="108"/>
  <c r="J89" i="108"/>
  <c r="K89" i="108"/>
  <c r="L89" i="108"/>
  <c r="M89" i="108"/>
  <c r="N89" i="108"/>
  <c r="O89" i="108"/>
  <c r="P89" i="108"/>
  <c r="D90" i="108"/>
  <c r="E90" i="108"/>
  <c r="F90" i="108"/>
  <c r="G90" i="108"/>
  <c r="H90" i="108"/>
  <c r="I90" i="108"/>
  <c r="J90" i="108"/>
  <c r="K90" i="108"/>
  <c r="L90" i="108"/>
  <c r="M90" i="108"/>
  <c r="N90" i="108"/>
  <c r="O90" i="108"/>
  <c r="P90" i="108"/>
  <c r="D91" i="108"/>
  <c r="E91" i="108"/>
  <c r="F91" i="108"/>
  <c r="G91" i="108"/>
  <c r="H91" i="108"/>
  <c r="I91" i="108"/>
  <c r="J91" i="108"/>
  <c r="K91" i="108"/>
  <c r="L91" i="108"/>
  <c r="M91" i="108"/>
  <c r="N91" i="108"/>
  <c r="O91" i="108"/>
  <c r="P91" i="108"/>
  <c r="D92" i="108"/>
  <c r="E92" i="108"/>
  <c r="F92" i="108"/>
  <c r="G92" i="108"/>
  <c r="H92" i="108"/>
  <c r="I92" i="108"/>
  <c r="J92" i="108"/>
  <c r="K92" i="108"/>
  <c r="L92" i="108"/>
  <c r="M92" i="108"/>
  <c r="N92" i="108"/>
  <c r="O92" i="108"/>
  <c r="P92" i="108"/>
  <c r="D93" i="108"/>
  <c r="E93" i="108"/>
  <c r="F93" i="108"/>
  <c r="G93" i="108"/>
  <c r="H93" i="108"/>
  <c r="I93" i="108"/>
  <c r="J93" i="108"/>
  <c r="K93" i="108"/>
  <c r="L93" i="108"/>
  <c r="M93" i="108"/>
  <c r="N93" i="108"/>
  <c r="O93" i="108"/>
  <c r="P93" i="108"/>
  <c r="D94" i="108"/>
  <c r="E94" i="108"/>
  <c r="F94" i="108"/>
  <c r="G94" i="108"/>
  <c r="H94" i="108"/>
  <c r="I94" i="108"/>
  <c r="J94" i="108"/>
  <c r="K94" i="108"/>
  <c r="L94" i="108"/>
  <c r="M94" i="108"/>
  <c r="N94" i="108"/>
  <c r="O94" i="108"/>
  <c r="P94" i="108"/>
  <c r="D95" i="108"/>
  <c r="E95" i="108"/>
  <c r="F95" i="108"/>
  <c r="G95" i="108"/>
  <c r="H95" i="108"/>
  <c r="I95" i="108"/>
  <c r="J95" i="108"/>
  <c r="K95" i="108"/>
  <c r="L95" i="108"/>
  <c r="M95" i="108"/>
  <c r="N95" i="108"/>
  <c r="O95" i="108"/>
  <c r="P95" i="108"/>
  <c r="D96" i="108"/>
  <c r="E96" i="108"/>
  <c r="F96" i="108"/>
  <c r="G96" i="108"/>
  <c r="H96" i="108"/>
  <c r="I96" i="108"/>
  <c r="J96" i="108"/>
  <c r="K96" i="108"/>
  <c r="L96" i="108"/>
  <c r="M96" i="108"/>
  <c r="N96" i="108"/>
  <c r="O96" i="108"/>
  <c r="P96" i="108"/>
  <c r="D97" i="108"/>
  <c r="E97" i="108"/>
  <c r="F97" i="108"/>
  <c r="G97" i="108"/>
  <c r="H97" i="108"/>
  <c r="I97" i="108"/>
  <c r="J97" i="108"/>
  <c r="K97" i="108"/>
  <c r="L97" i="108"/>
  <c r="M97" i="108"/>
  <c r="N97" i="108"/>
  <c r="O97" i="108"/>
  <c r="P97" i="108"/>
  <c r="D98" i="108"/>
  <c r="E98" i="108"/>
  <c r="F98" i="108"/>
  <c r="G98" i="108"/>
  <c r="H98" i="108"/>
  <c r="I98" i="108"/>
  <c r="J98" i="108"/>
  <c r="K98" i="108"/>
  <c r="L98" i="108"/>
  <c r="M98" i="108"/>
  <c r="N98" i="108"/>
  <c r="O98" i="108"/>
  <c r="P98" i="108"/>
  <c r="D99" i="108"/>
  <c r="E99" i="108"/>
  <c r="F99" i="108"/>
  <c r="G99" i="108"/>
  <c r="H99" i="108"/>
  <c r="I99" i="108"/>
  <c r="J99" i="108"/>
  <c r="K99" i="108"/>
  <c r="L99" i="108"/>
  <c r="M99" i="108"/>
  <c r="N99" i="108"/>
  <c r="O99" i="108"/>
  <c r="P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O100" i="108"/>
  <c r="P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O101" i="108"/>
  <c r="P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O102" i="108"/>
  <c r="P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O103" i="108"/>
  <c r="P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O104" i="108"/>
  <c r="P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O105" i="108"/>
  <c r="P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D106" i="107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D58" i="107"/>
  <c r="E58" i="107"/>
  <c r="F58" i="107"/>
  <c r="G58" i="107"/>
  <c r="H58" i="107"/>
  <c r="I58" i="107"/>
  <c r="J58" i="107"/>
  <c r="K58" i="107"/>
  <c r="L58" i="107"/>
  <c r="M58" i="107"/>
  <c r="N58" i="107"/>
  <c r="O58" i="107"/>
  <c r="P58" i="107"/>
  <c r="D59" i="107"/>
  <c r="E59" i="107"/>
  <c r="F59" i="107"/>
  <c r="G59" i="107"/>
  <c r="H59" i="107"/>
  <c r="I59" i="107"/>
  <c r="J59" i="107"/>
  <c r="K59" i="107"/>
  <c r="L59" i="107"/>
  <c r="M59" i="107"/>
  <c r="N59" i="107"/>
  <c r="O59" i="107"/>
  <c r="P59" i="107"/>
  <c r="D60" i="107"/>
  <c r="E60" i="107"/>
  <c r="F60" i="107"/>
  <c r="G60" i="107"/>
  <c r="H60" i="107"/>
  <c r="I60" i="107"/>
  <c r="J60" i="107"/>
  <c r="K60" i="107"/>
  <c r="L60" i="107"/>
  <c r="M60" i="107"/>
  <c r="N60" i="107"/>
  <c r="O60" i="107"/>
  <c r="P60" i="107"/>
  <c r="D61" i="107"/>
  <c r="E61" i="107"/>
  <c r="F61" i="107"/>
  <c r="G61" i="107"/>
  <c r="H61" i="107"/>
  <c r="I61" i="107"/>
  <c r="J61" i="107"/>
  <c r="K61" i="107"/>
  <c r="L61" i="107"/>
  <c r="M61" i="107"/>
  <c r="N61" i="107"/>
  <c r="O61" i="107"/>
  <c r="P61" i="107"/>
  <c r="D62" i="107"/>
  <c r="E62" i="107"/>
  <c r="F62" i="107"/>
  <c r="G62" i="107"/>
  <c r="H62" i="107"/>
  <c r="I62" i="107"/>
  <c r="J62" i="107"/>
  <c r="K62" i="107"/>
  <c r="L62" i="107"/>
  <c r="M62" i="107"/>
  <c r="N62" i="107"/>
  <c r="O62" i="107"/>
  <c r="P62" i="107"/>
  <c r="D63" i="107"/>
  <c r="E63" i="107"/>
  <c r="F63" i="107"/>
  <c r="G63" i="107"/>
  <c r="H63" i="107"/>
  <c r="I63" i="107"/>
  <c r="J63" i="107"/>
  <c r="K63" i="107"/>
  <c r="L63" i="107"/>
  <c r="M63" i="107"/>
  <c r="N63" i="107"/>
  <c r="O63" i="107"/>
  <c r="P63" i="107"/>
  <c r="D64" i="107"/>
  <c r="E64" i="107"/>
  <c r="F64" i="107"/>
  <c r="G64" i="107"/>
  <c r="H64" i="107"/>
  <c r="I64" i="107"/>
  <c r="J64" i="107"/>
  <c r="K64" i="107"/>
  <c r="L64" i="107"/>
  <c r="M64" i="107"/>
  <c r="N64" i="107"/>
  <c r="O64" i="107"/>
  <c r="P64" i="107"/>
  <c r="D65" i="107"/>
  <c r="E65" i="107"/>
  <c r="F65" i="107"/>
  <c r="G65" i="107"/>
  <c r="H65" i="107"/>
  <c r="I65" i="107"/>
  <c r="J65" i="107"/>
  <c r="K65" i="107"/>
  <c r="L65" i="107"/>
  <c r="M65" i="107"/>
  <c r="N65" i="107"/>
  <c r="O65" i="107"/>
  <c r="P65" i="107"/>
  <c r="D66" i="107"/>
  <c r="E66" i="107"/>
  <c r="F66" i="107"/>
  <c r="G66" i="107"/>
  <c r="H66" i="107"/>
  <c r="I66" i="107"/>
  <c r="J66" i="107"/>
  <c r="K66" i="107"/>
  <c r="L66" i="107"/>
  <c r="M66" i="107"/>
  <c r="N66" i="107"/>
  <c r="O66" i="107"/>
  <c r="P66" i="107"/>
  <c r="D67" i="107"/>
  <c r="E67" i="107"/>
  <c r="F67" i="107"/>
  <c r="G67" i="107"/>
  <c r="H67" i="107"/>
  <c r="I67" i="107"/>
  <c r="J67" i="107"/>
  <c r="K67" i="107"/>
  <c r="L67" i="107"/>
  <c r="M67" i="107"/>
  <c r="N67" i="107"/>
  <c r="O67" i="107"/>
  <c r="P67" i="107"/>
  <c r="D68" i="107"/>
  <c r="E68" i="107"/>
  <c r="F68" i="107"/>
  <c r="G68" i="107"/>
  <c r="H68" i="107"/>
  <c r="I68" i="107"/>
  <c r="J68" i="107"/>
  <c r="K68" i="107"/>
  <c r="L68" i="107"/>
  <c r="M68" i="107"/>
  <c r="N68" i="107"/>
  <c r="O68" i="107"/>
  <c r="P68" i="107"/>
  <c r="D69" i="107"/>
  <c r="E69" i="107"/>
  <c r="F69" i="107"/>
  <c r="G69" i="107"/>
  <c r="H69" i="107"/>
  <c r="I69" i="107"/>
  <c r="J69" i="107"/>
  <c r="K69" i="107"/>
  <c r="L69" i="107"/>
  <c r="M69" i="107"/>
  <c r="N69" i="107"/>
  <c r="O69" i="107"/>
  <c r="P69" i="107"/>
  <c r="D70" i="107"/>
  <c r="E70" i="107"/>
  <c r="F70" i="107"/>
  <c r="G70" i="107"/>
  <c r="H70" i="107"/>
  <c r="I70" i="107"/>
  <c r="J70" i="107"/>
  <c r="K70" i="107"/>
  <c r="L70" i="107"/>
  <c r="M70" i="107"/>
  <c r="N70" i="107"/>
  <c r="O70" i="107"/>
  <c r="P70" i="107"/>
  <c r="D71" i="107"/>
  <c r="E71" i="107"/>
  <c r="F71" i="107"/>
  <c r="G71" i="107"/>
  <c r="H71" i="107"/>
  <c r="I71" i="107"/>
  <c r="J71" i="107"/>
  <c r="K71" i="107"/>
  <c r="L71" i="107"/>
  <c r="M71" i="107"/>
  <c r="N71" i="107"/>
  <c r="O71" i="107"/>
  <c r="P71" i="107"/>
  <c r="D72" i="107"/>
  <c r="E72" i="107"/>
  <c r="F72" i="107"/>
  <c r="G72" i="107"/>
  <c r="H72" i="107"/>
  <c r="I72" i="107"/>
  <c r="J72" i="107"/>
  <c r="K72" i="107"/>
  <c r="L72" i="107"/>
  <c r="M72" i="107"/>
  <c r="N72" i="107"/>
  <c r="O72" i="107"/>
  <c r="P72" i="107"/>
  <c r="D73" i="107"/>
  <c r="E73" i="107"/>
  <c r="F73" i="107"/>
  <c r="G73" i="107"/>
  <c r="H73" i="107"/>
  <c r="I73" i="107"/>
  <c r="J73" i="107"/>
  <c r="K73" i="107"/>
  <c r="L73" i="107"/>
  <c r="M73" i="107"/>
  <c r="N73" i="107"/>
  <c r="O73" i="107"/>
  <c r="P73" i="107"/>
  <c r="D74" i="107"/>
  <c r="E74" i="107"/>
  <c r="F74" i="107"/>
  <c r="G74" i="107"/>
  <c r="H74" i="107"/>
  <c r="I74" i="107"/>
  <c r="J74" i="107"/>
  <c r="K74" i="107"/>
  <c r="L74" i="107"/>
  <c r="M74" i="107"/>
  <c r="N74" i="107"/>
  <c r="O74" i="107"/>
  <c r="P74" i="107"/>
  <c r="D75" i="107"/>
  <c r="E75" i="107"/>
  <c r="F75" i="107"/>
  <c r="G75" i="107"/>
  <c r="H75" i="107"/>
  <c r="I75" i="107"/>
  <c r="J75" i="107"/>
  <c r="K75" i="107"/>
  <c r="L75" i="107"/>
  <c r="M75" i="107"/>
  <c r="N75" i="107"/>
  <c r="O75" i="107"/>
  <c r="P75" i="107"/>
  <c r="D76" i="107"/>
  <c r="E76" i="107"/>
  <c r="F76" i="107"/>
  <c r="G76" i="107"/>
  <c r="H76" i="107"/>
  <c r="I76" i="107"/>
  <c r="J76" i="107"/>
  <c r="K76" i="107"/>
  <c r="L76" i="107"/>
  <c r="M76" i="107"/>
  <c r="N76" i="107"/>
  <c r="O76" i="107"/>
  <c r="P76" i="107"/>
  <c r="D77" i="107"/>
  <c r="E77" i="107"/>
  <c r="F77" i="107"/>
  <c r="G77" i="107"/>
  <c r="H77" i="107"/>
  <c r="I77" i="107"/>
  <c r="J77" i="107"/>
  <c r="K77" i="107"/>
  <c r="L77" i="107"/>
  <c r="M77" i="107"/>
  <c r="N77" i="107"/>
  <c r="O77" i="107"/>
  <c r="P77" i="107"/>
  <c r="D78" i="107"/>
  <c r="E78" i="107"/>
  <c r="F78" i="107"/>
  <c r="G78" i="107"/>
  <c r="H78" i="107"/>
  <c r="I78" i="107"/>
  <c r="J78" i="107"/>
  <c r="K78" i="107"/>
  <c r="L78" i="107"/>
  <c r="M78" i="107"/>
  <c r="N78" i="107"/>
  <c r="O78" i="107"/>
  <c r="P78" i="107"/>
  <c r="D79" i="107"/>
  <c r="E79" i="107"/>
  <c r="F79" i="107"/>
  <c r="G79" i="107"/>
  <c r="H79" i="107"/>
  <c r="I79" i="107"/>
  <c r="J79" i="107"/>
  <c r="K79" i="107"/>
  <c r="L79" i="107"/>
  <c r="M79" i="107"/>
  <c r="N79" i="107"/>
  <c r="O79" i="107"/>
  <c r="P79" i="107"/>
  <c r="D80" i="107"/>
  <c r="E80" i="107"/>
  <c r="F80" i="107"/>
  <c r="G80" i="107"/>
  <c r="H80" i="107"/>
  <c r="I80" i="107"/>
  <c r="J80" i="107"/>
  <c r="K80" i="107"/>
  <c r="L80" i="107"/>
  <c r="M80" i="107"/>
  <c r="N80" i="107"/>
  <c r="O80" i="107"/>
  <c r="P80" i="107"/>
  <c r="D81" i="107"/>
  <c r="E81" i="107"/>
  <c r="F81" i="107"/>
  <c r="G81" i="107"/>
  <c r="H81" i="107"/>
  <c r="I81" i="107"/>
  <c r="J81" i="107"/>
  <c r="K81" i="107"/>
  <c r="L81" i="107"/>
  <c r="M81" i="107"/>
  <c r="N81" i="107"/>
  <c r="O81" i="107"/>
  <c r="P81" i="107"/>
  <c r="D82" i="107"/>
  <c r="E82" i="107"/>
  <c r="F82" i="107"/>
  <c r="G82" i="107"/>
  <c r="H82" i="107"/>
  <c r="I82" i="107"/>
  <c r="J82" i="107"/>
  <c r="K82" i="107"/>
  <c r="L82" i="107"/>
  <c r="M82" i="107"/>
  <c r="N82" i="107"/>
  <c r="O82" i="107"/>
  <c r="P82" i="107"/>
  <c r="D83" i="107"/>
  <c r="E83" i="107"/>
  <c r="F83" i="107"/>
  <c r="G83" i="107"/>
  <c r="H83" i="107"/>
  <c r="I83" i="107"/>
  <c r="J83" i="107"/>
  <c r="K83" i="107"/>
  <c r="L83" i="107"/>
  <c r="M83" i="107"/>
  <c r="N83" i="107"/>
  <c r="O83" i="107"/>
  <c r="P83" i="107"/>
  <c r="D84" i="107"/>
  <c r="E84" i="107"/>
  <c r="F84" i="107"/>
  <c r="G84" i="107"/>
  <c r="H84" i="107"/>
  <c r="I84" i="107"/>
  <c r="J84" i="107"/>
  <c r="K84" i="107"/>
  <c r="L84" i="107"/>
  <c r="M84" i="107"/>
  <c r="N84" i="107"/>
  <c r="O84" i="107"/>
  <c r="P84" i="107"/>
  <c r="D85" i="107"/>
  <c r="E85" i="107"/>
  <c r="F85" i="107"/>
  <c r="G85" i="107"/>
  <c r="H85" i="107"/>
  <c r="I85" i="107"/>
  <c r="J85" i="107"/>
  <c r="K85" i="107"/>
  <c r="L85" i="107"/>
  <c r="M85" i="107"/>
  <c r="N85" i="107"/>
  <c r="O85" i="107"/>
  <c r="P85" i="107"/>
  <c r="D86" i="107"/>
  <c r="E86" i="107"/>
  <c r="F86" i="107"/>
  <c r="G86" i="107"/>
  <c r="H86" i="107"/>
  <c r="I86" i="107"/>
  <c r="J86" i="107"/>
  <c r="K86" i="107"/>
  <c r="L86" i="107"/>
  <c r="M86" i="107"/>
  <c r="N86" i="107"/>
  <c r="O86" i="107"/>
  <c r="P86" i="107"/>
  <c r="D87" i="107"/>
  <c r="E87" i="107"/>
  <c r="F87" i="107"/>
  <c r="G87" i="107"/>
  <c r="H87" i="107"/>
  <c r="I87" i="107"/>
  <c r="J87" i="107"/>
  <c r="K87" i="107"/>
  <c r="L87" i="107"/>
  <c r="M87" i="107"/>
  <c r="N87" i="107"/>
  <c r="O87" i="107"/>
  <c r="P87" i="107"/>
  <c r="D88" i="107"/>
  <c r="E88" i="107"/>
  <c r="F88" i="107"/>
  <c r="G88" i="107"/>
  <c r="H88" i="107"/>
  <c r="I88" i="107"/>
  <c r="J88" i="107"/>
  <c r="K88" i="107"/>
  <c r="L88" i="107"/>
  <c r="M88" i="107"/>
  <c r="N88" i="107"/>
  <c r="O88" i="107"/>
  <c r="P88" i="107"/>
  <c r="D89" i="107"/>
  <c r="E89" i="107"/>
  <c r="F89" i="107"/>
  <c r="G89" i="107"/>
  <c r="H89" i="107"/>
  <c r="I89" i="107"/>
  <c r="J89" i="107"/>
  <c r="K89" i="107"/>
  <c r="L89" i="107"/>
  <c r="M89" i="107"/>
  <c r="N89" i="107"/>
  <c r="O89" i="107"/>
  <c r="P89" i="107"/>
  <c r="D90" i="107"/>
  <c r="E90" i="107"/>
  <c r="F90" i="107"/>
  <c r="G90" i="107"/>
  <c r="H90" i="107"/>
  <c r="I90" i="107"/>
  <c r="J90" i="107"/>
  <c r="K90" i="107"/>
  <c r="L90" i="107"/>
  <c r="M90" i="107"/>
  <c r="N90" i="107"/>
  <c r="O90" i="107"/>
  <c r="P90" i="107"/>
  <c r="D91" i="107"/>
  <c r="E91" i="107"/>
  <c r="F91" i="107"/>
  <c r="G91" i="107"/>
  <c r="H91" i="107"/>
  <c r="I91" i="107"/>
  <c r="J91" i="107"/>
  <c r="K91" i="107"/>
  <c r="L91" i="107"/>
  <c r="M91" i="107"/>
  <c r="N91" i="107"/>
  <c r="O91" i="107"/>
  <c r="P91" i="107"/>
  <c r="D92" i="107"/>
  <c r="E92" i="107"/>
  <c r="F92" i="107"/>
  <c r="G92" i="107"/>
  <c r="H92" i="107"/>
  <c r="I92" i="107"/>
  <c r="J92" i="107"/>
  <c r="K92" i="107"/>
  <c r="L92" i="107"/>
  <c r="M92" i="107"/>
  <c r="N92" i="107"/>
  <c r="O92" i="107"/>
  <c r="P92" i="107"/>
  <c r="D93" i="107"/>
  <c r="E93" i="107"/>
  <c r="F93" i="107"/>
  <c r="G93" i="107"/>
  <c r="H93" i="107"/>
  <c r="I93" i="107"/>
  <c r="J93" i="107"/>
  <c r="K93" i="107"/>
  <c r="L93" i="107"/>
  <c r="M93" i="107"/>
  <c r="N93" i="107"/>
  <c r="O93" i="107"/>
  <c r="P93" i="107"/>
  <c r="D94" i="107"/>
  <c r="E94" i="107"/>
  <c r="F94" i="107"/>
  <c r="G94" i="107"/>
  <c r="H94" i="107"/>
  <c r="I94" i="107"/>
  <c r="J94" i="107"/>
  <c r="K94" i="107"/>
  <c r="L94" i="107"/>
  <c r="M94" i="107"/>
  <c r="N94" i="107"/>
  <c r="O94" i="107"/>
  <c r="P94" i="107"/>
  <c r="D95" i="107"/>
  <c r="E95" i="107"/>
  <c r="F95" i="107"/>
  <c r="G95" i="107"/>
  <c r="H95" i="107"/>
  <c r="I95" i="107"/>
  <c r="J95" i="107"/>
  <c r="K95" i="107"/>
  <c r="L95" i="107"/>
  <c r="M95" i="107"/>
  <c r="N95" i="107"/>
  <c r="O95" i="107"/>
  <c r="P95" i="107"/>
  <c r="D96" i="107"/>
  <c r="E96" i="107"/>
  <c r="F96" i="107"/>
  <c r="G96" i="107"/>
  <c r="H96" i="107"/>
  <c r="I96" i="107"/>
  <c r="J96" i="107"/>
  <c r="K96" i="107"/>
  <c r="L96" i="107"/>
  <c r="M96" i="107"/>
  <c r="N96" i="107"/>
  <c r="O96" i="107"/>
  <c r="P96" i="107"/>
  <c r="D97" i="107"/>
  <c r="E97" i="107"/>
  <c r="F97" i="107"/>
  <c r="G97" i="107"/>
  <c r="H97" i="107"/>
  <c r="I97" i="107"/>
  <c r="J97" i="107"/>
  <c r="K97" i="107"/>
  <c r="L97" i="107"/>
  <c r="M97" i="107"/>
  <c r="N97" i="107"/>
  <c r="O97" i="107"/>
  <c r="P97" i="107"/>
  <c r="D98" i="107"/>
  <c r="E98" i="107"/>
  <c r="F98" i="107"/>
  <c r="G98" i="107"/>
  <c r="H98" i="107"/>
  <c r="I98" i="107"/>
  <c r="J98" i="107"/>
  <c r="K98" i="107"/>
  <c r="L98" i="107"/>
  <c r="M98" i="107"/>
  <c r="N98" i="107"/>
  <c r="O98" i="107"/>
  <c r="P98" i="107"/>
  <c r="D99" i="107"/>
  <c r="E99" i="107"/>
  <c r="F99" i="107"/>
  <c r="G99" i="107"/>
  <c r="H99" i="107"/>
  <c r="I99" i="107"/>
  <c r="J99" i="107"/>
  <c r="K99" i="107"/>
  <c r="L99" i="107"/>
  <c r="M99" i="107"/>
  <c r="N99" i="107"/>
  <c r="O99" i="107"/>
  <c r="P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O100" i="107"/>
  <c r="P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O101" i="107"/>
  <c r="P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O102" i="107"/>
  <c r="P102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O103" i="107"/>
  <c r="P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O104" i="107"/>
  <c r="P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O105" i="107"/>
  <c r="P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C58" i="107"/>
  <c r="P105" i="111" l="1"/>
  <c r="P103" i="111"/>
  <c r="P101" i="111"/>
  <c r="P99" i="111"/>
  <c r="P97" i="111"/>
  <c r="P95" i="111"/>
  <c r="P93" i="111"/>
  <c r="P91" i="111"/>
  <c r="P89" i="111"/>
  <c r="P87" i="111"/>
  <c r="P85" i="111"/>
  <c r="P83" i="111"/>
  <c r="P81" i="111"/>
  <c r="P79" i="111"/>
  <c r="P77" i="111"/>
  <c r="P75" i="111"/>
  <c r="P73" i="111"/>
  <c r="P71" i="111"/>
  <c r="P69" i="111"/>
  <c r="P67" i="111"/>
  <c r="P65" i="111"/>
  <c r="P63" i="111"/>
  <c r="P61" i="111"/>
  <c r="P59" i="111"/>
  <c r="O61" i="111"/>
  <c r="O65" i="111"/>
  <c r="P58" i="111"/>
  <c r="P68" i="111"/>
  <c r="P66" i="111"/>
  <c r="P64" i="111"/>
  <c r="P62" i="111"/>
  <c r="P60" i="111"/>
  <c r="O59" i="111"/>
  <c r="O63" i="111"/>
  <c r="O67" i="111"/>
  <c r="P104" i="111"/>
  <c r="O104" i="111"/>
  <c r="P102" i="111"/>
  <c r="O102" i="111"/>
  <c r="P100" i="111"/>
  <c r="O100" i="111"/>
  <c r="P98" i="111"/>
  <c r="O98" i="111"/>
  <c r="P96" i="111"/>
  <c r="O96" i="111"/>
  <c r="P94" i="111"/>
  <c r="O94" i="111"/>
  <c r="P92" i="111"/>
  <c r="O92" i="111"/>
  <c r="P90" i="111"/>
  <c r="O90" i="111"/>
  <c r="P88" i="111"/>
  <c r="O88" i="111"/>
  <c r="P86" i="111"/>
  <c r="O86" i="111"/>
  <c r="P84" i="111"/>
  <c r="O84" i="111"/>
  <c r="P82" i="111"/>
  <c r="O82" i="111"/>
  <c r="P80" i="111"/>
  <c r="O80" i="111"/>
  <c r="P78" i="111"/>
  <c r="O78" i="111"/>
  <c r="P76" i="111"/>
  <c r="O76" i="111"/>
  <c r="P74" i="111"/>
  <c r="O74" i="111"/>
  <c r="P72" i="111"/>
  <c r="O72" i="111"/>
  <c r="P70" i="111"/>
  <c r="O70" i="111"/>
  <c r="O105" i="111"/>
  <c r="O103" i="111"/>
  <c r="O101" i="111"/>
  <c r="O99" i="111"/>
  <c r="O97" i="111"/>
  <c r="O95" i="111"/>
  <c r="O93" i="111"/>
  <c r="O91" i="111"/>
  <c r="O89" i="111"/>
  <c r="O87" i="111"/>
  <c r="O85" i="111"/>
  <c r="O83" i="111"/>
  <c r="O81" i="111"/>
  <c r="O79" i="111"/>
  <c r="O77" i="111"/>
  <c r="O75" i="111"/>
  <c r="O73" i="111"/>
  <c r="O71" i="111"/>
  <c r="O69" i="111"/>
  <c r="O58" i="111"/>
  <c r="O60" i="111"/>
  <c r="O62" i="111"/>
  <c r="O64" i="111"/>
  <c r="O66" i="111"/>
  <c r="O68" i="111"/>
  <c r="C106" i="101"/>
  <c r="D106" i="101"/>
  <c r="E106" i="101"/>
  <c r="C106" i="109"/>
  <c r="C3" i="94"/>
  <c r="K6" i="98" l="1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6" i="104" l="1"/>
  <c r="K6" i="108" s="1"/>
  <c r="K6" i="111" s="1"/>
  <c r="K6" i="107"/>
  <c r="K5" i="107"/>
  <c r="K5" i="104"/>
  <c r="K5" i="108" s="1"/>
  <c r="K5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Y39" i="109" s="1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Z39" i="105" s="1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A27" i="99" l="1"/>
  <c r="X39" i="105"/>
  <c r="AD38" i="101"/>
  <c r="AA26" i="95"/>
  <c r="X26" i="98"/>
  <c r="AA39" i="101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F106" i="101"/>
  <c r="H106" i="101"/>
  <c r="J106" i="101"/>
  <c r="L106" i="101"/>
  <c r="N106" i="101"/>
  <c r="M106" i="101"/>
  <c r="K106" i="101"/>
  <c r="I106" i="101"/>
  <c r="G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AF33" i="101" s="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Y38" i="105" l="1"/>
  <c r="U38" i="109"/>
  <c r="Z26" i="95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V36" i="108" s="1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Y34" i="108" s="1"/>
  <c r="P13" i="108"/>
  <c r="O12" i="108"/>
  <c r="P11" i="108"/>
  <c r="AC10" i="108"/>
  <c r="P10" i="108"/>
  <c r="AF10" i="108" s="1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V39" i="107" s="1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U36" i="107" s="1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24" i="98" s="1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D39" i="107" l="1"/>
  <c r="AD12" i="111"/>
  <c r="U39" i="107"/>
  <c r="X42" i="109"/>
  <c r="T12" i="111"/>
  <c r="T13" i="111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D37" i="111" l="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AF34" i="111" s="1"/>
  <c r="W36" i="111"/>
  <c r="Y40" i="111"/>
  <c r="U36" i="111"/>
  <c r="Z36" i="111"/>
  <c r="V35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K107" i="111"/>
  <c r="AA37" i="111"/>
  <c r="AA40" i="111"/>
  <c r="AA34" i="111"/>
  <c r="M107" i="107"/>
  <c r="AF37" i="111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E108" i="111" l="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</calcChain>
</file>

<file path=xl/sharedStrings.xml><?xml version="1.0" encoding="utf-8"?>
<sst xmlns="http://schemas.openxmlformats.org/spreadsheetml/2006/main" count="2324" uniqueCount="177">
  <si>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</si>
  <si>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</si>
  <si>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</si>
  <si>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</si>
  <si>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</si>
  <si>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</si>
  <si>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</si>
  <si>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</si>
  <si>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</si>
  <si>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</si>
  <si>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</si>
  <si>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</si>
  <si>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</si>
  <si>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</si>
  <si>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</si>
  <si>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</si>
  <si>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</si>
  <si>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</si>
  <si>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</si>
  <si>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</si>
  <si>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</si>
  <si>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</si>
  <si>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</si>
  <si>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</si>
  <si>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</si>
  <si>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</si>
  <si>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</si>
  <si>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</si>
  <si>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</si>
  <si>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</si>
  <si>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</si>
  <si>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</si>
  <si>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</si>
  <si>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</si>
  <si>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</si>
  <si>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</si>
  <si>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</si>
  <si>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</si>
  <si>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</si>
  <si>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</si>
  <si>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</si>
  <si>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</si>
  <si>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</si>
  <si>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</si>
  <si>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</si>
  <si>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</si>
  <si>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</si>
  <si>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</si>
  <si>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</si>
  <si>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</si>
  <si>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</si>
  <si>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</si>
  <si>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</si>
  <si>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</si>
  <si>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</si>
  <si>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</si>
  <si>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</si>
  <si>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</si>
  <si>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</si>
  <si>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</si>
  <si>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</si>
  <si>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</si>
  <si>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</si>
  <si>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</si>
  <si>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</si>
  <si>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</si>
  <si>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</si>
  <si>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</si>
  <si>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</si>
  <si>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</si>
  <si>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</si>
  <si>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</si>
  <si>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</si>
  <si>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</si>
  <si>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</si>
  <si>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</si>
  <si>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</si>
  <si>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</si>
  <si>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</si>
  <si>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</si>
  <si>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</si>
  <si>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</si>
  <si>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</si>
  <si>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</si>
  <si>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</si>
  <si>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</si>
  <si>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</si>
  <si>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</si>
  <si>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</si>
  <si>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</si>
  <si>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</si>
  <si>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</si>
  <si>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</si>
  <si>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</si>
  <si>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</si>
  <si>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</si>
  <si>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</si>
  <si>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</si>
  <si>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</si>
  <si>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</si>
  <si>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</si>
  <si>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</si>
  <si>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</si>
  <si>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</si>
  <si>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</si>
  <si>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</si>
  <si>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</si>
  <si>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</si>
  <si>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</si>
  <si>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</si>
  <si>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</si>
  <si>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</si>
  <si>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</si>
  <si>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</si>
  <si>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</si>
  <si>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</si>
  <si>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</si>
  <si>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</si>
  <si>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</si>
  <si>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</si>
  <si>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</si>
  <si>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</si>
  <si>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</si>
  <si>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</si>
  <si>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</si>
  <si>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</si>
  <si>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</si>
  <si>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</si>
  <si>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</si>
  <si>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</si>
  <si>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</si>
  <si>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</si>
  <si>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</si>
  <si>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</si>
  <si>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</si>
  <si>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</si>
  <si>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</si>
  <si>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</si>
  <si>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</si>
  <si>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</si>
  <si>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</si>
  <si>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</si>
  <si>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</si>
  <si>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</si>
  <si>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</si>
  <si>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</si>
  <si>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</si>
  <si>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</si>
  <si>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</si>
  <si>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</si>
  <si>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</si>
  <si>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</si>
  <si>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</si>
  <si>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</si>
  <si>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</si>
  <si>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</si>
  <si>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</si>
  <si>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</si>
  <si>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</si>
  <si>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</si>
  <si>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</si>
  <si>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</si>
  <si>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</si>
  <si>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SPEAR MOTORS</t>
  </si>
  <si>
    <t>KYAMBOGO</t>
  </si>
  <si>
    <t>PEPSI UGANDA</t>
  </si>
  <si>
    <t>ANDREW</t>
  </si>
  <si>
    <t>01.08.19</t>
  </si>
  <si>
    <t>30.07.19</t>
  </si>
  <si>
    <t>31.07.19</t>
  </si>
  <si>
    <t>02.08.19</t>
  </si>
  <si>
    <t>03.08.19</t>
  </si>
  <si>
    <t>04.08.19</t>
  </si>
  <si>
    <t>29.08.19</t>
  </si>
  <si>
    <t>WACHOMI R/GALABUZI R./MBAHA J/ASHABA K/LUBEGA S/KIKUMBAD</t>
  </si>
  <si>
    <t>MCC - C1 - STN43 - KAPALA-JINJA HIGHWAY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</si>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</sst>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69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Spear Motors-Kyambogo'!$AE$9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Spear Motors-Kyambogo'!$AE$10:$AE$21</c:f>
              <c:numCache>
                <c:formatCode>0</c:formatCode>
                <c:ptCount val="12"/>
                <c:pt idx="0">
                  <c:v>493</c:v>
                </c:pt>
                <c:pt idx="1">
                  <c:v>1409</c:v>
                </c:pt>
                <c:pt idx="2">
                  <c:v>1233</c:v>
                </c:pt>
                <c:pt idx="3">
                  <c:v>945</c:v>
                </c:pt>
                <c:pt idx="4">
                  <c:v>948</c:v>
                </c:pt>
                <c:pt idx="5">
                  <c:v>939</c:v>
                </c:pt>
                <c:pt idx="6">
                  <c:v>787</c:v>
                </c:pt>
                <c:pt idx="7">
                  <c:v>765</c:v>
                </c:pt>
                <c:pt idx="8">
                  <c:v>792</c:v>
                </c:pt>
                <c:pt idx="9">
                  <c:v>943</c:v>
                </c:pt>
                <c:pt idx="10">
                  <c:v>843</c:v>
                </c:pt>
                <c:pt idx="11">
                  <c:v>822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'29.07 Spear Motors-Kyambogo'!$AF$9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Spear Motors-Kyambogo'!$AF$10:$AF$21</c:f>
              <c:numCache>
                <c:formatCode>0</c:formatCode>
                <c:ptCount val="12"/>
                <c:pt idx="0">
                  <c:v>493</c:v>
                </c:pt>
                <c:pt idx="1">
                  <c:v>2344</c:v>
                </c:pt>
                <c:pt idx="2">
                  <c:v>2313</c:v>
                </c:pt>
                <c:pt idx="3">
                  <c:v>1760</c:v>
                </c:pt>
                <c:pt idx="4">
                  <c:v>1838</c:v>
                </c:pt>
                <c:pt idx="5">
                  <c:v>1774</c:v>
                </c:pt>
                <c:pt idx="6">
                  <c:v>1662</c:v>
                </c:pt>
                <c:pt idx="7">
                  <c:v>1713</c:v>
                </c:pt>
                <c:pt idx="8">
                  <c:v>1927</c:v>
                </c:pt>
                <c:pt idx="9">
                  <c:v>1953</c:v>
                </c:pt>
                <c:pt idx="10">
                  <c:v>2046</c:v>
                </c:pt>
                <c:pt idx="11">
                  <c:v>1977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155200"/>
        <c:axId val="101157120"/>
      </c:lineChart>
      <c:catAx>
        <c:axId val="1011552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1157120"/>
        <c:crosses val="autoZero"/>
        <c:auto val="1"/>
        <c:lblAlgn val="ctr"/>
        <c:lblOffset val="100"/>
        <c:noMultiLvlLbl val="0"/>
      </c:catAx>
      <c:valAx>
        <c:axId val="101157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115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Spear Motors-Kyambogo'!$C$59:$N$59</c:f>
              <c:numCache>
                <c:formatCode>0.0%</c:formatCode>
                <c:ptCount val="12"/>
                <c:pt idx="0">
                  <c:v>0.16793577981651375</c:v>
                </c:pt>
                <c:pt idx="1">
                  <c:v>7.5091743119266058E-2</c:v>
                </c:pt>
                <c:pt idx="2">
                  <c:v>3.5229357798165141E-2</c:v>
                </c:pt>
                <c:pt idx="3">
                  <c:v>0.16605504587155964</c:v>
                </c:pt>
                <c:pt idx="4">
                  <c:v>1.9174311926605504E-2</c:v>
                </c:pt>
                <c:pt idx="5">
                  <c:v>1.6972477064220184E-3</c:v>
                </c:pt>
                <c:pt idx="6">
                  <c:v>1.6055045871559634E-2</c:v>
                </c:pt>
                <c:pt idx="7">
                  <c:v>3.348623853211009E-3</c:v>
                </c:pt>
                <c:pt idx="8">
                  <c:v>1.1422018348623853E-2</c:v>
                </c:pt>
                <c:pt idx="9">
                  <c:v>4.862385321100917E-3</c:v>
                </c:pt>
                <c:pt idx="10">
                  <c:v>0.49912844036697246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Spear Motors-Kyambogo'!$C$60:$N$60</c:f>
              <c:numCache>
                <c:formatCode>0.00%</c:formatCode>
                <c:ptCount val="12"/>
                <c:pt idx="0">
                  <c:v>0.3352871142045975</c:v>
                </c:pt>
                <c:pt idx="1">
                  <c:v>0.14992215404341058</c:v>
                </c:pt>
                <c:pt idx="2">
                  <c:v>7.0336111365509657E-2</c:v>
                </c:pt>
                <c:pt idx="3">
                  <c:v>0.33153219159263669</c:v>
                </c:pt>
                <c:pt idx="4">
                  <c:v>3.828189394633208E-2</c:v>
                </c:pt>
                <c:pt idx="5">
                  <c:v>3.3885886985987727E-3</c:v>
                </c:pt>
                <c:pt idx="6">
                  <c:v>3.2054217419177577E-2</c:v>
                </c:pt>
                <c:pt idx="7">
                  <c:v>6.6855939188570383E-3</c:v>
                </c:pt>
                <c:pt idx="8">
                  <c:v>2.2804286106786337E-2</c:v>
                </c:pt>
                <c:pt idx="9">
                  <c:v>9.7078487040937814E-3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Kyambogo-Spear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Kyambogo-Spear Motors'!$AE$10:$AE$21</c:f>
              <c:numCache>
                <c:formatCode>0</c:formatCode>
                <c:ptCount val="12"/>
                <c:pt idx="0">
                  <c:v>288</c:v>
                </c:pt>
                <c:pt idx="1">
                  <c:v>598</c:v>
                </c:pt>
                <c:pt idx="2">
                  <c:v>808</c:v>
                </c:pt>
                <c:pt idx="3">
                  <c:v>702</c:v>
                </c:pt>
                <c:pt idx="4">
                  <c:v>696</c:v>
                </c:pt>
                <c:pt idx="5">
                  <c:v>634</c:v>
                </c:pt>
                <c:pt idx="6">
                  <c:v>813</c:v>
                </c:pt>
                <c:pt idx="7">
                  <c:v>564</c:v>
                </c:pt>
                <c:pt idx="8">
                  <c:v>572</c:v>
                </c:pt>
                <c:pt idx="9">
                  <c:v>559</c:v>
                </c:pt>
                <c:pt idx="10">
                  <c:v>416</c:v>
                </c:pt>
                <c:pt idx="11">
                  <c:v>368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'29.07 Kyambogo-Spear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Kyambogo-Spear Motors'!$AF$10:$AF$21</c:f>
              <c:numCache>
                <c:formatCode>0</c:formatCode>
                <c:ptCount val="12"/>
                <c:pt idx="0">
                  <c:v>288</c:v>
                </c:pt>
                <c:pt idx="1">
                  <c:v>1878</c:v>
                </c:pt>
                <c:pt idx="2">
                  <c:v>1853</c:v>
                </c:pt>
                <c:pt idx="3">
                  <c:v>1527</c:v>
                </c:pt>
                <c:pt idx="4">
                  <c:v>1361</c:v>
                </c:pt>
                <c:pt idx="5">
                  <c:v>1359</c:v>
                </c:pt>
                <c:pt idx="6">
                  <c:v>1600</c:v>
                </c:pt>
                <c:pt idx="7">
                  <c:v>989</c:v>
                </c:pt>
                <c:pt idx="8">
                  <c:v>1043</c:v>
                </c:pt>
                <c:pt idx="9">
                  <c:v>1030</c:v>
                </c:pt>
                <c:pt idx="10">
                  <c:v>897</c:v>
                </c:pt>
                <c:pt idx="11">
                  <c:v>938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938880"/>
        <c:axId val="102977920"/>
      </c:lineChart>
      <c:catAx>
        <c:axId val="102938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2977920"/>
        <c:crosses val="autoZero"/>
        <c:auto val="1"/>
        <c:lblAlgn val="ctr"/>
        <c:lblOffset val="100"/>
        <c:noMultiLvlLbl val="0"/>
      </c:catAx>
      <c:valAx>
        <c:axId val="1029779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293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Kyambogo-Spear Motors'!$C$59:$N$59</c:f>
              <c:numCache>
                <c:formatCode>0.0%</c:formatCode>
                <c:ptCount val="12"/>
                <c:pt idx="0">
                  <c:v>0.17882544198333672</c:v>
                </c:pt>
                <c:pt idx="1">
                  <c:v>6.7804646752015169E-2</c:v>
                </c:pt>
                <c:pt idx="2">
                  <c:v>3.8339090970669919E-2</c:v>
                </c:pt>
                <c:pt idx="3">
                  <c:v>0.13960577118471856</c:v>
                </c:pt>
                <c:pt idx="4">
                  <c:v>5.893111156269051E-3</c:v>
                </c:pt>
                <c:pt idx="5">
                  <c:v>4.2674253200568994E-3</c:v>
                </c:pt>
                <c:pt idx="6">
                  <c:v>2.167581114949536E-2</c:v>
                </c:pt>
                <c:pt idx="7">
                  <c:v>4.809320598794283E-3</c:v>
                </c:pt>
                <c:pt idx="8">
                  <c:v>3.9287407708460337E-3</c:v>
                </c:pt>
                <c:pt idx="9">
                  <c:v>1.0228273386168123E-2</c:v>
                </c:pt>
                <c:pt idx="10">
                  <c:v>0.52462236672762985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04"/>
          <c:y val="2.296022663732375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Kyambogo-Spear 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'29.07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Kyambogo-Spear Motors'!$S$10:$S$21</c:f>
              <c:numCache>
                <c:formatCode>0</c:formatCode>
                <c:ptCount val="12"/>
                <c:pt idx="0">
                  <c:v>136</c:v>
                </c:pt>
                <c:pt idx="1">
                  <c:v>176</c:v>
                </c:pt>
                <c:pt idx="2">
                  <c:v>279</c:v>
                </c:pt>
                <c:pt idx="3">
                  <c:v>238</c:v>
                </c:pt>
                <c:pt idx="4">
                  <c:v>355</c:v>
                </c:pt>
                <c:pt idx="5">
                  <c:v>265</c:v>
                </c:pt>
                <c:pt idx="6">
                  <c:v>325</c:v>
                </c:pt>
                <c:pt idx="7">
                  <c:v>231</c:v>
                </c:pt>
                <c:pt idx="8">
                  <c:v>239</c:v>
                </c:pt>
                <c:pt idx="9">
                  <c:v>173</c:v>
                </c:pt>
                <c:pt idx="10">
                  <c:v>144</c:v>
                </c:pt>
                <c:pt idx="11">
                  <c:v>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'29.07 Kyambogo-Spear 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'29.07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Kyambogo-Spear Motors'!$T$10:$T$21</c:f>
              <c:numCache>
                <c:formatCode>0</c:formatCode>
                <c:ptCount val="12"/>
                <c:pt idx="0">
                  <c:v>76</c:v>
                </c:pt>
                <c:pt idx="1">
                  <c:v>115</c:v>
                </c:pt>
                <c:pt idx="2">
                  <c:v>120</c:v>
                </c:pt>
                <c:pt idx="3">
                  <c:v>131</c:v>
                </c:pt>
                <c:pt idx="4">
                  <c:v>78</c:v>
                </c:pt>
                <c:pt idx="5">
                  <c:v>91</c:v>
                </c:pt>
                <c:pt idx="6">
                  <c:v>90</c:v>
                </c:pt>
                <c:pt idx="7">
                  <c:v>48</c:v>
                </c:pt>
                <c:pt idx="8">
                  <c:v>103</c:v>
                </c:pt>
                <c:pt idx="9">
                  <c:v>72</c:v>
                </c:pt>
                <c:pt idx="10">
                  <c:v>52</c:v>
                </c:pt>
                <c:pt idx="11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'29.07 Kyambogo-Spear 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'29.07 Kyambogo-Spear Motors'!$U$10:$U$21</c:f>
              <c:numCache>
                <c:formatCode>0</c:formatCode>
                <c:ptCount val="12"/>
                <c:pt idx="0">
                  <c:v>76</c:v>
                </c:pt>
                <c:pt idx="1">
                  <c:v>49</c:v>
                </c:pt>
                <c:pt idx="2">
                  <c:v>78</c:v>
                </c:pt>
                <c:pt idx="3">
                  <c:v>55</c:v>
                </c:pt>
                <c:pt idx="4">
                  <c:v>63</c:v>
                </c:pt>
                <c:pt idx="5">
                  <c:v>44</c:v>
                </c:pt>
                <c:pt idx="6">
                  <c:v>63</c:v>
                </c:pt>
                <c:pt idx="7">
                  <c:v>32</c:v>
                </c:pt>
                <c:pt idx="8">
                  <c:v>35</c:v>
                </c:pt>
                <c:pt idx="9">
                  <c:v>36</c:v>
                </c:pt>
                <c:pt idx="10">
                  <c:v>24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'29.07 Kyambogo-Spear 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'29.07 Kyambogo-Spear Motors'!$V$10:$V$21</c:f>
              <c:numCache>
                <c:formatCode>0</c:formatCode>
                <c:ptCount val="12"/>
                <c:pt idx="0">
                  <c:v>0</c:v>
                </c:pt>
                <c:pt idx="1">
                  <c:v>199</c:v>
                </c:pt>
                <c:pt idx="2">
                  <c:v>235</c:v>
                </c:pt>
                <c:pt idx="3">
                  <c:v>195</c:v>
                </c:pt>
                <c:pt idx="4">
                  <c:v>140</c:v>
                </c:pt>
                <c:pt idx="5">
                  <c:v>158</c:v>
                </c:pt>
                <c:pt idx="6">
                  <c:v>251</c:v>
                </c:pt>
                <c:pt idx="7">
                  <c:v>165</c:v>
                </c:pt>
                <c:pt idx="8">
                  <c:v>143</c:v>
                </c:pt>
                <c:pt idx="9">
                  <c:v>211</c:v>
                </c:pt>
                <c:pt idx="10">
                  <c:v>155</c:v>
                </c:pt>
                <c:pt idx="11">
                  <c:v>209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'29.07 Kyambogo-Spear 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'29.07 Kyambogo-Spear Motors'!$W$10:$W$21</c:f>
              <c:numCache>
                <c:formatCode>0</c:formatCode>
                <c:ptCount val="12"/>
                <c:pt idx="0">
                  <c:v>0</c:v>
                </c:pt>
                <c:pt idx="1">
                  <c:v>20</c:v>
                </c:pt>
                <c:pt idx="2">
                  <c:v>19</c:v>
                </c:pt>
                <c:pt idx="3">
                  <c:v>10</c:v>
                </c:pt>
                <c:pt idx="4">
                  <c:v>7</c:v>
                </c:pt>
                <c:pt idx="5">
                  <c:v>6</c:v>
                </c:pt>
                <c:pt idx="6">
                  <c:v>11</c:v>
                </c:pt>
                <c:pt idx="7">
                  <c:v>5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'29.07 Kyambogo-Spear 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'29.07 Kyambogo-Spear Motors'!$X$10:$X$21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11</c:v>
                </c:pt>
                <c:pt idx="7">
                  <c:v>5</c:v>
                </c:pt>
                <c:pt idx="8">
                  <c:v>5</c:v>
                </c:pt>
                <c:pt idx="9">
                  <c:v>10</c:v>
                </c:pt>
                <c:pt idx="10">
                  <c:v>8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'29.07 Kyambogo-Spear 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Kyambogo-Spear Motors'!$Y$10:$Y$21</c:f>
              <c:numCache>
                <c:formatCode>0</c:formatCode>
                <c:ptCount val="12"/>
                <c:pt idx="0">
                  <c:v>0</c:v>
                </c:pt>
                <c:pt idx="1">
                  <c:v>25</c:v>
                </c:pt>
                <c:pt idx="2">
                  <c:v>35</c:v>
                </c:pt>
                <c:pt idx="3">
                  <c:v>34</c:v>
                </c:pt>
                <c:pt idx="4">
                  <c:v>27</c:v>
                </c:pt>
                <c:pt idx="5">
                  <c:v>34</c:v>
                </c:pt>
                <c:pt idx="6">
                  <c:v>41</c:v>
                </c:pt>
                <c:pt idx="7">
                  <c:v>38</c:v>
                </c:pt>
                <c:pt idx="8">
                  <c:v>19</c:v>
                </c:pt>
                <c:pt idx="9">
                  <c:v>28</c:v>
                </c:pt>
                <c:pt idx="10">
                  <c:v>16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'29.07 Kyambogo-Spear 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Kyambogo-Spear Motors'!$Z$10:$Z$21</c:f>
              <c:numCache>
                <c:formatCode>0</c:formatCode>
                <c:ptCount val="12"/>
                <c:pt idx="0">
                  <c:v>0</c:v>
                </c:pt>
                <c:pt idx="1">
                  <c:v>6</c:v>
                </c:pt>
                <c:pt idx="2">
                  <c:v>10</c:v>
                </c:pt>
                <c:pt idx="3">
                  <c:v>8</c:v>
                </c:pt>
                <c:pt idx="4">
                  <c:v>10</c:v>
                </c:pt>
                <c:pt idx="5">
                  <c:v>3</c:v>
                </c:pt>
                <c:pt idx="6">
                  <c:v>2</c:v>
                </c:pt>
                <c:pt idx="7">
                  <c:v>7</c:v>
                </c:pt>
                <c:pt idx="8">
                  <c:v>10</c:v>
                </c:pt>
                <c:pt idx="9">
                  <c:v>10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'29.07 Kyambogo-Spear 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Kyambogo-Spear Motors'!$AA$10:$AA$21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5</c:v>
                </c:pt>
                <c:pt idx="5">
                  <c:v>8</c:v>
                </c:pt>
                <c:pt idx="6">
                  <c:v>2</c:v>
                </c:pt>
                <c:pt idx="7">
                  <c:v>15</c:v>
                </c:pt>
                <c:pt idx="8">
                  <c:v>4</c:v>
                </c:pt>
                <c:pt idx="9">
                  <c:v>4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'29.07 Kyambogo-Spear 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Kyambogo-Spear Motors'!$AB$10:$AB$21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22</c:v>
                </c:pt>
                <c:pt idx="3">
                  <c:v>18</c:v>
                </c:pt>
                <c:pt idx="4">
                  <c:v>8</c:v>
                </c:pt>
                <c:pt idx="5">
                  <c:v>22</c:v>
                </c:pt>
                <c:pt idx="6">
                  <c:v>17</c:v>
                </c:pt>
                <c:pt idx="7">
                  <c:v>18</c:v>
                </c:pt>
                <c:pt idx="8">
                  <c:v>13</c:v>
                </c:pt>
                <c:pt idx="9">
                  <c:v>13</c:v>
                </c:pt>
                <c:pt idx="10">
                  <c:v>9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'29.07 Kyambogo-Spear 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Kyambogo-Spear Motors'!$AC$10:$AC$21</c:f>
              <c:numCache>
                <c:formatCode>0</c:formatCode>
                <c:ptCount val="12"/>
                <c:pt idx="0">
                  <c:v>0</c:v>
                </c:pt>
                <c:pt idx="1">
                  <c:v>1280</c:v>
                </c:pt>
                <c:pt idx="2">
                  <c:v>1045</c:v>
                </c:pt>
                <c:pt idx="3">
                  <c:v>825</c:v>
                </c:pt>
                <c:pt idx="4">
                  <c:v>665</c:v>
                </c:pt>
                <c:pt idx="5">
                  <c:v>725</c:v>
                </c:pt>
                <c:pt idx="6">
                  <c:v>787</c:v>
                </c:pt>
                <c:pt idx="7">
                  <c:v>425</c:v>
                </c:pt>
                <c:pt idx="8">
                  <c:v>471</c:v>
                </c:pt>
                <c:pt idx="9">
                  <c:v>471</c:v>
                </c:pt>
                <c:pt idx="10">
                  <c:v>481</c:v>
                </c:pt>
                <c:pt idx="11">
                  <c:v>570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'29.07 Kyambogo-Spear 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Kyambogo-Spear 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40800"/>
        <c:axId val="104142336"/>
      </c:lineChart>
      <c:catAx>
        <c:axId val="104140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142336"/>
        <c:crosses val="autoZero"/>
        <c:auto val="1"/>
        <c:lblAlgn val="ctr"/>
        <c:lblOffset val="100"/>
        <c:noMultiLvlLbl val="0"/>
      </c:catAx>
      <c:valAx>
        <c:axId val="10414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14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Kyambogo-Spear Motors'!$C$60:$N$60</c:f>
              <c:numCache>
                <c:formatCode>0.00%</c:formatCode>
                <c:ptCount val="12"/>
                <c:pt idx="0">
                  <c:v>0.37617554858934171</c:v>
                </c:pt>
                <c:pt idx="1">
                  <c:v>0.14263322884012539</c:v>
                </c:pt>
                <c:pt idx="2">
                  <c:v>8.064975776574522E-2</c:v>
                </c:pt>
                <c:pt idx="3">
                  <c:v>0.29367341122827018</c:v>
                </c:pt>
                <c:pt idx="4">
                  <c:v>1.2396694214876033E-2</c:v>
                </c:pt>
                <c:pt idx="5">
                  <c:v>8.9769165004274717E-3</c:v>
                </c:pt>
                <c:pt idx="6">
                  <c:v>4.5597036192647475E-2</c:v>
                </c:pt>
                <c:pt idx="7">
                  <c:v>1.0116842405243659E-2</c:v>
                </c:pt>
                <c:pt idx="8">
                  <c:v>8.2644628099173556E-3</c:v>
                </c:pt>
                <c:pt idx="9">
                  <c:v>2.1516101453405528E-2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Spear Motors-Kyambogo'!$AE$9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 Motors-Kyambogo'!$AE$10:$AE$21</c:f>
              <c:numCache>
                <c:formatCode>0</c:formatCode>
                <c:ptCount val="12"/>
                <c:pt idx="0">
                  <c:v>144</c:v>
                </c:pt>
                <c:pt idx="1">
                  <c:v>341</c:v>
                </c:pt>
                <c:pt idx="2">
                  <c:v>504</c:v>
                </c:pt>
                <c:pt idx="3">
                  <c:v>616</c:v>
                </c:pt>
                <c:pt idx="4">
                  <c:v>626</c:v>
                </c:pt>
                <c:pt idx="5">
                  <c:v>557</c:v>
                </c:pt>
                <c:pt idx="6">
                  <c:v>666</c:v>
                </c:pt>
                <c:pt idx="7">
                  <c:v>629</c:v>
                </c:pt>
                <c:pt idx="8">
                  <c:v>710</c:v>
                </c:pt>
                <c:pt idx="9">
                  <c:v>652</c:v>
                </c:pt>
                <c:pt idx="10">
                  <c:v>1201</c:v>
                </c:pt>
                <c:pt idx="11">
                  <c:v>1232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'30.07 Spear Motors-Kyambogo'!$AF$9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 Motors-Kyambogo'!$AF$10:$AF$21</c:f>
              <c:numCache>
                <c:formatCode>0</c:formatCode>
                <c:ptCount val="12"/>
                <c:pt idx="0">
                  <c:v>1629</c:v>
                </c:pt>
                <c:pt idx="1">
                  <c:v>1789</c:v>
                </c:pt>
                <c:pt idx="2">
                  <c:v>1694</c:v>
                </c:pt>
                <c:pt idx="3">
                  <c:v>1666</c:v>
                </c:pt>
                <c:pt idx="4">
                  <c:v>1724</c:v>
                </c:pt>
                <c:pt idx="5">
                  <c:v>1551</c:v>
                </c:pt>
                <c:pt idx="6">
                  <c:v>1731</c:v>
                </c:pt>
                <c:pt idx="7">
                  <c:v>1489</c:v>
                </c:pt>
                <c:pt idx="8">
                  <c:v>1940</c:v>
                </c:pt>
                <c:pt idx="9">
                  <c:v>1987</c:v>
                </c:pt>
                <c:pt idx="10">
                  <c:v>2513</c:v>
                </c:pt>
                <c:pt idx="11">
                  <c:v>2537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368000"/>
        <c:axId val="104382464"/>
      </c:lineChart>
      <c:catAx>
        <c:axId val="1043680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382464"/>
        <c:crosses val="autoZero"/>
        <c:auto val="1"/>
        <c:lblAlgn val="ctr"/>
        <c:lblOffset val="100"/>
        <c:noMultiLvlLbl val="0"/>
      </c:catAx>
      <c:valAx>
        <c:axId val="1043824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36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Spear Motors-Kyambogo'!$C$59:$N$59</c:f>
              <c:numCache>
                <c:formatCode>0.0%</c:formatCode>
                <c:ptCount val="12"/>
                <c:pt idx="0">
                  <c:v>0.11465168539325843</c:v>
                </c:pt>
                <c:pt idx="1">
                  <c:v>5.6943820224719104E-2</c:v>
                </c:pt>
                <c:pt idx="2">
                  <c:v>2.7505617977528089E-2</c:v>
                </c:pt>
                <c:pt idx="3">
                  <c:v>0.11092134831460675</c:v>
                </c:pt>
                <c:pt idx="4">
                  <c:v>3.4606741573033708E-3</c:v>
                </c:pt>
                <c:pt idx="5">
                  <c:v>1.1685393258426967E-3</c:v>
                </c:pt>
                <c:pt idx="6">
                  <c:v>1.5820224719101123E-2</c:v>
                </c:pt>
                <c:pt idx="7">
                  <c:v>8.8988764044943824E-3</c:v>
                </c:pt>
                <c:pt idx="8">
                  <c:v>4.0449438202247194E-3</c:v>
                </c:pt>
                <c:pt idx="9">
                  <c:v>1.0651685393258427E-2</c:v>
                </c:pt>
                <c:pt idx="10">
                  <c:v>0.64593258426966293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04"/>
          <c:y val="2.296022663732375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Spear Motors-Kyambogo'!$S$9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 Motors-Kyambogo'!$S$10:$S$21</c:f>
              <c:numCache>
                <c:formatCode>0</c:formatCode>
                <c:ptCount val="12"/>
                <c:pt idx="0">
                  <c:v>0</c:v>
                </c:pt>
                <c:pt idx="1">
                  <c:v>59</c:v>
                </c:pt>
                <c:pt idx="2">
                  <c:v>137</c:v>
                </c:pt>
                <c:pt idx="3">
                  <c:v>149</c:v>
                </c:pt>
                <c:pt idx="4">
                  <c:v>185</c:v>
                </c:pt>
                <c:pt idx="5">
                  <c:v>159</c:v>
                </c:pt>
                <c:pt idx="6">
                  <c:v>220</c:v>
                </c:pt>
                <c:pt idx="7">
                  <c:v>202</c:v>
                </c:pt>
                <c:pt idx="8">
                  <c:v>217</c:v>
                </c:pt>
                <c:pt idx="9">
                  <c:v>255</c:v>
                </c:pt>
                <c:pt idx="10">
                  <c:v>501</c:v>
                </c:pt>
                <c:pt idx="11">
                  <c:v>467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'30.07 Spear Motors-Kyambogo'!$T$9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Spear Motors-Kyambogo'!$T$10:$T$21</c:f>
              <c:numCache>
                <c:formatCode>0</c:formatCode>
                <c:ptCount val="12"/>
                <c:pt idx="0">
                  <c:v>0</c:v>
                </c:pt>
                <c:pt idx="1">
                  <c:v>6</c:v>
                </c:pt>
                <c:pt idx="2">
                  <c:v>57</c:v>
                </c:pt>
                <c:pt idx="3">
                  <c:v>73</c:v>
                </c:pt>
                <c:pt idx="4">
                  <c:v>68</c:v>
                </c:pt>
                <c:pt idx="5">
                  <c:v>61</c:v>
                </c:pt>
                <c:pt idx="6">
                  <c:v>90</c:v>
                </c:pt>
                <c:pt idx="7">
                  <c:v>101</c:v>
                </c:pt>
                <c:pt idx="8">
                  <c:v>93</c:v>
                </c:pt>
                <c:pt idx="9">
                  <c:v>115</c:v>
                </c:pt>
                <c:pt idx="10">
                  <c:v>275</c:v>
                </c:pt>
                <c:pt idx="11">
                  <c:v>328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'30.07 Spear Motors-Kyambogo'!$U$9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Motors-Kyambogo'!$U$10:$U$21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25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49</c:v>
                </c:pt>
                <c:pt idx="7">
                  <c:v>39</c:v>
                </c:pt>
                <c:pt idx="8">
                  <c:v>48</c:v>
                </c:pt>
                <c:pt idx="9">
                  <c:v>63</c:v>
                </c:pt>
                <c:pt idx="10">
                  <c:v>151</c:v>
                </c:pt>
                <c:pt idx="11">
                  <c:v>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'30.07 Spear Motors-Kyambogo'!$V$9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Motors-Kyambogo'!$V$10:$V$21</c:f>
              <c:numCache>
                <c:formatCode>0</c:formatCode>
                <c:ptCount val="12"/>
                <c:pt idx="0">
                  <c:v>112</c:v>
                </c:pt>
                <c:pt idx="1">
                  <c:v>229</c:v>
                </c:pt>
                <c:pt idx="2">
                  <c:v>182</c:v>
                </c:pt>
                <c:pt idx="3">
                  <c:v>251</c:v>
                </c:pt>
                <c:pt idx="4">
                  <c:v>228</c:v>
                </c:pt>
                <c:pt idx="5">
                  <c:v>192</c:v>
                </c:pt>
                <c:pt idx="6">
                  <c:v>231</c:v>
                </c:pt>
                <c:pt idx="7">
                  <c:v>176</c:v>
                </c:pt>
                <c:pt idx="8">
                  <c:v>239</c:v>
                </c:pt>
                <c:pt idx="9">
                  <c:v>153</c:v>
                </c:pt>
                <c:pt idx="10">
                  <c:v>207</c:v>
                </c:pt>
                <c:pt idx="11">
                  <c:v>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'30.07 Spear Motors-Kyambogo'!$W$9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Motors-Kyambogo'!$W$10:$W$21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11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7</c:v>
                </c:pt>
                <c:pt idx="7">
                  <c:v>3</c:v>
                </c:pt>
                <c:pt idx="8">
                  <c:v>5</c:v>
                </c:pt>
                <c:pt idx="9">
                  <c:v>6</c:v>
                </c:pt>
                <c:pt idx="10">
                  <c:v>7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'30.07 Spear Motors-Kyambogo'!$X$9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Motors-Kyambogo'!$X$10:$X$21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5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'30.07 Spear Motors-Kyambogo'!$Y$9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Motors-Kyambogo'!$Y$10:$Y$21</c:f>
              <c:numCache>
                <c:formatCode>0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22</c:v>
                </c:pt>
                <c:pt idx="3">
                  <c:v>44</c:v>
                </c:pt>
                <c:pt idx="4">
                  <c:v>35</c:v>
                </c:pt>
                <c:pt idx="5">
                  <c:v>27</c:v>
                </c:pt>
                <c:pt idx="6">
                  <c:v>33</c:v>
                </c:pt>
                <c:pt idx="7">
                  <c:v>41</c:v>
                </c:pt>
                <c:pt idx="8">
                  <c:v>55</c:v>
                </c:pt>
                <c:pt idx="9">
                  <c:v>22</c:v>
                </c:pt>
                <c:pt idx="10">
                  <c:v>25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'30.07 Spear Motors-Kyambogo'!$Z$9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Motors-Kyambogo'!$Z$10:$Z$21</c:f>
              <c:numCache>
                <c:formatCode>0</c:formatCode>
                <c:ptCount val="12"/>
                <c:pt idx="0">
                  <c:v>0</c:v>
                </c:pt>
                <c:pt idx="1">
                  <c:v>6</c:v>
                </c:pt>
                <c:pt idx="2">
                  <c:v>25</c:v>
                </c:pt>
                <c:pt idx="3">
                  <c:v>16</c:v>
                </c:pt>
                <c:pt idx="4">
                  <c:v>31</c:v>
                </c:pt>
                <c:pt idx="5">
                  <c:v>31</c:v>
                </c:pt>
                <c:pt idx="6">
                  <c:v>9</c:v>
                </c:pt>
                <c:pt idx="7">
                  <c:v>21</c:v>
                </c:pt>
                <c:pt idx="8">
                  <c:v>17</c:v>
                </c:pt>
                <c:pt idx="9">
                  <c:v>13</c:v>
                </c:pt>
                <c:pt idx="10">
                  <c:v>20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'30.07 Spear Motors-Kyambogo'!$AA$9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Motors-Kyambogo'!$AA$10:$AA$21</c:f>
              <c:numCache>
                <c:formatCode>0</c:formatCode>
                <c:ptCount val="12"/>
                <c:pt idx="0">
                  <c:v>10</c:v>
                </c:pt>
                <c:pt idx="1">
                  <c:v>5</c:v>
                </c:pt>
                <c:pt idx="2">
                  <c:v>17</c:v>
                </c:pt>
                <c:pt idx="3">
                  <c:v>6</c:v>
                </c:pt>
                <c:pt idx="4">
                  <c:v>1</c:v>
                </c:pt>
                <c:pt idx="5">
                  <c:v>3</c:v>
                </c:pt>
                <c:pt idx="6">
                  <c:v>13</c:v>
                </c:pt>
                <c:pt idx="7">
                  <c:v>16</c:v>
                </c:pt>
                <c:pt idx="8">
                  <c:v>11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'30.07 Spear Motors-Kyambogo'!$AB$9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Motors-Kyambogo'!$AB$10:$AB$21</c:f>
              <c:numCache>
                <c:formatCode>0</c:formatCode>
                <c:ptCount val="12"/>
                <c:pt idx="0">
                  <c:v>8</c:v>
                </c:pt>
                <c:pt idx="1">
                  <c:v>10</c:v>
                </c:pt>
                <c:pt idx="2">
                  <c:v>25</c:v>
                </c:pt>
                <c:pt idx="3">
                  <c:v>29</c:v>
                </c:pt>
                <c:pt idx="4">
                  <c:v>30</c:v>
                </c:pt>
                <c:pt idx="5">
                  <c:v>33</c:v>
                </c:pt>
                <c:pt idx="6">
                  <c:v>13</c:v>
                </c:pt>
                <c:pt idx="7">
                  <c:v>25</c:v>
                </c:pt>
                <c:pt idx="8">
                  <c:v>22</c:v>
                </c:pt>
                <c:pt idx="9">
                  <c:v>21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'30.07 Spear Motors-Kyambogo'!$AC$9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Motors-Kyambogo'!$AC$10:$AC$21</c:f>
              <c:numCache>
                <c:formatCode>0</c:formatCode>
                <c:ptCount val="12"/>
                <c:pt idx="0">
                  <c:v>1485</c:v>
                </c:pt>
                <c:pt idx="1">
                  <c:v>1448</c:v>
                </c:pt>
                <c:pt idx="2">
                  <c:v>1190</c:v>
                </c:pt>
                <c:pt idx="3">
                  <c:v>1050</c:v>
                </c:pt>
                <c:pt idx="4">
                  <c:v>1098</c:v>
                </c:pt>
                <c:pt idx="5">
                  <c:v>994</c:v>
                </c:pt>
                <c:pt idx="6">
                  <c:v>1065</c:v>
                </c:pt>
                <c:pt idx="7">
                  <c:v>860</c:v>
                </c:pt>
                <c:pt idx="8">
                  <c:v>1230</c:v>
                </c:pt>
                <c:pt idx="9">
                  <c:v>1335</c:v>
                </c:pt>
                <c:pt idx="10">
                  <c:v>1312</c:v>
                </c:pt>
                <c:pt idx="11">
                  <c:v>1305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'30.07 Spear Motors-Kyambogo'!$AD$9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Spear Motors-Kyambogo'!$AD$10:$AD$21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635776"/>
        <c:axId val="104641664"/>
      </c:lineChart>
      <c:catAx>
        <c:axId val="104635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641664"/>
        <c:crosses val="autoZero"/>
        <c:auto val="1"/>
        <c:lblAlgn val="ctr"/>
        <c:lblOffset val="100"/>
        <c:noMultiLvlLbl val="0"/>
      </c:catAx>
      <c:valAx>
        <c:axId val="10464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63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Spear Motors-Kyambogo'!$C$60:$N$60</c:f>
              <c:numCache>
                <c:formatCode>0.00%</c:formatCode>
                <c:ptCount val="12"/>
                <c:pt idx="0">
                  <c:v>0.32381315054582382</c:v>
                </c:pt>
                <c:pt idx="1">
                  <c:v>0.16082762122366082</c:v>
                </c:pt>
                <c:pt idx="2">
                  <c:v>7.7684691546077683E-2</c:v>
                </c:pt>
                <c:pt idx="3">
                  <c:v>0.31327748159431329</c:v>
                </c:pt>
                <c:pt idx="4">
                  <c:v>9.774054328509774E-3</c:v>
                </c:pt>
                <c:pt idx="5">
                  <c:v>3.3003300330033004E-3</c:v>
                </c:pt>
                <c:pt idx="6">
                  <c:v>4.4681391216044683E-2</c:v>
                </c:pt>
                <c:pt idx="7">
                  <c:v>2.5133282559025132E-2</c:v>
                </c:pt>
                <c:pt idx="8">
                  <c:v>1.1424219345011425E-2</c:v>
                </c:pt>
                <c:pt idx="9">
                  <c:v>3.0083777608530083E-2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Kyambogo-Spear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Kyambogo-Spear Motors'!$AE$10:$AE$21</c:f>
              <c:numCache>
                <c:formatCode>0</c:formatCode>
                <c:ptCount val="12"/>
                <c:pt idx="0">
                  <c:v>128</c:v>
                </c:pt>
                <c:pt idx="1">
                  <c:v>690</c:v>
                </c:pt>
                <c:pt idx="2">
                  <c:v>727</c:v>
                </c:pt>
                <c:pt idx="3">
                  <c:v>624</c:v>
                </c:pt>
                <c:pt idx="4">
                  <c:v>669</c:v>
                </c:pt>
                <c:pt idx="5">
                  <c:v>484</c:v>
                </c:pt>
                <c:pt idx="6">
                  <c:v>592</c:v>
                </c:pt>
                <c:pt idx="7">
                  <c:v>579</c:v>
                </c:pt>
                <c:pt idx="8">
                  <c:v>518</c:v>
                </c:pt>
                <c:pt idx="9">
                  <c:v>550</c:v>
                </c:pt>
                <c:pt idx="10">
                  <c:v>493</c:v>
                </c:pt>
                <c:pt idx="11">
                  <c:v>433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'30.07 Kyambogo-Spear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Kyambogo-Spear Motors'!$AF$10:$AF$21</c:f>
              <c:numCache>
                <c:formatCode>0</c:formatCode>
                <c:ptCount val="12"/>
                <c:pt idx="0">
                  <c:v>128</c:v>
                </c:pt>
                <c:pt idx="1">
                  <c:v>1758</c:v>
                </c:pt>
                <c:pt idx="2">
                  <c:v>1763</c:v>
                </c:pt>
                <c:pt idx="3">
                  <c:v>1929</c:v>
                </c:pt>
                <c:pt idx="4">
                  <c:v>1814</c:v>
                </c:pt>
                <c:pt idx="5">
                  <c:v>1379</c:v>
                </c:pt>
                <c:pt idx="6">
                  <c:v>1777</c:v>
                </c:pt>
                <c:pt idx="7">
                  <c:v>1754</c:v>
                </c:pt>
                <c:pt idx="8">
                  <c:v>1846</c:v>
                </c:pt>
                <c:pt idx="9">
                  <c:v>1725</c:v>
                </c:pt>
                <c:pt idx="10">
                  <c:v>2543</c:v>
                </c:pt>
                <c:pt idx="11">
                  <c:v>1848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969920"/>
        <c:axId val="125971840"/>
      </c:lineChart>
      <c:catAx>
        <c:axId val="1259699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971840"/>
        <c:crosses val="autoZero"/>
        <c:auto val="1"/>
        <c:lblAlgn val="ctr"/>
        <c:lblOffset val="100"/>
        <c:noMultiLvlLbl val="0"/>
      </c:catAx>
      <c:valAx>
        <c:axId val="1259718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96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Kyambogo-Spear Motors'!$C$59:$N$59</c:f>
              <c:numCache>
                <c:formatCode>0.0%</c:formatCode>
                <c:ptCount val="12"/>
                <c:pt idx="0">
                  <c:v>0.11508093170153967</c:v>
                </c:pt>
                <c:pt idx="1">
                  <c:v>3.2175286221871296E-2</c:v>
                </c:pt>
                <c:pt idx="2">
                  <c:v>1.7469403868930124E-2</c:v>
                </c:pt>
                <c:pt idx="3">
                  <c:v>0.12435846821950257</c:v>
                </c:pt>
                <c:pt idx="4">
                  <c:v>2.2206869324911172E-3</c:v>
                </c:pt>
                <c:pt idx="5">
                  <c:v>2.3193841294907223E-3</c:v>
                </c:pt>
                <c:pt idx="6">
                  <c:v>9.4255823134622978E-3</c:v>
                </c:pt>
                <c:pt idx="7">
                  <c:v>6.1685748124753253E-3</c:v>
                </c:pt>
                <c:pt idx="8">
                  <c:v>3.1089617054875641E-3</c:v>
                </c:pt>
                <c:pt idx="9">
                  <c:v>7.797078562968812E-3</c:v>
                </c:pt>
                <c:pt idx="10">
                  <c:v>0.67987564153178048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04"/>
          <c:y val="2.296022663732375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Kyambogo-Spear 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Kyambogo-Spear Motors'!$S$10:$S$21</c:f>
              <c:numCache>
                <c:formatCode>0</c:formatCode>
                <c:ptCount val="12"/>
                <c:pt idx="0">
                  <c:v>0</c:v>
                </c:pt>
                <c:pt idx="1">
                  <c:v>280</c:v>
                </c:pt>
                <c:pt idx="2">
                  <c:v>298</c:v>
                </c:pt>
                <c:pt idx="3">
                  <c:v>251</c:v>
                </c:pt>
                <c:pt idx="4">
                  <c:v>227</c:v>
                </c:pt>
                <c:pt idx="5">
                  <c:v>194</c:v>
                </c:pt>
                <c:pt idx="6">
                  <c:v>221</c:v>
                </c:pt>
                <c:pt idx="7">
                  <c:v>172</c:v>
                </c:pt>
                <c:pt idx="8">
                  <c:v>183</c:v>
                </c:pt>
                <c:pt idx="9">
                  <c:v>183</c:v>
                </c:pt>
                <c:pt idx="10">
                  <c:v>171</c:v>
                </c:pt>
                <c:pt idx="11">
                  <c:v>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'30.07 Kyambogo-Spear 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Kyambogo-Spear Motors'!$T$10:$T$21</c:f>
              <c:numCache>
                <c:formatCode>0</c:formatCode>
                <c:ptCount val="12"/>
                <c:pt idx="0">
                  <c:v>0</c:v>
                </c:pt>
                <c:pt idx="1">
                  <c:v>53</c:v>
                </c:pt>
                <c:pt idx="2">
                  <c:v>87</c:v>
                </c:pt>
                <c:pt idx="3">
                  <c:v>61</c:v>
                </c:pt>
                <c:pt idx="4">
                  <c:v>80</c:v>
                </c:pt>
                <c:pt idx="5">
                  <c:v>55</c:v>
                </c:pt>
                <c:pt idx="6">
                  <c:v>66</c:v>
                </c:pt>
                <c:pt idx="7">
                  <c:v>62</c:v>
                </c:pt>
                <c:pt idx="8">
                  <c:v>62</c:v>
                </c:pt>
                <c:pt idx="9">
                  <c:v>57</c:v>
                </c:pt>
                <c:pt idx="10">
                  <c:v>38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'30.07 Kyambogo-Spear 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Kyambogo-Spear Motors'!$U$10:$U$21</c:f>
              <c:numCache>
                <c:formatCode>0</c:formatCode>
                <c:ptCount val="12"/>
                <c:pt idx="0">
                  <c:v>0</c:v>
                </c:pt>
                <c:pt idx="1">
                  <c:v>39</c:v>
                </c:pt>
                <c:pt idx="2">
                  <c:v>43</c:v>
                </c:pt>
                <c:pt idx="3">
                  <c:v>32</c:v>
                </c:pt>
                <c:pt idx="4">
                  <c:v>48</c:v>
                </c:pt>
                <c:pt idx="5">
                  <c:v>23</c:v>
                </c:pt>
                <c:pt idx="6">
                  <c:v>30</c:v>
                </c:pt>
                <c:pt idx="7">
                  <c:v>35</c:v>
                </c:pt>
                <c:pt idx="8">
                  <c:v>26</c:v>
                </c:pt>
                <c:pt idx="9">
                  <c:v>28</c:v>
                </c:pt>
                <c:pt idx="10">
                  <c:v>29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'30.07 Kyambogo-Spear 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Kyambogo-Spear Motors'!$V$10:$V$21</c:f>
              <c:numCache>
                <c:formatCode>0</c:formatCode>
                <c:ptCount val="12"/>
                <c:pt idx="0">
                  <c:v>96</c:v>
                </c:pt>
                <c:pt idx="1">
                  <c:v>265</c:v>
                </c:pt>
                <c:pt idx="2">
                  <c:v>259</c:v>
                </c:pt>
                <c:pt idx="3">
                  <c:v>227</c:v>
                </c:pt>
                <c:pt idx="4">
                  <c:v>272</c:v>
                </c:pt>
                <c:pt idx="5">
                  <c:v>174</c:v>
                </c:pt>
                <c:pt idx="6">
                  <c:v>212</c:v>
                </c:pt>
                <c:pt idx="7">
                  <c:v>224</c:v>
                </c:pt>
                <c:pt idx="8">
                  <c:v>193</c:v>
                </c:pt>
                <c:pt idx="9">
                  <c:v>230</c:v>
                </c:pt>
                <c:pt idx="10">
                  <c:v>198</c:v>
                </c:pt>
                <c:pt idx="11">
                  <c:v>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'30.07 Kyambogo-Spear 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Kyambogo-Spear Motors'!$W$10:$W$21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4</c:v>
                </c:pt>
                <c:pt idx="3">
                  <c:v>2</c:v>
                </c:pt>
                <c:pt idx="4">
                  <c:v>3</c:v>
                </c:pt>
                <c:pt idx="5">
                  <c:v>0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'30.07 Kyambogo-Spear 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Kyambogo-Spear Motors'!$X$10:$X$21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5</c:v>
                </c:pt>
                <c:pt idx="7">
                  <c:v>9</c:v>
                </c:pt>
                <c:pt idx="8">
                  <c:v>2</c:v>
                </c:pt>
                <c:pt idx="9">
                  <c:v>4</c:v>
                </c:pt>
                <c:pt idx="10">
                  <c:v>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'30.07 Kyambogo-Spear 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Kyambogo-Spear Motors'!$Y$10:$Y$21</c:f>
              <c:numCache>
                <c:formatCode>0</c:formatCode>
                <c:ptCount val="12"/>
                <c:pt idx="0">
                  <c:v>8</c:v>
                </c:pt>
                <c:pt idx="1">
                  <c:v>4</c:v>
                </c:pt>
                <c:pt idx="2">
                  <c:v>14</c:v>
                </c:pt>
                <c:pt idx="3">
                  <c:v>26</c:v>
                </c:pt>
                <c:pt idx="4">
                  <c:v>12</c:v>
                </c:pt>
                <c:pt idx="5">
                  <c:v>22</c:v>
                </c:pt>
                <c:pt idx="6">
                  <c:v>13</c:v>
                </c:pt>
                <c:pt idx="7">
                  <c:v>18</c:v>
                </c:pt>
                <c:pt idx="8">
                  <c:v>13</c:v>
                </c:pt>
                <c:pt idx="9">
                  <c:v>22</c:v>
                </c:pt>
                <c:pt idx="10">
                  <c:v>20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'30.07 Kyambogo-Spear 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Kyambogo-Spear Motors'!$Z$10:$Z$21</c:f>
              <c:numCache>
                <c:formatCode>0</c:formatCode>
                <c:ptCount val="12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4</c:v>
                </c:pt>
                <c:pt idx="6">
                  <c:v>15</c:v>
                </c:pt>
                <c:pt idx="7">
                  <c:v>16</c:v>
                </c:pt>
                <c:pt idx="8">
                  <c:v>15</c:v>
                </c:pt>
                <c:pt idx="9">
                  <c:v>8</c:v>
                </c:pt>
                <c:pt idx="10">
                  <c:v>13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'30.07 Kyambogo-Spear 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Kyambogo-Spear Motors'!$AA$10:$AA$21</c:f>
              <c:numCache>
                <c:formatCode>0</c:formatCode>
                <c:ptCount val="12"/>
                <c:pt idx="0">
                  <c:v>3</c:v>
                </c:pt>
                <c:pt idx="1">
                  <c:v>13</c:v>
                </c:pt>
                <c:pt idx="2">
                  <c:v>6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1</c:v>
                </c:pt>
                <c:pt idx="7">
                  <c:v>6</c:v>
                </c:pt>
                <c:pt idx="8">
                  <c:v>10</c:v>
                </c:pt>
                <c:pt idx="9">
                  <c:v>4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'30.07 Kyambogo-Spear 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Kyambogo-Spear Motors'!$AB$10:$AB$21</c:f>
              <c:numCache>
                <c:formatCode>0</c:formatCode>
                <c:ptCount val="12"/>
                <c:pt idx="0">
                  <c:v>8</c:v>
                </c:pt>
                <c:pt idx="1">
                  <c:v>12</c:v>
                </c:pt>
                <c:pt idx="2">
                  <c:v>6</c:v>
                </c:pt>
                <c:pt idx="3">
                  <c:v>12</c:v>
                </c:pt>
                <c:pt idx="4">
                  <c:v>14</c:v>
                </c:pt>
                <c:pt idx="5">
                  <c:v>9</c:v>
                </c:pt>
                <c:pt idx="6">
                  <c:v>24</c:v>
                </c:pt>
                <c:pt idx="7">
                  <c:v>34</c:v>
                </c:pt>
                <c:pt idx="8">
                  <c:v>11</c:v>
                </c:pt>
                <c:pt idx="9">
                  <c:v>13</c:v>
                </c:pt>
                <c:pt idx="10">
                  <c:v>11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'30.07 Kyambogo-Spear 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Kyambogo-Spear Motors'!$AC$10:$AC$21</c:f>
              <c:numCache>
                <c:formatCode>0</c:formatCode>
                <c:ptCount val="12"/>
                <c:pt idx="0">
                  <c:v>0</c:v>
                </c:pt>
                <c:pt idx="1">
                  <c:v>1068</c:v>
                </c:pt>
                <c:pt idx="2">
                  <c:v>1036</c:v>
                </c:pt>
                <c:pt idx="3">
                  <c:v>1305</c:v>
                </c:pt>
                <c:pt idx="4">
                  <c:v>1145</c:v>
                </c:pt>
                <c:pt idx="5">
                  <c:v>895</c:v>
                </c:pt>
                <c:pt idx="6">
                  <c:v>1185</c:v>
                </c:pt>
                <c:pt idx="7">
                  <c:v>1175</c:v>
                </c:pt>
                <c:pt idx="8">
                  <c:v>1328</c:v>
                </c:pt>
                <c:pt idx="9">
                  <c:v>1175</c:v>
                </c:pt>
                <c:pt idx="10">
                  <c:v>2050</c:v>
                </c:pt>
                <c:pt idx="11">
                  <c:v>1415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'30.07 Kyambogo-Spear 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Kyambogo-Spear 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385152"/>
        <c:axId val="126399232"/>
      </c:lineChart>
      <c:catAx>
        <c:axId val="126385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6399232"/>
        <c:crosses val="autoZero"/>
        <c:auto val="1"/>
        <c:lblAlgn val="ctr"/>
        <c:lblOffset val="100"/>
        <c:noMultiLvlLbl val="0"/>
      </c:catAx>
      <c:valAx>
        <c:axId val="12639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638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Kyambogo-Spear Motors'!$C$60:$N$60</c:f>
              <c:numCache>
                <c:formatCode>0.00%</c:formatCode>
                <c:ptCount val="12"/>
                <c:pt idx="0">
                  <c:v>0.35948820718359797</c:v>
                </c:pt>
                <c:pt idx="1">
                  <c:v>0.10050870972714659</c:v>
                </c:pt>
                <c:pt idx="2">
                  <c:v>5.4570679821180822E-2</c:v>
                </c:pt>
                <c:pt idx="3">
                  <c:v>0.38846924618467704</c:v>
                </c:pt>
                <c:pt idx="4">
                  <c:v>6.9369508247263756E-3</c:v>
                </c:pt>
                <c:pt idx="5">
                  <c:v>7.2452597502697703E-3</c:v>
                </c:pt>
                <c:pt idx="6">
                  <c:v>2.9443502389394173E-2</c:v>
                </c:pt>
                <c:pt idx="7">
                  <c:v>1.9269307846462157E-2</c:v>
                </c:pt>
                <c:pt idx="8">
                  <c:v>9.7117311546169264E-3</c:v>
                </c:pt>
                <c:pt idx="9">
                  <c:v>2.4356405117928165E-2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Spear Motors-Kyambogo'!$AE$9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Motors-Kyambogo'!$AE$10:$AE$21</c:f>
              <c:numCache>
                <c:formatCode>0</c:formatCode>
                <c:ptCount val="12"/>
                <c:pt idx="0">
                  <c:v>300</c:v>
                </c:pt>
                <c:pt idx="1">
                  <c:v>406</c:v>
                </c:pt>
                <c:pt idx="2">
                  <c:v>466</c:v>
                </c:pt>
                <c:pt idx="3">
                  <c:v>602</c:v>
                </c:pt>
                <c:pt idx="4">
                  <c:v>636</c:v>
                </c:pt>
                <c:pt idx="5">
                  <c:v>671</c:v>
                </c:pt>
                <c:pt idx="6">
                  <c:v>582</c:v>
                </c:pt>
                <c:pt idx="7">
                  <c:v>699</c:v>
                </c:pt>
                <c:pt idx="8">
                  <c:v>707</c:v>
                </c:pt>
                <c:pt idx="9">
                  <c:v>738</c:v>
                </c:pt>
                <c:pt idx="10">
                  <c:v>1330</c:v>
                </c:pt>
                <c:pt idx="11">
                  <c:v>1206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'31.07 Spear Motors-Kyambogo'!$AF$9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Motors-Kyambogo'!$AF$10:$AF$21</c:f>
              <c:numCache>
                <c:formatCode>0</c:formatCode>
                <c:ptCount val="12"/>
                <c:pt idx="0">
                  <c:v>1825</c:v>
                </c:pt>
                <c:pt idx="1">
                  <c:v>1906</c:v>
                </c:pt>
                <c:pt idx="2">
                  <c:v>2148</c:v>
                </c:pt>
                <c:pt idx="3">
                  <c:v>2302</c:v>
                </c:pt>
                <c:pt idx="4">
                  <c:v>2001</c:v>
                </c:pt>
                <c:pt idx="5">
                  <c:v>1969</c:v>
                </c:pt>
                <c:pt idx="6">
                  <c:v>2082</c:v>
                </c:pt>
                <c:pt idx="7">
                  <c:v>1956</c:v>
                </c:pt>
                <c:pt idx="8">
                  <c:v>1987</c:v>
                </c:pt>
                <c:pt idx="9">
                  <c:v>2147</c:v>
                </c:pt>
                <c:pt idx="10">
                  <c:v>2960</c:v>
                </c:pt>
                <c:pt idx="11">
                  <c:v>2586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624896"/>
        <c:axId val="126626816"/>
      </c:lineChart>
      <c:catAx>
        <c:axId val="1266248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6626816"/>
        <c:crosses val="autoZero"/>
        <c:auto val="1"/>
        <c:lblAlgn val="ctr"/>
        <c:lblOffset val="100"/>
        <c:noMultiLvlLbl val="0"/>
      </c:catAx>
      <c:valAx>
        <c:axId val="1266268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662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Spear Motors-Kyambogo'!$C$59:$N$59</c:f>
              <c:numCache>
                <c:formatCode>0.0%</c:formatCode>
                <c:ptCount val="12"/>
                <c:pt idx="0">
                  <c:v>0.10997719277900189</c:v>
                </c:pt>
                <c:pt idx="1">
                  <c:v>5.1412888012679271E-2</c:v>
                </c:pt>
                <c:pt idx="2">
                  <c:v>2.7600603038385713E-2</c:v>
                </c:pt>
                <c:pt idx="3">
                  <c:v>9.9655958869689587E-2</c:v>
                </c:pt>
                <c:pt idx="4">
                  <c:v>3.1311608488924967E-3</c:v>
                </c:pt>
                <c:pt idx="5">
                  <c:v>8.890950558583633E-4</c:v>
                </c:pt>
                <c:pt idx="6">
                  <c:v>1.3529707371757703E-2</c:v>
                </c:pt>
                <c:pt idx="7">
                  <c:v>7.7312613552901156E-3</c:v>
                </c:pt>
                <c:pt idx="8">
                  <c:v>1.8168464184931772E-3</c:v>
                </c:pt>
                <c:pt idx="9">
                  <c:v>6.7648536858788515E-3</c:v>
                </c:pt>
                <c:pt idx="10">
                  <c:v>0.67749043256407282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04"/>
          <c:y val="2.296022663732375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Spear Motors-Kyambogo'!$S$9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Motors-Kyambogo'!$S$10:$S$21</c:f>
              <c:numCache>
                <c:formatCode>0</c:formatCode>
                <c:ptCount val="12"/>
                <c:pt idx="0">
                  <c:v>56</c:v>
                </c:pt>
                <c:pt idx="1">
                  <c:v>83</c:v>
                </c:pt>
                <c:pt idx="2">
                  <c:v>133</c:v>
                </c:pt>
                <c:pt idx="3">
                  <c:v>161</c:v>
                </c:pt>
                <c:pt idx="4">
                  <c:v>208</c:v>
                </c:pt>
                <c:pt idx="5">
                  <c:v>191</c:v>
                </c:pt>
                <c:pt idx="6">
                  <c:v>143</c:v>
                </c:pt>
                <c:pt idx="7">
                  <c:v>216</c:v>
                </c:pt>
                <c:pt idx="8">
                  <c:v>222</c:v>
                </c:pt>
                <c:pt idx="9">
                  <c:v>309</c:v>
                </c:pt>
                <c:pt idx="10">
                  <c:v>576</c:v>
                </c:pt>
                <c:pt idx="11">
                  <c:v>547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'31.07 Spear Motors-Kyambogo'!$T$9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Spear Motors-Kyambogo'!$T$10:$T$21</c:f>
              <c:numCache>
                <c:formatCode>0</c:formatCode>
                <c:ptCount val="12"/>
                <c:pt idx="0">
                  <c:v>22</c:v>
                </c:pt>
                <c:pt idx="1">
                  <c:v>39</c:v>
                </c:pt>
                <c:pt idx="2">
                  <c:v>57</c:v>
                </c:pt>
                <c:pt idx="3">
                  <c:v>64</c:v>
                </c:pt>
                <c:pt idx="4">
                  <c:v>69</c:v>
                </c:pt>
                <c:pt idx="5">
                  <c:v>90</c:v>
                </c:pt>
                <c:pt idx="6">
                  <c:v>68</c:v>
                </c:pt>
                <c:pt idx="7">
                  <c:v>103</c:v>
                </c:pt>
                <c:pt idx="8">
                  <c:v>104</c:v>
                </c:pt>
                <c:pt idx="9">
                  <c:v>116</c:v>
                </c:pt>
                <c:pt idx="10">
                  <c:v>325</c:v>
                </c:pt>
                <c:pt idx="11">
                  <c:v>273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'31.07 Spear Motors-Kyambogo'!$U$9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Motors-Kyambogo'!$U$10:$U$21</c:f>
              <c:numCache>
                <c:formatCode>0</c:formatCode>
                <c:ptCount val="12"/>
                <c:pt idx="0">
                  <c:v>16</c:v>
                </c:pt>
                <c:pt idx="1">
                  <c:v>20</c:v>
                </c:pt>
                <c:pt idx="2">
                  <c:v>40</c:v>
                </c:pt>
                <c:pt idx="3">
                  <c:v>46</c:v>
                </c:pt>
                <c:pt idx="4">
                  <c:v>49</c:v>
                </c:pt>
                <c:pt idx="5">
                  <c:v>47</c:v>
                </c:pt>
                <c:pt idx="6">
                  <c:v>46</c:v>
                </c:pt>
                <c:pt idx="7">
                  <c:v>51</c:v>
                </c:pt>
                <c:pt idx="8">
                  <c:v>43</c:v>
                </c:pt>
                <c:pt idx="9">
                  <c:v>46</c:v>
                </c:pt>
                <c:pt idx="10">
                  <c:v>159</c:v>
                </c:pt>
                <c:pt idx="11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'31.07 Spear Motors-Kyambogo'!$V$9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Motors-Kyambogo'!$V$10:$V$21</c:f>
              <c:numCache>
                <c:formatCode>0</c:formatCode>
                <c:ptCount val="12"/>
                <c:pt idx="0">
                  <c:v>170</c:v>
                </c:pt>
                <c:pt idx="1">
                  <c:v>212</c:v>
                </c:pt>
                <c:pt idx="2">
                  <c:v>181</c:v>
                </c:pt>
                <c:pt idx="3">
                  <c:v>230</c:v>
                </c:pt>
                <c:pt idx="4">
                  <c:v>224</c:v>
                </c:pt>
                <c:pt idx="5">
                  <c:v>243</c:v>
                </c:pt>
                <c:pt idx="6">
                  <c:v>231</c:v>
                </c:pt>
                <c:pt idx="7">
                  <c:v>231</c:v>
                </c:pt>
                <c:pt idx="8">
                  <c:v>241</c:v>
                </c:pt>
                <c:pt idx="9">
                  <c:v>218</c:v>
                </c:pt>
                <c:pt idx="10">
                  <c:v>206</c:v>
                </c:pt>
                <c:pt idx="11">
                  <c:v>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'31.07 Spear Motors-Kyambogo'!$W$9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Motors-Kyambogo'!$W$10:$W$21</c:f>
              <c:numCache>
                <c:formatCode>0</c:formatCode>
                <c:ptCount val="12"/>
                <c:pt idx="0">
                  <c:v>7</c:v>
                </c:pt>
                <c:pt idx="1">
                  <c:v>6</c:v>
                </c:pt>
                <c:pt idx="2">
                  <c:v>4</c:v>
                </c:pt>
                <c:pt idx="3">
                  <c:v>6</c:v>
                </c:pt>
                <c:pt idx="4">
                  <c:v>6</c:v>
                </c:pt>
                <c:pt idx="5">
                  <c:v>8</c:v>
                </c:pt>
                <c:pt idx="6">
                  <c:v>4</c:v>
                </c:pt>
                <c:pt idx="7">
                  <c:v>13</c:v>
                </c:pt>
                <c:pt idx="8">
                  <c:v>7</c:v>
                </c:pt>
                <c:pt idx="9">
                  <c:v>8</c:v>
                </c:pt>
                <c:pt idx="10">
                  <c:v>1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'31.07 Spear Motors-Kyambogo'!$X$9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Motors-Kyambogo'!$X$10:$X$21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'31.07 Spear Motors-Kyambogo'!$Y$9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Motors-Kyambogo'!$Y$10:$Y$21</c:f>
              <c:numCache>
                <c:formatCode>0</c:formatCode>
                <c:ptCount val="12"/>
                <c:pt idx="0">
                  <c:v>13</c:v>
                </c:pt>
                <c:pt idx="1">
                  <c:v>19</c:v>
                </c:pt>
                <c:pt idx="2">
                  <c:v>28</c:v>
                </c:pt>
                <c:pt idx="3">
                  <c:v>34</c:v>
                </c:pt>
                <c:pt idx="4">
                  <c:v>33</c:v>
                </c:pt>
                <c:pt idx="5">
                  <c:v>34</c:v>
                </c:pt>
                <c:pt idx="6">
                  <c:v>35</c:v>
                </c:pt>
                <c:pt idx="7">
                  <c:v>42</c:v>
                </c:pt>
                <c:pt idx="8">
                  <c:v>39</c:v>
                </c:pt>
                <c:pt idx="9">
                  <c:v>36</c:v>
                </c:pt>
                <c:pt idx="10">
                  <c:v>27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'31.07 Spear Motors-Kyambogo'!$Z$9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Motors-Kyambogo'!$Z$10:$Z$21</c:f>
              <c:numCache>
                <c:formatCode>0</c:formatCode>
                <c:ptCount val="12"/>
                <c:pt idx="0">
                  <c:v>1</c:v>
                </c:pt>
                <c:pt idx="1">
                  <c:v>12</c:v>
                </c:pt>
                <c:pt idx="2">
                  <c:v>7</c:v>
                </c:pt>
                <c:pt idx="3">
                  <c:v>33</c:v>
                </c:pt>
                <c:pt idx="4">
                  <c:v>23</c:v>
                </c:pt>
                <c:pt idx="5">
                  <c:v>25</c:v>
                </c:pt>
                <c:pt idx="6">
                  <c:v>22</c:v>
                </c:pt>
                <c:pt idx="7">
                  <c:v>16</c:v>
                </c:pt>
                <c:pt idx="8">
                  <c:v>19</c:v>
                </c:pt>
                <c:pt idx="9">
                  <c:v>5</c:v>
                </c:pt>
                <c:pt idx="10">
                  <c:v>22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'31.07 Spear Motors-Kyambogo'!$AA$9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Motors-Kyambogo'!$AA$10:$AA$21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9</c:v>
                </c:pt>
                <c:pt idx="4">
                  <c:v>4</c:v>
                </c:pt>
                <c:pt idx="5">
                  <c:v>2</c:v>
                </c:pt>
                <c:pt idx="6">
                  <c:v>10</c:v>
                </c:pt>
                <c:pt idx="7">
                  <c:v>4</c:v>
                </c:pt>
                <c:pt idx="8">
                  <c:v>6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'31.07 Spear Motors-Kyambogo'!$AB$9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Motors-Kyambogo'!$AB$10:$AB$21</c:f>
              <c:numCache>
                <c:formatCode>0</c:formatCode>
                <c:ptCount val="12"/>
                <c:pt idx="0">
                  <c:v>12</c:v>
                </c:pt>
                <c:pt idx="1">
                  <c:v>9</c:v>
                </c:pt>
                <c:pt idx="2">
                  <c:v>10</c:v>
                </c:pt>
                <c:pt idx="3">
                  <c:v>16</c:v>
                </c:pt>
                <c:pt idx="4">
                  <c:v>20</c:v>
                </c:pt>
                <c:pt idx="5">
                  <c:v>25</c:v>
                </c:pt>
                <c:pt idx="6">
                  <c:v>21</c:v>
                </c:pt>
                <c:pt idx="7">
                  <c:v>23</c:v>
                </c:pt>
                <c:pt idx="8">
                  <c:v>22</c:v>
                </c:pt>
                <c:pt idx="9">
                  <c:v>0</c:v>
                </c:pt>
                <c:pt idx="10">
                  <c:v>12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'31.07 Spear Motors-Kyambogo'!$AC$9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Motors-Kyambogo'!$AC$10:$AC$21</c:f>
              <c:numCache>
                <c:formatCode>0</c:formatCode>
                <c:ptCount val="12"/>
                <c:pt idx="0">
                  <c:v>1525</c:v>
                </c:pt>
                <c:pt idx="1">
                  <c:v>1500</c:v>
                </c:pt>
                <c:pt idx="2">
                  <c:v>1682</c:v>
                </c:pt>
                <c:pt idx="3">
                  <c:v>1700</c:v>
                </c:pt>
                <c:pt idx="4">
                  <c:v>1365</c:v>
                </c:pt>
                <c:pt idx="5">
                  <c:v>1298</c:v>
                </c:pt>
                <c:pt idx="6">
                  <c:v>1500</c:v>
                </c:pt>
                <c:pt idx="7">
                  <c:v>1257</c:v>
                </c:pt>
                <c:pt idx="8">
                  <c:v>1280</c:v>
                </c:pt>
                <c:pt idx="9">
                  <c:v>1409</c:v>
                </c:pt>
                <c:pt idx="10">
                  <c:v>1630</c:v>
                </c:pt>
                <c:pt idx="11">
                  <c:v>1380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'31.07 Spear Motors-Kyambogo'!$AD$9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Spear Motors-Kyambogo'!$AD$10:$AD$21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421632"/>
        <c:axId val="126431616"/>
      </c:lineChart>
      <c:catAx>
        <c:axId val="12642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6431616"/>
        <c:crosses val="autoZero"/>
        <c:auto val="1"/>
        <c:lblAlgn val="ctr"/>
        <c:lblOffset val="100"/>
        <c:noMultiLvlLbl val="0"/>
      </c:catAx>
      <c:valAx>
        <c:axId val="1264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6421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Spear Motors-Kyambogo'!$C$60:$N$60</c:f>
              <c:numCache>
                <c:formatCode>0.00%</c:formatCode>
                <c:ptCount val="12"/>
                <c:pt idx="0">
                  <c:v>0.34100443485556753</c:v>
                </c:pt>
                <c:pt idx="1">
                  <c:v>0.15941507850892964</c:v>
                </c:pt>
                <c:pt idx="2">
                  <c:v>8.5580726357425391E-2</c:v>
                </c:pt>
                <c:pt idx="3">
                  <c:v>0.30900155819249669</c:v>
                </c:pt>
                <c:pt idx="4">
                  <c:v>9.7087378640776691E-3</c:v>
                </c:pt>
                <c:pt idx="5">
                  <c:v>2.7568021095529184E-3</c:v>
                </c:pt>
                <c:pt idx="6">
                  <c:v>4.1951336449718324E-2</c:v>
                </c:pt>
                <c:pt idx="7">
                  <c:v>2.3972192256981901E-2</c:v>
                </c:pt>
                <c:pt idx="8">
                  <c:v>5.6334651803907464E-3</c:v>
                </c:pt>
                <c:pt idx="9">
                  <c:v>2.0975668224859162E-2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Kyambogo-Spear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Kyambogo-Spear Motors'!$AE$10:$AE$21</c:f>
              <c:numCache>
                <c:formatCode>0</c:formatCode>
                <c:ptCount val="12"/>
                <c:pt idx="0">
                  <c:v>870</c:v>
                </c:pt>
                <c:pt idx="1">
                  <c:v>1121</c:v>
                </c:pt>
                <c:pt idx="2">
                  <c:v>881</c:v>
                </c:pt>
                <c:pt idx="3">
                  <c:v>719</c:v>
                </c:pt>
                <c:pt idx="4">
                  <c:v>581</c:v>
                </c:pt>
                <c:pt idx="5">
                  <c:v>517</c:v>
                </c:pt>
                <c:pt idx="6">
                  <c:v>548</c:v>
                </c:pt>
                <c:pt idx="7">
                  <c:v>590</c:v>
                </c:pt>
                <c:pt idx="8">
                  <c:v>593</c:v>
                </c:pt>
                <c:pt idx="9">
                  <c:v>511</c:v>
                </c:pt>
                <c:pt idx="10">
                  <c:v>541</c:v>
                </c:pt>
                <c:pt idx="11">
                  <c:v>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'31.07 Kyambogo-Spear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Kyambogo-Spear Motors'!$AF$10:$AF$21</c:f>
              <c:numCache>
                <c:formatCode>0</c:formatCode>
                <c:ptCount val="12"/>
                <c:pt idx="0">
                  <c:v>2470</c:v>
                </c:pt>
                <c:pt idx="1">
                  <c:v>3421</c:v>
                </c:pt>
                <c:pt idx="2">
                  <c:v>3146</c:v>
                </c:pt>
                <c:pt idx="3">
                  <c:v>2349</c:v>
                </c:pt>
                <c:pt idx="4">
                  <c:v>1881</c:v>
                </c:pt>
                <c:pt idx="5">
                  <c:v>1677</c:v>
                </c:pt>
                <c:pt idx="6">
                  <c:v>1898</c:v>
                </c:pt>
                <c:pt idx="7">
                  <c:v>1695</c:v>
                </c:pt>
                <c:pt idx="8">
                  <c:v>1833</c:v>
                </c:pt>
                <c:pt idx="9">
                  <c:v>1596</c:v>
                </c:pt>
                <c:pt idx="10">
                  <c:v>1894</c:v>
                </c:pt>
                <c:pt idx="11">
                  <c:v>1994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989056"/>
        <c:axId val="126990976"/>
      </c:lineChart>
      <c:catAx>
        <c:axId val="1269890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6990976"/>
        <c:crosses val="autoZero"/>
        <c:auto val="1"/>
        <c:lblAlgn val="ctr"/>
        <c:lblOffset val="100"/>
        <c:noMultiLvlLbl val="0"/>
      </c:catAx>
      <c:valAx>
        <c:axId val="1269909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698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Kyambogo-Spear Motors'!$C$59:$N$59</c:f>
              <c:numCache>
                <c:formatCode>0.0%</c:formatCode>
                <c:ptCount val="12"/>
                <c:pt idx="0">
                  <c:v>0.11704185039065522</c:v>
                </c:pt>
                <c:pt idx="1">
                  <c:v>3.0246770325674945E-2</c:v>
                </c:pt>
                <c:pt idx="2">
                  <c:v>1.3498878316701478E-2</c:v>
                </c:pt>
                <c:pt idx="3">
                  <c:v>0.11622959696758722</c:v>
                </c:pt>
                <c:pt idx="4">
                  <c:v>2.5141177380676102E-3</c:v>
                </c:pt>
                <c:pt idx="5">
                  <c:v>1.6631855805678039E-3</c:v>
                </c:pt>
                <c:pt idx="6">
                  <c:v>8.2772491684072105E-3</c:v>
                </c:pt>
                <c:pt idx="7">
                  <c:v>8.0838554962481633E-3</c:v>
                </c:pt>
                <c:pt idx="8">
                  <c:v>2.8622263479538951E-3</c:v>
                </c:pt>
                <c:pt idx="9">
                  <c:v>7.7744256207936879E-3</c:v>
                </c:pt>
                <c:pt idx="10">
                  <c:v>0.69180784404734275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Kyambogo-Spear Motors'!$C$60:$N$60</c:f>
              <c:numCache>
                <c:formatCode>0.00%</c:formatCode>
                <c:ptCount val="12"/>
                <c:pt idx="0">
                  <c:v>0.37976907630522089</c:v>
                </c:pt>
                <c:pt idx="1">
                  <c:v>9.8142570281124497E-2</c:v>
                </c:pt>
                <c:pt idx="2">
                  <c:v>4.3800200803212855E-2</c:v>
                </c:pt>
                <c:pt idx="3">
                  <c:v>0.37713353413654621</c:v>
                </c:pt>
                <c:pt idx="4">
                  <c:v>8.1576305220883542E-3</c:v>
                </c:pt>
                <c:pt idx="5">
                  <c:v>5.3965863453815264E-3</c:v>
                </c:pt>
                <c:pt idx="6">
                  <c:v>2.6857429718875503E-2</c:v>
                </c:pt>
                <c:pt idx="7">
                  <c:v>2.6229919678714859E-2</c:v>
                </c:pt>
                <c:pt idx="8">
                  <c:v>9.2871485943775093E-3</c:v>
                </c:pt>
                <c:pt idx="9">
                  <c:v>2.5225903614457833E-2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Spear Motors-Kyambogo'!$AE$9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Spear Motors-Kyambogo'!$R$10:$R$33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Spear Motors-Kyambogo'!$AE$10:$AE$33</c:f>
              <c:numCache>
                <c:formatCode>0</c:formatCode>
                <c:ptCount val="24"/>
                <c:pt idx="0">
                  <c:v>379</c:v>
                </c:pt>
                <c:pt idx="1">
                  <c:v>503</c:v>
                </c:pt>
                <c:pt idx="2">
                  <c:v>491</c:v>
                </c:pt>
                <c:pt idx="3">
                  <c:v>609</c:v>
                </c:pt>
                <c:pt idx="4">
                  <c:v>714</c:v>
                </c:pt>
                <c:pt idx="5">
                  <c:v>678</c:v>
                </c:pt>
                <c:pt idx="6">
                  <c:v>591</c:v>
                </c:pt>
                <c:pt idx="7">
                  <c:v>577</c:v>
                </c:pt>
                <c:pt idx="8">
                  <c:v>671</c:v>
                </c:pt>
                <c:pt idx="9">
                  <c:v>779</c:v>
                </c:pt>
                <c:pt idx="10">
                  <c:v>1050</c:v>
                </c:pt>
                <c:pt idx="11">
                  <c:v>1142</c:v>
                </c:pt>
                <c:pt idx="12">
                  <c:v>481</c:v>
                </c:pt>
                <c:pt idx="13">
                  <c:v>580</c:v>
                </c:pt>
                <c:pt idx="14">
                  <c:v>604</c:v>
                </c:pt>
                <c:pt idx="15">
                  <c:v>396</c:v>
                </c:pt>
                <c:pt idx="16">
                  <c:v>294</c:v>
                </c:pt>
                <c:pt idx="17">
                  <c:v>178</c:v>
                </c:pt>
                <c:pt idx="18">
                  <c:v>205</c:v>
                </c:pt>
                <c:pt idx="19">
                  <c:v>111</c:v>
                </c:pt>
                <c:pt idx="20">
                  <c:v>113</c:v>
                </c:pt>
                <c:pt idx="21">
                  <c:v>101</c:v>
                </c:pt>
                <c:pt idx="22">
                  <c:v>175</c:v>
                </c:pt>
                <c:pt idx="23">
                  <c:v>360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'01.08 Spear Motors-Kyambogo'!$AF$9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Spear Motors-Kyambogo'!$R$10:$R$33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Spear Motors-Kyambogo'!$AF$10:$AF$33</c:f>
              <c:numCache>
                <c:formatCode>0</c:formatCode>
                <c:ptCount val="24"/>
                <c:pt idx="0">
                  <c:v>1429</c:v>
                </c:pt>
                <c:pt idx="1">
                  <c:v>1826</c:v>
                </c:pt>
                <c:pt idx="2">
                  <c:v>2091</c:v>
                </c:pt>
                <c:pt idx="3">
                  <c:v>2367</c:v>
                </c:pt>
                <c:pt idx="4">
                  <c:v>2585</c:v>
                </c:pt>
                <c:pt idx="5">
                  <c:v>2405</c:v>
                </c:pt>
                <c:pt idx="6">
                  <c:v>2201</c:v>
                </c:pt>
                <c:pt idx="7">
                  <c:v>2140</c:v>
                </c:pt>
                <c:pt idx="8">
                  <c:v>1991</c:v>
                </c:pt>
                <c:pt idx="9">
                  <c:v>2159</c:v>
                </c:pt>
                <c:pt idx="10">
                  <c:v>2940</c:v>
                </c:pt>
                <c:pt idx="11">
                  <c:v>3104</c:v>
                </c:pt>
                <c:pt idx="12">
                  <c:v>1601</c:v>
                </c:pt>
                <c:pt idx="13">
                  <c:v>1790</c:v>
                </c:pt>
                <c:pt idx="14">
                  <c:v>1709</c:v>
                </c:pt>
                <c:pt idx="15">
                  <c:v>1101</c:v>
                </c:pt>
                <c:pt idx="16">
                  <c:v>805</c:v>
                </c:pt>
                <c:pt idx="17">
                  <c:v>338</c:v>
                </c:pt>
                <c:pt idx="18">
                  <c:v>267</c:v>
                </c:pt>
                <c:pt idx="19">
                  <c:v>155</c:v>
                </c:pt>
                <c:pt idx="20">
                  <c:v>146</c:v>
                </c:pt>
                <c:pt idx="21">
                  <c:v>124</c:v>
                </c:pt>
                <c:pt idx="22">
                  <c:v>226</c:v>
                </c:pt>
                <c:pt idx="23">
                  <c:v>442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311232"/>
        <c:axId val="127206528"/>
      </c:lineChart>
      <c:catAx>
        <c:axId val="1273112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206528"/>
        <c:crosses val="autoZero"/>
        <c:auto val="1"/>
        <c:lblAlgn val="ctr"/>
        <c:lblOffset val="100"/>
        <c:noMultiLvlLbl val="0"/>
      </c:catAx>
      <c:valAx>
        <c:axId val="1272065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31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Spear Motors-Kyambogo'!$C$107:$N$107</c:f>
              <c:numCache>
                <c:formatCode>0.0%</c:formatCode>
                <c:ptCount val="12"/>
                <c:pt idx="0">
                  <c:v>0.11449001168549329</c:v>
                </c:pt>
                <c:pt idx="1">
                  <c:v>4.3236325190584832E-2</c:v>
                </c:pt>
                <c:pt idx="2">
                  <c:v>2.2258082466195539E-2</c:v>
                </c:pt>
                <c:pt idx="3">
                  <c:v>0.10786823215180012</c:v>
                </c:pt>
                <c:pt idx="4">
                  <c:v>4.1177452562461744E-3</c:v>
                </c:pt>
                <c:pt idx="5">
                  <c:v>1.4189527572199656E-3</c:v>
                </c:pt>
                <c:pt idx="6">
                  <c:v>1.3299204273551834E-2</c:v>
                </c:pt>
                <c:pt idx="7">
                  <c:v>9.3483946358021257E-3</c:v>
                </c:pt>
                <c:pt idx="8">
                  <c:v>3.0604863391018862E-3</c:v>
                </c:pt>
                <c:pt idx="9">
                  <c:v>8.7084747648990043E-3</c:v>
                </c:pt>
                <c:pt idx="10">
                  <c:v>0.67219409047910528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Spear Motors-Kyambogo'!$C$108:$N$108</c:f>
              <c:numCache>
                <c:formatCode>0.00%</c:formatCode>
                <c:ptCount val="12"/>
                <c:pt idx="0">
                  <c:v>0.34926158546936004</c:v>
                </c:pt>
                <c:pt idx="1">
                  <c:v>0.13189611271430995</c:v>
                </c:pt>
                <c:pt idx="2">
                  <c:v>6.7900186725513498E-2</c:v>
                </c:pt>
                <c:pt idx="3">
                  <c:v>0.3290612799185198</c:v>
                </c:pt>
                <c:pt idx="4">
                  <c:v>1.2561534544219996E-2</c:v>
                </c:pt>
                <c:pt idx="5">
                  <c:v>4.3286369037514854E-3</c:v>
                </c:pt>
                <c:pt idx="6">
                  <c:v>4.0570361568494313E-2</c:v>
                </c:pt>
                <c:pt idx="7">
                  <c:v>2.8518078424715668E-2</c:v>
                </c:pt>
                <c:pt idx="8">
                  <c:v>9.3362756747581051E-3</c:v>
                </c:pt>
                <c:pt idx="9">
                  <c:v>2.6565948056357154E-2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Kyambogo-Spear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Kyambogo-Spear Motors'!$R$10:$R$33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Kyambogo-Spear Motors'!$AE$10:$AE$33</c:f>
              <c:numCache>
                <c:formatCode>0</c:formatCode>
                <c:ptCount val="24"/>
                <c:pt idx="0">
                  <c:v>907</c:v>
                </c:pt>
                <c:pt idx="1">
                  <c:v>823</c:v>
                </c:pt>
                <c:pt idx="2">
                  <c:v>676</c:v>
                </c:pt>
                <c:pt idx="3">
                  <c:v>696</c:v>
                </c:pt>
                <c:pt idx="4">
                  <c:v>698</c:v>
                </c:pt>
                <c:pt idx="5">
                  <c:v>556</c:v>
                </c:pt>
                <c:pt idx="6">
                  <c:v>546</c:v>
                </c:pt>
                <c:pt idx="7">
                  <c:v>481</c:v>
                </c:pt>
                <c:pt idx="8">
                  <c:v>457</c:v>
                </c:pt>
                <c:pt idx="9">
                  <c:v>513</c:v>
                </c:pt>
                <c:pt idx="10">
                  <c:v>505</c:v>
                </c:pt>
                <c:pt idx="11">
                  <c:v>383</c:v>
                </c:pt>
                <c:pt idx="12">
                  <c:v>397</c:v>
                </c:pt>
                <c:pt idx="13">
                  <c:v>413</c:v>
                </c:pt>
                <c:pt idx="14">
                  <c:v>323</c:v>
                </c:pt>
                <c:pt idx="15">
                  <c:v>291</c:v>
                </c:pt>
                <c:pt idx="16">
                  <c:v>291</c:v>
                </c:pt>
                <c:pt idx="17">
                  <c:v>245</c:v>
                </c:pt>
                <c:pt idx="18">
                  <c:v>163</c:v>
                </c:pt>
                <c:pt idx="19">
                  <c:v>130</c:v>
                </c:pt>
                <c:pt idx="20">
                  <c:v>116</c:v>
                </c:pt>
                <c:pt idx="21">
                  <c:v>181</c:v>
                </c:pt>
                <c:pt idx="22">
                  <c:v>257</c:v>
                </c:pt>
                <c:pt idx="23">
                  <c:v>646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'01.08 Kyambogo-Spear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Kyambogo-Spear Motors'!$R$10:$R$33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Kyambogo-Spear Motors'!$AF$10:$AF$33</c:f>
              <c:numCache>
                <c:formatCode>0</c:formatCode>
                <c:ptCount val="24"/>
                <c:pt idx="0">
                  <c:v>2032</c:v>
                </c:pt>
                <c:pt idx="1">
                  <c:v>1703</c:v>
                </c:pt>
                <c:pt idx="2">
                  <c:v>1252</c:v>
                </c:pt>
                <c:pt idx="3">
                  <c:v>987</c:v>
                </c:pt>
                <c:pt idx="4">
                  <c:v>797</c:v>
                </c:pt>
                <c:pt idx="5">
                  <c:v>606</c:v>
                </c:pt>
                <c:pt idx="6">
                  <c:v>567</c:v>
                </c:pt>
                <c:pt idx="7">
                  <c:v>491</c:v>
                </c:pt>
                <c:pt idx="8">
                  <c:v>498</c:v>
                </c:pt>
                <c:pt idx="9">
                  <c:v>544</c:v>
                </c:pt>
                <c:pt idx="10">
                  <c:v>555</c:v>
                </c:pt>
                <c:pt idx="11">
                  <c:v>840</c:v>
                </c:pt>
                <c:pt idx="12">
                  <c:v>1752</c:v>
                </c:pt>
                <c:pt idx="13">
                  <c:v>1958</c:v>
                </c:pt>
                <c:pt idx="14">
                  <c:v>1818</c:v>
                </c:pt>
                <c:pt idx="15">
                  <c:v>1736</c:v>
                </c:pt>
                <c:pt idx="16">
                  <c:v>1486</c:v>
                </c:pt>
                <c:pt idx="17">
                  <c:v>1345</c:v>
                </c:pt>
                <c:pt idx="18">
                  <c:v>1208</c:v>
                </c:pt>
                <c:pt idx="19">
                  <c:v>1278</c:v>
                </c:pt>
                <c:pt idx="20">
                  <c:v>1221</c:v>
                </c:pt>
                <c:pt idx="21">
                  <c:v>1181</c:v>
                </c:pt>
                <c:pt idx="22">
                  <c:v>1430</c:v>
                </c:pt>
                <c:pt idx="23">
                  <c:v>1561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610880"/>
        <c:axId val="127612800"/>
      </c:lineChart>
      <c:catAx>
        <c:axId val="127610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612800"/>
        <c:crosses val="autoZero"/>
        <c:auto val="1"/>
        <c:lblAlgn val="ctr"/>
        <c:lblOffset val="100"/>
        <c:noMultiLvlLbl val="0"/>
      </c:catAx>
      <c:valAx>
        <c:axId val="1276128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61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Kyambogo-Spear Motors'!$C$107:$N$107</c:f>
              <c:numCache>
                <c:formatCode>0.0%</c:formatCode>
                <c:ptCount val="12"/>
                <c:pt idx="0">
                  <c:v>6.5867017957429107E-4</c:v>
                </c:pt>
                <c:pt idx="1">
                  <c:v>3.2413506205366427E-2</c:v>
                </c:pt>
                <c:pt idx="2">
                  <c:v>2.1528114816612355E-2</c:v>
                </c:pt>
                <c:pt idx="3">
                  <c:v>0.136968730499896</c:v>
                </c:pt>
                <c:pt idx="4">
                  <c:v>7.0027040144214105E-3</c:v>
                </c:pt>
                <c:pt idx="5">
                  <c:v>3.7440199681064968E-3</c:v>
                </c:pt>
                <c:pt idx="6">
                  <c:v>1.5808084309782984E-2</c:v>
                </c:pt>
                <c:pt idx="7">
                  <c:v>1.0296054912292865E-2</c:v>
                </c:pt>
                <c:pt idx="8">
                  <c:v>4.2986895930111624E-3</c:v>
                </c:pt>
                <c:pt idx="9">
                  <c:v>8.5973791860223248E-3</c:v>
                </c:pt>
                <c:pt idx="10">
                  <c:v>0.62927268945434378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Kyambogo-Spear Motors'!$C$108:$N$108</c:f>
              <c:numCache>
                <c:formatCode>0.00%</c:formatCode>
                <c:ptCount val="12"/>
                <c:pt idx="0">
                  <c:v>1.7766972133906865E-3</c:v>
                </c:pt>
                <c:pt idx="1">
                  <c:v>8.7432204974752195E-2</c:v>
                </c:pt>
                <c:pt idx="2">
                  <c:v>5.8069945763979801E-2</c:v>
                </c:pt>
                <c:pt idx="3">
                  <c:v>0.36945951000561061</c:v>
                </c:pt>
                <c:pt idx="4">
                  <c:v>1.888909668973256E-2</c:v>
                </c:pt>
                <c:pt idx="5">
                  <c:v>1.009912100243127E-2</c:v>
                </c:pt>
                <c:pt idx="6">
                  <c:v>4.2640733121376471E-2</c:v>
                </c:pt>
                <c:pt idx="7">
                  <c:v>2.7772582756685992E-2</c:v>
                </c:pt>
                <c:pt idx="8">
                  <c:v>1.1595287076865532E-2</c:v>
                </c:pt>
                <c:pt idx="9">
                  <c:v>2.3190574153731065E-2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Spear Motors-Kyambogo'!$AE$9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 Motors-Kyambogo'!$AE$10:$AE$21</c:f>
              <c:numCache>
                <c:formatCode>0</c:formatCode>
                <c:ptCount val="12"/>
                <c:pt idx="0">
                  <c:v>358</c:v>
                </c:pt>
                <c:pt idx="1">
                  <c:v>441</c:v>
                </c:pt>
                <c:pt idx="2">
                  <c:v>550</c:v>
                </c:pt>
                <c:pt idx="3">
                  <c:v>588</c:v>
                </c:pt>
                <c:pt idx="4">
                  <c:v>748</c:v>
                </c:pt>
                <c:pt idx="5">
                  <c:v>779</c:v>
                </c:pt>
                <c:pt idx="6">
                  <c:v>771</c:v>
                </c:pt>
                <c:pt idx="7">
                  <c:v>759</c:v>
                </c:pt>
                <c:pt idx="8">
                  <c:v>779</c:v>
                </c:pt>
                <c:pt idx="9">
                  <c:v>1009</c:v>
                </c:pt>
                <c:pt idx="10">
                  <c:v>1014</c:v>
                </c:pt>
                <c:pt idx="11">
                  <c:v>1395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'02.08 Spear Motors-Kyambogo'!$AF$9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 Motors-Kyambogo'!$AF$10:$AF$21</c:f>
              <c:numCache>
                <c:formatCode>0</c:formatCode>
                <c:ptCount val="12"/>
                <c:pt idx="0">
                  <c:v>1853</c:v>
                </c:pt>
                <c:pt idx="1">
                  <c:v>1826</c:v>
                </c:pt>
                <c:pt idx="2">
                  <c:v>2175</c:v>
                </c:pt>
                <c:pt idx="3">
                  <c:v>2098</c:v>
                </c:pt>
                <c:pt idx="4">
                  <c:v>1748</c:v>
                </c:pt>
                <c:pt idx="5">
                  <c:v>1904</c:v>
                </c:pt>
                <c:pt idx="6">
                  <c:v>1781</c:v>
                </c:pt>
                <c:pt idx="7">
                  <c:v>2052</c:v>
                </c:pt>
                <c:pt idx="8">
                  <c:v>1963</c:v>
                </c:pt>
                <c:pt idx="9">
                  <c:v>2314</c:v>
                </c:pt>
                <c:pt idx="10">
                  <c:v>2209</c:v>
                </c:pt>
                <c:pt idx="11">
                  <c:v>2640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857024"/>
        <c:axId val="127858944"/>
      </c:lineChart>
      <c:catAx>
        <c:axId val="1278570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858944"/>
        <c:crosses val="autoZero"/>
        <c:auto val="1"/>
        <c:lblAlgn val="ctr"/>
        <c:lblOffset val="100"/>
        <c:noMultiLvlLbl val="0"/>
      </c:catAx>
      <c:valAx>
        <c:axId val="127858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85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Spear Motors-Kyambogo'!$C$59:$N$59</c:f>
              <c:numCache>
                <c:formatCode>0.0%</c:formatCode>
                <c:ptCount val="12"/>
                <c:pt idx="0">
                  <c:v>0.13520335463909131</c:v>
                </c:pt>
                <c:pt idx="1">
                  <c:v>5.544925294141595E-2</c:v>
                </c:pt>
                <c:pt idx="2">
                  <c:v>3.1999348613768679E-2</c:v>
                </c:pt>
                <c:pt idx="3">
                  <c:v>0.10821153767862232</c:v>
                </c:pt>
                <c:pt idx="4">
                  <c:v>4.7632618165533522E-3</c:v>
                </c:pt>
                <c:pt idx="5">
                  <c:v>9.7707934698530318E-4</c:v>
                </c:pt>
                <c:pt idx="6">
                  <c:v>1.5877539388511174E-2</c:v>
                </c:pt>
                <c:pt idx="7">
                  <c:v>9.4043887147335428E-3</c:v>
                </c:pt>
                <c:pt idx="8">
                  <c:v>2.8091031225827463E-3</c:v>
                </c:pt>
                <c:pt idx="9">
                  <c:v>9.4858119936489845E-3</c:v>
                </c:pt>
                <c:pt idx="10">
                  <c:v>0.62581932174408661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04"/>
          <c:y val="2.296022663732375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Spear Motors-Kyambogo'!$S$9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 Motors-Kyambogo'!$S$10:$S$21</c:f>
              <c:numCache>
                <c:formatCode>0</c:formatCode>
                <c:ptCount val="12"/>
                <c:pt idx="0">
                  <c:v>89</c:v>
                </c:pt>
                <c:pt idx="1">
                  <c:v>118</c:v>
                </c:pt>
                <c:pt idx="2">
                  <c:v>137</c:v>
                </c:pt>
                <c:pt idx="3">
                  <c:v>161</c:v>
                </c:pt>
                <c:pt idx="4">
                  <c:v>221</c:v>
                </c:pt>
                <c:pt idx="5">
                  <c:v>309</c:v>
                </c:pt>
                <c:pt idx="6">
                  <c:v>264</c:v>
                </c:pt>
                <c:pt idx="7">
                  <c:v>266</c:v>
                </c:pt>
                <c:pt idx="8">
                  <c:v>283</c:v>
                </c:pt>
                <c:pt idx="9">
                  <c:v>399</c:v>
                </c:pt>
                <c:pt idx="10">
                  <c:v>446</c:v>
                </c:pt>
                <c:pt idx="11">
                  <c:v>628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'02.08 Spear Motors-Kyambogo'!$T$9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Spear Motors-Kyambogo'!$T$10:$T$21</c:f>
              <c:numCache>
                <c:formatCode>0</c:formatCode>
                <c:ptCount val="12"/>
                <c:pt idx="0">
                  <c:v>32</c:v>
                </c:pt>
                <c:pt idx="1">
                  <c:v>41</c:v>
                </c:pt>
                <c:pt idx="2">
                  <c:v>62</c:v>
                </c:pt>
                <c:pt idx="3">
                  <c:v>70</c:v>
                </c:pt>
                <c:pt idx="4">
                  <c:v>89</c:v>
                </c:pt>
                <c:pt idx="5">
                  <c:v>130</c:v>
                </c:pt>
                <c:pt idx="6">
                  <c:v>111</c:v>
                </c:pt>
                <c:pt idx="7">
                  <c:v>74</c:v>
                </c:pt>
                <c:pt idx="8">
                  <c:v>98</c:v>
                </c:pt>
                <c:pt idx="9">
                  <c:v>147</c:v>
                </c:pt>
                <c:pt idx="10">
                  <c:v>194</c:v>
                </c:pt>
                <c:pt idx="11">
                  <c:v>314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'02.08 Spear Motors-Kyambogo'!$U$9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Motors-Kyambogo'!$U$10:$U$21</c:f>
              <c:numCache>
                <c:formatCode>0</c:formatCode>
                <c:ptCount val="12"/>
                <c:pt idx="0">
                  <c:v>24</c:v>
                </c:pt>
                <c:pt idx="1">
                  <c:v>19</c:v>
                </c:pt>
                <c:pt idx="2">
                  <c:v>27</c:v>
                </c:pt>
                <c:pt idx="3">
                  <c:v>47</c:v>
                </c:pt>
                <c:pt idx="4">
                  <c:v>67</c:v>
                </c:pt>
                <c:pt idx="5">
                  <c:v>45</c:v>
                </c:pt>
                <c:pt idx="6">
                  <c:v>54</c:v>
                </c:pt>
                <c:pt idx="7">
                  <c:v>65</c:v>
                </c:pt>
                <c:pt idx="8">
                  <c:v>58</c:v>
                </c:pt>
                <c:pt idx="9">
                  <c:v>101</c:v>
                </c:pt>
                <c:pt idx="10">
                  <c:v>107</c:v>
                </c:pt>
                <c:pt idx="11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'02.08 Spear Motors-Kyambogo'!$V$9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Motors-Kyambogo'!$V$10:$V$21</c:f>
              <c:numCache>
                <c:formatCode>0</c:formatCode>
                <c:ptCount val="12"/>
                <c:pt idx="0">
                  <c:v>126</c:v>
                </c:pt>
                <c:pt idx="1">
                  <c:v>210</c:v>
                </c:pt>
                <c:pt idx="2">
                  <c:v>242</c:v>
                </c:pt>
                <c:pt idx="3">
                  <c:v>223</c:v>
                </c:pt>
                <c:pt idx="4">
                  <c:v>259</c:v>
                </c:pt>
                <c:pt idx="5">
                  <c:v>204</c:v>
                </c:pt>
                <c:pt idx="6">
                  <c:v>261</c:v>
                </c:pt>
                <c:pt idx="7">
                  <c:v>256</c:v>
                </c:pt>
                <c:pt idx="8">
                  <c:v>243</c:v>
                </c:pt>
                <c:pt idx="9">
                  <c:v>238</c:v>
                </c:pt>
                <c:pt idx="10">
                  <c:v>184</c:v>
                </c:pt>
                <c:pt idx="11">
                  <c:v>212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'02.08 Spear Motors-Kyambogo'!$W$9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Motors-Kyambogo'!$W$10:$W$21</c:f>
              <c:numCache>
                <c:formatCode>0</c:formatCode>
                <c:ptCount val="12"/>
                <c:pt idx="0">
                  <c:v>51</c:v>
                </c:pt>
                <c:pt idx="1">
                  <c:v>8</c:v>
                </c:pt>
                <c:pt idx="2">
                  <c:v>4</c:v>
                </c:pt>
                <c:pt idx="3">
                  <c:v>6</c:v>
                </c:pt>
                <c:pt idx="4">
                  <c:v>11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'02.08 Spear Motors-Kyambogo'!$X$9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Motors-Kyambogo'!$X$10:$X$21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'02.08 Spear Motors-Kyambogo'!$Y$9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Motors-Kyambogo'!$Y$10:$Y$21</c:f>
              <c:numCache>
                <c:formatCode>0</c:formatCode>
                <c:ptCount val="12"/>
                <c:pt idx="0">
                  <c:v>17</c:v>
                </c:pt>
                <c:pt idx="1">
                  <c:v>17</c:v>
                </c:pt>
                <c:pt idx="2">
                  <c:v>28</c:v>
                </c:pt>
                <c:pt idx="3">
                  <c:v>35</c:v>
                </c:pt>
                <c:pt idx="4">
                  <c:v>45</c:v>
                </c:pt>
                <c:pt idx="5">
                  <c:v>37</c:v>
                </c:pt>
                <c:pt idx="6">
                  <c:v>40</c:v>
                </c:pt>
                <c:pt idx="7">
                  <c:v>38</c:v>
                </c:pt>
                <c:pt idx="8">
                  <c:v>34</c:v>
                </c:pt>
                <c:pt idx="9">
                  <c:v>43</c:v>
                </c:pt>
                <c:pt idx="10">
                  <c:v>31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'02.08 Spear Motors-Kyambogo'!$Z$9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Motors-Kyambogo'!$Z$10:$Z$21</c:f>
              <c:numCache>
                <c:formatCode>0</c:formatCode>
                <c:ptCount val="12"/>
                <c:pt idx="0">
                  <c:v>6</c:v>
                </c:pt>
                <c:pt idx="1">
                  <c:v>10</c:v>
                </c:pt>
                <c:pt idx="2">
                  <c:v>23</c:v>
                </c:pt>
                <c:pt idx="3">
                  <c:v>24</c:v>
                </c:pt>
                <c:pt idx="4">
                  <c:v>22</c:v>
                </c:pt>
                <c:pt idx="5">
                  <c:v>22</c:v>
                </c:pt>
                <c:pt idx="6">
                  <c:v>15</c:v>
                </c:pt>
                <c:pt idx="7">
                  <c:v>19</c:v>
                </c:pt>
                <c:pt idx="8">
                  <c:v>19</c:v>
                </c:pt>
                <c:pt idx="9">
                  <c:v>27</c:v>
                </c:pt>
                <c:pt idx="10">
                  <c:v>20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'02.08 Spear Motors-Kyambogo'!$AA$9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Motors-Kyambogo'!$AA$10:$AA$21</c:f>
              <c:numCache>
                <c:formatCode>0</c:formatCode>
                <c:ptCount val="12"/>
                <c:pt idx="0">
                  <c:v>2</c:v>
                </c:pt>
                <c:pt idx="1">
                  <c:v>9</c:v>
                </c:pt>
                <c:pt idx="2">
                  <c:v>9</c:v>
                </c:pt>
                <c:pt idx="3">
                  <c:v>4</c:v>
                </c:pt>
                <c:pt idx="4">
                  <c:v>7</c:v>
                </c:pt>
                <c:pt idx="5">
                  <c:v>9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8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'02.08 Spear Motors-Kyambogo'!$AB$9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Motors-Kyambogo'!$AB$10:$AB$21</c:f>
              <c:numCache>
                <c:formatCode>0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16</c:v>
                </c:pt>
                <c:pt idx="3">
                  <c:v>16</c:v>
                </c:pt>
                <c:pt idx="4">
                  <c:v>23</c:v>
                </c:pt>
                <c:pt idx="5">
                  <c:v>17</c:v>
                </c:pt>
                <c:pt idx="6">
                  <c:v>16</c:v>
                </c:pt>
                <c:pt idx="7">
                  <c:v>29</c:v>
                </c:pt>
                <c:pt idx="8">
                  <c:v>32</c:v>
                </c:pt>
                <c:pt idx="9">
                  <c:v>40</c:v>
                </c:pt>
                <c:pt idx="10">
                  <c:v>20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'02.08 Spear Motors-Kyambogo'!$AC$9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Motors-Kyambogo'!$AC$10:$AC$21</c:f>
              <c:numCache>
                <c:formatCode>0</c:formatCode>
                <c:ptCount val="12"/>
                <c:pt idx="0">
                  <c:v>1495</c:v>
                </c:pt>
                <c:pt idx="1">
                  <c:v>1385</c:v>
                </c:pt>
                <c:pt idx="2">
                  <c:v>1625</c:v>
                </c:pt>
                <c:pt idx="3">
                  <c:v>1510</c:v>
                </c:pt>
                <c:pt idx="4">
                  <c:v>1000</c:v>
                </c:pt>
                <c:pt idx="5">
                  <c:v>1125</c:v>
                </c:pt>
                <c:pt idx="6">
                  <c:v>1010</c:v>
                </c:pt>
                <c:pt idx="7">
                  <c:v>1293</c:v>
                </c:pt>
                <c:pt idx="8">
                  <c:v>1184</c:v>
                </c:pt>
                <c:pt idx="9">
                  <c:v>1305</c:v>
                </c:pt>
                <c:pt idx="10">
                  <c:v>1195</c:v>
                </c:pt>
                <c:pt idx="11">
                  <c:v>1245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'02.08 Spear Motors-Kyambogo'!$AD$9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Spear Motors-Kyambogo'!$AD$10:$AD$21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735680"/>
        <c:axId val="127737216"/>
      </c:lineChart>
      <c:catAx>
        <c:axId val="12773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737216"/>
        <c:crosses val="autoZero"/>
        <c:auto val="1"/>
        <c:lblAlgn val="ctr"/>
        <c:lblOffset val="100"/>
        <c:noMultiLvlLbl val="0"/>
      </c:catAx>
      <c:valAx>
        <c:axId val="12773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73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Spear Motors-Kyambogo'!$C$60:$N$60</c:f>
              <c:numCache>
                <c:formatCode>0.00%</c:formatCode>
                <c:ptCount val="12"/>
                <c:pt idx="0">
                  <c:v>0.36133173756936132</c:v>
                </c:pt>
                <c:pt idx="1">
                  <c:v>0.1481884452181482</c:v>
                </c:pt>
                <c:pt idx="2">
                  <c:v>8.551844195408552E-2</c:v>
                </c:pt>
                <c:pt idx="3">
                  <c:v>0.28919595256228919</c:v>
                </c:pt>
                <c:pt idx="4">
                  <c:v>1.272984441301273E-2</c:v>
                </c:pt>
                <c:pt idx="5">
                  <c:v>2.6112501360026114E-3</c:v>
                </c:pt>
                <c:pt idx="6">
                  <c:v>4.2432814710042434E-2</c:v>
                </c:pt>
                <c:pt idx="7">
                  <c:v>2.5133282559025132E-2</c:v>
                </c:pt>
                <c:pt idx="8">
                  <c:v>7.5073441410075077E-3</c:v>
                </c:pt>
                <c:pt idx="9">
                  <c:v>2.535088673702535E-2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Kyambogo-Spear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Kyambogo-Spear Motors'!$AE$10:$AE$21</c:f>
              <c:numCache>
                <c:formatCode>0</c:formatCode>
                <c:ptCount val="12"/>
                <c:pt idx="0">
                  <c:v>1200</c:v>
                </c:pt>
                <c:pt idx="1">
                  <c:v>1276</c:v>
                </c:pt>
                <c:pt idx="2">
                  <c:v>1043</c:v>
                </c:pt>
                <c:pt idx="3">
                  <c:v>869</c:v>
                </c:pt>
                <c:pt idx="4">
                  <c:v>657</c:v>
                </c:pt>
                <c:pt idx="5">
                  <c:v>511</c:v>
                </c:pt>
                <c:pt idx="6">
                  <c:v>581</c:v>
                </c:pt>
                <c:pt idx="7">
                  <c:v>599</c:v>
                </c:pt>
                <c:pt idx="8">
                  <c:v>733</c:v>
                </c:pt>
                <c:pt idx="9">
                  <c:v>538</c:v>
                </c:pt>
                <c:pt idx="10">
                  <c:v>464</c:v>
                </c:pt>
                <c:pt idx="11">
                  <c:v>629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'02.08 Kyambogo-Spear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Kyambogo-Spear Motors'!$AF$10:$AF$21</c:f>
              <c:numCache>
                <c:formatCode>0</c:formatCode>
                <c:ptCount val="12"/>
                <c:pt idx="0">
                  <c:v>2968</c:v>
                </c:pt>
                <c:pt idx="1">
                  <c:v>3366</c:v>
                </c:pt>
                <c:pt idx="2">
                  <c:v>2833</c:v>
                </c:pt>
                <c:pt idx="3">
                  <c:v>2184</c:v>
                </c:pt>
                <c:pt idx="4">
                  <c:v>1677</c:v>
                </c:pt>
                <c:pt idx="5">
                  <c:v>1646</c:v>
                </c:pt>
                <c:pt idx="6">
                  <c:v>1406</c:v>
                </c:pt>
                <c:pt idx="7">
                  <c:v>1724</c:v>
                </c:pt>
                <c:pt idx="8">
                  <c:v>1808</c:v>
                </c:pt>
                <c:pt idx="9">
                  <c:v>1492</c:v>
                </c:pt>
                <c:pt idx="10">
                  <c:v>1614</c:v>
                </c:pt>
                <c:pt idx="11">
                  <c:v>1794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570880"/>
        <c:axId val="126572416"/>
      </c:lineChart>
      <c:catAx>
        <c:axId val="126570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6572416"/>
        <c:crosses val="autoZero"/>
        <c:auto val="1"/>
        <c:lblAlgn val="ctr"/>
        <c:lblOffset val="100"/>
        <c:noMultiLvlLbl val="0"/>
      </c:catAx>
      <c:valAx>
        <c:axId val="1265724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657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Kyambogo-Spear Motors'!$C$59:$N$59</c:f>
              <c:numCache>
                <c:formatCode>0.0%</c:formatCode>
                <c:ptCount val="12"/>
                <c:pt idx="0">
                  <c:v>0.13397519582245432</c:v>
                </c:pt>
                <c:pt idx="1">
                  <c:v>6.2051240208877284E-2</c:v>
                </c:pt>
                <c:pt idx="2">
                  <c:v>4.2713772845952999E-2</c:v>
                </c:pt>
                <c:pt idx="3">
                  <c:v>0.10109334203655353</c:v>
                </c:pt>
                <c:pt idx="4">
                  <c:v>4.0388381201044389E-3</c:v>
                </c:pt>
                <c:pt idx="5">
                  <c:v>8.159268929503916E-4</c:v>
                </c:pt>
                <c:pt idx="6">
                  <c:v>1.0933420365535249E-2</c:v>
                </c:pt>
                <c:pt idx="7">
                  <c:v>4.6507832898172322E-3</c:v>
                </c:pt>
                <c:pt idx="8">
                  <c:v>3.5084856396866843E-3</c:v>
                </c:pt>
                <c:pt idx="9">
                  <c:v>7.4657310704960836E-3</c:v>
                </c:pt>
                <c:pt idx="10">
                  <c:v>0.62875326370757179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04"/>
          <c:y val="2.296022663732375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Kyambogo-Spear 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Kyambogo-Spear Motors'!$S$10:$S$21</c:f>
              <c:numCache>
                <c:formatCode>0</c:formatCode>
                <c:ptCount val="12"/>
                <c:pt idx="0">
                  <c:v>727</c:v>
                </c:pt>
                <c:pt idx="1">
                  <c:v>523</c:v>
                </c:pt>
                <c:pt idx="2">
                  <c:v>444</c:v>
                </c:pt>
                <c:pt idx="3">
                  <c:v>326</c:v>
                </c:pt>
                <c:pt idx="4">
                  <c:v>197</c:v>
                </c:pt>
                <c:pt idx="5">
                  <c:v>142</c:v>
                </c:pt>
                <c:pt idx="6">
                  <c:v>131</c:v>
                </c:pt>
                <c:pt idx="7">
                  <c:v>152</c:v>
                </c:pt>
                <c:pt idx="8">
                  <c:v>206</c:v>
                </c:pt>
                <c:pt idx="9">
                  <c:v>157</c:v>
                </c:pt>
                <c:pt idx="10">
                  <c:v>122</c:v>
                </c:pt>
                <c:pt idx="11">
                  <c:v>157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'02.08 Kyambogo-Spear 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Kyambogo-Spear Motors'!$T$10:$T$21</c:f>
              <c:numCache>
                <c:formatCode>0</c:formatCode>
                <c:ptCount val="12"/>
                <c:pt idx="0">
                  <c:v>78</c:v>
                </c:pt>
                <c:pt idx="1">
                  <c:v>181</c:v>
                </c:pt>
                <c:pt idx="2">
                  <c:v>194</c:v>
                </c:pt>
                <c:pt idx="3">
                  <c:v>146</c:v>
                </c:pt>
                <c:pt idx="4">
                  <c:v>121</c:v>
                </c:pt>
                <c:pt idx="5">
                  <c:v>103</c:v>
                </c:pt>
                <c:pt idx="6">
                  <c:v>136</c:v>
                </c:pt>
                <c:pt idx="7">
                  <c:v>129</c:v>
                </c:pt>
                <c:pt idx="8">
                  <c:v>153</c:v>
                </c:pt>
                <c:pt idx="9">
                  <c:v>108</c:v>
                </c:pt>
                <c:pt idx="10">
                  <c:v>85</c:v>
                </c:pt>
                <c:pt idx="11">
                  <c:v>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'02.08 Kyambogo-Spear 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Kyambogo-Spear Motors'!$U$10:$U$21</c:f>
              <c:numCache>
                <c:formatCode>0</c:formatCode>
                <c:ptCount val="12"/>
                <c:pt idx="0">
                  <c:v>60</c:v>
                </c:pt>
                <c:pt idx="1">
                  <c:v>240</c:v>
                </c:pt>
                <c:pt idx="2">
                  <c:v>138</c:v>
                </c:pt>
                <c:pt idx="3">
                  <c:v>150</c:v>
                </c:pt>
                <c:pt idx="4">
                  <c:v>48</c:v>
                </c:pt>
                <c:pt idx="5">
                  <c:v>21</c:v>
                </c:pt>
                <c:pt idx="6">
                  <c:v>65</c:v>
                </c:pt>
                <c:pt idx="7">
                  <c:v>92</c:v>
                </c:pt>
                <c:pt idx="8">
                  <c:v>107</c:v>
                </c:pt>
                <c:pt idx="9">
                  <c:v>33</c:v>
                </c:pt>
                <c:pt idx="10">
                  <c:v>47</c:v>
                </c:pt>
                <c:pt idx="11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'02.08 Kyambogo-Spear 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Kyambogo-Spear Motors'!$V$10:$V$21</c:f>
              <c:numCache>
                <c:formatCode>0</c:formatCode>
                <c:ptCount val="12"/>
                <c:pt idx="0">
                  <c:v>264</c:v>
                </c:pt>
                <c:pt idx="1">
                  <c:v>288</c:v>
                </c:pt>
                <c:pt idx="2">
                  <c:v>211</c:v>
                </c:pt>
                <c:pt idx="3">
                  <c:v>195</c:v>
                </c:pt>
                <c:pt idx="4">
                  <c:v>212</c:v>
                </c:pt>
                <c:pt idx="5">
                  <c:v>173</c:v>
                </c:pt>
                <c:pt idx="6">
                  <c:v>172</c:v>
                </c:pt>
                <c:pt idx="7">
                  <c:v>158</c:v>
                </c:pt>
                <c:pt idx="8">
                  <c:v>212</c:v>
                </c:pt>
                <c:pt idx="9">
                  <c:v>170</c:v>
                </c:pt>
                <c:pt idx="10">
                  <c:v>155</c:v>
                </c:pt>
                <c:pt idx="11">
                  <c:v>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'02.08 Kyambogo-Spear 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Kyambogo-Spear Motors'!$W$10:$W$21</c:f>
              <c:numCache>
                <c:formatCode>0</c:formatCode>
                <c:ptCount val="12"/>
                <c:pt idx="0">
                  <c:v>22</c:v>
                </c:pt>
                <c:pt idx="1">
                  <c:v>8</c:v>
                </c:pt>
                <c:pt idx="2">
                  <c:v>3</c:v>
                </c:pt>
                <c:pt idx="3">
                  <c:v>7</c:v>
                </c:pt>
                <c:pt idx="4">
                  <c:v>7</c:v>
                </c:pt>
                <c:pt idx="5">
                  <c:v>8</c:v>
                </c:pt>
                <c:pt idx="6">
                  <c:v>10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'02.08 Kyambogo-Spear 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Kyambogo-Spear Motors'!$X$10:$X$21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'02.08 Kyambogo-Spear 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Kyambogo-Spear Motors'!$Y$10:$Y$21</c:f>
              <c:numCache>
                <c:formatCode>0</c:formatCode>
                <c:ptCount val="12"/>
                <c:pt idx="0">
                  <c:v>22</c:v>
                </c:pt>
                <c:pt idx="1">
                  <c:v>20</c:v>
                </c:pt>
                <c:pt idx="2">
                  <c:v>23</c:v>
                </c:pt>
                <c:pt idx="3">
                  <c:v>17</c:v>
                </c:pt>
                <c:pt idx="4">
                  <c:v>31</c:v>
                </c:pt>
                <c:pt idx="5">
                  <c:v>25</c:v>
                </c:pt>
                <c:pt idx="6">
                  <c:v>29</c:v>
                </c:pt>
                <c:pt idx="7">
                  <c:v>22</c:v>
                </c:pt>
                <c:pt idx="8">
                  <c:v>20</c:v>
                </c:pt>
                <c:pt idx="9">
                  <c:v>24</c:v>
                </c:pt>
                <c:pt idx="10">
                  <c:v>16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'02.08 Kyambogo-Spear 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Kyambogo-Spear Motors'!$Z$10:$Z$21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8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12</c:v>
                </c:pt>
                <c:pt idx="7">
                  <c:v>11</c:v>
                </c:pt>
                <c:pt idx="8">
                  <c:v>10</c:v>
                </c:pt>
                <c:pt idx="9">
                  <c:v>8</c:v>
                </c:pt>
                <c:pt idx="10">
                  <c:v>10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'02.08 Kyambogo-Spear 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Kyambogo-Spear Motors'!$AA$10:$AA$21</c:f>
              <c:numCache>
                <c:formatCode>0</c:formatCode>
                <c:ptCount val="12"/>
                <c:pt idx="0">
                  <c:v>8</c:v>
                </c:pt>
                <c:pt idx="1">
                  <c:v>4</c:v>
                </c:pt>
                <c:pt idx="2">
                  <c:v>6</c:v>
                </c:pt>
                <c:pt idx="3">
                  <c:v>4</c:v>
                </c:pt>
                <c:pt idx="4">
                  <c:v>8</c:v>
                </c:pt>
                <c:pt idx="5">
                  <c:v>11</c:v>
                </c:pt>
                <c:pt idx="6">
                  <c:v>5</c:v>
                </c:pt>
                <c:pt idx="7">
                  <c:v>6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'02.08 Kyambogo-Spear 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Kyambogo-Spear Motors'!$AB$10:$AB$21</c:f>
              <c:numCache>
                <c:formatCode>0</c:formatCode>
                <c:ptCount val="12"/>
                <c:pt idx="0">
                  <c:v>13</c:v>
                </c:pt>
                <c:pt idx="1">
                  <c:v>7</c:v>
                </c:pt>
                <c:pt idx="2">
                  <c:v>15</c:v>
                </c:pt>
                <c:pt idx="3">
                  <c:v>13</c:v>
                </c:pt>
                <c:pt idx="4">
                  <c:v>19</c:v>
                </c:pt>
                <c:pt idx="5">
                  <c:v>16</c:v>
                </c:pt>
                <c:pt idx="6">
                  <c:v>19</c:v>
                </c:pt>
                <c:pt idx="7">
                  <c:v>22</c:v>
                </c:pt>
                <c:pt idx="8">
                  <c:v>12</c:v>
                </c:pt>
                <c:pt idx="9">
                  <c:v>21</c:v>
                </c:pt>
                <c:pt idx="10">
                  <c:v>12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'02.08 Kyambogo-Spear 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Kyambogo-Spear Motors'!$AC$10:$AC$21</c:f>
              <c:numCache>
                <c:formatCode>0</c:formatCode>
                <c:ptCount val="12"/>
                <c:pt idx="0">
                  <c:v>1768</c:v>
                </c:pt>
                <c:pt idx="1">
                  <c:v>2090</c:v>
                </c:pt>
                <c:pt idx="2">
                  <c:v>1790</c:v>
                </c:pt>
                <c:pt idx="3">
                  <c:v>1315</c:v>
                </c:pt>
                <c:pt idx="4">
                  <c:v>1020</c:v>
                </c:pt>
                <c:pt idx="5">
                  <c:v>1135</c:v>
                </c:pt>
                <c:pt idx="6">
                  <c:v>825</c:v>
                </c:pt>
                <c:pt idx="7">
                  <c:v>1125</c:v>
                </c:pt>
                <c:pt idx="8">
                  <c:v>1075</c:v>
                </c:pt>
                <c:pt idx="9">
                  <c:v>954</c:v>
                </c:pt>
                <c:pt idx="10">
                  <c:v>1150</c:v>
                </c:pt>
                <c:pt idx="11">
                  <c:v>1165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'02.08 Kyambogo-Spear 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Kyambogo-Spear 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460288"/>
        <c:axId val="128461824"/>
      </c:lineChart>
      <c:catAx>
        <c:axId val="128460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8461824"/>
        <c:crosses val="autoZero"/>
        <c:auto val="1"/>
        <c:lblAlgn val="ctr"/>
        <c:lblOffset val="100"/>
        <c:noMultiLvlLbl val="0"/>
      </c:catAx>
      <c:valAx>
        <c:axId val="12846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8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Kyambogo-Spear Motors'!$C$60:$N$60</c:f>
              <c:numCache>
                <c:formatCode>0.00%</c:formatCode>
                <c:ptCount val="12"/>
                <c:pt idx="0">
                  <c:v>0.36087912087912088</c:v>
                </c:pt>
                <c:pt idx="1">
                  <c:v>0.16714285714285715</c:v>
                </c:pt>
                <c:pt idx="2">
                  <c:v>0.11505494505494505</c:v>
                </c:pt>
                <c:pt idx="3">
                  <c:v>0.27230769230769231</c:v>
                </c:pt>
                <c:pt idx="4">
                  <c:v>1.0879120879120879E-2</c:v>
                </c:pt>
                <c:pt idx="5">
                  <c:v>2.1978021978021978E-3</c:v>
                </c:pt>
                <c:pt idx="6">
                  <c:v>2.9450549450549451E-2</c:v>
                </c:pt>
                <c:pt idx="7">
                  <c:v>1.2527472527472527E-2</c:v>
                </c:pt>
                <c:pt idx="8">
                  <c:v>9.450549450549451E-3</c:v>
                </c:pt>
                <c:pt idx="9">
                  <c:v>2.0109890109890109E-2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Spear Motors-Kyambogo'!$AE$9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Spear Motors-Kyambogo'!$R$10:$R$33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Spear Motors-Kyambogo'!$AE$10:$AE$33</c:f>
              <c:numCache>
                <c:formatCode>0</c:formatCode>
                <c:ptCount val="24"/>
                <c:pt idx="0">
                  <c:v>440</c:v>
                </c:pt>
                <c:pt idx="1">
                  <c:v>603</c:v>
                </c:pt>
                <c:pt idx="2">
                  <c:v>656</c:v>
                </c:pt>
                <c:pt idx="3">
                  <c:v>679</c:v>
                </c:pt>
                <c:pt idx="4">
                  <c:v>648</c:v>
                </c:pt>
                <c:pt idx="5">
                  <c:v>793</c:v>
                </c:pt>
                <c:pt idx="6">
                  <c:v>803</c:v>
                </c:pt>
                <c:pt idx="7">
                  <c:v>635</c:v>
                </c:pt>
                <c:pt idx="8">
                  <c:v>804</c:v>
                </c:pt>
                <c:pt idx="9">
                  <c:v>971</c:v>
                </c:pt>
                <c:pt idx="10">
                  <c:v>993</c:v>
                </c:pt>
                <c:pt idx="11">
                  <c:v>1273</c:v>
                </c:pt>
                <c:pt idx="12">
                  <c:v>449</c:v>
                </c:pt>
                <c:pt idx="13">
                  <c:v>599</c:v>
                </c:pt>
                <c:pt idx="14">
                  <c:v>423</c:v>
                </c:pt>
                <c:pt idx="15">
                  <c:v>282</c:v>
                </c:pt>
                <c:pt idx="16">
                  <c:v>308</c:v>
                </c:pt>
                <c:pt idx="17">
                  <c:v>282</c:v>
                </c:pt>
                <c:pt idx="18">
                  <c:v>220</c:v>
                </c:pt>
                <c:pt idx="19">
                  <c:v>178</c:v>
                </c:pt>
                <c:pt idx="20">
                  <c:v>121</c:v>
                </c:pt>
                <c:pt idx="21">
                  <c:v>95</c:v>
                </c:pt>
                <c:pt idx="22">
                  <c:v>137</c:v>
                </c:pt>
                <c:pt idx="23">
                  <c:v>176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'03.08 Spear Motors-Kyambogo'!$AF$9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Spear Motors-Kyambogo'!$R$10:$R$33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Spear Motors-Kyambogo'!$AF$10:$AF$33</c:f>
              <c:numCache>
                <c:formatCode>0</c:formatCode>
                <c:ptCount val="24"/>
                <c:pt idx="0">
                  <c:v>895</c:v>
                </c:pt>
                <c:pt idx="1">
                  <c:v>1718</c:v>
                </c:pt>
                <c:pt idx="2">
                  <c:v>2081</c:v>
                </c:pt>
                <c:pt idx="3">
                  <c:v>1749</c:v>
                </c:pt>
                <c:pt idx="4">
                  <c:v>1818</c:v>
                </c:pt>
                <c:pt idx="5">
                  <c:v>1943</c:v>
                </c:pt>
                <c:pt idx="6">
                  <c:v>2008</c:v>
                </c:pt>
                <c:pt idx="7">
                  <c:v>1885</c:v>
                </c:pt>
                <c:pt idx="8">
                  <c:v>2204</c:v>
                </c:pt>
                <c:pt idx="9">
                  <c:v>2196</c:v>
                </c:pt>
                <c:pt idx="10">
                  <c:v>2223</c:v>
                </c:pt>
                <c:pt idx="11">
                  <c:v>2538</c:v>
                </c:pt>
                <c:pt idx="12">
                  <c:v>1759</c:v>
                </c:pt>
                <c:pt idx="13">
                  <c:v>1824</c:v>
                </c:pt>
                <c:pt idx="14">
                  <c:v>1359</c:v>
                </c:pt>
                <c:pt idx="15">
                  <c:v>828</c:v>
                </c:pt>
                <c:pt idx="16">
                  <c:v>653</c:v>
                </c:pt>
                <c:pt idx="17">
                  <c:v>523</c:v>
                </c:pt>
                <c:pt idx="18">
                  <c:v>310</c:v>
                </c:pt>
                <c:pt idx="19">
                  <c:v>265</c:v>
                </c:pt>
                <c:pt idx="20">
                  <c:v>196</c:v>
                </c:pt>
                <c:pt idx="21">
                  <c:v>155</c:v>
                </c:pt>
                <c:pt idx="22">
                  <c:v>222</c:v>
                </c:pt>
                <c:pt idx="23">
                  <c:v>307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688512"/>
        <c:axId val="128690432"/>
      </c:lineChart>
      <c:catAx>
        <c:axId val="1286885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8690432"/>
        <c:crosses val="autoZero"/>
        <c:auto val="1"/>
        <c:lblAlgn val="ctr"/>
        <c:lblOffset val="100"/>
        <c:noMultiLvlLbl val="0"/>
      </c:catAx>
      <c:valAx>
        <c:axId val="1286904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868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Spear Motors-Kyambogo'!$C$107:$N$107</c:f>
              <c:numCache>
                <c:formatCode>0.0%</c:formatCode>
                <c:ptCount val="12"/>
                <c:pt idx="0">
                  <c:v>0.16450298493319435</c:v>
                </c:pt>
                <c:pt idx="1">
                  <c:v>4.2705075965760134E-2</c:v>
                </c:pt>
                <c:pt idx="2">
                  <c:v>2.26160017688493E-2</c:v>
                </c:pt>
                <c:pt idx="3">
                  <c:v>0.12246122745506807</c:v>
                </c:pt>
                <c:pt idx="4">
                  <c:v>4.2326036829969365E-3</c:v>
                </c:pt>
                <c:pt idx="5">
                  <c:v>1.7372627057076976E-3</c:v>
                </c:pt>
                <c:pt idx="6">
                  <c:v>1.4750939701190815E-2</c:v>
                </c:pt>
                <c:pt idx="7">
                  <c:v>1.0549922612843109E-2</c:v>
                </c:pt>
                <c:pt idx="8">
                  <c:v>4.4852964401907829E-3</c:v>
                </c:pt>
                <c:pt idx="9">
                  <c:v>8.9390062857323347E-3</c:v>
                </c:pt>
                <c:pt idx="10">
                  <c:v>0.60301967844846649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Spear Motors-Kyambogo'!$C$108:$N$108</c:f>
              <c:numCache>
                <c:formatCode>0.00%</c:formatCode>
                <c:ptCount val="12"/>
                <c:pt idx="0">
                  <c:v>0.41438574156588159</c:v>
                </c:pt>
                <c:pt idx="1">
                  <c:v>0.10757479312539783</c:v>
                </c:pt>
                <c:pt idx="2">
                  <c:v>5.6970082749840868E-2</c:v>
                </c:pt>
                <c:pt idx="3">
                  <c:v>0.30848185868873329</c:v>
                </c:pt>
                <c:pt idx="4">
                  <c:v>1.0661998726925526E-2</c:v>
                </c:pt>
                <c:pt idx="5">
                  <c:v>4.3761935073201785E-3</c:v>
                </c:pt>
                <c:pt idx="6">
                  <c:v>3.7157861234882239E-2</c:v>
                </c:pt>
                <c:pt idx="7">
                  <c:v>2.6575429662635264E-2</c:v>
                </c:pt>
                <c:pt idx="8">
                  <c:v>1.1298535964353915E-2</c:v>
                </c:pt>
                <c:pt idx="9">
                  <c:v>2.2517504774029282E-2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Kyambogo-Spear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Kyambogo-Spear Motors'!$R$10:$R$33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Kyambogo-Spear Motors'!$AE$10:$AE$33</c:f>
              <c:numCache>
                <c:formatCode>0</c:formatCode>
                <c:ptCount val="24"/>
                <c:pt idx="0">
                  <c:v>1562</c:v>
                </c:pt>
                <c:pt idx="1">
                  <c:v>1368</c:v>
                </c:pt>
                <c:pt idx="2">
                  <c:v>1046</c:v>
                </c:pt>
                <c:pt idx="3">
                  <c:v>1028</c:v>
                </c:pt>
                <c:pt idx="4">
                  <c:v>894</c:v>
                </c:pt>
                <c:pt idx="5">
                  <c:v>1224</c:v>
                </c:pt>
                <c:pt idx="6">
                  <c:v>1201</c:v>
                </c:pt>
                <c:pt idx="7">
                  <c:v>1108</c:v>
                </c:pt>
                <c:pt idx="8">
                  <c:v>1191</c:v>
                </c:pt>
                <c:pt idx="9">
                  <c:v>973</c:v>
                </c:pt>
                <c:pt idx="10">
                  <c:v>824</c:v>
                </c:pt>
                <c:pt idx="11">
                  <c:v>778</c:v>
                </c:pt>
                <c:pt idx="12">
                  <c:v>512</c:v>
                </c:pt>
                <c:pt idx="13">
                  <c:v>562</c:v>
                </c:pt>
                <c:pt idx="14">
                  <c:v>430</c:v>
                </c:pt>
                <c:pt idx="15">
                  <c:v>411</c:v>
                </c:pt>
                <c:pt idx="16">
                  <c:v>444</c:v>
                </c:pt>
                <c:pt idx="17">
                  <c:v>439</c:v>
                </c:pt>
                <c:pt idx="18">
                  <c:v>212</c:v>
                </c:pt>
                <c:pt idx="19">
                  <c:v>220</c:v>
                </c:pt>
                <c:pt idx="20">
                  <c:v>125</c:v>
                </c:pt>
                <c:pt idx="21">
                  <c:v>131</c:v>
                </c:pt>
                <c:pt idx="22">
                  <c:v>143</c:v>
                </c:pt>
                <c:pt idx="23">
                  <c:v>193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Kyambogo-Spear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Kyambogo-Spear Motors'!$R$10:$R$33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Kyambogo-Spear Motors'!$AF$10:$AF$33</c:f>
              <c:numCache>
                <c:formatCode>0</c:formatCode>
                <c:ptCount val="24"/>
                <c:pt idx="0">
                  <c:v>2064</c:v>
                </c:pt>
                <c:pt idx="1">
                  <c:v>2623</c:v>
                </c:pt>
                <c:pt idx="2">
                  <c:v>2301</c:v>
                </c:pt>
                <c:pt idx="3">
                  <c:v>2323</c:v>
                </c:pt>
                <c:pt idx="4">
                  <c:v>1984</c:v>
                </c:pt>
                <c:pt idx="5">
                  <c:v>2249</c:v>
                </c:pt>
                <c:pt idx="6">
                  <c:v>2209</c:v>
                </c:pt>
                <c:pt idx="7">
                  <c:v>1921</c:v>
                </c:pt>
                <c:pt idx="8">
                  <c:v>2295</c:v>
                </c:pt>
                <c:pt idx="9">
                  <c:v>1992</c:v>
                </c:pt>
                <c:pt idx="10">
                  <c:v>2041</c:v>
                </c:pt>
                <c:pt idx="11">
                  <c:v>1874</c:v>
                </c:pt>
                <c:pt idx="12">
                  <c:v>1242</c:v>
                </c:pt>
                <c:pt idx="13">
                  <c:v>1247</c:v>
                </c:pt>
                <c:pt idx="14">
                  <c:v>1070</c:v>
                </c:pt>
                <c:pt idx="15">
                  <c:v>736</c:v>
                </c:pt>
                <c:pt idx="16">
                  <c:v>764</c:v>
                </c:pt>
                <c:pt idx="17">
                  <c:v>708</c:v>
                </c:pt>
                <c:pt idx="18">
                  <c:v>370</c:v>
                </c:pt>
                <c:pt idx="19">
                  <c:v>344</c:v>
                </c:pt>
                <c:pt idx="20">
                  <c:v>197</c:v>
                </c:pt>
                <c:pt idx="21">
                  <c:v>169</c:v>
                </c:pt>
                <c:pt idx="22">
                  <c:v>199</c:v>
                </c:pt>
                <c:pt idx="23">
                  <c:v>396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184704"/>
        <c:axId val="130186624"/>
      </c:lineChart>
      <c:catAx>
        <c:axId val="1301847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0186624"/>
        <c:crosses val="autoZero"/>
        <c:auto val="1"/>
        <c:lblAlgn val="ctr"/>
        <c:lblOffset val="100"/>
        <c:noMultiLvlLbl val="0"/>
      </c:catAx>
      <c:valAx>
        <c:axId val="1301866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0184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Kyambogo-Spear Motors'!$C$107:$N$107</c:f>
              <c:numCache>
                <c:formatCode>0.0%</c:formatCode>
                <c:ptCount val="12"/>
                <c:pt idx="0">
                  <c:v>0.19713068011285192</c:v>
                </c:pt>
                <c:pt idx="1">
                  <c:v>7.3533825559757487E-2</c:v>
                </c:pt>
                <c:pt idx="2">
                  <c:v>6.8971726994417434E-2</c:v>
                </c:pt>
                <c:pt idx="3">
                  <c:v>0.12290653700702323</c:v>
                </c:pt>
                <c:pt idx="4">
                  <c:v>9.3643075814874837E-3</c:v>
                </c:pt>
                <c:pt idx="5">
                  <c:v>3.451587730355964E-3</c:v>
                </c:pt>
                <c:pt idx="6">
                  <c:v>1.368629569602017E-2</c:v>
                </c:pt>
                <c:pt idx="7">
                  <c:v>7.2033135242211416E-3</c:v>
                </c:pt>
                <c:pt idx="8">
                  <c:v>5.4324989495167777E-3</c:v>
                </c:pt>
                <c:pt idx="9">
                  <c:v>9.1241971306801131E-3</c:v>
                </c:pt>
                <c:pt idx="10">
                  <c:v>0.48919502971366829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Kyambogo-Spear Motors'!$C$108:$N$108</c:f>
              <c:numCache>
                <c:formatCode>0.00%</c:formatCode>
                <c:ptCount val="12"/>
                <c:pt idx="0">
                  <c:v>0.38592161701627592</c:v>
                </c:pt>
                <c:pt idx="1">
                  <c:v>0.14395675421587636</c:v>
                </c:pt>
                <c:pt idx="2">
                  <c:v>0.13502555966860569</c:v>
                </c:pt>
                <c:pt idx="3">
                  <c:v>0.24061343204653624</c:v>
                </c:pt>
                <c:pt idx="4">
                  <c:v>1.8332451965450379E-2</c:v>
                </c:pt>
                <c:pt idx="5">
                  <c:v>6.7571537693166461E-3</c:v>
                </c:pt>
                <c:pt idx="6">
                  <c:v>2.6793583641812092E-2</c:v>
                </c:pt>
                <c:pt idx="7">
                  <c:v>1.4101886127269522E-2</c:v>
                </c:pt>
                <c:pt idx="8">
                  <c:v>1.0635172454315766E-2</c:v>
                </c:pt>
                <c:pt idx="9">
                  <c:v>1.7862389094541395E-2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Spear Motors-Kyambogo'!$AE$9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 Motors-Kyambogo'!$AE$10:$AE$21</c:f>
              <c:numCache>
                <c:formatCode>0</c:formatCode>
                <c:ptCount val="12"/>
                <c:pt idx="0">
                  <c:v>328</c:v>
                </c:pt>
                <c:pt idx="1">
                  <c:v>376</c:v>
                </c:pt>
                <c:pt idx="2">
                  <c:v>560</c:v>
                </c:pt>
                <c:pt idx="3">
                  <c:v>678</c:v>
                </c:pt>
                <c:pt idx="4">
                  <c:v>660</c:v>
                </c:pt>
                <c:pt idx="5">
                  <c:v>726</c:v>
                </c:pt>
                <c:pt idx="6">
                  <c:v>824</c:v>
                </c:pt>
                <c:pt idx="7">
                  <c:v>778</c:v>
                </c:pt>
                <c:pt idx="8">
                  <c:v>792</c:v>
                </c:pt>
                <c:pt idx="9">
                  <c:v>774</c:v>
                </c:pt>
                <c:pt idx="10">
                  <c:v>712</c:v>
                </c:pt>
                <c:pt idx="11">
                  <c:v>620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'04.08 Spear Motors-Kyambogo'!$AF$9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 Motors-Kyambogo'!$AF$10:$AF$21</c:f>
              <c:numCache>
                <c:formatCode>0</c:formatCode>
                <c:ptCount val="12"/>
                <c:pt idx="0">
                  <c:v>558</c:v>
                </c:pt>
                <c:pt idx="1">
                  <c:v>764</c:v>
                </c:pt>
                <c:pt idx="2">
                  <c:v>1061</c:v>
                </c:pt>
                <c:pt idx="3">
                  <c:v>1244</c:v>
                </c:pt>
                <c:pt idx="4">
                  <c:v>1318</c:v>
                </c:pt>
                <c:pt idx="5">
                  <c:v>1309</c:v>
                </c:pt>
                <c:pt idx="6">
                  <c:v>1387</c:v>
                </c:pt>
                <c:pt idx="7">
                  <c:v>1548</c:v>
                </c:pt>
                <c:pt idx="8">
                  <c:v>1691</c:v>
                </c:pt>
                <c:pt idx="9">
                  <c:v>1436</c:v>
                </c:pt>
                <c:pt idx="10">
                  <c:v>1375</c:v>
                </c:pt>
                <c:pt idx="11">
                  <c:v>1295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415232"/>
        <c:axId val="130228608"/>
      </c:lineChart>
      <c:catAx>
        <c:axId val="1304152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0228608"/>
        <c:crosses val="autoZero"/>
        <c:auto val="1"/>
        <c:lblAlgn val="ctr"/>
        <c:lblOffset val="100"/>
        <c:noMultiLvlLbl val="0"/>
      </c:catAx>
      <c:valAx>
        <c:axId val="1302286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041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Spear Motors-Kyambogo'!$C$59:$N$59</c:f>
              <c:numCache>
                <c:formatCode>0.0%</c:formatCode>
                <c:ptCount val="12"/>
                <c:pt idx="0">
                  <c:v>0.21693580675296945</c:v>
                </c:pt>
                <c:pt idx="1">
                  <c:v>5.6586147070599224E-2</c:v>
                </c:pt>
                <c:pt idx="2">
                  <c:v>2.1753636727612439E-2</c:v>
                </c:pt>
                <c:pt idx="3">
                  <c:v>0.18917656479380757</c:v>
                </c:pt>
                <c:pt idx="4">
                  <c:v>4.5375683971706927E-3</c:v>
                </c:pt>
                <c:pt idx="5">
                  <c:v>1.6014947284131856E-3</c:v>
                </c:pt>
                <c:pt idx="6">
                  <c:v>1.7015881489390098E-2</c:v>
                </c:pt>
                <c:pt idx="7">
                  <c:v>7.2067262778593355E-3</c:v>
                </c:pt>
                <c:pt idx="8">
                  <c:v>1.7349526224476179E-3</c:v>
                </c:pt>
                <c:pt idx="9">
                  <c:v>5.8054183904977978E-3</c:v>
                </c:pt>
                <c:pt idx="10">
                  <c:v>0.47764580274923263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04"/>
          <c:y val="2.296022663732375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Spear Motors-Kyambogo'!$S$9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 Motors-Kyambogo'!$S$10:$S$21</c:f>
              <c:numCache>
                <c:formatCode>0</c:formatCode>
                <c:ptCount val="12"/>
                <c:pt idx="0">
                  <c:v>83</c:v>
                </c:pt>
                <c:pt idx="1">
                  <c:v>81</c:v>
                </c:pt>
                <c:pt idx="2">
                  <c:v>202</c:v>
                </c:pt>
                <c:pt idx="3">
                  <c:v>314</c:v>
                </c:pt>
                <c:pt idx="4">
                  <c:v>226</c:v>
                </c:pt>
                <c:pt idx="5">
                  <c:v>293</c:v>
                </c:pt>
                <c:pt idx="6">
                  <c:v>372</c:v>
                </c:pt>
                <c:pt idx="7">
                  <c:v>355</c:v>
                </c:pt>
                <c:pt idx="8">
                  <c:v>378</c:v>
                </c:pt>
                <c:pt idx="9">
                  <c:v>340</c:v>
                </c:pt>
                <c:pt idx="10">
                  <c:v>307</c:v>
                </c:pt>
                <c:pt idx="11">
                  <c:v>300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'04.08 Spear Motors-Kyambogo'!$T$9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Spear Motors-Kyambogo'!$T$10:$T$21</c:f>
              <c:numCache>
                <c:formatCode>0</c:formatCode>
                <c:ptCount val="12"/>
                <c:pt idx="0">
                  <c:v>27</c:v>
                </c:pt>
                <c:pt idx="1">
                  <c:v>37</c:v>
                </c:pt>
                <c:pt idx="2">
                  <c:v>40</c:v>
                </c:pt>
                <c:pt idx="3">
                  <c:v>30</c:v>
                </c:pt>
                <c:pt idx="4">
                  <c:v>81</c:v>
                </c:pt>
                <c:pt idx="5">
                  <c:v>90</c:v>
                </c:pt>
                <c:pt idx="6">
                  <c:v>110</c:v>
                </c:pt>
                <c:pt idx="7">
                  <c:v>125</c:v>
                </c:pt>
                <c:pt idx="8">
                  <c:v>97</c:v>
                </c:pt>
                <c:pt idx="9">
                  <c:v>103</c:v>
                </c:pt>
                <c:pt idx="10">
                  <c:v>69</c:v>
                </c:pt>
                <c:pt idx="11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'04.08 Spear Motors-Kyambogo'!$U$9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Motors-Kyambogo'!$U$10:$U$21</c:f>
              <c:numCache>
                <c:formatCode>0</c:formatCode>
                <c:ptCount val="12"/>
                <c:pt idx="0">
                  <c:v>17</c:v>
                </c:pt>
                <c:pt idx="1">
                  <c:v>9</c:v>
                </c:pt>
                <c:pt idx="2">
                  <c:v>29</c:v>
                </c:pt>
                <c:pt idx="3">
                  <c:v>32</c:v>
                </c:pt>
                <c:pt idx="4">
                  <c:v>33</c:v>
                </c:pt>
                <c:pt idx="5">
                  <c:v>36</c:v>
                </c:pt>
                <c:pt idx="6">
                  <c:v>41</c:v>
                </c:pt>
                <c:pt idx="7">
                  <c:v>20</c:v>
                </c:pt>
                <c:pt idx="8">
                  <c:v>44</c:v>
                </c:pt>
                <c:pt idx="9">
                  <c:v>19</c:v>
                </c:pt>
                <c:pt idx="10">
                  <c:v>23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'04.08 Spear Motors-Kyambogo'!$V$9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Motors-Kyambogo'!$V$10:$V$21</c:f>
              <c:numCache>
                <c:formatCode>0</c:formatCode>
                <c:ptCount val="12"/>
                <c:pt idx="0">
                  <c:v>157</c:v>
                </c:pt>
                <c:pt idx="1">
                  <c:v>200</c:v>
                </c:pt>
                <c:pt idx="2">
                  <c:v>241</c:v>
                </c:pt>
                <c:pt idx="3">
                  <c:v>252</c:v>
                </c:pt>
                <c:pt idx="4">
                  <c:v>268</c:v>
                </c:pt>
                <c:pt idx="5">
                  <c:v>230</c:v>
                </c:pt>
                <c:pt idx="6">
                  <c:v>254</c:v>
                </c:pt>
                <c:pt idx="7">
                  <c:v>222</c:v>
                </c:pt>
                <c:pt idx="8">
                  <c:v>238</c:v>
                </c:pt>
                <c:pt idx="9">
                  <c:v>264</c:v>
                </c:pt>
                <c:pt idx="10">
                  <c:v>278</c:v>
                </c:pt>
                <c:pt idx="11">
                  <c:v>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'04.08 Spear Motors-Kyambogo'!$W$9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Motors-Kyambogo'!$W$10:$W$21</c:f>
              <c:numCache>
                <c:formatCode>0</c:formatCode>
                <c:ptCount val="12"/>
                <c:pt idx="0">
                  <c:v>9</c:v>
                </c:pt>
                <c:pt idx="1">
                  <c:v>3</c:v>
                </c:pt>
                <c:pt idx="2">
                  <c:v>9</c:v>
                </c:pt>
                <c:pt idx="3">
                  <c:v>5</c:v>
                </c:pt>
                <c:pt idx="4">
                  <c:v>3</c:v>
                </c:pt>
                <c:pt idx="5">
                  <c:v>8</c:v>
                </c:pt>
                <c:pt idx="6">
                  <c:v>5</c:v>
                </c:pt>
                <c:pt idx="7">
                  <c:v>3</c:v>
                </c:pt>
                <c:pt idx="8">
                  <c:v>6</c:v>
                </c:pt>
                <c:pt idx="9">
                  <c:v>7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'04.08 Spear Motors-Kyambogo'!$X$9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Motors-Kyambogo'!$X$10:$X$21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4</c:v>
                </c:pt>
                <c:pt idx="5">
                  <c:v>3</c:v>
                </c:pt>
                <c:pt idx="6">
                  <c:v>0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'04.08 Spear Motors-Kyambogo'!$Y$9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Motors-Kyambogo'!$Y$10:$Y$21</c:f>
              <c:numCache>
                <c:formatCode>0</c:formatCode>
                <c:ptCount val="12"/>
                <c:pt idx="0">
                  <c:v>15</c:v>
                </c:pt>
                <c:pt idx="1">
                  <c:v>24</c:v>
                </c:pt>
                <c:pt idx="2">
                  <c:v>15</c:v>
                </c:pt>
                <c:pt idx="3">
                  <c:v>22</c:v>
                </c:pt>
                <c:pt idx="4">
                  <c:v>24</c:v>
                </c:pt>
                <c:pt idx="5">
                  <c:v>33</c:v>
                </c:pt>
                <c:pt idx="6">
                  <c:v>17</c:v>
                </c:pt>
                <c:pt idx="7">
                  <c:v>26</c:v>
                </c:pt>
                <c:pt idx="8">
                  <c:v>22</c:v>
                </c:pt>
                <c:pt idx="9">
                  <c:v>27</c:v>
                </c:pt>
                <c:pt idx="10">
                  <c:v>19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'04.08 Spear Motors-Kyambogo'!$Z$9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Motors-Kyambogo'!$Z$10:$Z$21</c:f>
              <c:numCache>
                <c:formatCode>0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9</c:v>
                </c:pt>
                <c:pt idx="3">
                  <c:v>14</c:v>
                </c:pt>
                <c:pt idx="4">
                  <c:v>10</c:v>
                </c:pt>
                <c:pt idx="5">
                  <c:v>13</c:v>
                </c:pt>
                <c:pt idx="6">
                  <c:v>17</c:v>
                </c:pt>
                <c:pt idx="7">
                  <c:v>8</c:v>
                </c:pt>
                <c:pt idx="8">
                  <c:v>2</c:v>
                </c:pt>
                <c:pt idx="9">
                  <c:v>5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'04.08 Spear Motors-Kyambogo'!$AA$9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Motors-Kyambogo'!$AA$10:$AA$21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5</c:v>
                </c:pt>
                <c:pt idx="8">
                  <c:v>0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'04.08 Spear Motors-Kyambogo'!$AB$9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Motors-Kyambogo'!$AB$10:$AB$21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5</c:v>
                </c:pt>
                <c:pt idx="4">
                  <c:v>11</c:v>
                </c:pt>
                <c:pt idx="5">
                  <c:v>20</c:v>
                </c:pt>
                <c:pt idx="6">
                  <c:v>6</c:v>
                </c:pt>
                <c:pt idx="7">
                  <c:v>9</c:v>
                </c:pt>
                <c:pt idx="8">
                  <c:v>4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'04.08 Spear Motors-Kyambogo'!$AC$9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Motors-Kyambogo'!$AC$10:$AC$21</c:f>
              <c:numCache>
                <c:formatCode>0</c:formatCode>
                <c:ptCount val="12"/>
                <c:pt idx="0">
                  <c:v>230</c:v>
                </c:pt>
                <c:pt idx="1">
                  <c:v>388</c:v>
                </c:pt>
                <c:pt idx="2">
                  <c:v>501</c:v>
                </c:pt>
                <c:pt idx="3">
                  <c:v>566</c:v>
                </c:pt>
                <c:pt idx="4">
                  <c:v>658</c:v>
                </c:pt>
                <c:pt idx="5">
                  <c:v>583</c:v>
                </c:pt>
                <c:pt idx="6">
                  <c:v>563</c:v>
                </c:pt>
                <c:pt idx="7">
                  <c:v>770</c:v>
                </c:pt>
                <c:pt idx="8">
                  <c:v>899</c:v>
                </c:pt>
                <c:pt idx="9">
                  <c:v>662</c:v>
                </c:pt>
                <c:pt idx="10">
                  <c:v>663</c:v>
                </c:pt>
                <c:pt idx="11">
                  <c:v>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'04.08 Spear Motors-Kyambogo'!$AD$9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Spear Motors-Kyambogo'!$AD$10:$AD$21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665856"/>
        <c:axId val="130487424"/>
      </c:lineChart>
      <c:catAx>
        <c:axId val="13066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0487424"/>
        <c:crosses val="autoZero"/>
        <c:auto val="1"/>
        <c:lblAlgn val="ctr"/>
        <c:lblOffset val="100"/>
        <c:noMultiLvlLbl val="0"/>
      </c:catAx>
      <c:valAx>
        <c:axId val="13048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066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Spear Motors-Kyambogo'!$C$60:$N$60</c:f>
              <c:numCache>
                <c:formatCode>0.00%</c:formatCode>
                <c:ptCount val="12"/>
                <c:pt idx="0">
                  <c:v>0.41530403679100664</c:v>
                </c:pt>
                <c:pt idx="1">
                  <c:v>0.10832907511497189</c:v>
                </c:pt>
                <c:pt idx="2">
                  <c:v>4.1645375574859478E-2</c:v>
                </c:pt>
                <c:pt idx="3">
                  <c:v>0.36216147164026569</c:v>
                </c:pt>
                <c:pt idx="4">
                  <c:v>8.6867654573326517E-3</c:v>
                </c:pt>
                <c:pt idx="5">
                  <c:v>3.0659172202350538E-3</c:v>
                </c:pt>
                <c:pt idx="6">
                  <c:v>3.2575370464997443E-2</c:v>
                </c:pt>
                <c:pt idx="7">
                  <c:v>1.3796627491057742E-2</c:v>
                </c:pt>
                <c:pt idx="8">
                  <c:v>3.3214103219213081E-3</c:v>
                </c:pt>
                <c:pt idx="9">
                  <c:v>1.111394992335207E-2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Kyambogo-Spear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Kyambogo-Spear Motors'!$AE$10:$AE$21</c:f>
              <c:numCache>
                <c:formatCode>0</c:formatCode>
                <c:ptCount val="12"/>
                <c:pt idx="0">
                  <c:v>411</c:v>
                </c:pt>
                <c:pt idx="1">
                  <c:v>586</c:v>
                </c:pt>
                <c:pt idx="2">
                  <c:v>590</c:v>
                </c:pt>
                <c:pt idx="3">
                  <c:v>678</c:v>
                </c:pt>
                <c:pt idx="4">
                  <c:v>686</c:v>
                </c:pt>
                <c:pt idx="5">
                  <c:v>650</c:v>
                </c:pt>
                <c:pt idx="6">
                  <c:v>569</c:v>
                </c:pt>
                <c:pt idx="7">
                  <c:v>701</c:v>
                </c:pt>
                <c:pt idx="8">
                  <c:v>817</c:v>
                </c:pt>
                <c:pt idx="9">
                  <c:v>732</c:v>
                </c:pt>
                <c:pt idx="10">
                  <c:v>668</c:v>
                </c:pt>
                <c:pt idx="11">
                  <c:v>793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 Kyambogo-Spear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Kyambogo-Spear Motors'!$AF$10:$AF$21</c:f>
              <c:numCache>
                <c:formatCode>0</c:formatCode>
                <c:ptCount val="12"/>
                <c:pt idx="0">
                  <c:v>805</c:v>
                </c:pt>
                <c:pt idx="1">
                  <c:v>1236</c:v>
                </c:pt>
                <c:pt idx="2">
                  <c:v>1179</c:v>
                </c:pt>
                <c:pt idx="3">
                  <c:v>1365</c:v>
                </c:pt>
                <c:pt idx="4">
                  <c:v>1213</c:v>
                </c:pt>
                <c:pt idx="5">
                  <c:v>1198</c:v>
                </c:pt>
                <c:pt idx="6">
                  <c:v>1113</c:v>
                </c:pt>
                <c:pt idx="7">
                  <c:v>1372</c:v>
                </c:pt>
                <c:pt idx="8">
                  <c:v>1507</c:v>
                </c:pt>
                <c:pt idx="9">
                  <c:v>1468</c:v>
                </c:pt>
                <c:pt idx="10">
                  <c:v>1318</c:v>
                </c:pt>
                <c:pt idx="11">
                  <c:v>1370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934272"/>
        <c:axId val="130936192"/>
      </c:lineChart>
      <c:catAx>
        <c:axId val="1309342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0936192"/>
        <c:crosses val="autoZero"/>
        <c:auto val="1"/>
        <c:lblAlgn val="ctr"/>
        <c:lblOffset val="100"/>
        <c:noMultiLvlLbl val="0"/>
      </c:catAx>
      <c:valAx>
        <c:axId val="1309361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0934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Kyambogo-Spear Motors'!$C$59:$N$59</c:f>
              <c:numCache>
                <c:formatCode>0.0%</c:formatCode>
                <c:ptCount val="12"/>
                <c:pt idx="0">
                  <c:v>0.27020602218700474</c:v>
                </c:pt>
                <c:pt idx="1">
                  <c:v>2.2054939249867934E-2</c:v>
                </c:pt>
                <c:pt idx="2">
                  <c:v>2.6545166402535656E-2</c:v>
                </c:pt>
                <c:pt idx="3">
                  <c:v>0.15940306391970419</c:v>
                </c:pt>
                <c:pt idx="4">
                  <c:v>6.0750132065504493E-3</c:v>
                </c:pt>
                <c:pt idx="5">
                  <c:v>1.9809825673534074E-3</c:v>
                </c:pt>
                <c:pt idx="6">
                  <c:v>1.6310089804543054E-2</c:v>
                </c:pt>
                <c:pt idx="7">
                  <c:v>6.0750132065504493E-3</c:v>
                </c:pt>
                <c:pt idx="8">
                  <c:v>2.3111463285789753E-3</c:v>
                </c:pt>
                <c:pt idx="9">
                  <c:v>9.4426835710512413E-3</c:v>
                </c:pt>
                <c:pt idx="10">
                  <c:v>0.47959587955625993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04"/>
          <c:y val="2.296022663732375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Kyambogo-Spear Motors'!$S$9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Kyambogo-Spear Motors'!$S$10:$S$21</c:f>
              <c:numCache>
                <c:formatCode>0</c:formatCode>
                <c:ptCount val="12"/>
                <c:pt idx="0">
                  <c:v>160</c:v>
                </c:pt>
                <c:pt idx="1">
                  <c:v>285</c:v>
                </c:pt>
                <c:pt idx="2">
                  <c:v>330</c:v>
                </c:pt>
                <c:pt idx="3">
                  <c:v>328</c:v>
                </c:pt>
                <c:pt idx="4">
                  <c:v>320</c:v>
                </c:pt>
                <c:pt idx="5">
                  <c:v>323</c:v>
                </c:pt>
                <c:pt idx="6">
                  <c:v>280</c:v>
                </c:pt>
                <c:pt idx="7">
                  <c:v>356</c:v>
                </c:pt>
                <c:pt idx="8">
                  <c:v>487</c:v>
                </c:pt>
                <c:pt idx="9">
                  <c:v>392</c:v>
                </c:pt>
                <c:pt idx="10">
                  <c:v>355</c:v>
                </c:pt>
                <c:pt idx="11">
                  <c:v>476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 Kyambogo-Spear Motors'!$T$9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Kyambogo-Spear Motors'!$R$10:$R$21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Kyambogo-Spear Motors'!$T$10:$T$21</c:f>
              <c:numCache>
                <c:formatCode>0</c:formatCode>
                <c:ptCount val="12"/>
                <c:pt idx="0">
                  <c:v>30</c:v>
                </c:pt>
                <c:pt idx="1">
                  <c:v>26</c:v>
                </c:pt>
                <c:pt idx="2">
                  <c:v>25</c:v>
                </c:pt>
                <c:pt idx="3">
                  <c:v>22</c:v>
                </c:pt>
                <c:pt idx="4">
                  <c:v>34</c:v>
                </c:pt>
                <c:pt idx="5">
                  <c:v>25</c:v>
                </c:pt>
                <c:pt idx="6">
                  <c:v>30</c:v>
                </c:pt>
                <c:pt idx="7">
                  <c:v>22</c:v>
                </c:pt>
                <c:pt idx="8">
                  <c:v>38</c:v>
                </c:pt>
                <c:pt idx="9">
                  <c:v>32</c:v>
                </c:pt>
                <c:pt idx="10">
                  <c:v>21</c:v>
                </c:pt>
                <c:pt idx="11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 Kyambogo-Spear Motors'!$U$9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Kyambogo-Spear Motors'!$U$10:$U$21</c:f>
              <c:numCache>
                <c:formatCode>0</c:formatCode>
                <c:ptCount val="12"/>
                <c:pt idx="0">
                  <c:v>19</c:v>
                </c:pt>
                <c:pt idx="1">
                  <c:v>39</c:v>
                </c:pt>
                <c:pt idx="2">
                  <c:v>23</c:v>
                </c:pt>
                <c:pt idx="3">
                  <c:v>103</c:v>
                </c:pt>
                <c:pt idx="4">
                  <c:v>34</c:v>
                </c:pt>
                <c:pt idx="5">
                  <c:v>28</c:v>
                </c:pt>
                <c:pt idx="6">
                  <c:v>25</c:v>
                </c:pt>
                <c:pt idx="7">
                  <c:v>28</c:v>
                </c:pt>
                <c:pt idx="8">
                  <c:v>24</c:v>
                </c:pt>
                <c:pt idx="9">
                  <c:v>28</c:v>
                </c:pt>
                <c:pt idx="10">
                  <c:v>28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 Kyambogo-Spear Motors'!$V$9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Kyambogo-Spear Motors'!$V$10:$V$21</c:f>
              <c:numCache>
                <c:formatCode>0</c:formatCode>
                <c:ptCount val="12"/>
                <c:pt idx="0">
                  <c:v>158</c:v>
                </c:pt>
                <c:pt idx="1">
                  <c:v>195</c:v>
                </c:pt>
                <c:pt idx="2">
                  <c:v>162</c:v>
                </c:pt>
                <c:pt idx="3">
                  <c:v>169</c:v>
                </c:pt>
                <c:pt idx="4">
                  <c:v>219</c:v>
                </c:pt>
                <c:pt idx="5">
                  <c:v>217</c:v>
                </c:pt>
                <c:pt idx="6">
                  <c:v>207</c:v>
                </c:pt>
                <c:pt idx="7">
                  <c:v>224</c:v>
                </c:pt>
                <c:pt idx="8">
                  <c:v>205</c:v>
                </c:pt>
                <c:pt idx="9">
                  <c:v>228</c:v>
                </c:pt>
                <c:pt idx="10">
                  <c:v>220</c:v>
                </c:pt>
                <c:pt idx="11">
                  <c:v>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 Kyambogo-Spear Motors'!$W$9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Kyambogo-Spear Motors'!$W$10:$W$21</c:f>
              <c:numCache>
                <c:formatCode>0</c:formatCode>
                <c:ptCount val="12"/>
                <c:pt idx="0">
                  <c:v>9</c:v>
                </c:pt>
                <c:pt idx="1">
                  <c:v>6</c:v>
                </c:pt>
                <c:pt idx="2">
                  <c:v>9</c:v>
                </c:pt>
                <c:pt idx="3">
                  <c:v>6</c:v>
                </c:pt>
                <c:pt idx="4">
                  <c:v>9</c:v>
                </c:pt>
                <c:pt idx="5">
                  <c:v>9</c:v>
                </c:pt>
                <c:pt idx="6">
                  <c:v>5</c:v>
                </c:pt>
                <c:pt idx="7">
                  <c:v>11</c:v>
                </c:pt>
                <c:pt idx="8">
                  <c:v>2</c:v>
                </c:pt>
                <c:pt idx="9">
                  <c:v>7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 Kyambogo-Spear Motors'!$X$9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Kyambogo-Spear Motors'!$X$10:$X$21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 Kyambogo-Spear Motors'!$Y$9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Kyambogo-Spear Motors'!$Y$10:$Y$21</c:f>
              <c:numCache>
                <c:formatCode>0</c:formatCode>
                <c:ptCount val="12"/>
                <c:pt idx="0">
                  <c:v>15</c:v>
                </c:pt>
                <c:pt idx="1">
                  <c:v>10</c:v>
                </c:pt>
                <c:pt idx="2">
                  <c:v>18</c:v>
                </c:pt>
                <c:pt idx="3">
                  <c:v>25</c:v>
                </c:pt>
                <c:pt idx="4">
                  <c:v>34</c:v>
                </c:pt>
                <c:pt idx="5">
                  <c:v>28</c:v>
                </c:pt>
                <c:pt idx="6">
                  <c:v>13</c:v>
                </c:pt>
                <c:pt idx="7">
                  <c:v>28</c:v>
                </c:pt>
                <c:pt idx="8">
                  <c:v>27</c:v>
                </c:pt>
                <c:pt idx="9">
                  <c:v>14</c:v>
                </c:pt>
                <c:pt idx="10">
                  <c:v>16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 Kyambogo-Spear Motors'!$Z$9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Kyambogo-Spear Motors'!$Z$10:$Z$21</c:f>
              <c:numCache>
                <c:formatCode>0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8</c:v>
                </c:pt>
                <c:pt idx="3">
                  <c:v>4</c:v>
                </c:pt>
                <c:pt idx="4">
                  <c:v>16</c:v>
                </c:pt>
                <c:pt idx="5">
                  <c:v>7</c:v>
                </c:pt>
                <c:pt idx="6">
                  <c:v>3</c:v>
                </c:pt>
                <c:pt idx="7">
                  <c:v>9</c:v>
                </c:pt>
                <c:pt idx="8">
                  <c:v>8</c:v>
                </c:pt>
                <c:pt idx="9">
                  <c:v>9</c:v>
                </c:pt>
                <c:pt idx="10">
                  <c:v>1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 Kyambogo-Spear Motors'!$AA$9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Kyambogo-Spear Motors'!$AA$10:$AA$21</c:f>
              <c:numCache>
                <c:formatCode>0</c:formatCode>
                <c:ptCount val="12"/>
                <c:pt idx="0">
                  <c:v>0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6</c:v>
                </c:pt>
                <c:pt idx="9">
                  <c:v>5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 Kyambogo-Spear Motors'!$AB$9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Kyambogo-Spear Motors'!$AB$10:$AB$21</c:f>
              <c:numCache>
                <c:formatCode>0</c:formatCode>
                <c:ptCount val="12"/>
                <c:pt idx="0">
                  <c:v>12</c:v>
                </c:pt>
                <c:pt idx="1">
                  <c:v>9</c:v>
                </c:pt>
                <c:pt idx="2">
                  <c:v>13</c:v>
                </c:pt>
                <c:pt idx="3">
                  <c:v>16</c:v>
                </c:pt>
                <c:pt idx="4">
                  <c:v>14</c:v>
                </c:pt>
                <c:pt idx="5">
                  <c:v>12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13</c:v>
                </c:pt>
                <c:pt idx="10">
                  <c:v>10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 Kyambogo-Spear Motors'!$AC$9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Kyambogo-Spear Motors'!$AC$10:$AC$21</c:f>
              <c:numCache>
                <c:formatCode>0</c:formatCode>
                <c:ptCount val="12"/>
                <c:pt idx="0">
                  <c:v>394</c:v>
                </c:pt>
                <c:pt idx="1">
                  <c:v>650</c:v>
                </c:pt>
                <c:pt idx="2">
                  <c:v>589</c:v>
                </c:pt>
                <c:pt idx="3">
                  <c:v>687</c:v>
                </c:pt>
                <c:pt idx="4">
                  <c:v>527</c:v>
                </c:pt>
                <c:pt idx="5">
                  <c:v>548</c:v>
                </c:pt>
                <c:pt idx="6">
                  <c:v>544</c:v>
                </c:pt>
                <c:pt idx="7">
                  <c:v>671</c:v>
                </c:pt>
                <c:pt idx="8">
                  <c:v>690</c:v>
                </c:pt>
                <c:pt idx="9">
                  <c:v>736</c:v>
                </c:pt>
                <c:pt idx="10">
                  <c:v>650</c:v>
                </c:pt>
                <c:pt idx="11">
                  <c:v>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 Kyambogo-Spear Motors'!$AD$9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Kyambogo-Spear Motors'!$AD$10:$AD$21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124224"/>
        <c:axId val="130810624"/>
      </c:lineChart>
      <c:catAx>
        <c:axId val="131124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0810624"/>
        <c:crosses val="autoZero"/>
        <c:auto val="1"/>
        <c:lblAlgn val="ctr"/>
        <c:lblOffset val="100"/>
        <c:noMultiLvlLbl val="0"/>
      </c:catAx>
      <c:valAx>
        <c:axId val="13081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12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Kyambogo-Spear Motors'!$C$60:$N$60</c:f>
              <c:numCache>
                <c:formatCode>0.00%</c:formatCode>
                <c:ptCount val="12"/>
                <c:pt idx="0">
                  <c:v>0.51922344880091365</c:v>
                </c:pt>
                <c:pt idx="1">
                  <c:v>4.2380408577591677E-2</c:v>
                </c:pt>
                <c:pt idx="2">
                  <c:v>5.1008755234107347E-2</c:v>
                </c:pt>
                <c:pt idx="3">
                  <c:v>0.30630630630630629</c:v>
                </c:pt>
                <c:pt idx="4">
                  <c:v>1.1673645476462378E-2</c:v>
                </c:pt>
                <c:pt idx="5">
                  <c:v>3.806623524933384E-3</c:v>
                </c:pt>
                <c:pt idx="6">
                  <c:v>3.1341200355284864E-2</c:v>
                </c:pt>
                <c:pt idx="7">
                  <c:v>1.1673645476462378E-2</c:v>
                </c:pt>
                <c:pt idx="8">
                  <c:v>4.441060779088948E-3</c:v>
                </c:pt>
                <c:pt idx="9">
                  <c:v>1.8144905468849132E-2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Spear Motors-Kyambogo'!$AE$9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Spear Motors-Kyambogo'!$R$10:$R$33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Spear Motors-Kyambogo'!$AE$10:$AE$33</c:f>
              <c:numCache>
                <c:formatCode>0</c:formatCode>
                <c:ptCount val="24"/>
                <c:pt idx="0">
                  <c:v>348.85714285714278</c:v>
                </c:pt>
                <c:pt idx="1">
                  <c:v>582.71428571428578</c:v>
                </c:pt>
                <c:pt idx="2">
                  <c:v>637.14285714285711</c:v>
                </c:pt>
                <c:pt idx="3">
                  <c:v>673.85714285714289</c:v>
                </c:pt>
                <c:pt idx="4">
                  <c:v>711.42857142857144</c:v>
                </c:pt>
                <c:pt idx="5">
                  <c:v>734.71428571428578</c:v>
                </c:pt>
                <c:pt idx="6">
                  <c:v>717.71428571428567</c:v>
                </c:pt>
                <c:pt idx="7">
                  <c:v>691.71428571428578</c:v>
                </c:pt>
                <c:pt idx="8">
                  <c:v>751.52380952380952</c:v>
                </c:pt>
                <c:pt idx="9">
                  <c:v>838</c:v>
                </c:pt>
                <c:pt idx="10">
                  <c:v>1020.4285714285714</c:v>
                </c:pt>
                <c:pt idx="11">
                  <c:v>1098.5714285714284</c:v>
                </c:pt>
                <c:pt idx="12">
                  <c:v>465</c:v>
                </c:pt>
                <c:pt idx="13">
                  <c:v>589.5</c:v>
                </c:pt>
                <c:pt idx="14">
                  <c:v>513.5</c:v>
                </c:pt>
                <c:pt idx="15">
                  <c:v>339</c:v>
                </c:pt>
                <c:pt idx="16">
                  <c:v>301</c:v>
                </c:pt>
                <c:pt idx="17">
                  <c:v>230</c:v>
                </c:pt>
                <c:pt idx="18">
                  <c:v>212.5</c:v>
                </c:pt>
                <c:pt idx="19">
                  <c:v>144.5</c:v>
                </c:pt>
                <c:pt idx="20">
                  <c:v>117</c:v>
                </c:pt>
                <c:pt idx="21">
                  <c:v>98</c:v>
                </c:pt>
                <c:pt idx="22">
                  <c:v>156</c:v>
                </c:pt>
                <c:pt idx="23">
                  <c:v>268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Spear Motors-Kyambogo'!$AF$9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Spear Motors-Kyambogo'!$R$10:$R$33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Spear Motors-Kyambogo'!$AF$10:$AF$33</c:f>
              <c:numCache>
                <c:formatCode>0</c:formatCode>
                <c:ptCount val="24"/>
                <c:pt idx="0">
                  <c:v>1240.2857142857142</c:v>
                </c:pt>
                <c:pt idx="1">
                  <c:v>1738.9999999999998</c:v>
                </c:pt>
                <c:pt idx="2">
                  <c:v>1937.5714285714287</c:v>
                </c:pt>
                <c:pt idx="3">
                  <c:v>1883.7142857142856</c:v>
                </c:pt>
                <c:pt idx="4">
                  <c:v>1861.7142857142858</c:v>
                </c:pt>
                <c:pt idx="5">
                  <c:v>1836.4285714285713</c:v>
                </c:pt>
                <c:pt idx="6">
                  <c:v>1835.9999999999998</c:v>
                </c:pt>
                <c:pt idx="7">
                  <c:v>1826.1428571428569</c:v>
                </c:pt>
                <c:pt idx="8">
                  <c:v>1958.3809523809523</c:v>
                </c:pt>
                <c:pt idx="9">
                  <c:v>2027.4285714285716</c:v>
                </c:pt>
                <c:pt idx="10">
                  <c:v>2323.7142857142853</c:v>
                </c:pt>
                <c:pt idx="11">
                  <c:v>2382.4285714285716</c:v>
                </c:pt>
                <c:pt idx="12">
                  <c:v>1680</c:v>
                </c:pt>
                <c:pt idx="13">
                  <c:v>1807</c:v>
                </c:pt>
                <c:pt idx="14">
                  <c:v>1534</c:v>
                </c:pt>
                <c:pt idx="15">
                  <c:v>964.5</c:v>
                </c:pt>
                <c:pt idx="16">
                  <c:v>729</c:v>
                </c:pt>
                <c:pt idx="17">
                  <c:v>430.5</c:v>
                </c:pt>
                <c:pt idx="18">
                  <c:v>288.5</c:v>
                </c:pt>
                <c:pt idx="19">
                  <c:v>210</c:v>
                </c:pt>
                <c:pt idx="20">
                  <c:v>171</c:v>
                </c:pt>
                <c:pt idx="21">
                  <c:v>139.5</c:v>
                </c:pt>
                <c:pt idx="22">
                  <c:v>224</c:v>
                </c:pt>
                <c:pt idx="23">
                  <c:v>374.5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343488"/>
        <c:axId val="131345408"/>
      </c:lineChart>
      <c:catAx>
        <c:axId val="1313434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345408"/>
        <c:crosses val="autoZero"/>
        <c:auto val="1"/>
        <c:lblAlgn val="ctr"/>
        <c:lblOffset val="100"/>
        <c:noMultiLvlLbl val="0"/>
      </c:catAx>
      <c:valAx>
        <c:axId val="1313454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343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5985800955208456E-3"/>
          <c:y val="0.15037011150305238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Spear Motors-Kyambogo'!$C$107:$N$107</c:f>
              <c:numCache>
                <c:formatCode>0.0%</c:formatCode>
                <c:ptCount val="12"/>
                <c:pt idx="0">
                  <c:v>0.14503689473193418</c:v>
                </c:pt>
                <c:pt idx="1">
                  <c:v>5.1447169609627724E-2</c:v>
                </c:pt>
                <c:pt idx="2">
                  <c:v>2.5471125219196328E-2</c:v>
                </c:pt>
                <c:pt idx="3">
                  <c:v>0.12319572895999534</c:v>
                </c:pt>
                <c:pt idx="4">
                  <c:v>6.0597881917146233E-3</c:v>
                </c:pt>
                <c:pt idx="5">
                  <c:v>1.6504640176858169E-3</c:v>
                </c:pt>
                <c:pt idx="6">
                  <c:v>1.4519837789030212E-2</c:v>
                </c:pt>
                <c:pt idx="7">
                  <c:v>9.0976427249562751E-3</c:v>
                </c:pt>
                <c:pt idx="8">
                  <c:v>4.6223606411715315E-3</c:v>
                </c:pt>
                <c:pt idx="9">
                  <c:v>8.6950720343769577E-3</c:v>
                </c:pt>
                <c:pt idx="10">
                  <c:v>0.61023575782984807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04"/>
          <c:y val="2.296022663732375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Spear Motors-Kyambogo'!$S$9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'Avg Week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Spear Motors-Kyambogo'!$S$10:$S$21</c:f>
              <c:numCache>
                <c:formatCode>0</c:formatCode>
                <c:ptCount val="12"/>
                <c:pt idx="0">
                  <c:v>118.28571428571428</c:v>
                </c:pt>
                <c:pt idx="1">
                  <c:v>156.28571428571428</c:v>
                </c:pt>
                <c:pt idx="2">
                  <c:v>185.71428571428569</c:v>
                </c:pt>
                <c:pt idx="3">
                  <c:v>213.42857142857144</c:v>
                </c:pt>
                <c:pt idx="4">
                  <c:v>211.85714285714286</c:v>
                </c:pt>
                <c:pt idx="5">
                  <c:v>244</c:v>
                </c:pt>
                <c:pt idx="6">
                  <c:v>236.71428571428569</c:v>
                </c:pt>
                <c:pt idx="7">
                  <c:v>237.57142857142856</c:v>
                </c:pt>
                <c:pt idx="8">
                  <c:v>264</c:v>
                </c:pt>
                <c:pt idx="9">
                  <c:v>338.42857142857144</c:v>
                </c:pt>
                <c:pt idx="10">
                  <c:v>452</c:v>
                </c:pt>
                <c:pt idx="11">
                  <c:v>510.14285714285717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668-4FCD-A619-4501F07B66D1}"/>
            </c:ext>
          </c:extLst>
        </c:ser>
        <c:ser>
          <c:idx val="1"/>
          <c:order val="1"/>
          <c:tx>
            <c:strRef>
              <c:f>'Avg Week Spear Motors-Kyambogo'!$T$9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Week Spear Motors-Kyambogo'!$R$10:$R$21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Spear Motors-Kyambogo'!$T$10:$T$21</c:f>
              <c:numCache>
                <c:formatCode>0</c:formatCode>
                <c:ptCount val="12"/>
                <c:pt idx="0">
                  <c:v>35.571428571428569</c:v>
                </c:pt>
                <c:pt idx="1">
                  <c:v>69.428571428571431</c:v>
                </c:pt>
                <c:pt idx="2">
                  <c:v>66</c:v>
                </c:pt>
                <c:pt idx="3">
                  <c:v>68.142857142857139</c:v>
                </c:pt>
                <c:pt idx="4">
                  <c:v>76</c:v>
                </c:pt>
                <c:pt idx="5">
                  <c:v>91.428571428571416</c:v>
                </c:pt>
                <c:pt idx="6">
                  <c:v>92.285714285714292</c:v>
                </c:pt>
                <c:pt idx="7">
                  <c:v>92.142857142857139</c:v>
                </c:pt>
                <c:pt idx="8">
                  <c:v>98.285714285714292</c:v>
                </c:pt>
                <c:pt idx="9">
                  <c:v>124.99999999999999</c:v>
                </c:pt>
                <c:pt idx="10">
                  <c:v>194.71428571428572</c:v>
                </c:pt>
                <c:pt idx="11">
                  <c:v>214.71428571428572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668-4FCD-A619-4501F07B66D1}"/>
            </c:ext>
          </c:extLst>
        </c:ser>
        <c:ser>
          <c:idx val="2"/>
          <c:order val="2"/>
          <c:tx>
            <c:strRef>
              <c:f>'Avg Week Spear Motors-Kyambogo'!$U$9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'Avg Week Spear Motors-Kyambogo'!$U$10:$U$21</c:f>
              <c:numCache>
                <c:formatCode>0</c:formatCode>
                <c:ptCount val="12"/>
                <c:pt idx="0">
                  <c:v>25</c:v>
                </c:pt>
                <c:pt idx="1">
                  <c:v>34.142857142857139</c:v>
                </c:pt>
                <c:pt idx="2">
                  <c:v>34.285714285714285</c:v>
                </c:pt>
                <c:pt idx="3">
                  <c:v>44.285714285714285</c:v>
                </c:pt>
                <c:pt idx="4">
                  <c:v>47.857142857142861</c:v>
                </c:pt>
                <c:pt idx="5">
                  <c:v>47</c:v>
                </c:pt>
                <c:pt idx="6">
                  <c:v>47.428571428571431</c:v>
                </c:pt>
                <c:pt idx="7">
                  <c:v>41.714285714285715</c:v>
                </c:pt>
                <c:pt idx="8">
                  <c:v>48.428571428571431</c:v>
                </c:pt>
                <c:pt idx="9">
                  <c:v>55.428571428571431</c:v>
                </c:pt>
                <c:pt idx="10">
                  <c:v>94</c:v>
                </c:pt>
                <c:pt idx="11">
                  <c:v>104.85714285714286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68-4FCD-A619-4501F07B66D1}"/>
            </c:ext>
          </c:extLst>
        </c:ser>
        <c:ser>
          <c:idx val="3"/>
          <c:order val="3"/>
          <c:tx>
            <c:strRef>
              <c:f>'Avg Week Spear Motors-Kyambogo'!$V$9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'Avg Week Spear Motors-Kyambogo'!$V$10:$V$21</c:f>
              <c:numCache>
                <c:formatCode>0</c:formatCode>
                <c:ptCount val="12"/>
                <c:pt idx="0">
                  <c:v>130.85714285714286</c:v>
                </c:pt>
                <c:pt idx="1">
                  <c:v>215.14285714285714</c:v>
                </c:pt>
                <c:pt idx="2">
                  <c:v>277.57142857142856</c:v>
                </c:pt>
                <c:pt idx="3">
                  <c:v>261.71428571428567</c:v>
                </c:pt>
                <c:pt idx="4">
                  <c:v>290.85714285714283</c:v>
                </c:pt>
                <c:pt idx="5">
                  <c:v>264.42857142857144</c:v>
                </c:pt>
                <c:pt idx="6">
                  <c:v>254</c:v>
                </c:pt>
                <c:pt idx="7">
                  <c:v>226.85714285714289</c:v>
                </c:pt>
                <c:pt idx="8">
                  <c:v>245.14285714285717</c:v>
                </c:pt>
                <c:pt idx="9">
                  <c:v>235.85714285714289</c:v>
                </c:pt>
                <c:pt idx="10">
                  <c:v>214.71428571428572</c:v>
                </c:pt>
                <c:pt idx="11">
                  <c:v>217.85714285714286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68-4FCD-A619-4501F07B66D1}"/>
            </c:ext>
          </c:extLst>
        </c:ser>
        <c:ser>
          <c:idx val="4"/>
          <c:order val="4"/>
          <c:tx>
            <c:strRef>
              <c:f>'Avg Week Spear Motors-Kyambogo'!$W$9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'Avg Week Spear Motors-Kyambogo'!$W$10:$W$21</c:f>
              <c:numCache>
                <c:formatCode>0</c:formatCode>
                <c:ptCount val="12"/>
                <c:pt idx="0">
                  <c:v>12.714285714285714</c:v>
                </c:pt>
                <c:pt idx="1">
                  <c:v>55.571428571428569</c:v>
                </c:pt>
                <c:pt idx="2">
                  <c:v>6.7142857142857144</c:v>
                </c:pt>
                <c:pt idx="3">
                  <c:v>6.2857142857142847</c:v>
                </c:pt>
                <c:pt idx="4">
                  <c:v>6.7142857142857144</c:v>
                </c:pt>
                <c:pt idx="5">
                  <c:v>6.5714285714285721</c:v>
                </c:pt>
                <c:pt idx="6">
                  <c:v>6.1428571428571423</c:v>
                </c:pt>
                <c:pt idx="7">
                  <c:v>6.4285714285714288</c:v>
                </c:pt>
                <c:pt idx="8">
                  <c:v>6.9523809523809526</c:v>
                </c:pt>
                <c:pt idx="9">
                  <c:v>6.1428571428571423</c:v>
                </c:pt>
                <c:pt idx="10">
                  <c:v>4.5714285714285712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68-4FCD-A619-4501F07B66D1}"/>
            </c:ext>
          </c:extLst>
        </c:ser>
        <c:ser>
          <c:idx val="5"/>
          <c:order val="5"/>
          <c:tx>
            <c:strRef>
              <c:f>'Avg Week Spear Motors-Kyambogo'!$X$9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'Avg Week Spear Motors-Kyambogo'!$X$10:$X$21</c:f>
              <c:numCache>
                <c:formatCode>0</c:formatCode>
                <c:ptCount val="12"/>
                <c:pt idx="0">
                  <c:v>2.1428571428571428</c:v>
                </c:pt>
                <c:pt idx="1">
                  <c:v>1.8571428571428572</c:v>
                </c:pt>
                <c:pt idx="2">
                  <c:v>3.1428571428571423</c:v>
                </c:pt>
                <c:pt idx="3">
                  <c:v>2.5714285714285712</c:v>
                </c:pt>
                <c:pt idx="4">
                  <c:v>2.4285714285714288</c:v>
                </c:pt>
                <c:pt idx="5">
                  <c:v>2.8571428571428572</c:v>
                </c:pt>
                <c:pt idx="6">
                  <c:v>2.4285714285714284</c:v>
                </c:pt>
                <c:pt idx="7">
                  <c:v>3</c:v>
                </c:pt>
                <c:pt idx="8">
                  <c:v>2.6904761904761907</c:v>
                </c:pt>
                <c:pt idx="9">
                  <c:v>1.1428571428571428</c:v>
                </c:pt>
                <c:pt idx="10">
                  <c:v>0.85714285714285698</c:v>
                </c:pt>
                <c:pt idx="11">
                  <c:v>2.7142857142857144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68-4FCD-A619-4501F07B66D1}"/>
            </c:ext>
          </c:extLst>
        </c:ser>
        <c:ser>
          <c:idx val="6"/>
          <c:order val="6"/>
          <c:tx>
            <c:strRef>
              <c:f>'Avg Week Spear Motors-Kyambogo'!$Y$9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Spear Motors-Kyambogo'!$Y$10:$Y$21</c:f>
              <c:numCache>
                <c:formatCode>0</c:formatCode>
                <c:ptCount val="12"/>
                <c:pt idx="0">
                  <c:v>11.285714285714285</c:v>
                </c:pt>
                <c:pt idx="1">
                  <c:v>18.857142857142854</c:v>
                </c:pt>
                <c:pt idx="2">
                  <c:v>24.142857142857142</c:v>
                </c:pt>
                <c:pt idx="3">
                  <c:v>33</c:v>
                </c:pt>
                <c:pt idx="4">
                  <c:v>30.285714285714285</c:v>
                </c:pt>
                <c:pt idx="5">
                  <c:v>29.714285714285715</c:v>
                </c:pt>
                <c:pt idx="6">
                  <c:v>33</c:v>
                </c:pt>
                <c:pt idx="7">
                  <c:v>39.142857142857139</c:v>
                </c:pt>
                <c:pt idx="8">
                  <c:v>39.428571428571431</c:v>
                </c:pt>
                <c:pt idx="9">
                  <c:v>38.285714285714285</c:v>
                </c:pt>
                <c:pt idx="10">
                  <c:v>27.571428571428569</c:v>
                </c:pt>
                <c:pt idx="11">
                  <c:v>21.285714285714288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668-4FCD-A619-4501F07B66D1}"/>
            </c:ext>
          </c:extLst>
        </c:ser>
        <c:ser>
          <c:idx val="7"/>
          <c:order val="7"/>
          <c:tx>
            <c:strRef>
              <c:f>'Avg Week Spear Motors-Kyambogo'!$Z$9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Spear Motors-Kyambogo'!$Z$10:$Z$21</c:f>
              <c:numCache>
                <c:formatCode>0</c:formatCode>
                <c:ptCount val="12"/>
                <c:pt idx="0">
                  <c:v>4</c:v>
                </c:pt>
                <c:pt idx="1">
                  <c:v>9.4285714285714288</c:v>
                </c:pt>
                <c:pt idx="2">
                  <c:v>17.285714285714285</c:v>
                </c:pt>
                <c:pt idx="3">
                  <c:v>18.857142857142861</c:v>
                </c:pt>
                <c:pt idx="4">
                  <c:v>21.571428571428573</c:v>
                </c:pt>
                <c:pt idx="5">
                  <c:v>20.285714285714285</c:v>
                </c:pt>
                <c:pt idx="6">
                  <c:v>16.714285714285712</c:v>
                </c:pt>
                <c:pt idx="7">
                  <c:v>14.714285714285715</c:v>
                </c:pt>
                <c:pt idx="8">
                  <c:v>16.285714285714285</c:v>
                </c:pt>
                <c:pt idx="9">
                  <c:v>14.714285714285714</c:v>
                </c:pt>
                <c:pt idx="10">
                  <c:v>15.714285714285714</c:v>
                </c:pt>
                <c:pt idx="11">
                  <c:v>12.142857142857142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668-4FCD-A619-4501F07B66D1}"/>
            </c:ext>
          </c:extLst>
        </c:ser>
        <c:ser>
          <c:idx val="8"/>
          <c:order val="8"/>
          <c:tx>
            <c:strRef>
              <c:f>'Avg Week Spear Motors-Kyambogo'!$AA$9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Spear Motors-Kyambogo'!$AA$10:$AA$21</c:f>
              <c:numCache>
                <c:formatCode>0</c:formatCode>
                <c:ptCount val="12"/>
                <c:pt idx="0">
                  <c:v>2.5714285714285716</c:v>
                </c:pt>
                <c:pt idx="1">
                  <c:v>11.142857142857144</c:v>
                </c:pt>
                <c:pt idx="2">
                  <c:v>9.2857142857142847</c:v>
                </c:pt>
                <c:pt idx="3">
                  <c:v>10</c:v>
                </c:pt>
                <c:pt idx="4">
                  <c:v>6.1428571428571423</c:v>
                </c:pt>
                <c:pt idx="5">
                  <c:v>8.1428571428571423</c:v>
                </c:pt>
                <c:pt idx="6">
                  <c:v>10.571428571428571</c:v>
                </c:pt>
                <c:pt idx="7">
                  <c:v>9.4285714285714288</c:v>
                </c:pt>
                <c:pt idx="8">
                  <c:v>8.0238095238095237</c:v>
                </c:pt>
                <c:pt idx="9">
                  <c:v>6.8571428571428568</c:v>
                </c:pt>
                <c:pt idx="10">
                  <c:v>5.1428571428571423</c:v>
                </c:pt>
                <c:pt idx="11">
                  <c:v>1.8571428571428572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668-4FCD-A619-4501F07B66D1}"/>
            </c:ext>
          </c:extLst>
        </c:ser>
        <c:ser>
          <c:idx val="9"/>
          <c:order val="9"/>
          <c:tx>
            <c:strRef>
              <c:f>'Avg Week Spear Motors-Kyambogo'!$AB$9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Spear Motors-Kyambogo'!$AB$10:$AB$21</c:f>
              <c:numCache>
                <c:formatCode>0</c:formatCode>
                <c:ptCount val="12"/>
                <c:pt idx="0">
                  <c:v>6.4285714285714288</c:v>
                </c:pt>
                <c:pt idx="1">
                  <c:v>10.857142857142858</c:v>
                </c:pt>
                <c:pt idx="2">
                  <c:v>13</c:v>
                </c:pt>
                <c:pt idx="3">
                  <c:v>15.571428571428573</c:v>
                </c:pt>
                <c:pt idx="4">
                  <c:v>17.714285714285715</c:v>
                </c:pt>
                <c:pt idx="5">
                  <c:v>20.285714285714285</c:v>
                </c:pt>
                <c:pt idx="6">
                  <c:v>18.428571428571427</c:v>
                </c:pt>
                <c:pt idx="7">
                  <c:v>20.714285714285715</c:v>
                </c:pt>
                <c:pt idx="8">
                  <c:v>22.285714285714285</c:v>
                </c:pt>
                <c:pt idx="9">
                  <c:v>16.142857142857142</c:v>
                </c:pt>
                <c:pt idx="10">
                  <c:v>11.142857142857142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668-4FCD-A619-4501F07B66D1}"/>
            </c:ext>
          </c:extLst>
        </c:ser>
        <c:ser>
          <c:idx val="10"/>
          <c:order val="10"/>
          <c:tx>
            <c:strRef>
              <c:f>'Avg Week Spear Motors-Kyambogo'!$AC$9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Spear Motors-Kyambogo'!$AC$10:$AC$21</c:f>
              <c:numCache>
                <c:formatCode>0</c:formatCode>
                <c:ptCount val="12"/>
                <c:pt idx="0">
                  <c:v>891.42857142857144</c:v>
                </c:pt>
                <c:pt idx="1">
                  <c:v>1156.2857142857142</c:v>
                </c:pt>
                <c:pt idx="2">
                  <c:v>1300.4285714285716</c:v>
                </c:pt>
                <c:pt idx="3">
                  <c:v>1209.8571428571429</c:v>
                </c:pt>
                <c:pt idx="4">
                  <c:v>1150.2857142857142</c:v>
                </c:pt>
                <c:pt idx="5">
                  <c:v>1101.7142857142858</c:v>
                </c:pt>
                <c:pt idx="6">
                  <c:v>1118.2857142857142</c:v>
                </c:pt>
                <c:pt idx="7">
                  <c:v>1134.4285714285716</c:v>
                </c:pt>
                <c:pt idx="8">
                  <c:v>1206.8571428571429</c:v>
                </c:pt>
                <c:pt idx="9">
                  <c:v>1189.4285714285716</c:v>
                </c:pt>
                <c:pt idx="10">
                  <c:v>1303.2857142857144</c:v>
                </c:pt>
                <c:pt idx="11">
                  <c:v>1283.8571428571427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668-4FCD-A619-4501F07B66D1}"/>
            </c:ext>
          </c:extLst>
        </c:ser>
        <c:ser>
          <c:idx val="11"/>
          <c:order val="11"/>
          <c:tx>
            <c:strRef>
              <c:f>'Avg Week Spear Motors-Kyambogo'!$AD$9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Spear Motors-Kyambogo'!$AD$10:$AD$21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668-4FCD-A619-4501F07B66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492480"/>
        <c:axId val="131494272"/>
      </c:lineChart>
      <c:catAx>
        <c:axId val="131492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494272"/>
        <c:crosses val="autoZero"/>
        <c:auto val="1"/>
        <c:lblAlgn val="ctr"/>
        <c:lblOffset val="100"/>
        <c:noMultiLvlLbl val="0"/>
      </c:catAx>
      <c:valAx>
        <c:axId val="13149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49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2138506783037668E-2"/>
          <c:y val="0.24133245844269471"/>
          <c:w val="0.82198804667488856"/>
          <c:h val="0.7584601924759405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Spear Motors-Kyambogo'!$C$9:$N$9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Spear Motors-Kyambogo'!$C$108:$N$108</c:f>
              <c:numCache>
                <c:formatCode>0.00%</c:formatCode>
                <c:ptCount val="12"/>
                <c:pt idx="0">
                  <c:v>0.37211441953830721</c:v>
                </c:pt>
                <c:pt idx="1">
                  <c:v>0.13199561181697231</c:v>
                </c:pt>
                <c:pt idx="2">
                  <c:v>6.5350082083920125E-2</c:v>
                </c:pt>
                <c:pt idx="3">
                  <c:v>0.31607755568868789</c:v>
                </c:pt>
                <c:pt idx="4">
                  <c:v>1.5547316906175355E-2</c:v>
                </c:pt>
                <c:pt idx="5">
                  <c:v>4.234518817057894E-3</c:v>
                </c:pt>
                <c:pt idx="6">
                  <c:v>3.7252872937203856E-2</c:v>
                </c:pt>
                <c:pt idx="7">
                  <c:v>2.334139908346107E-2</c:v>
                </c:pt>
                <c:pt idx="8">
                  <c:v>1.1859375850988505E-2</c:v>
                </c:pt>
                <c:pt idx="9">
                  <c:v>2.2308542174017912E-2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4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Kyambogo-Spear Motors'!$AE$9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Kyambogo-Spear Motors'!$R$10:$R$33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Kyambogo-Spear Motors'!$AE$10:$AE$33</c:f>
              <c:numCache>
                <c:formatCode>0</c:formatCode>
                <c:ptCount val="24"/>
                <c:pt idx="0">
                  <c:v>766.57142857142856</c:v>
                </c:pt>
                <c:pt idx="1">
                  <c:v>923.30952380952397</c:v>
                </c:pt>
                <c:pt idx="2">
                  <c:v>824.42857142857156</c:v>
                </c:pt>
                <c:pt idx="3">
                  <c:v>759.42857142857144</c:v>
                </c:pt>
                <c:pt idx="4">
                  <c:v>697.28571428571433</c:v>
                </c:pt>
                <c:pt idx="5">
                  <c:v>653.71428571428578</c:v>
                </c:pt>
                <c:pt idx="6">
                  <c:v>692.85714285714289</c:v>
                </c:pt>
                <c:pt idx="7">
                  <c:v>660.28571428571422</c:v>
                </c:pt>
                <c:pt idx="8">
                  <c:v>697.28571428571433</c:v>
                </c:pt>
                <c:pt idx="9">
                  <c:v>625.14285714285722</c:v>
                </c:pt>
                <c:pt idx="10">
                  <c:v>558.71428571428578</c:v>
                </c:pt>
                <c:pt idx="11">
                  <c:v>554.28571428571433</c:v>
                </c:pt>
                <c:pt idx="12">
                  <c:v>454.5</c:v>
                </c:pt>
                <c:pt idx="13">
                  <c:v>487.5</c:v>
                </c:pt>
                <c:pt idx="14">
                  <c:v>376.5</c:v>
                </c:pt>
                <c:pt idx="15">
                  <c:v>351</c:v>
                </c:pt>
                <c:pt idx="16">
                  <c:v>367.5</c:v>
                </c:pt>
                <c:pt idx="17">
                  <c:v>342</c:v>
                </c:pt>
                <c:pt idx="18">
                  <c:v>187.5</c:v>
                </c:pt>
                <c:pt idx="19">
                  <c:v>175</c:v>
                </c:pt>
                <c:pt idx="20">
                  <c:v>120.5</c:v>
                </c:pt>
                <c:pt idx="21">
                  <c:v>156</c:v>
                </c:pt>
                <c:pt idx="22">
                  <c:v>200</c:v>
                </c:pt>
                <c:pt idx="23">
                  <c:v>419.5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Kyambogo-Spear Motors'!$AF$9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Kyambogo-Spear Motors'!$R$10:$R$33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Kyambogo-Spear Motors'!$AF$10:$AF$33</c:f>
              <c:numCache>
                <c:formatCode>0</c:formatCode>
                <c:ptCount val="24"/>
                <c:pt idx="0">
                  <c:v>1536.4285714285713</c:v>
                </c:pt>
                <c:pt idx="1">
                  <c:v>2283.7380952380954</c:v>
                </c:pt>
                <c:pt idx="2">
                  <c:v>2046.7142857142856</c:v>
                </c:pt>
                <c:pt idx="3">
                  <c:v>1809.1428571428573</c:v>
                </c:pt>
                <c:pt idx="4">
                  <c:v>1532.4285714285716</c:v>
                </c:pt>
                <c:pt idx="5">
                  <c:v>1444.8571428571429</c:v>
                </c:pt>
                <c:pt idx="6">
                  <c:v>1510</c:v>
                </c:pt>
                <c:pt idx="7">
                  <c:v>1420.8571428571429</c:v>
                </c:pt>
                <c:pt idx="8">
                  <c:v>1547.1428571428571</c:v>
                </c:pt>
                <c:pt idx="9">
                  <c:v>1406.7142857142858</c:v>
                </c:pt>
                <c:pt idx="10">
                  <c:v>1551.7142857142858</c:v>
                </c:pt>
                <c:pt idx="11">
                  <c:v>1522.5714285714284</c:v>
                </c:pt>
                <c:pt idx="12">
                  <c:v>1497</c:v>
                </c:pt>
                <c:pt idx="13">
                  <c:v>1602.5</c:v>
                </c:pt>
                <c:pt idx="14">
                  <c:v>1444</c:v>
                </c:pt>
                <c:pt idx="15">
                  <c:v>1236</c:v>
                </c:pt>
                <c:pt idx="16">
                  <c:v>1125</c:v>
                </c:pt>
                <c:pt idx="17">
                  <c:v>1026.5</c:v>
                </c:pt>
                <c:pt idx="18">
                  <c:v>789</c:v>
                </c:pt>
                <c:pt idx="19">
                  <c:v>811</c:v>
                </c:pt>
                <c:pt idx="20">
                  <c:v>709</c:v>
                </c:pt>
                <c:pt idx="21">
                  <c:v>675</c:v>
                </c:pt>
                <c:pt idx="22">
                  <c:v>814.5</c:v>
                </c:pt>
                <c:pt idx="23">
                  <c:v>978.5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2006656"/>
        <c:axId val="132008576"/>
      </c:lineChart>
      <c:catAx>
        <c:axId val="132006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008576"/>
        <c:crosses val="autoZero"/>
        <c:auto val="1"/>
        <c:lblAlgn val="ctr"/>
        <c:lblOffset val="100"/>
        <c:noMultiLvlLbl val="0"/>
      </c:catAx>
      <c:valAx>
        <c:axId val="132008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006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11" l="0.70000000000000062" r="0.70000000000000062" t="0.75000000000000111" header="0.30000000000000032" footer="0.3000000000000003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Kyambogo-Spear Motors'!$C$107:$N$107</c:f>
              <c:numCache>
                <c:formatCode>0.0%</c:formatCode>
                <c:ptCount val="12"/>
                <c:pt idx="0">
                  <c:v>0.14278505406817027</c:v>
                </c:pt>
                <c:pt idx="1">
                  <c:v>3.703995644784755E-2</c:v>
                </c:pt>
                <c:pt idx="2">
                  <c:v>2.8473914013965863E-2</c:v>
                </c:pt>
                <c:pt idx="3">
                  <c:v>0.12083954287920098</c:v>
                </c:pt>
                <c:pt idx="4">
                  <c:v>5.9537972953759731E-3</c:v>
                </c:pt>
                <c:pt idx="5">
                  <c:v>3.1979007744651193E-3</c:v>
                </c:pt>
                <c:pt idx="6">
                  <c:v>1.4318727793890471E-2</c:v>
                </c:pt>
                <c:pt idx="7">
                  <c:v>8.2566394563937037E-3</c:v>
                </c:pt>
                <c:pt idx="8">
                  <c:v>4.0207653598319801E-3</c:v>
                </c:pt>
                <c:pt idx="9">
                  <c:v>7.9693366915834282E-3</c:v>
                </c:pt>
                <c:pt idx="10">
                  <c:v>0.62714436521927464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6957783891471399E-2"/>
          <c:y val="0.24133251122758342"/>
          <c:w val="0.82198804667488856"/>
          <c:h val="0.7584601396456998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Kyambogo-Spear Motors'!$C$9:$N$9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Kyambogo-Spear Motors'!$C$108:$N$108</c:f>
              <c:numCache>
                <c:formatCode>0.00%</c:formatCode>
                <c:ptCount val="12"/>
                <c:pt idx="0">
                  <c:v>0.38294996977085105</c:v>
                </c:pt>
                <c:pt idx="1">
                  <c:v>9.9341281162696041E-2</c:v>
                </c:pt>
                <c:pt idx="2">
                  <c:v>7.6367128072802853E-2</c:v>
                </c:pt>
                <c:pt idx="3">
                  <c:v>0.32409203886717747</c:v>
                </c:pt>
                <c:pt idx="4">
                  <c:v>1.5968103308609972E-2</c:v>
                </c:pt>
                <c:pt idx="5">
                  <c:v>8.5767800621969655E-3</c:v>
                </c:pt>
                <c:pt idx="6">
                  <c:v>3.8402873547321456E-2</c:v>
                </c:pt>
                <c:pt idx="7">
                  <c:v>2.2144333318844418E-2</c:v>
                </c:pt>
                <c:pt idx="8">
                  <c:v>1.0783705500914778E-2</c:v>
                </c:pt>
                <c:pt idx="9">
                  <c:v>2.1373786388584837E-2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Spear Motors-2Dir'!$C$9:$N$9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Spear Motors-2Dir'!$C$107:$N$107</c:f>
              <c:numCache>
                <c:formatCode>0.0%</c:formatCode>
                <c:ptCount val="12"/>
                <c:pt idx="0">
                  <c:v>0.14389254994735698</c:v>
                </c:pt>
                <c:pt idx="1">
                  <c:v>4.4139437881605875E-2</c:v>
                </c:pt>
                <c:pt idx="2">
                  <c:v>2.6993653694837846E-2</c:v>
                </c:pt>
                <c:pt idx="3">
                  <c:v>0.1219988059112623</c:v>
                </c:pt>
                <c:pt idx="4">
                  <c:v>6.0059375651499445E-3</c:v>
                </c:pt>
                <c:pt idx="5">
                  <c:v>2.4352535645192751E-3</c:v>
                </c:pt>
                <c:pt idx="6">
                  <c:v>1.4417612734156846E-2</c:v>
                </c:pt>
                <c:pt idx="7">
                  <c:v>8.6709672791290757E-3</c:v>
                </c:pt>
                <c:pt idx="8">
                  <c:v>4.3171762715587944E-3</c:v>
                </c:pt>
                <c:pt idx="9">
                  <c:v>8.3268634845721189E-3</c:v>
                </c:pt>
                <c:pt idx="10">
                  <c:v>0.61880174166585089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739E-2"/>
                  <c:y val="-3.2434080003295195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Spear Motors-2Dir'!$C$9:$N$9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Spear Motors-2Dir'!$C$108:$N$108</c:f>
              <c:numCache>
                <c:formatCode>0.00%</c:formatCode>
                <c:ptCount val="12"/>
                <c:pt idx="0">
                  <c:v>0.37747431107417145</c:v>
                </c:pt>
                <c:pt idx="1">
                  <c:v>0.11579128948410441</c:v>
                </c:pt>
                <c:pt idx="2">
                  <c:v>7.0812636481607086E-2</c:v>
                </c:pt>
                <c:pt idx="3">
                  <c:v>0.32004030250400867</c:v>
                </c:pt>
                <c:pt idx="4">
                  <c:v>1.5755417119155055E-2</c:v>
                </c:pt>
                <c:pt idx="5">
                  <c:v>6.3884173426222504E-3</c:v>
                </c:pt>
                <c:pt idx="6">
                  <c:v>3.7821822159320354E-2</c:v>
                </c:pt>
                <c:pt idx="7">
                  <c:v>2.274660780723798E-2</c:v>
                </c:pt>
                <c:pt idx="8">
                  <c:v>1.1325278059834321E-2</c:v>
                </c:pt>
                <c:pt idx="9">
                  <c:v>2.1843917967938338E-2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2205989512129785E-2"/>
          <c:y val="9.5768624478110825E-2"/>
          <c:w val="0.88636855234397283"/>
          <c:h val="0.65054452836231913"/>
        </c:manualLayout>
      </c:layout>
      <c:lineChart>
        <c:grouping val="standard"/>
        <c:varyColors val="0"/>
        <c:ser>
          <c:idx val="0"/>
          <c:order val="0"/>
          <c:tx>
            <c:strRef>
              <c:f>'Avg Week Spear Motors-2Dir'!$AE$9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Spear Motors-2Dir'!$R$10:$R$33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Spear Motors-2Dir'!$AE$10:$AE$33</c:f>
              <c:numCache>
                <c:formatCode>0</c:formatCode>
                <c:ptCount val="24"/>
                <c:pt idx="0">
                  <c:v>1115.4285714285716</c:v>
                </c:pt>
                <c:pt idx="1">
                  <c:v>1506.0238095238096</c:v>
                </c:pt>
                <c:pt idx="2">
                  <c:v>1461.5714285714287</c:v>
                </c:pt>
                <c:pt idx="3">
                  <c:v>1433.2857142857142</c:v>
                </c:pt>
                <c:pt idx="4">
                  <c:v>1408.7142857142856</c:v>
                </c:pt>
                <c:pt idx="5">
                  <c:v>1388.4285714285716</c:v>
                </c:pt>
                <c:pt idx="6">
                  <c:v>1410.5714285714284</c:v>
                </c:pt>
                <c:pt idx="7">
                  <c:v>1352.0000000000002</c:v>
                </c:pt>
                <c:pt idx="8">
                  <c:v>1448.8095238095239</c:v>
                </c:pt>
                <c:pt idx="9">
                  <c:v>1463.1428571428573</c:v>
                </c:pt>
                <c:pt idx="10">
                  <c:v>1579.1428571428569</c:v>
                </c:pt>
                <c:pt idx="11">
                  <c:v>1652.8571428571429</c:v>
                </c:pt>
                <c:pt idx="12">
                  <c:v>919.5</c:v>
                </c:pt>
                <c:pt idx="13">
                  <c:v>1077</c:v>
                </c:pt>
                <c:pt idx="14">
                  <c:v>890</c:v>
                </c:pt>
                <c:pt idx="15">
                  <c:v>690</c:v>
                </c:pt>
                <c:pt idx="16">
                  <c:v>668.5</c:v>
                </c:pt>
                <c:pt idx="17">
                  <c:v>572</c:v>
                </c:pt>
                <c:pt idx="18">
                  <c:v>400</c:v>
                </c:pt>
                <c:pt idx="19">
                  <c:v>319.5</c:v>
                </c:pt>
                <c:pt idx="20">
                  <c:v>237.5</c:v>
                </c:pt>
                <c:pt idx="21">
                  <c:v>254</c:v>
                </c:pt>
                <c:pt idx="22">
                  <c:v>356</c:v>
                </c:pt>
                <c:pt idx="23">
                  <c:v>688.5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16B-4E45-BB18-8995CC5A44E4}"/>
            </c:ext>
          </c:extLst>
        </c:ser>
        <c:ser>
          <c:idx val="1"/>
          <c:order val="1"/>
          <c:tx>
            <c:strRef>
              <c:f>'Avg Week Spear Motors-2Dir'!$AF$9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Spear Motors-2Dir'!$R$10:$R$33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Spear Motors-2Dir'!$AF$10:$AF$33</c:f>
              <c:numCache>
                <c:formatCode>0</c:formatCode>
                <c:ptCount val="24"/>
                <c:pt idx="0">
                  <c:v>2776.7142857142858</c:v>
                </c:pt>
                <c:pt idx="1">
                  <c:v>4022.7380952380954</c:v>
                </c:pt>
                <c:pt idx="2">
                  <c:v>3984.2857142857142</c:v>
                </c:pt>
                <c:pt idx="3">
                  <c:v>3692.8571428571431</c:v>
                </c:pt>
                <c:pt idx="4">
                  <c:v>3394.1428571428573</c:v>
                </c:pt>
                <c:pt idx="5">
                  <c:v>3281.2857142857142</c:v>
                </c:pt>
                <c:pt idx="6">
                  <c:v>3346</c:v>
                </c:pt>
                <c:pt idx="7">
                  <c:v>3247.0000000000005</c:v>
                </c:pt>
                <c:pt idx="8">
                  <c:v>3505.5238095238101</c:v>
                </c:pt>
                <c:pt idx="9">
                  <c:v>3434.1428571428578</c:v>
                </c:pt>
                <c:pt idx="10">
                  <c:v>3875.4285714285716</c:v>
                </c:pt>
                <c:pt idx="11">
                  <c:v>3905</c:v>
                </c:pt>
                <c:pt idx="12">
                  <c:v>3177</c:v>
                </c:pt>
                <c:pt idx="13">
                  <c:v>3409.5</c:v>
                </c:pt>
                <c:pt idx="14">
                  <c:v>2978</c:v>
                </c:pt>
                <c:pt idx="15">
                  <c:v>2200.5</c:v>
                </c:pt>
                <c:pt idx="16">
                  <c:v>1854</c:v>
                </c:pt>
                <c:pt idx="17">
                  <c:v>1457</c:v>
                </c:pt>
                <c:pt idx="18">
                  <c:v>1077.5</c:v>
                </c:pt>
                <c:pt idx="19">
                  <c:v>1021</c:v>
                </c:pt>
                <c:pt idx="20">
                  <c:v>880</c:v>
                </c:pt>
                <c:pt idx="21">
                  <c:v>814.5</c:v>
                </c:pt>
                <c:pt idx="22">
                  <c:v>1038.5</c:v>
                </c:pt>
                <c:pt idx="23">
                  <c:v>1354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16B-4E45-BB18-8995CC5A44E4}"/>
            </c:ext>
          </c:extLst>
        </c:ser>
        <c:ser>
          <c:idx val="5"/>
          <c:order val="2"/>
          <c:tx>
            <c:strRef>
              <c:f>'Avg Week Spear Motors-2Dir'!$AC$9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Spear Motors-2Dir'!$R$10:$R$33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Spear Motors-2Dir'!$AC$10:$AC$33</c:f>
              <c:numCache>
                <c:formatCode>0</c:formatCode>
                <c:ptCount val="24"/>
                <c:pt idx="0">
                  <c:v>1661.2857142857142</c:v>
                </c:pt>
                <c:pt idx="1">
                  <c:v>2516.7142857142858</c:v>
                </c:pt>
                <c:pt idx="2">
                  <c:v>2522.7142857142858</c:v>
                </c:pt>
                <c:pt idx="3">
                  <c:v>2259.5714285714284</c:v>
                </c:pt>
                <c:pt idx="4">
                  <c:v>1985.4285714285716</c:v>
                </c:pt>
                <c:pt idx="5">
                  <c:v>1892.8571428571427</c:v>
                </c:pt>
                <c:pt idx="6">
                  <c:v>1935.4285714285713</c:v>
                </c:pt>
                <c:pt idx="7">
                  <c:v>1895</c:v>
                </c:pt>
                <c:pt idx="8">
                  <c:v>2056.7142857142858</c:v>
                </c:pt>
                <c:pt idx="9">
                  <c:v>1971</c:v>
                </c:pt>
                <c:pt idx="10">
                  <c:v>2296.2857142857142</c:v>
                </c:pt>
                <c:pt idx="11">
                  <c:v>2252.1428571428569</c:v>
                </c:pt>
                <c:pt idx="12">
                  <c:v>2257.5</c:v>
                </c:pt>
                <c:pt idx="13">
                  <c:v>2332.5</c:v>
                </c:pt>
                <c:pt idx="14">
                  <c:v>2088</c:v>
                </c:pt>
                <c:pt idx="15">
                  <c:v>1510.5</c:v>
                </c:pt>
                <c:pt idx="16">
                  <c:v>1185.5</c:v>
                </c:pt>
                <c:pt idx="17">
                  <c:v>885</c:v>
                </c:pt>
                <c:pt idx="18">
                  <c:v>677.5</c:v>
                </c:pt>
                <c:pt idx="19">
                  <c:v>701.5</c:v>
                </c:pt>
                <c:pt idx="20">
                  <c:v>642.5</c:v>
                </c:pt>
                <c:pt idx="21">
                  <c:v>560.5</c:v>
                </c:pt>
                <c:pt idx="22">
                  <c:v>682.5</c:v>
                </c:pt>
                <c:pt idx="23">
                  <c:v>665.5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6B-4E45-BB18-8995CC5A4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Spear Motors-2Dir'!$S$9:$AF$9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Spear Motors-2Dir'!$S$41:$AF$41</c:f>
              <c:numCache>
                <c:formatCode>_(* #,##0_);_(* \(#,##0\);_(* "-"_);_(@_)</c:formatCode>
                <c:ptCount val="14"/>
                <c:pt idx="0">
                  <c:v>9169.7857142857138</c:v>
                </c:pt>
                <c:pt idx="1">
                  <c:v>2812.8571428571431</c:v>
                </c:pt>
                <c:pt idx="2">
                  <c:v>1720.2142857142858</c:v>
                </c:pt>
                <c:pt idx="3">
                  <c:v>7774.5714285714294</c:v>
                </c:pt>
                <c:pt idx="4">
                  <c:v>382.73809523809524</c:v>
                </c:pt>
                <c:pt idx="5">
                  <c:v>155.1904761904762</c:v>
                </c:pt>
                <c:pt idx="6">
                  <c:v>918.78571428571433</c:v>
                </c:pt>
                <c:pt idx="7">
                  <c:v>552.57142857142867</c:v>
                </c:pt>
                <c:pt idx="8">
                  <c:v>275.11904761904759</c:v>
                </c:pt>
                <c:pt idx="9">
                  <c:v>530.64285714285711</c:v>
                </c:pt>
                <c:pt idx="10">
                  <c:v>39434.142857142855</c:v>
                </c:pt>
                <c:pt idx="11" formatCode="0">
                  <c:v>0</c:v>
                </c:pt>
                <c:pt idx="12">
                  <c:v>24292.476190476187</c:v>
                </c:pt>
                <c:pt idx="13">
                  <c:v>63726.619047619046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C8-4771-BD2A-26ABCF017F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Spear Motors-2Dir'!$S$9:$AF$9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Spear Motors-2Dir'!$S$42:$AF$42</c:f>
              <c:numCache>
                <c:formatCode>0.000</c:formatCode>
                <c:ptCount val="14"/>
                <c:pt idx="0">
                  <c:v>1.4191890158968801</c:v>
                </c:pt>
                <c:pt idx="1">
                  <c:v>1.2337865781063977</c:v>
                </c:pt>
                <c:pt idx="2">
                  <c:v>1.2431860417096841</c:v>
                </c:pt>
                <c:pt idx="3">
                  <c:v>1.4457402438700422</c:v>
                </c:pt>
                <c:pt idx="4">
                  <c:v>1.6201370691392865</c:v>
                </c:pt>
                <c:pt idx="5">
                  <c:v>2.1647293258053804</c:v>
                </c:pt>
                <c:pt idx="6">
                  <c:v>1.5538777482483692</c:v>
                </c:pt>
                <c:pt idx="7">
                  <c:v>1.8142589118198875</c:v>
                </c:pt>
                <c:pt idx="8">
                  <c:v>1.7022687094873303</c:v>
                </c:pt>
                <c:pt idx="9">
                  <c:v>1.5068965517241377</c:v>
                </c:pt>
                <c:pt idx="10">
                  <c:v>1.5620487109260057</c:v>
                </c:pt>
                <c:pt idx="11" formatCode="0">
                  <c:v>0</c:v>
                </c:pt>
                <c:pt idx="12">
                  <c:v>1.4107148535961143</c:v>
                </c:pt>
                <c:pt idx="13">
                  <c:v>1.5006815117168992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1-403A-82B9-F5DD9E2BDC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4.xml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6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8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62.xml"/><Relationship Id="rId2" Type="http://schemas.openxmlformats.org/officeDocument/2006/relationships/image" Target="../media/image2.emf"/><Relationship Id="rId16" Type="http://schemas.openxmlformats.org/officeDocument/2006/relationships/chart" Target="../charts/chart61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60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58</xdr:row>
      <xdr:rowOff>279400</xdr:rowOff>
    </xdr:from>
    <xdr:to>
      <xdr:col>31</xdr:col>
      <xdr:colOff>555625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107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0528A59-0010-4D7E-82B3-4199F0C179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24</xdr:col>
      <xdr:colOff>15875</xdr:colOff>
      <xdr:row>75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22224</xdr:rowOff>
    </xdr:from>
    <xdr:to>
      <xdr:col>28</xdr:col>
      <xdr:colOff>15875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59</xdr:row>
      <xdr:rowOff>9525</xdr:rowOff>
    </xdr:from>
    <xdr:to>
      <xdr:col>31</xdr:col>
      <xdr:colOff>555625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24</xdr:col>
      <xdr:colOff>15875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74</xdr:row>
      <xdr:rowOff>263526</xdr:rowOff>
    </xdr:from>
    <xdr:to>
      <xdr:col>25</xdr:col>
      <xdr:colOff>0</xdr:colOff>
      <xdr:row>89</xdr:row>
      <xdr:rowOff>269876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</xdr:colOff>
      <xdr:row>59</xdr:row>
      <xdr:rowOff>285749</xdr:rowOff>
    </xdr:from>
    <xdr:to>
      <xdr:col>25</xdr:col>
      <xdr:colOff>15875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186414</xdr:colOff>
      <xdr:row>60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0</xdr:colOff>
      <xdr:row>60</xdr:row>
      <xdr:rowOff>1</xdr:rowOff>
    </xdr:from>
    <xdr:to>
      <xdr:col>31</xdr:col>
      <xdr:colOff>523875</xdr:colOff>
      <xdr:row>75</xdr:row>
      <xdr:rowOff>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75</xdr:row>
      <xdr:rowOff>15875</xdr:rowOff>
    </xdr:from>
    <xdr:to>
      <xdr:col>31</xdr:col>
      <xdr:colOff>698500</xdr:colOff>
      <xdr:row>89</xdr:row>
      <xdr:rowOff>269875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87" zoomScaleSheetLayoutView="87" workbookViewId="0">
      <selection activeCell="H3" sqref="H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1" t="s">
        <v>96</v>
      </c>
      <c r="C3" s="59" t="s">
        <v>175</v>
      </c>
      <c r="D3" s="59"/>
      <c r="E3" s="59"/>
      <c r="F3" s="59"/>
      <c r="G3" s="59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54" t="s">
        <v>165</v>
      </c>
      <c r="H5" s="55"/>
      <c r="I5" s="14"/>
      <c r="J5" s="2" t="s">
        <v>5</v>
      </c>
      <c r="K5" s="54" t="s">
        <v>174</v>
      </c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163</v>
      </c>
      <c r="E6" s="55"/>
      <c r="F6" s="2" t="s">
        <v>2</v>
      </c>
      <c r="G6" s="54" t="s">
        <v>164</v>
      </c>
      <c r="H6" s="55"/>
      <c r="J6" s="2" t="s">
        <v>21</v>
      </c>
      <c r="K6" s="54" t="s">
        <v>166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88</v>
      </c>
      <c r="D10" s="50">
        <v>35</v>
      </c>
      <c r="E10" s="50">
        <v>12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135</v>
      </c>
      <c r="P10" s="15">
        <f t="shared" ref="P10:P57" si="1">SUM(C10:N10)</f>
        <v>135</v>
      </c>
      <c r="R10" s="1" t="s">
        <v>6</v>
      </c>
      <c r="S10" s="17">
        <f t="shared" ref="S10:AF10" si="2">SUM(C10:C13)</f>
        <v>336</v>
      </c>
      <c r="T10" s="17">
        <f t="shared" si="2"/>
        <v>110</v>
      </c>
      <c r="U10" s="17">
        <f t="shared" si="2"/>
        <v>47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493</v>
      </c>
      <c r="AF10" s="31">
        <f t="shared" si="2"/>
        <v>493</v>
      </c>
    </row>
    <row r="11" spans="2:32" s="6" customFormat="1" ht="23.1" customHeight="1" x14ac:dyDescent="0.25">
      <c r="B11" s="23" t="s">
        <v>38</v>
      </c>
      <c r="C11" s="50">
        <v>75</v>
      </c>
      <c r="D11" s="50">
        <v>31</v>
      </c>
      <c r="E11" s="50">
        <v>9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115</v>
      </c>
      <c r="P11" s="15">
        <f t="shared" si="1"/>
        <v>115</v>
      </c>
      <c r="R11" s="1" t="s">
        <v>7</v>
      </c>
      <c r="S11" s="17">
        <f t="shared" ref="S11:AF11" si="3">SUM(C14:C17)</f>
        <v>399</v>
      </c>
      <c r="T11" s="17">
        <f t="shared" si="3"/>
        <v>272</v>
      </c>
      <c r="U11" s="17">
        <f t="shared" si="3"/>
        <v>140</v>
      </c>
      <c r="V11" s="17">
        <f t="shared" si="3"/>
        <v>170</v>
      </c>
      <c r="W11" s="17">
        <f t="shared" si="3"/>
        <v>345</v>
      </c>
      <c r="X11" s="17">
        <f t="shared" si="3"/>
        <v>5</v>
      </c>
      <c r="Y11" s="17">
        <f t="shared" si="3"/>
        <v>12</v>
      </c>
      <c r="Z11" s="17">
        <f t="shared" si="3"/>
        <v>5</v>
      </c>
      <c r="AA11" s="17">
        <f t="shared" si="3"/>
        <v>32</v>
      </c>
      <c r="AB11" s="17">
        <f t="shared" si="3"/>
        <v>29</v>
      </c>
      <c r="AC11" s="17">
        <f t="shared" si="3"/>
        <v>935</v>
      </c>
      <c r="AD11" s="17">
        <f t="shared" si="3"/>
        <v>0</v>
      </c>
      <c r="AE11" s="31">
        <f t="shared" si="3"/>
        <v>1409</v>
      </c>
      <c r="AF11" s="31">
        <f t="shared" si="3"/>
        <v>2344</v>
      </c>
    </row>
    <row r="12" spans="2:32" ht="23.1" customHeight="1" x14ac:dyDescent="0.25">
      <c r="B12" s="23" t="s">
        <v>39</v>
      </c>
      <c r="C12" s="50">
        <v>91</v>
      </c>
      <c r="D12" s="50">
        <v>19</v>
      </c>
      <c r="E12" s="50">
        <v>11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121</v>
      </c>
      <c r="P12" s="15">
        <f t="shared" si="1"/>
        <v>121</v>
      </c>
      <c r="R12" s="1" t="s">
        <v>8</v>
      </c>
      <c r="S12" s="17">
        <f t="shared" ref="S12:AF12" si="4">SUM(C18:C21)</f>
        <v>336</v>
      </c>
      <c r="T12" s="17">
        <f t="shared" si="4"/>
        <v>156</v>
      </c>
      <c r="U12" s="17">
        <f t="shared" si="4"/>
        <v>58</v>
      </c>
      <c r="V12" s="17">
        <f t="shared" si="4"/>
        <v>615</v>
      </c>
      <c r="W12" s="17">
        <f t="shared" si="4"/>
        <v>6</v>
      </c>
      <c r="X12" s="17">
        <f t="shared" si="4"/>
        <v>7</v>
      </c>
      <c r="Y12" s="17">
        <f t="shared" si="4"/>
        <v>12</v>
      </c>
      <c r="Z12" s="17">
        <f t="shared" si="4"/>
        <v>18</v>
      </c>
      <c r="AA12" s="17">
        <f t="shared" si="4"/>
        <v>22</v>
      </c>
      <c r="AB12" s="17">
        <f t="shared" si="4"/>
        <v>3</v>
      </c>
      <c r="AC12" s="17">
        <f t="shared" si="4"/>
        <v>1080</v>
      </c>
      <c r="AD12" s="17">
        <f t="shared" si="4"/>
        <v>0</v>
      </c>
      <c r="AE12" s="31">
        <f t="shared" si="4"/>
        <v>1233</v>
      </c>
      <c r="AF12" s="31">
        <f t="shared" si="4"/>
        <v>2313</v>
      </c>
    </row>
    <row r="13" spans="2:32" ht="23.1" customHeight="1" x14ac:dyDescent="0.25">
      <c r="B13" s="23" t="s">
        <v>40</v>
      </c>
      <c r="C13" s="50">
        <v>82</v>
      </c>
      <c r="D13" s="50">
        <v>25</v>
      </c>
      <c r="E13" s="50">
        <v>15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122</v>
      </c>
      <c r="P13" s="15">
        <f t="shared" si="1"/>
        <v>122</v>
      </c>
      <c r="R13" s="1" t="s">
        <v>9</v>
      </c>
      <c r="S13" s="17">
        <f t="shared" ref="S13:AF13" si="5">SUM(C22:C25)</f>
        <v>286</v>
      </c>
      <c r="T13" s="17">
        <f t="shared" si="5"/>
        <v>126</v>
      </c>
      <c r="U13" s="17">
        <f t="shared" si="5"/>
        <v>71</v>
      </c>
      <c r="V13" s="17">
        <f t="shared" si="5"/>
        <v>405</v>
      </c>
      <c r="W13" s="17">
        <f t="shared" si="5"/>
        <v>5</v>
      </c>
      <c r="X13" s="17">
        <f t="shared" si="5"/>
        <v>3</v>
      </c>
      <c r="Y13" s="17">
        <f t="shared" si="5"/>
        <v>9</v>
      </c>
      <c r="Z13" s="17">
        <f t="shared" si="5"/>
        <v>7</v>
      </c>
      <c r="AA13" s="17">
        <f t="shared" si="5"/>
        <v>29</v>
      </c>
      <c r="AB13" s="17">
        <f t="shared" si="5"/>
        <v>4</v>
      </c>
      <c r="AC13" s="17">
        <f t="shared" si="5"/>
        <v>815</v>
      </c>
      <c r="AD13" s="17">
        <f t="shared" si="5"/>
        <v>0</v>
      </c>
      <c r="AE13" s="31">
        <f t="shared" si="5"/>
        <v>945</v>
      </c>
      <c r="AF13" s="31">
        <f t="shared" si="5"/>
        <v>1760</v>
      </c>
    </row>
    <row r="14" spans="2:32" ht="23.1" customHeight="1" x14ac:dyDescent="0.25">
      <c r="B14" s="23" t="s">
        <v>41</v>
      </c>
      <c r="C14" s="50">
        <v>93</v>
      </c>
      <c r="D14" s="50">
        <v>79</v>
      </c>
      <c r="E14" s="50">
        <v>21</v>
      </c>
      <c r="F14" s="50">
        <v>60</v>
      </c>
      <c r="G14" s="50">
        <v>30</v>
      </c>
      <c r="H14" s="50">
        <v>0</v>
      </c>
      <c r="I14" s="50">
        <v>0</v>
      </c>
      <c r="J14" s="50">
        <v>0</v>
      </c>
      <c r="K14" s="50">
        <v>1</v>
      </c>
      <c r="L14" s="50">
        <v>0</v>
      </c>
      <c r="M14" s="50">
        <v>215</v>
      </c>
      <c r="N14" s="50">
        <v>0</v>
      </c>
      <c r="O14" s="15">
        <f t="shared" si="0"/>
        <v>284</v>
      </c>
      <c r="P14" s="15">
        <f t="shared" si="1"/>
        <v>499</v>
      </c>
      <c r="R14" s="1" t="s">
        <v>10</v>
      </c>
      <c r="S14" s="17">
        <f t="shared" ref="S14:AF14" si="6">SUM(C26:C29)</f>
        <v>246</v>
      </c>
      <c r="T14" s="17">
        <f t="shared" si="6"/>
        <v>107</v>
      </c>
      <c r="U14" s="17">
        <f t="shared" si="6"/>
        <v>63</v>
      </c>
      <c r="V14" s="17">
        <f t="shared" si="6"/>
        <v>485</v>
      </c>
      <c r="W14" s="17">
        <f t="shared" si="6"/>
        <v>3</v>
      </c>
      <c r="X14" s="17">
        <f t="shared" si="6"/>
        <v>3</v>
      </c>
      <c r="Y14" s="17">
        <f t="shared" si="6"/>
        <v>8</v>
      </c>
      <c r="Z14" s="17">
        <f t="shared" si="6"/>
        <v>8</v>
      </c>
      <c r="AA14" s="17">
        <f t="shared" si="6"/>
        <v>22</v>
      </c>
      <c r="AB14" s="17">
        <f t="shared" si="6"/>
        <v>3</v>
      </c>
      <c r="AC14" s="17">
        <f t="shared" si="6"/>
        <v>890</v>
      </c>
      <c r="AD14" s="17">
        <f t="shared" si="6"/>
        <v>0</v>
      </c>
      <c r="AE14" s="31">
        <f t="shared" si="6"/>
        <v>948</v>
      </c>
      <c r="AF14" s="31">
        <f t="shared" si="6"/>
        <v>1838</v>
      </c>
    </row>
    <row r="15" spans="2:32" ht="23.1" customHeight="1" x14ac:dyDescent="0.25">
      <c r="B15" s="23" t="s">
        <v>42</v>
      </c>
      <c r="C15" s="50">
        <v>100</v>
      </c>
      <c r="D15" s="50">
        <v>55</v>
      </c>
      <c r="E15" s="50">
        <v>40</v>
      </c>
      <c r="F15" s="50">
        <v>110</v>
      </c>
      <c r="G15" s="50">
        <v>30</v>
      </c>
      <c r="H15" s="50">
        <v>0</v>
      </c>
      <c r="I15" s="50">
        <v>2</v>
      </c>
      <c r="J15" s="50">
        <v>5</v>
      </c>
      <c r="K15" s="50">
        <v>15</v>
      </c>
      <c r="L15" s="50">
        <v>0</v>
      </c>
      <c r="M15" s="50">
        <v>175</v>
      </c>
      <c r="N15" s="50">
        <v>0</v>
      </c>
      <c r="O15" s="15">
        <f t="shared" si="0"/>
        <v>357</v>
      </c>
      <c r="P15" s="15">
        <f t="shared" si="1"/>
        <v>532</v>
      </c>
      <c r="R15" s="1" t="s">
        <v>11</v>
      </c>
      <c r="S15" s="17">
        <f t="shared" ref="S15:AF15" si="7">SUM(C30:C33)</f>
        <v>236</v>
      </c>
      <c r="T15" s="17">
        <f t="shared" si="7"/>
        <v>110</v>
      </c>
      <c r="U15" s="17">
        <f t="shared" si="7"/>
        <v>58</v>
      </c>
      <c r="V15" s="17">
        <f t="shared" si="7"/>
        <v>465</v>
      </c>
      <c r="W15" s="17">
        <f t="shared" si="7"/>
        <v>9</v>
      </c>
      <c r="X15" s="17">
        <f t="shared" si="7"/>
        <v>2</v>
      </c>
      <c r="Y15" s="17">
        <f t="shared" si="7"/>
        <v>15</v>
      </c>
      <c r="Z15" s="17">
        <f t="shared" si="7"/>
        <v>15</v>
      </c>
      <c r="AA15" s="17">
        <f t="shared" si="7"/>
        <v>24</v>
      </c>
      <c r="AB15" s="17">
        <f t="shared" si="7"/>
        <v>5</v>
      </c>
      <c r="AC15" s="17">
        <f t="shared" si="7"/>
        <v>835</v>
      </c>
      <c r="AD15" s="17">
        <f t="shared" si="7"/>
        <v>0</v>
      </c>
      <c r="AE15" s="31">
        <f t="shared" si="7"/>
        <v>939</v>
      </c>
      <c r="AF15" s="31">
        <f t="shared" si="7"/>
        <v>1774</v>
      </c>
    </row>
    <row r="16" spans="2:32" ht="23.1" customHeight="1" x14ac:dyDescent="0.25">
      <c r="B16" s="23" t="s">
        <v>43</v>
      </c>
      <c r="C16" s="50">
        <v>108</v>
      </c>
      <c r="D16" s="50">
        <v>73</v>
      </c>
      <c r="E16" s="50">
        <v>42</v>
      </c>
      <c r="F16" s="50">
        <v>0</v>
      </c>
      <c r="G16" s="50">
        <v>160</v>
      </c>
      <c r="H16" s="50">
        <v>0</v>
      </c>
      <c r="I16" s="50">
        <v>5</v>
      </c>
      <c r="J16" s="50">
        <v>0</v>
      </c>
      <c r="K16" s="50">
        <v>10</v>
      </c>
      <c r="L16" s="50">
        <v>10</v>
      </c>
      <c r="M16" s="50">
        <v>265</v>
      </c>
      <c r="N16" s="50">
        <v>0</v>
      </c>
      <c r="O16" s="15">
        <f t="shared" si="0"/>
        <v>408</v>
      </c>
      <c r="P16" s="15">
        <f t="shared" si="1"/>
        <v>673</v>
      </c>
      <c r="R16" s="1" t="s">
        <v>12</v>
      </c>
      <c r="S16" s="17">
        <f t="shared" ref="S16:AF16" si="8">SUM(C34:C37)</f>
        <v>194</v>
      </c>
      <c r="T16" s="17">
        <f t="shared" si="8"/>
        <v>86</v>
      </c>
      <c r="U16" s="17">
        <f t="shared" si="8"/>
        <v>49</v>
      </c>
      <c r="V16" s="17">
        <f t="shared" si="8"/>
        <v>333</v>
      </c>
      <c r="W16" s="17">
        <f t="shared" si="8"/>
        <v>16</v>
      </c>
      <c r="X16" s="17">
        <f t="shared" si="8"/>
        <v>7</v>
      </c>
      <c r="Y16" s="17">
        <f t="shared" si="8"/>
        <v>46</v>
      </c>
      <c r="Z16" s="17">
        <f t="shared" si="8"/>
        <v>13</v>
      </c>
      <c r="AA16" s="17">
        <f t="shared" si="8"/>
        <v>29</v>
      </c>
      <c r="AB16" s="17">
        <f t="shared" si="8"/>
        <v>14</v>
      </c>
      <c r="AC16" s="17">
        <f t="shared" si="8"/>
        <v>875</v>
      </c>
      <c r="AD16" s="17">
        <f t="shared" si="8"/>
        <v>0</v>
      </c>
      <c r="AE16" s="31">
        <f t="shared" si="8"/>
        <v>787</v>
      </c>
      <c r="AF16" s="31">
        <f t="shared" si="8"/>
        <v>1662</v>
      </c>
    </row>
    <row r="17" spans="2:32" ht="23.1" customHeight="1" x14ac:dyDescent="0.25">
      <c r="B17" s="23" t="s">
        <v>44</v>
      </c>
      <c r="C17" s="50">
        <v>98</v>
      </c>
      <c r="D17" s="50">
        <v>65</v>
      </c>
      <c r="E17" s="50">
        <v>37</v>
      </c>
      <c r="F17" s="50">
        <v>0</v>
      </c>
      <c r="G17" s="50">
        <v>125</v>
      </c>
      <c r="H17" s="50">
        <v>5</v>
      </c>
      <c r="I17" s="50">
        <v>5</v>
      </c>
      <c r="J17" s="50">
        <v>0</v>
      </c>
      <c r="K17" s="50">
        <v>6</v>
      </c>
      <c r="L17" s="50">
        <v>19</v>
      </c>
      <c r="M17" s="50">
        <v>280</v>
      </c>
      <c r="N17" s="50">
        <v>0</v>
      </c>
      <c r="O17" s="15">
        <f t="shared" si="0"/>
        <v>360</v>
      </c>
      <c r="P17" s="15">
        <f t="shared" si="1"/>
        <v>640</v>
      </c>
      <c r="R17" s="1" t="s">
        <v>13</v>
      </c>
      <c r="S17" s="17">
        <f t="shared" ref="S17:AF17" si="9">SUM(C38:C41)</f>
        <v>244</v>
      </c>
      <c r="T17" s="17">
        <f t="shared" si="9"/>
        <v>107</v>
      </c>
      <c r="U17" s="17">
        <f t="shared" si="9"/>
        <v>57</v>
      </c>
      <c r="V17" s="17">
        <f t="shared" si="9"/>
        <v>244</v>
      </c>
      <c r="W17" s="17">
        <f t="shared" si="9"/>
        <v>7</v>
      </c>
      <c r="X17" s="17">
        <f t="shared" si="9"/>
        <v>2</v>
      </c>
      <c r="Y17" s="17">
        <f t="shared" si="9"/>
        <v>68</v>
      </c>
      <c r="Z17" s="17">
        <f t="shared" si="9"/>
        <v>1</v>
      </c>
      <c r="AA17" s="17">
        <f t="shared" si="9"/>
        <v>26</v>
      </c>
      <c r="AB17" s="17">
        <f t="shared" si="9"/>
        <v>9</v>
      </c>
      <c r="AC17" s="17">
        <f t="shared" si="9"/>
        <v>948</v>
      </c>
      <c r="AD17" s="17">
        <f t="shared" si="9"/>
        <v>0</v>
      </c>
      <c r="AE17" s="31">
        <f t="shared" si="9"/>
        <v>765</v>
      </c>
      <c r="AF17" s="31">
        <f t="shared" si="9"/>
        <v>1713</v>
      </c>
    </row>
    <row r="18" spans="2:32" ht="23.1" customHeight="1" x14ac:dyDescent="0.25">
      <c r="B18" s="23" t="s">
        <v>45</v>
      </c>
      <c r="C18" s="50">
        <v>106</v>
      </c>
      <c r="D18" s="50">
        <v>43</v>
      </c>
      <c r="E18" s="50">
        <v>29</v>
      </c>
      <c r="F18" s="50">
        <v>130</v>
      </c>
      <c r="G18" s="50">
        <v>2</v>
      </c>
      <c r="H18" s="50">
        <v>5</v>
      </c>
      <c r="I18" s="50">
        <v>5</v>
      </c>
      <c r="J18" s="50">
        <v>5</v>
      </c>
      <c r="K18" s="50">
        <v>5</v>
      </c>
      <c r="L18" s="50">
        <v>0</v>
      </c>
      <c r="M18" s="50">
        <v>360</v>
      </c>
      <c r="N18" s="50">
        <v>0</v>
      </c>
      <c r="O18" s="15">
        <f t="shared" si="0"/>
        <v>330</v>
      </c>
      <c r="P18" s="15">
        <f t="shared" si="1"/>
        <v>690</v>
      </c>
      <c r="R18" s="1" t="s">
        <v>14</v>
      </c>
      <c r="S18" s="17">
        <f t="shared" ref="S18:AF18" si="10">SUM(C42:C45)</f>
        <v>247</v>
      </c>
      <c r="T18" s="17">
        <f t="shared" si="10"/>
        <v>113</v>
      </c>
      <c r="U18" s="17">
        <f t="shared" si="10"/>
        <v>42</v>
      </c>
      <c r="V18" s="17">
        <f t="shared" si="10"/>
        <v>278</v>
      </c>
      <c r="W18" s="17">
        <f t="shared" si="10"/>
        <v>11</v>
      </c>
      <c r="X18" s="17">
        <f t="shared" si="10"/>
        <v>2</v>
      </c>
      <c r="Y18" s="17">
        <f t="shared" si="10"/>
        <v>56</v>
      </c>
      <c r="Z18" s="17">
        <f t="shared" si="10"/>
        <v>4</v>
      </c>
      <c r="AA18" s="17">
        <f t="shared" si="10"/>
        <v>21</v>
      </c>
      <c r="AB18" s="17">
        <f t="shared" si="10"/>
        <v>18</v>
      </c>
      <c r="AC18" s="17">
        <f t="shared" si="10"/>
        <v>1135</v>
      </c>
      <c r="AD18" s="17">
        <f t="shared" si="10"/>
        <v>0</v>
      </c>
      <c r="AE18" s="31">
        <f t="shared" si="10"/>
        <v>792</v>
      </c>
      <c r="AF18" s="31">
        <f t="shared" si="10"/>
        <v>1927</v>
      </c>
    </row>
    <row r="19" spans="2:32" ht="23.1" customHeight="1" x14ac:dyDescent="0.25">
      <c r="B19" s="23" t="s">
        <v>46</v>
      </c>
      <c r="C19" s="50">
        <v>79</v>
      </c>
      <c r="D19" s="50">
        <v>49</v>
      </c>
      <c r="E19" s="50">
        <v>12</v>
      </c>
      <c r="F19" s="50">
        <v>145</v>
      </c>
      <c r="G19" s="50">
        <v>0</v>
      </c>
      <c r="H19" s="50">
        <v>2</v>
      </c>
      <c r="I19" s="50">
        <v>2</v>
      </c>
      <c r="J19" s="50">
        <v>8</v>
      </c>
      <c r="K19" s="50">
        <v>5</v>
      </c>
      <c r="L19" s="50">
        <v>1</v>
      </c>
      <c r="M19" s="50">
        <v>260</v>
      </c>
      <c r="N19" s="50">
        <v>0</v>
      </c>
      <c r="O19" s="15">
        <f t="shared" si="0"/>
        <v>303</v>
      </c>
      <c r="P19" s="15">
        <f t="shared" si="1"/>
        <v>563</v>
      </c>
      <c r="R19" s="1" t="s">
        <v>15</v>
      </c>
      <c r="S19" s="17">
        <f t="shared" ref="S19:AF19" si="11">SUM(C46:C49)</f>
        <v>315</v>
      </c>
      <c r="T19" s="17">
        <f t="shared" si="11"/>
        <v>123</v>
      </c>
      <c r="U19" s="17">
        <f t="shared" si="11"/>
        <v>66</v>
      </c>
      <c r="V19" s="17">
        <f t="shared" si="11"/>
        <v>327</v>
      </c>
      <c r="W19" s="17">
        <f t="shared" si="11"/>
        <v>9</v>
      </c>
      <c r="X19" s="17">
        <f t="shared" si="11"/>
        <v>4</v>
      </c>
      <c r="Y19" s="17">
        <f t="shared" si="11"/>
        <v>63</v>
      </c>
      <c r="Z19" s="17">
        <f t="shared" si="11"/>
        <v>2</v>
      </c>
      <c r="AA19" s="17">
        <f t="shared" si="11"/>
        <v>22</v>
      </c>
      <c r="AB19" s="17">
        <f t="shared" si="11"/>
        <v>12</v>
      </c>
      <c r="AC19" s="17">
        <f t="shared" si="11"/>
        <v>1010</v>
      </c>
      <c r="AD19" s="17">
        <f t="shared" si="11"/>
        <v>0</v>
      </c>
      <c r="AE19" s="31">
        <f t="shared" si="11"/>
        <v>943</v>
      </c>
      <c r="AF19" s="31">
        <f t="shared" si="11"/>
        <v>1953</v>
      </c>
    </row>
    <row r="20" spans="2:32" ht="23.1" customHeight="1" x14ac:dyDescent="0.25">
      <c r="B20" s="23" t="s">
        <v>47</v>
      </c>
      <c r="C20" s="50">
        <v>81</v>
      </c>
      <c r="D20" s="50">
        <v>30</v>
      </c>
      <c r="E20" s="50">
        <v>9</v>
      </c>
      <c r="F20" s="50">
        <v>165</v>
      </c>
      <c r="G20" s="50">
        <v>2</v>
      </c>
      <c r="H20" s="50">
        <v>0</v>
      </c>
      <c r="I20" s="50">
        <v>2</v>
      </c>
      <c r="J20" s="50">
        <v>5</v>
      </c>
      <c r="K20" s="50">
        <v>8</v>
      </c>
      <c r="L20" s="50">
        <v>0</v>
      </c>
      <c r="M20" s="50">
        <v>240</v>
      </c>
      <c r="N20" s="50">
        <v>0</v>
      </c>
      <c r="O20" s="15">
        <f t="shared" si="0"/>
        <v>302</v>
      </c>
      <c r="P20" s="15">
        <f t="shared" si="1"/>
        <v>542</v>
      </c>
      <c r="R20" s="1" t="s">
        <v>16</v>
      </c>
      <c r="S20" s="17">
        <f t="shared" ref="S20:AF20" si="12">SUM(C50:C53)</f>
        <v>352</v>
      </c>
      <c r="T20" s="17">
        <f t="shared" si="12"/>
        <v>195</v>
      </c>
      <c r="U20" s="17">
        <f t="shared" si="12"/>
        <v>73</v>
      </c>
      <c r="V20" s="17">
        <f t="shared" si="12"/>
        <v>162</v>
      </c>
      <c r="W20" s="17">
        <f t="shared" si="12"/>
        <v>1</v>
      </c>
      <c r="X20" s="17">
        <f t="shared" si="12"/>
        <v>0</v>
      </c>
      <c r="Y20" s="17">
        <f t="shared" si="12"/>
        <v>34</v>
      </c>
      <c r="Z20" s="17">
        <f t="shared" si="12"/>
        <v>0</v>
      </c>
      <c r="AA20" s="17">
        <f t="shared" si="12"/>
        <v>18</v>
      </c>
      <c r="AB20" s="17">
        <f t="shared" si="12"/>
        <v>8</v>
      </c>
      <c r="AC20" s="17">
        <f t="shared" si="12"/>
        <v>1203</v>
      </c>
      <c r="AD20" s="17">
        <f t="shared" si="12"/>
        <v>0</v>
      </c>
      <c r="AE20" s="31">
        <f t="shared" si="12"/>
        <v>843</v>
      </c>
      <c r="AF20" s="31">
        <f t="shared" si="12"/>
        <v>2046</v>
      </c>
    </row>
    <row r="21" spans="2:32" ht="23.1" customHeight="1" x14ac:dyDescent="0.25">
      <c r="B21" s="23" t="s">
        <v>48</v>
      </c>
      <c r="C21" s="50">
        <v>70</v>
      </c>
      <c r="D21" s="50">
        <v>34</v>
      </c>
      <c r="E21" s="50">
        <v>8</v>
      </c>
      <c r="F21" s="50">
        <v>175</v>
      </c>
      <c r="G21" s="50">
        <v>2</v>
      </c>
      <c r="H21" s="50">
        <v>0</v>
      </c>
      <c r="I21" s="50">
        <v>3</v>
      </c>
      <c r="J21" s="50">
        <v>0</v>
      </c>
      <c r="K21" s="50">
        <v>4</v>
      </c>
      <c r="L21" s="50">
        <v>2</v>
      </c>
      <c r="M21" s="50">
        <v>220</v>
      </c>
      <c r="N21" s="50">
        <v>0</v>
      </c>
      <c r="O21" s="15">
        <f t="shared" si="0"/>
        <v>298</v>
      </c>
      <c r="P21" s="15">
        <f t="shared" si="1"/>
        <v>518</v>
      </c>
      <c r="R21" s="36" t="s">
        <v>20</v>
      </c>
      <c r="S21" s="34">
        <f t="shared" ref="S21:AF21" si="13">SUM(C54:C57)</f>
        <v>470</v>
      </c>
      <c r="T21" s="17">
        <f t="shared" si="13"/>
        <v>132</v>
      </c>
      <c r="U21" s="17">
        <f t="shared" si="13"/>
        <v>44</v>
      </c>
      <c r="V21" s="17">
        <f t="shared" si="13"/>
        <v>136</v>
      </c>
      <c r="W21" s="17">
        <f t="shared" si="13"/>
        <v>6</v>
      </c>
      <c r="X21" s="17">
        <f t="shared" si="13"/>
        <v>2</v>
      </c>
      <c r="Y21" s="17">
        <f t="shared" si="13"/>
        <v>27</v>
      </c>
      <c r="Z21" s="17">
        <f t="shared" si="13"/>
        <v>0</v>
      </c>
      <c r="AA21" s="17">
        <f t="shared" si="13"/>
        <v>4</v>
      </c>
      <c r="AB21" s="17">
        <f t="shared" si="13"/>
        <v>1</v>
      </c>
      <c r="AC21" s="17">
        <f t="shared" si="13"/>
        <v>1155</v>
      </c>
      <c r="AD21" s="17">
        <f t="shared" si="13"/>
        <v>0</v>
      </c>
      <c r="AE21" s="31">
        <f t="shared" si="13"/>
        <v>822</v>
      </c>
      <c r="AF21" s="31">
        <f t="shared" si="13"/>
        <v>1977</v>
      </c>
    </row>
    <row r="22" spans="2:32" ht="23.1" customHeight="1" x14ac:dyDescent="0.25">
      <c r="B22" s="23" t="s">
        <v>49</v>
      </c>
      <c r="C22" s="50">
        <v>68</v>
      </c>
      <c r="D22" s="50">
        <v>27</v>
      </c>
      <c r="E22" s="50">
        <v>22</v>
      </c>
      <c r="F22" s="50">
        <v>140</v>
      </c>
      <c r="G22" s="50">
        <v>3</v>
      </c>
      <c r="H22" s="50">
        <v>1</v>
      </c>
      <c r="I22" s="50">
        <v>0</v>
      </c>
      <c r="J22" s="50">
        <v>2</v>
      </c>
      <c r="K22" s="50">
        <v>6</v>
      </c>
      <c r="L22" s="50">
        <v>2</v>
      </c>
      <c r="M22" s="50">
        <v>260</v>
      </c>
      <c r="N22" s="50">
        <v>0</v>
      </c>
      <c r="O22" s="15">
        <f t="shared" si="0"/>
        <v>271</v>
      </c>
      <c r="P22" s="15">
        <f t="shared" si="1"/>
        <v>531</v>
      </c>
      <c r="R22" s="38" t="s">
        <v>90</v>
      </c>
      <c r="S22" s="39">
        <f>MAX(S10:S12)</f>
        <v>399</v>
      </c>
      <c r="T22" s="39">
        <f t="shared" ref="T22:AF22" si="14">MAX(T10:T12)</f>
        <v>272</v>
      </c>
      <c r="U22" s="39">
        <f t="shared" si="14"/>
        <v>140</v>
      </c>
      <c r="V22" s="39">
        <f t="shared" si="14"/>
        <v>615</v>
      </c>
      <c r="W22" s="39">
        <f t="shared" si="14"/>
        <v>345</v>
      </c>
      <c r="X22" s="39">
        <f t="shared" si="14"/>
        <v>7</v>
      </c>
      <c r="Y22" s="39">
        <f t="shared" si="14"/>
        <v>12</v>
      </c>
      <c r="Z22" s="39">
        <f t="shared" si="14"/>
        <v>18</v>
      </c>
      <c r="AA22" s="39">
        <f t="shared" si="14"/>
        <v>32</v>
      </c>
      <c r="AB22" s="39">
        <f t="shared" si="14"/>
        <v>29</v>
      </c>
      <c r="AC22" s="39">
        <f t="shared" si="14"/>
        <v>1080</v>
      </c>
      <c r="AD22" s="39">
        <f t="shared" si="14"/>
        <v>0</v>
      </c>
      <c r="AE22" s="40">
        <f t="shared" si="14"/>
        <v>1409</v>
      </c>
      <c r="AF22" s="40">
        <f t="shared" si="14"/>
        <v>2344</v>
      </c>
    </row>
    <row r="23" spans="2:32" ht="23.1" customHeight="1" x14ac:dyDescent="0.25">
      <c r="B23" s="23" t="s">
        <v>50</v>
      </c>
      <c r="C23" s="50">
        <v>50</v>
      </c>
      <c r="D23" s="50">
        <v>28</v>
      </c>
      <c r="E23" s="50">
        <v>19</v>
      </c>
      <c r="F23" s="50">
        <v>130</v>
      </c>
      <c r="G23" s="50">
        <v>1</v>
      </c>
      <c r="H23" s="50">
        <v>1</v>
      </c>
      <c r="I23" s="50">
        <v>6</v>
      </c>
      <c r="J23" s="50">
        <v>1</v>
      </c>
      <c r="K23" s="50">
        <v>11</v>
      </c>
      <c r="L23" s="50">
        <v>0</v>
      </c>
      <c r="M23" s="50">
        <v>145</v>
      </c>
      <c r="N23" s="50">
        <v>0</v>
      </c>
      <c r="O23" s="15">
        <f t="shared" si="0"/>
        <v>247</v>
      </c>
      <c r="P23" s="15">
        <f t="shared" si="1"/>
        <v>392</v>
      </c>
      <c r="R23" s="38" t="s">
        <v>91</v>
      </c>
      <c r="S23" s="39">
        <f>MAX(S13:S18)</f>
        <v>286</v>
      </c>
      <c r="T23" s="39">
        <f t="shared" ref="T23:AF23" si="15">MAX(T13:T18)</f>
        <v>126</v>
      </c>
      <c r="U23" s="39">
        <f t="shared" si="15"/>
        <v>71</v>
      </c>
      <c r="V23" s="39">
        <f t="shared" si="15"/>
        <v>485</v>
      </c>
      <c r="W23" s="39">
        <f t="shared" si="15"/>
        <v>16</v>
      </c>
      <c r="X23" s="39">
        <f t="shared" si="15"/>
        <v>7</v>
      </c>
      <c r="Y23" s="39">
        <f t="shared" si="15"/>
        <v>68</v>
      </c>
      <c r="Z23" s="39">
        <f t="shared" si="15"/>
        <v>15</v>
      </c>
      <c r="AA23" s="39">
        <f t="shared" si="15"/>
        <v>29</v>
      </c>
      <c r="AB23" s="39">
        <f t="shared" si="15"/>
        <v>18</v>
      </c>
      <c r="AC23" s="39">
        <f t="shared" si="15"/>
        <v>1135</v>
      </c>
      <c r="AD23" s="39">
        <f t="shared" si="15"/>
        <v>0</v>
      </c>
      <c r="AE23" s="40">
        <f t="shared" si="15"/>
        <v>948</v>
      </c>
      <c r="AF23" s="40">
        <f t="shared" si="15"/>
        <v>1927</v>
      </c>
    </row>
    <row r="24" spans="2:32" ht="23.1" customHeight="1" x14ac:dyDescent="0.25">
      <c r="B24" s="23" t="s">
        <v>51</v>
      </c>
      <c r="C24" s="50">
        <v>71</v>
      </c>
      <c r="D24" s="50">
        <v>30</v>
      </c>
      <c r="E24" s="50">
        <v>18</v>
      </c>
      <c r="F24" s="50">
        <v>75</v>
      </c>
      <c r="G24" s="50">
        <v>1</v>
      </c>
      <c r="H24" s="50">
        <v>1</v>
      </c>
      <c r="I24" s="50">
        <v>3</v>
      </c>
      <c r="J24" s="50">
        <v>2</v>
      </c>
      <c r="K24" s="50">
        <v>7</v>
      </c>
      <c r="L24" s="50">
        <v>0</v>
      </c>
      <c r="M24" s="50">
        <v>195</v>
      </c>
      <c r="N24" s="50">
        <v>0</v>
      </c>
      <c r="O24" s="15">
        <f t="shared" si="0"/>
        <v>208</v>
      </c>
      <c r="P24" s="15">
        <f t="shared" si="1"/>
        <v>403</v>
      </c>
      <c r="R24" s="38" t="s">
        <v>92</v>
      </c>
      <c r="S24" s="39">
        <f>MAX(S19:S21)</f>
        <v>470</v>
      </c>
      <c r="T24" s="39">
        <f t="shared" ref="T24:AF24" si="16">MAX(T19:T21)</f>
        <v>195</v>
      </c>
      <c r="U24" s="39">
        <f t="shared" si="16"/>
        <v>73</v>
      </c>
      <c r="V24" s="39">
        <f t="shared" si="16"/>
        <v>327</v>
      </c>
      <c r="W24" s="39">
        <f t="shared" si="16"/>
        <v>9</v>
      </c>
      <c r="X24" s="39">
        <f t="shared" si="16"/>
        <v>4</v>
      </c>
      <c r="Y24" s="39">
        <f t="shared" si="16"/>
        <v>63</v>
      </c>
      <c r="Z24" s="39">
        <f t="shared" si="16"/>
        <v>2</v>
      </c>
      <c r="AA24" s="39">
        <f t="shared" si="16"/>
        <v>22</v>
      </c>
      <c r="AB24" s="39">
        <f t="shared" si="16"/>
        <v>12</v>
      </c>
      <c r="AC24" s="39">
        <f t="shared" si="16"/>
        <v>1203</v>
      </c>
      <c r="AD24" s="39">
        <f t="shared" si="16"/>
        <v>0</v>
      </c>
      <c r="AE24" s="40">
        <f t="shared" si="16"/>
        <v>943</v>
      </c>
      <c r="AF24" s="40">
        <f t="shared" si="16"/>
        <v>2046</v>
      </c>
    </row>
    <row r="25" spans="2:32" ht="23.1" customHeight="1" x14ac:dyDescent="0.25">
      <c r="B25" s="23" t="s">
        <v>52</v>
      </c>
      <c r="C25" s="50">
        <v>97</v>
      </c>
      <c r="D25" s="50">
        <v>41</v>
      </c>
      <c r="E25" s="50">
        <v>12</v>
      </c>
      <c r="F25" s="50">
        <v>60</v>
      </c>
      <c r="G25" s="50">
        <v>0</v>
      </c>
      <c r="H25" s="50">
        <v>0</v>
      </c>
      <c r="I25" s="50">
        <v>0</v>
      </c>
      <c r="J25" s="50">
        <v>2</v>
      </c>
      <c r="K25" s="50">
        <v>5</v>
      </c>
      <c r="L25" s="50">
        <v>2</v>
      </c>
      <c r="M25" s="50">
        <v>215</v>
      </c>
      <c r="N25" s="50">
        <v>0</v>
      </c>
      <c r="O25" s="15">
        <f t="shared" si="0"/>
        <v>219</v>
      </c>
      <c r="P25" s="15">
        <f t="shared" si="1"/>
        <v>434</v>
      </c>
      <c r="R25" s="37" t="s">
        <v>85</v>
      </c>
      <c r="S25" s="35">
        <f t="shared" ref="S25:AF25" si="17">SUM(S10:S12)</f>
        <v>1071</v>
      </c>
      <c r="T25" s="16">
        <f t="shared" si="17"/>
        <v>538</v>
      </c>
      <c r="U25" s="16">
        <f t="shared" si="17"/>
        <v>245</v>
      </c>
      <c r="V25" s="16">
        <f t="shared" si="17"/>
        <v>785</v>
      </c>
      <c r="W25" s="16">
        <f t="shared" si="17"/>
        <v>351</v>
      </c>
      <c r="X25" s="16">
        <f t="shared" si="17"/>
        <v>12</v>
      </c>
      <c r="Y25" s="16">
        <f t="shared" si="17"/>
        <v>24</v>
      </c>
      <c r="Z25" s="16">
        <f t="shared" si="17"/>
        <v>23</v>
      </c>
      <c r="AA25" s="16">
        <f t="shared" si="17"/>
        <v>54</v>
      </c>
      <c r="AB25" s="16">
        <f t="shared" si="17"/>
        <v>32</v>
      </c>
      <c r="AC25" s="16">
        <f t="shared" si="17"/>
        <v>2015</v>
      </c>
      <c r="AD25" s="16">
        <f t="shared" si="17"/>
        <v>0</v>
      </c>
      <c r="AE25" s="32">
        <f t="shared" si="17"/>
        <v>3135</v>
      </c>
      <c r="AF25" s="32">
        <f t="shared" si="17"/>
        <v>5150</v>
      </c>
    </row>
    <row r="26" spans="2:32" ht="23.1" customHeight="1" x14ac:dyDescent="0.25">
      <c r="B26" s="23" t="s">
        <v>53</v>
      </c>
      <c r="C26" s="50">
        <v>63</v>
      </c>
      <c r="D26" s="50">
        <v>25</v>
      </c>
      <c r="E26" s="50">
        <v>12</v>
      </c>
      <c r="F26" s="50">
        <v>130</v>
      </c>
      <c r="G26" s="50">
        <v>3</v>
      </c>
      <c r="H26" s="50">
        <v>0</v>
      </c>
      <c r="I26" s="50">
        <v>3</v>
      </c>
      <c r="J26" s="50">
        <v>0</v>
      </c>
      <c r="K26" s="50">
        <v>12</v>
      </c>
      <c r="L26" s="50">
        <v>2</v>
      </c>
      <c r="M26" s="50">
        <v>180</v>
      </c>
      <c r="N26" s="50">
        <v>0</v>
      </c>
      <c r="O26" s="15">
        <f t="shared" si="0"/>
        <v>250</v>
      </c>
      <c r="P26" s="15">
        <f t="shared" si="1"/>
        <v>430</v>
      </c>
      <c r="R26" s="28" t="s">
        <v>86</v>
      </c>
      <c r="S26" s="16">
        <f t="shared" ref="S26:AF26" si="18">SUM(S13:S18)</f>
        <v>1453</v>
      </c>
      <c r="T26" s="16">
        <f t="shared" si="18"/>
        <v>649</v>
      </c>
      <c r="U26" s="16">
        <f t="shared" si="18"/>
        <v>340</v>
      </c>
      <c r="V26" s="16">
        <f t="shared" si="18"/>
        <v>2210</v>
      </c>
      <c r="W26" s="16">
        <f t="shared" si="18"/>
        <v>51</v>
      </c>
      <c r="X26" s="16">
        <f t="shared" si="18"/>
        <v>19</v>
      </c>
      <c r="Y26" s="16">
        <f t="shared" si="18"/>
        <v>202</v>
      </c>
      <c r="Z26" s="16">
        <f t="shared" si="18"/>
        <v>48</v>
      </c>
      <c r="AA26" s="16">
        <f t="shared" si="18"/>
        <v>151</v>
      </c>
      <c r="AB26" s="16">
        <f t="shared" si="18"/>
        <v>53</v>
      </c>
      <c r="AC26" s="16">
        <f t="shared" si="18"/>
        <v>5498</v>
      </c>
      <c r="AD26" s="16">
        <f t="shared" si="18"/>
        <v>0</v>
      </c>
      <c r="AE26" s="32">
        <f t="shared" si="18"/>
        <v>5176</v>
      </c>
      <c r="AF26" s="32">
        <f t="shared" si="18"/>
        <v>10674</v>
      </c>
    </row>
    <row r="27" spans="2:32" ht="23.1" customHeight="1" x14ac:dyDescent="0.25">
      <c r="B27" s="23" t="s">
        <v>54</v>
      </c>
      <c r="C27" s="50">
        <v>69</v>
      </c>
      <c r="D27" s="50">
        <v>33</v>
      </c>
      <c r="E27" s="50">
        <v>19</v>
      </c>
      <c r="F27" s="50">
        <v>125</v>
      </c>
      <c r="G27" s="50">
        <v>0</v>
      </c>
      <c r="H27" s="50">
        <v>1</v>
      </c>
      <c r="I27" s="50">
        <v>5</v>
      </c>
      <c r="J27" s="50">
        <v>2</v>
      </c>
      <c r="K27" s="50">
        <v>3</v>
      </c>
      <c r="L27" s="50">
        <v>0</v>
      </c>
      <c r="M27" s="50">
        <v>225</v>
      </c>
      <c r="N27" s="50">
        <v>0</v>
      </c>
      <c r="O27" s="15">
        <f t="shared" si="0"/>
        <v>257</v>
      </c>
      <c r="P27" s="15">
        <f t="shared" si="1"/>
        <v>482</v>
      </c>
      <c r="R27" s="29" t="s">
        <v>87</v>
      </c>
      <c r="S27" s="16">
        <f t="shared" ref="S27:AF27" si="19">SUM(S19:S21)</f>
        <v>1137</v>
      </c>
      <c r="T27" s="16">
        <f t="shared" si="19"/>
        <v>450</v>
      </c>
      <c r="U27" s="16">
        <f t="shared" si="19"/>
        <v>183</v>
      </c>
      <c r="V27" s="16">
        <f t="shared" si="19"/>
        <v>625</v>
      </c>
      <c r="W27" s="16">
        <f t="shared" si="19"/>
        <v>16</v>
      </c>
      <c r="X27" s="16">
        <f t="shared" si="19"/>
        <v>6</v>
      </c>
      <c r="Y27" s="16">
        <f t="shared" si="19"/>
        <v>124</v>
      </c>
      <c r="Z27" s="16">
        <f t="shared" si="19"/>
        <v>2</v>
      </c>
      <c r="AA27" s="16">
        <f t="shared" si="19"/>
        <v>44</v>
      </c>
      <c r="AB27" s="16">
        <f t="shared" si="19"/>
        <v>21</v>
      </c>
      <c r="AC27" s="16">
        <f t="shared" si="19"/>
        <v>3368</v>
      </c>
      <c r="AD27" s="16">
        <f t="shared" si="19"/>
        <v>0</v>
      </c>
      <c r="AE27" s="32">
        <f t="shared" si="19"/>
        <v>2608</v>
      </c>
      <c r="AF27" s="32">
        <f t="shared" si="19"/>
        <v>5976</v>
      </c>
    </row>
    <row r="28" spans="2:32" ht="23.1" customHeight="1" x14ac:dyDescent="0.25">
      <c r="B28" s="23" t="s">
        <v>55</v>
      </c>
      <c r="C28" s="50">
        <v>53</v>
      </c>
      <c r="D28" s="50">
        <v>26</v>
      </c>
      <c r="E28" s="50">
        <v>18</v>
      </c>
      <c r="F28" s="50">
        <v>110</v>
      </c>
      <c r="G28" s="50">
        <v>0</v>
      </c>
      <c r="H28" s="50">
        <v>2</v>
      </c>
      <c r="I28" s="50">
        <v>0</v>
      </c>
      <c r="J28" s="50">
        <v>1</v>
      </c>
      <c r="K28" s="50">
        <v>3</v>
      </c>
      <c r="L28" s="50">
        <v>0</v>
      </c>
      <c r="M28" s="50">
        <v>190</v>
      </c>
      <c r="N28" s="50">
        <v>0</v>
      </c>
      <c r="O28" s="15">
        <f t="shared" si="0"/>
        <v>213</v>
      </c>
      <c r="P28" s="15">
        <f t="shared" si="1"/>
        <v>403</v>
      </c>
      <c r="R28" s="5" t="s">
        <v>17</v>
      </c>
      <c r="S28" s="16">
        <f t="shared" ref="S28:AF28" si="20">SUM(S10:S21)</f>
        <v>3661</v>
      </c>
      <c r="T28" s="16">
        <f t="shared" si="20"/>
        <v>1637</v>
      </c>
      <c r="U28" s="16">
        <f t="shared" si="20"/>
        <v>768</v>
      </c>
      <c r="V28" s="16">
        <f t="shared" si="20"/>
        <v>3620</v>
      </c>
      <c r="W28" s="16">
        <f t="shared" si="20"/>
        <v>418</v>
      </c>
      <c r="X28" s="16">
        <f t="shared" si="20"/>
        <v>37</v>
      </c>
      <c r="Y28" s="16">
        <f t="shared" si="20"/>
        <v>350</v>
      </c>
      <c r="Z28" s="16">
        <f t="shared" si="20"/>
        <v>73</v>
      </c>
      <c r="AA28" s="16">
        <f t="shared" si="20"/>
        <v>249</v>
      </c>
      <c r="AB28" s="16">
        <f t="shared" si="20"/>
        <v>106</v>
      </c>
      <c r="AC28" s="16">
        <f t="shared" si="20"/>
        <v>10881</v>
      </c>
      <c r="AD28" s="16">
        <f t="shared" si="20"/>
        <v>0</v>
      </c>
      <c r="AE28" s="32">
        <f t="shared" si="20"/>
        <v>10919</v>
      </c>
      <c r="AF28" s="32">
        <f t="shared" si="20"/>
        <v>21800</v>
      </c>
    </row>
    <row r="29" spans="2:32" ht="23.1" customHeight="1" x14ac:dyDescent="0.25">
      <c r="B29" s="23" t="s">
        <v>56</v>
      </c>
      <c r="C29" s="50">
        <v>61</v>
      </c>
      <c r="D29" s="50">
        <v>23</v>
      </c>
      <c r="E29" s="50">
        <v>14</v>
      </c>
      <c r="F29" s="50">
        <v>120</v>
      </c>
      <c r="G29" s="50">
        <v>0</v>
      </c>
      <c r="H29" s="50">
        <v>0</v>
      </c>
      <c r="I29" s="50">
        <v>0</v>
      </c>
      <c r="J29" s="50">
        <v>5</v>
      </c>
      <c r="K29" s="50">
        <v>4</v>
      </c>
      <c r="L29" s="50">
        <v>1</v>
      </c>
      <c r="M29" s="50">
        <v>295</v>
      </c>
      <c r="N29" s="50">
        <v>0</v>
      </c>
      <c r="O29" s="15">
        <f t="shared" si="0"/>
        <v>228</v>
      </c>
      <c r="P29" s="15">
        <f t="shared" si="1"/>
        <v>523</v>
      </c>
      <c r="R29"/>
      <c r="S29" s="20"/>
      <c r="T29" s="19"/>
    </row>
    <row r="30" spans="2:32" ht="23.1" customHeight="1" x14ac:dyDescent="0.25">
      <c r="B30" s="23" t="s">
        <v>57</v>
      </c>
      <c r="C30" s="50">
        <v>57</v>
      </c>
      <c r="D30" s="50">
        <v>20</v>
      </c>
      <c r="E30" s="50">
        <v>13</v>
      </c>
      <c r="F30" s="50">
        <v>145</v>
      </c>
      <c r="G30" s="50">
        <v>5</v>
      </c>
      <c r="H30" s="50">
        <v>0</v>
      </c>
      <c r="I30" s="50">
        <v>8</v>
      </c>
      <c r="J30" s="50">
        <v>4</v>
      </c>
      <c r="K30" s="50">
        <v>6</v>
      </c>
      <c r="L30" s="50">
        <v>3</v>
      </c>
      <c r="M30" s="50">
        <v>245</v>
      </c>
      <c r="N30" s="50">
        <v>0</v>
      </c>
      <c r="O30" s="15">
        <f t="shared" si="0"/>
        <v>261</v>
      </c>
      <c r="P30" s="15">
        <f t="shared" si="1"/>
        <v>506</v>
      </c>
    </row>
    <row r="31" spans="2:32" ht="23.1" customHeight="1" x14ac:dyDescent="0.25">
      <c r="B31" s="24" t="s">
        <v>58</v>
      </c>
      <c r="C31" s="50">
        <v>65</v>
      </c>
      <c r="D31" s="50">
        <v>22</v>
      </c>
      <c r="E31" s="50">
        <v>15</v>
      </c>
      <c r="F31" s="50">
        <v>105</v>
      </c>
      <c r="G31" s="50">
        <v>0</v>
      </c>
      <c r="H31" s="50">
        <v>0</v>
      </c>
      <c r="I31" s="50">
        <v>2</v>
      </c>
      <c r="J31" s="50">
        <v>1</v>
      </c>
      <c r="K31" s="50">
        <v>3</v>
      </c>
      <c r="L31" s="50">
        <v>0</v>
      </c>
      <c r="M31" s="50">
        <v>170</v>
      </c>
      <c r="N31" s="50">
        <v>0</v>
      </c>
      <c r="O31" s="15">
        <f t="shared" si="0"/>
        <v>213</v>
      </c>
      <c r="P31" s="15">
        <f t="shared" si="1"/>
        <v>383</v>
      </c>
    </row>
    <row r="32" spans="2:32" ht="23.1" customHeight="1" x14ac:dyDescent="0.25">
      <c r="B32" s="24" t="s">
        <v>59</v>
      </c>
      <c r="C32" s="50">
        <v>59</v>
      </c>
      <c r="D32" s="50">
        <v>36</v>
      </c>
      <c r="E32" s="50">
        <v>18</v>
      </c>
      <c r="F32" s="50">
        <v>75</v>
      </c>
      <c r="G32" s="50">
        <v>1</v>
      </c>
      <c r="H32" s="50">
        <v>0</v>
      </c>
      <c r="I32" s="50">
        <v>1</v>
      </c>
      <c r="J32" s="50">
        <v>3</v>
      </c>
      <c r="K32" s="50">
        <v>10</v>
      </c>
      <c r="L32" s="50">
        <v>0</v>
      </c>
      <c r="M32" s="50">
        <v>155</v>
      </c>
      <c r="N32" s="50">
        <v>0</v>
      </c>
      <c r="O32" s="15">
        <f t="shared" si="0"/>
        <v>203</v>
      </c>
      <c r="P32" s="15">
        <f t="shared" si="1"/>
        <v>358</v>
      </c>
    </row>
    <row r="33" spans="2:20" ht="23.1" customHeight="1" x14ac:dyDescent="0.25">
      <c r="B33" s="23" t="s">
        <v>60</v>
      </c>
      <c r="C33" s="50">
        <v>55</v>
      </c>
      <c r="D33" s="50">
        <v>32</v>
      </c>
      <c r="E33" s="50">
        <v>12</v>
      </c>
      <c r="F33" s="50">
        <v>140</v>
      </c>
      <c r="G33" s="50">
        <v>3</v>
      </c>
      <c r="H33" s="50">
        <v>2</v>
      </c>
      <c r="I33" s="50">
        <v>4</v>
      </c>
      <c r="J33" s="50">
        <v>7</v>
      </c>
      <c r="K33" s="50">
        <v>5</v>
      </c>
      <c r="L33" s="50">
        <v>2</v>
      </c>
      <c r="M33" s="50">
        <v>265</v>
      </c>
      <c r="N33" s="50">
        <v>0</v>
      </c>
      <c r="O33" s="15">
        <f t="shared" si="0"/>
        <v>262</v>
      </c>
      <c r="P33" s="15">
        <f t="shared" si="1"/>
        <v>527</v>
      </c>
    </row>
    <row r="34" spans="2:20" ht="23.1" customHeight="1" x14ac:dyDescent="0.25">
      <c r="B34" s="24" t="s">
        <v>61</v>
      </c>
      <c r="C34" s="50">
        <v>49</v>
      </c>
      <c r="D34" s="50">
        <v>25</v>
      </c>
      <c r="E34" s="50">
        <v>6</v>
      </c>
      <c r="F34" s="50">
        <v>135</v>
      </c>
      <c r="G34" s="50">
        <v>3</v>
      </c>
      <c r="H34" s="50">
        <v>3</v>
      </c>
      <c r="I34" s="50">
        <v>9</v>
      </c>
      <c r="J34" s="50">
        <v>6</v>
      </c>
      <c r="K34" s="50">
        <v>13</v>
      </c>
      <c r="L34" s="50">
        <v>6</v>
      </c>
      <c r="M34" s="50">
        <v>300</v>
      </c>
      <c r="N34" s="50">
        <v>0</v>
      </c>
      <c r="O34" s="15">
        <f t="shared" si="0"/>
        <v>255</v>
      </c>
      <c r="P34" s="15">
        <f t="shared" si="1"/>
        <v>555</v>
      </c>
    </row>
    <row r="35" spans="2:20" ht="23.1" customHeight="1" x14ac:dyDescent="0.25">
      <c r="B35" s="24" t="s">
        <v>62</v>
      </c>
      <c r="C35" s="50">
        <v>43</v>
      </c>
      <c r="D35" s="50">
        <v>21</v>
      </c>
      <c r="E35" s="50">
        <v>17</v>
      </c>
      <c r="F35" s="50">
        <v>95</v>
      </c>
      <c r="G35" s="50">
        <v>5</v>
      </c>
      <c r="H35" s="50">
        <v>3</v>
      </c>
      <c r="I35" s="50">
        <v>1</v>
      </c>
      <c r="J35" s="50">
        <v>3</v>
      </c>
      <c r="K35" s="50">
        <v>10</v>
      </c>
      <c r="L35" s="50">
        <v>5</v>
      </c>
      <c r="M35" s="50">
        <v>105</v>
      </c>
      <c r="N35" s="50">
        <v>0</v>
      </c>
      <c r="O35" s="15">
        <f t="shared" si="0"/>
        <v>203</v>
      </c>
      <c r="P35" s="15">
        <f t="shared" si="1"/>
        <v>308</v>
      </c>
    </row>
    <row r="36" spans="2:20" ht="23.1" customHeight="1" x14ac:dyDescent="0.25">
      <c r="B36" s="24" t="s">
        <v>63</v>
      </c>
      <c r="C36" s="50">
        <v>53</v>
      </c>
      <c r="D36" s="50">
        <v>17</v>
      </c>
      <c r="E36" s="50">
        <v>12</v>
      </c>
      <c r="F36" s="50">
        <v>51</v>
      </c>
      <c r="G36" s="50">
        <v>3</v>
      </c>
      <c r="H36" s="50">
        <v>0</v>
      </c>
      <c r="I36" s="50">
        <v>16</v>
      </c>
      <c r="J36" s="50">
        <v>3</v>
      </c>
      <c r="K36" s="50">
        <v>4</v>
      </c>
      <c r="L36" s="50">
        <v>2</v>
      </c>
      <c r="M36" s="50">
        <v>275</v>
      </c>
      <c r="N36" s="50">
        <v>0</v>
      </c>
      <c r="O36" s="15">
        <f t="shared" si="0"/>
        <v>161</v>
      </c>
      <c r="P36" s="15">
        <f t="shared" si="1"/>
        <v>436</v>
      </c>
    </row>
    <row r="37" spans="2:20" ht="23.1" customHeight="1" x14ac:dyDescent="0.25">
      <c r="B37" s="23" t="s">
        <v>64</v>
      </c>
      <c r="C37" s="50">
        <v>49</v>
      </c>
      <c r="D37" s="50">
        <v>23</v>
      </c>
      <c r="E37" s="50">
        <v>14</v>
      </c>
      <c r="F37" s="50">
        <v>52</v>
      </c>
      <c r="G37" s="50">
        <v>5</v>
      </c>
      <c r="H37" s="50">
        <v>1</v>
      </c>
      <c r="I37" s="50">
        <v>20</v>
      </c>
      <c r="J37" s="50">
        <v>1</v>
      </c>
      <c r="K37" s="50">
        <v>2</v>
      </c>
      <c r="L37" s="50">
        <v>1</v>
      </c>
      <c r="M37" s="50">
        <v>195</v>
      </c>
      <c r="N37" s="50">
        <v>0</v>
      </c>
      <c r="O37" s="15">
        <f t="shared" si="0"/>
        <v>168</v>
      </c>
      <c r="P37" s="15">
        <f t="shared" si="1"/>
        <v>363</v>
      </c>
    </row>
    <row r="38" spans="2:20" ht="23.1" customHeight="1" x14ac:dyDescent="0.25">
      <c r="B38" s="24" t="s">
        <v>65</v>
      </c>
      <c r="C38" s="50">
        <v>49</v>
      </c>
      <c r="D38" s="50">
        <v>17</v>
      </c>
      <c r="E38" s="50">
        <v>13</v>
      </c>
      <c r="F38" s="50">
        <v>44</v>
      </c>
      <c r="G38" s="50">
        <v>1</v>
      </c>
      <c r="H38" s="50">
        <v>0</v>
      </c>
      <c r="I38" s="50">
        <v>12</v>
      </c>
      <c r="J38" s="50">
        <v>1</v>
      </c>
      <c r="K38" s="50">
        <v>10</v>
      </c>
      <c r="L38" s="50">
        <v>7</v>
      </c>
      <c r="M38" s="50">
        <v>353</v>
      </c>
      <c r="N38" s="50">
        <v>0</v>
      </c>
      <c r="O38" s="15">
        <f t="shared" si="0"/>
        <v>154</v>
      </c>
      <c r="P38" s="15">
        <f t="shared" si="1"/>
        <v>507</v>
      </c>
    </row>
    <row r="39" spans="2:20" ht="23.1" customHeight="1" x14ac:dyDescent="0.25">
      <c r="B39" s="24" t="s">
        <v>66</v>
      </c>
      <c r="C39" s="50">
        <v>65</v>
      </c>
      <c r="D39" s="50">
        <v>26</v>
      </c>
      <c r="E39" s="50">
        <v>14</v>
      </c>
      <c r="F39" s="50">
        <v>45</v>
      </c>
      <c r="G39" s="50">
        <v>2</v>
      </c>
      <c r="H39" s="50">
        <v>1</v>
      </c>
      <c r="I39" s="50">
        <v>20</v>
      </c>
      <c r="J39" s="50">
        <v>0</v>
      </c>
      <c r="K39" s="50">
        <v>4</v>
      </c>
      <c r="L39" s="50">
        <v>1</v>
      </c>
      <c r="M39" s="50">
        <v>170</v>
      </c>
      <c r="N39" s="50">
        <v>0</v>
      </c>
      <c r="O39" s="15">
        <f t="shared" si="0"/>
        <v>178</v>
      </c>
      <c r="P39" s="15">
        <f t="shared" si="1"/>
        <v>348</v>
      </c>
    </row>
    <row r="40" spans="2:20" ht="23.1" customHeight="1" x14ac:dyDescent="0.25">
      <c r="B40" s="24" t="s">
        <v>67</v>
      </c>
      <c r="C40" s="50">
        <v>50</v>
      </c>
      <c r="D40" s="50">
        <v>30</v>
      </c>
      <c r="E40" s="50">
        <v>11</v>
      </c>
      <c r="F40" s="50">
        <v>70</v>
      </c>
      <c r="G40" s="50">
        <v>2</v>
      </c>
      <c r="H40" s="50">
        <v>0</v>
      </c>
      <c r="I40" s="50">
        <v>18</v>
      </c>
      <c r="J40" s="50">
        <v>0</v>
      </c>
      <c r="K40" s="50">
        <v>4</v>
      </c>
      <c r="L40" s="50">
        <v>0</v>
      </c>
      <c r="M40" s="50">
        <v>120</v>
      </c>
      <c r="N40" s="50">
        <v>0</v>
      </c>
      <c r="O40" s="15">
        <f t="shared" si="0"/>
        <v>185</v>
      </c>
      <c r="P40" s="15">
        <f t="shared" si="1"/>
        <v>305</v>
      </c>
    </row>
    <row r="41" spans="2:20" ht="23.1" customHeight="1" x14ac:dyDescent="0.25">
      <c r="B41" s="23" t="s">
        <v>68</v>
      </c>
      <c r="C41" s="50">
        <v>80</v>
      </c>
      <c r="D41" s="50">
        <v>34</v>
      </c>
      <c r="E41" s="50">
        <v>19</v>
      </c>
      <c r="F41" s="50">
        <v>85</v>
      </c>
      <c r="G41" s="50">
        <v>2</v>
      </c>
      <c r="H41" s="50">
        <v>1</v>
      </c>
      <c r="I41" s="50">
        <v>18</v>
      </c>
      <c r="J41" s="50">
        <v>0</v>
      </c>
      <c r="K41" s="50">
        <v>8</v>
      </c>
      <c r="L41" s="50">
        <v>1</v>
      </c>
      <c r="M41" s="50">
        <v>305</v>
      </c>
      <c r="N41" s="50">
        <v>0</v>
      </c>
      <c r="O41" s="15">
        <f t="shared" si="0"/>
        <v>248</v>
      </c>
      <c r="P41" s="15">
        <f t="shared" si="1"/>
        <v>553</v>
      </c>
    </row>
    <row r="42" spans="2:20" ht="23.1" customHeight="1" x14ac:dyDescent="0.25">
      <c r="B42" s="24" t="s">
        <v>69</v>
      </c>
      <c r="C42" s="50">
        <v>64</v>
      </c>
      <c r="D42" s="50">
        <v>21</v>
      </c>
      <c r="E42" s="50">
        <v>7</v>
      </c>
      <c r="F42" s="50">
        <v>50</v>
      </c>
      <c r="G42" s="50">
        <v>2</v>
      </c>
      <c r="H42" s="50">
        <v>0</v>
      </c>
      <c r="I42" s="50">
        <v>17</v>
      </c>
      <c r="J42" s="50">
        <v>3</v>
      </c>
      <c r="K42" s="50">
        <v>6</v>
      </c>
      <c r="L42" s="50">
        <v>4</v>
      </c>
      <c r="M42" s="50">
        <v>375</v>
      </c>
      <c r="N42" s="50">
        <v>0</v>
      </c>
      <c r="O42" s="15">
        <f t="shared" si="0"/>
        <v>174</v>
      </c>
      <c r="P42" s="15">
        <f t="shared" si="1"/>
        <v>549</v>
      </c>
    </row>
    <row r="43" spans="2:20" ht="23.1" customHeight="1" x14ac:dyDescent="0.25">
      <c r="B43" s="23" t="s">
        <v>70</v>
      </c>
      <c r="C43" s="50">
        <v>67</v>
      </c>
      <c r="D43" s="50">
        <v>34</v>
      </c>
      <c r="E43" s="50">
        <v>8</v>
      </c>
      <c r="F43" s="50">
        <v>83</v>
      </c>
      <c r="G43" s="50">
        <v>4</v>
      </c>
      <c r="H43" s="50">
        <v>0</v>
      </c>
      <c r="I43" s="50">
        <v>16</v>
      </c>
      <c r="J43" s="50">
        <v>0</v>
      </c>
      <c r="K43" s="50">
        <v>6</v>
      </c>
      <c r="L43" s="50">
        <v>6</v>
      </c>
      <c r="M43" s="50">
        <v>260</v>
      </c>
      <c r="N43" s="50">
        <v>0</v>
      </c>
      <c r="O43" s="15">
        <f t="shared" si="0"/>
        <v>224</v>
      </c>
      <c r="P43" s="15">
        <f t="shared" si="1"/>
        <v>484</v>
      </c>
    </row>
    <row r="44" spans="2:20" ht="23.1" customHeight="1" x14ac:dyDescent="0.25">
      <c r="B44" s="25" t="s">
        <v>71</v>
      </c>
      <c r="C44" s="50">
        <v>64</v>
      </c>
      <c r="D44" s="50">
        <v>33</v>
      </c>
      <c r="E44" s="50">
        <v>13</v>
      </c>
      <c r="F44" s="50">
        <v>80</v>
      </c>
      <c r="G44" s="50">
        <v>5</v>
      </c>
      <c r="H44" s="50">
        <v>1</v>
      </c>
      <c r="I44" s="50">
        <v>17</v>
      </c>
      <c r="J44" s="50">
        <v>1</v>
      </c>
      <c r="K44" s="50">
        <v>8</v>
      </c>
      <c r="L44" s="50">
        <v>2</v>
      </c>
      <c r="M44" s="50">
        <v>260</v>
      </c>
      <c r="N44" s="50">
        <v>0</v>
      </c>
      <c r="O44" s="15">
        <f t="shared" si="0"/>
        <v>224</v>
      </c>
      <c r="P44" s="15">
        <f t="shared" si="1"/>
        <v>484</v>
      </c>
    </row>
    <row r="45" spans="2:20" ht="23.1" customHeight="1" x14ac:dyDescent="0.25">
      <c r="B45" s="23" t="s">
        <v>72</v>
      </c>
      <c r="C45" s="50">
        <v>52</v>
      </c>
      <c r="D45" s="50">
        <v>25</v>
      </c>
      <c r="E45" s="50">
        <v>14</v>
      </c>
      <c r="F45" s="50">
        <v>65</v>
      </c>
      <c r="G45" s="50">
        <v>0</v>
      </c>
      <c r="H45" s="50">
        <v>1</v>
      </c>
      <c r="I45" s="50">
        <v>6</v>
      </c>
      <c r="J45" s="50">
        <v>0</v>
      </c>
      <c r="K45" s="50">
        <v>1</v>
      </c>
      <c r="L45" s="50">
        <v>6</v>
      </c>
      <c r="M45" s="50">
        <v>240</v>
      </c>
      <c r="N45" s="50">
        <v>0</v>
      </c>
      <c r="O45" s="15">
        <f t="shared" si="0"/>
        <v>170</v>
      </c>
      <c r="P45" s="15">
        <f t="shared" si="1"/>
        <v>410</v>
      </c>
    </row>
    <row r="46" spans="2:20" ht="23.1" customHeight="1" x14ac:dyDescent="0.25">
      <c r="B46" s="24" t="s">
        <v>73</v>
      </c>
      <c r="C46" s="50">
        <v>63</v>
      </c>
      <c r="D46" s="50">
        <v>21</v>
      </c>
      <c r="E46" s="50">
        <v>17</v>
      </c>
      <c r="F46" s="50">
        <v>80</v>
      </c>
      <c r="G46" s="50">
        <v>2</v>
      </c>
      <c r="H46" s="50">
        <v>0</v>
      </c>
      <c r="I46" s="50">
        <v>20</v>
      </c>
      <c r="J46" s="50">
        <v>2</v>
      </c>
      <c r="K46" s="50">
        <v>10</v>
      </c>
      <c r="L46" s="50">
        <v>4</v>
      </c>
      <c r="M46" s="50">
        <v>295</v>
      </c>
      <c r="N46" s="50">
        <v>0</v>
      </c>
      <c r="O46" s="15">
        <f t="shared" si="0"/>
        <v>219</v>
      </c>
      <c r="P46" s="15">
        <f t="shared" si="1"/>
        <v>514</v>
      </c>
      <c r="R46" s="8"/>
      <c r="T46"/>
    </row>
    <row r="47" spans="2:20" ht="23.1" customHeight="1" x14ac:dyDescent="0.25">
      <c r="B47" s="24" t="s">
        <v>74</v>
      </c>
      <c r="C47" s="50">
        <v>67</v>
      </c>
      <c r="D47" s="50">
        <v>23</v>
      </c>
      <c r="E47" s="50">
        <v>8</v>
      </c>
      <c r="F47" s="50">
        <v>85</v>
      </c>
      <c r="G47" s="50">
        <v>0</v>
      </c>
      <c r="H47" s="50">
        <v>1</v>
      </c>
      <c r="I47" s="50">
        <v>8</v>
      </c>
      <c r="J47" s="50">
        <v>0</v>
      </c>
      <c r="K47" s="50">
        <v>3</v>
      </c>
      <c r="L47" s="50">
        <v>2</v>
      </c>
      <c r="M47" s="50">
        <v>260</v>
      </c>
      <c r="N47" s="50">
        <v>0</v>
      </c>
      <c r="O47" s="15">
        <f t="shared" si="0"/>
        <v>197</v>
      </c>
      <c r="P47" s="15">
        <f t="shared" si="1"/>
        <v>457</v>
      </c>
      <c r="R47" s="8"/>
      <c r="T47"/>
    </row>
    <row r="48" spans="2:20" ht="23.1" customHeight="1" x14ac:dyDescent="0.25">
      <c r="B48" s="24" t="s">
        <v>75</v>
      </c>
      <c r="C48" s="50">
        <v>94</v>
      </c>
      <c r="D48" s="50">
        <v>39</v>
      </c>
      <c r="E48" s="50">
        <v>27</v>
      </c>
      <c r="F48" s="50">
        <v>87</v>
      </c>
      <c r="G48" s="50">
        <v>3</v>
      </c>
      <c r="H48" s="50">
        <v>1</v>
      </c>
      <c r="I48" s="50">
        <v>22</v>
      </c>
      <c r="J48" s="50">
        <v>0</v>
      </c>
      <c r="K48" s="50">
        <v>5</v>
      </c>
      <c r="L48" s="50">
        <v>5</v>
      </c>
      <c r="M48" s="50">
        <v>220</v>
      </c>
      <c r="N48" s="50">
        <v>0</v>
      </c>
      <c r="O48" s="15">
        <f t="shared" si="0"/>
        <v>283</v>
      </c>
      <c r="P48" s="15">
        <f t="shared" si="1"/>
        <v>503</v>
      </c>
      <c r="R48" s="8"/>
      <c r="T48"/>
    </row>
    <row r="49" spans="2:20" ht="23.1" customHeight="1" x14ac:dyDescent="0.25">
      <c r="B49" s="23" t="s">
        <v>76</v>
      </c>
      <c r="C49" s="50">
        <v>91</v>
      </c>
      <c r="D49" s="50">
        <v>40</v>
      </c>
      <c r="E49" s="50">
        <v>14</v>
      </c>
      <c r="F49" s="50">
        <v>75</v>
      </c>
      <c r="G49" s="50">
        <v>4</v>
      </c>
      <c r="H49" s="50">
        <v>2</v>
      </c>
      <c r="I49" s="50">
        <v>13</v>
      </c>
      <c r="J49" s="50">
        <v>0</v>
      </c>
      <c r="K49" s="50">
        <v>4</v>
      </c>
      <c r="L49" s="50">
        <v>1</v>
      </c>
      <c r="M49" s="50">
        <v>235</v>
      </c>
      <c r="N49" s="50">
        <v>0</v>
      </c>
      <c r="O49" s="15">
        <f t="shared" si="0"/>
        <v>244</v>
      </c>
      <c r="P49" s="15">
        <f t="shared" si="1"/>
        <v>479</v>
      </c>
      <c r="R49" s="8"/>
      <c r="T49"/>
    </row>
    <row r="50" spans="2:20" ht="23.1" customHeight="1" x14ac:dyDescent="0.25">
      <c r="B50" s="24" t="s">
        <v>77</v>
      </c>
      <c r="C50" s="50">
        <v>63</v>
      </c>
      <c r="D50" s="50">
        <v>39</v>
      </c>
      <c r="E50" s="50">
        <v>14</v>
      </c>
      <c r="F50" s="50">
        <v>25</v>
      </c>
      <c r="G50" s="50">
        <v>0</v>
      </c>
      <c r="H50" s="50">
        <v>0</v>
      </c>
      <c r="I50" s="50">
        <v>9</v>
      </c>
      <c r="J50" s="50">
        <v>0</v>
      </c>
      <c r="K50" s="50">
        <v>4</v>
      </c>
      <c r="L50" s="50">
        <v>3</v>
      </c>
      <c r="M50" s="50">
        <v>440</v>
      </c>
      <c r="N50" s="50">
        <v>0</v>
      </c>
      <c r="O50" s="15">
        <f t="shared" si="0"/>
        <v>157</v>
      </c>
      <c r="P50" s="15">
        <f t="shared" si="1"/>
        <v>597</v>
      </c>
      <c r="R50" s="8"/>
      <c r="T50"/>
    </row>
    <row r="51" spans="2:20" ht="23.1" customHeight="1" x14ac:dyDescent="0.25">
      <c r="B51" s="24" t="s">
        <v>78</v>
      </c>
      <c r="C51" s="50">
        <v>75</v>
      </c>
      <c r="D51" s="50">
        <v>37</v>
      </c>
      <c r="E51" s="50">
        <v>13</v>
      </c>
      <c r="F51" s="50">
        <v>37</v>
      </c>
      <c r="G51" s="50">
        <v>0</v>
      </c>
      <c r="H51" s="50">
        <v>0</v>
      </c>
      <c r="I51" s="50">
        <v>9</v>
      </c>
      <c r="J51" s="50">
        <v>0</v>
      </c>
      <c r="K51" s="50">
        <v>5</v>
      </c>
      <c r="L51" s="50">
        <v>2</v>
      </c>
      <c r="M51" s="50">
        <v>230</v>
      </c>
      <c r="N51" s="50">
        <v>0</v>
      </c>
      <c r="O51" s="15">
        <f t="shared" si="0"/>
        <v>178</v>
      </c>
      <c r="P51" s="15">
        <f t="shared" si="1"/>
        <v>408</v>
      </c>
      <c r="R51" s="8"/>
      <c r="T51"/>
    </row>
    <row r="52" spans="2:20" ht="23.1" customHeight="1" x14ac:dyDescent="0.25">
      <c r="B52" s="24" t="s">
        <v>79</v>
      </c>
      <c r="C52" s="50">
        <v>130</v>
      </c>
      <c r="D52" s="50">
        <v>73</v>
      </c>
      <c r="E52" s="50">
        <v>28</v>
      </c>
      <c r="F52" s="50">
        <v>70</v>
      </c>
      <c r="G52" s="50">
        <v>0</v>
      </c>
      <c r="H52" s="50">
        <v>0</v>
      </c>
      <c r="I52" s="50">
        <v>11</v>
      </c>
      <c r="J52" s="50">
        <v>0</v>
      </c>
      <c r="K52" s="50">
        <v>5</v>
      </c>
      <c r="L52" s="50">
        <v>2</v>
      </c>
      <c r="M52" s="50">
        <v>250</v>
      </c>
      <c r="N52" s="50">
        <v>0</v>
      </c>
      <c r="O52" s="15">
        <f t="shared" si="0"/>
        <v>319</v>
      </c>
      <c r="P52" s="15">
        <f t="shared" si="1"/>
        <v>569</v>
      </c>
      <c r="R52" s="8"/>
      <c r="T52"/>
    </row>
    <row r="53" spans="2:20" ht="23.1" customHeight="1" x14ac:dyDescent="0.25">
      <c r="B53" s="23" t="s">
        <v>80</v>
      </c>
      <c r="C53" s="50">
        <v>84</v>
      </c>
      <c r="D53" s="50">
        <v>46</v>
      </c>
      <c r="E53" s="50">
        <v>18</v>
      </c>
      <c r="F53" s="50">
        <v>30</v>
      </c>
      <c r="G53" s="50">
        <v>1</v>
      </c>
      <c r="H53" s="50">
        <v>0</v>
      </c>
      <c r="I53" s="50">
        <v>5</v>
      </c>
      <c r="J53" s="50">
        <v>0</v>
      </c>
      <c r="K53" s="50">
        <v>4</v>
      </c>
      <c r="L53" s="50">
        <v>1</v>
      </c>
      <c r="M53" s="50">
        <v>283</v>
      </c>
      <c r="N53" s="50">
        <v>0</v>
      </c>
      <c r="O53" s="15">
        <f t="shared" si="0"/>
        <v>189</v>
      </c>
      <c r="P53" s="15">
        <f t="shared" si="1"/>
        <v>472</v>
      </c>
      <c r="R53" s="8"/>
      <c r="T53"/>
    </row>
    <row r="54" spans="2:20" ht="23.1" customHeight="1" x14ac:dyDescent="0.25">
      <c r="B54" s="23" t="s">
        <v>81</v>
      </c>
      <c r="C54" s="50">
        <v>126</v>
      </c>
      <c r="D54" s="50">
        <v>45</v>
      </c>
      <c r="E54" s="50">
        <v>10</v>
      </c>
      <c r="F54" s="50">
        <v>32</v>
      </c>
      <c r="G54" s="50">
        <v>3</v>
      </c>
      <c r="H54" s="50">
        <v>1</v>
      </c>
      <c r="I54" s="50">
        <v>11</v>
      </c>
      <c r="J54" s="50">
        <v>0</v>
      </c>
      <c r="K54" s="50">
        <v>2</v>
      </c>
      <c r="L54" s="50">
        <v>0</v>
      </c>
      <c r="M54" s="50">
        <v>330</v>
      </c>
      <c r="N54" s="50">
        <v>0</v>
      </c>
      <c r="O54" s="15">
        <f t="shared" si="0"/>
        <v>230</v>
      </c>
      <c r="P54" s="15">
        <f t="shared" si="1"/>
        <v>560</v>
      </c>
      <c r="R54" s="8"/>
      <c r="T54"/>
    </row>
    <row r="55" spans="2:20" ht="23.1" customHeight="1" x14ac:dyDescent="0.25">
      <c r="B55" s="23" t="s">
        <v>82</v>
      </c>
      <c r="C55" s="50">
        <v>104</v>
      </c>
      <c r="D55" s="50">
        <v>31</v>
      </c>
      <c r="E55" s="50">
        <v>6</v>
      </c>
      <c r="F55" s="50">
        <v>23</v>
      </c>
      <c r="G55" s="50">
        <v>0</v>
      </c>
      <c r="H55" s="50">
        <v>1</v>
      </c>
      <c r="I55" s="50">
        <v>7</v>
      </c>
      <c r="J55" s="50">
        <v>0</v>
      </c>
      <c r="K55" s="50">
        <v>0</v>
      </c>
      <c r="L55" s="50">
        <v>0</v>
      </c>
      <c r="M55" s="50">
        <v>255</v>
      </c>
      <c r="N55" s="50">
        <v>0</v>
      </c>
      <c r="O55" s="15">
        <f t="shared" si="0"/>
        <v>172</v>
      </c>
      <c r="P55" s="15">
        <f t="shared" si="1"/>
        <v>427</v>
      </c>
      <c r="R55" s="8"/>
      <c r="T55"/>
    </row>
    <row r="56" spans="2:20" ht="23.1" customHeight="1" x14ac:dyDescent="0.25">
      <c r="B56" s="23" t="s">
        <v>83</v>
      </c>
      <c r="C56" s="50">
        <v>117</v>
      </c>
      <c r="D56" s="50">
        <v>34</v>
      </c>
      <c r="E56" s="50">
        <v>13</v>
      </c>
      <c r="F56" s="50">
        <v>43</v>
      </c>
      <c r="G56" s="50">
        <v>1</v>
      </c>
      <c r="H56" s="50">
        <v>0</v>
      </c>
      <c r="I56" s="50">
        <v>6</v>
      </c>
      <c r="J56" s="50">
        <v>0</v>
      </c>
      <c r="K56" s="50">
        <v>0</v>
      </c>
      <c r="L56" s="50">
        <v>0</v>
      </c>
      <c r="M56" s="50">
        <v>270</v>
      </c>
      <c r="N56" s="50">
        <v>0</v>
      </c>
      <c r="O56" s="15">
        <f t="shared" si="0"/>
        <v>214</v>
      </c>
      <c r="P56" s="15">
        <f t="shared" si="1"/>
        <v>484</v>
      </c>
      <c r="R56" s="8"/>
      <c r="T56"/>
    </row>
    <row r="57" spans="2:20" ht="23.1" customHeight="1" x14ac:dyDescent="0.25">
      <c r="B57" s="23" t="s">
        <v>84</v>
      </c>
      <c r="C57" s="50">
        <v>123</v>
      </c>
      <c r="D57" s="50">
        <v>22</v>
      </c>
      <c r="E57" s="50">
        <v>15</v>
      </c>
      <c r="F57" s="50">
        <v>38</v>
      </c>
      <c r="G57" s="50">
        <v>2</v>
      </c>
      <c r="H57" s="50">
        <v>0</v>
      </c>
      <c r="I57" s="50">
        <v>3</v>
      </c>
      <c r="J57" s="50">
        <v>0</v>
      </c>
      <c r="K57" s="50">
        <v>2</v>
      </c>
      <c r="L57" s="50">
        <v>1</v>
      </c>
      <c r="M57" s="50">
        <v>300</v>
      </c>
      <c r="N57" s="50">
        <v>0</v>
      </c>
      <c r="O57" s="15">
        <f t="shared" si="0"/>
        <v>206</v>
      </c>
      <c r="P57" s="15">
        <f t="shared" si="1"/>
        <v>506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3661</v>
      </c>
      <c r="D58" s="16">
        <f t="shared" si="21"/>
        <v>1637</v>
      </c>
      <c r="E58" s="16">
        <f t="shared" si="21"/>
        <v>768</v>
      </c>
      <c r="F58" s="16">
        <f t="shared" si="21"/>
        <v>3620</v>
      </c>
      <c r="G58" s="16">
        <f t="shared" si="21"/>
        <v>418</v>
      </c>
      <c r="H58" s="16">
        <f t="shared" si="21"/>
        <v>37</v>
      </c>
      <c r="I58" s="16">
        <f t="shared" si="21"/>
        <v>350</v>
      </c>
      <c r="J58" s="16">
        <f t="shared" si="21"/>
        <v>73</v>
      </c>
      <c r="K58" s="16">
        <f t="shared" si="21"/>
        <v>249</v>
      </c>
      <c r="L58" s="16">
        <f t="shared" si="21"/>
        <v>106</v>
      </c>
      <c r="M58" s="16">
        <f t="shared" si="21"/>
        <v>10881</v>
      </c>
      <c r="N58" s="16">
        <f t="shared" si="21"/>
        <v>0</v>
      </c>
      <c r="O58" s="16">
        <f t="shared" si="21"/>
        <v>10919</v>
      </c>
      <c r="P58" s="16">
        <f t="shared" si="21"/>
        <v>21800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0.16793577981651375</v>
      </c>
      <c r="D59" s="43">
        <f t="shared" si="22"/>
        <v>7.5091743119266058E-2</v>
      </c>
      <c r="E59" s="43">
        <f t="shared" si="22"/>
        <v>3.5229357798165141E-2</v>
      </c>
      <c r="F59" s="43">
        <f t="shared" si="22"/>
        <v>0.16605504587155964</v>
      </c>
      <c r="G59" s="43">
        <f t="shared" si="22"/>
        <v>1.9174311926605504E-2</v>
      </c>
      <c r="H59" s="43">
        <f t="shared" si="22"/>
        <v>1.6972477064220184E-3</v>
      </c>
      <c r="I59" s="43">
        <f t="shared" si="22"/>
        <v>1.6055045871559634E-2</v>
      </c>
      <c r="J59" s="43">
        <f t="shared" si="22"/>
        <v>3.348623853211009E-3</v>
      </c>
      <c r="K59" s="43">
        <f t="shared" si="22"/>
        <v>1.1422018348623853E-2</v>
      </c>
      <c r="L59" s="43">
        <f t="shared" si="22"/>
        <v>4.862385321100917E-3</v>
      </c>
      <c r="M59" s="43">
        <f t="shared" si="22"/>
        <v>0.49912844036697246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0.3352871142045975</v>
      </c>
      <c r="D60" s="44">
        <f t="shared" ref="D60:N60" si="23">D58/$O$58</f>
        <v>0.14992215404341058</v>
      </c>
      <c r="E60" s="44">
        <f t="shared" si="23"/>
        <v>7.0336111365509657E-2</v>
      </c>
      <c r="F60" s="44">
        <f t="shared" si="23"/>
        <v>0.33153219159263669</v>
      </c>
      <c r="G60" s="44">
        <f t="shared" si="23"/>
        <v>3.828189394633208E-2</v>
      </c>
      <c r="H60" s="44">
        <f t="shared" si="23"/>
        <v>3.3885886985987727E-3</v>
      </c>
      <c r="I60" s="44">
        <f t="shared" si="23"/>
        <v>3.2054217419177577E-2</v>
      </c>
      <c r="J60" s="44">
        <f t="shared" si="23"/>
        <v>6.6855939188570383E-3</v>
      </c>
      <c r="K60" s="44">
        <f t="shared" si="23"/>
        <v>2.2804286106786337E-2</v>
      </c>
      <c r="L60" s="44">
        <f t="shared" si="23"/>
        <v>9.7078487040937814E-3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F43" zoomScale="60" workbookViewId="0">
      <selection activeCell="I54" sqref="I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Motors-Kyambogo'!C3:G3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'29.07 Spear Motors-Kyambogo'!D5</f>
        <v>29.08.19</v>
      </c>
      <c r="E5" s="3"/>
      <c r="F5" s="41" t="s">
        <v>1</v>
      </c>
      <c r="G5" s="60" t="str">
        <f>'29.07 Spear Motors-Kyambogo'!G5:H5</f>
        <v>PEPSI UGANDA</v>
      </c>
      <c r="H5" s="61"/>
      <c r="I5" s="14"/>
      <c r="J5" s="2" t="s">
        <v>5</v>
      </c>
      <c r="K5" s="60" t="str">
        <f>'29.07 Spear Motors-Kyambogo'!K5:L5</f>
        <v>WACHOMI R/GALABUZI R./MBAHA J/ASHABA K/LUBEGA S/KIKUMBAD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164</v>
      </c>
      <c r="E6" s="55"/>
      <c r="F6" s="2" t="s">
        <v>2</v>
      </c>
      <c r="G6" s="54" t="s">
        <v>163</v>
      </c>
      <c r="H6" s="55"/>
      <c r="J6" s="2" t="s">
        <v>21</v>
      </c>
      <c r="K6" s="60" t="str">
        <f>'29.07 Spear Motors-Kyambogo'!K6:L6</f>
        <v>ANDREW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136</v>
      </c>
      <c r="T10" s="17">
        <f t="shared" si="2"/>
        <v>76</v>
      </c>
      <c r="U10" s="17">
        <f t="shared" si="2"/>
        <v>76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288</v>
      </c>
      <c r="AF10" s="31">
        <f t="shared" si="2"/>
        <v>288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176</v>
      </c>
      <c r="T11" s="17">
        <f t="shared" si="3"/>
        <v>115</v>
      </c>
      <c r="U11" s="17">
        <f t="shared" si="3"/>
        <v>49</v>
      </c>
      <c r="V11" s="17">
        <f t="shared" si="3"/>
        <v>199</v>
      </c>
      <c r="W11" s="17">
        <f t="shared" si="3"/>
        <v>20</v>
      </c>
      <c r="X11" s="17">
        <f t="shared" si="3"/>
        <v>4</v>
      </c>
      <c r="Y11" s="17">
        <f t="shared" si="3"/>
        <v>25</v>
      </c>
      <c r="Z11" s="17">
        <f t="shared" si="3"/>
        <v>6</v>
      </c>
      <c r="AA11" s="17">
        <f t="shared" si="3"/>
        <v>3</v>
      </c>
      <c r="AB11" s="17">
        <f t="shared" si="3"/>
        <v>1</v>
      </c>
      <c r="AC11" s="17">
        <f t="shared" si="3"/>
        <v>1280</v>
      </c>
      <c r="AD11" s="17">
        <f t="shared" si="3"/>
        <v>0</v>
      </c>
      <c r="AE11" s="31">
        <f t="shared" si="3"/>
        <v>598</v>
      </c>
      <c r="AF11" s="31">
        <f t="shared" si="3"/>
        <v>1878</v>
      </c>
    </row>
    <row r="12" spans="2:32" ht="23.1" customHeight="1" x14ac:dyDescent="0.25">
      <c r="B12" s="23" t="s">
        <v>39</v>
      </c>
      <c r="C12" s="50">
        <v>54</v>
      </c>
      <c r="D12" s="50">
        <v>16</v>
      </c>
      <c r="E12" s="50">
        <v>24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94</v>
      </c>
      <c r="P12" s="15">
        <f t="shared" si="1"/>
        <v>94</v>
      </c>
      <c r="R12" s="1" t="s">
        <v>8</v>
      </c>
      <c r="S12" s="17">
        <f t="shared" ref="S12:AF12" si="4">SUM(C18:C21)</f>
        <v>279</v>
      </c>
      <c r="T12" s="17">
        <f t="shared" si="4"/>
        <v>120</v>
      </c>
      <c r="U12" s="17">
        <f t="shared" si="4"/>
        <v>78</v>
      </c>
      <c r="V12" s="17">
        <f t="shared" si="4"/>
        <v>235</v>
      </c>
      <c r="W12" s="17">
        <f t="shared" si="4"/>
        <v>19</v>
      </c>
      <c r="X12" s="17">
        <f t="shared" si="4"/>
        <v>4</v>
      </c>
      <c r="Y12" s="17">
        <f t="shared" si="4"/>
        <v>35</v>
      </c>
      <c r="Z12" s="17">
        <f t="shared" si="4"/>
        <v>10</v>
      </c>
      <c r="AA12" s="17">
        <f t="shared" si="4"/>
        <v>6</v>
      </c>
      <c r="AB12" s="17">
        <f t="shared" si="4"/>
        <v>22</v>
      </c>
      <c r="AC12" s="17">
        <f t="shared" si="4"/>
        <v>1045</v>
      </c>
      <c r="AD12" s="17">
        <f t="shared" si="4"/>
        <v>0</v>
      </c>
      <c r="AE12" s="31">
        <f t="shared" si="4"/>
        <v>808</v>
      </c>
      <c r="AF12" s="31">
        <f t="shared" si="4"/>
        <v>1853</v>
      </c>
    </row>
    <row r="13" spans="2:32" ht="23.1" customHeight="1" x14ac:dyDescent="0.25">
      <c r="B13" s="23" t="s">
        <v>40</v>
      </c>
      <c r="C13" s="50">
        <v>82</v>
      </c>
      <c r="D13" s="50">
        <v>60</v>
      </c>
      <c r="E13" s="50">
        <v>52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194</v>
      </c>
      <c r="P13" s="15">
        <f t="shared" si="1"/>
        <v>194</v>
      </c>
      <c r="R13" s="1" t="s">
        <v>9</v>
      </c>
      <c r="S13" s="17">
        <f t="shared" ref="S13:AF13" si="5">SUM(C22:C25)</f>
        <v>238</v>
      </c>
      <c r="T13" s="17">
        <f t="shared" si="5"/>
        <v>131</v>
      </c>
      <c r="U13" s="17">
        <f t="shared" si="5"/>
        <v>55</v>
      </c>
      <c r="V13" s="17">
        <f t="shared" si="5"/>
        <v>195</v>
      </c>
      <c r="W13" s="17">
        <f t="shared" si="5"/>
        <v>10</v>
      </c>
      <c r="X13" s="17">
        <f t="shared" si="5"/>
        <v>4</v>
      </c>
      <c r="Y13" s="17">
        <f t="shared" si="5"/>
        <v>34</v>
      </c>
      <c r="Z13" s="17">
        <f t="shared" si="5"/>
        <v>8</v>
      </c>
      <c r="AA13" s="17">
        <f t="shared" si="5"/>
        <v>9</v>
      </c>
      <c r="AB13" s="17">
        <f t="shared" si="5"/>
        <v>18</v>
      </c>
      <c r="AC13" s="17">
        <f t="shared" si="5"/>
        <v>825</v>
      </c>
      <c r="AD13" s="17">
        <f t="shared" si="5"/>
        <v>0</v>
      </c>
      <c r="AE13" s="31">
        <f t="shared" si="5"/>
        <v>702</v>
      </c>
      <c r="AF13" s="31">
        <f t="shared" si="5"/>
        <v>1527</v>
      </c>
    </row>
    <row r="14" spans="2:32" ht="23.1" customHeight="1" x14ac:dyDescent="0.25">
      <c r="B14" s="23" t="s">
        <v>41</v>
      </c>
      <c r="C14" s="50">
        <v>100</v>
      </c>
      <c r="D14" s="50">
        <v>53</v>
      </c>
      <c r="E14" s="50">
        <v>14</v>
      </c>
      <c r="F14" s="50">
        <v>50</v>
      </c>
      <c r="G14" s="50">
        <v>8</v>
      </c>
      <c r="H14" s="50">
        <v>1</v>
      </c>
      <c r="I14" s="50">
        <v>2</v>
      </c>
      <c r="J14" s="50">
        <v>0</v>
      </c>
      <c r="K14" s="50">
        <v>2</v>
      </c>
      <c r="L14" s="50">
        <v>0</v>
      </c>
      <c r="M14" s="50">
        <v>265</v>
      </c>
      <c r="N14" s="50">
        <v>0</v>
      </c>
      <c r="O14" s="15">
        <f t="shared" si="0"/>
        <v>230</v>
      </c>
      <c r="P14" s="15">
        <f t="shared" si="1"/>
        <v>495</v>
      </c>
      <c r="R14" s="1" t="s">
        <v>10</v>
      </c>
      <c r="S14" s="17">
        <f t="shared" ref="S14:AF14" si="6">SUM(C26:C29)</f>
        <v>355</v>
      </c>
      <c r="T14" s="17">
        <f t="shared" si="6"/>
        <v>78</v>
      </c>
      <c r="U14" s="17">
        <f t="shared" si="6"/>
        <v>63</v>
      </c>
      <c r="V14" s="17">
        <f t="shared" si="6"/>
        <v>140</v>
      </c>
      <c r="W14" s="17">
        <f t="shared" si="6"/>
        <v>7</v>
      </c>
      <c r="X14" s="17">
        <f t="shared" si="6"/>
        <v>3</v>
      </c>
      <c r="Y14" s="17">
        <f t="shared" si="6"/>
        <v>27</v>
      </c>
      <c r="Z14" s="17">
        <f t="shared" si="6"/>
        <v>10</v>
      </c>
      <c r="AA14" s="17">
        <f t="shared" si="6"/>
        <v>5</v>
      </c>
      <c r="AB14" s="17">
        <f t="shared" si="6"/>
        <v>8</v>
      </c>
      <c r="AC14" s="17">
        <f t="shared" si="6"/>
        <v>665</v>
      </c>
      <c r="AD14" s="17">
        <f t="shared" si="6"/>
        <v>0</v>
      </c>
      <c r="AE14" s="31">
        <f t="shared" si="6"/>
        <v>696</v>
      </c>
      <c r="AF14" s="31">
        <f t="shared" si="6"/>
        <v>1361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4</v>
      </c>
      <c r="H15" s="50">
        <v>0</v>
      </c>
      <c r="I15" s="50">
        <v>4</v>
      </c>
      <c r="J15" s="50">
        <v>4</v>
      </c>
      <c r="K15" s="50">
        <v>1</v>
      </c>
      <c r="L15" s="50">
        <v>1</v>
      </c>
      <c r="M15" s="50">
        <v>330</v>
      </c>
      <c r="N15" s="50">
        <v>0</v>
      </c>
      <c r="O15" s="15">
        <f t="shared" si="0"/>
        <v>14</v>
      </c>
      <c r="P15" s="15">
        <f t="shared" si="1"/>
        <v>344</v>
      </c>
      <c r="R15" s="1" t="s">
        <v>11</v>
      </c>
      <c r="S15" s="17">
        <f t="shared" ref="S15:AF15" si="7">SUM(C30:C33)</f>
        <v>265</v>
      </c>
      <c r="T15" s="17">
        <f t="shared" si="7"/>
        <v>91</v>
      </c>
      <c r="U15" s="17">
        <f t="shared" si="7"/>
        <v>44</v>
      </c>
      <c r="V15" s="17">
        <f t="shared" si="7"/>
        <v>158</v>
      </c>
      <c r="W15" s="17">
        <f t="shared" si="7"/>
        <v>6</v>
      </c>
      <c r="X15" s="17">
        <f t="shared" si="7"/>
        <v>3</v>
      </c>
      <c r="Y15" s="17">
        <f t="shared" si="7"/>
        <v>34</v>
      </c>
      <c r="Z15" s="17">
        <f t="shared" si="7"/>
        <v>3</v>
      </c>
      <c r="AA15" s="17">
        <f t="shared" si="7"/>
        <v>8</v>
      </c>
      <c r="AB15" s="17">
        <f t="shared" si="7"/>
        <v>22</v>
      </c>
      <c r="AC15" s="17">
        <f t="shared" si="7"/>
        <v>725</v>
      </c>
      <c r="AD15" s="17">
        <f t="shared" si="7"/>
        <v>0</v>
      </c>
      <c r="AE15" s="31">
        <f t="shared" si="7"/>
        <v>634</v>
      </c>
      <c r="AF15" s="31">
        <f t="shared" si="7"/>
        <v>1359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71</v>
      </c>
      <c r="G16" s="50">
        <v>4</v>
      </c>
      <c r="H16" s="50">
        <v>3</v>
      </c>
      <c r="I16" s="50">
        <v>3</v>
      </c>
      <c r="J16" s="50">
        <v>1</v>
      </c>
      <c r="K16" s="50">
        <v>0</v>
      </c>
      <c r="L16" s="50">
        <v>0</v>
      </c>
      <c r="M16" s="50">
        <v>330</v>
      </c>
      <c r="N16" s="50">
        <v>0</v>
      </c>
      <c r="O16" s="15">
        <f t="shared" si="0"/>
        <v>82</v>
      </c>
      <c r="P16" s="15">
        <f t="shared" si="1"/>
        <v>412</v>
      </c>
      <c r="R16" s="1" t="s">
        <v>12</v>
      </c>
      <c r="S16" s="17">
        <f t="shared" ref="S16:AF16" si="8">SUM(C34:C37)</f>
        <v>325</v>
      </c>
      <c r="T16" s="17">
        <f t="shared" si="8"/>
        <v>90</v>
      </c>
      <c r="U16" s="17">
        <f t="shared" si="8"/>
        <v>63</v>
      </c>
      <c r="V16" s="17">
        <f t="shared" si="8"/>
        <v>251</v>
      </c>
      <c r="W16" s="17">
        <f t="shared" si="8"/>
        <v>11</v>
      </c>
      <c r="X16" s="17">
        <f t="shared" si="8"/>
        <v>11</v>
      </c>
      <c r="Y16" s="17">
        <f t="shared" si="8"/>
        <v>41</v>
      </c>
      <c r="Z16" s="17">
        <f t="shared" si="8"/>
        <v>2</v>
      </c>
      <c r="AA16" s="17">
        <f t="shared" si="8"/>
        <v>2</v>
      </c>
      <c r="AB16" s="17">
        <f t="shared" si="8"/>
        <v>17</v>
      </c>
      <c r="AC16" s="17">
        <f t="shared" si="8"/>
        <v>787</v>
      </c>
      <c r="AD16" s="17">
        <f t="shared" si="8"/>
        <v>0</v>
      </c>
      <c r="AE16" s="31">
        <f t="shared" si="8"/>
        <v>813</v>
      </c>
      <c r="AF16" s="31">
        <f t="shared" si="8"/>
        <v>1600</v>
      </c>
    </row>
    <row r="17" spans="2:32" ht="23.1" customHeight="1" x14ac:dyDescent="0.25">
      <c r="B17" s="23" t="s">
        <v>44</v>
      </c>
      <c r="C17" s="50">
        <v>76</v>
      </c>
      <c r="D17" s="50">
        <v>62</v>
      </c>
      <c r="E17" s="50">
        <v>35</v>
      </c>
      <c r="F17" s="50">
        <v>78</v>
      </c>
      <c r="G17" s="50">
        <v>4</v>
      </c>
      <c r="H17" s="50">
        <v>0</v>
      </c>
      <c r="I17" s="50">
        <v>16</v>
      </c>
      <c r="J17" s="50">
        <v>1</v>
      </c>
      <c r="K17" s="50">
        <v>0</v>
      </c>
      <c r="L17" s="50">
        <v>0</v>
      </c>
      <c r="M17" s="50">
        <v>355</v>
      </c>
      <c r="N17" s="50">
        <v>0</v>
      </c>
      <c r="O17" s="15">
        <f t="shared" si="0"/>
        <v>272</v>
      </c>
      <c r="P17" s="15">
        <f t="shared" si="1"/>
        <v>627</v>
      </c>
      <c r="R17" s="1" t="s">
        <v>13</v>
      </c>
      <c r="S17" s="17">
        <f t="shared" ref="S17:AF17" si="9">SUM(C38:C41)</f>
        <v>231</v>
      </c>
      <c r="T17" s="17">
        <f t="shared" si="9"/>
        <v>48</v>
      </c>
      <c r="U17" s="17">
        <f t="shared" si="9"/>
        <v>32</v>
      </c>
      <c r="V17" s="17">
        <f t="shared" si="9"/>
        <v>165</v>
      </c>
      <c r="W17" s="17">
        <f t="shared" si="9"/>
        <v>5</v>
      </c>
      <c r="X17" s="17">
        <f t="shared" si="9"/>
        <v>5</v>
      </c>
      <c r="Y17" s="17">
        <f t="shared" si="9"/>
        <v>38</v>
      </c>
      <c r="Z17" s="17">
        <f t="shared" si="9"/>
        <v>7</v>
      </c>
      <c r="AA17" s="17">
        <f t="shared" si="9"/>
        <v>15</v>
      </c>
      <c r="AB17" s="17">
        <f t="shared" si="9"/>
        <v>18</v>
      </c>
      <c r="AC17" s="17">
        <f t="shared" si="9"/>
        <v>425</v>
      </c>
      <c r="AD17" s="17">
        <f t="shared" si="9"/>
        <v>0</v>
      </c>
      <c r="AE17" s="31">
        <f t="shared" si="9"/>
        <v>564</v>
      </c>
      <c r="AF17" s="31">
        <f t="shared" si="9"/>
        <v>989</v>
      </c>
    </row>
    <row r="18" spans="2:32" ht="23.1" customHeight="1" x14ac:dyDescent="0.25">
      <c r="B18" s="23" t="s">
        <v>45</v>
      </c>
      <c r="C18" s="50">
        <v>38</v>
      </c>
      <c r="D18" s="50">
        <v>16</v>
      </c>
      <c r="E18" s="50">
        <v>21</v>
      </c>
      <c r="F18" s="50">
        <v>65</v>
      </c>
      <c r="G18" s="50">
        <v>2</v>
      </c>
      <c r="H18" s="50">
        <v>1</v>
      </c>
      <c r="I18" s="50">
        <v>6</v>
      </c>
      <c r="J18" s="50">
        <v>1</v>
      </c>
      <c r="K18" s="50">
        <v>1</v>
      </c>
      <c r="L18" s="50">
        <v>3</v>
      </c>
      <c r="M18" s="50">
        <v>355</v>
      </c>
      <c r="N18" s="50">
        <v>0</v>
      </c>
      <c r="O18" s="15">
        <f t="shared" si="0"/>
        <v>154</v>
      </c>
      <c r="P18" s="15">
        <f t="shared" si="1"/>
        <v>509</v>
      </c>
      <c r="R18" s="1" t="s">
        <v>14</v>
      </c>
      <c r="S18" s="17">
        <f t="shared" ref="S18:AF18" si="10">SUM(C42:C45)</f>
        <v>239</v>
      </c>
      <c r="T18" s="17">
        <f t="shared" si="10"/>
        <v>103</v>
      </c>
      <c r="U18" s="17">
        <f t="shared" si="10"/>
        <v>35</v>
      </c>
      <c r="V18" s="17">
        <f t="shared" si="10"/>
        <v>143</v>
      </c>
      <c r="W18" s="17">
        <f t="shared" si="10"/>
        <v>1</v>
      </c>
      <c r="X18" s="17">
        <f t="shared" si="10"/>
        <v>5</v>
      </c>
      <c r="Y18" s="17">
        <f t="shared" si="10"/>
        <v>19</v>
      </c>
      <c r="Z18" s="17">
        <f t="shared" si="10"/>
        <v>10</v>
      </c>
      <c r="AA18" s="17">
        <f t="shared" si="10"/>
        <v>4</v>
      </c>
      <c r="AB18" s="17">
        <f t="shared" si="10"/>
        <v>13</v>
      </c>
      <c r="AC18" s="17">
        <f t="shared" si="10"/>
        <v>471</v>
      </c>
      <c r="AD18" s="17">
        <f t="shared" si="10"/>
        <v>0</v>
      </c>
      <c r="AE18" s="31">
        <f t="shared" si="10"/>
        <v>572</v>
      </c>
      <c r="AF18" s="31">
        <f t="shared" si="10"/>
        <v>1043</v>
      </c>
    </row>
    <row r="19" spans="2:32" ht="23.1" customHeight="1" x14ac:dyDescent="0.25">
      <c r="B19" s="23" t="s">
        <v>46</v>
      </c>
      <c r="C19" s="50">
        <v>58</v>
      </c>
      <c r="D19" s="50">
        <v>35</v>
      </c>
      <c r="E19" s="50">
        <v>22</v>
      </c>
      <c r="F19" s="50">
        <v>74</v>
      </c>
      <c r="G19" s="50">
        <v>10</v>
      </c>
      <c r="H19" s="50">
        <v>0</v>
      </c>
      <c r="I19" s="50">
        <v>13</v>
      </c>
      <c r="J19" s="50">
        <v>2</v>
      </c>
      <c r="K19" s="50">
        <v>2</v>
      </c>
      <c r="L19" s="50">
        <v>4</v>
      </c>
      <c r="M19" s="50">
        <v>265</v>
      </c>
      <c r="N19" s="50">
        <v>0</v>
      </c>
      <c r="O19" s="15">
        <f t="shared" si="0"/>
        <v>220</v>
      </c>
      <c r="P19" s="15">
        <f t="shared" si="1"/>
        <v>485</v>
      </c>
      <c r="R19" s="1" t="s">
        <v>15</v>
      </c>
      <c r="S19" s="17">
        <f t="shared" ref="S19:AF19" si="11">SUM(C46:C49)</f>
        <v>173</v>
      </c>
      <c r="T19" s="17">
        <f t="shared" si="11"/>
        <v>72</v>
      </c>
      <c r="U19" s="17">
        <f t="shared" si="11"/>
        <v>36</v>
      </c>
      <c r="V19" s="17">
        <f t="shared" si="11"/>
        <v>211</v>
      </c>
      <c r="W19" s="17">
        <f t="shared" si="11"/>
        <v>2</v>
      </c>
      <c r="X19" s="17">
        <f t="shared" si="11"/>
        <v>10</v>
      </c>
      <c r="Y19" s="17">
        <f t="shared" si="11"/>
        <v>28</v>
      </c>
      <c r="Z19" s="17">
        <f t="shared" si="11"/>
        <v>10</v>
      </c>
      <c r="AA19" s="17">
        <f t="shared" si="11"/>
        <v>4</v>
      </c>
      <c r="AB19" s="17">
        <f t="shared" si="11"/>
        <v>13</v>
      </c>
      <c r="AC19" s="17">
        <f t="shared" si="11"/>
        <v>471</v>
      </c>
      <c r="AD19" s="17">
        <f t="shared" si="11"/>
        <v>0</v>
      </c>
      <c r="AE19" s="31">
        <f t="shared" si="11"/>
        <v>559</v>
      </c>
      <c r="AF19" s="31">
        <f t="shared" si="11"/>
        <v>1030</v>
      </c>
    </row>
    <row r="20" spans="2:32" ht="23.1" customHeight="1" x14ac:dyDescent="0.25">
      <c r="B20" s="23" t="s">
        <v>47</v>
      </c>
      <c r="C20" s="50">
        <v>96</v>
      </c>
      <c r="D20" s="50">
        <v>31</v>
      </c>
      <c r="E20" s="50">
        <v>14</v>
      </c>
      <c r="F20" s="50">
        <v>46</v>
      </c>
      <c r="G20" s="50">
        <v>0</v>
      </c>
      <c r="H20" s="50">
        <v>2</v>
      </c>
      <c r="I20" s="50">
        <v>10</v>
      </c>
      <c r="J20" s="50">
        <v>3</v>
      </c>
      <c r="K20" s="50">
        <v>3</v>
      </c>
      <c r="L20" s="50">
        <v>5</v>
      </c>
      <c r="M20" s="50">
        <v>185</v>
      </c>
      <c r="N20" s="50">
        <v>0</v>
      </c>
      <c r="O20" s="15">
        <f t="shared" si="0"/>
        <v>210</v>
      </c>
      <c r="P20" s="15">
        <f t="shared" si="1"/>
        <v>395</v>
      </c>
      <c r="R20" s="1" t="s">
        <v>16</v>
      </c>
      <c r="S20" s="17">
        <f t="shared" ref="S20:AF20" si="12">SUM(C50:C53)</f>
        <v>144</v>
      </c>
      <c r="T20" s="17">
        <f t="shared" si="12"/>
        <v>52</v>
      </c>
      <c r="U20" s="17">
        <f t="shared" si="12"/>
        <v>24</v>
      </c>
      <c r="V20" s="17">
        <f t="shared" si="12"/>
        <v>155</v>
      </c>
      <c r="W20" s="17">
        <f t="shared" si="12"/>
        <v>4</v>
      </c>
      <c r="X20" s="17">
        <f t="shared" si="12"/>
        <v>8</v>
      </c>
      <c r="Y20" s="17">
        <f t="shared" si="12"/>
        <v>16</v>
      </c>
      <c r="Z20" s="17">
        <f t="shared" si="12"/>
        <v>2</v>
      </c>
      <c r="AA20" s="17">
        <f t="shared" si="12"/>
        <v>2</v>
      </c>
      <c r="AB20" s="17">
        <f t="shared" si="12"/>
        <v>9</v>
      </c>
      <c r="AC20" s="17">
        <f t="shared" si="12"/>
        <v>481</v>
      </c>
      <c r="AD20" s="17">
        <f t="shared" si="12"/>
        <v>0</v>
      </c>
      <c r="AE20" s="31">
        <f t="shared" si="12"/>
        <v>416</v>
      </c>
      <c r="AF20" s="31">
        <f t="shared" si="12"/>
        <v>897</v>
      </c>
    </row>
    <row r="21" spans="2:32" ht="23.1" customHeight="1" x14ac:dyDescent="0.25">
      <c r="B21" s="23" t="s">
        <v>48</v>
      </c>
      <c r="C21" s="50">
        <v>87</v>
      </c>
      <c r="D21" s="50">
        <v>38</v>
      </c>
      <c r="E21" s="50">
        <v>21</v>
      </c>
      <c r="F21" s="50">
        <v>50</v>
      </c>
      <c r="G21" s="50">
        <v>7</v>
      </c>
      <c r="H21" s="50">
        <v>1</v>
      </c>
      <c r="I21" s="50">
        <v>6</v>
      </c>
      <c r="J21" s="50">
        <v>4</v>
      </c>
      <c r="K21" s="50">
        <v>0</v>
      </c>
      <c r="L21" s="50">
        <v>10</v>
      </c>
      <c r="M21" s="50">
        <v>240</v>
      </c>
      <c r="N21" s="50">
        <v>0</v>
      </c>
      <c r="O21" s="15">
        <f t="shared" si="0"/>
        <v>224</v>
      </c>
      <c r="P21" s="15">
        <f t="shared" si="1"/>
        <v>464</v>
      </c>
      <c r="R21" s="36" t="s">
        <v>20</v>
      </c>
      <c r="S21" s="34">
        <f t="shared" ref="S21:AF21" si="13">SUM(C54:C57)</f>
        <v>79</v>
      </c>
      <c r="T21" s="17">
        <f t="shared" si="13"/>
        <v>25</v>
      </c>
      <c r="U21" s="17">
        <f t="shared" si="13"/>
        <v>11</v>
      </c>
      <c r="V21" s="17">
        <f t="shared" si="13"/>
        <v>209</v>
      </c>
      <c r="W21" s="17">
        <f t="shared" si="13"/>
        <v>2</v>
      </c>
      <c r="X21" s="17">
        <f t="shared" si="13"/>
        <v>6</v>
      </c>
      <c r="Y21" s="17">
        <f t="shared" si="13"/>
        <v>23</v>
      </c>
      <c r="Z21" s="17">
        <f t="shared" si="13"/>
        <v>3</v>
      </c>
      <c r="AA21" s="17">
        <f t="shared" si="13"/>
        <v>0</v>
      </c>
      <c r="AB21" s="17">
        <f t="shared" si="13"/>
        <v>10</v>
      </c>
      <c r="AC21" s="17">
        <f t="shared" si="13"/>
        <v>570</v>
      </c>
      <c r="AD21" s="17">
        <f t="shared" si="13"/>
        <v>0</v>
      </c>
      <c r="AE21" s="31">
        <f t="shared" si="13"/>
        <v>368</v>
      </c>
      <c r="AF21" s="31">
        <f t="shared" si="13"/>
        <v>938</v>
      </c>
    </row>
    <row r="22" spans="2:32" ht="23.1" customHeight="1" x14ac:dyDescent="0.25">
      <c r="B22" s="23" t="s">
        <v>49</v>
      </c>
      <c r="C22" s="50">
        <v>66</v>
      </c>
      <c r="D22" s="50">
        <v>46</v>
      </c>
      <c r="E22" s="50">
        <v>13</v>
      </c>
      <c r="F22" s="50">
        <v>43</v>
      </c>
      <c r="G22" s="50">
        <v>2</v>
      </c>
      <c r="H22" s="50">
        <v>0</v>
      </c>
      <c r="I22" s="50">
        <v>6</v>
      </c>
      <c r="J22" s="50">
        <v>5</v>
      </c>
      <c r="K22" s="50">
        <v>3</v>
      </c>
      <c r="L22" s="50">
        <v>9</v>
      </c>
      <c r="M22" s="50">
        <v>185</v>
      </c>
      <c r="N22" s="50">
        <v>0</v>
      </c>
      <c r="O22" s="15">
        <f t="shared" si="0"/>
        <v>193</v>
      </c>
      <c r="P22" s="15">
        <f t="shared" si="1"/>
        <v>378</v>
      </c>
      <c r="R22" s="38" t="s">
        <v>90</v>
      </c>
      <c r="S22" s="39">
        <f>MAX(S10:S12)</f>
        <v>279</v>
      </c>
      <c r="T22" s="39">
        <f t="shared" ref="T22:AF22" si="14">MAX(T10:T12)</f>
        <v>120</v>
      </c>
      <c r="U22" s="39">
        <f t="shared" si="14"/>
        <v>78</v>
      </c>
      <c r="V22" s="39">
        <f t="shared" si="14"/>
        <v>235</v>
      </c>
      <c r="W22" s="39">
        <f t="shared" si="14"/>
        <v>20</v>
      </c>
      <c r="X22" s="39">
        <f t="shared" si="14"/>
        <v>4</v>
      </c>
      <c r="Y22" s="39">
        <f t="shared" si="14"/>
        <v>35</v>
      </c>
      <c r="Z22" s="39">
        <f t="shared" si="14"/>
        <v>10</v>
      </c>
      <c r="AA22" s="39">
        <f t="shared" si="14"/>
        <v>6</v>
      </c>
      <c r="AB22" s="39">
        <f t="shared" si="14"/>
        <v>22</v>
      </c>
      <c r="AC22" s="39">
        <f t="shared" si="14"/>
        <v>1280</v>
      </c>
      <c r="AD22" s="39">
        <f t="shared" si="14"/>
        <v>0</v>
      </c>
      <c r="AE22" s="40">
        <f t="shared" si="14"/>
        <v>808</v>
      </c>
      <c r="AF22" s="40">
        <f t="shared" si="14"/>
        <v>1878</v>
      </c>
    </row>
    <row r="23" spans="2:32" ht="23.1" customHeight="1" x14ac:dyDescent="0.25">
      <c r="B23" s="23" t="s">
        <v>50</v>
      </c>
      <c r="C23" s="50">
        <v>43</v>
      </c>
      <c r="D23" s="50">
        <v>24</v>
      </c>
      <c r="E23" s="50">
        <v>8</v>
      </c>
      <c r="F23" s="50">
        <v>59</v>
      </c>
      <c r="G23" s="50">
        <v>2</v>
      </c>
      <c r="H23" s="50">
        <v>2</v>
      </c>
      <c r="I23" s="50">
        <v>12</v>
      </c>
      <c r="J23" s="50">
        <v>1</v>
      </c>
      <c r="K23" s="50">
        <v>2</v>
      </c>
      <c r="L23" s="50">
        <v>3</v>
      </c>
      <c r="M23" s="50">
        <v>195</v>
      </c>
      <c r="N23" s="50">
        <v>0</v>
      </c>
      <c r="O23" s="15">
        <f t="shared" si="0"/>
        <v>156</v>
      </c>
      <c r="P23" s="15">
        <f t="shared" si="1"/>
        <v>351</v>
      </c>
      <c r="R23" s="38" t="s">
        <v>91</v>
      </c>
      <c r="S23" s="39">
        <f>MAX(S13:S18)</f>
        <v>355</v>
      </c>
      <c r="T23" s="39">
        <f t="shared" ref="T23:AF23" si="15">MAX(T13:T18)</f>
        <v>131</v>
      </c>
      <c r="U23" s="39">
        <f t="shared" si="15"/>
        <v>63</v>
      </c>
      <c r="V23" s="39">
        <f t="shared" si="15"/>
        <v>251</v>
      </c>
      <c r="W23" s="39">
        <f t="shared" si="15"/>
        <v>11</v>
      </c>
      <c r="X23" s="39">
        <f t="shared" si="15"/>
        <v>11</v>
      </c>
      <c r="Y23" s="39">
        <f t="shared" si="15"/>
        <v>41</v>
      </c>
      <c r="Z23" s="39">
        <f t="shared" si="15"/>
        <v>10</v>
      </c>
      <c r="AA23" s="39">
        <f t="shared" si="15"/>
        <v>15</v>
      </c>
      <c r="AB23" s="39">
        <f t="shared" si="15"/>
        <v>22</v>
      </c>
      <c r="AC23" s="39">
        <f t="shared" si="15"/>
        <v>825</v>
      </c>
      <c r="AD23" s="39">
        <f t="shared" si="15"/>
        <v>0</v>
      </c>
      <c r="AE23" s="40">
        <f t="shared" si="15"/>
        <v>813</v>
      </c>
      <c r="AF23" s="40">
        <f t="shared" si="15"/>
        <v>1600</v>
      </c>
    </row>
    <row r="24" spans="2:32" ht="23.1" customHeight="1" x14ac:dyDescent="0.25">
      <c r="B24" s="23" t="s">
        <v>51</v>
      </c>
      <c r="C24" s="50">
        <v>62</v>
      </c>
      <c r="D24" s="50">
        <v>28</v>
      </c>
      <c r="E24" s="50">
        <v>13</v>
      </c>
      <c r="F24" s="50">
        <v>48</v>
      </c>
      <c r="G24" s="50">
        <v>4</v>
      </c>
      <c r="H24" s="50">
        <v>1</v>
      </c>
      <c r="I24" s="50">
        <v>6</v>
      </c>
      <c r="J24" s="50">
        <v>2</v>
      </c>
      <c r="K24" s="50">
        <v>2</v>
      </c>
      <c r="L24" s="50">
        <v>4</v>
      </c>
      <c r="M24" s="50">
        <v>200</v>
      </c>
      <c r="N24" s="50">
        <v>0</v>
      </c>
      <c r="O24" s="15">
        <f t="shared" si="0"/>
        <v>170</v>
      </c>
      <c r="P24" s="15">
        <f t="shared" si="1"/>
        <v>370</v>
      </c>
      <c r="R24" s="38" t="s">
        <v>92</v>
      </c>
      <c r="S24" s="39">
        <f>MAX(S19:S21)</f>
        <v>173</v>
      </c>
      <c r="T24" s="39">
        <f t="shared" ref="T24:AF24" si="16">MAX(T19:T21)</f>
        <v>72</v>
      </c>
      <c r="U24" s="39">
        <f t="shared" si="16"/>
        <v>36</v>
      </c>
      <c r="V24" s="39">
        <f t="shared" si="16"/>
        <v>211</v>
      </c>
      <c r="W24" s="39">
        <f t="shared" si="16"/>
        <v>4</v>
      </c>
      <c r="X24" s="39">
        <f t="shared" si="16"/>
        <v>10</v>
      </c>
      <c r="Y24" s="39">
        <f t="shared" si="16"/>
        <v>28</v>
      </c>
      <c r="Z24" s="39">
        <f t="shared" si="16"/>
        <v>10</v>
      </c>
      <c r="AA24" s="39">
        <f t="shared" si="16"/>
        <v>4</v>
      </c>
      <c r="AB24" s="39">
        <f t="shared" si="16"/>
        <v>13</v>
      </c>
      <c r="AC24" s="39">
        <f t="shared" si="16"/>
        <v>570</v>
      </c>
      <c r="AD24" s="39">
        <f t="shared" si="16"/>
        <v>0</v>
      </c>
      <c r="AE24" s="40">
        <f t="shared" si="16"/>
        <v>559</v>
      </c>
      <c r="AF24" s="40">
        <f t="shared" si="16"/>
        <v>1030</v>
      </c>
    </row>
    <row r="25" spans="2:32" ht="23.1" customHeight="1" x14ac:dyDescent="0.25">
      <c r="B25" s="23" t="s">
        <v>52</v>
      </c>
      <c r="C25" s="50">
        <v>67</v>
      </c>
      <c r="D25" s="50">
        <v>33</v>
      </c>
      <c r="E25" s="50">
        <v>21</v>
      </c>
      <c r="F25" s="50">
        <v>45</v>
      </c>
      <c r="G25" s="50">
        <v>2</v>
      </c>
      <c r="H25" s="50">
        <v>1</v>
      </c>
      <c r="I25" s="50">
        <v>10</v>
      </c>
      <c r="J25" s="50">
        <v>0</v>
      </c>
      <c r="K25" s="50">
        <v>2</v>
      </c>
      <c r="L25" s="50">
        <v>2</v>
      </c>
      <c r="M25" s="50">
        <v>245</v>
      </c>
      <c r="N25" s="50">
        <v>0</v>
      </c>
      <c r="O25" s="15">
        <f t="shared" si="0"/>
        <v>183</v>
      </c>
      <c r="P25" s="15">
        <f t="shared" si="1"/>
        <v>428</v>
      </c>
      <c r="R25" s="37" t="s">
        <v>85</v>
      </c>
      <c r="S25" s="35">
        <f t="shared" ref="S25:AF25" si="17">SUM(S10:S12)</f>
        <v>591</v>
      </c>
      <c r="T25" s="16">
        <f t="shared" si="17"/>
        <v>311</v>
      </c>
      <c r="U25" s="16">
        <f t="shared" si="17"/>
        <v>203</v>
      </c>
      <c r="V25" s="16">
        <f t="shared" si="17"/>
        <v>434</v>
      </c>
      <c r="W25" s="16">
        <f t="shared" si="17"/>
        <v>39</v>
      </c>
      <c r="X25" s="16">
        <f t="shared" si="17"/>
        <v>8</v>
      </c>
      <c r="Y25" s="16">
        <f t="shared" si="17"/>
        <v>60</v>
      </c>
      <c r="Z25" s="16">
        <f t="shared" si="17"/>
        <v>16</v>
      </c>
      <c r="AA25" s="16">
        <f t="shared" si="17"/>
        <v>9</v>
      </c>
      <c r="AB25" s="16">
        <f t="shared" si="17"/>
        <v>23</v>
      </c>
      <c r="AC25" s="16">
        <f t="shared" si="17"/>
        <v>2325</v>
      </c>
      <c r="AD25" s="16">
        <f t="shared" si="17"/>
        <v>0</v>
      </c>
      <c r="AE25" s="32">
        <f t="shared" si="17"/>
        <v>1694</v>
      </c>
      <c r="AF25" s="32">
        <f t="shared" si="17"/>
        <v>4019</v>
      </c>
    </row>
    <row r="26" spans="2:32" ht="23.1" customHeight="1" x14ac:dyDescent="0.25">
      <c r="B26" s="23" t="s">
        <v>53</v>
      </c>
      <c r="C26" s="50">
        <v>61</v>
      </c>
      <c r="D26" s="50">
        <v>23</v>
      </c>
      <c r="E26" s="50">
        <v>21</v>
      </c>
      <c r="F26" s="50">
        <v>37</v>
      </c>
      <c r="G26" s="50">
        <v>0</v>
      </c>
      <c r="H26" s="50">
        <v>1</v>
      </c>
      <c r="I26" s="50">
        <v>7</v>
      </c>
      <c r="J26" s="50">
        <v>0</v>
      </c>
      <c r="K26" s="50">
        <v>2</v>
      </c>
      <c r="L26" s="50">
        <v>3</v>
      </c>
      <c r="M26" s="50">
        <v>225</v>
      </c>
      <c r="N26" s="50">
        <v>0</v>
      </c>
      <c r="O26" s="15">
        <f t="shared" si="0"/>
        <v>155</v>
      </c>
      <c r="P26" s="15">
        <f t="shared" si="1"/>
        <v>380</v>
      </c>
      <c r="R26" s="28" t="s">
        <v>86</v>
      </c>
      <c r="S26" s="16">
        <f t="shared" ref="S26:AF26" si="18">SUM(S13:S18)</f>
        <v>1653</v>
      </c>
      <c r="T26" s="16">
        <f t="shared" si="18"/>
        <v>541</v>
      </c>
      <c r="U26" s="16">
        <f t="shared" si="18"/>
        <v>292</v>
      </c>
      <c r="V26" s="16">
        <f t="shared" si="18"/>
        <v>1052</v>
      </c>
      <c r="W26" s="16">
        <f t="shared" si="18"/>
        <v>40</v>
      </c>
      <c r="X26" s="16">
        <f t="shared" si="18"/>
        <v>31</v>
      </c>
      <c r="Y26" s="16">
        <f t="shared" si="18"/>
        <v>193</v>
      </c>
      <c r="Z26" s="16">
        <f t="shared" si="18"/>
        <v>40</v>
      </c>
      <c r="AA26" s="16">
        <f t="shared" si="18"/>
        <v>43</v>
      </c>
      <c r="AB26" s="16">
        <f t="shared" si="18"/>
        <v>96</v>
      </c>
      <c r="AC26" s="16">
        <f t="shared" si="18"/>
        <v>3898</v>
      </c>
      <c r="AD26" s="16">
        <f t="shared" si="18"/>
        <v>0</v>
      </c>
      <c r="AE26" s="32">
        <f t="shared" si="18"/>
        <v>3981</v>
      </c>
      <c r="AF26" s="32">
        <f t="shared" si="18"/>
        <v>7879</v>
      </c>
    </row>
    <row r="27" spans="2:32" ht="23.1" customHeight="1" x14ac:dyDescent="0.25">
      <c r="B27" s="23" t="s">
        <v>54</v>
      </c>
      <c r="C27" s="50">
        <v>105</v>
      </c>
      <c r="D27" s="50">
        <v>24</v>
      </c>
      <c r="E27" s="50">
        <v>12</v>
      </c>
      <c r="F27" s="50">
        <v>35</v>
      </c>
      <c r="G27" s="50">
        <v>3</v>
      </c>
      <c r="H27" s="50">
        <v>0</v>
      </c>
      <c r="I27" s="50">
        <v>4</v>
      </c>
      <c r="J27" s="50">
        <v>3</v>
      </c>
      <c r="K27" s="50">
        <v>2</v>
      </c>
      <c r="L27" s="50">
        <v>1</v>
      </c>
      <c r="M27" s="50">
        <v>150</v>
      </c>
      <c r="N27" s="50">
        <v>0</v>
      </c>
      <c r="O27" s="15">
        <f t="shared" si="0"/>
        <v>189</v>
      </c>
      <c r="P27" s="15">
        <f t="shared" si="1"/>
        <v>339</v>
      </c>
      <c r="R27" s="29" t="s">
        <v>87</v>
      </c>
      <c r="S27" s="16">
        <f t="shared" ref="S27:AF27" si="19">SUM(S19:S21)</f>
        <v>396</v>
      </c>
      <c r="T27" s="16">
        <f t="shared" si="19"/>
        <v>149</v>
      </c>
      <c r="U27" s="16">
        <f t="shared" si="19"/>
        <v>71</v>
      </c>
      <c r="V27" s="16">
        <f t="shared" si="19"/>
        <v>575</v>
      </c>
      <c r="W27" s="16">
        <f t="shared" si="19"/>
        <v>8</v>
      </c>
      <c r="X27" s="16">
        <f t="shared" si="19"/>
        <v>24</v>
      </c>
      <c r="Y27" s="16">
        <f t="shared" si="19"/>
        <v>67</v>
      </c>
      <c r="Z27" s="16">
        <f t="shared" si="19"/>
        <v>15</v>
      </c>
      <c r="AA27" s="16">
        <f t="shared" si="19"/>
        <v>6</v>
      </c>
      <c r="AB27" s="16">
        <f t="shared" si="19"/>
        <v>32</v>
      </c>
      <c r="AC27" s="16">
        <f t="shared" si="19"/>
        <v>1522</v>
      </c>
      <c r="AD27" s="16">
        <f t="shared" si="19"/>
        <v>0</v>
      </c>
      <c r="AE27" s="32">
        <f t="shared" si="19"/>
        <v>1343</v>
      </c>
      <c r="AF27" s="32">
        <f t="shared" si="19"/>
        <v>2865</v>
      </c>
    </row>
    <row r="28" spans="2:32" ht="23.1" customHeight="1" x14ac:dyDescent="0.25">
      <c r="B28" s="23" t="s">
        <v>55</v>
      </c>
      <c r="C28" s="50">
        <v>86</v>
      </c>
      <c r="D28" s="50">
        <v>13</v>
      </c>
      <c r="E28" s="50">
        <v>16</v>
      </c>
      <c r="F28" s="50">
        <v>35</v>
      </c>
      <c r="G28" s="50">
        <v>4</v>
      </c>
      <c r="H28" s="50">
        <v>0</v>
      </c>
      <c r="I28" s="50">
        <v>6</v>
      </c>
      <c r="J28" s="50">
        <v>1</v>
      </c>
      <c r="K28" s="50">
        <v>0</v>
      </c>
      <c r="L28" s="50">
        <v>1</v>
      </c>
      <c r="M28" s="50">
        <v>120</v>
      </c>
      <c r="N28" s="50">
        <v>0</v>
      </c>
      <c r="O28" s="15">
        <f t="shared" si="0"/>
        <v>162</v>
      </c>
      <c r="P28" s="15">
        <f t="shared" si="1"/>
        <v>282</v>
      </c>
      <c r="R28" s="5" t="s">
        <v>17</v>
      </c>
      <c r="S28" s="16">
        <f t="shared" ref="S28:AF28" si="20">SUM(S10:S21)</f>
        <v>2640</v>
      </c>
      <c r="T28" s="16">
        <f t="shared" si="20"/>
        <v>1001</v>
      </c>
      <c r="U28" s="16">
        <f t="shared" si="20"/>
        <v>566</v>
      </c>
      <c r="V28" s="16">
        <f t="shared" si="20"/>
        <v>2061</v>
      </c>
      <c r="W28" s="16">
        <f t="shared" si="20"/>
        <v>87</v>
      </c>
      <c r="X28" s="16">
        <f t="shared" si="20"/>
        <v>63</v>
      </c>
      <c r="Y28" s="16">
        <f t="shared" si="20"/>
        <v>320</v>
      </c>
      <c r="Z28" s="16">
        <f t="shared" si="20"/>
        <v>71</v>
      </c>
      <c r="AA28" s="16">
        <f t="shared" si="20"/>
        <v>58</v>
      </c>
      <c r="AB28" s="16">
        <f t="shared" si="20"/>
        <v>151</v>
      </c>
      <c r="AC28" s="16">
        <f t="shared" si="20"/>
        <v>7745</v>
      </c>
      <c r="AD28" s="16">
        <f t="shared" si="20"/>
        <v>0</v>
      </c>
      <c r="AE28" s="32">
        <f t="shared" si="20"/>
        <v>7018</v>
      </c>
      <c r="AF28" s="32">
        <f t="shared" si="20"/>
        <v>14763</v>
      </c>
    </row>
    <row r="29" spans="2:32" ht="23.1" customHeight="1" x14ac:dyDescent="0.25">
      <c r="B29" s="23" t="s">
        <v>56</v>
      </c>
      <c r="C29" s="50">
        <v>103</v>
      </c>
      <c r="D29" s="50">
        <v>18</v>
      </c>
      <c r="E29" s="50">
        <v>14</v>
      </c>
      <c r="F29" s="50">
        <v>33</v>
      </c>
      <c r="G29" s="50">
        <v>0</v>
      </c>
      <c r="H29" s="50">
        <v>2</v>
      </c>
      <c r="I29" s="50">
        <v>10</v>
      </c>
      <c r="J29" s="50">
        <v>6</v>
      </c>
      <c r="K29" s="50">
        <v>1</v>
      </c>
      <c r="L29" s="50">
        <v>3</v>
      </c>
      <c r="M29" s="50">
        <v>170</v>
      </c>
      <c r="N29" s="50">
        <v>0</v>
      </c>
      <c r="O29" s="15">
        <f t="shared" si="0"/>
        <v>190</v>
      </c>
      <c r="P29" s="15">
        <f t="shared" si="1"/>
        <v>360</v>
      </c>
      <c r="R29"/>
      <c r="S29" s="20"/>
      <c r="T29" s="19"/>
    </row>
    <row r="30" spans="2:32" ht="23.1" customHeight="1" x14ac:dyDescent="0.25">
      <c r="B30" s="23" t="s">
        <v>57</v>
      </c>
      <c r="C30" s="50">
        <v>60</v>
      </c>
      <c r="D30" s="50">
        <v>28</v>
      </c>
      <c r="E30" s="50">
        <v>9</v>
      </c>
      <c r="F30" s="50">
        <v>41</v>
      </c>
      <c r="G30" s="50">
        <v>5</v>
      </c>
      <c r="H30" s="50">
        <v>0</v>
      </c>
      <c r="I30" s="50">
        <v>10</v>
      </c>
      <c r="J30" s="50">
        <v>2</v>
      </c>
      <c r="K30" s="50">
        <v>0</v>
      </c>
      <c r="L30" s="50">
        <v>3</v>
      </c>
      <c r="M30" s="50">
        <v>191</v>
      </c>
      <c r="N30" s="50">
        <v>0</v>
      </c>
      <c r="O30" s="15">
        <f t="shared" si="0"/>
        <v>158</v>
      </c>
      <c r="P30" s="15">
        <f t="shared" si="1"/>
        <v>349</v>
      </c>
    </row>
    <row r="31" spans="2:32" ht="23.1" customHeight="1" x14ac:dyDescent="0.25">
      <c r="B31" s="24" t="s">
        <v>58</v>
      </c>
      <c r="C31" s="50">
        <v>55</v>
      </c>
      <c r="D31" s="50">
        <v>16</v>
      </c>
      <c r="E31" s="50">
        <v>7</v>
      </c>
      <c r="F31" s="50">
        <v>15</v>
      </c>
      <c r="G31" s="50">
        <v>0</v>
      </c>
      <c r="H31" s="50">
        <v>0</v>
      </c>
      <c r="I31" s="50">
        <v>3</v>
      </c>
      <c r="J31" s="50">
        <v>0</v>
      </c>
      <c r="K31" s="50">
        <v>3</v>
      </c>
      <c r="L31" s="50">
        <v>2</v>
      </c>
      <c r="M31" s="50">
        <v>95</v>
      </c>
      <c r="N31" s="50">
        <v>0</v>
      </c>
      <c r="O31" s="15">
        <f t="shared" si="0"/>
        <v>101</v>
      </c>
      <c r="P31" s="15">
        <f t="shared" si="1"/>
        <v>196</v>
      </c>
    </row>
    <row r="32" spans="2:32" ht="23.1" customHeight="1" x14ac:dyDescent="0.25">
      <c r="B32" s="24" t="s">
        <v>59</v>
      </c>
      <c r="C32" s="50">
        <v>87</v>
      </c>
      <c r="D32" s="50">
        <v>25</v>
      </c>
      <c r="E32" s="50">
        <v>19</v>
      </c>
      <c r="F32" s="50">
        <v>49</v>
      </c>
      <c r="G32" s="50">
        <v>0</v>
      </c>
      <c r="H32" s="50">
        <v>1</v>
      </c>
      <c r="I32" s="50">
        <v>9</v>
      </c>
      <c r="J32" s="50">
        <v>0</v>
      </c>
      <c r="K32" s="50">
        <v>4</v>
      </c>
      <c r="L32" s="50">
        <v>9</v>
      </c>
      <c r="M32" s="50">
        <v>229</v>
      </c>
      <c r="N32" s="50">
        <v>0</v>
      </c>
      <c r="O32" s="15">
        <f t="shared" si="0"/>
        <v>203</v>
      </c>
      <c r="P32" s="15">
        <f t="shared" si="1"/>
        <v>432</v>
      </c>
    </row>
    <row r="33" spans="2:20" ht="23.1" customHeight="1" x14ac:dyDescent="0.25">
      <c r="B33" s="23" t="s">
        <v>60</v>
      </c>
      <c r="C33" s="50">
        <v>63</v>
      </c>
      <c r="D33" s="50">
        <v>22</v>
      </c>
      <c r="E33" s="50">
        <v>9</v>
      </c>
      <c r="F33" s="50">
        <v>53</v>
      </c>
      <c r="G33" s="50">
        <v>1</v>
      </c>
      <c r="H33" s="50">
        <v>2</v>
      </c>
      <c r="I33" s="50">
        <v>12</v>
      </c>
      <c r="J33" s="50">
        <v>1</v>
      </c>
      <c r="K33" s="50">
        <v>1</v>
      </c>
      <c r="L33" s="50">
        <v>8</v>
      </c>
      <c r="M33" s="50">
        <v>210</v>
      </c>
      <c r="N33" s="50">
        <v>0</v>
      </c>
      <c r="O33" s="15">
        <f t="shared" si="0"/>
        <v>172</v>
      </c>
      <c r="P33" s="15">
        <f t="shared" si="1"/>
        <v>382</v>
      </c>
    </row>
    <row r="34" spans="2:20" ht="23.1" customHeight="1" x14ac:dyDescent="0.25">
      <c r="B34" s="24" t="s">
        <v>61</v>
      </c>
      <c r="C34" s="50">
        <v>67</v>
      </c>
      <c r="D34" s="50">
        <v>17</v>
      </c>
      <c r="E34" s="50">
        <v>9</v>
      </c>
      <c r="F34" s="50">
        <v>64</v>
      </c>
      <c r="G34" s="50">
        <v>5</v>
      </c>
      <c r="H34" s="50">
        <v>2</v>
      </c>
      <c r="I34" s="50">
        <v>16</v>
      </c>
      <c r="J34" s="50">
        <v>0</v>
      </c>
      <c r="K34" s="50">
        <v>0</v>
      </c>
      <c r="L34" s="50">
        <v>1</v>
      </c>
      <c r="M34" s="50">
        <v>280</v>
      </c>
      <c r="N34" s="50">
        <v>0</v>
      </c>
      <c r="O34" s="15">
        <f t="shared" si="0"/>
        <v>181</v>
      </c>
      <c r="P34" s="15">
        <f t="shared" si="1"/>
        <v>461</v>
      </c>
    </row>
    <row r="35" spans="2:20" ht="23.1" customHeight="1" x14ac:dyDescent="0.25">
      <c r="B35" s="24" t="s">
        <v>62</v>
      </c>
      <c r="C35" s="50">
        <v>50</v>
      </c>
      <c r="D35" s="50">
        <v>21</v>
      </c>
      <c r="E35" s="50">
        <v>21</v>
      </c>
      <c r="F35" s="50">
        <v>60</v>
      </c>
      <c r="G35" s="50">
        <v>1</v>
      </c>
      <c r="H35" s="50">
        <v>3</v>
      </c>
      <c r="I35" s="50">
        <v>11</v>
      </c>
      <c r="J35" s="50">
        <v>0</v>
      </c>
      <c r="K35" s="50">
        <v>1</v>
      </c>
      <c r="L35" s="50">
        <v>8</v>
      </c>
      <c r="M35" s="50">
        <v>207</v>
      </c>
      <c r="N35" s="50">
        <v>0</v>
      </c>
      <c r="O35" s="15">
        <f t="shared" si="0"/>
        <v>176</v>
      </c>
      <c r="P35" s="15">
        <f t="shared" si="1"/>
        <v>383</v>
      </c>
    </row>
    <row r="36" spans="2:20" ht="23.1" customHeight="1" x14ac:dyDescent="0.25">
      <c r="B36" s="24" t="s">
        <v>63</v>
      </c>
      <c r="C36" s="50">
        <v>52</v>
      </c>
      <c r="D36" s="50">
        <v>20</v>
      </c>
      <c r="E36" s="50">
        <v>10</v>
      </c>
      <c r="F36" s="50">
        <v>68</v>
      </c>
      <c r="G36" s="50">
        <v>2</v>
      </c>
      <c r="H36" s="50">
        <v>4</v>
      </c>
      <c r="I36" s="50">
        <v>6</v>
      </c>
      <c r="J36" s="50">
        <v>0</v>
      </c>
      <c r="K36" s="50">
        <v>0</v>
      </c>
      <c r="L36" s="50">
        <v>0</v>
      </c>
      <c r="M36" s="50">
        <v>100</v>
      </c>
      <c r="N36" s="50">
        <v>0</v>
      </c>
      <c r="O36" s="15">
        <f t="shared" si="0"/>
        <v>162</v>
      </c>
      <c r="P36" s="15">
        <f t="shared" si="1"/>
        <v>262</v>
      </c>
    </row>
    <row r="37" spans="2:20" ht="23.1" customHeight="1" x14ac:dyDescent="0.25">
      <c r="B37" s="23" t="s">
        <v>64</v>
      </c>
      <c r="C37" s="50">
        <v>156</v>
      </c>
      <c r="D37" s="50">
        <v>32</v>
      </c>
      <c r="E37" s="50">
        <v>23</v>
      </c>
      <c r="F37" s="50">
        <v>59</v>
      </c>
      <c r="G37" s="50">
        <v>3</v>
      </c>
      <c r="H37" s="50">
        <v>2</v>
      </c>
      <c r="I37" s="50">
        <v>8</v>
      </c>
      <c r="J37" s="50">
        <v>2</v>
      </c>
      <c r="K37" s="50">
        <v>1</v>
      </c>
      <c r="L37" s="50">
        <v>8</v>
      </c>
      <c r="M37" s="50">
        <v>200</v>
      </c>
      <c r="N37" s="50">
        <v>0</v>
      </c>
      <c r="O37" s="15">
        <f t="shared" si="0"/>
        <v>294</v>
      </c>
      <c r="P37" s="15">
        <f t="shared" si="1"/>
        <v>494</v>
      </c>
    </row>
    <row r="38" spans="2:20" ht="23.1" customHeight="1" x14ac:dyDescent="0.25">
      <c r="B38" s="24" t="s">
        <v>65</v>
      </c>
      <c r="C38" s="50">
        <v>54</v>
      </c>
      <c r="D38" s="50">
        <v>19</v>
      </c>
      <c r="E38" s="50">
        <v>13</v>
      </c>
      <c r="F38" s="50">
        <v>63</v>
      </c>
      <c r="G38" s="50">
        <v>2</v>
      </c>
      <c r="H38" s="50">
        <v>2</v>
      </c>
      <c r="I38" s="50">
        <v>16</v>
      </c>
      <c r="J38" s="50">
        <v>3</v>
      </c>
      <c r="K38" s="50">
        <v>3</v>
      </c>
      <c r="L38" s="50">
        <v>8</v>
      </c>
      <c r="M38" s="50">
        <v>160</v>
      </c>
      <c r="N38" s="50">
        <v>0</v>
      </c>
      <c r="O38" s="15">
        <f t="shared" si="0"/>
        <v>183</v>
      </c>
      <c r="P38" s="15">
        <f t="shared" si="1"/>
        <v>343</v>
      </c>
    </row>
    <row r="39" spans="2:20" ht="23.1" customHeight="1" x14ac:dyDescent="0.25">
      <c r="B39" s="24" t="s">
        <v>66</v>
      </c>
      <c r="C39" s="50">
        <v>61</v>
      </c>
      <c r="D39" s="50">
        <v>12</v>
      </c>
      <c r="E39" s="50">
        <v>5</v>
      </c>
      <c r="F39" s="50">
        <v>55</v>
      </c>
      <c r="G39" s="50">
        <v>1</v>
      </c>
      <c r="H39" s="50">
        <v>2</v>
      </c>
      <c r="I39" s="50">
        <v>6</v>
      </c>
      <c r="J39" s="50">
        <v>1</v>
      </c>
      <c r="K39" s="50">
        <v>2</v>
      </c>
      <c r="L39" s="50">
        <v>4</v>
      </c>
      <c r="M39" s="50">
        <v>95</v>
      </c>
      <c r="N39" s="50">
        <v>0</v>
      </c>
      <c r="O39" s="15">
        <f t="shared" si="0"/>
        <v>149</v>
      </c>
      <c r="P39" s="15">
        <f t="shared" si="1"/>
        <v>244</v>
      </c>
    </row>
    <row r="40" spans="2:20" ht="23.1" customHeight="1" x14ac:dyDescent="0.25">
      <c r="B40" s="24" t="s">
        <v>67</v>
      </c>
      <c r="C40" s="50">
        <v>60</v>
      </c>
      <c r="D40" s="50">
        <v>8</v>
      </c>
      <c r="E40" s="50">
        <v>8</v>
      </c>
      <c r="F40" s="50">
        <v>35</v>
      </c>
      <c r="G40" s="50">
        <v>1</v>
      </c>
      <c r="H40" s="50">
        <v>1</v>
      </c>
      <c r="I40" s="50">
        <v>13</v>
      </c>
      <c r="J40" s="50">
        <v>1</v>
      </c>
      <c r="K40" s="50">
        <v>1</v>
      </c>
      <c r="L40" s="50">
        <v>2</v>
      </c>
      <c r="M40" s="50">
        <v>105</v>
      </c>
      <c r="N40" s="50">
        <v>0</v>
      </c>
      <c r="O40" s="15">
        <f t="shared" si="0"/>
        <v>130</v>
      </c>
      <c r="P40" s="15">
        <f t="shared" si="1"/>
        <v>235</v>
      </c>
    </row>
    <row r="41" spans="2:20" ht="23.1" customHeight="1" x14ac:dyDescent="0.25">
      <c r="B41" s="23" t="s">
        <v>68</v>
      </c>
      <c r="C41" s="50">
        <v>56</v>
      </c>
      <c r="D41" s="50">
        <v>9</v>
      </c>
      <c r="E41" s="50">
        <v>6</v>
      </c>
      <c r="F41" s="50">
        <v>12</v>
      </c>
      <c r="G41" s="50">
        <v>1</v>
      </c>
      <c r="H41" s="50">
        <v>0</v>
      </c>
      <c r="I41" s="50">
        <v>3</v>
      </c>
      <c r="J41" s="50">
        <v>2</v>
      </c>
      <c r="K41" s="50">
        <v>9</v>
      </c>
      <c r="L41" s="50">
        <v>4</v>
      </c>
      <c r="M41" s="50">
        <v>65</v>
      </c>
      <c r="N41" s="50">
        <v>0</v>
      </c>
      <c r="O41" s="15">
        <f t="shared" si="0"/>
        <v>102</v>
      </c>
      <c r="P41" s="15">
        <f t="shared" si="1"/>
        <v>167</v>
      </c>
    </row>
    <row r="42" spans="2:20" ht="23.1" customHeight="1" x14ac:dyDescent="0.25">
      <c r="B42" s="24" t="s">
        <v>69</v>
      </c>
      <c r="C42" s="50">
        <v>43</v>
      </c>
      <c r="D42" s="50">
        <v>22</v>
      </c>
      <c r="E42" s="50">
        <v>6</v>
      </c>
      <c r="F42" s="50">
        <v>31</v>
      </c>
      <c r="G42" s="50">
        <v>0</v>
      </c>
      <c r="H42" s="50">
        <v>1</v>
      </c>
      <c r="I42" s="50">
        <v>3</v>
      </c>
      <c r="J42" s="50">
        <v>2</v>
      </c>
      <c r="K42" s="50">
        <v>1</v>
      </c>
      <c r="L42" s="50">
        <v>2</v>
      </c>
      <c r="M42" s="50">
        <v>91</v>
      </c>
      <c r="N42" s="50">
        <v>0</v>
      </c>
      <c r="O42" s="15">
        <f t="shared" si="0"/>
        <v>111</v>
      </c>
      <c r="P42" s="15">
        <f t="shared" si="1"/>
        <v>202</v>
      </c>
    </row>
    <row r="43" spans="2:20" ht="23.1" customHeight="1" x14ac:dyDescent="0.25">
      <c r="B43" s="23" t="s">
        <v>70</v>
      </c>
      <c r="C43" s="50">
        <v>78</v>
      </c>
      <c r="D43" s="50">
        <v>41</v>
      </c>
      <c r="E43" s="50">
        <v>15</v>
      </c>
      <c r="F43" s="50">
        <v>50</v>
      </c>
      <c r="G43" s="50">
        <v>1</v>
      </c>
      <c r="H43" s="50">
        <v>1</v>
      </c>
      <c r="I43" s="50">
        <v>11</v>
      </c>
      <c r="J43" s="50">
        <v>4</v>
      </c>
      <c r="K43" s="50">
        <v>1</v>
      </c>
      <c r="L43" s="50">
        <v>6</v>
      </c>
      <c r="M43" s="50">
        <v>125</v>
      </c>
      <c r="N43" s="50">
        <v>0</v>
      </c>
      <c r="O43" s="15">
        <f t="shared" si="0"/>
        <v>208</v>
      </c>
      <c r="P43" s="15">
        <f t="shared" si="1"/>
        <v>333</v>
      </c>
    </row>
    <row r="44" spans="2:20" ht="23.1" customHeight="1" x14ac:dyDescent="0.25">
      <c r="B44" s="25" t="s">
        <v>71</v>
      </c>
      <c r="C44" s="50">
        <v>46</v>
      </c>
      <c r="D44" s="50">
        <v>20</v>
      </c>
      <c r="E44" s="50">
        <v>8</v>
      </c>
      <c r="F44" s="50">
        <v>22</v>
      </c>
      <c r="G44" s="50">
        <v>0</v>
      </c>
      <c r="H44" s="50">
        <v>2</v>
      </c>
      <c r="I44" s="50">
        <v>0</v>
      </c>
      <c r="J44" s="50">
        <v>1</v>
      </c>
      <c r="K44" s="50">
        <v>1</v>
      </c>
      <c r="L44" s="50">
        <v>4</v>
      </c>
      <c r="M44" s="50">
        <v>90</v>
      </c>
      <c r="N44" s="50">
        <v>0</v>
      </c>
      <c r="O44" s="15">
        <f t="shared" si="0"/>
        <v>104</v>
      </c>
      <c r="P44" s="15">
        <f t="shared" si="1"/>
        <v>194</v>
      </c>
    </row>
    <row r="45" spans="2:20" ht="23.1" customHeight="1" x14ac:dyDescent="0.25">
      <c r="B45" s="23" t="s">
        <v>72</v>
      </c>
      <c r="C45" s="50">
        <v>72</v>
      </c>
      <c r="D45" s="50">
        <v>20</v>
      </c>
      <c r="E45" s="50">
        <v>6</v>
      </c>
      <c r="F45" s="50">
        <v>40</v>
      </c>
      <c r="G45" s="50">
        <v>0</v>
      </c>
      <c r="H45" s="50">
        <v>1</v>
      </c>
      <c r="I45" s="50">
        <v>5</v>
      </c>
      <c r="J45" s="50">
        <v>3</v>
      </c>
      <c r="K45" s="50">
        <v>1</v>
      </c>
      <c r="L45" s="50">
        <v>1</v>
      </c>
      <c r="M45" s="50">
        <v>165</v>
      </c>
      <c r="N45" s="50">
        <v>0</v>
      </c>
      <c r="O45" s="15">
        <f t="shared" si="0"/>
        <v>149</v>
      </c>
      <c r="P45" s="15">
        <f t="shared" si="1"/>
        <v>314</v>
      </c>
    </row>
    <row r="46" spans="2:20" ht="23.1" customHeight="1" x14ac:dyDescent="0.25">
      <c r="B46" s="24" t="s">
        <v>73</v>
      </c>
      <c r="C46" s="50">
        <v>44</v>
      </c>
      <c r="D46" s="50">
        <v>14</v>
      </c>
      <c r="E46" s="50">
        <v>9</v>
      </c>
      <c r="F46" s="50">
        <v>44</v>
      </c>
      <c r="G46" s="50">
        <v>0</v>
      </c>
      <c r="H46" s="50">
        <v>5</v>
      </c>
      <c r="I46" s="50">
        <v>12</v>
      </c>
      <c r="J46" s="50">
        <v>2</v>
      </c>
      <c r="K46" s="50">
        <v>1</v>
      </c>
      <c r="L46" s="50">
        <v>2</v>
      </c>
      <c r="M46" s="50">
        <v>91</v>
      </c>
      <c r="N46" s="50">
        <v>0</v>
      </c>
      <c r="O46" s="15">
        <f t="shared" si="0"/>
        <v>133</v>
      </c>
      <c r="P46" s="15">
        <f t="shared" si="1"/>
        <v>224</v>
      </c>
      <c r="R46" s="8"/>
      <c r="T46"/>
    </row>
    <row r="47" spans="2:20" ht="23.1" customHeight="1" x14ac:dyDescent="0.25">
      <c r="B47" s="24" t="s">
        <v>74</v>
      </c>
      <c r="C47" s="50">
        <v>37</v>
      </c>
      <c r="D47" s="50">
        <v>19</v>
      </c>
      <c r="E47" s="50">
        <v>7</v>
      </c>
      <c r="F47" s="50">
        <v>60</v>
      </c>
      <c r="G47" s="50">
        <v>0</v>
      </c>
      <c r="H47" s="50">
        <v>1</v>
      </c>
      <c r="I47" s="50">
        <v>1</v>
      </c>
      <c r="J47" s="50">
        <v>4</v>
      </c>
      <c r="K47" s="50">
        <v>1</v>
      </c>
      <c r="L47" s="50">
        <v>6</v>
      </c>
      <c r="M47" s="50">
        <v>125</v>
      </c>
      <c r="N47" s="50">
        <v>0</v>
      </c>
      <c r="O47" s="15">
        <f t="shared" si="0"/>
        <v>136</v>
      </c>
      <c r="P47" s="15">
        <f t="shared" si="1"/>
        <v>261</v>
      </c>
      <c r="R47" s="8"/>
      <c r="T47"/>
    </row>
    <row r="48" spans="2:20" ht="23.1" customHeight="1" x14ac:dyDescent="0.25">
      <c r="B48" s="24" t="s">
        <v>75</v>
      </c>
      <c r="C48" s="50">
        <v>48</v>
      </c>
      <c r="D48" s="50">
        <v>19</v>
      </c>
      <c r="E48" s="50">
        <v>5</v>
      </c>
      <c r="F48" s="50">
        <v>57</v>
      </c>
      <c r="G48" s="50">
        <v>1</v>
      </c>
      <c r="H48" s="50">
        <v>2</v>
      </c>
      <c r="I48" s="50">
        <v>7</v>
      </c>
      <c r="J48" s="50">
        <v>1</v>
      </c>
      <c r="K48" s="50">
        <v>1</v>
      </c>
      <c r="L48" s="50">
        <v>4</v>
      </c>
      <c r="M48" s="50">
        <v>90</v>
      </c>
      <c r="N48" s="50">
        <v>0</v>
      </c>
      <c r="O48" s="15">
        <f t="shared" si="0"/>
        <v>145</v>
      </c>
      <c r="P48" s="15">
        <f t="shared" si="1"/>
        <v>235</v>
      </c>
      <c r="R48" s="8"/>
      <c r="T48"/>
    </row>
    <row r="49" spans="2:20" ht="23.1" customHeight="1" x14ac:dyDescent="0.25">
      <c r="B49" s="23" t="s">
        <v>76</v>
      </c>
      <c r="C49" s="50">
        <v>44</v>
      </c>
      <c r="D49" s="50">
        <v>20</v>
      </c>
      <c r="E49" s="50">
        <v>15</v>
      </c>
      <c r="F49" s="50">
        <v>50</v>
      </c>
      <c r="G49" s="50">
        <v>1</v>
      </c>
      <c r="H49" s="50">
        <v>2</v>
      </c>
      <c r="I49" s="50">
        <v>8</v>
      </c>
      <c r="J49" s="50">
        <v>3</v>
      </c>
      <c r="K49" s="50">
        <v>1</v>
      </c>
      <c r="L49" s="50">
        <v>1</v>
      </c>
      <c r="M49" s="50">
        <v>165</v>
      </c>
      <c r="N49" s="50">
        <v>0</v>
      </c>
      <c r="O49" s="15">
        <f t="shared" si="0"/>
        <v>145</v>
      </c>
      <c r="P49" s="15">
        <f t="shared" si="1"/>
        <v>310</v>
      </c>
      <c r="R49" s="8"/>
      <c r="T49"/>
    </row>
    <row r="50" spans="2:20" ht="23.1" customHeight="1" x14ac:dyDescent="0.25">
      <c r="B50" s="24" t="s">
        <v>77</v>
      </c>
      <c r="C50" s="50">
        <v>36</v>
      </c>
      <c r="D50" s="50">
        <v>12</v>
      </c>
      <c r="E50" s="50">
        <v>3</v>
      </c>
      <c r="F50" s="50">
        <v>33</v>
      </c>
      <c r="G50" s="50">
        <v>2</v>
      </c>
      <c r="H50" s="50">
        <v>0</v>
      </c>
      <c r="I50" s="50">
        <v>0</v>
      </c>
      <c r="J50" s="50">
        <v>1</v>
      </c>
      <c r="K50" s="50">
        <v>0</v>
      </c>
      <c r="L50" s="50">
        <v>3</v>
      </c>
      <c r="M50" s="50">
        <v>101</v>
      </c>
      <c r="N50" s="50">
        <v>0</v>
      </c>
      <c r="O50" s="15">
        <f t="shared" si="0"/>
        <v>90</v>
      </c>
      <c r="P50" s="15">
        <f t="shared" si="1"/>
        <v>191</v>
      </c>
      <c r="R50" s="8"/>
      <c r="T50"/>
    </row>
    <row r="51" spans="2:20" ht="23.1" customHeight="1" x14ac:dyDescent="0.25">
      <c r="B51" s="24" t="s">
        <v>78</v>
      </c>
      <c r="C51" s="50">
        <v>45</v>
      </c>
      <c r="D51" s="50">
        <v>16</v>
      </c>
      <c r="E51" s="50">
        <v>9</v>
      </c>
      <c r="F51" s="50">
        <v>66</v>
      </c>
      <c r="G51" s="50">
        <v>1</v>
      </c>
      <c r="H51" s="50">
        <v>1</v>
      </c>
      <c r="I51" s="50">
        <v>8</v>
      </c>
      <c r="J51" s="50">
        <v>0</v>
      </c>
      <c r="K51" s="50">
        <v>0</v>
      </c>
      <c r="L51" s="50">
        <v>2</v>
      </c>
      <c r="M51" s="50">
        <v>160</v>
      </c>
      <c r="N51" s="50">
        <v>0</v>
      </c>
      <c r="O51" s="15">
        <f t="shared" si="0"/>
        <v>148</v>
      </c>
      <c r="P51" s="15">
        <f t="shared" si="1"/>
        <v>308</v>
      </c>
      <c r="R51" s="8"/>
      <c r="T51"/>
    </row>
    <row r="52" spans="2:20" ht="23.1" customHeight="1" x14ac:dyDescent="0.25">
      <c r="B52" s="24" t="s">
        <v>79</v>
      </c>
      <c r="C52" s="50">
        <v>31</v>
      </c>
      <c r="D52" s="50">
        <v>14</v>
      </c>
      <c r="E52" s="50">
        <v>4</v>
      </c>
      <c r="F52" s="50">
        <v>25</v>
      </c>
      <c r="G52" s="50">
        <v>0</v>
      </c>
      <c r="H52" s="50">
        <v>4</v>
      </c>
      <c r="I52" s="50">
        <v>7</v>
      </c>
      <c r="J52" s="50">
        <v>1</v>
      </c>
      <c r="K52" s="50">
        <v>1</v>
      </c>
      <c r="L52" s="50">
        <v>3</v>
      </c>
      <c r="M52" s="50">
        <v>115</v>
      </c>
      <c r="N52" s="50">
        <v>0</v>
      </c>
      <c r="O52" s="15">
        <f t="shared" si="0"/>
        <v>90</v>
      </c>
      <c r="P52" s="15">
        <f t="shared" si="1"/>
        <v>205</v>
      </c>
      <c r="R52" s="8"/>
      <c r="T52"/>
    </row>
    <row r="53" spans="2:20" ht="23.1" customHeight="1" x14ac:dyDescent="0.25">
      <c r="B53" s="23" t="s">
        <v>80</v>
      </c>
      <c r="C53" s="50">
        <v>32</v>
      </c>
      <c r="D53" s="50">
        <v>10</v>
      </c>
      <c r="E53" s="50">
        <v>8</v>
      </c>
      <c r="F53" s="50">
        <v>31</v>
      </c>
      <c r="G53" s="50">
        <v>1</v>
      </c>
      <c r="H53" s="50">
        <v>3</v>
      </c>
      <c r="I53" s="50">
        <v>1</v>
      </c>
      <c r="J53" s="50">
        <v>0</v>
      </c>
      <c r="K53" s="50">
        <v>1</v>
      </c>
      <c r="L53" s="50">
        <v>1</v>
      </c>
      <c r="M53" s="50">
        <v>105</v>
      </c>
      <c r="N53" s="50">
        <v>0</v>
      </c>
      <c r="O53" s="15">
        <f t="shared" si="0"/>
        <v>88</v>
      </c>
      <c r="P53" s="15">
        <f t="shared" si="1"/>
        <v>193</v>
      </c>
      <c r="R53" s="8"/>
      <c r="T53"/>
    </row>
    <row r="54" spans="2:20" ht="23.1" customHeight="1" x14ac:dyDescent="0.25">
      <c r="B54" s="23" t="s">
        <v>81</v>
      </c>
      <c r="C54" s="50">
        <v>23</v>
      </c>
      <c r="D54" s="50">
        <v>12</v>
      </c>
      <c r="E54" s="50">
        <v>3</v>
      </c>
      <c r="F54" s="50">
        <v>63</v>
      </c>
      <c r="G54" s="50">
        <v>0</v>
      </c>
      <c r="H54" s="50">
        <v>1</v>
      </c>
      <c r="I54" s="50">
        <v>8</v>
      </c>
      <c r="J54" s="50">
        <v>0</v>
      </c>
      <c r="K54" s="50">
        <v>0</v>
      </c>
      <c r="L54" s="50">
        <v>4</v>
      </c>
      <c r="M54" s="50">
        <v>110</v>
      </c>
      <c r="N54" s="50">
        <v>0</v>
      </c>
      <c r="O54" s="15">
        <f t="shared" si="0"/>
        <v>114</v>
      </c>
      <c r="P54" s="15">
        <f t="shared" si="1"/>
        <v>224</v>
      </c>
      <c r="R54" s="8"/>
      <c r="T54"/>
    </row>
    <row r="55" spans="2:20" ht="23.1" customHeight="1" x14ac:dyDescent="0.25">
      <c r="B55" s="23" t="s">
        <v>82</v>
      </c>
      <c r="C55" s="50">
        <v>32</v>
      </c>
      <c r="D55" s="50">
        <v>5</v>
      </c>
      <c r="E55" s="50">
        <v>0</v>
      </c>
      <c r="F55" s="50">
        <v>58</v>
      </c>
      <c r="G55" s="50">
        <v>1</v>
      </c>
      <c r="H55" s="50">
        <v>2</v>
      </c>
      <c r="I55" s="50">
        <v>11</v>
      </c>
      <c r="J55" s="50">
        <v>0</v>
      </c>
      <c r="K55" s="50">
        <v>0</v>
      </c>
      <c r="L55" s="50">
        <v>3</v>
      </c>
      <c r="M55" s="50">
        <v>135</v>
      </c>
      <c r="N55" s="50">
        <v>0</v>
      </c>
      <c r="O55" s="15">
        <f t="shared" si="0"/>
        <v>112</v>
      </c>
      <c r="P55" s="15">
        <f t="shared" si="1"/>
        <v>247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6</v>
      </c>
      <c r="E56" s="50">
        <v>4</v>
      </c>
      <c r="F56" s="50">
        <v>40</v>
      </c>
      <c r="G56" s="50">
        <v>0</v>
      </c>
      <c r="H56" s="50">
        <v>0</v>
      </c>
      <c r="I56" s="50">
        <v>1</v>
      </c>
      <c r="J56" s="50">
        <v>3</v>
      </c>
      <c r="K56" s="50">
        <v>0</v>
      </c>
      <c r="L56" s="50">
        <v>1</v>
      </c>
      <c r="M56" s="50">
        <v>150</v>
      </c>
      <c r="N56" s="50">
        <v>0</v>
      </c>
      <c r="O56" s="15">
        <f t="shared" si="0"/>
        <v>66</v>
      </c>
      <c r="P56" s="15">
        <f t="shared" si="1"/>
        <v>216</v>
      </c>
      <c r="R56" s="8"/>
      <c r="T56"/>
    </row>
    <row r="57" spans="2:20" ht="23.1" customHeight="1" x14ac:dyDescent="0.25">
      <c r="B57" s="23" t="s">
        <v>84</v>
      </c>
      <c r="C57" s="50">
        <v>13</v>
      </c>
      <c r="D57" s="50">
        <v>2</v>
      </c>
      <c r="E57" s="50">
        <v>4</v>
      </c>
      <c r="F57" s="50">
        <v>48</v>
      </c>
      <c r="G57" s="50">
        <v>1</v>
      </c>
      <c r="H57" s="50">
        <v>3</v>
      </c>
      <c r="I57" s="50">
        <v>3</v>
      </c>
      <c r="J57" s="50">
        <v>0</v>
      </c>
      <c r="K57" s="50">
        <v>0</v>
      </c>
      <c r="L57" s="50">
        <v>2</v>
      </c>
      <c r="M57" s="50">
        <v>175</v>
      </c>
      <c r="N57" s="50">
        <v>0</v>
      </c>
      <c r="O57" s="15">
        <f t="shared" si="0"/>
        <v>76</v>
      </c>
      <c r="P57" s="15">
        <f t="shared" si="1"/>
        <v>251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2640</v>
      </c>
      <c r="D58" s="16">
        <f t="shared" si="21"/>
        <v>1001</v>
      </c>
      <c r="E58" s="16">
        <f t="shared" si="21"/>
        <v>566</v>
      </c>
      <c r="F58" s="16">
        <f t="shared" si="21"/>
        <v>2061</v>
      </c>
      <c r="G58" s="16">
        <f t="shared" si="21"/>
        <v>87</v>
      </c>
      <c r="H58" s="16">
        <f t="shared" si="21"/>
        <v>63</v>
      </c>
      <c r="I58" s="16">
        <f t="shared" si="21"/>
        <v>320</v>
      </c>
      <c r="J58" s="16">
        <f t="shared" si="21"/>
        <v>71</v>
      </c>
      <c r="K58" s="16">
        <f t="shared" si="21"/>
        <v>58</v>
      </c>
      <c r="L58" s="16">
        <f t="shared" si="21"/>
        <v>151</v>
      </c>
      <c r="M58" s="16">
        <f t="shared" si="21"/>
        <v>7745</v>
      </c>
      <c r="N58" s="16">
        <f t="shared" si="21"/>
        <v>0</v>
      </c>
      <c r="O58" s="16">
        <f t="shared" si="21"/>
        <v>7018</v>
      </c>
      <c r="P58" s="16">
        <f t="shared" si="21"/>
        <v>14763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0.17882544198333672</v>
      </c>
      <c r="D59" s="43">
        <f t="shared" si="22"/>
        <v>6.7804646752015169E-2</v>
      </c>
      <c r="E59" s="43">
        <f t="shared" si="22"/>
        <v>3.8339090970669919E-2</v>
      </c>
      <c r="F59" s="43">
        <f t="shared" si="22"/>
        <v>0.13960577118471856</v>
      </c>
      <c r="G59" s="43">
        <f t="shared" si="22"/>
        <v>5.893111156269051E-3</v>
      </c>
      <c r="H59" s="43">
        <f t="shared" si="22"/>
        <v>4.2674253200568994E-3</v>
      </c>
      <c r="I59" s="43">
        <f t="shared" si="22"/>
        <v>2.167581114949536E-2</v>
      </c>
      <c r="J59" s="43">
        <f t="shared" si="22"/>
        <v>4.809320598794283E-3</v>
      </c>
      <c r="K59" s="43">
        <f t="shared" si="22"/>
        <v>3.9287407708460337E-3</v>
      </c>
      <c r="L59" s="43">
        <f t="shared" si="22"/>
        <v>1.0228273386168123E-2</v>
      </c>
      <c r="M59" s="43">
        <f t="shared" si="22"/>
        <v>0.52462236672762985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0.37617554858934171</v>
      </c>
      <c r="D60" s="44">
        <f t="shared" ref="D60:N60" si="23">D58/$O$58</f>
        <v>0.14263322884012539</v>
      </c>
      <c r="E60" s="44">
        <f t="shared" si="23"/>
        <v>8.064975776574522E-2</v>
      </c>
      <c r="F60" s="44">
        <f t="shared" si="23"/>
        <v>0.29367341122827018</v>
      </c>
      <c r="G60" s="44">
        <f t="shared" si="23"/>
        <v>1.2396694214876033E-2</v>
      </c>
      <c r="H60" s="44">
        <f t="shared" si="23"/>
        <v>8.9769165004274717E-3</v>
      </c>
      <c r="I60" s="44">
        <f t="shared" si="23"/>
        <v>4.5597036192647475E-2</v>
      </c>
      <c r="J60" s="44">
        <f t="shared" si="23"/>
        <v>1.0116842405243659E-2</v>
      </c>
      <c r="K60" s="44">
        <f t="shared" si="23"/>
        <v>8.2644628099173556E-3</v>
      </c>
      <c r="L60" s="44">
        <f t="shared" si="23"/>
        <v>2.1516101453405528E-2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5" zoomScale="40" zoomScaleSheetLayoutView="40" workbookViewId="0">
      <selection activeCell="E57" sqref="E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Motors-Kyambogo'!C3:G3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3" t="str">
        <f>'29.07 Spear Motors-Kyambogo'!G5:H5</f>
        <v>PEPSI UGANDA</v>
      </c>
      <c r="H5" s="64"/>
      <c r="I5" s="14"/>
      <c r="J5" s="2" t="s">
        <v>5</v>
      </c>
      <c r="K5" s="63" t="str">
        <f>'29.07 Spear Motors-Kyambogo'!K5:L5</f>
        <v>WACHOMI R/GALABUZI R./MBAHA J/ASHABA K/LUBEGA S/KIKUMBAD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Spear Motors-Kyambogo'!D6:E6</f>
        <v>SPEAR MOTORS</v>
      </c>
      <c r="E6" s="64"/>
      <c r="F6" s="2" t="s">
        <v>2</v>
      </c>
      <c r="G6" s="63" t="str">
        <f>'29.07 Spear Motors-Kyambogo'!G6:H6</f>
        <v>KYAMBOGO</v>
      </c>
      <c r="H6" s="64"/>
      <c r="J6" s="2" t="s">
        <v>21</v>
      </c>
      <c r="K6" s="63" t="str">
        <f>'29.07 Spear Motors-Kyambogo'!K6:L6</f>
        <v>ANDREW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2</v>
      </c>
      <c r="L10" s="50">
        <v>1</v>
      </c>
      <c r="M10" s="50">
        <v>345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348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112</v>
      </c>
      <c r="W10" s="17">
        <f t="shared" si="2"/>
        <v>3</v>
      </c>
      <c r="X10" s="17">
        <f t="shared" si="2"/>
        <v>1</v>
      </c>
      <c r="Y10" s="17">
        <f t="shared" si="2"/>
        <v>10</v>
      </c>
      <c r="Z10" s="17">
        <f t="shared" si="2"/>
        <v>0</v>
      </c>
      <c r="AA10" s="17">
        <f t="shared" si="2"/>
        <v>10</v>
      </c>
      <c r="AB10" s="17">
        <f t="shared" si="2"/>
        <v>8</v>
      </c>
      <c r="AC10" s="17">
        <f t="shared" si="2"/>
        <v>1485</v>
      </c>
      <c r="AD10" s="17">
        <f t="shared" si="2"/>
        <v>0</v>
      </c>
      <c r="AE10" s="31">
        <f t="shared" si="2"/>
        <v>144</v>
      </c>
      <c r="AF10" s="31">
        <f t="shared" si="2"/>
        <v>1629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46</v>
      </c>
      <c r="G11" s="50">
        <v>2</v>
      </c>
      <c r="H11" s="50">
        <v>0</v>
      </c>
      <c r="I11" s="50">
        <v>2</v>
      </c>
      <c r="J11" s="50">
        <v>0</v>
      </c>
      <c r="K11" s="50">
        <v>3</v>
      </c>
      <c r="L11" s="50">
        <v>2</v>
      </c>
      <c r="M11" s="50">
        <v>370</v>
      </c>
      <c r="N11" s="50">
        <v>0</v>
      </c>
      <c r="O11" s="15">
        <f t="shared" si="0"/>
        <v>55</v>
      </c>
      <c r="P11" s="15">
        <f t="shared" si="1"/>
        <v>425</v>
      </c>
      <c r="R11" s="1" t="s">
        <v>7</v>
      </c>
      <c r="S11" s="17">
        <f t="shared" ref="S11:AF11" si="3">SUM(C14:C17)</f>
        <v>59</v>
      </c>
      <c r="T11" s="17">
        <f t="shared" si="3"/>
        <v>6</v>
      </c>
      <c r="U11" s="17">
        <f t="shared" si="3"/>
        <v>3</v>
      </c>
      <c r="V11" s="17">
        <f t="shared" si="3"/>
        <v>229</v>
      </c>
      <c r="W11" s="17">
        <f t="shared" si="3"/>
        <v>3</v>
      </c>
      <c r="X11" s="17">
        <f t="shared" si="3"/>
        <v>0</v>
      </c>
      <c r="Y11" s="17">
        <f t="shared" si="3"/>
        <v>20</v>
      </c>
      <c r="Z11" s="17">
        <f t="shared" si="3"/>
        <v>6</v>
      </c>
      <c r="AA11" s="17">
        <f t="shared" si="3"/>
        <v>5</v>
      </c>
      <c r="AB11" s="17">
        <f t="shared" si="3"/>
        <v>10</v>
      </c>
      <c r="AC11" s="17">
        <f t="shared" si="3"/>
        <v>1448</v>
      </c>
      <c r="AD11" s="17">
        <f t="shared" si="3"/>
        <v>0</v>
      </c>
      <c r="AE11" s="31">
        <f t="shared" si="3"/>
        <v>341</v>
      </c>
      <c r="AF11" s="31">
        <f t="shared" si="3"/>
        <v>1789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17</v>
      </c>
      <c r="G12" s="50">
        <v>0</v>
      </c>
      <c r="H12" s="50">
        <v>0</v>
      </c>
      <c r="I12" s="50">
        <v>1</v>
      </c>
      <c r="J12" s="50">
        <v>0</v>
      </c>
      <c r="K12" s="50">
        <v>1</v>
      </c>
      <c r="L12" s="50">
        <v>2</v>
      </c>
      <c r="M12" s="50">
        <v>380</v>
      </c>
      <c r="N12" s="50">
        <v>0</v>
      </c>
      <c r="O12" s="15">
        <f t="shared" si="0"/>
        <v>21</v>
      </c>
      <c r="P12" s="15">
        <f t="shared" si="1"/>
        <v>401</v>
      </c>
      <c r="R12" s="1" t="s">
        <v>8</v>
      </c>
      <c r="S12" s="17">
        <f t="shared" ref="S12:AF12" si="4">SUM(C18:C21)</f>
        <v>137</v>
      </c>
      <c r="T12" s="17">
        <f t="shared" si="4"/>
        <v>57</v>
      </c>
      <c r="U12" s="17">
        <f t="shared" si="4"/>
        <v>25</v>
      </c>
      <c r="V12" s="17">
        <f t="shared" si="4"/>
        <v>182</v>
      </c>
      <c r="W12" s="17">
        <f t="shared" si="4"/>
        <v>11</v>
      </c>
      <c r="X12" s="17">
        <f t="shared" si="4"/>
        <v>3</v>
      </c>
      <c r="Y12" s="17">
        <f t="shared" si="4"/>
        <v>22</v>
      </c>
      <c r="Z12" s="17">
        <f t="shared" si="4"/>
        <v>25</v>
      </c>
      <c r="AA12" s="17">
        <f t="shared" si="4"/>
        <v>17</v>
      </c>
      <c r="AB12" s="17">
        <f t="shared" si="4"/>
        <v>25</v>
      </c>
      <c r="AC12" s="17">
        <f t="shared" si="4"/>
        <v>1190</v>
      </c>
      <c r="AD12" s="17">
        <f t="shared" si="4"/>
        <v>0</v>
      </c>
      <c r="AE12" s="31">
        <f t="shared" si="4"/>
        <v>504</v>
      </c>
      <c r="AF12" s="31">
        <f t="shared" si="4"/>
        <v>1694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49</v>
      </c>
      <c r="G13" s="50">
        <v>1</v>
      </c>
      <c r="H13" s="50">
        <v>1</v>
      </c>
      <c r="I13" s="50">
        <v>7</v>
      </c>
      <c r="J13" s="50">
        <v>0</v>
      </c>
      <c r="K13" s="50">
        <v>4</v>
      </c>
      <c r="L13" s="50">
        <v>3</v>
      </c>
      <c r="M13" s="50">
        <v>390</v>
      </c>
      <c r="N13" s="50">
        <v>0</v>
      </c>
      <c r="O13" s="15">
        <f t="shared" si="0"/>
        <v>65</v>
      </c>
      <c r="P13" s="15">
        <f t="shared" si="1"/>
        <v>455</v>
      </c>
      <c r="R13" s="1" t="s">
        <v>9</v>
      </c>
      <c r="S13" s="17">
        <f t="shared" ref="S13:AF13" si="5">SUM(C22:C25)</f>
        <v>149</v>
      </c>
      <c r="T13" s="17">
        <f t="shared" si="5"/>
        <v>73</v>
      </c>
      <c r="U13" s="17">
        <f t="shared" si="5"/>
        <v>40</v>
      </c>
      <c r="V13" s="17">
        <f t="shared" si="5"/>
        <v>251</v>
      </c>
      <c r="W13" s="17">
        <f t="shared" si="5"/>
        <v>6</v>
      </c>
      <c r="X13" s="17">
        <f t="shared" si="5"/>
        <v>2</v>
      </c>
      <c r="Y13" s="17">
        <f t="shared" si="5"/>
        <v>44</v>
      </c>
      <c r="Z13" s="17">
        <f t="shared" si="5"/>
        <v>16</v>
      </c>
      <c r="AA13" s="17">
        <f t="shared" si="5"/>
        <v>6</v>
      </c>
      <c r="AB13" s="17">
        <f t="shared" si="5"/>
        <v>29</v>
      </c>
      <c r="AC13" s="17">
        <f t="shared" si="5"/>
        <v>1050</v>
      </c>
      <c r="AD13" s="17">
        <f t="shared" si="5"/>
        <v>0</v>
      </c>
      <c r="AE13" s="31">
        <f t="shared" si="5"/>
        <v>616</v>
      </c>
      <c r="AF13" s="31">
        <f t="shared" si="5"/>
        <v>1666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64</v>
      </c>
      <c r="G14" s="50">
        <v>2</v>
      </c>
      <c r="H14" s="50">
        <v>0</v>
      </c>
      <c r="I14" s="50">
        <v>6</v>
      </c>
      <c r="J14" s="50">
        <v>2</v>
      </c>
      <c r="K14" s="50">
        <v>0</v>
      </c>
      <c r="L14" s="50">
        <v>3</v>
      </c>
      <c r="M14" s="50">
        <v>410</v>
      </c>
      <c r="N14" s="50">
        <v>0</v>
      </c>
      <c r="O14" s="15">
        <f t="shared" si="0"/>
        <v>77</v>
      </c>
      <c r="P14" s="15">
        <f t="shared" si="1"/>
        <v>487</v>
      </c>
      <c r="R14" s="1" t="s">
        <v>10</v>
      </c>
      <c r="S14" s="17">
        <f t="shared" ref="S14:AF14" si="6">SUM(C26:C29)</f>
        <v>185</v>
      </c>
      <c r="T14" s="17">
        <f t="shared" si="6"/>
        <v>68</v>
      </c>
      <c r="U14" s="17">
        <f t="shared" si="6"/>
        <v>40</v>
      </c>
      <c r="V14" s="17">
        <f t="shared" si="6"/>
        <v>228</v>
      </c>
      <c r="W14" s="17">
        <f t="shared" si="6"/>
        <v>7</v>
      </c>
      <c r="X14" s="17">
        <f t="shared" si="6"/>
        <v>1</v>
      </c>
      <c r="Y14" s="17">
        <f t="shared" si="6"/>
        <v>35</v>
      </c>
      <c r="Z14" s="17">
        <f t="shared" si="6"/>
        <v>31</v>
      </c>
      <c r="AA14" s="17">
        <f t="shared" si="6"/>
        <v>1</v>
      </c>
      <c r="AB14" s="17">
        <f t="shared" si="6"/>
        <v>30</v>
      </c>
      <c r="AC14" s="17">
        <f t="shared" si="6"/>
        <v>1098</v>
      </c>
      <c r="AD14" s="17">
        <f t="shared" si="6"/>
        <v>0</v>
      </c>
      <c r="AE14" s="31">
        <f t="shared" si="6"/>
        <v>626</v>
      </c>
      <c r="AF14" s="31">
        <f t="shared" si="6"/>
        <v>1724</v>
      </c>
    </row>
    <row r="15" spans="2:32" ht="23.1" customHeight="1" x14ac:dyDescent="0.25">
      <c r="B15" s="23" t="s">
        <v>42</v>
      </c>
      <c r="C15" s="50">
        <v>10</v>
      </c>
      <c r="D15" s="50">
        <v>4</v>
      </c>
      <c r="E15" s="50">
        <v>0</v>
      </c>
      <c r="F15" s="50">
        <v>10</v>
      </c>
      <c r="G15" s="50">
        <v>0</v>
      </c>
      <c r="H15" s="50">
        <v>0</v>
      </c>
      <c r="I15" s="50">
        <v>2</v>
      </c>
      <c r="J15" s="50">
        <v>0</v>
      </c>
      <c r="K15" s="50">
        <v>1</v>
      </c>
      <c r="L15" s="50">
        <v>0</v>
      </c>
      <c r="M15" s="50">
        <v>360</v>
      </c>
      <c r="N15" s="50">
        <v>0</v>
      </c>
      <c r="O15" s="15">
        <f t="shared" si="0"/>
        <v>27</v>
      </c>
      <c r="P15" s="15">
        <f t="shared" si="1"/>
        <v>387</v>
      </c>
      <c r="R15" s="1" t="s">
        <v>11</v>
      </c>
      <c r="S15" s="17">
        <f t="shared" ref="S15:AF15" si="7">SUM(C30:C33)</f>
        <v>159</v>
      </c>
      <c r="T15" s="17">
        <f t="shared" si="7"/>
        <v>61</v>
      </c>
      <c r="U15" s="17">
        <f t="shared" si="7"/>
        <v>40</v>
      </c>
      <c r="V15" s="17">
        <f t="shared" si="7"/>
        <v>192</v>
      </c>
      <c r="W15" s="17">
        <f t="shared" si="7"/>
        <v>8</v>
      </c>
      <c r="X15" s="17">
        <f t="shared" si="7"/>
        <v>3</v>
      </c>
      <c r="Y15" s="17">
        <f t="shared" si="7"/>
        <v>27</v>
      </c>
      <c r="Z15" s="17">
        <f t="shared" si="7"/>
        <v>31</v>
      </c>
      <c r="AA15" s="17">
        <f t="shared" si="7"/>
        <v>3</v>
      </c>
      <c r="AB15" s="17">
        <f t="shared" si="7"/>
        <v>33</v>
      </c>
      <c r="AC15" s="17">
        <f t="shared" si="7"/>
        <v>994</v>
      </c>
      <c r="AD15" s="17">
        <f t="shared" si="7"/>
        <v>0</v>
      </c>
      <c r="AE15" s="31">
        <f t="shared" si="7"/>
        <v>557</v>
      </c>
      <c r="AF15" s="31">
        <f t="shared" si="7"/>
        <v>1551</v>
      </c>
    </row>
    <row r="16" spans="2:32" ht="23.1" customHeight="1" x14ac:dyDescent="0.25">
      <c r="B16" s="23" t="s">
        <v>43</v>
      </c>
      <c r="C16" s="50">
        <v>49</v>
      </c>
      <c r="D16" s="50">
        <v>2</v>
      </c>
      <c r="E16" s="50">
        <v>3</v>
      </c>
      <c r="F16" s="50">
        <v>80</v>
      </c>
      <c r="G16" s="50">
        <v>1</v>
      </c>
      <c r="H16" s="50">
        <v>0</v>
      </c>
      <c r="I16" s="50">
        <v>9</v>
      </c>
      <c r="J16" s="50">
        <v>3</v>
      </c>
      <c r="K16" s="50">
        <v>3</v>
      </c>
      <c r="L16" s="50">
        <v>4</v>
      </c>
      <c r="M16" s="50">
        <v>363</v>
      </c>
      <c r="N16" s="50">
        <v>0</v>
      </c>
      <c r="O16" s="15">
        <f t="shared" si="0"/>
        <v>154</v>
      </c>
      <c r="P16" s="15">
        <f t="shared" si="1"/>
        <v>517</v>
      </c>
      <c r="R16" s="1" t="s">
        <v>12</v>
      </c>
      <c r="S16" s="17">
        <f t="shared" ref="S16:AF16" si="8">SUM(C34:C37)</f>
        <v>220</v>
      </c>
      <c r="T16" s="17">
        <f t="shared" si="8"/>
        <v>90</v>
      </c>
      <c r="U16" s="17">
        <f t="shared" si="8"/>
        <v>49</v>
      </c>
      <c r="V16" s="17">
        <f t="shared" si="8"/>
        <v>231</v>
      </c>
      <c r="W16" s="17">
        <f t="shared" si="8"/>
        <v>7</v>
      </c>
      <c r="X16" s="17">
        <f t="shared" si="8"/>
        <v>1</v>
      </c>
      <c r="Y16" s="17">
        <f t="shared" si="8"/>
        <v>33</v>
      </c>
      <c r="Z16" s="17">
        <f t="shared" si="8"/>
        <v>9</v>
      </c>
      <c r="AA16" s="17">
        <f t="shared" si="8"/>
        <v>13</v>
      </c>
      <c r="AB16" s="17">
        <f t="shared" si="8"/>
        <v>13</v>
      </c>
      <c r="AC16" s="17">
        <f t="shared" si="8"/>
        <v>1065</v>
      </c>
      <c r="AD16" s="17">
        <f t="shared" si="8"/>
        <v>0</v>
      </c>
      <c r="AE16" s="31">
        <f t="shared" si="8"/>
        <v>666</v>
      </c>
      <c r="AF16" s="31">
        <f t="shared" si="8"/>
        <v>1731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75</v>
      </c>
      <c r="G17" s="50">
        <v>0</v>
      </c>
      <c r="H17" s="50">
        <v>0</v>
      </c>
      <c r="I17" s="50">
        <v>3</v>
      </c>
      <c r="J17" s="50">
        <v>1</v>
      </c>
      <c r="K17" s="50">
        <v>1</v>
      </c>
      <c r="L17" s="50">
        <v>3</v>
      </c>
      <c r="M17" s="50">
        <v>315</v>
      </c>
      <c r="N17" s="50">
        <v>0</v>
      </c>
      <c r="O17" s="15">
        <f t="shared" si="0"/>
        <v>83</v>
      </c>
      <c r="P17" s="15">
        <f t="shared" si="1"/>
        <v>398</v>
      </c>
      <c r="R17" s="1" t="s">
        <v>13</v>
      </c>
      <c r="S17" s="17">
        <f t="shared" ref="S17:AF17" si="9">SUM(C38:C41)</f>
        <v>202</v>
      </c>
      <c r="T17" s="17">
        <f t="shared" si="9"/>
        <v>101</v>
      </c>
      <c r="U17" s="17">
        <f t="shared" si="9"/>
        <v>39</v>
      </c>
      <c r="V17" s="17">
        <f t="shared" si="9"/>
        <v>176</v>
      </c>
      <c r="W17" s="17">
        <f t="shared" si="9"/>
        <v>3</v>
      </c>
      <c r="X17" s="17">
        <f t="shared" si="9"/>
        <v>5</v>
      </c>
      <c r="Y17" s="17">
        <f t="shared" si="9"/>
        <v>41</v>
      </c>
      <c r="Z17" s="17">
        <f t="shared" si="9"/>
        <v>21</v>
      </c>
      <c r="AA17" s="17">
        <f t="shared" si="9"/>
        <v>16</v>
      </c>
      <c r="AB17" s="17">
        <f t="shared" si="9"/>
        <v>25</v>
      </c>
      <c r="AC17" s="17">
        <f t="shared" si="9"/>
        <v>860</v>
      </c>
      <c r="AD17" s="17">
        <f t="shared" si="9"/>
        <v>0</v>
      </c>
      <c r="AE17" s="31">
        <f t="shared" si="9"/>
        <v>629</v>
      </c>
      <c r="AF17" s="31">
        <f t="shared" si="9"/>
        <v>1489</v>
      </c>
    </row>
    <row r="18" spans="2:32" ht="23.1" customHeight="1" x14ac:dyDescent="0.25">
      <c r="B18" s="23" t="s">
        <v>45</v>
      </c>
      <c r="C18" s="50">
        <v>43</v>
      </c>
      <c r="D18" s="50">
        <v>8</v>
      </c>
      <c r="E18" s="50">
        <v>6</v>
      </c>
      <c r="F18" s="50">
        <v>30</v>
      </c>
      <c r="G18" s="50">
        <v>2</v>
      </c>
      <c r="H18" s="50">
        <v>0</v>
      </c>
      <c r="I18" s="50">
        <v>5</v>
      </c>
      <c r="J18" s="50">
        <v>5</v>
      </c>
      <c r="K18" s="50">
        <v>6</v>
      </c>
      <c r="L18" s="50">
        <v>2</v>
      </c>
      <c r="M18" s="50">
        <v>365</v>
      </c>
      <c r="N18" s="50">
        <v>0</v>
      </c>
      <c r="O18" s="15">
        <f t="shared" si="0"/>
        <v>107</v>
      </c>
      <c r="P18" s="15">
        <f t="shared" si="1"/>
        <v>472</v>
      </c>
      <c r="R18" s="1" t="s">
        <v>14</v>
      </c>
      <c r="S18" s="17">
        <f t="shared" ref="S18:AF18" si="10">SUM(C42:C45)</f>
        <v>217</v>
      </c>
      <c r="T18" s="17">
        <f t="shared" si="10"/>
        <v>93</v>
      </c>
      <c r="U18" s="17">
        <f t="shared" si="10"/>
        <v>48</v>
      </c>
      <c r="V18" s="17">
        <f t="shared" si="10"/>
        <v>239</v>
      </c>
      <c r="W18" s="17">
        <f t="shared" si="10"/>
        <v>5</v>
      </c>
      <c r="X18" s="17">
        <f t="shared" si="10"/>
        <v>3</v>
      </c>
      <c r="Y18" s="17">
        <f t="shared" si="10"/>
        <v>55</v>
      </c>
      <c r="Z18" s="17">
        <f t="shared" si="10"/>
        <v>17</v>
      </c>
      <c r="AA18" s="17">
        <f t="shared" si="10"/>
        <v>11</v>
      </c>
      <c r="AB18" s="17">
        <f t="shared" si="10"/>
        <v>22</v>
      </c>
      <c r="AC18" s="17">
        <f t="shared" si="10"/>
        <v>1230</v>
      </c>
      <c r="AD18" s="17">
        <f t="shared" si="10"/>
        <v>0</v>
      </c>
      <c r="AE18" s="31">
        <f t="shared" si="10"/>
        <v>710</v>
      </c>
      <c r="AF18" s="31">
        <f t="shared" si="10"/>
        <v>1940</v>
      </c>
    </row>
    <row r="19" spans="2:32" ht="23.1" customHeight="1" x14ac:dyDescent="0.25">
      <c r="B19" s="23" t="s">
        <v>46</v>
      </c>
      <c r="C19" s="50">
        <v>29</v>
      </c>
      <c r="D19" s="50">
        <v>18</v>
      </c>
      <c r="E19" s="50">
        <v>2</v>
      </c>
      <c r="F19" s="50">
        <v>37</v>
      </c>
      <c r="G19" s="50">
        <v>0</v>
      </c>
      <c r="H19" s="50">
        <v>0</v>
      </c>
      <c r="I19" s="50">
        <v>6</v>
      </c>
      <c r="J19" s="50">
        <v>6</v>
      </c>
      <c r="K19" s="50">
        <v>0</v>
      </c>
      <c r="L19" s="50">
        <v>9</v>
      </c>
      <c r="M19" s="50">
        <v>250</v>
      </c>
      <c r="N19" s="50">
        <v>0</v>
      </c>
      <c r="O19" s="15">
        <f t="shared" si="0"/>
        <v>107</v>
      </c>
      <c r="P19" s="15">
        <f t="shared" si="1"/>
        <v>357</v>
      </c>
      <c r="R19" s="1" t="s">
        <v>15</v>
      </c>
      <c r="S19" s="17">
        <f t="shared" ref="S19:AF19" si="11">SUM(C46:C49)</f>
        <v>255</v>
      </c>
      <c r="T19" s="17">
        <f t="shared" si="11"/>
        <v>115</v>
      </c>
      <c r="U19" s="17">
        <f t="shared" si="11"/>
        <v>63</v>
      </c>
      <c r="V19" s="17">
        <f t="shared" si="11"/>
        <v>153</v>
      </c>
      <c r="W19" s="17">
        <f t="shared" si="11"/>
        <v>6</v>
      </c>
      <c r="X19" s="17">
        <f t="shared" si="11"/>
        <v>0</v>
      </c>
      <c r="Y19" s="17">
        <f t="shared" si="11"/>
        <v>22</v>
      </c>
      <c r="Z19" s="17">
        <f t="shared" si="11"/>
        <v>13</v>
      </c>
      <c r="AA19" s="17">
        <f t="shared" si="11"/>
        <v>4</v>
      </c>
      <c r="AB19" s="17">
        <f t="shared" si="11"/>
        <v>21</v>
      </c>
      <c r="AC19" s="17">
        <f t="shared" si="11"/>
        <v>1335</v>
      </c>
      <c r="AD19" s="17">
        <f t="shared" si="11"/>
        <v>0</v>
      </c>
      <c r="AE19" s="31">
        <f t="shared" si="11"/>
        <v>652</v>
      </c>
      <c r="AF19" s="31">
        <f t="shared" si="11"/>
        <v>1987</v>
      </c>
    </row>
    <row r="20" spans="2:32" ht="23.1" customHeight="1" x14ac:dyDescent="0.25">
      <c r="B20" s="23" t="s">
        <v>47</v>
      </c>
      <c r="C20" s="50">
        <v>32</v>
      </c>
      <c r="D20" s="50">
        <v>19</v>
      </c>
      <c r="E20" s="50">
        <v>9</v>
      </c>
      <c r="F20" s="50">
        <v>47</v>
      </c>
      <c r="G20" s="50">
        <v>5</v>
      </c>
      <c r="H20" s="50">
        <v>3</v>
      </c>
      <c r="I20" s="50">
        <v>6</v>
      </c>
      <c r="J20" s="50">
        <v>5</v>
      </c>
      <c r="K20" s="50">
        <v>6</v>
      </c>
      <c r="L20" s="50">
        <v>8</v>
      </c>
      <c r="M20" s="50">
        <v>305</v>
      </c>
      <c r="N20" s="50">
        <v>0</v>
      </c>
      <c r="O20" s="15">
        <f t="shared" si="0"/>
        <v>140</v>
      </c>
      <c r="P20" s="15">
        <f t="shared" si="1"/>
        <v>445</v>
      </c>
      <c r="R20" s="1" t="s">
        <v>16</v>
      </c>
      <c r="S20" s="17">
        <f t="shared" ref="S20:AF20" si="12">SUM(C50:C53)</f>
        <v>501</v>
      </c>
      <c r="T20" s="17">
        <f t="shared" si="12"/>
        <v>275</v>
      </c>
      <c r="U20" s="17">
        <f t="shared" si="12"/>
        <v>151</v>
      </c>
      <c r="V20" s="17">
        <f t="shared" si="12"/>
        <v>207</v>
      </c>
      <c r="W20" s="17">
        <f t="shared" si="12"/>
        <v>7</v>
      </c>
      <c r="X20" s="17">
        <f t="shared" si="12"/>
        <v>1</v>
      </c>
      <c r="Y20" s="17">
        <f t="shared" si="12"/>
        <v>25</v>
      </c>
      <c r="Z20" s="17">
        <f t="shared" si="12"/>
        <v>20</v>
      </c>
      <c r="AA20" s="17">
        <f t="shared" si="12"/>
        <v>2</v>
      </c>
      <c r="AB20" s="17">
        <f t="shared" si="12"/>
        <v>12</v>
      </c>
      <c r="AC20" s="17">
        <f t="shared" si="12"/>
        <v>1312</v>
      </c>
      <c r="AD20" s="17">
        <f t="shared" si="12"/>
        <v>0</v>
      </c>
      <c r="AE20" s="31">
        <f t="shared" si="12"/>
        <v>1201</v>
      </c>
      <c r="AF20" s="31">
        <f t="shared" si="12"/>
        <v>2513</v>
      </c>
    </row>
    <row r="21" spans="2:32" ht="23.1" customHeight="1" x14ac:dyDescent="0.25">
      <c r="B21" s="23" t="s">
        <v>48</v>
      </c>
      <c r="C21" s="50">
        <v>33</v>
      </c>
      <c r="D21" s="50">
        <v>12</v>
      </c>
      <c r="E21" s="50">
        <v>8</v>
      </c>
      <c r="F21" s="50">
        <v>68</v>
      </c>
      <c r="G21" s="50">
        <v>4</v>
      </c>
      <c r="H21" s="50">
        <v>0</v>
      </c>
      <c r="I21" s="50">
        <v>5</v>
      </c>
      <c r="J21" s="50">
        <v>9</v>
      </c>
      <c r="K21" s="50">
        <v>5</v>
      </c>
      <c r="L21" s="50">
        <v>6</v>
      </c>
      <c r="M21" s="50">
        <v>270</v>
      </c>
      <c r="N21" s="50">
        <v>0</v>
      </c>
      <c r="O21" s="15">
        <f t="shared" si="0"/>
        <v>150</v>
      </c>
      <c r="P21" s="15">
        <f t="shared" si="1"/>
        <v>420</v>
      </c>
      <c r="R21" s="36" t="s">
        <v>20</v>
      </c>
      <c r="S21" s="34">
        <f t="shared" ref="S21:AF21" si="13">SUM(C54:C57)</f>
        <v>467</v>
      </c>
      <c r="T21" s="17">
        <f t="shared" si="13"/>
        <v>328</v>
      </c>
      <c r="U21" s="17">
        <f t="shared" si="13"/>
        <v>114</v>
      </c>
      <c r="V21" s="17">
        <f t="shared" si="13"/>
        <v>268</v>
      </c>
      <c r="W21" s="17">
        <f t="shared" si="13"/>
        <v>11</v>
      </c>
      <c r="X21" s="17">
        <f t="shared" si="13"/>
        <v>6</v>
      </c>
      <c r="Y21" s="17">
        <f t="shared" si="13"/>
        <v>18</v>
      </c>
      <c r="Z21" s="17">
        <f t="shared" si="13"/>
        <v>9</v>
      </c>
      <c r="AA21" s="17">
        <f t="shared" si="13"/>
        <v>2</v>
      </c>
      <c r="AB21" s="17">
        <f t="shared" si="13"/>
        <v>9</v>
      </c>
      <c r="AC21" s="17">
        <f t="shared" si="13"/>
        <v>1305</v>
      </c>
      <c r="AD21" s="17">
        <f t="shared" si="13"/>
        <v>0</v>
      </c>
      <c r="AE21" s="31">
        <f t="shared" si="13"/>
        <v>1232</v>
      </c>
      <c r="AF21" s="31">
        <f t="shared" si="13"/>
        <v>2537</v>
      </c>
    </row>
    <row r="22" spans="2:32" ht="23.1" customHeight="1" x14ac:dyDescent="0.25">
      <c r="B22" s="23" t="s">
        <v>49</v>
      </c>
      <c r="C22" s="50">
        <v>36</v>
      </c>
      <c r="D22" s="50">
        <v>17</v>
      </c>
      <c r="E22" s="50">
        <v>9</v>
      </c>
      <c r="F22" s="50">
        <v>60</v>
      </c>
      <c r="G22" s="50">
        <v>0</v>
      </c>
      <c r="H22" s="50">
        <v>1</v>
      </c>
      <c r="I22" s="50">
        <v>8</v>
      </c>
      <c r="J22" s="50">
        <v>4</v>
      </c>
      <c r="K22" s="50">
        <v>2</v>
      </c>
      <c r="L22" s="50">
        <v>9</v>
      </c>
      <c r="M22" s="50">
        <v>335</v>
      </c>
      <c r="N22" s="50">
        <v>0</v>
      </c>
      <c r="O22" s="15">
        <f t="shared" si="0"/>
        <v>146</v>
      </c>
      <c r="P22" s="15">
        <f t="shared" si="1"/>
        <v>481</v>
      </c>
      <c r="R22" s="38" t="s">
        <v>90</v>
      </c>
      <c r="S22" s="39">
        <f>MAX(S10:S12)</f>
        <v>137</v>
      </c>
      <c r="T22" s="39">
        <f t="shared" ref="T22:AF22" si="14">MAX(T10:T12)</f>
        <v>57</v>
      </c>
      <c r="U22" s="39">
        <f t="shared" si="14"/>
        <v>25</v>
      </c>
      <c r="V22" s="39">
        <f t="shared" si="14"/>
        <v>229</v>
      </c>
      <c r="W22" s="39">
        <f t="shared" si="14"/>
        <v>11</v>
      </c>
      <c r="X22" s="39">
        <f t="shared" si="14"/>
        <v>3</v>
      </c>
      <c r="Y22" s="39">
        <f t="shared" si="14"/>
        <v>22</v>
      </c>
      <c r="Z22" s="39">
        <f t="shared" si="14"/>
        <v>25</v>
      </c>
      <c r="AA22" s="39">
        <f t="shared" si="14"/>
        <v>17</v>
      </c>
      <c r="AB22" s="39">
        <f t="shared" si="14"/>
        <v>25</v>
      </c>
      <c r="AC22" s="39">
        <f t="shared" si="14"/>
        <v>1485</v>
      </c>
      <c r="AD22" s="39">
        <f t="shared" si="14"/>
        <v>0</v>
      </c>
      <c r="AE22" s="40">
        <f t="shared" si="14"/>
        <v>504</v>
      </c>
      <c r="AF22" s="40">
        <f t="shared" si="14"/>
        <v>1789</v>
      </c>
    </row>
    <row r="23" spans="2:32" ht="23.1" customHeight="1" x14ac:dyDescent="0.25">
      <c r="B23" s="23" t="s">
        <v>50</v>
      </c>
      <c r="C23" s="50">
        <v>43</v>
      </c>
      <c r="D23" s="50">
        <v>20</v>
      </c>
      <c r="E23" s="50">
        <v>10</v>
      </c>
      <c r="F23" s="50">
        <v>75</v>
      </c>
      <c r="G23" s="50">
        <v>2</v>
      </c>
      <c r="H23" s="50">
        <v>0</v>
      </c>
      <c r="I23" s="50">
        <v>10</v>
      </c>
      <c r="J23" s="50">
        <v>3</v>
      </c>
      <c r="K23" s="50">
        <v>2</v>
      </c>
      <c r="L23" s="50">
        <v>11</v>
      </c>
      <c r="M23" s="50">
        <v>205</v>
      </c>
      <c r="N23" s="50">
        <v>0</v>
      </c>
      <c r="O23" s="15">
        <f t="shared" si="0"/>
        <v>176</v>
      </c>
      <c r="P23" s="15">
        <f t="shared" si="1"/>
        <v>381</v>
      </c>
      <c r="R23" s="38" t="s">
        <v>91</v>
      </c>
      <c r="S23" s="39">
        <f>MAX(S13:S18)</f>
        <v>220</v>
      </c>
      <c r="T23" s="39">
        <f t="shared" ref="T23:AF23" si="15">MAX(T13:T18)</f>
        <v>101</v>
      </c>
      <c r="U23" s="39">
        <f t="shared" si="15"/>
        <v>49</v>
      </c>
      <c r="V23" s="39">
        <f t="shared" si="15"/>
        <v>251</v>
      </c>
      <c r="W23" s="39">
        <f t="shared" si="15"/>
        <v>8</v>
      </c>
      <c r="X23" s="39">
        <f t="shared" si="15"/>
        <v>5</v>
      </c>
      <c r="Y23" s="39">
        <f t="shared" si="15"/>
        <v>55</v>
      </c>
      <c r="Z23" s="39">
        <f t="shared" si="15"/>
        <v>31</v>
      </c>
      <c r="AA23" s="39">
        <f t="shared" si="15"/>
        <v>16</v>
      </c>
      <c r="AB23" s="39">
        <f t="shared" si="15"/>
        <v>33</v>
      </c>
      <c r="AC23" s="39">
        <f t="shared" si="15"/>
        <v>1230</v>
      </c>
      <c r="AD23" s="39">
        <f t="shared" si="15"/>
        <v>0</v>
      </c>
      <c r="AE23" s="40">
        <f t="shared" si="15"/>
        <v>710</v>
      </c>
      <c r="AF23" s="40">
        <f t="shared" si="15"/>
        <v>1940</v>
      </c>
    </row>
    <row r="24" spans="2:32" ht="23.1" customHeight="1" x14ac:dyDescent="0.25">
      <c r="B24" s="23" t="s">
        <v>51</v>
      </c>
      <c r="C24" s="50">
        <v>39</v>
      </c>
      <c r="D24" s="50">
        <v>22</v>
      </c>
      <c r="E24" s="50">
        <v>12</v>
      </c>
      <c r="F24" s="50">
        <v>73</v>
      </c>
      <c r="G24" s="50">
        <v>2</v>
      </c>
      <c r="H24" s="50">
        <v>0</v>
      </c>
      <c r="I24" s="50">
        <v>17</v>
      </c>
      <c r="J24" s="50">
        <v>5</v>
      </c>
      <c r="K24" s="50">
        <v>0</v>
      </c>
      <c r="L24" s="50">
        <v>5</v>
      </c>
      <c r="M24" s="50">
        <v>285</v>
      </c>
      <c r="N24" s="50">
        <v>0</v>
      </c>
      <c r="O24" s="15">
        <f t="shared" si="0"/>
        <v>175</v>
      </c>
      <c r="P24" s="15">
        <f t="shared" si="1"/>
        <v>460</v>
      </c>
      <c r="R24" s="38" t="s">
        <v>92</v>
      </c>
      <c r="S24" s="39">
        <f>MAX(S19:S21)</f>
        <v>501</v>
      </c>
      <c r="T24" s="39">
        <f t="shared" ref="T24:AF24" si="16">MAX(T19:T21)</f>
        <v>328</v>
      </c>
      <c r="U24" s="39">
        <f t="shared" si="16"/>
        <v>151</v>
      </c>
      <c r="V24" s="39">
        <f t="shared" si="16"/>
        <v>268</v>
      </c>
      <c r="W24" s="39">
        <f t="shared" si="16"/>
        <v>11</v>
      </c>
      <c r="X24" s="39">
        <f t="shared" si="16"/>
        <v>6</v>
      </c>
      <c r="Y24" s="39">
        <f t="shared" si="16"/>
        <v>25</v>
      </c>
      <c r="Z24" s="39">
        <f t="shared" si="16"/>
        <v>20</v>
      </c>
      <c r="AA24" s="39">
        <f t="shared" si="16"/>
        <v>4</v>
      </c>
      <c r="AB24" s="39">
        <f t="shared" si="16"/>
        <v>21</v>
      </c>
      <c r="AC24" s="39">
        <f t="shared" si="16"/>
        <v>1335</v>
      </c>
      <c r="AD24" s="39">
        <f t="shared" si="16"/>
        <v>0</v>
      </c>
      <c r="AE24" s="40">
        <f t="shared" si="16"/>
        <v>1232</v>
      </c>
      <c r="AF24" s="40">
        <f t="shared" si="16"/>
        <v>2537</v>
      </c>
    </row>
    <row r="25" spans="2:32" ht="23.1" customHeight="1" x14ac:dyDescent="0.25">
      <c r="B25" s="23" t="s">
        <v>52</v>
      </c>
      <c r="C25" s="50">
        <v>31</v>
      </c>
      <c r="D25" s="50">
        <v>14</v>
      </c>
      <c r="E25" s="50">
        <v>9</v>
      </c>
      <c r="F25" s="50">
        <v>43</v>
      </c>
      <c r="G25" s="50">
        <v>2</v>
      </c>
      <c r="H25" s="50">
        <v>1</v>
      </c>
      <c r="I25" s="50">
        <v>9</v>
      </c>
      <c r="J25" s="50">
        <v>4</v>
      </c>
      <c r="K25" s="50">
        <v>2</v>
      </c>
      <c r="L25" s="50">
        <v>4</v>
      </c>
      <c r="M25" s="50">
        <v>225</v>
      </c>
      <c r="N25" s="50">
        <v>0</v>
      </c>
      <c r="O25" s="15">
        <f t="shared" si="0"/>
        <v>119</v>
      </c>
      <c r="P25" s="15">
        <f t="shared" si="1"/>
        <v>344</v>
      </c>
      <c r="R25" s="37" t="s">
        <v>85</v>
      </c>
      <c r="S25" s="35">
        <f t="shared" ref="S25:AF25" si="17">SUM(S10:S12)</f>
        <v>196</v>
      </c>
      <c r="T25" s="16">
        <f t="shared" si="17"/>
        <v>63</v>
      </c>
      <c r="U25" s="16">
        <f t="shared" si="17"/>
        <v>28</v>
      </c>
      <c r="V25" s="16">
        <f t="shared" si="17"/>
        <v>523</v>
      </c>
      <c r="W25" s="16">
        <f t="shared" si="17"/>
        <v>17</v>
      </c>
      <c r="X25" s="16">
        <f t="shared" si="17"/>
        <v>4</v>
      </c>
      <c r="Y25" s="16">
        <f t="shared" si="17"/>
        <v>52</v>
      </c>
      <c r="Z25" s="16">
        <f t="shared" si="17"/>
        <v>31</v>
      </c>
      <c r="AA25" s="16">
        <f t="shared" si="17"/>
        <v>32</v>
      </c>
      <c r="AB25" s="16">
        <f t="shared" si="17"/>
        <v>43</v>
      </c>
      <c r="AC25" s="16">
        <f t="shared" si="17"/>
        <v>4123</v>
      </c>
      <c r="AD25" s="16">
        <f t="shared" si="17"/>
        <v>0</v>
      </c>
      <c r="AE25" s="32">
        <f t="shared" si="17"/>
        <v>989</v>
      </c>
      <c r="AF25" s="32">
        <f t="shared" si="17"/>
        <v>5112</v>
      </c>
    </row>
    <row r="26" spans="2:32" ht="23.1" customHeight="1" x14ac:dyDescent="0.25">
      <c r="B26" s="23" t="s">
        <v>53</v>
      </c>
      <c r="C26" s="50">
        <v>57</v>
      </c>
      <c r="D26" s="50">
        <v>17</v>
      </c>
      <c r="E26" s="50">
        <v>13</v>
      </c>
      <c r="F26" s="50">
        <v>54</v>
      </c>
      <c r="G26" s="50">
        <v>2</v>
      </c>
      <c r="H26" s="50">
        <v>1</v>
      </c>
      <c r="I26" s="50">
        <v>7</v>
      </c>
      <c r="J26" s="50">
        <v>7</v>
      </c>
      <c r="K26" s="50">
        <v>1</v>
      </c>
      <c r="L26" s="50">
        <v>7</v>
      </c>
      <c r="M26" s="50">
        <v>280</v>
      </c>
      <c r="N26" s="50">
        <v>0</v>
      </c>
      <c r="O26" s="15">
        <f t="shared" si="0"/>
        <v>166</v>
      </c>
      <c r="P26" s="15">
        <f t="shared" si="1"/>
        <v>446</v>
      </c>
      <c r="R26" s="28" t="s">
        <v>86</v>
      </c>
      <c r="S26" s="16">
        <f t="shared" ref="S26:AF26" si="18">SUM(S13:S18)</f>
        <v>1132</v>
      </c>
      <c r="T26" s="16">
        <f t="shared" si="18"/>
        <v>486</v>
      </c>
      <c r="U26" s="16">
        <f t="shared" si="18"/>
        <v>256</v>
      </c>
      <c r="V26" s="16">
        <f t="shared" si="18"/>
        <v>1317</v>
      </c>
      <c r="W26" s="16">
        <f t="shared" si="18"/>
        <v>36</v>
      </c>
      <c r="X26" s="16">
        <f t="shared" si="18"/>
        <v>15</v>
      </c>
      <c r="Y26" s="16">
        <f t="shared" si="18"/>
        <v>235</v>
      </c>
      <c r="Z26" s="16">
        <f t="shared" si="18"/>
        <v>125</v>
      </c>
      <c r="AA26" s="16">
        <f t="shared" si="18"/>
        <v>50</v>
      </c>
      <c r="AB26" s="16">
        <f t="shared" si="18"/>
        <v>152</v>
      </c>
      <c r="AC26" s="16">
        <f t="shared" si="18"/>
        <v>6297</v>
      </c>
      <c r="AD26" s="16">
        <f t="shared" si="18"/>
        <v>0</v>
      </c>
      <c r="AE26" s="32">
        <f t="shared" si="18"/>
        <v>3804</v>
      </c>
      <c r="AF26" s="32">
        <f t="shared" si="18"/>
        <v>10101</v>
      </c>
    </row>
    <row r="27" spans="2:32" ht="23.1" customHeight="1" x14ac:dyDescent="0.25">
      <c r="B27" s="23" t="s">
        <v>54</v>
      </c>
      <c r="C27" s="50">
        <v>37</v>
      </c>
      <c r="D27" s="50">
        <v>20</v>
      </c>
      <c r="E27" s="50">
        <v>10</v>
      </c>
      <c r="F27" s="50">
        <v>73</v>
      </c>
      <c r="G27" s="50">
        <v>1</v>
      </c>
      <c r="H27" s="50">
        <v>0</v>
      </c>
      <c r="I27" s="50">
        <v>7</v>
      </c>
      <c r="J27" s="50">
        <v>6</v>
      </c>
      <c r="K27" s="50">
        <v>0</v>
      </c>
      <c r="L27" s="50">
        <v>13</v>
      </c>
      <c r="M27" s="50">
        <v>273</v>
      </c>
      <c r="N27" s="50">
        <v>0</v>
      </c>
      <c r="O27" s="15">
        <f t="shared" si="0"/>
        <v>167</v>
      </c>
      <c r="P27" s="15">
        <f t="shared" si="1"/>
        <v>440</v>
      </c>
      <c r="R27" s="29" t="s">
        <v>87</v>
      </c>
      <c r="S27" s="16">
        <f t="shared" ref="S27:AF27" si="19">SUM(S19:S21)</f>
        <v>1223</v>
      </c>
      <c r="T27" s="16">
        <f t="shared" si="19"/>
        <v>718</v>
      </c>
      <c r="U27" s="16">
        <f t="shared" si="19"/>
        <v>328</v>
      </c>
      <c r="V27" s="16">
        <f t="shared" si="19"/>
        <v>628</v>
      </c>
      <c r="W27" s="16">
        <f t="shared" si="19"/>
        <v>24</v>
      </c>
      <c r="X27" s="16">
        <f t="shared" si="19"/>
        <v>7</v>
      </c>
      <c r="Y27" s="16">
        <f t="shared" si="19"/>
        <v>65</v>
      </c>
      <c r="Z27" s="16">
        <f t="shared" si="19"/>
        <v>42</v>
      </c>
      <c r="AA27" s="16">
        <f t="shared" si="19"/>
        <v>8</v>
      </c>
      <c r="AB27" s="16">
        <f t="shared" si="19"/>
        <v>42</v>
      </c>
      <c r="AC27" s="16">
        <f t="shared" si="19"/>
        <v>3952</v>
      </c>
      <c r="AD27" s="16">
        <f t="shared" si="19"/>
        <v>0</v>
      </c>
      <c r="AE27" s="32">
        <f t="shared" si="19"/>
        <v>3085</v>
      </c>
      <c r="AF27" s="32">
        <f t="shared" si="19"/>
        <v>7037</v>
      </c>
    </row>
    <row r="28" spans="2:32" ht="23.1" customHeight="1" x14ac:dyDescent="0.25">
      <c r="B28" s="23" t="s">
        <v>55</v>
      </c>
      <c r="C28" s="50">
        <v>56</v>
      </c>
      <c r="D28" s="50">
        <v>14</v>
      </c>
      <c r="E28" s="50">
        <v>9</v>
      </c>
      <c r="F28" s="50">
        <v>61</v>
      </c>
      <c r="G28" s="50">
        <v>1</v>
      </c>
      <c r="H28" s="50">
        <v>0</v>
      </c>
      <c r="I28" s="50">
        <v>12</v>
      </c>
      <c r="J28" s="50">
        <v>8</v>
      </c>
      <c r="K28" s="50">
        <v>0</v>
      </c>
      <c r="L28" s="50">
        <v>4</v>
      </c>
      <c r="M28" s="50">
        <v>285</v>
      </c>
      <c r="N28" s="50">
        <v>0</v>
      </c>
      <c r="O28" s="15">
        <f t="shared" si="0"/>
        <v>165</v>
      </c>
      <c r="P28" s="15">
        <f t="shared" si="1"/>
        <v>450</v>
      </c>
      <c r="R28" s="5" t="s">
        <v>17</v>
      </c>
      <c r="S28" s="16">
        <f t="shared" ref="S28:AF28" si="20">SUM(S10:S21)</f>
        <v>2551</v>
      </c>
      <c r="T28" s="16">
        <f t="shared" si="20"/>
        <v>1267</v>
      </c>
      <c r="U28" s="16">
        <f t="shared" si="20"/>
        <v>612</v>
      </c>
      <c r="V28" s="16">
        <f t="shared" si="20"/>
        <v>2468</v>
      </c>
      <c r="W28" s="16">
        <f t="shared" si="20"/>
        <v>77</v>
      </c>
      <c r="X28" s="16">
        <f t="shared" si="20"/>
        <v>26</v>
      </c>
      <c r="Y28" s="16">
        <f t="shared" si="20"/>
        <v>352</v>
      </c>
      <c r="Z28" s="16">
        <f t="shared" si="20"/>
        <v>198</v>
      </c>
      <c r="AA28" s="16">
        <f t="shared" si="20"/>
        <v>90</v>
      </c>
      <c r="AB28" s="16">
        <f t="shared" si="20"/>
        <v>237</v>
      </c>
      <c r="AC28" s="16">
        <f t="shared" si="20"/>
        <v>14372</v>
      </c>
      <c r="AD28" s="16">
        <f t="shared" si="20"/>
        <v>0</v>
      </c>
      <c r="AE28" s="32">
        <f t="shared" si="20"/>
        <v>7878</v>
      </c>
      <c r="AF28" s="32">
        <f t="shared" si="20"/>
        <v>22250</v>
      </c>
    </row>
    <row r="29" spans="2:32" ht="23.1" customHeight="1" x14ac:dyDescent="0.25">
      <c r="B29" s="23" t="s">
        <v>56</v>
      </c>
      <c r="C29" s="50">
        <v>35</v>
      </c>
      <c r="D29" s="50">
        <v>17</v>
      </c>
      <c r="E29" s="50">
        <v>8</v>
      </c>
      <c r="F29" s="50">
        <v>40</v>
      </c>
      <c r="G29" s="50">
        <v>3</v>
      </c>
      <c r="H29" s="50">
        <v>0</v>
      </c>
      <c r="I29" s="50">
        <v>9</v>
      </c>
      <c r="J29" s="50">
        <v>10</v>
      </c>
      <c r="K29" s="50">
        <v>0</v>
      </c>
      <c r="L29" s="50">
        <v>6</v>
      </c>
      <c r="M29" s="50">
        <v>260</v>
      </c>
      <c r="N29" s="50">
        <v>0</v>
      </c>
      <c r="O29" s="15">
        <f t="shared" si="0"/>
        <v>128</v>
      </c>
      <c r="P29" s="15">
        <f t="shared" si="1"/>
        <v>388</v>
      </c>
      <c r="R29"/>
      <c r="S29" s="20"/>
      <c r="T29" s="19"/>
    </row>
    <row r="30" spans="2:32" ht="23.1" customHeight="1" x14ac:dyDescent="0.25">
      <c r="B30" s="23" t="s">
        <v>57</v>
      </c>
      <c r="C30" s="50">
        <v>30</v>
      </c>
      <c r="D30" s="50">
        <v>14</v>
      </c>
      <c r="E30" s="50">
        <v>8</v>
      </c>
      <c r="F30" s="50">
        <v>50</v>
      </c>
      <c r="G30" s="50">
        <v>1</v>
      </c>
      <c r="H30" s="50">
        <v>1</v>
      </c>
      <c r="I30" s="50">
        <v>3</v>
      </c>
      <c r="J30" s="50">
        <v>6</v>
      </c>
      <c r="K30" s="50">
        <v>0</v>
      </c>
      <c r="L30" s="50">
        <v>11</v>
      </c>
      <c r="M30" s="50">
        <v>201</v>
      </c>
      <c r="N30" s="50">
        <v>0</v>
      </c>
      <c r="O30" s="15">
        <f t="shared" si="0"/>
        <v>124</v>
      </c>
      <c r="P30" s="15">
        <f t="shared" si="1"/>
        <v>325</v>
      </c>
    </row>
    <row r="31" spans="2:32" ht="23.1" customHeight="1" x14ac:dyDescent="0.25">
      <c r="B31" s="24" t="s">
        <v>58</v>
      </c>
      <c r="C31" s="50">
        <v>25</v>
      </c>
      <c r="D31" s="50">
        <v>9</v>
      </c>
      <c r="E31" s="50">
        <v>7</v>
      </c>
      <c r="F31" s="50">
        <v>53</v>
      </c>
      <c r="G31" s="50">
        <v>0</v>
      </c>
      <c r="H31" s="50">
        <v>2</v>
      </c>
      <c r="I31" s="50">
        <v>6</v>
      </c>
      <c r="J31" s="50">
        <v>5</v>
      </c>
      <c r="K31" s="50">
        <v>0</v>
      </c>
      <c r="L31" s="50">
        <v>6</v>
      </c>
      <c r="M31" s="50">
        <v>235</v>
      </c>
      <c r="N31" s="50">
        <v>0</v>
      </c>
      <c r="O31" s="15">
        <f t="shared" si="0"/>
        <v>113</v>
      </c>
      <c r="P31" s="15">
        <f t="shared" si="1"/>
        <v>348</v>
      </c>
    </row>
    <row r="32" spans="2:32" ht="23.1" customHeight="1" x14ac:dyDescent="0.25">
      <c r="B32" s="24" t="s">
        <v>59</v>
      </c>
      <c r="C32" s="50">
        <v>45</v>
      </c>
      <c r="D32" s="50">
        <v>23</v>
      </c>
      <c r="E32" s="50">
        <v>10</v>
      </c>
      <c r="F32" s="50">
        <v>43</v>
      </c>
      <c r="G32" s="50">
        <v>6</v>
      </c>
      <c r="H32" s="50">
        <v>0</v>
      </c>
      <c r="I32" s="50">
        <v>11</v>
      </c>
      <c r="J32" s="50">
        <v>9</v>
      </c>
      <c r="K32" s="50">
        <v>0</v>
      </c>
      <c r="L32" s="50">
        <v>10</v>
      </c>
      <c r="M32" s="50">
        <v>280</v>
      </c>
      <c r="N32" s="50">
        <v>0</v>
      </c>
      <c r="O32" s="15">
        <f t="shared" si="0"/>
        <v>157</v>
      </c>
      <c r="P32" s="15">
        <f t="shared" si="1"/>
        <v>437</v>
      </c>
    </row>
    <row r="33" spans="2:20" ht="23.1" customHeight="1" x14ac:dyDescent="0.25">
      <c r="B33" s="23" t="s">
        <v>60</v>
      </c>
      <c r="C33" s="50">
        <v>59</v>
      </c>
      <c r="D33" s="50">
        <v>15</v>
      </c>
      <c r="E33" s="50">
        <v>15</v>
      </c>
      <c r="F33" s="50">
        <v>46</v>
      </c>
      <c r="G33" s="50">
        <v>1</v>
      </c>
      <c r="H33" s="50">
        <v>0</v>
      </c>
      <c r="I33" s="50">
        <v>7</v>
      </c>
      <c r="J33" s="50">
        <v>11</v>
      </c>
      <c r="K33" s="50">
        <v>3</v>
      </c>
      <c r="L33" s="50">
        <v>6</v>
      </c>
      <c r="M33" s="50">
        <v>278</v>
      </c>
      <c r="N33" s="50">
        <v>0</v>
      </c>
      <c r="O33" s="15">
        <f t="shared" si="0"/>
        <v>163</v>
      </c>
      <c r="P33" s="15">
        <f t="shared" si="1"/>
        <v>441</v>
      </c>
    </row>
    <row r="34" spans="2:20" ht="23.1" customHeight="1" x14ac:dyDescent="0.25">
      <c r="B34" s="24" t="s">
        <v>61</v>
      </c>
      <c r="C34" s="50">
        <v>64</v>
      </c>
      <c r="D34" s="50">
        <v>23</v>
      </c>
      <c r="E34" s="50">
        <v>16</v>
      </c>
      <c r="F34" s="50">
        <v>55</v>
      </c>
      <c r="G34" s="50">
        <v>1</v>
      </c>
      <c r="H34" s="50">
        <v>0</v>
      </c>
      <c r="I34" s="50">
        <v>6</v>
      </c>
      <c r="J34" s="50">
        <v>3</v>
      </c>
      <c r="K34" s="50">
        <v>2</v>
      </c>
      <c r="L34" s="50">
        <v>0</v>
      </c>
      <c r="M34" s="50">
        <v>290</v>
      </c>
      <c r="N34" s="50">
        <v>0</v>
      </c>
      <c r="O34" s="15">
        <f t="shared" si="0"/>
        <v>170</v>
      </c>
      <c r="P34" s="15">
        <f t="shared" si="1"/>
        <v>460</v>
      </c>
    </row>
    <row r="35" spans="2:20" ht="23.1" customHeight="1" x14ac:dyDescent="0.25">
      <c r="B35" s="24" t="s">
        <v>62</v>
      </c>
      <c r="C35" s="50">
        <v>51</v>
      </c>
      <c r="D35" s="50">
        <v>16</v>
      </c>
      <c r="E35" s="50">
        <v>8</v>
      </c>
      <c r="F35" s="50">
        <v>40</v>
      </c>
      <c r="G35" s="50">
        <v>2</v>
      </c>
      <c r="H35" s="50">
        <v>0</v>
      </c>
      <c r="I35" s="50">
        <v>13</v>
      </c>
      <c r="J35" s="50">
        <v>3</v>
      </c>
      <c r="K35" s="50">
        <v>1</v>
      </c>
      <c r="L35" s="50">
        <v>6</v>
      </c>
      <c r="M35" s="50">
        <v>220</v>
      </c>
      <c r="N35" s="50">
        <v>0</v>
      </c>
      <c r="O35" s="15">
        <f t="shared" si="0"/>
        <v>140</v>
      </c>
      <c r="P35" s="15">
        <f t="shared" si="1"/>
        <v>360</v>
      </c>
    </row>
    <row r="36" spans="2:20" ht="23.1" customHeight="1" x14ac:dyDescent="0.25">
      <c r="B36" s="24" t="s">
        <v>63</v>
      </c>
      <c r="C36" s="50">
        <v>57</v>
      </c>
      <c r="D36" s="50">
        <v>25</v>
      </c>
      <c r="E36" s="50">
        <v>9</v>
      </c>
      <c r="F36" s="50">
        <v>63</v>
      </c>
      <c r="G36" s="50">
        <v>3</v>
      </c>
      <c r="H36" s="50">
        <v>1</v>
      </c>
      <c r="I36" s="50">
        <v>7</v>
      </c>
      <c r="J36" s="50">
        <v>2</v>
      </c>
      <c r="K36" s="50">
        <v>9</v>
      </c>
      <c r="L36" s="50">
        <v>4</v>
      </c>
      <c r="M36" s="50">
        <v>275</v>
      </c>
      <c r="N36" s="50">
        <v>0</v>
      </c>
      <c r="O36" s="15">
        <f t="shared" si="0"/>
        <v>180</v>
      </c>
      <c r="P36" s="15">
        <f t="shared" si="1"/>
        <v>455</v>
      </c>
    </row>
    <row r="37" spans="2:20" ht="23.1" customHeight="1" x14ac:dyDescent="0.25">
      <c r="B37" s="23" t="s">
        <v>64</v>
      </c>
      <c r="C37" s="50">
        <v>48</v>
      </c>
      <c r="D37" s="50">
        <v>26</v>
      </c>
      <c r="E37" s="50">
        <v>16</v>
      </c>
      <c r="F37" s="50">
        <v>73</v>
      </c>
      <c r="G37" s="50">
        <v>1</v>
      </c>
      <c r="H37" s="50">
        <v>0</v>
      </c>
      <c r="I37" s="50">
        <v>7</v>
      </c>
      <c r="J37" s="50">
        <v>1</v>
      </c>
      <c r="K37" s="50">
        <v>1</v>
      </c>
      <c r="L37" s="50">
        <v>3</v>
      </c>
      <c r="M37" s="50">
        <v>280</v>
      </c>
      <c r="N37" s="50">
        <v>0</v>
      </c>
      <c r="O37" s="15">
        <f t="shared" si="0"/>
        <v>176</v>
      </c>
      <c r="P37" s="15">
        <f t="shared" si="1"/>
        <v>456</v>
      </c>
    </row>
    <row r="38" spans="2:20" ht="23.1" customHeight="1" x14ac:dyDescent="0.25">
      <c r="B38" s="24" t="s">
        <v>65</v>
      </c>
      <c r="C38" s="50">
        <v>42</v>
      </c>
      <c r="D38" s="50">
        <v>16</v>
      </c>
      <c r="E38" s="50">
        <v>12</v>
      </c>
      <c r="F38" s="50">
        <v>29</v>
      </c>
      <c r="G38" s="50">
        <v>1</v>
      </c>
      <c r="H38" s="50">
        <v>0</v>
      </c>
      <c r="I38" s="50">
        <v>12</v>
      </c>
      <c r="J38" s="50">
        <v>8</v>
      </c>
      <c r="K38" s="50">
        <v>9</v>
      </c>
      <c r="L38" s="50">
        <v>11</v>
      </c>
      <c r="M38" s="50">
        <v>200</v>
      </c>
      <c r="N38" s="50">
        <v>0</v>
      </c>
      <c r="O38" s="15">
        <f t="shared" si="0"/>
        <v>140</v>
      </c>
      <c r="P38" s="15">
        <f t="shared" si="1"/>
        <v>340</v>
      </c>
    </row>
    <row r="39" spans="2:20" ht="23.1" customHeight="1" x14ac:dyDescent="0.25">
      <c r="B39" s="24" t="s">
        <v>66</v>
      </c>
      <c r="C39" s="50">
        <v>60</v>
      </c>
      <c r="D39" s="50">
        <v>36</v>
      </c>
      <c r="E39" s="50">
        <v>7</v>
      </c>
      <c r="F39" s="50">
        <v>45</v>
      </c>
      <c r="G39" s="50">
        <v>2</v>
      </c>
      <c r="H39" s="50">
        <v>0</v>
      </c>
      <c r="I39" s="50">
        <v>8</v>
      </c>
      <c r="J39" s="50">
        <v>6</v>
      </c>
      <c r="K39" s="50">
        <v>5</v>
      </c>
      <c r="L39" s="50">
        <v>5</v>
      </c>
      <c r="M39" s="50">
        <v>155</v>
      </c>
      <c r="N39" s="50">
        <v>0</v>
      </c>
      <c r="O39" s="15">
        <f t="shared" si="0"/>
        <v>174</v>
      </c>
      <c r="P39" s="15">
        <f t="shared" si="1"/>
        <v>329</v>
      </c>
    </row>
    <row r="40" spans="2:20" ht="23.1" customHeight="1" x14ac:dyDescent="0.25">
      <c r="B40" s="24" t="s">
        <v>67</v>
      </c>
      <c r="C40" s="50">
        <v>49</v>
      </c>
      <c r="D40" s="50">
        <v>27</v>
      </c>
      <c r="E40" s="50">
        <v>9</v>
      </c>
      <c r="F40" s="50">
        <v>50</v>
      </c>
      <c r="G40" s="50">
        <v>0</v>
      </c>
      <c r="H40" s="50">
        <v>3</v>
      </c>
      <c r="I40" s="50">
        <v>6</v>
      </c>
      <c r="J40" s="50">
        <v>3</v>
      </c>
      <c r="K40" s="50">
        <v>2</v>
      </c>
      <c r="L40" s="50">
        <v>3</v>
      </c>
      <c r="M40" s="50">
        <v>175</v>
      </c>
      <c r="N40" s="50">
        <v>0</v>
      </c>
      <c r="O40" s="15">
        <f t="shared" si="0"/>
        <v>152</v>
      </c>
      <c r="P40" s="15">
        <f t="shared" si="1"/>
        <v>327</v>
      </c>
    </row>
    <row r="41" spans="2:20" ht="23.1" customHeight="1" x14ac:dyDescent="0.25">
      <c r="B41" s="23" t="s">
        <v>68</v>
      </c>
      <c r="C41" s="50">
        <v>51</v>
      </c>
      <c r="D41" s="50">
        <v>22</v>
      </c>
      <c r="E41" s="50">
        <v>11</v>
      </c>
      <c r="F41" s="50">
        <v>52</v>
      </c>
      <c r="G41" s="50">
        <v>0</v>
      </c>
      <c r="H41" s="50">
        <v>2</v>
      </c>
      <c r="I41" s="50">
        <v>15</v>
      </c>
      <c r="J41" s="50">
        <v>4</v>
      </c>
      <c r="K41" s="50">
        <v>0</v>
      </c>
      <c r="L41" s="50">
        <v>6</v>
      </c>
      <c r="M41" s="50">
        <v>330</v>
      </c>
      <c r="N41" s="50">
        <v>0</v>
      </c>
      <c r="O41" s="15">
        <f t="shared" si="0"/>
        <v>163</v>
      </c>
      <c r="P41" s="15">
        <f t="shared" si="1"/>
        <v>493</v>
      </c>
    </row>
    <row r="42" spans="2:20" ht="23.1" customHeight="1" x14ac:dyDescent="0.25">
      <c r="B42" s="24" t="s">
        <v>69</v>
      </c>
      <c r="C42" s="50">
        <v>66</v>
      </c>
      <c r="D42" s="50">
        <v>26</v>
      </c>
      <c r="E42" s="50">
        <v>9</v>
      </c>
      <c r="F42" s="50">
        <v>62</v>
      </c>
      <c r="G42" s="50">
        <v>1</v>
      </c>
      <c r="H42" s="50">
        <v>1</v>
      </c>
      <c r="I42" s="50">
        <v>16</v>
      </c>
      <c r="J42" s="50">
        <v>2</v>
      </c>
      <c r="K42" s="50">
        <v>0</v>
      </c>
      <c r="L42" s="50">
        <v>4</v>
      </c>
      <c r="M42" s="50">
        <v>425</v>
      </c>
      <c r="N42" s="50">
        <v>0</v>
      </c>
      <c r="O42" s="15">
        <f t="shared" si="0"/>
        <v>187</v>
      </c>
      <c r="P42" s="15">
        <f t="shared" si="1"/>
        <v>612</v>
      </c>
    </row>
    <row r="43" spans="2:20" ht="23.1" customHeight="1" x14ac:dyDescent="0.25">
      <c r="B43" s="23" t="s">
        <v>70</v>
      </c>
      <c r="C43" s="50">
        <v>58</v>
      </c>
      <c r="D43" s="50">
        <v>26</v>
      </c>
      <c r="E43" s="50">
        <v>15</v>
      </c>
      <c r="F43" s="50">
        <v>63</v>
      </c>
      <c r="G43" s="50">
        <v>2</v>
      </c>
      <c r="H43" s="50">
        <v>0</v>
      </c>
      <c r="I43" s="50">
        <v>7</v>
      </c>
      <c r="J43" s="50">
        <v>7</v>
      </c>
      <c r="K43" s="50">
        <v>8</v>
      </c>
      <c r="L43" s="50">
        <v>5</v>
      </c>
      <c r="M43" s="50">
        <v>270</v>
      </c>
      <c r="N43" s="50">
        <v>0</v>
      </c>
      <c r="O43" s="15">
        <f t="shared" si="0"/>
        <v>191</v>
      </c>
      <c r="P43" s="15">
        <f t="shared" si="1"/>
        <v>461</v>
      </c>
    </row>
    <row r="44" spans="2:20" ht="23.1" customHeight="1" x14ac:dyDescent="0.25">
      <c r="B44" s="25" t="s">
        <v>71</v>
      </c>
      <c r="C44" s="50">
        <v>39</v>
      </c>
      <c r="D44" s="50">
        <v>12</v>
      </c>
      <c r="E44" s="50">
        <v>9</v>
      </c>
      <c r="F44" s="50">
        <v>31</v>
      </c>
      <c r="G44" s="50">
        <v>2</v>
      </c>
      <c r="H44" s="50">
        <v>1</v>
      </c>
      <c r="I44" s="50">
        <v>14</v>
      </c>
      <c r="J44" s="50">
        <v>5</v>
      </c>
      <c r="K44" s="50">
        <v>3</v>
      </c>
      <c r="L44" s="50">
        <v>8</v>
      </c>
      <c r="M44" s="50">
        <v>260</v>
      </c>
      <c r="N44" s="50">
        <v>0</v>
      </c>
      <c r="O44" s="15">
        <f t="shared" si="0"/>
        <v>124</v>
      </c>
      <c r="P44" s="15">
        <f t="shared" si="1"/>
        <v>384</v>
      </c>
    </row>
    <row r="45" spans="2:20" ht="23.1" customHeight="1" x14ac:dyDescent="0.25">
      <c r="B45" s="23" t="s">
        <v>72</v>
      </c>
      <c r="C45" s="50">
        <v>54</v>
      </c>
      <c r="D45" s="50">
        <v>29</v>
      </c>
      <c r="E45" s="50">
        <v>15</v>
      </c>
      <c r="F45" s="50">
        <v>83</v>
      </c>
      <c r="G45" s="50">
        <v>0</v>
      </c>
      <c r="H45" s="50">
        <v>1</v>
      </c>
      <c r="I45" s="50">
        <v>18</v>
      </c>
      <c r="J45" s="50">
        <v>3</v>
      </c>
      <c r="K45" s="50">
        <v>0</v>
      </c>
      <c r="L45" s="50">
        <v>5</v>
      </c>
      <c r="M45" s="50">
        <v>275</v>
      </c>
      <c r="N45" s="50">
        <v>0</v>
      </c>
      <c r="O45" s="15">
        <f t="shared" si="0"/>
        <v>208</v>
      </c>
      <c r="P45" s="15">
        <f t="shared" si="1"/>
        <v>483</v>
      </c>
    </row>
    <row r="46" spans="2:20" ht="23.1" customHeight="1" x14ac:dyDescent="0.25">
      <c r="B46" s="24" t="s">
        <v>73</v>
      </c>
      <c r="C46" s="50">
        <v>59</v>
      </c>
      <c r="D46" s="50">
        <v>32</v>
      </c>
      <c r="E46" s="50">
        <v>16</v>
      </c>
      <c r="F46" s="50">
        <v>28</v>
      </c>
      <c r="G46" s="50">
        <v>2</v>
      </c>
      <c r="H46" s="50">
        <v>0</v>
      </c>
      <c r="I46" s="50">
        <v>5</v>
      </c>
      <c r="J46" s="50">
        <v>3</v>
      </c>
      <c r="K46" s="50">
        <v>2</v>
      </c>
      <c r="L46" s="50">
        <v>5</v>
      </c>
      <c r="M46" s="50">
        <v>450</v>
      </c>
      <c r="N46" s="50">
        <v>0</v>
      </c>
      <c r="O46" s="15">
        <f t="shared" si="0"/>
        <v>152</v>
      </c>
      <c r="P46" s="15">
        <f t="shared" si="1"/>
        <v>602</v>
      </c>
      <c r="R46" s="8"/>
      <c r="T46"/>
    </row>
    <row r="47" spans="2:20" ht="23.1" customHeight="1" x14ac:dyDescent="0.25">
      <c r="B47" s="24" t="s">
        <v>74</v>
      </c>
      <c r="C47" s="50">
        <v>36</v>
      </c>
      <c r="D47" s="50">
        <v>20</v>
      </c>
      <c r="E47" s="50">
        <v>10</v>
      </c>
      <c r="F47" s="50">
        <v>45</v>
      </c>
      <c r="G47" s="50">
        <v>1</v>
      </c>
      <c r="H47" s="50">
        <v>0</v>
      </c>
      <c r="I47" s="50">
        <v>6</v>
      </c>
      <c r="J47" s="50">
        <v>3</v>
      </c>
      <c r="K47" s="50">
        <v>0</v>
      </c>
      <c r="L47" s="50">
        <v>6</v>
      </c>
      <c r="M47" s="50">
        <v>265</v>
      </c>
      <c r="N47" s="50">
        <v>0</v>
      </c>
      <c r="O47" s="15">
        <f t="shared" si="0"/>
        <v>127</v>
      </c>
      <c r="P47" s="15">
        <f t="shared" si="1"/>
        <v>392</v>
      </c>
      <c r="R47" s="8"/>
      <c r="T47"/>
    </row>
    <row r="48" spans="2:20" ht="23.1" customHeight="1" x14ac:dyDescent="0.25">
      <c r="B48" s="24" t="s">
        <v>75</v>
      </c>
      <c r="C48" s="50">
        <v>70</v>
      </c>
      <c r="D48" s="50">
        <v>30</v>
      </c>
      <c r="E48" s="50">
        <v>17</v>
      </c>
      <c r="F48" s="50">
        <v>42</v>
      </c>
      <c r="G48" s="50">
        <v>1</v>
      </c>
      <c r="H48" s="50">
        <v>0</v>
      </c>
      <c r="I48" s="50">
        <v>6</v>
      </c>
      <c r="J48" s="50">
        <v>3</v>
      </c>
      <c r="K48" s="50">
        <v>1</v>
      </c>
      <c r="L48" s="50">
        <v>6</v>
      </c>
      <c r="M48" s="50">
        <v>300</v>
      </c>
      <c r="N48" s="50">
        <v>0</v>
      </c>
      <c r="O48" s="15">
        <f t="shared" si="0"/>
        <v>176</v>
      </c>
      <c r="P48" s="15">
        <f t="shared" si="1"/>
        <v>476</v>
      </c>
      <c r="R48" s="8"/>
      <c r="T48"/>
    </row>
    <row r="49" spans="2:20" ht="23.1" customHeight="1" x14ac:dyDescent="0.25">
      <c r="B49" s="23" t="s">
        <v>76</v>
      </c>
      <c r="C49" s="50">
        <v>90</v>
      </c>
      <c r="D49" s="50">
        <v>33</v>
      </c>
      <c r="E49" s="50">
        <v>20</v>
      </c>
      <c r="F49" s="50">
        <v>38</v>
      </c>
      <c r="G49" s="50">
        <v>2</v>
      </c>
      <c r="H49" s="50">
        <v>0</v>
      </c>
      <c r="I49" s="50">
        <v>5</v>
      </c>
      <c r="J49" s="50">
        <v>4</v>
      </c>
      <c r="K49" s="50">
        <v>1</v>
      </c>
      <c r="L49" s="50">
        <v>4</v>
      </c>
      <c r="M49" s="50">
        <v>320</v>
      </c>
      <c r="N49" s="50">
        <v>0</v>
      </c>
      <c r="O49" s="15">
        <f t="shared" si="0"/>
        <v>197</v>
      </c>
      <c r="P49" s="15">
        <f t="shared" si="1"/>
        <v>517</v>
      </c>
      <c r="R49" s="8"/>
      <c r="T49"/>
    </row>
    <row r="50" spans="2:20" ht="23.1" customHeight="1" x14ac:dyDescent="0.25">
      <c r="B50" s="24" t="s">
        <v>77</v>
      </c>
      <c r="C50" s="50">
        <v>115</v>
      </c>
      <c r="D50" s="50">
        <v>54</v>
      </c>
      <c r="E50" s="50">
        <v>31</v>
      </c>
      <c r="F50" s="50">
        <v>67</v>
      </c>
      <c r="G50" s="50">
        <v>4</v>
      </c>
      <c r="H50" s="50">
        <v>0</v>
      </c>
      <c r="I50" s="50">
        <v>13</v>
      </c>
      <c r="J50" s="50">
        <v>7</v>
      </c>
      <c r="K50" s="50">
        <v>0</v>
      </c>
      <c r="L50" s="50">
        <v>3</v>
      </c>
      <c r="M50" s="50">
        <v>425</v>
      </c>
      <c r="N50" s="50">
        <v>0</v>
      </c>
      <c r="O50" s="15">
        <f t="shared" si="0"/>
        <v>294</v>
      </c>
      <c r="P50" s="15">
        <f t="shared" si="1"/>
        <v>719</v>
      </c>
      <c r="R50" s="8"/>
      <c r="T50"/>
    </row>
    <row r="51" spans="2:20" ht="23.1" customHeight="1" x14ac:dyDescent="0.25">
      <c r="B51" s="24" t="s">
        <v>78</v>
      </c>
      <c r="C51" s="50">
        <v>108</v>
      </c>
      <c r="D51" s="50">
        <v>44</v>
      </c>
      <c r="E51" s="50">
        <v>27</v>
      </c>
      <c r="F51" s="50">
        <v>41</v>
      </c>
      <c r="G51" s="50">
        <v>2</v>
      </c>
      <c r="H51" s="50">
        <v>0</v>
      </c>
      <c r="I51" s="50">
        <v>7</v>
      </c>
      <c r="J51" s="50">
        <v>7</v>
      </c>
      <c r="K51" s="50">
        <v>0</v>
      </c>
      <c r="L51" s="50">
        <v>4</v>
      </c>
      <c r="M51" s="50">
        <v>280</v>
      </c>
      <c r="N51" s="50">
        <v>0</v>
      </c>
      <c r="O51" s="15">
        <f t="shared" si="0"/>
        <v>240</v>
      </c>
      <c r="P51" s="15">
        <f t="shared" si="1"/>
        <v>520</v>
      </c>
      <c r="R51" s="8"/>
      <c r="T51"/>
    </row>
    <row r="52" spans="2:20" ht="23.1" customHeight="1" x14ac:dyDescent="0.25">
      <c r="B52" s="24" t="s">
        <v>79</v>
      </c>
      <c r="C52" s="50">
        <v>134</v>
      </c>
      <c r="D52" s="50">
        <v>77</v>
      </c>
      <c r="E52" s="50">
        <v>50</v>
      </c>
      <c r="F52" s="50">
        <v>45</v>
      </c>
      <c r="G52" s="50">
        <v>1</v>
      </c>
      <c r="H52" s="50">
        <v>1</v>
      </c>
      <c r="I52" s="50">
        <v>2</v>
      </c>
      <c r="J52" s="50">
        <v>1</v>
      </c>
      <c r="K52" s="50">
        <v>1</v>
      </c>
      <c r="L52" s="50">
        <v>3</v>
      </c>
      <c r="M52" s="50">
        <v>275</v>
      </c>
      <c r="N52" s="50">
        <v>0</v>
      </c>
      <c r="O52" s="15">
        <f t="shared" si="0"/>
        <v>315</v>
      </c>
      <c r="P52" s="15">
        <f t="shared" si="1"/>
        <v>590</v>
      </c>
      <c r="R52" s="8"/>
      <c r="T52"/>
    </row>
    <row r="53" spans="2:20" ht="23.1" customHeight="1" x14ac:dyDescent="0.25">
      <c r="B53" s="23" t="s">
        <v>80</v>
      </c>
      <c r="C53" s="50">
        <v>144</v>
      </c>
      <c r="D53" s="50">
        <v>100</v>
      </c>
      <c r="E53" s="50">
        <v>43</v>
      </c>
      <c r="F53" s="50">
        <v>54</v>
      </c>
      <c r="G53" s="50">
        <v>0</v>
      </c>
      <c r="H53" s="50">
        <v>0</v>
      </c>
      <c r="I53" s="50">
        <v>3</v>
      </c>
      <c r="J53" s="50">
        <v>5</v>
      </c>
      <c r="K53" s="50">
        <v>1</v>
      </c>
      <c r="L53" s="50">
        <v>2</v>
      </c>
      <c r="M53" s="50">
        <v>332</v>
      </c>
      <c r="N53" s="50">
        <v>0</v>
      </c>
      <c r="O53" s="15">
        <f t="shared" si="0"/>
        <v>352</v>
      </c>
      <c r="P53" s="15">
        <f t="shared" si="1"/>
        <v>684</v>
      </c>
      <c r="R53" s="8"/>
      <c r="T53"/>
    </row>
    <row r="54" spans="2:20" ht="23.1" customHeight="1" x14ac:dyDescent="0.25">
      <c r="B54" s="23" t="s">
        <v>81</v>
      </c>
      <c r="C54" s="50">
        <v>126</v>
      </c>
      <c r="D54" s="50">
        <v>101</v>
      </c>
      <c r="E54" s="50">
        <v>28</v>
      </c>
      <c r="F54" s="50">
        <v>63</v>
      </c>
      <c r="G54" s="50">
        <v>2</v>
      </c>
      <c r="H54" s="50">
        <v>1</v>
      </c>
      <c r="I54" s="50">
        <v>2</v>
      </c>
      <c r="J54" s="50">
        <v>6</v>
      </c>
      <c r="K54" s="50">
        <v>1</v>
      </c>
      <c r="L54" s="50">
        <v>3</v>
      </c>
      <c r="M54" s="50">
        <v>325</v>
      </c>
      <c r="N54" s="50">
        <v>0</v>
      </c>
      <c r="O54" s="15">
        <f t="shared" si="0"/>
        <v>333</v>
      </c>
      <c r="P54" s="15">
        <f t="shared" si="1"/>
        <v>658</v>
      </c>
      <c r="R54" s="8"/>
      <c r="T54"/>
    </row>
    <row r="55" spans="2:20" ht="23.1" customHeight="1" x14ac:dyDescent="0.25">
      <c r="B55" s="23" t="s">
        <v>82</v>
      </c>
      <c r="C55" s="50">
        <v>106</v>
      </c>
      <c r="D55" s="50">
        <v>80</v>
      </c>
      <c r="E55" s="50">
        <v>17</v>
      </c>
      <c r="F55" s="50">
        <v>90</v>
      </c>
      <c r="G55" s="50">
        <v>3</v>
      </c>
      <c r="H55" s="50">
        <v>2</v>
      </c>
      <c r="I55" s="50">
        <v>9</v>
      </c>
      <c r="J55" s="50">
        <v>1</v>
      </c>
      <c r="K55" s="50">
        <v>0</v>
      </c>
      <c r="L55" s="50">
        <v>1</v>
      </c>
      <c r="M55" s="50">
        <v>295</v>
      </c>
      <c r="N55" s="50">
        <v>0</v>
      </c>
      <c r="O55" s="15">
        <f t="shared" si="0"/>
        <v>309</v>
      </c>
      <c r="P55" s="15">
        <f t="shared" si="1"/>
        <v>604</v>
      </c>
      <c r="R55" s="8"/>
      <c r="T55"/>
    </row>
    <row r="56" spans="2:20" ht="23.1" customHeight="1" x14ac:dyDescent="0.25">
      <c r="B56" s="23" t="s">
        <v>83</v>
      </c>
      <c r="C56" s="50">
        <v>115</v>
      </c>
      <c r="D56" s="50">
        <v>75</v>
      </c>
      <c r="E56" s="50">
        <v>30</v>
      </c>
      <c r="F56" s="50">
        <v>60</v>
      </c>
      <c r="G56" s="50">
        <v>1</v>
      </c>
      <c r="H56" s="50">
        <v>2</v>
      </c>
      <c r="I56" s="50">
        <v>2</v>
      </c>
      <c r="J56" s="50">
        <v>1</v>
      </c>
      <c r="K56" s="50">
        <v>1</v>
      </c>
      <c r="L56" s="50">
        <v>2</v>
      </c>
      <c r="M56" s="50">
        <v>310</v>
      </c>
      <c r="N56" s="50">
        <v>0</v>
      </c>
      <c r="O56" s="15">
        <f t="shared" si="0"/>
        <v>289</v>
      </c>
      <c r="P56" s="15">
        <f t="shared" si="1"/>
        <v>599</v>
      </c>
      <c r="R56" s="8"/>
      <c r="T56"/>
    </row>
    <row r="57" spans="2:20" ht="23.1" customHeight="1" x14ac:dyDescent="0.25">
      <c r="B57" s="23" t="s">
        <v>84</v>
      </c>
      <c r="C57" s="50">
        <v>120</v>
      </c>
      <c r="D57" s="50">
        <v>72</v>
      </c>
      <c r="E57" s="50">
        <v>39</v>
      </c>
      <c r="F57" s="50">
        <v>55</v>
      </c>
      <c r="G57" s="50">
        <v>5</v>
      </c>
      <c r="H57" s="50">
        <v>1</v>
      </c>
      <c r="I57" s="50">
        <v>5</v>
      </c>
      <c r="J57" s="50">
        <v>1</v>
      </c>
      <c r="K57" s="50">
        <v>0</v>
      </c>
      <c r="L57" s="50">
        <v>3</v>
      </c>
      <c r="M57" s="50">
        <v>375</v>
      </c>
      <c r="N57" s="50">
        <v>0</v>
      </c>
      <c r="O57" s="15">
        <f t="shared" si="0"/>
        <v>301</v>
      </c>
      <c r="P57" s="15">
        <f t="shared" si="1"/>
        <v>676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2551</v>
      </c>
      <c r="D58" s="16">
        <f t="shared" si="21"/>
        <v>1267</v>
      </c>
      <c r="E58" s="16">
        <f t="shared" si="21"/>
        <v>612</v>
      </c>
      <c r="F58" s="16">
        <f t="shared" si="21"/>
        <v>2468</v>
      </c>
      <c r="G58" s="16">
        <f t="shared" si="21"/>
        <v>77</v>
      </c>
      <c r="H58" s="16">
        <f t="shared" si="21"/>
        <v>26</v>
      </c>
      <c r="I58" s="16">
        <f t="shared" si="21"/>
        <v>352</v>
      </c>
      <c r="J58" s="16">
        <f t="shared" si="21"/>
        <v>198</v>
      </c>
      <c r="K58" s="16">
        <f t="shared" si="21"/>
        <v>90</v>
      </c>
      <c r="L58" s="16">
        <f t="shared" si="21"/>
        <v>237</v>
      </c>
      <c r="M58" s="16">
        <f t="shared" si="21"/>
        <v>14372</v>
      </c>
      <c r="N58" s="16">
        <f t="shared" si="21"/>
        <v>0</v>
      </c>
      <c r="O58" s="16">
        <f t="shared" si="21"/>
        <v>7878</v>
      </c>
      <c r="P58" s="16">
        <f t="shared" si="21"/>
        <v>22250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0.11465168539325843</v>
      </c>
      <c r="D59" s="43">
        <f t="shared" si="22"/>
        <v>5.6943820224719104E-2</v>
      </c>
      <c r="E59" s="43">
        <f t="shared" si="22"/>
        <v>2.7505617977528089E-2</v>
      </c>
      <c r="F59" s="43">
        <f t="shared" si="22"/>
        <v>0.11092134831460675</v>
      </c>
      <c r="G59" s="43">
        <f t="shared" si="22"/>
        <v>3.4606741573033708E-3</v>
      </c>
      <c r="H59" s="43">
        <f t="shared" si="22"/>
        <v>1.1685393258426967E-3</v>
      </c>
      <c r="I59" s="43">
        <f t="shared" si="22"/>
        <v>1.5820224719101123E-2</v>
      </c>
      <c r="J59" s="43">
        <f t="shared" si="22"/>
        <v>8.8988764044943824E-3</v>
      </c>
      <c r="K59" s="43">
        <f t="shared" si="22"/>
        <v>4.0449438202247194E-3</v>
      </c>
      <c r="L59" s="43">
        <f t="shared" si="22"/>
        <v>1.0651685393258427E-2</v>
      </c>
      <c r="M59" s="43">
        <f t="shared" si="22"/>
        <v>0.64593258426966293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0.32381315054582382</v>
      </c>
      <c r="D60" s="44">
        <f t="shared" ref="D60:N60" si="23">D58/$O$58</f>
        <v>0.16082762122366082</v>
      </c>
      <c r="E60" s="44">
        <f t="shared" si="23"/>
        <v>7.7684691546077683E-2</v>
      </c>
      <c r="F60" s="44">
        <f t="shared" si="23"/>
        <v>0.31327748159431329</v>
      </c>
      <c r="G60" s="44">
        <f t="shared" si="23"/>
        <v>9.774054328509774E-3</v>
      </c>
      <c r="H60" s="44">
        <f t="shared" si="23"/>
        <v>3.3003300330033004E-3</v>
      </c>
      <c r="I60" s="44">
        <f t="shared" si="23"/>
        <v>4.4681391216044683E-2</v>
      </c>
      <c r="J60" s="44">
        <f t="shared" si="23"/>
        <v>2.5133282559025132E-2</v>
      </c>
      <c r="K60" s="44">
        <f t="shared" si="23"/>
        <v>1.1424219345011425E-2</v>
      </c>
      <c r="L60" s="44">
        <f t="shared" si="23"/>
        <v>3.0083777608530083E-2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2" zoomScaleSheetLayoutView="10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Kyambogo-Spear Motors'!C3:G3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'30.07 Spear Motors-Kyambogo'!D5</f>
        <v>30.07.19</v>
      </c>
      <c r="E5" s="3"/>
      <c r="F5" s="41" t="s">
        <v>1</v>
      </c>
      <c r="G5" s="63" t="str">
        <f>'29.07 Spear Motors-Kyambogo'!G5:H5</f>
        <v>PEPSI UGANDA</v>
      </c>
      <c r="H5" s="64"/>
      <c r="I5" s="14"/>
      <c r="J5" s="2" t="s">
        <v>5</v>
      </c>
      <c r="K5" s="63" t="str">
        <f>'29.07 Spear Motors-Kyambogo'!K5:L5</f>
        <v>WACHOMI R/GALABUZI R./MBAHA J/ASHABA K/LUBEGA S/KIKUMBAD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Kyambogo-Spear Motors'!D6:E6</f>
        <v>KYAMBOGO</v>
      </c>
      <c r="E6" s="64"/>
      <c r="F6" s="2" t="s">
        <v>2</v>
      </c>
      <c r="G6" s="63" t="str">
        <f>'29.07 Kyambogo-Spear Motors'!G6:H6</f>
        <v>SPEAR MOTORS</v>
      </c>
      <c r="H6" s="64"/>
      <c r="J6" s="2" t="s">
        <v>21</v>
      </c>
      <c r="K6" s="63" t="str">
        <f>'29.07 Spear Motors-Kyambogo'!K6:L6</f>
        <v>ANDREW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96</v>
      </c>
      <c r="W10" s="17">
        <f t="shared" si="2"/>
        <v>4</v>
      </c>
      <c r="X10" s="17">
        <f t="shared" si="2"/>
        <v>1</v>
      </c>
      <c r="Y10" s="17">
        <f t="shared" si="2"/>
        <v>8</v>
      </c>
      <c r="Z10" s="17">
        <f t="shared" si="2"/>
        <v>8</v>
      </c>
      <c r="AA10" s="17">
        <f t="shared" si="2"/>
        <v>3</v>
      </c>
      <c r="AB10" s="17">
        <f t="shared" si="2"/>
        <v>8</v>
      </c>
      <c r="AC10" s="17">
        <f t="shared" si="2"/>
        <v>0</v>
      </c>
      <c r="AD10" s="17">
        <f t="shared" si="2"/>
        <v>0</v>
      </c>
      <c r="AE10" s="31">
        <f t="shared" si="2"/>
        <v>128</v>
      </c>
      <c r="AF10" s="31">
        <f t="shared" si="2"/>
        <v>128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280</v>
      </c>
      <c r="T11" s="17">
        <f t="shared" si="3"/>
        <v>53</v>
      </c>
      <c r="U11" s="17">
        <f t="shared" si="3"/>
        <v>39</v>
      </c>
      <c r="V11" s="17">
        <f t="shared" si="3"/>
        <v>265</v>
      </c>
      <c r="W11" s="17">
        <f t="shared" si="3"/>
        <v>9</v>
      </c>
      <c r="X11" s="17">
        <f t="shared" si="3"/>
        <v>5</v>
      </c>
      <c r="Y11" s="17">
        <f t="shared" si="3"/>
        <v>4</v>
      </c>
      <c r="Z11" s="17">
        <f t="shared" si="3"/>
        <v>10</v>
      </c>
      <c r="AA11" s="17">
        <f t="shared" si="3"/>
        <v>13</v>
      </c>
      <c r="AB11" s="17">
        <f t="shared" si="3"/>
        <v>12</v>
      </c>
      <c r="AC11" s="17">
        <f t="shared" si="3"/>
        <v>1068</v>
      </c>
      <c r="AD11" s="17">
        <f t="shared" si="3"/>
        <v>0</v>
      </c>
      <c r="AE11" s="31">
        <f t="shared" si="3"/>
        <v>690</v>
      </c>
      <c r="AF11" s="31">
        <f t="shared" si="3"/>
        <v>1758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42</v>
      </c>
      <c r="G12" s="50">
        <v>1</v>
      </c>
      <c r="H12" s="50">
        <v>0</v>
      </c>
      <c r="I12" s="50">
        <v>5</v>
      </c>
      <c r="J12" s="50">
        <v>4</v>
      </c>
      <c r="K12" s="50">
        <v>1</v>
      </c>
      <c r="L12" s="50">
        <v>4</v>
      </c>
      <c r="M12" s="50">
        <v>0</v>
      </c>
      <c r="N12" s="50">
        <v>0</v>
      </c>
      <c r="O12" s="15">
        <f t="shared" si="0"/>
        <v>57</v>
      </c>
      <c r="P12" s="15">
        <f t="shared" si="1"/>
        <v>57</v>
      </c>
      <c r="R12" s="1" t="s">
        <v>8</v>
      </c>
      <c r="S12" s="17">
        <f t="shared" ref="S12:AF12" si="4">SUM(C18:C21)</f>
        <v>298</v>
      </c>
      <c r="T12" s="17">
        <f t="shared" si="4"/>
        <v>87</v>
      </c>
      <c r="U12" s="17">
        <f t="shared" si="4"/>
        <v>43</v>
      </c>
      <c r="V12" s="17">
        <f t="shared" si="4"/>
        <v>259</v>
      </c>
      <c r="W12" s="17">
        <f t="shared" si="4"/>
        <v>4</v>
      </c>
      <c r="X12" s="17">
        <f t="shared" si="4"/>
        <v>4</v>
      </c>
      <c r="Y12" s="17">
        <f t="shared" si="4"/>
        <v>14</v>
      </c>
      <c r="Z12" s="17">
        <f t="shared" si="4"/>
        <v>6</v>
      </c>
      <c r="AA12" s="17">
        <f t="shared" si="4"/>
        <v>6</v>
      </c>
      <c r="AB12" s="17">
        <f t="shared" si="4"/>
        <v>6</v>
      </c>
      <c r="AC12" s="17">
        <f t="shared" si="4"/>
        <v>1036</v>
      </c>
      <c r="AD12" s="17">
        <f t="shared" si="4"/>
        <v>0</v>
      </c>
      <c r="AE12" s="31">
        <f t="shared" si="4"/>
        <v>727</v>
      </c>
      <c r="AF12" s="31">
        <f t="shared" si="4"/>
        <v>1763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54</v>
      </c>
      <c r="G13" s="50">
        <v>3</v>
      </c>
      <c r="H13" s="50">
        <v>1</v>
      </c>
      <c r="I13" s="50">
        <v>3</v>
      </c>
      <c r="J13" s="50">
        <v>4</v>
      </c>
      <c r="K13" s="50">
        <v>2</v>
      </c>
      <c r="L13" s="50">
        <v>4</v>
      </c>
      <c r="M13" s="50">
        <v>0</v>
      </c>
      <c r="N13" s="50">
        <v>0</v>
      </c>
      <c r="O13" s="15">
        <f t="shared" si="0"/>
        <v>71</v>
      </c>
      <c r="P13" s="15">
        <f t="shared" si="1"/>
        <v>71</v>
      </c>
      <c r="R13" s="1" t="s">
        <v>9</v>
      </c>
      <c r="S13" s="17">
        <f t="shared" ref="S13:AF13" si="5">SUM(C22:C25)</f>
        <v>251</v>
      </c>
      <c r="T13" s="17">
        <f t="shared" si="5"/>
        <v>61</v>
      </c>
      <c r="U13" s="17">
        <f t="shared" si="5"/>
        <v>32</v>
      </c>
      <c r="V13" s="17">
        <f t="shared" si="5"/>
        <v>227</v>
      </c>
      <c r="W13" s="17">
        <f t="shared" si="5"/>
        <v>2</v>
      </c>
      <c r="X13" s="17">
        <f t="shared" si="5"/>
        <v>3</v>
      </c>
      <c r="Y13" s="17">
        <f t="shared" si="5"/>
        <v>26</v>
      </c>
      <c r="Z13" s="17">
        <f t="shared" si="5"/>
        <v>6</v>
      </c>
      <c r="AA13" s="17">
        <f t="shared" si="5"/>
        <v>4</v>
      </c>
      <c r="AB13" s="17">
        <f t="shared" si="5"/>
        <v>12</v>
      </c>
      <c r="AC13" s="17">
        <f t="shared" si="5"/>
        <v>1305</v>
      </c>
      <c r="AD13" s="17">
        <f t="shared" si="5"/>
        <v>0</v>
      </c>
      <c r="AE13" s="31">
        <f t="shared" si="5"/>
        <v>624</v>
      </c>
      <c r="AF13" s="31">
        <f t="shared" si="5"/>
        <v>1929</v>
      </c>
    </row>
    <row r="14" spans="2:32" ht="23.1" customHeight="1" x14ac:dyDescent="0.25">
      <c r="B14" s="23" t="s">
        <v>41</v>
      </c>
      <c r="C14" s="50">
        <v>20</v>
      </c>
      <c r="D14" s="50">
        <v>10</v>
      </c>
      <c r="E14" s="50">
        <v>10</v>
      </c>
      <c r="F14" s="50">
        <v>67</v>
      </c>
      <c r="G14" s="50">
        <v>3</v>
      </c>
      <c r="H14" s="50">
        <v>0</v>
      </c>
      <c r="I14" s="50">
        <v>1</v>
      </c>
      <c r="J14" s="50">
        <v>2</v>
      </c>
      <c r="K14" s="50">
        <v>3</v>
      </c>
      <c r="L14" s="50">
        <v>0</v>
      </c>
      <c r="M14" s="50">
        <v>308</v>
      </c>
      <c r="N14" s="50">
        <v>0</v>
      </c>
      <c r="O14" s="15">
        <f t="shared" si="0"/>
        <v>116</v>
      </c>
      <c r="P14" s="15">
        <f t="shared" si="1"/>
        <v>424</v>
      </c>
      <c r="R14" s="1" t="s">
        <v>10</v>
      </c>
      <c r="S14" s="17">
        <f t="shared" ref="S14:AF14" si="6">SUM(C26:C29)</f>
        <v>227</v>
      </c>
      <c r="T14" s="17">
        <f t="shared" si="6"/>
        <v>80</v>
      </c>
      <c r="U14" s="17">
        <f t="shared" si="6"/>
        <v>48</v>
      </c>
      <c r="V14" s="17">
        <f t="shared" si="6"/>
        <v>272</v>
      </c>
      <c r="W14" s="17">
        <f t="shared" si="6"/>
        <v>3</v>
      </c>
      <c r="X14" s="17">
        <f t="shared" si="6"/>
        <v>2</v>
      </c>
      <c r="Y14" s="17">
        <f t="shared" si="6"/>
        <v>12</v>
      </c>
      <c r="Z14" s="17">
        <f t="shared" si="6"/>
        <v>7</v>
      </c>
      <c r="AA14" s="17">
        <f t="shared" si="6"/>
        <v>4</v>
      </c>
      <c r="AB14" s="17">
        <f t="shared" si="6"/>
        <v>14</v>
      </c>
      <c r="AC14" s="17">
        <f t="shared" si="6"/>
        <v>1145</v>
      </c>
      <c r="AD14" s="17">
        <f t="shared" si="6"/>
        <v>0</v>
      </c>
      <c r="AE14" s="31">
        <f t="shared" si="6"/>
        <v>669</v>
      </c>
      <c r="AF14" s="31">
        <f t="shared" si="6"/>
        <v>1814</v>
      </c>
    </row>
    <row r="15" spans="2:32" ht="23.1" customHeight="1" x14ac:dyDescent="0.25">
      <c r="B15" s="23" t="s">
        <v>42</v>
      </c>
      <c r="C15" s="50">
        <v>50</v>
      </c>
      <c r="D15" s="50">
        <v>19</v>
      </c>
      <c r="E15" s="50">
        <v>3</v>
      </c>
      <c r="F15" s="50">
        <v>63</v>
      </c>
      <c r="G15" s="50">
        <v>3</v>
      </c>
      <c r="H15" s="50">
        <v>2</v>
      </c>
      <c r="I15" s="50">
        <v>3</v>
      </c>
      <c r="J15" s="50">
        <v>2</v>
      </c>
      <c r="K15" s="50">
        <v>3</v>
      </c>
      <c r="L15" s="50">
        <v>3</v>
      </c>
      <c r="M15" s="50">
        <v>250</v>
      </c>
      <c r="N15" s="50">
        <v>0</v>
      </c>
      <c r="O15" s="15">
        <f t="shared" si="0"/>
        <v>151</v>
      </c>
      <c r="P15" s="15">
        <f t="shared" si="1"/>
        <v>401</v>
      </c>
      <c r="R15" s="1" t="s">
        <v>11</v>
      </c>
      <c r="S15" s="17">
        <f t="shared" ref="S15:AF15" si="7">SUM(C30:C33)</f>
        <v>194</v>
      </c>
      <c r="T15" s="17">
        <f t="shared" si="7"/>
        <v>55</v>
      </c>
      <c r="U15" s="17">
        <f t="shared" si="7"/>
        <v>23</v>
      </c>
      <c r="V15" s="17">
        <f t="shared" si="7"/>
        <v>174</v>
      </c>
      <c r="W15" s="17">
        <f t="shared" si="7"/>
        <v>0</v>
      </c>
      <c r="X15" s="17">
        <f t="shared" si="7"/>
        <v>0</v>
      </c>
      <c r="Y15" s="17">
        <f t="shared" si="7"/>
        <v>22</v>
      </c>
      <c r="Z15" s="17">
        <f t="shared" si="7"/>
        <v>4</v>
      </c>
      <c r="AA15" s="17">
        <f t="shared" si="7"/>
        <v>3</v>
      </c>
      <c r="AB15" s="17">
        <f t="shared" si="7"/>
        <v>9</v>
      </c>
      <c r="AC15" s="17">
        <f t="shared" si="7"/>
        <v>895</v>
      </c>
      <c r="AD15" s="17">
        <f t="shared" si="7"/>
        <v>0</v>
      </c>
      <c r="AE15" s="31">
        <f t="shared" si="7"/>
        <v>484</v>
      </c>
      <c r="AF15" s="31">
        <f t="shared" si="7"/>
        <v>1379</v>
      </c>
    </row>
    <row r="16" spans="2:32" ht="23.1" customHeight="1" x14ac:dyDescent="0.25">
      <c r="B16" s="23" t="s">
        <v>43</v>
      </c>
      <c r="C16" s="50">
        <v>105</v>
      </c>
      <c r="D16" s="50">
        <v>15</v>
      </c>
      <c r="E16" s="50">
        <v>8</v>
      </c>
      <c r="F16" s="50">
        <v>60</v>
      </c>
      <c r="G16" s="50">
        <v>3</v>
      </c>
      <c r="H16" s="50">
        <v>1</v>
      </c>
      <c r="I16" s="50">
        <v>0</v>
      </c>
      <c r="J16" s="50">
        <v>3</v>
      </c>
      <c r="K16" s="50">
        <v>6</v>
      </c>
      <c r="L16" s="50">
        <v>5</v>
      </c>
      <c r="M16" s="50">
        <v>282</v>
      </c>
      <c r="N16" s="50">
        <v>0</v>
      </c>
      <c r="O16" s="15">
        <f t="shared" si="0"/>
        <v>206</v>
      </c>
      <c r="P16" s="15">
        <f t="shared" si="1"/>
        <v>488</v>
      </c>
      <c r="R16" s="1" t="s">
        <v>12</v>
      </c>
      <c r="S16" s="17">
        <f t="shared" ref="S16:AF16" si="8">SUM(C34:C37)</f>
        <v>221</v>
      </c>
      <c r="T16" s="17">
        <f t="shared" si="8"/>
        <v>66</v>
      </c>
      <c r="U16" s="17">
        <f t="shared" si="8"/>
        <v>30</v>
      </c>
      <c r="V16" s="17">
        <f t="shared" si="8"/>
        <v>212</v>
      </c>
      <c r="W16" s="17">
        <f t="shared" si="8"/>
        <v>5</v>
      </c>
      <c r="X16" s="17">
        <f t="shared" si="8"/>
        <v>5</v>
      </c>
      <c r="Y16" s="17">
        <f t="shared" si="8"/>
        <v>13</v>
      </c>
      <c r="Z16" s="17">
        <f t="shared" si="8"/>
        <v>15</v>
      </c>
      <c r="AA16" s="17">
        <f t="shared" si="8"/>
        <v>1</v>
      </c>
      <c r="AB16" s="17">
        <f t="shared" si="8"/>
        <v>24</v>
      </c>
      <c r="AC16" s="17">
        <f t="shared" si="8"/>
        <v>1185</v>
      </c>
      <c r="AD16" s="17">
        <f t="shared" si="8"/>
        <v>0</v>
      </c>
      <c r="AE16" s="31">
        <f t="shared" si="8"/>
        <v>592</v>
      </c>
      <c r="AF16" s="31">
        <f t="shared" si="8"/>
        <v>1777</v>
      </c>
    </row>
    <row r="17" spans="2:32" ht="23.1" customHeight="1" x14ac:dyDescent="0.25">
      <c r="B17" s="23" t="s">
        <v>44</v>
      </c>
      <c r="C17" s="50">
        <v>105</v>
      </c>
      <c r="D17" s="50">
        <v>9</v>
      </c>
      <c r="E17" s="50">
        <v>18</v>
      </c>
      <c r="F17" s="50">
        <v>75</v>
      </c>
      <c r="G17" s="50">
        <v>0</v>
      </c>
      <c r="H17" s="50">
        <v>2</v>
      </c>
      <c r="I17" s="50">
        <v>0</v>
      </c>
      <c r="J17" s="50">
        <v>3</v>
      </c>
      <c r="K17" s="50">
        <v>1</v>
      </c>
      <c r="L17" s="50">
        <v>4</v>
      </c>
      <c r="M17" s="50">
        <v>228</v>
      </c>
      <c r="N17" s="50">
        <v>0</v>
      </c>
      <c r="O17" s="15">
        <f t="shared" si="0"/>
        <v>217</v>
      </c>
      <c r="P17" s="15">
        <f t="shared" si="1"/>
        <v>445</v>
      </c>
      <c r="R17" s="1" t="s">
        <v>13</v>
      </c>
      <c r="S17" s="17">
        <f t="shared" ref="S17:AF17" si="9">SUM(C38:C41)</f>
        <v>172</v>
      </c>
      <c r="T17" s="17">
        <f t="shared" si="9"/>
        <v>62</v>
      </c>
      <c r="U17" s="17">
        <f t="shared" si="9"/>
        <v>35</v>
      </c>
      <c r="V17" s="17">
        <f t="shared" si="9"/>
        <v>224</v>
      </c>
      <c r="W17" s="17">
        <f t="shared" si="9"/>
        <v>3</v>
      </c>
      <c r="X17" s="17">
        <f t="shared" si="9"/>
        <v>9</v>
      </c>
      <c r="Y17" s="17">
        <f t="shared" si="9"/>
        <v>18</v>
      </c>
      <c r="Z17" s="17">
        <f t="shared" si="9"/>
        <v>16</v>
      </c>
      <c r="AA17" s="17">
        <f t="shared" si="9"/>
        <v>6</v>
      </c>
      <c r="AB17" s="17">
        <f t="shared" si="9"/>
        <v>34</v>
      </c>
      <c r="AC17" s="17">
        <f t="shared" si="9"/>
        <v>1175</v>
      </c>
      <c r="AD17" s="17">
        <f t="shared" si="9"/>
        <v>0</v>
      </c>
      <c r="AE17" s="31">
        <f t="shared" si="9"/>
        <v>579</v>
      </c>
      <c r="AF17" s="31">
        <f t="shared" si="9"/>
        <v>1754</v>
      </c>
    </row>
    <row r="18" spans="2:32" ht="23.1" customHeight="1" x14ac:dyDescent="0.25">
      <c r="B18" s="23" t="s">
        <v>45</v>
      </c>
      <c r="C18" s="50">
        <v>75</v>
      </c>
      <c r="D18" s="50">
        <v>30</v>
      </c>
      <c r="E18" s="50">
        <v>25</v>
      </c>
      <c r="F18" s="50">
        <v>60</v>
      </c>
      <c r="G18" s="50">
        <v>1</v>
      </c>
      <c r="H18" s="50">
        <v>1</v>
      </c>
      <c r="I18" s="50">
        <v>3</v>
      </c>
      <c r="J18" s="50">
        <v>1</v>
      </c>
      <c r="K18" s="50">
        <v>3</v>
      </c>
      <c r="L18" s="50">
        <v>0</v>
      </c>
      <c r="M18" s="50">
        <v>176</v>
      </c>
      <c r="N18" s="50">
        <v>0</v>
      </c>
      <c r="O18" s="15">
        <f t="shared" si="0"/>
        <v>199</v>
      </c>
      <c r="P18" s="15">
        <f t="shared" si="1"/>
        <v>375</v>
      </c>
      <c r="R18" s="1" t="s">
        <v>14</v>
      </c>
      <c r="S18" s="17">
        <f t="shared" ref="S18:AF18" si="10">SUM(C42:C45)</f>
        <v>183</v>
      </c>
      <c r="T18" s="17">
        <f t="shared" si="10"/>
        <v>62</v>
      </c>
      <c r="U18" s="17">
        <f t="shared" si="10"/>
        <v>26</v>
      </c>
      <c r="V18" s="17">
        <f t="shared" si="10"/>
        <v>193</v>
      </c>
      <c r="W18" s="17">
        <f t="shared" si="10"/>
        <v>3</v>
      </c>
      <c r="X18" s="17">
        <f t="shared" si="10"/>
        <v>2</v>
      </c>
      <c r="Y18" s="17">
        <f t="shared" si="10"/>
        <v>13</v>
      </c>
      <c r="Z18" s="17">
        <f t="shared" si="10"/>
        <v>15</v>
      </c>
      <c r="AA18" s="17">
        <f t="shared" si="10"/>
        <v>10</v>
      </c>
      <c r="AB18" s="17">
        <f t="shared" si="10"/>
        <v>11</v>
      </c>
      <c r="AC18" s="17">
        <f t="shared" si="10"/>
        <v>1328</v>
      </c>
      <c r="AD18" s="17">
        <f t="shared" si="10"/>
        <v>0</v>
      </c>
      <c r="AE18" s="31">
        <f t="shared" si="10"/>
        <v>518</v>
      </c>
      <c r="AF18" s="31">
        <f t="shared" si="10"/>
        <v>1846</v>
      </c>
    </row>
    <row r="19" spans="2:32" ht="23.1" customHeight="1" x14ac:dyDescent="0.25">
      <c r="B19" s="23" t="s">
        <v>46</v>
      </c>
      <c r="C19" s="50">
        <v>70</v>
      </c>
      <c r="D19" s="50">
        <v>14</v>
      </c>
      <c r="E19" s="50">
        <v>10</v>
      </c>
      <c r="F19" s="50">
        <v>90</v>
      </c>
      <c r="G19" s="50">
        <v>2</v>
      </c>
      <c r="H19" s="50">
        <v>1</v>
      </c>
      <c r="I19" s="50">
        <v>4</v>
      </c>
      <c r="J19" s="50">
        <v>2</v>
      </c>
      <c r="K19" s="50">
        <v>0</v>
      </c>
      <c r="L19" s="50">
        <v>1</v>
      </c>
      <c r="M19" s="50">
        <v>225</v>
      </c>
      <c r="N19" s="50">
        <v>0</v>
      </c>
      <c r="O19" s="15">
        <f t="shared" si="0"/>
        <v>194</v>
      </c>
      <c r="P19" s="15">
        <f t="shared" si="1"/>
        <v>419</v>
      </c>
      <c r="R19" s="1" t="s">
        <v>15</v>
      </c>
      <c r="S19" s="17">
        <f t="shared" ref="S19:AF19" si="11">SUM(C46:C49)</f>
        <v>183</v>
      </c>
      <c r="T19" s="17">
        <f t="shared" si="11"/>
        <v>57</v>
      </c>
      <c r="U19" s="17">
        <f t="shared" si="11"/>
        <v>28</v>
      </c>
      <c r="V19" s="17">
        <f t="shared" si="11"/>
        <v>230</v>
      </c>
      <c r="W19" s="17">
        <f t="shared" si="11"/>
        <v>1</v>
      </c>
      <c r="X19" s="17">
        <f t="shared" si="11"/>
        <v>4</v>
      </c>
      <c r="Y19" s="17">
        <f t="shared" si="11"/>
        <v>22</v>
      </c>
      <c r="Z19" s="17">
        <f t="shared" si="11"/>
        <v>8</v>
      </c>
      <c r="AA19" s="17">
        <f t="shared" si="11"/>
        <v>4</v>
      </c>
      <c r="AB19" s="17">
        <f t="shared" si="11"/>
        <v>13</v>
      </c>
      <c r="AC19" s="17">
        <f t="shared" si="11"/>
        <v>1175</v>
      </c>
      <c r="AD19" s="17">
        <f t="shared" si="11"/>
        <v>0</v>
      </c>
      <c r="AE19" s="31">
        <f t="shared" si="11"/>
        <v>550</v>
      </c>
      <c r="AF19" s="31">
        <f t="shared" si="11"/>
        <v>1725</v>
      </c>
    </row>
    <row r="20" spans="2:32" ht="23.1" customHeight="1" x14ac:dyDescent="0.25">
      <c r="B20" s="23" t="s">
        <v>47</v>
      </c>
      <c r="C20" s="50">
        <v>68</v>
      </c>
      <c r="D20" s="50">
        <v>16</v>
      </c>
      <c r="E20" s="50">
        <v>5</v>
      </c>
      <c r="F20" s="50">
        <v>58</v>
      </c>
      <c r="G20" s="50">
        <v>1</v>
      </c>
      <c r="H20" s="50">
        <v>2</v>
      </c>
      <c r="I20" s="50">
        <v>7</v>
      </c>
      <c r="J20" s="50">
        <v>3</v>
      </c>
      <c r="K20" s="50">
        <v>3</v>
      </c>
      <c r="L20" s="50">
        <v>4</v>
      </c>
      <c r="M20" s="50">
        <v>310</v>
      </c>
      <c r="N20" s="50">
        <v>0</v>
      </c>
      <c r="O20" s="15">
        <f t="shared" si="0"/>
        <v>167</v>
      </c>
      <c r="P20" s="15">
        <f t="shared" si="1"/>
        <v>477</v>
      </c>
      <c r="R20" s="1" t="s">
        <v>16</v>
      </c>
      <c r="S20" s="17">
        <f t="shared" ref="S20:AF20" si="12">SUM(C50:C53)</f>
        <v>171</v>
      </c>
      <c r="T20" s="17">
        <f t="shared" si="12"/>
        <v>38</v>
      </c>
      <c r="U20" s="17">
        <f t="shared" si="12"/>
        <v>29</v>
      </c>
      <c r="V20" s="17">
        <f t="shared" si="12"/>
        <v>198</v>
      </c>
      <c r="W20" s="17">
        <f t="shared" si="12"/>
        <v>3</v>
      </c>
      <c r="X20" s="17">
        <f t="shared" si="12"/>
        <v>5</v>
      </c>
      <c r="Y20" s="17">
        <f t="shared" si="12"/>
        <v>20</v>
      </c>
      <c r="Z20" s="17">
        <f t="shared" si="12"/>
        <v>13</v>
      </c>
      <c r="AA20" s="17">
        <f t="shared" si="12"/>
        <v>5</v>
      </c>
      <c r="AB20" s="17">
        <f t="shared" si="12"/>
        <v>11</v>
      </c>
      <c r="AC20" s="17">
        <f t="shared" si="12"/>
        <v>2050</v>
      </c>
      <c r="AD20" s="17">
        <f t="shared" si="12"/>
        <v>0</v>
      </c>
      <c r="AE20" s="31">
        <f t="shared" si="12"/>
        <v>493</v>
      </c>
      <c r="AF20" s="31">
        <f t="shared" si="12"/>
        <v>2543</v>
      </c>
    </row>
    <row r="21" spans="2:32" ht="23.1" customHeight="1" x14ac:dyDescent="0.25">
      <c r="B21" s="23" t="s">
        <v>48</v>
      </c>
      <c r="C21" s="50">
        <v>85</v>
      </c>
      <c r="D21" s="50">
        <v>27</v>
      </c>
      <c r="E21" s="50">
        <v>3</v>
      </c>
      <c r="F21" s="50">
        <v>51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325</v>
      </c>
      <c r="N21" s="50">
        <v>0</v>
      </c>
      <c r="O21" s="15">
        <f t="shared" si="0"/>
        <v>167</v>
      </c>
      <c r="P21" s="15">
        <f t="shared" si="1"/>
        <v>492</v>
      </c>
      <c r="R21" s="36" t="s">
        <v>20</v>
      </c>
      <c r="S21" s="34">
        <f t="shared" ref="S21:AF21" si="13">SUM(C54:C57)</f>
        <v>152</v>
      </c>
      <c r="T21" s="17">
        <f t="shared" si="13"/>
        <v>31</v>
      </c>
      <c r="U21" s="17">
        <f t="shared" si="13"/>
        <v>21</v>
      </c>
      <c r="V21" s="17">
        <f t="shared" si="13"/>
        <v>170</v>
      </c>
      <c r="W21" s="17">
        <f t="shared" si="13"/>
        <v>8</v>
      </c>
      <c r="X21" s="17">
        <f t="shared" si="13"/>
        <v>7</v>
      </c>
      <c r="Y21" s="17">
        <f t="shared" si="13"/>
        <v>19</v>
      </c>
      <c r="Z21" s="17">
        <f t="shared" si="13"/>
        <v>17</v>
      </c>
      <c r="AA21" s="17">
        <f t="shared" si="13"/>
        <v>4</v>
      </c>
      <c r="AB21" s="17">
        <f t="shared" si="13"/>
        <v>4</v>
      </c>
      <c r="AC21" s="17">
        <f t="shared" si="13"/>
        <v>1415</v>
      </c>
      <c r="AD21" s="17">
        <f t="shared" si="13"/>
        <v>0</v>
      </c>
      <c r="AE21" s="31">
        <f t="shared" si="13"/>
        <v>433</v>
      </c>
      <c r="AF21" s="31">
        <f t="shared" si="13"/>
        <v>1848</v>
      </c>
    </row>
    <row r="22" spans="2:32" ht="23.1" customHeight="1" x14ac:dyDescent="0.25">
      <c r="B22" s="23" t="s">
        <v>49</v>
      </c>
      <c r="C22" s="50">
        <v>60</v>
      </c>
      <c r="D22" s="50">
        <v>20</v>
      </c>
      <c r="E22" s="50">
        <v>8</v>
      </c>
      <c r="F22" s="50">
        <v>50</v>
      </c>
      <c r="G22" s="50">
        <v>0</v>
      </c>
      <c r="H22" s="50">
        <v>1</v>
      </c>
      <c r="I22" s="50">
        <v>5</v>
      </c>
      <c r="J22" s="50">
        <v>2</v>
      </c>
      <c r="K22" s="50">
        <v>3</v>
      </c>
      <c r="L22" s="50">
        <v>2</v>
      </c>
      <c r="M22" s="50">
        <v>315</v>
      </c>
      <c r="N22" s="50">
        <v>0</v>
      </c>
      <c r="O22" s="15">
        <f t="shared" si="0"/>
        <v>151</v>
      </c>
      <c r="P22" s="15">
        <f t="shared" si="1"/>
        <v>466</v>
      </c>
      <c r="R22" s="38" t="s">
        <v>90</v>
      </c>
      <c r="S22" s="39">
        <f>MAX(S10:S12)</f>
        <v>298</v>
      </c>
      <c r="T22" s="39">
        <f t="shared" ref="T22:AF22" si="14">MAX(T10:T12)</f>
        <v>87</v>
      </c>
      <c r="U22" s="39">
        <f t="shared" si="14"/>
        <v>43</v>
      </c>
      <c r="V22" s="39">
        <f t="shared" si="14"/>
        <v>265</v>
      </c>
      <c r="W22" s="39">
        <f t="shared" si="14"/>
        <v>9</v>
      </c>
      <c r="X22" s="39">
        <f t="shared" si="14"/>
        <v>5</v>
      </c>
      <c r="Y22" s="39">
        <f t="shared" si="14"/>
        <v>14</v>
      </c>
      <c r="Z22" s="39">
        <f t="shared" si="14"/>
        <v>10</v>
      </c>
      <c r="AA22" s="39">
        <f t="shared" si="14"/>
        <v>13</v>
      </c>
      <c r="AB22" s="39">
        <f t="shared" si="14"/>
        <v>12</v>
      </c>
      <c r="AC22" s="39">
        <f t="shared" si="14"/>
        <v>1068</v>
      </c>
      <c r="AD22" s="39">
        <f t="shared" si="14"/>
        <v>0</v>
      </c>
      <c r="AE22" s="40">
        <f t="shared" si="14"/>
        <v>727</v>
      </c>
      <c r="AF22" s="40">
        <f t="shared" si="14"/>
        <v>1763</v>
      </c>
    </row>
    <row r="23" spans="2:32" ht="23.1" customHeight="1" x14ac:dyDescent="0.25">
      <c r="B23" s="23" t="s">
        <v>50</v>
      </c>
      <c r="C23" s="50">
        <v>74</v>
      </c>
      <c r="D23" s="50">
        <v>19</v>
      </c>
      <c r="E23" s="50">
        <v>6</v>
      </c>
      <c r="F23" s="50">
        <v>45</v>
      </c>
      <c r="G23" s="50">
        <v>0</v>
      </c>
      <c r="H23" s="50">
        <v>1</v>
      </c>
      <c r="I23" s="50">
        <v>2</v>
      </c>
      <c r="J23" s="50">
        <v>1</v>
      </c>
      <c r="K23" s="50">
        <v>0</v>
      </c>
      <c r="L23" s="50">
        <v>1</v>
      </c>
      <c r="M23" s="50">
        <v>360</v>
      </c>
      <c r="N23" s="50">
        <v>0</v>
      </c>
      <c r="O23" s="15">
        <f t="shared" si="0"/>
        <v>149</v>
      </c>
      <c r="P23" s="15">
        <f t="shared" si="1"/>
        <v>509</v>
      </c>
      <c r="R23" s="38" t="s">
        <v>91</v>
      </c>
      <c r="S23" s="39">
        <f>MAX(S13:S18)</f>
        <v>251</v>
      </c>
      <c r="T23" s="39">
        <f t="shared" ref="T23:AF23" si="15">MAX(T13:T18)</f>
        <v>80</v>
      </c>
      <c r="U23" s="39">
        <f t="shared" si="15"/>
        <v>48</v>
      </c>
      <c r="V23" s="39">
        <f t="shared" si="15"/>
        <v>272</v>
      </c>
      <c r="W23" s="39">
        <f t="shared" si="15"/>
        <v>5</v>
      </c>
      <c r="X23" s="39">
        <f t="shared" si="15"/>
        <v>9</v>
      </c>
      <c r="Y23" s="39">
        <f t="shared" si="15"/>
        <v>26</v>
      </c>
      <c r="Z23" s="39">
        <f t="shared" si="15"/>
        <v>16</v>
      </c>
      <c r="AA23" s="39">
        <f t="shared" si="15"/>
        <v>10</v>
      </c>
      <c r="AB23" s="39">
        <f t="shared" si="15"/>
        <v>34</v>
      </c>
      <c r="AC23" s="39">
        <f t="shared" si="15"/>
        <v>1328</v>
      </c>
      <c r="AD23" s="39">
        <f t="shared" si="15"/>
        <v>0</v>
      </c>
      <c r="AE23" s="40">
        <f t="shared" si="15"/>
        <v>669</v>
      </c>
      <c r="AF23" s="40">
        <f t="shared" si="15"/>
        <v>1929</v>
      </c>
    </row>
    <row r="24" spans="2:32" ht="23.1" customHeight="1" x14ac:dyDescent="0.25">
      <c r="B24" s="23" t="s">
        <v>51</v>
      </c>
      <c r="C24" s="50">
        <v>68</v>
      </c>
      <c r="D24" s="50">
        <v>10</v>
      </c>
      <c r="E24" s="50">
        <v>12</v>
      </c>
      <c r="F24" s="50">
        <v>65</v>
      </c>
      <c r="G24" s="50">
        <v>0</v>
      </c>
      <c r="H24" s="50">
        <v>0</v>
      </c>
      <c r="I24" s="50">
        <v>7</v>
      </c>
      <c r="J24" s="50">
        <v>3</v>
      </c>
      <c r="K24" s="50">
        <v>0</v>
      </c>
      <c r="L24" s="50">
        <v>2</v>
      </c>
      <c r="M24" s="50">
        <v>240</v>
      </c>
      <c r="N24" s="50">
        <v>0</v>
      </c>
      <c r="O24" s="15">
        <f t="shared" si="0"/>
        <v>167</v>
      </c>
      <c r="P24" s="15">
        <f t="shared" si="1"/>
        <v>407</v>
      </c>
      <c r="R24" s="38" t="s">
        <v>92</v>
      </c>
      <c r="S24" s="39">
        <f>MAX(S19:S21)</f>
        <v>183</v>
      </c>
      <c r="T24" s="39">
        <f t="shared" ref="T24:AF24" si="16">MAX(T19:T21)</f>
        <v>57</v>
      </c>
      <c r="U24" s="39">
        <f t="shared" si="16"/>
        <v>29</v>
      </c>
      <c r="V24" s="39">
        <f t="shared" si="16"/>
        <v>230</v>
      </c>
      <c r="W24" s="39">
        <f t="shared" si="16"/>
        <v>8</v>
      </c>
      <c r="X24" s="39">
        <f t="shared" si="16"/>
        <v>7</v>
      </c>
      <c r="Y24" s="39">
        <f t="shared" si="16"/>
        <v>22</v>
      </c>
      <c r="Z24" s="39">
        <f t="shared" si="16"/>
        <v>17</v>
      </c>
      <c r="AA24" s="39">
        <f t="shared" si="16"/>
        <v>5</v>
      </c>
      <c r="AB24" s="39">
        <f t="shared" si="16"/>
        <v>13</v>
      </c>
      <c r="AC24" s="39">
        <f t="shared" si="16"/>
        <v>2050</v>
      </c>
      <c r="AD24" s="39">
        <f t="shared" si="16"/>
        <v>0</v>
      </c>
      <c r="AE24" s="40">
        <f t="shared" si="16"/>
        <v>550</v>
      </c>
      <c r="AF24" s="40">
        <f t="shared" si="16"/>
        <v>2543</v>
      </c>
    </row>
    <row r="25" spans="2:32" ht="23.1" customHeight="1" x14ac:dyDescent="0.25">
      <c r="B25" s="23" t="s">
        <v>52</v>
      </c>
      <c r="C25" s="50">
        <v>49</v>
      </c>
      <c r="D25" s="50">
        <v>12</v>
      </c>
      <c r="E25" s="50">
        <v>6</v>
      </c>
      <c r="F25" s="50">
        <v>67</v>
      </c>
      <c r="G25" s="50">
        <v>2</v>
      </c>
      <c r="H25" s="50">
        <v>1</v>
      </c>
      <c r="I25" s="50">
        <v>12</v>
      </c>
      <c r="J25" s="50">
        <v>0</v>
      </c>
      <c r="K25" s="50">
        <v>1</v>
      </c>
      <c r="L25" s="50">
        <v>7</v>
      </c>
      <c r="M25" s="50">
        <v>390</v>
      </c>
      <c r="N25" s="50">
        <v>0</v>
      </c>
      <c r="O25" s="15">
        <f t="shared" si="0"/>
        <v>157</v>
      </c>
      <c r="P25" s="15">
        <f t="shared" si="1"/>
        <v>547</v>
      </c>
      <c r="R25" s="37" t="s">
        <v>85</v>
      </c>
      <c r="S25" s="35">
        <f t="shared" ref="S25:AF25" si="17">SUM(S10:S12)</f>
        <v>578</v>
      </c>
      <c r="T25" s="16">
        <f t="shared" si="17"/>
        <v>140</v>
      </c>
      <c r="U25" s="16">
        <f t="shared" si="17"/>
        <v>82</v>
      </c>
      <c r="V25" s="16">
        <f t="shared" si="17"/>
        <v>620</v>
      </c>
      <c r="W25" s="16">
        <f t="shared" si="17"/>
        <v>17</v>
      </c>
      <c r="X25" s="16">
        <f t="shared" si="17"/>
        <v>10</v>
      </c>
      <c r="Y25" s="16">
        <f t="shared" si="17"/>
        <v>26</v>
      </c>
      <c r="Z25" s="16">
        <f t="shared" si="17"/>
        <v>24</v>
      </c>
      <c r="AA25" s="16">
        <f t="shared" si="17"/>
        <v>22</v>
      </c>
      <c r="AB25" s="16">
        <f t="shared" si="17"/>
        <v>26</v>
      </c>
      <c r="AC25" s="16">
        <f t="shared" si="17"/>
        <v>2104</v>
      </c>
      <c r="AD25" s="16">
        <f t="shared" si="17"/>
        <v>0</v>
      </c>
      <c r="AE25" s="32">
        <f t="shared" si="17"/>
        <v>1545</v>
      </c>
      <c r="AF25" s="32">
        <f t="shared" si="17"/>
        <v>3649</v>
      </c>
    </row>
    <row r="26" spans="2:32" ht="23.1" customHeight="1" x14ac:dyDescent="0.25">
      <c r="B26" s="23" t="s">
        <v>53</v>
      </c>
      <c r="C26" s="50">
        <v>54</v>
      </c>
      <c r="D26" s="50">
        <v>23</v>
      </c>
      <c r="E26" s="50">
        <v>13</v>
      </c>
      <c r="F26" s="50">
        <v>70</v>
      </c>
      <c r="G26" s="50">
        <v>2</v>
      </c>
      <c r="H26" s="50">
        <v>0</v>
      </c>
      <c r="I26" s="50">
        <v>6</v>
      </c>
      <c r="J26" s="50">
        <v>2</v>
      </c>
      <c r="K26" s="50">
        <v>3</v>
      </c>
      <c r="L26" s="50">
        <v>6</v>
      </c>
      <c r="M26" s="50">
        <v>345</v>
      </c>
      <c r="N26" s="50">
        <v>0</v>
      </c>
      <c r="O26" s="15">
        <f t="shared" si="0"/>
        <v>179</v>
      </c>
      <c r="P26" s="15">
        <f t="shared" si="1"/>
        <v>524</v>
      </c>
      <c r="R26" s="28" t="s">
        <v>86</v>
      </c>
      <c r="S26" s="16">
        <f t="shared" ref="S26:AF26" si="18">SUM(S13:S18)</f>
        <v>1248</v>
      </c>
      <c r="T26" s="16">
        <f t="shared" si="18"/>
        <v>386</v>
      </c>
      <c r="U26" s="16">
        <f t="shared" si="18"/>
        <v>194</v>
      </c>
      <c r="V26" s="16">
        <f t="shared" si="18"/>
        <v>1302</v>
      </c>
      <c r="W26" s="16">
        <f t="shared" si="18"/>
        <v>16</v>
      </c>
      <c r="X26" s="16">
        <f t="shared" si="18"/>
        <v>21</v>
      </c>
      <c r="Y26" s="16">
        <f t="shared" si="18"/>
        <v>104</v>
      </c>
      <c r="Z26" s="16">
        <f t="shared" si="18"/>
        <v>63</v>
      </c>
      <c r="AA26" s="16">
        <f t="shared" si="18"/>
        <v>28</v>
      </c>
      <c r="AB26" s="16">
        <f t="shared" si="18"/>
        <v>104</v>
      </c>
      <c r="AC26" s="16">
        <f t="shared" si="18"/>
        <v>7033</v>
      </c>
      <c r="AD26" s="16">
        <f t="shared" si="18"/>
        <v>0</v>
      </c>
      <c r="AE26" s="32">
        <f t="shared" si="18"/>
        <v>3466</v>
      </c>
      <c r="AF26" s="32">
        <f t="shared" si="18"/>
        <v>10499</v>
      </c>
    </row>
    <row r="27" spans="2:32" ht="23.1" customHeight="1" x14ac:dyDescent="0.25">
      <c r="B27" s="23" t="s">
        <v>54</v>
      </c>
      <c r="C27" s="50">
        <v>65</v>
      </c>
      <c r="D27" s="50">
        <v>18</v>
      </c>
      <c r="E27" s="50">
        <v>8</v>
      </c>
      <c r="F27" s="50">
        <v>55</v>
      </c>
      <c r="G27" s="50">
        <v>0</v>
      </c>
      <c r="H27" s="50">
        <v>1</v>
      </c>
      <c r="I27" s="50">
        <v>5</v>
      </c>
      <c r="J27" s="50">
        <v>2</v>
      </c>
      <c r="K27" s="50">
        <v>0</v>
      </c>
      <c r="L27" s="50">
        <v>4</v>
      </c>
      <c r="M27" s="50">
        <v>240</v>
      </c>
      <c r="N27" s="50">
        <v>0</v>
      </c>
      <c r="O27" s="15">
        <f t="shared" si="0"/>
        <v>158</v>
      </c>
      <c r="P27" s="15">
        <f t="shared" si="1"/>
        <v>398</v>
      </c>
      <c r="R27" s="29" t="s">
        <v>87</v>
      </c>
      <c r="S27" s="16">
        <f t="shared" ref="S27:AF27" si="19">SUM(S19:S21)</f>
        <v>506</v>
      </c>
      <c r="T27" s="16">
        <f t="shared" si="19"/>
        <v>126</v>
      </c>
      <c r="U27" s="16">
        <f t="shared" si="19"/>
        <v>78</v>
      </c>
      <c r="V27" s="16">
        <f t="shared" si="19"/>
        <v>598</v>
      </c>
      <c r="W27" s="16">
        <f t="shared" si="19"/>
        <v>12</v>
      </c>
      <c r="X27" s="16">
        <f t="shared" si="19"/>
        <v>16</v>
      </c>
      <c r="Y27" s="16">
        <f t="shared" si="19"/>
        <v>61</v>
      </c>
      <c r="Z27" s="16">
        <f t="shared" si="19"/>
        <v>38</v>
      </c>
      <c r="AA27" s="16">
        <f t="shared" si="19"/>
        <v>13</v>
      </c>
      <c r="AB27" s="16">
        <f t="shared" si="19"/>
        <v>28</v>
      </c>
      <c r="AC27" s="16">
        <f t="shared" si="19"/>
        <v>4640</v>
      </c>
      <c r="AD27" s="16">
        <f t="shared" si="19"/>
        <v>0</v>
      </c>
      <c r="AE27" s="32">
        <f t="shared" si="19"/>
        <v>1476</v>
      </c>
      <c r="AF27" s="32">
        <f t="shared" si="19"/>
        <v>6116</v>
      </c>
    </row>
    <row r="28" spans="2:32" ht="23.1" customHeight="1" x14ac:dyDescent="0.25">
      <c r="B28" s="23" t="s">
        <v>55</v>
      </c>
      <c r="C28" s="50">
        <v>53</v>
      </c>
      <c r="D28" s="50">
        <v>14</v>
      </c>
      <c r="E28" s="50">
        <v>9</v>
      </c>
      <c r="F28" s="50">
        <v>85</v>
      </c>
      <c r="G28" s="50">
        <v>1</v>
      </c>
      <c r="H28" s="50">
        <v>0</v>
      </c>
      <c r="I28" s="50">
        <v>1</v>
      </c>
      <c r="J28" s="50">
        <v>1</v>
      </c>
      <c r="K28" s="50">
        <v>1</v>
      </c>
      <c r="L28" s="50">
        <v>3</v>
      </c>
      <c r="M28" s="50">
        <v>275</v>
      </c>
      <c r="N28" s="50">
        <v>0</v>
      </c>
      <c r="O28" s="15">
        <f t="shared" si="0"/>
        <v>168</v>
      </c>
      <c r="P28" s="15">
        <f t="shared" si="1"/>
        <v>443</v>
      </c>
      <c r="R28" s="5" t="s">
        <v>17</v>
      </c>
      <c r="S28" s="16">
        <f t="shared" ref="S28:AF28" si="20">SUM(S10:S21)</f>
        <v>2332</v>
      </c>
      <c r="T28" s="16">
        <f t="shared" si="20"/>
        <v>652</v>
      </c>
      <c r="U28" s="16">
        <f t="shared" si="20"/>
        <v>354</v>
      </c>
      <c r="V28" s="16">
        <f t="shared" si="20"/>
        <v>2520</v>
      </c>
      <c r="W28" s="16">
        <f t="shared" si="20"/>
        <v>45</v>
      </c>
      <c r="X28" s="16">
        <f t="shared" si="20"/>
        <v>47</v>
      </c>
      <c r="Y28" s="16">
        <f t="shared" si="20"/>
        <v>191</v>
      </c>
      <c r="Z28" s="16">
        <f t="shared" si="20"/>
        <v>125</v>
      </c>
      <c r="AA28" s="16">
        <f t="shared" si="20"/>
        <v>63</v>
      </c>
      <c r="AB28" s="16">
        <f t="shared" si="20"/>
        <v>158</v>
      </c>
      <c r="AC28" s="16">
        <f t="shared" si="20"/>
        <v>13777</v>
      </c>
      <c r="AD28" s="16">
        <f t="shared" si="20"/>
        <v>0</v>
      </c>
      <c r="AE28" s="32">
        <f t="shared" si="20"/>
        <v>6487</v>
      </c>
      <c r="AF28" s="32">
        <f t="shared" si="20"/>
        <v>20264</v>
      </c>
    </row>
    <row r="29" spans="2:32" ht="23.1" customHeight="1" x14ac:dyDescent="0.25">
      <c r="B29" s="23" t="s">
        <v>56</v>
      </c>
      <c r="C29" s="50">
        <v>55</v>
      </c>
      <c r="D29" s="50">
        <v>25</v>
      </c>
      <c r="E29" s="50">
        <v>18</v>
      </c>
      <c r="F29" s="50">
        <v>62</v>
      </c>
      <c r="G29" s="50">
        <v>0</v>
      </c>
      <c r="H29" s="50">
        <v>1</v>
      </c>
      <c r="I29" s="50">
        <v>0</v>
      </c>
      <c r="J29" s="50">
        <v>2</v>
      </c>
      <c r="K29" s="50">
        <v>0</v>
      </c>
      <c r="L29" s="50">
        <v>1</v>
      </c>
      <c r="M29" s="50">
        <v>285</v>
      </c>
      <c r="N29" s="50">
        <v>0</v>
      </c>
      <c r="O29" s="15">
        <f t="shared" si="0"/>
        <v>164</v>
      </c>
      <c r="P29" s="15">
        <f t="shared" si="1"/>
        <v>449</v>
      </c>
      <c r="R29"/>
      <c r="S29" s="20"/>
      <c r="T29" s="19"/>
    </row>
    <row r="30" spans="2:32" ht="23.1" customHeight="1" x14ac:dyDescent="0.25">
      <c r="B30" s="23" t="s">
        <v>57</v>
      </c>
      <c r="C30" s="50">
        <v>40</v>
      </c>
      <c r="D30" s="50">
        <v>9</v>
      </c>
      <c r="E30" s="50">
        <v>3</v>
      </c>
      <c r="F30" s="50">
        <v>40</v>
      </c>
      <c r="G30" s="50">
        <v>0</v>
      </c>
      <c r="H30" s="50">
        <v>0</v>
      </c>
      <c r="I30" s="50">
        <v>9</v>
      </c>
      <c r="J30" s="50">
        <v>2</v>
      </c>
      <c r="K30" s="50">
        <v>2</v>
      </c>
      <c r="L30" s="50">
        <v>2</v>
      </c>
      <c r="M30" s="50">
        <v>205</v>
      </c>
      <c r="N30" s="50">
        <v>0</v>
      </c>
      <c r="O30" s="15">
        <f t="shared" si="0"/>
        <v>107</v>
      </c>
      <c r="P30" s="15">
        <f t="shared" si="1"/>
        <v>312</v>
      </c>
    </row>
    <row r="31" spans="2:32" ht="23.1" customHeight="1" x14ac:dyDescent="0.25">
      <c r="B31" s="24" t="s">
        <v>58</v>
      </c>
      <c r="C31" s="50">
        <v>50</v>
      </c>
      <c r="D31" s="50">
        <v>19</v>
      </c>
      <c r="E31" s="50">
        <v>9</v>
      </c>
      <c r="F31" s="50">
        <v>50</v>
      </c>
      <c r="G31" s="50">
        <v>0</v>
      </c>
      <c r="H31" s="50">
        <v>0</v>
      </c>
      <c r="I31" s="50">
        <v>8</v>
      </c>
      <c r="J31" s="50">
        <v>2</v>
      </c>
      <c r="K31" s="50">
        <v>1</v>
      </c>
      <c r="L31" s="50">
        <v>3</v>
      </c>
      <c r="M31" s="50">
        <v>205</v>
      </c>
      <c r="N31" s="50">
        <v>0</v>
      </c>
      <c r="O31" s="15">
        <f t="shared" si="0"/>
        <v>142</v>
      </c>
      <c r="P31" s="15">
        <f t="shared" si="1"/>
        <v>347</v>
      </c>
    </row>
    <row r="32" spans="2:32" ht="23.1" customHeight="1" x14ac:dyDescent="0.25">
      <c r="B32" s="24" t="s">
        <v>59</v>
      </c>
      <c r="C32" s="50">
        <v>51</v>
      </c>
      <c r="D32" s="50">
        <v>11</v>
      </c>
      <c r="E32" s="50">
        <v>6</v>
      </c>
      <c r="F32" s="50">
        <v>44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1</v>
      </c>
      <c r="M32" s="50">
        <v>245</v>
      </c>
      <c r="N32" s="50">
        <v>0</v>
      </c>
      <c r="O32" s="15">
        <f t="shared" si="0"/>
        <v>116</v>
      </c>
      <c r="P32" s="15">
        <f t="shared" si="1"/>
        <v>361</v>
      </c>
    </row>
    <row r="33" spans="2:20" ht="23.1" customHeight="1" x14ac:dyDescent="0.25">
      <c r="B33" s="23" t="s">
        <v>60</v>
      </c>
      <c r="C33" s="50">
        <v>53</v>
      </c>
      <c r="D33" s="50">
        <v>16</v>
      </c>
      <c r="E33" s="50">
        <v>5</v>
      </c>
      <c r="F33" s="50">
        <v>40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3</v>
      </c>
      <c r="M33" s="50">
        <v>240</v>
      </c>
      <c r="N33" s="50">
        <v>0</v>
      </c>
      <c r="O33" s="15">
        <f t="shared" si="0"/>
        <v>119</v>
      </c>
      <c r="P33" s="15">
        <f t="shared" si="1"/>
        <v>359</v>
      </c>
    </row>
    <row r="34" spans="2:20" ht="23.1" customHeight="1" x14ac:dyDescent="0.25">
      <c r="B34" s="24" t="s">
        <v>61</v>
      </c>
      <c r="C34" s="50">
        <v>62</v>
      </c>
      <c r="D34" s="50">
        <v>20</v>
      </c>
      <c r="E34" s="50">
        <v>10</v>
      </c>
      <c r="F34" s="50">
        <v>65</v>
      </c>
      <c r="G34" s="50">
        <v>1</v>
      </c>
      <c r="H34" s="50">
        <v>2</v>
      </c>
      <c r="I34" s="50">
        <v>2</v>
      </c>
      <c r="J34" s="50">
        <v>1</v>
      </c>
      <c r="K34" s="50">
        <v>1</v>
      </c>
      <c r="L34" s="50">
        <v>3</v>
      </c>
      <c r="M34" s="50">
        <v>290</v>
      </c>
      <c r="N34" s="50">
        <v>0</v>
      </c>
      <c r="O34" s="15">
        <f t="shared" si="0"/>
        <v>167</v>
      </c>
      <c r="P34" s="15">
        <f t="shared" si="1"/>
        <v>457</v>
      </c>
    </row>
    <row r="35" spans="2:20" ht="23.1" customHeight="1" x14ac:dyDescent="0.25">
      <c r="B35" s="24" t="s">
        <v>62</v>
      </c>
      <c r="C35" s="50">
        <v>46</v>
      </c>
      <c r="D35" s="50">
        <v>16</v>
      </c>
      <c r="E35" s="50">
        <v>6</v>
      </c>
      <c r="F35" s="50">
        <v>56</v>
      </c>
      <c r="G35" s="50">
        <v>3</v>
      </c>
      <c r="H35" s="50">
        <v>1</v>
      </c>
      <c r="I35" s="50">
        <v>5</v>
      </c>
      <c r="J35" s="50">
        <v>3</v>
      </c>
      <c r="K35" s="50">
        <v>0</v>
      </c>
      <c r="L35" s="50">
        <v>2</v>
      </c>
      <c r="M35" s="50">
        <v>310</v>
      </c>
      <c r="N35" s="50">
        <v>0</v>
      </c>
      <c r="O35" s="15">
        <f t="shared" si="0"/>
        <v>138</v>
      </c>
      <c r="P35" s="15">
        <f t="shared" si="1"/>
        <v>448</v>
      </c>
    </row>
    <row r="36" spans="2:20" ht="23.1" customHeight="1" x14ac:dyDescent="0.25">
      <c r="B36" s="24" t="s">
        <v>63</v>
      </c>
      <c r="C36" s="50">
        <v>61</v>
      </c>
      <c r="D36" s="50">
        <v>14</v>
      </c>
      <c r="E36" s="50">
        <v>10</v>
      </c>
      <c r="F36" s="50">
        <v>49</v>
      </c>
      <c r="G36" s="50">
        <v>0</v>
      </c>
      <c r="H36" s="50">
        <v>2</v>
      </c>
      <c r="I36" s="50">
        <v>6</v>
      </c>
      <c r="J36" s="50">
        <v>6</v>
      </c>
      <c r="K36" s="50">
        <v>0</v>
      </c>
      <c r="L36" s="50">
        <v>3</v>
      </c>
      <c r="M36" s="50">
        <v>300</v>
      </c>
      <c r="N36" s="50">
        <v>0</v>
      </c>
      <c r="O36" s="15">
        <f t="shared" si="0"/>
        <v>151</v>
      </c>
      <c r="P36" s="15">
        <f t="shared" si="1"/>
        <v>451</v>
      </c>
    </row>
    <row r="37" spans="2:20" ht="23.1" customHeight="1" x14ac:dyDescent="0.25">
      <c r="B37" s="23" t="s">
        <v>64</v>
      </c>
      <c r="C37" s="50">
        <v>52</v>
      </c>
      <c r="D37" s="50">
        <v>16</v>
      </c>
      <c r="E37" s="50">
        <v>4</v>
      </c>
      <c r="F37" s="50">
        <v>42</v>
      </c>
      <c r="G37" s="50">
        <v>1</v>
      </c>
      <c r="H37" s="50">
        <v>0</v>
      </c>
      <c r="I37" s="50">
        <v>0</v>
      </c>
      <c r="J37" s="50">
        <v>5</v>
      </c>
      <c r="K37" s="50">
        <v>0</v>
      </c>
      <c r="L37" s="50">
        <v>16</v>
      </c>
      <c r="M37" s="50">
        <v>285</v>
      </c>
      <c r="N37" s="50">
        <v>0</v>
      </c>
      <c r="O37" s="15">
        <f t="shared" si="0"/>
        <v>136</v>
      </c>
      <c r="P37" s="15">
        <f t="shared" si="1"/>
        <v>421</v>
      </c>
    </row>
    <row r="38" spans="2:20" ht="23.1" customHeight="1" x14ac:dyDescent="0.25">
      <c r="B38" s="24" t="s">
        <v>65</v>
      </c>
      <c r="C38" s="50">
        <v>65</v>
      </c>
      <c r="D38" s="50">
        <v>19</v>
      </c>
      <c r="E38" s="50">
        <v>8</v>
      </c>
      <c r="F38" s="50">
        <v>42</v>
      </c>
      <c r="G38" s="50">
        <v>1</v>
      </c>
      <c r="H38" s="50">
        <v>4</v>
      </c>
      <c r="I38" s="50">
        <v>6</v>
      </c>
      <c r="J38" s="50">
        <v>2</v>
      </c>
      <c r="K38" s="50">
        <v>0</v>
      </c>
      <c r="L38" s="50">
        <v>3</v>
      </c>
      <c r="M38" s="50">
        <v>260</v>
      </c>
      <c r="N38" s="50">
        <v>0</v>
      </c>
      <c r="O38" s="15">
        <f t="shared" si="0"/>
        <v>150</v>
      </c>
      <c r="P38" s="15">
        <f t="shared" si="1"/>
        <v>410</v>
      </c>
    </row>
    <row r="39" spans="2:20" ht="23.1" customHeight="1" x14ac:dyDescent="0.25">
      <c r="B39" s="24" t="s">
        <v>66</v>
      </c>
      <c r="C39" s="50">
        <v>41</v>
      </c>
      <c r="D39" s="50">
        <v>21</v>
      </c>
      <c r="E39" s="50">
        <v>13</v>
      </c>
      <c r="F39" s="50">
        <v>73</v>
      </c>
      <c r="G39" s="50">
        <v>1</v>
      </c>
      <c r="H39" s="50">
        <v>1</v>
      </c>
      <c r="I39" s="50">
        <v>1</v>
      </c>
      <c r="J39" s="50">
        <v>7</v>
      </c>
      <c r="K39" s="50">
        <v>2</v>
      </c>
      <c r="L39" s="50">
        <v>10</v>
      </c>
      <c r="M39" s="50">
        <v>280</v>
      </c>
      <c r="N39" s="50">
        <v>0</v>
      </c>
      <c r="O39" s="15">
        <f t="shared" si="0"/>
        <v>170</v>
      </c>
      <c r="P39" s="15">
        <f t="shared" si="1"/>
        <v>450</v>
      </c>
    </row>
    <row r="40" spans="2:20" ht="23.1" customHeight="1" x14ac:dyDescent="0.25">
      <c r="B40" s="24" t="s">
        <v>67</v>
      </c>
      <c r="C40" s="50">
        <v>34</v>
      </c>
      <c r="D40" s="50">
        <v>12</v>
      </c>
      <c r="E40" s="50">
        <v>6</v>
      </c>
      <c r="F40" s="50">
        <v>62</v>
      </c>
      <c r="G40" s="50">
        <v>0</v>
      </c>
      <c r="H40" s="50">
        <v>3</v>
      </c>
      <c r="I40" s="50">
        <v>8</v>
      </c>
      <c r="J40" s="50">
        <v>6</v>
      </c>
      <c r="K40" s="50">
        <v>3</v>
      </c>
      <c r="L40" s="50">
        <v>11</v>
      </c>
      <c r="M40" s="50">
        <v>295</v>
      </c>
      <c r="N40" s="50">
        <v>0</v>
      </c>
      <c r="O40" s="15">
        <f t="shared" si="0"/>
        <v>145</v>
      </c>
      <c r="P40" s="15">
        <f t="shared" si="1"/>
        <v>440</v>
      </c>
    </row>
    <row r="41" spans="2:20" ht="23.1" customHeight="1" x14ac:dyDescent="0.25">
      <c r="B41" s="23" t="s">
        <v>68</v>
      </c>
      <c r="C41" s="50">
        <v>32</v>
      </c>
      <c r="D41" s="50">
        <v>10</v>
      </c>
      <c r="E41" s="50">
        <v>8</v>
      </c>
      <c r="F41" s="50">
        <v>47</v>
      </c>
      <c r="G41" s="50">
        <v>1</v>
      </c>
      <c r="H41" s="50">
        <v>1</v>
      </c>
      <c r="I41" s="50">
        <v>3</v>
      </c>
      <c r="J41" s="50">
        <v>1</v>
      </c>
      <c r="K41" s="50">
        <v>1</v>
      </c>
      <c r="L41" s="50">
        <v>10</v>
      </c>
      <c r="M41" s="50">
        <v>340</v>
      </c>
      <c r="N41" s="50">
        <v>0</v>
      </c>
      <c r="O41" s="15">
        <f t="shared" si="0"/>
        <v>114</v>
      </c>
      <c r="P41" s="15">
        <f t="shared" si="1"/>
        <v>454</v>
      </c>
    </row>
    <row r="42" spans="2:20" ht="23.1" customHeight="1" x14ac:dyDescent="0.25">
      <c r="B42" s="24" t="s">
        <v>69</v>
      </c>
      <c r="C42" s="50">
        <v>41</v>
      </c>
      <c r="D42" s="50">
        <v>19</v>
      </c>
      <c r="E42" s="50">
        <v>7</v>
      </c>
      <c r="F42" s="50">
        <v>55</v>
      </c>
      <c r="G42" s="50">
        <v>1</v>
      </c>
      <c r="H42" s="50">
        <v>1</v>
      </c>
      <c r="I42" s="50">
        <v>4</v>
      </c>
      <c r="J42" s="50">
        <v>3</v>
      </c>
      <c r="K42" s="50">
        <v>1</v>
      </c>
      <c r="L42" s="50">
        <v>4</v>
      </c>
      <c r="M42" s="50">
        <v>340</v>
      </c>
      <c r="N42" s="50">
        <v>0</v>
      </c>
      <c r="O42" s="15">
        <f t="shared" si="0"/>
        <v>136</v>
      </c>
      <c r="P42" s="15">
        <f t="shared" si="1"/>
        <v>476</v>
      </c>
    </row>
    <row r="43" spans="2:20" ht="23.1" customHeight="1" x14ac:dyDescent="0.25">
      <c r="B43" s="23" t="s">
        <v>70</v>
      </c>
      <c r="C43" s="50">
        <v>46</v>
      </c>
      <c r="D43" s="50">
        <v>20</v>
      </c>
      <c r="E43" s="50">
        <v>7</v>
      </c>
      <c r="F43" s="50">
        <v>44</v>
      </c>
      <c r="G43" s="50">
        <v>2</v>
      </c>
      <c r="H43" s="50">
        <v>1</v>
      </c>
      <c r="I43" s="50">
        <v>5</v>
      </c>
      <c r="J43" s="50">
        <v>4</v>
      </c>
      <c r="K43" s="50">
        <v>6</v>
      </c>
      <c r="L43" s="50">
        <v>0</v>
      </c>
      <c r="M43" s="50">
        <v>370</v>
      </c>
      <c r="N43" s="50">
        <v>0</v>
      </c>
      <c r="O43" s="15">
        <f t="shared" si="0"/>
        <v>135</v>
      </c>
      <c r="P43" s="15">
        <f t="shared" si="1"/>
        <v>505</v>
      </c>
    </row>
    <row r="44" spans="2:20" ht="23.1" customHeight="1" x14ac:dyDescent="0.25">
      <c r="B44" s="25" t="s">
        <v>71</v>
      </c>
      <c r="C44" s="50">
        <v>51</v>
      </c>
      <c r="D44" s="50">
        <v>12</v>
      </c>
      <c r="E44" s="50">
        <v>4</v>
      </c>
      <c r="F44" s="50">
        <v>32</v>
      </c>
      <c r="G44" s="50">
        <v>0</v>
      </c>
      <c r="H44" s="50">
        <v>0</v>
      </c>
      <c r="I44" s="50">
        <v>3</v>
      </c>
      <c r="J44" s="50">
        <v>3</v>
      </c>
      <c r="K44" s="50">
        <v>1</v>
      </c>
      <c r="L44" s="50">
        <v>4</v>
      </c>
      <c r="M44" s="50">
        <v>310</v>
      </c>
      <c r="N44" s="50">
        <v>0</v>
      </c>
      <c r="O44" s="15">
        <f t="shared" si="0"/>
        <v>110</v>
      </c>
      <c r="P44" s="15">
        <f t="shared" si="1"/>
        <v>420</v>
      </c>
    </row>
    <row r="45" spans="2:20" ht="23.1" customHeight="1" x14ac:dyDescent="0.25">
      <c r="B45" s="23" t="s">
        <v>72</v>
      </c>
      <c r="C45" s="50">
        <v>45</v>
      </c>
      <c r="D45" s="50">
        <v>11</v>
      </c>
      <c r="E45" s="50">
        <v>8</v>
      </c>
      <c r="F45" s="50">
        <v>62</v>
      </c>
      <c r="G45" s="50">
        <v>0</v>
      </c>
      <c r="H45" s="50">
        <v>0</v>
      </c>
      <c r="I45" s="50">
        <v>1</v>
      </c>
      <c r="J45" s="50">
        <v>5</v>
      </c>
      <c r="K45" s="50">
        <v>2</v>
      </c>
      <c r="L45" s="50">
        <v>3</v>
      </c>
      <c r="M45" s="50">
        <v>308</v>
      </c>
      <c r="N45" s="50">
        <v>0</v>
      </c>
      <c r="O45" s="15">
        <f t="shared" si="0"/>
        <v>137</v>
      </c>
      <c r="P45" s="15">
        <f t="shared" si="1"/>
        <v>445</v>
      </c>
    </row>
    <row r="46" spans="2:20" ht="23.1" customHeight="1" x14ac:dyDescent="0.25">
      <c r="B46" s="24" t="s">
        <v>73</v>
      </c>
      <c r="C46" s="50">
        <v>49</v>
      </c>
      <c r="D46" s="50">
        <v>11</v>
      </c>
      <c r="E46" s="50">
        <v>5</v>
      </c>
      <c r="F46" s="50">
        <v>46</v>
      </c>
      <c r="G46" s="50">
        <v>0</v>
      </c>
      <c r="H46" s="50">
        <v>0</v>
      </c>
      <c r="I46" s="50">
        <v>1</v>
      </c>
      <c r="J46" s="50">
        <v>3</v>
      </c>
      <c r="K46" s="50">
        <v>2</v>
      </c>
      <c r="L46" s="50">
        <v>4</v>
      </c>
      <c r="M46" s="50">
        <v>240</v>
      </c>
      <c r="N46" s="50">
        <v>0</v>
      </c>
      <c r="O46" s="15">
        <f t="shared" si="0"/>
        <v>121</v>
      </c>
      <c r="P46" s="15">
        <f t="shared" si="1"/>
        <v>361</v>
      </c>
      <c r="R46" s="8"/>
      <c r="T46"/>
    </row>
    <row r="47" spans="2:20" ht="23.1" customHeight="1" x14ac:dyDescent="0.25">
      <c r="B47" s="24" t="s">
        <v>74</v>
      </c>
      <c r="C47" s="50">
        <v>56</v>
      </c>
      <c r="D47" s="50">
        <v>21</v>
      </c>
      <c r="E47" s="50">
        <v>7</v>
      </c>
      <c r="F47" s="50">
        <v>60</v>
      </c>
      <c r="G47" s="50">
        <v>0</v>
      </c>
      <c r="H47" s="50">
        <v>1</v>
      </c>
      <c r="I47" s="50">
        <v>10</v>
      </c>
      <c r="J47" s="50">
        <v>3</v>
      </c>
      <c r="K47" s="50">
        <v>1</v>
      </c>
      <c r="L47" s="50">
        <v>2</v>
      </c>
      <c r="M47" s="50">
        <v>300</v>
      </c>
      <c r="N47" s="50">
        <v>0</v>
      </c>
      <c r="O47" s="15">
        <f t="shared" si="0"/>
        <v>161</v>
      </c>
      <c r="P47" s="15">
        <f t="shared" si="1"/>
        <v>461</v>
      </c>
      <c r="R47" s="8"/>
      <c r="T47"/>
    </row>
    <row r="48" spans="2:20" ht="23.1" customHeight="1" x14ac:dyDescent="0.25">
      <c r="B48" s="24" t="s">
        <v>75</v>
      </c>
      <c r="C48" s="50">
        <v>31</v>
      </c>
      <c r="D48" s="50">
        <v>17</v>
      </c>
      <c r="E48" s="50">
        <v>12</v>
      </c>
      <c r="F48" s="50">
        <v>73</v>
      </c>
      <c r="G48" s="50">
        <v>1</v>
      </c>
      <c r="H48" s="50">
        <v>2</v>
      </c>
      <c r="I48" s="50">
        <v>7</v>
      </c>
      <c r="J48" s="50">
        <v>1</v>
      </c>
      <c r="K48" s="50">
        <v>1</v>
      </c>
      <c r="L48" s="50">
        <v>5</v>
      </c>
      <c r="M48" s="50">
        <v>295</v>
      </c>
      <c r="N48" s="50">
        <v>0</v>
      </c>
      <c r="O48" s="15">
        <f t="shared" si="0"/>
        <v>150</v>
      </c>
      <c r="P48" s="15">
        <f t="shared" si="1"/>
        <v>445</v>
      </c>
      <c r="R48" s="8"/>
      <c r="T48"/>
    </row>
    <row r="49" spans="2:20" ht="23.1" customHeight="1" x14ac:dyDescent="0.25">
      <c r="B49" s="23" t="s">
        <v>76</v>
      </c>
      <c r="C49" s="50">
        <v>47</v>
      </c>
      <c r="D49" s="50">
        <v>8</v>
      </c>
      <c r="E49" s="50">
        <v>4</v>
      </c>
      <c r="F49" s="50">
        <v>51</v>
      </c>
      <c r="G49" s="50">
        <v>0</v>
      </c>
      <c r="H49" s="50">
        <v>1</v>
      </c>
      <c r="I49" s="50">
        <v>4</v>
      </c>
      <c r="J49" s="50">
        <v>1</v>
      </c>
      <c r="K49" s="50">
        <v>0</v>
      </c>
      <c r="L49" s="50">
        <v>2</v>
      </c>
      <c r="M49" s="50">
        <v>340</v>
      </c>
      <c r="N49" s="50">
        <v>0</v>
      </c>
      <c r="O49" s="15">
        <f t="shared" si="0"/>
        <v>118</v>
      </c>
      <c r="P49" s="15">
        <f t="shared" si="1"/>
        <v>458</v>
      </c>
      <c r="R49" s="8"/>
      <c r="T49"/>
    </row>
    <row r="50" spans="2:20" ht="23.1" customHeight="1" x14ac:dyDescent="0.25">
      <c r="B50" s="24" t="s">
        <v>77</v>
      </c>
      <c r="C50" s="50">
        <v>39</v>
      </c>
      <c r="D50" s="50">
        <v>10</v>
      </c>
      <c r="E50" s="50">
        <v>5</v>
      </c>
      <c r="F50" s="50">
        <v>51</v>
      </c>
      <c r="G50" s="50">
        <v>0</v>
      </c>
      <c r="H50" s="50">
        <v>2</v>
      </c>
      <c r="I50" s="50">
        <v>4</v>
      </c>
      <c r="J50" s="50">
        <v>1</v>
      </c>
      <c r="K50" s="50">
        <v>0</v>
      </c>
      <c r="L50" s="50">
        <v>4</v>
      </c>
      <c r="M50" s="50">
        <v>485</v>
      </c>
      <c r="N50" s="50">
        <v>0</v>
      </c>
      <c r="O50" s="15">
        <f t="shared" si="0"/>
        <v>116</v>
      </c>
      <c r="P50" s="15">
        <f t="shared" si="1"/>
        <v>601</v>
      </c>
      <c r="R50" s="8"/>
      <c r="T50"/>
    </row>
    <row r="51" spans="2:20" ht="23.1" customHeight="1" x14ac:dyDescent="0.25">
      <c r="B51" s="24" t="s">
        <v>78</v>
      </c>
      <c r="C51" s="50">
        <v>39</v>
      </c>
      <c r="D51" s="50">
        <v>8</v>
      </c>
      <c r="E51" s="50">
        <v>7</v>
      </c>
      <c r="F51" s="50">
        <v>51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3</v>
      </c>
      <c r="M51" s="50">
        <v>565</v>
      </c>
      <c r="N51" s="50">
        <v>0</v>
      </c>
      <c r="O51" s="15">
        <f t="shared" si="0"/>
        <v>109</v>
      </c>
      <c r="P51" s="15">
        <f t="shared" si="1"/>
        <v>674</v>
      </c>
      <c r="R51" s="8"/>
      <c r="T51"/>
    </row>
    <row r="52" spans="2:20" ht="23.1" customHeight="1" x14ac:dyDescent="0.25">
      <c r="B52" s="24" t="s">
        <v>79</v>
      </c>
      <c r="C52" s="50">
        <v>55</v>
      </c>
      <c r="D52" s="50">
        <v>6</v>
      </c>
      <c r="E52" s="50">
        <v>4</v>
      </c>
      <c r="F52" s="50">
        <v>47</v>
      </c>
      <c r="G52" s="50">
        <v>1</v>
      </c>
      <c r="H52" s="50">
        <v>3</v>
      </c>
      <c r="I52" s="50">
        <v>9</v>
      </c>
      <c r="J52" s="50">
        <v>7</v>
      </c>
      <c r="K52" s="50">
        <v>2</v>
      </c>
      <c r="L52" s="50">
        <v>4</v>
      </c>
      <c r="M52" s="50">
        <v>520</v>
      </c>
      <c r="N52" s="50">
        <v>0</v>
      </c>
      <c r="O52" s="15">
        <f t="shared" si="0"/>
        <v>138</v>
      </c>
      <c r="P52" s="15">
        <f t="shared" si="1"/>
        <v>658</v>
      </c>
      <c r="R52" s="8"/>
      <c r="T52"/>
    </row>
    <row r="53" spans="2:20" ht="23.1" customHeight="1" x14ac:dyDescent="0.25">
      <c r="B53" s="23" t="s">
        <v>80</v>
      </c>
      <c r="C53" s="50">
        <v>38</v>
      </c>
      <c r="D53" s="50">
        <v>14</v>
      </c>
      <c r="E53" s="50">
        <v>13</v>
      </c>
      <c r="F53" s="50">
        <v>49</v>
      </c>
      <c r="G53" s="50">
        <v>2</v>
      </c>
      <c r="H53" s="50">
        <v>0</v>
      </c>
      <c r="I53" s="50">
        <v>6</v>
      </c>
      <c r="J53" s="50">
        <v>5</v>
      </c>
      <c r="K53" s="50">
        <v>3</v>
      </c>
      <c r="L53" s="50">
        <v>0</v>
      </c>
      <c r="M53" s="50">
        <v>480</v>
      </c>
      <c r="N53" s="50">
        <v>0</v>
      </c>
      <c r="O53" s="15">
        <f t="shared" si="0"/>
        <v>130</v>
      </c>
      <c r="P53" s="15">
        <f t="shared" si="1"/>
        <v>610</v>
      </c>
      <c r="R53" s="8"/>
      <c r="T53"/>
    </row>
    <row r="54" spans="2:20" ht="23.1" customHeight="1" x14ac:dyDescent="0.25">
      <c r="B54" s="23" t="s">
        <v>81</v>
      </c>
      <c r="C54" s="50">
        <v>53</v>
      </c>
      <c r="D54" s="50">
        <v>13</v>
      </c>
      <c r="E54" s="50">
        <v>2</v>
      </c>
      <c r="F54" s="50">
        <v>38</v>
      </c>
      <c r="G54" s="50">
        <v>1</v>
      </c>
      <c r="H54" s="50">
        <v>2</v>
      </c>
      <c r="I54" s="50">
        <v>9</v>
      </c>
      <c r="J54" s="50">
        <v>7</v>
      </c>
      <c r="K54" s="50">
        <v>2</v>
      </c>
      <c r="L54" s="50">
        <v>0</v>
      </c>
      <c r="M54" s="50">
        <v>430</v>
      </c>
      <c r="N54" s="50">
        <v>0</v>
      </c>
      <c r="O54" s="15">
        <f t="shared" si="0"/>
        <v>127</v>
      </c>
      <c r="P54" s="15">
        <f t="shared" si="1"/>
        <v>557</v>
      </c>
      <c r="R54" s="8"/>
      <c r="T54"/>
    </row>
    <row r="55" spans="2:20" ht="23.1" customHeight="1" x14ac:dyDescent="0.25">
      <c r="B55" s="23" t="s">
        <v>82</v>
      </c>
      <c r="C55" s="50">
        <v>30</v>
      </c>
      <c r="D55" s="50">
        <v>8</v>
      </c>
      <c r="E55" s="50">
        <v>9</v>
      </c>
      <c r="F55" s="50">
        <v>38</v>
      </c>
      <c r="G55" s="50">
        <v>5</v>
      </c>
      <c r="H55" s="50">
        <v>2</v>
      </c>
      <c r="I55" s="50">
        <v>7</v>
      </c>
      <c r="J55" s="50">
        <v>2</v>
      </c>
      <c r="K55" s="50">
        <v>1</v>
      </c>
      <c r="L55" s="50">
        <v>1</v>
      </c>
      <c r="M55" s="50">
        <v>305</v>
      </c>
      <c r="N55" s="50">
        <v>0</v>
      </c>
      <c r="O55" s="15">
        <f t="shared" si="0"/>
        <v>103</v>
      </c>
      <c r="P55" s="15">
        <f t="shared" si="1"/>
        <v>408</v>
      </c>
      <c r="R55" s="8"/>
      <c r="T55"/>
    </row>
    <row r="56" spans="2:20" ht="23.1" customHeight="1" x14ac:dyDescent="0.25">
      <c r="B56" s="23" t="s">
        <v>83</v>
      </c>
      <c r="C56" s="50">
        <v>41</v>
      </c>
      <c r="D56" s="50">
        <v>7</v>
      </c>
      <c r="E56" s="50">
        <v>4</v>
      </c>
      <c r="F56" s="50">
        <v>28</v>
      </c>
      <c r="G56" s="50">
        <v>1</v>
      </c>
      <c r="H56" s="50">
        <v>3</v>
      </c>
      <c r="I56" s="50">
        <v>1</v>
      </c>
      <c r="J56" s="50">
        <v>6</v>
      </c>
      <c r="K56" s="50">
        <v>0</v>
      </c>
      <c r="L56" s="50">
        <v>2</v>
      </c>
      <c r="M56" s="50">
        <v>315</v>
      </c>
      <c r="N56" s="50">
        <v>0</v>
      </c>
      <c r="O56" s="15">
        <f t="shared" si="0"/>
        <v>93</v>
      </c>
      <c r="P56" s="15">
        <f t="shared" si="1"/>
        <v>408</v>
      </c>
      <c r="R56" s="8"/>
      <c r="T56"/>
    </row>
    <row r="57" spans="2:20" ht="23.1" customHeight="1" x14ac:dyDescent="0.25">
      <c r="B57" s="23" t="s">
        <v>84</v>
      </c>
      <c r="C57" s="50">
        <v>28</v>
      </c>
      <c r="D57" s="50">
        <v>3</v>
      </c>
      <c r="E57" s="50">
        <v>6</v>
      </c>
      <c r="F57" s="50">
        <v>66</v>
      </c>
      <c r="G57" s="50">
        <v>1</v>
      </c>
      <c r="H57" s="50">
        <v>0</v>
      </c>
      <c r="I57" s="50">
        <v>2</v>
      </c>
      <c r="J57" s="50">
        <v>2</v>
      </c>
      <c r="K57" s="50">
        <v>1</v>
      </c>
      <c r="L57" s="50">
        <v>1</v>
      </c>
      <c r="M57" s="50">
        <v>365</v>
      </c>
      <c r="N57" s="50">
        <v>0</v>
      </c>
      <c r="O57" s="15">
        <f t="shared" si="0"/>
        <v>110</v>
      </c>
      <c r="P57" s="15">
        <f t="shared" si="1"/>
        <v>475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2332</v>
      </c>
      <c r="D58" s="16">
        <f t="shared" si="21"/>
        <v>652</v>
      </c>
      <c r="E58" s="16">
        <f t="shared" si="21"/>
        <v>354</v>
      </c>
      <c r="F58" s="16">
        <f t="shared" si="21"/>
        <v>2520</v>
      </c>
      <c r="G58" s="16">
        <f t="shared" si="21"/>
        <v>45</v>
      </c>
      <c r="H58" s="16">
        <f t="shared" si="21"/>
        <v>47</v>
      </c>
      <c r="I58" s="16">
        <f t="shared" si="21"/>
        <v>191</v>
      </c>
      <c r="J58" s="16">
        <f t="shared" si="21"/>
        <v>125</v>
      </c>
      <c r="K58" s="16">
        <f t="shared" si="21"/>
        <v>63</v>
      </c>
      <c r="L58" s="16">
        <f t="shared" si="21"/>
        <v>158</v>
      </c>
      <c r="M58" s="16">
        <f t="shared" si="21"/>
        <v>13777</v>
      </c>
      <c r="N58" s="16">
        <f t="shared" si="21"/>
        <v>0</v>
      </c>
      <c r="O58" s="16">
        <f t="shared" si="21"/>
        <v>6487</v>
      </c>
      <c r="P58" s="16">
        <f t="shared" si="21"/>
        <v>20264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0.11508093170153967</v>
      </c>
      <c r="D59" s="43">
        <f t="shared" si="22"/>
        <v>3.2175286221871296E-2</v>
      </c>
      <c r="E59" s="43">
        <f t="shared" si="22"/>
        <v>1.7469403868930124E-2</v>
      </c>
      <c r="F59" s="43">
        <f t="shared" si="22"/>
        <v>0.12435846821950257</v>
      </c>
      <c r="G59" s="43">
        <f t="shared" si="22"/>
        <v>2.2206869324911172E-3</v>
      </c>
      <c r="H59" s="43">
        <f t="shared" si="22"/>
        <v>2.3193841294907223E-3</v>
      </c>
      <c r="I59" s="43">
        <f t="shared" si="22"/>
        <v>9.4255823134622978E-3</v>
      </c>
      <c r="J59" s="43">
        <f t="shared" si="22"/>
        <v>6.1685748124753253E-3</v>
      </c>
      <c r="K59" s="43">
        <f t="shared" si="22"/>
        <v>3.1089617054875641E-3</v>
      </c>
      <c r="L59" s="43">
        <f t="shared" si="22"/>
        <v>7.797078562968812E-3</v>
      </c>
      <c r="M59" s="43">
        <f t="shared" si="22"/>
        <v>0.67987564153178048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0.35948820718359797</v>
      </c>
      <c r="D60" s="44">
        <f t="shared" ref="D60:N60" si="23">D58/$O$58</f>
        <v>0.10050870972714659</v>
      </c>
      <c r="E60" s="44">
        <f t="shared" si="23"/>
        <v>5.4570679821180822E-2</v>
      </c>
      <c r="F60" s="44">
        <f t="shared" si="23"/>
        <v>0.38846924618467704</v>
      </c>
      <c r="G60" s="44">
        <f t="shared" si="23"/>
        <v>6.9369508247263756E-3</v>
      </c>
      <c r="H60" s="44">
        <f t="shared" si="23"/>
        <v>7.2452597502697703E-3</v>
      </c>
      <c r="I60" s="44">
        <f t="shared" si="23"/>
        <v>2.9443502389394173E-2</v>
      </c>
      <c r="J60" s="44">
        <f t="shared" si="23"/>
        <v>1.9269307846462157E-2</v>
      </c>
      <c r="K60" s="44">
        <f t="shared" si="23"/>
        <v>9.7117311546169264E-3</v>
      </c>
      <c r="L60" s="44">
        <f t="shared" si="23"/>
        <v>2.4356405117928165E-2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40" zoomScaleSheetLayoutView="40" workbookViewId="0">
      <selection activeCell="M58" sqref="M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Motors-Kyambogo'!C3:G3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3" t="str">
        <f>'29.07 Spear Motors-Kyambogo'!G5:H5</f>
        <v>PEPSI UGANDA</v>
      </c>
      <c r="H5" s="64"/>
      <c r="I5" s="14"/>
      <c r="J5" s="2" t="s">
        <v>5</v>
      </c>
      <c r="K5" s="63" t="str">
        <f>'29.07 Spear Motors-Kyambogo'!K5:L5</f>
        <v>WACHOMI R/GALABUZI R./MBAHA J/ASHABA K/LUBEGA S/KIKUMBAD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Spear Motors-Kyambogo'!D6:E6</f>
        <v>SPEAR MOTORS</v>
      </c>
      <c r="E6" s="64"/>
      <c r="F6" s="2" t="s">
        <v>2</v>
      </c>
      <c r="G6" s="63" t="str">
        <f>'29.07 Spear Motors-Kyambogo'!G6:H6</f>
        <v>KYAMBOGO</v>
      </c>
      <c r="H6" s="64"/>
      <c r="J6" s="2" t="s">
        <v>21</v>
      </c>
      <c r="K6" s="63" t="str">
        <f>'29.07 Spear Motors-Kyambogo'!K6:L6</f>
        <v>ANDREW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9</v>
      </c>
      <c r="D10" s="50">
        <v>4</v>
      </c>
      <c r="E10" s="50">
        <v>2</v>
      </c>
      <c r="F10" s="50">
        <v>55</v>
      </c>
      <c r="G10" s="50">
        <v>3</v>
      </c>
      <c r="H10" s="50">
        <v>0</v>
      </c>
      <c r="I10" s="50">
        <v>3</v>
      </c>
      <c r="J10" s="50">
        <v>0</v>
      </c>
      <c r="K10" s="50">
        <v>0</v>
      </c>
      <c r="L10" s="50">
        <v>3</v>
      </c>
      <c r="M10" s="50">
        <v>460</v>
      </c>
      <c r="N10" s="50">
        <v>0</v>
      </c>
      <c r="O10" s="15">
        <f t="shared" ref="O10:O57" si="0">SUM(C10:L10,N10)</f>
        <v>79</v>
      </c>
      <c r="P10" s="15">
        <f t="shared" ref="P10:P57" si="1">SUM(C10:N10)</f>
        <v>539</v>
      </c>
      <c r="R10" s="1" t="s">
        <v>6</v>
      </c>
      <c r="S10" s="17">
        <f t="shared" ref="S10:AF10" si="2">SUM(C10:C13)</f>
        <v>56</v>
      </c>
      <c r="T10" s="17">
        <f t="shared" si="2"/>
        <v>22</v>
      </c>
      <c r="U10" s="17">
        <f t="shared" si="2"/>
        <v>16</v>
      </c>
      <c r="V10" s="17">
        <f t="shared" si="2"/>
        <v>170</v>
      </c>
      <c r="W10" s="17">
        <f t="shared" si="2"/>
        <v>7</v>
      </c>
      <c r="X10" s="17">
        <f t="shared" si="2"/>
        <v>2</v>
      </c>
      <c r="Y10" s="17">
        <f t="shared" si="2"/>
        <v>13</v>
      </c>
      <c r="Z10" s="17">
        <f t="shared" si="2"/>
        <v>1</v>
      </c>
      <c r="AA10" s="17">
        <f t="shared" si="2"/>
        <v>1</v>
      </c>
      <c r="AB10" s="17">
        <f t="shared" si="2"/>
        <v>12</v>
      </c>
      <c r="AC10" s="17">
        <f t="shared" si="2"/>
        <v>1525</v>
      </c>
      <c r="AD10" s="17">
        <f t="shared" si="2"/>
        <v>0</v>
      </c>
      <c r="AE10" s="31">
        <f t="shared" si="2"/>
        <v>300</v>
      </c>
      <c r="AF10" s="31">
        <f t="shared" si="2"/>
        <v>1825</v>
      </c>
    </row>
    <row r="11" spans="2:32" s="6" customFormat="1" ht="23.1" customHeight="1" x14ac:dyDescent="0.25">
      <c r="B11" s="23" t="s">
        <v>38</v>
      </c>
      <c r="C11" s="50">
        <v>7</v>
      </c>
      <c r="D11" s="50">
        <v>5</v>
      </c>
      <c r="E11" s="50">
        <v>3</v>
      </c>
      <c r="F11" s="50">
        <v>30</v>
      </c>
      <c r="G11" s="50">
        <v>3</v>
      </c>
      <c r="H11" s="50">
        <v>1</v>
      </c>
      <c r="I11" s="50">
        <v>2</v>
      </c>
      <c r="J11" s="50">
        <v>0</v>
      </c>
      <c r="K11" s="50">
        <v>1</v>
      </c>
      <c r="L11" s="50">
        <v>2</v>
      </c>
      <c r="M11" s="50">
        <v>330</v>
      </c>
      <c r="N11" s="50">
        <v>0</v>
      </c>
      <c r="O11" s="15">
        <f t="shared" si="0"/>
        <v>54</v>
      </c>
      <c r="P11" s="15">
        <f t="shared" si="1"/>
        <v>384</v>
      </c>
      <c r="R11" s="1" t="s">
        <v>7</v>
      </c>
      <c r="S11" s="17">
        <f t="shared" ref="S11:AF11" si="3">SUM(C14:C17)</f>
        <v>83</v>
      </c>
      <c r="T11" s="17">
        <f t="shared" si="3"/>
        <v>39</v>
      </c>
      <c r="U11" s="17">
        <f t="shared" si="3"/>
        <v>20</v>
      </c>
      <c r="V11" s="17">
        <f t="shared" si="3"/>
        <v>212</v>
      </c>
      <c r="W11" s="17">
        <f t="shared" si="3"/>
        <v>6</v>
      </c>
      <c r="X11" s="17">
        <f t="shared" si="3"/>
        <v>1</v>
      </c>
      <c r="Y11" s="17">
        <f t="shared" si="3"/>
        <v>19</v>
      </c>
      <c r="Z11" s="17">
        <f t="shared" si="3"/>
        <v>12</v>
      </c>
      <c r="AA11" s="17">
        <f t="shared" si="3"/>
        <v>5</v>
      </c>
      <c r="AB11" s="17">
        <f t="shared" si="3"/>
        <v>9</v>
      </c>
      <c r="AC11" s="17">
        <f t="shared" si="3"/>
        <v>1500</v>
      </c>
      <c r="AD11" s="17">
        <f t="shared" si="3"/>
        <v>0</v>
      </c>
      <c r="AE11" s="31">
        <f t="shared" si="3"/>
        <v>406</v>
      </c>
      <c r="AF11" s="31">
        <f t="shared" si="3"/>
        <v>1906</v>
      </c>
    </row>
    <row r="12" spans="2:32" ht="23.1" customHeight="1" x14ac:dyDescent="0.25">
      <c r="B12" s="23" t="s">
        <v>39</v>
      </c>
      <c r="C12" s="50">
        <v>12</v>
      </c>
      <c r="D12" s="50">
        <v>2</v>
      </c>
      <c r="E12" s="50">
        <v>3</v>
      </c>
      <c r="F12" s="50">
        <v>33</v>
      </c>
      <c r="G12" s="50">
        <v>1</v>
      </c>
      <c r="H12" s="50">
        <v>0</v>
      </c>
      <c r="I12" s="50">
        <v>3</v>
      </c>
      <c r="J12" s="50">
        <v>0</v>
      </c>
      <c r="K12" s="50">
        <v>0</v>
      </c>
      <c r="L12" s="50">
        <v>4</v>
      </c>
      <c r="M12" s="50">
        <v>325</v>
      </c>
      <c r="N12" s="50">
        <v>0</v>
      </c>
      <c r="O12" s="15">
        <f t="shared" si="0"/>
        <v>58</v>
      </c>
      <c r="P12" s="15">
        <f t="shared" si="1"/>
        <v>383</v>
      </c>
      <c r="R12" s="1" t="s">
        <v>8</v>
      </c>
      <c r="S12" s="17">
        <f t="shared" ref="S12:AF12" si="4">SUM(C18:C21)</f>
        <v>133</v>
      </c>
      <c r="T12" s="17">
        <f t="shared" si="4"/>
        <v>57</v>
      </c>
      <c r="U12" s="17">
        <f t="shared" si="4"/>
        <v>40</v>
      </c>
      <c r="V12" s="17">
        <f t="shared" si="4"/>
        <v>181</v>
      </c>
      <c r="W12" s="17">
        <f t="shared" si="4"/>
        <v>4</v>
      </c>
      <c r="X12" s="17">
        <f t="shared" si="4"/>
        <v>2</v>
      </c>
      <c r="Y12" s="17">
        <f t="shared" si="4"/>
        <v>28</v>
      </c>
      <c r="Z12" s="17">
        <f t="shared" si="4"/>
        <v>7</v>
      </c>
      <c r="AA12" s="17">
        <f t="shared" si="4"/>
        <v>4</v>
      </c>
      <c r="AB12" s="17">
        <f t="shared" si="4"/>
        <v>10</v>
      </c>
      <c r="AC12" s="17">
        <f t="shared" si="4"/>
        <v>1682</v>
      </c>
      <c r="AD12" s="17">
        <f t="shared" si="4"/>
        <v>0</v>
      </c>
      <c r="AE12" s="31">
        <f t="shared" si="4"/>
        <v>466</v>
      </c>
      <c r="AF12" s="31">
        <f t="shared" si="4"/>
        <v>2148</v>
      </c>
    </row>
    <row r="13" spans="2:32" ht="23.1" customHeight="1" x14ac:dyDescent="0.25">
      <c r="B13" s="23" t="s">
        <v>40</v>
      </c>
      <c r="C13" s="50">
        <v>28</v>
      </c>
      <c r="D13" s="50">
        <v>11</v>
      </c>
      <c r="E13" s="50">
        <v>8</v>
      </c>
      <c r="F13" s="50">
        <v>52</v>
      </c>
      <c r="G13" s="50">
        <v>0</v>
      </c>
      <c r="H13" s="50">
        <v>1</v>
      </c>
      <c r="I13" s="50">
        <v>5</v>
      </c>
      <c r="J13" s="50">
        <v>1</v>
      </c>
      <c r="K13" s="50">
        <v>0</v>
      </c>
      <c r="L13" s="50">
        <v>3</v>
      </c>
      <c r="M13" s="50">
        <v>410</v>
      </c>
      <c r="N13" s="50">
        <v>0</v>
      </c>
      <c r="O13" s="15">
        <f t="shared" si="0"/>
        <v>109</v>
      </c>
      <c r="P13" s="15">
        <f t="shared" si="1"/>
        <v>519</v>
      </c>
      <c r="R13" s="1" t="s">
        <v>9</v>
      </c>
      <c r="S13" s="17">
        <f t="shared" ref="S13:AF13" si="5">SUM(C22:C25)</f>
        <v>161</v>
      </c>
      <c r="T13" s="17">
        <f t="shared" si="5"/>
        <v>64</v>
      </c>
      <c r="U13" s="17">
        <f t="shared" si="5"/>
        <v>46</v>
      </c>
      <c r="V13" s="17">
        <f t="shared" si="5"/>
        <v>230</v>
      </c>
      <c r="W13" s="17">
        <f t="shared" si="5"/>
        <v>6</v>
      </c>
      <c r="X13" s="17">
        <f t="shared" si="5"/>
        <v>3</v>
      </c>
      <c r="Y13" s="17">
        <f t="shared" si="5"/>
        <v>34</v>
      </c>
      <c r="Z13" s="17">
        <f t="shared" si="5"/>
        <v>33</v>
      </c>
      <c r="AA13" s="17">
        <f t="shared" si="5"/>
        <v>9</v>
      </c>
      <c r="AB13" s="17">
        <f t="shared" si="5"/>
        <v>16</v>
      </c>
      <c r="AC13" s="17">
        <f t="shared" si="5"/>
        <v>1700</v>
      </c>
      <c r="AD13" s="17">
        <f t="shared" si="5"/>
        <v>0</v>
      </c>
      <c r="AE13" s="31">
        <f t="shared" si="5"/>
        <v>602</v>
      </c>
      <c r="AF13" s="31">
        <f t="shared" si="5"/>
        <v>2302</v>
      </c>
    </row>
    <row r="14" spans="2:32" ht="23.1" customHeight="1" x14ac:dyDescent="0.25">
      <c r="B14" s="23" t="s">
        <v>41</v>
      </c>
      <c r="C14" s="50">
        <v>15</v>
      </c>
      <c r="D14" s="50">
        <v>4</v>
      </c>
      <c r="E14" s="50">
        <v>3</v>
      </c>
      <c r="F14" s="50">
        <v>67</v>
      </c>
      <c r="G14" s="50">
        <v>3</v>
      </c>
      <c r="H14" s="50">
        <v>0</v>
      </c>
      <c r="I14" s="50">
        <v>7</v>
      </c>
      <c r="J14" s="50">
        <v>5</v>
      </c>
      <c r="K14" s="50">
        <v>0</v>
      </c>
      <c r="L14" s="50">
        <v>3</v>
      </c>
      <c r="M14" s="50">
        <v>375</v>
      </c>
      <c r="N14" s="50">
        <v>0</v>
      </c>
      <c r="O14" s="15">
        <f t="shared" si="0"/>
        <v>107</v>
      </c>
      <c r="P14" s="15">
        <f t="shared" si="1"/>
        <v>482</v>
      </c>
      <c r="R14" s="1" t="s">
        <v>10</v>
      </c>
      <c r="S14" s="17">
        <f t="shared" ref="S14:AF14" si="6">SUM(C26:C29)</f>
        <v>208</v>
      </c>
      <c r="T14" s="17">
        <f t="shared" si="6"/>
        <v>69</v>
      </c>
      <c r="U14" s="17">
        <f t="shared" si="6"/>
        <v>49</v>
      </c>
      <c r="V14" s="17">
        <f t="shared" si="6"/>
        <v>224</v>
      </c>
      <c r="W14" s="17">
        <f t="shared" si="6"/>
        <v>6</v>
      </c>
      <c r="X14" s="17">
        <f t="shared" si="6"/>
        <v>0</v>
      </c>
      <c r="Y14" s="17">
        <f t="shared" si="6"/>
        <v>33</v>
      </c>
      <c r="Z14" s="17">
        <f t="shared" si="6"/>
        <v>23</v>
      </c>
      <c r="AA14" s="17">
        <f t="shared" si="6"/>
        <v>4</v>
      </c>
      <c r="AB14" s="17">
        <f t="shared" si="6"/>
        <v>20</v>
      </c>
      <c r="AC14" s="17">
        <f t="shared" si="6"/>
        <v>1365</v>
      </c>
      <c r="AD14" s="17">
        <f t="shared" si="6"/>
        <v>0</v>
      </c>
      <c r="AE14" s="31">
        <f t="shared" si="6"/>
        <v>636</v>
      </c>
      <c r="AF14" s="31">
        <f t="shared" si="6"/>
        <v>2001</v>
      </c>
    </row>
    <row r="15" spans="2:32" ht="23.1" customHeight="1" x14ac:dyDescent="0.25">
      <c r="B15" s="23" t="s">
        <v>42</v>
      </c>
      <c r="C15" s="50">
        <v>26</v>
      </c>
      <c r="D15" s="50">
        <v>13</v>
      </c>
      <c r="E15" s="50">
        <v>5</v>
      </c>
      <c r="F15" s="50">
        <v>45</v>
      </c>
      <c r="G15" s="50">
        <v>2</v>
      </c>
      <c r="H15" s="50">
        <v>0</v>
      </c>
      <c r="I15" s="50">
        <v>3</v>
      </c>
      <c r="J15" s="50">
        <v>3</v>
      </c>
      <c r="K15" s="50">
        <v>0</v>
      </c>
      <c r="L15" s="50">
        <v>0</v>
      </c>
      <c r="M15" s="50">
        <v>320</v>
      </c>
      <c r="N15" s="50">
        <v>0</v>
      </c>
      <c r="O15" s="15">
        <f t="shared" si="0"/>
        <v>97</v>
      </c>
      <c r="P15" s="15">
        <f t="shared" si="1"/>
        <v>417</v>
      </c>
      <c r="R15" s="1" t="s">
        <v>11</v>
      </c>
      <c r="S15" s="17">
        <f t="shared" ref="S15:AF15" si="7">SUM(C30:C33)</f>
        <v>191</v>
      </c>
      <c r="T15" s="17">
        <f t="shared" si="7"/>
        <v>90</v>
      </c>
      <c r="U15" s="17">
        <f t="shared" si="7"/>
        <v>47</v>
      </c>
      <c r="V15" s="17">
        <f t="shared" si="7"/>
        <v>243</v>
      </c>
      <c r="W15" s="17">
        <f t="shared" si="7"/>
        <v>8</v>
      </c>
      <c r="X15" s="17">
        <f t="shared" si="7"/>
        <v>6</v>
      </c>
      <c r="Y15" s="17">
        <f t="shared" si="7"/>
        <v>34</v>
      </c>
      <c r="Z15" s="17">
        <f t="shared" si="7"/>
        <v>25</v>
      </c>
      <c r="AA15" s="17">
        <f t="shared" si="7"/>
        <v>2</v>
      </c>
      <c r="AB15" s="17">
        <f t="shared" si="7"/>
        <v>25</v>
      </c>
      <c r="AC15" s="17">
        <f t="shared" si="7"/>
        <v>1298</v>
      </c>
      <c r="AD15" s="17">
        <f t="shared" si="7"/>
        <v>0</v>
      </c>
      <c r="AE15" s="31">
        <f t="shared" si="7"/>
        <v>671</v>
      </c>
      <c r="AF15" s="31">
        <f t="shared" si="7"/>
        <v>1969</v>
      </c>
    </row>
    <row r="16" spans="2:32" ht="23.1" customHeight="1" x14ac:dyDescent="0.25">
      <c r="B16" s="23" t="s">
        <v>43</v>
      </c>
      <c r="C16" s="50">
        <v>15</v>
      </c>
      <c r="D16" s="50">
        <v>14</v>
      </c>
      <c r="E16" s="50">
        <v>5</v>
      </c>
      <c r="F16" s="50">
        <v>60</v>
      </c>
      <c r="G16" s="50">
        <v>1</v>
      </c>
      <c r="H16" s="50">
        <v>1</v>
      </c>
      <c r="I16" s="50">
        <v>6</v>
      </c>
      <c r="J16" s="50">
        <v>3</v>
      </c>
      <c r="K16" s="50">
        <v>4</v>
      </c>
      <c r="L16" s="50">
        <v>3</v>
      </c>
      <c r="M16" s="50">
        <v>410</v>
      </c>
      <c r="N16" s="50">
        <v>0</v>
      </c>
      <c r="O16" s="15">
        <f t="shared" si="0"/>
        <v>112</v>
      </c>
      <c r="P16" s="15">
        <f t="shared" si="1"/>
        <v>522</v>
      </c>
      <c r="R16" s="1" t="s">
        <v>12</v>
      </c>
      <c r="S16" s="17">
        <f t="shared" ref="S16:AF16" si="8">SUM(C34:C37)</f>
        <v>143</v>
      </c>
      <c r="T16" s="17">
        <f t="shared" si="8"/>
        <v>68</v>
      </c>
      <c r="U16" s="17">
        <f t="shared" si="8"/>
        <v>46</v>
      </c>
      <c r="V16" s="17">
        <f t="shared" si="8"/>
        <v>231</v>
      </c>
      <c r="W16" s="17">
        <f t="shared" si="8"/>
        <v>4</v>
      </c>
      <c r="X16" s="17">
        <f t="shared" si="8"/>
        <v>2</v>
      </c>
      <c r="Y16" s="17">
        <f t="shared" si="8"/>
        <v>35</v>
      </c>
      <c r="Z16" s="17">
        <f t="shared" si="8"/>
        <v>22</v>
      </c>
      <c r="AA16" s="17">
        <f t="shared" si="8"/>
        <v>10</v>
      </c>
      <c r="AB16" s="17">
        <f t="shared" si="8"/>
        <v>21</v>
      </c>
      <c r="AC16" s="17">
        <f t="shared" si="8"/>
        <v>1500</v>
      </c>
      <c r="AD16" s="17">
        <f t="shared" si="8"/>
        <v>0</v>
      </c>
      <c r="AE16" s="31">
        <f t="shared" si="8"/>
        <v>582</v>
      </c>
      <c r="AF16" s="31">
        <f t="shared" si="8"/>
        <v>2082</v>
      </c>
    </row>
    <row r="17" spans="2:32" ht="23.1" customHeight="1" x14ac:dyDescent="0.25">
      <c r="B17" s="23" t="s">
        <v>44</v>
      </c>
      <c r="C17" s="50">
        <v>27</v>
      </c>
      <c r="D17" s="50">
        <v>8</v>
      </c>
      <c r="E17" s="50">
        <v>7</v>
      </c>
      <c r="F17" s="50">
        <v>40</v>
      </c>
      <c r="G17" s="50">
        <v>0</v>
      </c>
      <c r="H17" s="50">
        <v>0</v>
      </c>
      <c r="I17" s="50">
        <v>3</v>
      </c>
      <c r="J17" s="50">
        <v>1</v>
      </c>
      <c r="K17" s="50">
        <v>1</v>
      </c>
      <c r="L17" s="50">
        <v>3</v>
      </c>
      <c r="M17" s="50">
        <v>395</v>
      </c>
      <c r="N17" s="50">
        <v>0</v>
      </c>
      <c r="O17" s="15">
        <f t="shared" si="0"/>
        <v>90</v>
      </c>
      <c r="P17" s="15">
        <f t="shared" si="1"/>
        <v>485</v>
      </c>
      <c r="R17" s="1" t="s">
        <v>13</v>
      </c>
      <c r="S17" s="17">
        <f t="shared" ref="S17:AF17" si="9">SUM(C38:C41)</f>
        <v>216</v>
      </c>
      <c r="T17" s="17">
        <f t="shared" si="9"/>
        <v>103</v>
      </c>
      <c r="U17" s="17">
        <f t="shared" si="9"/>
        <v>51</v>
      </c>
      <c r="V17" s="17">
        <f t="shared" si="9"/>
        <v>231</v>
      </c>
      <c r="W17" s="17">
        <f t="shared" si="9"/>
        <v>13</v>
      </c>
      <c r="X17" s="17">
        <f t="shared" si="9"/>
        <v>0</v>
      </c>
      <c r="Y17" s="17">
        <f t="shared" si="9"/>
        <v>42</v>
      </c>
      <c r="Z17" s="17">
        <f t="shared" si="9"/>
        <v>16</v>
      </c>
      <c r="AA17" s="17">
        <f t="shared" si="9"/>
        <v>4</v>
      </c>
      <c r="AB17" s="17">
        <f t="shared" si="9"/>
        <v>23</v>
      </c>
      <c r="AC17" s="17">
        <f t="shared" si="9"/>
        <v>1257</v>
      </c>
      <c r="AD17" s="17">
        <f t="shared" si="9"/>
        <v>0</v>
      </c>
      <c r="AE17" s="31">
        <f t="shared" si="9"/>
        <v>699</v>
      </c>
      <c r="AF17" s="31">
        <f t="shared" si="9"/>
        <v>1956</v>
      </c>
    </row>
    <row r="18" spans="2:32" ht="23.1" customHeight="1" x14ac:dyDescent="0.25">
      <c r="B18" s="23" t="s">
        <v>45</v>
      </c>
      <c r="C18" s="50">
        <v>40</v>
      </c>
      <c r="D18" s="50">
        <v>8</v>
      </c>
      <c r="E18" s="50">
        <v>5</v>
      </c>
      <c r="F18" s="50">
        <v>30</v>
      </c>
      <c r="G18" s="50">
        <v>1</v>
      </c>
      <c r="H18" s="50">
        <v>1</v>
      </c>
      <c r="I18" s="50">
        <v>0</v>
      </c>
      <c r="J18" s="50">
        <v>1</v>
      </c>
      <c r="K18" s="50">
        <v>1</v>
      </c>
      <c r="L18" s="50">
        <v>0</v>
      </c>
      <c r="M18" s="50">
        <v>465</v>
      </c>
      <c r="N18" s="50">
        <v>0</v>
      </c>
      <c r="O18" s="15">
        <f t="shared" si="0"/>
        <v>87</v>
      </c>
      <c r="P18" s="15">
        <f t="shared" si="1"/>
        <v>552</v>
      </c>
      <c r="R18" s="1" t="s">
        <v>14</v>
      </c>
      <c r="S18" s="17">
        <f t="shared" ref="S18:AF18" si="10">SUM(C42:C45)</f>
        <v>222</v>
      </c>
      <c r="T18" s="17">
        <f t="shared" si="10"/>
        <v>104</v>
      </c>
      <c r="U18" s="17">
        <f t="shared" si="10"/>
        <v>43</v>
      </c>
      <c r="V18" s="17">
        <f t="shared" si="10"/>
        <v>241</v>
      </c>
      <c r="W18" s="17">
        <f t="shared" si="10"/>
        <v>7</v>
      </c>
      <c r="X18" s="17">
        <f t="shared" si="10"/>
        <v>4</v>
      </c>
      <c r="Y18" s="17">
        <f t="shared" si="10"/>
        <v>39</v>
      </c>
      <c r="Z18" s="17">
        <f t="shared" si="10"/>
        <v>19</v>
      </c>
      <c r="AA18" s="17">
        <f t="shared" si="10"/>
        <v>6</v>
      </c>
      <c r="AB18" s="17">
        <f t="shared" si="10"/>
        <v>22</v>
      </c>
      <c r="AC18" s="17">
        <f t="shared" si="10"/>
        <v>1280</v>
      </c>
      <c r="AD18" s="17">
        <f t="shared" si="10"/>
        <v>0</v>
      </c>
      <c r="AE18" s="31">
        <f t="shared" si="10"/>
        <v>707</v>
      </c>
      <c r="AF18" s="31">
        <f t="shared" si="10"/>
        <v>1987</v>
      </c>
    </row>
    <row r="19" spans="2:32" ht="23.1" customHeight="1" x14ac:dyDescent="0.25">
      <c r="B19" s="23" t="s">
        <v>46</v>
      </c>
      <c r="C19" s="50">
        <v>38</v>
      </c>
      <c r="D19" s="50">
        <v>24</v>
      </c>
      <c r="E19" s="50">
        <v>11</v>
      </c>
      <c r="F19" s="50">
        <v>40</v>
      </c>
      <c r="G19" s="50">
        <v>1</v>
      </c>
      <c r="H19" s="50">
        <v>0</v>
      </c>
      <c r="I19" s="50">
        <v>5</v>
      </c>
      <c r="J19" s="50">
        <v>1</v>
      </c>
      <c r="K19" s="50">
        <v>2</v>
      </c>
      <c r="L19" s="50">
        <v>2</v>
      </c>
      <c r="M19" s="50">
        <v>355</v>
      </c>
      <c r="N19" s="50">
        <v>0</v>
      </c>
      <c r="O19" s="15">
        <f t="shared" si="0"/>
        <v>124</v>
      </c>
      <c r="P19" s="15">
        <f t="shared" si="1"/>
        <v>479</v>
      </c>
      <c r="R19" s="1" t="s">
        <v>15</v>
      </c>
      <c r="S19" s="17">
        <f t="shared" ref="S19:AF19" si="11">SUM(C46:C49)</f>
        <v>309</v>
      </c>
      <c r="T19" s="17">
        <f t="shared" si="11"/>
        <v>116</v>
      </c>
      <c r="U19" s="17">
        <f t="shared" si="11"/>
        <v>46</v>
      </c>
      <c r="V19" s="17">
        <f t="shared" si="11"/>
        <v>218</v>
      </c>
      <c r="W19" s="17">
        <f t="shared" si="11"/>
        <v>8</v>
      </c>
      <c r="X19" s="17">
        <f t="shared" si="11"/>
        <v>0</v>
      </c>
      <c r="Y19" s="17">
        <f t="shared" si="11"/>
        <v>36</v>
      </c>
      <c r="Z19" s="17">
        <f t="shared" si="11"/>
        <v>5</v>
      </c>
      <c r="AA19" s="17">
        <f t="shared" si="11"/>
        <v>0</v>
      </c>
      <c r="AB19" s="17">
        <f t="shared" si="11"/>
        <v>0</v>
      </c>
      <c r="AC19" s="17">
        <f t="shared" si="11"/>
        <v>1409</v>
      </c>
      <c r="AD19" s="17">
        <f t="shared" si="11"/>
        <v>0</v>
      </c>
      <c r="AE19" s="31">
        <f t="shared" si="11"/>
        <v>738</v>
      </c>
      <c r="AF19" s="31">
        <f t="shared" si="11"/>
        <v>2147</v>
      </c>
    </row>
    <row r="20" spans="2:32" ht="23.1" customHeight="1" x14ac:dyDescent="0.25">
      <c r="B20" s="23" t="s">
        <v>47</v>
      </c>
      <c r="C20" s="50">
        <v>27</v>
      </c>
      <c r="D20" s="50">
        <v>10</v>
      </c>
      <c r="E20" s="50">
        <v>15</v>
      </c>
      <c r="F20" s="50">
        <v>58</v>
      </c>
      <c r="G20" s="50">
        <v>1</v>
      </c>
      <c r="H20" s="50">
        <v>0</v>
      </c>
      <c r="I20" s="50">
        <v>14</v>
      </c>
      <c r="J20" s="50">
        <v>4</v>
      </c>
      <c r="K20" s="50">
        <v>0</v>
      </c>
      <c r="L20" s="50">
        <v>5</v>
      </c>
      <c r="M20" s="50">
        <v>387</v>
      </c>
      <c r="N20" s="50">
        <v>0</v>
      </c>
      <c r="O20" s="15">
        <f t="shared" si="0"/>
        <v>134</v>
      </c>
      <c r="P20" s="15">
        <f t="shared" si="1"/>
        <v>521</v>
      </c>
      <c r="R20" s="1" t="s">
        <v>16</v>
      </c>
      <c r="S20" s="17">
        <f t="shared" ref="S20:AF20" si="12">SUM(C50:C53)</f>
        <v>576</v>
      </c>
      <c r="T20" s="17">
        <f t="shared" si="12"/>
        <v>325</v>
      </c>
      <c r="U20" s="17">
        <f t="shared" si="12"/>
        <v>159</v>
      </c>
      <c r="V20" s="17">
        <f t="shared" si="12"/>
        <v>206</v>
      </c>
      <c r="W20" s="17">
        <f t="shared" si="12"/>
        <v>1</v>
      </c>
      <c r="X20" s="17">
        <f t="shared" si="12"/>
        <v>1</v>
      </c>
      <c r="Y20" s="17">
        <f t="shared" si="12"/>
        <v>27</v>
      </c>
      <c r="Z20" s="17">
        <f t="shared" si="12"/>
        <v>22</v>
      </c>
      <c r="AA20" s="17">
        <f t="shared" si="12"/>
        <v>1</v>
      </c>
      <c r="AB20" s="17">
        <f t="shared" si="12"/>
        <v>12</v>
      </c>
      <c r="AC20" s="17">
        <f t="shared" si="12"/>
        <v>1630</v>
      </c>
      <c r="AD20" s="17">
        <f t="shared" si="12"/>
        <v>0</v>
      </c>
      <c r="AE20" s="31">
        <f t="shared" si="12"/>
        <v>1330</v>
      </c>
      <c r="AF20" s="31">
        <f t="shared" si="12"/>
        <v>2960</v>
      </c>
    </row>
    <row r="21" spans="2:32" ht="23.1" customHeight="1" x14ac:dyDescent="0.25">
      <c r="B21" s="23" t="s">
        <v>48</v>
      </c>
      <c r="C21" s="50">
        <v>28</v>
      </c>
      <c r="D21" s="50">
        <v>15</v>
      </c>
      <c r="E21" s="50">
        <v>9</v>
      </c>
      <c r="F21" s="50">
        <v>53</v>
      </c>
      <c r="G21" s="50">
        <v>1</v>
      </c>
      <c r="H21" s="50">
        <v>1</v>
      </c>
      <c r="I21" s="50">
        <v>9</v>
      </c>
      <c r="J21" s="50">
        <v>1</v>
      </c>
      <c r="K21" s="50">
        <v>1</v>
      </c>
      <c r="L21" s="50">
        <v>3</v>
      </c>
      <c r="M21" s="50">
        <v>475</v>
      </c>
      <c r="N21" s="50">
        <v>0</v>
      </c>
      <c r="O21" s="15">
        <f t="shared" si="0"/>
        <v>121</v>
      </c>
      <c r="P21" s="15">
        <f t="shared" si="1"/>
        <v>596</v>
      </c>
      <c r="R21" s="36" t="s">
        <v>20</v>
      </c>
      <c r="S21" s="34">
        <f t="shared" ref="S21:AF21" si="13">SUM(C54:C57)</f>
        <v>547</v>
      </c>
      <c r="T21" s="17">
        <f t="shared" si="13"/>
        <v>273</v>
      </c>
      <c r="U21" s="17">
        <f t="shared" si="13"/>
        <v>151</v>
      </c>
      <c r="V21" s="17">
        <f t="shared" si="13"/>
        <v>191</v>
      </c>
      <c r="W21" s="17">
        <f t="shared" si="13"/>
        <v>11</v>
      </c>
      <c r="X21" s="17">
        <f t="shared" si="13"/>
        <v>2</v>
      </c>
      <c r="Y21" s="17">
        <f t="shared" si="13"/>
        <v>10</v>
      </c>
      <c r="Z21" s="17">
        <f t="shared" si="13"/>
        <v>15</v>
      </c>
      <c r="AA21" s="17">
        <f t="shared" si="13"/>
        <v>1</v>
      </c>
      <c r="AB21" s="17">
        <f t="shared" si="13"/>
        <v>5</v>
      </c>
      <c r="AC21" s="17">
        <f t="shared" si="13"/>
        <v>1380</v>
      </c>
      <c r="AD21" s="17">
        <f t="shared" si="13"/>
        <v>0</v>
      </c>
      <c r="AE21" s="31">
        <f t="shared" si="13"/>
        <v>1206</v>
      </c>
      <c r="AF21" s="31">
        <f t="shared" si="13"/>
        <v>2586</v>
      </c>
    </row>
    <row r="22" spans="2:32" ht="23.1" customHeight="1" x14ac:dyDescent="0.25">
      <c r="B22" s="23" t="s">
        <v>49</v>
      </c>
      <c r="C22" s="50">
        <v>32</v>
      </c>
      <c r="D22" s="50">
        <v>12</v>
      </c>
      <c r="E22" s="50">
        <v>11</v>
      </c>
      <c r="F22" s="50">
        <v>51</v>
      </c>
      <c r="G22" s="50">
        <v>1</v>
      </c>
      <c r="H22" s="50">
        <v>1</v>
      </c>
      <c r="I22" s="50">
        <v>13</v>
      </c>
      <c r="J22" s="50">
        <v>8</v>
      </c>
      <c r="K22" s="50">
        <v>1</v>
      </c>
      <c r="L22" s="50">
        <v>7</v>
      </c>
      <c r="M22" s="50">
        <v>490</v>
      </c>
      <c r="N22" s="50">
        <v>0</v>
      </c>
      <c r="O22" s="15">
        <f t="shared" si="0"/>
        <v>137</v>
      </c>
      <c r="P22" s="15">
        <f t="shared" si="1"/>
        <v>627</v>
      </c>
      <c r="R22" s="38" t="s">
        <v>90</v>
      </c>
      <c r="S22" s="39">
        <f>MAX(S10:S12)</f>
        <v>133</v>
      </c>
      <c r="T22" s="39">
        <f t="shared" ref="T22:AF22" si="14">MAX(T10:T12)</f>
        <v>57</v>
      </c>
      <c r="U22" s="39">
        <f t="shared" si="14"/>
        <v>40</v>
      </c>
      <c r="V22" s="39">
        <f t="shared" si="14"/>
        <v>212</v>
      </c>
      <c r="W22" s="39">
        <f t="shared" si="14"/>
        <v>7</v>
      </c>
      <c r="X22" s="39">
        <f t="shared" si="14"/>
        <v>2</v>
      </c>
      <c r="Y22" s="39">
        <f t="shared" si="14"/>
        <v>28</v>
      </c>
      <c r="Z22" s="39">
        <f t="shared" si="14"/>
        <v>12</v>
      </c>
      <c r="AA22" s="39">
        <f t="shared" si="14"/>
        <v>5</v>
      </c>
      <c r="AB22" s="39">
        <f t="shared" si="14"/>
        <v>12</v>
      </c>
      <c r="AC22" s="39">
        <f t="shared" si="14"/>
        <v>1682</v>
      </c>
      <c r="AD22" s="39">
        <f t="shared" si="14"/>
        <v>0</v>
      </c>
      <c r="AE22" s="40">
        <f t="shared" si="14"/>
        <v>466</v>
      </c>
      <c r="AF22" s="40">
        <f t="shared" si="14"/>
        <v>2148</v>
      </c>
    </row>
    <row r="23" spans="2:32" ht="23.1" customHeight="1" x14ac:dyDescent="0.25">
      <c r="B23" s="23" t="s">
        <v>50</v>
      </c>
      <c r="C23" s="50">
        <v>42</v>
      </c>
      <c r="D23" s="50">
        <v>17</v>
      </c>
      <c r="E23" s="50">
        <v>18</v>
      </c>
      <c r="F23" s="50">
        <v>70</v>
      </c>
      <c r="G23" s="50">
        <v>3</v>
      </c>
      <c r="H23" s="50">
        <v>1</v>
      </c>
      <c r="I23" s="50">
        <v>8</v>
      </c>
      <c r="J23" s="50">
        <v>6</v>
      </c>
      <c r="K23" s="50">
        <v>4</v>
      </c>
      <c r="L23" s="50">
        <v>2</v>
      </c>
      <c r="M23" s="50">
        <v>370</v>
      </c>
      <c r="N23" s="50">
        <v>0</v>
      </c>
      <c r="O23" s="15">
        <f t="shared" si="0"/>
        <v>171</v>
      </c>
      <c r="P23" s="15">
        <f t="shared" si="1"/>
        <v>541</v>
      </c>
      <c r="R23" s="38" t="s">
        <v>91</v>
      </c>
      <c r="S23" s="39">
        <f>MAX(S13:S18)</f>
        <v>222</v>
      </c>
      <c r="T23" s="39">
        <f t="shared" ref="T23:AF23" si="15">MAX(T13:T18)</f>
        <v>104</v>
      </c>
      <c r="U23" s="39">
        <f t="shared" si="15"/>
        <v>51</v>
      </c>
      <c r="V23" s="39">
        <f t="shared" si="15"/>
        <v>243</v>
      </c>
      <c r="W23" s="39">
        <f t="shared" si="15"/>
        <v>13</v>
      </c>
      <c r="X23" s="39">
        <f t="shared" si="15"/>
        <v>6</v>
      </c>
      <c r="Y23" s="39">
        <f t="shared" si="15"/>
        <v>42</v>
      </c>
      <c r="Z23" s="39">
        <f t="shared" si="15"/>
        <v>33</v>
      </c>
      <c r="AA23" s="39">
        <f t="shared" si="15"/>
        <v>10</v>
      </c>
      <c r="AB23" s="39">
        <f t="shared" si="15"/>
        <v>25</v>
      </c>
      <c r="AC23" s="39">
        <f t="shared" si="15"/>
        <v>1700</v>
      </c>
      <c r="AD23" s="39">
        <f t="shared" si="15"/>
        <v>0</v>
      </c>
      <c r="AE23" s="40">
        <f t="shared" si="15"/>
        <v>707</v>
      </c>
      <c r="AF23" s="40">
        <f t="shared" si="15"/>
        <v>2302</v>
      </c>
    </row>
    <row r="24" spans="2:32" ht="23.1" customHeight="1" x14ac:dyDescent="0.25">
      <c r="B24" s="23" t="s">
        <v>51</v>
      </c>
      <c r="C24" s="50">
        <v>48</v>
      </c>
      <c r="D24" s="50">
        <v>13</v>
      </c>
      <c r="E24" s="50">
        <v>6</v>
      </c>
      <c r="F24" s="50">
        <v>48</v>
      </c>
      <c r="G24" s="50">
        <v>2</v>
      </c>
      <c r="H24" s="50">
        <v>0</v>
      </c>
      <c r="I24" s="50">
        <v>6</v>
      </c>
      <c r="J24" s="50">
        <v>11</v>
      </c>
      <c r="K24" s="50">
        <v>2</v>
      </c>
      <c r="L24" s="50">
        <v>5</v>
      </c>
      <c r="M24" s="50">
        <v>420</v>
      </c>
      <c r="N24" s="50">
        <v>0</v>
      </c>
      <c r="O24" s="15">
        <f t="shared" si="0"/>
        <v>141</v>
      </c>
      <c r="P24" s="15">
        <f t="shared" si="1"/>
        <v>561</v>
      </c>
      <c r="R24" s="38" t="s">
        <v>92</v>
      </c>
      <c r="S24" s="39">
        <f>MAX(S19:S21)</f>
        <v>576</v>
      </c>
      <c r="T24" s="39">
        <f t="shared" ref="T24:AF24" si="16">MAX(T19:T21)</f>
        <v>325</v>
      </c>
      <c r="U24" s="39">
        <f t="shared" si="16"/>
        <v>159</v>
      </c>
      <c r="V24" s="39">
        <f t="shared" si="16"/>
        <v>218</v>
      </c>
      <c r="W24" s="39">
        <f t="shared" si="16"/>
        <v>11</v>
      </c>
      <c r="X24" s="39">
        <f t="shared" si="16"/>
        <v>2</v>
      </c>
      <c r="Y24" s="39">
        <f t="shared" si="16"/>
        <v>36</v>
      </c>
      <c r="Z24" s="39">
        <f t="shared" si="16"/>
        <v>22</v>
      </c>
      <c r="AA24" s="39">
        <f t="shared" si="16"/>
        <v>1</v>
      </c>
      <c r="AB24" s="39">
        <f t="shared" si="16"/>
        <v>12</v>
      </c>
      <c r="AC24" s="39">
        <f t="shared" si="16"/>
        <v>1630</v>
      </c>
      <c r="AD24" s="39">
        <f t="shared" si="16"/>
        <v>0</v>
      </c>
      <c r="AE24" s="40">
        <f t="shared" si="16"/>
        <v>1330</v>
      </c>
      <c r="AF24" s="40">
        <f t="shared" si="16"/>
        <v>2960</v>
      </c>
    </row>
    <row r="25" spans="2:32" ht="23.1" customHeight="1" x14ac:dyDescent="0.25">
      <c r="B25" s="23" t="s">
        <v>52</v>
      </c>
      <c r="C25" s="50">
        <v>39</v>
      </c>
      <c r="D25" s="50">
        <v>22</v>
      </c>
      <c r="E25" s="50">
        <v>11</v>
      </c>
      <c r="F25" s="50">
        <v>61</v>
      </c>
      <c r="G25" s="50">
        <v>0</v>
      </c>
      <c r="H25" s="50">
        <v>1</v>
      </c>
      <c r="I25" s="50">
        <v>7</v>
      </c>
      <c r="J25" s="50">
        <v>8</v>
      </c>
      <c r="K25" s="50">
        <v>2</v>
      </c>
      <c r="L25" s="50">
        <v>2</v>
      </c>
      <c r="M25" s="50">
        <v>420</v>
      </c>
      <c r="N25" s="50">
        <v>0</v>
      </c>
      <c r="O25" s="15">
        <f t="shared" si="0"/>
        <v>153</v>
      </c>
      <c r="P25" s="15">
        <f t="shared" si="1"/>
        <v>573</v>
      </c>
      <c r="R25" s="37" t="s">
        <v>85</v>
      </c>
      <c r="S25" s="35">
        <f t="shared" ref="S25:AF25" si="17">SUM(S10:S12)</f>
        <v>272</v>
      </c>
      <c r="T25" s="16">
        <f t="shared" si="17"/>
        <v>118</v>
      </c>
      <c r="U25" s="16">
        <f t="shared" si="17"/>
        <v>76</v>
      </c>
      <c r="V25" s="16">
        <f t="shared" si="17"/>
        <v>563</v>
      </c>
      <c r="W25" s="16">
        <f t="shared" si="17"/>
        <v>17</v>
      </c>
      <c r="X25" s="16">
        <f t="shared" si="17"/>
        <v>5</v>
      </c>
      <c r="Y25" s="16">
        <f t="shared" si="17"/>
        <v>60</v>
      </c>
      <c r="Z25" s="16">
        <f t="shared" si="17"/>
        <v>20</v>
      </c>
      <c r="AA25" s="16">
        <f t="shared" si="17"/>
        <v>10</v>
      </c>
      <c r="AB25" s="16">
        <f t="shared" si="17"/>
        <v>31</v>
      </c>
      <c r="AC25" s="16">
        <f t="shared" si="17"/>
        <v>4707</v>
      </c>
      <c r="AD25" s="16">
        <f t="shared" si="17"/>
        <v>0</v>
      </c>
      <c r="AE25" s="32">
        <f t="shared" si="17"/>
        <v>1172</v>
      </c>
      <c r="AF25" s="32">
        <f t="shared" si="17"/>
        <v>5879</v>
      </c>
    </row>
    <row r="26" spans="2:32" ht="23.1" customHeight="1" x14ac:dyDescent="0.25">
      <c r="B26" s="23" t="s">
        <v>53</v>
      </c>
      <c r="C26" s="50">
        <v>49</v>
      </c>
      <c r="D26" s="50">
        <v>24</v>
      </c>
      <c r="E26" s="50">
        <v>12</v>
      </c>
      <c r="F26" s="50">
        <v>81</v>
      </c>
      <c r="G26" s="50">
        <v>1</v>
      </c>
      <c r="H26" s="50">
        <v>0</v>
      </c>
      <c r="I26" s="50">
        <v>4</v>
      </c>
      <c r="J26" s="50">
        <v>7</v>
      </c>
      <c r="K26" s="50">
        <v>0</v>
      </c>
      <c r="L26" s="50">
        <v>6</v>
      </c>
      <c r="M26" s="50">
        <v>335</v>
      </c>
      <c r="N26" s="50">
        <v>0</v>
      </c>
      <c r="O26" s="15">
        <f t="shared" si="0"/>
        <v>184</v>
      </c>
      <c r="P26" s="15">
        <f t="shared" si="1"/>
        <v>519</v>
      </c>
      <c r="R26" s="28" t="s">
        <v>86</v>
      </c>
      <c r="S26" s="16">
        <f t="shared" ref="S26:AF26" si="18">SUM(S13:S18)</f>
        <v>1141</v>
      </c>
      <c r="T26" s="16">
        <f t="shared" si="18"/>
        <v>498</v>
      </c>
      <c r="U26" s="16">
        <f t="shared" si="18"/>
        <v>282</v>
      </c>
      <c r="V26" s="16">
        <f t="shared" si="18"/>
        <v>1400</v>
      </c>
      <c r="W26" s="16">
        <f t="shared" si="18"/>
        <v>44</v>
      </c>
      <c r="X26" s="16">
        <f t="shared" si="18"/>
        <v>15</v>
      </c>
      <c r="Y26" s="16">
        <f t="shared" si="18"/>
        <v>217</v>
      </c>
      <c r="Z26" s="16">
        <f t="shared" si="18"/>
        <v>138</v>
      </c>
      <c r="AA26" s="16">
        <f t="shared" si="18"/>
        <v>35</v>
      </c>
      <c r="AB26" s="16">
        <f t="shared" si="18"/>
        <v>127</v>
      </c>
      <c r="AC26" s="16">
        <f t="shared" si="18"/>
        <v>8400</v>
      </c>
      <c r="AD26" s="16">
        <f t="shared" si="18"/>
        <v>0</v>
      </c>
      <c r="AE26" s="32">
        <f t="shared" si="18"/>
        <v>3897</v>
      </c>
      <c r="AF26" s="32">
        <f t="shared" si="18"/>
        <v>12297</v>
      </c>
    </row>
    <row r="27" spans="2:32" ht="23.1" customHeight="1" x14ac:dyDescent="0.25">
      <c r="B27" s="23" t="s">
        <v>54</v>
      </c>
      <c r="C27" s="50">
        <v>38</v>
      </c>
      <c r="D27" s="50">
        <v>9</v>
      </c>
      <c r="E27" s="50">
        <v>10</v>
      </c>
      <c r="F27" s="50">
        <v>48</v>
      </c>
      <c r="G27" s="50">
        <v>3</v>
      </c>
      <c r="H27" s="50">
        <v>0</v>
      </c>
      <c r="I27" s="50">
        <v>9</v>
      </c>
      <c r="J27" s="50">
        <v>5</v>
      </c>
      <c r="K27" s="50">
        <v>1</v>
      </c>
      <c r="L27" s="50">
        <v>5</v>
      </c>
      <c r="M27" s="50">
        <v>350</v>
      </c>
      <c r="N27" s="50">
        <v>0</v>
      </c>
      <c r="O27" s="15">
        <f t="shared" si="0"/>
        <v>128</v>
      </c>
      <c r="P27" s="15">
        <f t="shared" si="1"/>
        <v>478</v>
      </c>
      <c r="R27" s="29" t="s">
        <v>87</v>
      </c>
      <c r="S27" s="16">
        <f t="shared" ref="S27:AF27" si="19">SUM(S19:S21)</f>
        <v>1432</v>
      </c>
      <c r="T27" s="16">
        <f t="shared" si="19"/>
        <v>714</v>
      </c>
      <c r="U27" s="16">
        <f t="shared" si="19"/>
        <v>356</v>
      </c>
      <c r="V27" s="16">
        <f t="shared" si="19"/>
        <v>615</v>
      </c>
      <c r="W27" s="16">
        <f t="shared" si="19"/>
        <v>20</v>
      </c>
      <c r="X27" s="16">
        <f t="shared" si="19"/>
        <v>3</v>
      </c>
      <c r="Y27" s="16">
        <f t="shared" si="19"/>
        <v>73</v>
      </c>
      <c r="Z27" s="16">
        <f t="shared" si="19"/>
        <v>42</v>
      </c>
      <c r="AA27" s="16">
        <f t="shared" si="19"/>
        <v>2</v>
      </c>
      <c r="AB27" s="16">
        <f t="shared" si="19"/>
        <v>17</v>
      </c>
      <c r="AC27" s="16">
        <f t="shared" si="19"/>
        <v>4419</v>
      </c>
      <c r="AD27" s="16">
        <f t="shared" si="19"/>
        <v>0</v>
      </c>
      <c r="AE27" s="32">
        <f t="shared" si="19"/>
        <v>3274</v>
      </c>
      <c r="AF27" s="32">
        <f t="shared" si="19"/>
        <v>7693</v>
      </c>
    </row>
    <row r="28" spans="2:32" ht="23.1" customHeight="1" x14ac:dyDescent="0.25">
      <c r="B28" s="23" t="s">
        <v>55</v>
      </c>
      <c r="C28" s="50">
        <v>67</v>
      </c>
      <c r="D28" s="50">
        <v>18</v>
      </c>
      <c r="E28" s="50">
        <v>11</v>
      </c>
      <c r="F28" s="50">
        <v>59</v>
      </c>
      <c r="G28" s="50">
        <v>0</v>
      </c>
      <c r="H28" s="50">
        <v>0</v>
      </c>
      <c r="I28" s="50">
        <v>8</v>
      </c>
      <c r="J28" s="50">
        <v>8</v>
      </c>
      <c r="K28" s="50">
        <v>2</v>
      </c>
      <c r="L28" s="50">
        <v>8</v>
      </c>
      <c r="M28" s="50">
        <v>330</v>
      </c>
      <c r="N28" s="50">
        <v>0</v>
      </c>
      <c r="O28" s="15">
        <f t="shared" si="0"/>
        <v>181</v>
      </c>
      <c r="P28" s="15">
        <f t="shared" si="1"/>
        <v>511</v>
      </c>
      <c r="R28" s="5" t="s">
        <v>17</v>
      </c>
      <c r="S28" s="16">
        <f t="shared" ref="S28:AF28" si="20">SUM(S10:S21)</f>
        <v>2845</v>
      </c>
      <c r="T28" s="16">
        <f t="shared" si="20"/>
        <v>1330</v>
      </c>
      <c r="U28" s="16">
        <f t="shared" si="20"/>
        <v>714</v>
      </c>
      <c r="V28" s="16">
        <f t="shared" si="20"/>
        <v>2578</v>
      </c>
      <c r="W28" s="16">
        <f t="shared" si="20"/>
        <v>81</v>
      </c>
      <c r="X28" s="16">
        <f t="shared" si="20"/>
        <v>23</v>
      </c>
      <c r="Y28" s="16">
        <f t="shared" si="20"/>
        <v>350</v>
      </c>
      <c r="Z28" s="16">
        <f t="shared" si="20"/>
        <v>200</v>
      </c>
      <c r="AA28" s="16">
        <f t="shared" si="20"/>
        <v>47</v>
      </c>
      <c r="AB28" s="16">
        <f t="shared" si="20"/>
        <v>175</v>
      </c>
      <c r="AC28" s="16">
        <f t="shared" si="20"/>
        <v>17526</v>
      </c>
      <c r="AD28" s="16">
        <f t="shared" si="20"/>
        <v>0</v>
      </c>
      <c r="AE28" s="32">
        <f t="shared" si="20"/>
        <v>8343</v>
      </c>
      <c r="AF28" s="32">
        <f t="shared" si="20"/>
        <v>25869</v>
      </c>
    </row>
    <row r="29" spans="2:32" ht="23.1" customHeight="1" x14ac:dyDescent="0.25">
      <c r="B29" s="23" t="s">
        <v>56</v>
      </c>
      <c r="C29" s="50">
        <v>54</v>
      </c>
      <c r="D29" s="50">
        <v>18</v>
      </c>
      <c r="E29" s="50">
        <v>16</v>
      </c>
      <c r="F29" s="50">
        <v>36</v>
      </c>
      <c r="G29" s="50">
        <v>2</v>
      </c>
      <c r="H29" s="50">
        <v>0</v>
      </c>
      <c r="I29" s="50">
        <v>12</v>
      </c>
      <c r="J29" s="50">
        <v>3</v>
      </c>
      <c r="K29" s="50">
        <v>1</v>
      </c>
      <c r="L29" s="50">
        <v>1</v>
      </c>
      <c r="M29" s="50">
        <v>350</v>
      </c>
      <c r="N29" s="50">
        <v>0</v>
      </c>
      <c r="O29" s="15">
        <f t="shared" si="0"/>
        <v>143</v>
      </c>
      <c r="P29" s="15">
        <f t="shared" si="1"/>
        <v>493</v>
      </c>
      <c r="R29"/>
      <c r="S29" s="20"/>
      <c r="T29" s="19"/>
    </row>
    <row r="30" spans="2:32" ht="23.1" customHeight="1" x14ac:dyDescent="0.25">
      <c r="B30" s="23" t="s">
        <v>57</v>
      </c>
      <c r="C30" s="50">
        <v>43</v>
      </c>
      <c r="D30" s="50">
        <v>17</v>
      </c>
      <c r="E30" s="50">
        <v>12</v>
      </c>
      <c r="F30" s="50">
        <v>66</v>
      </c>
      <c r="G30" s="50">
        <v>1</v>
      </c>
      <c r="H30" s="50">
        <v>2</v>
      </c>
      <c r="I30" s="50">
        <v>9</v>
      </c>
      <c r="J30" s="50">
        <v>7</v>
      </c>
      <c r="K30" s="50">
        <v>0</v>
      </c>
      <c r="L30" s="50">
        <v>8</v>
      </c>
      <c r="M30" s="50">
        <v>425</v>
      </c>
      <c r="N30" s="50">
        <v>0</v>
      </c>
      <c r="O30" s="15">
        <f t="shared" si="0"/>
        <v>165</v>
      </c>
      <c r="P30" s="15">
        <f t="shared" si="1"/>
        <v>590</v>
      </c>
    </row>
    <row r="31" spans="2:32" ht="23.1" customHeight="1" x14ac:dyDescent="0.25">
      <c r="B31" s="24" t="s">
        <v>58</v>
      </c>
      <c r="C31" s="50">
        <v>52</v>
      </c>
      <c r="D31" s="50">
        <v>29</v>
      </c>
      <c r="E31" s="50">
        <v>16</v>
      </c>
      <c r="F31" s="50">
        <v>55</v>
      </c>
      <c r="G31" s="50">
        <v>2</v>
      </c>
      <c r="H31" s="50">
        <v>1</v>
      </c>
      <c r="I31" s="50">
        <v>9</v>
      </c>
      <c r="J31" s="50">
        <v>11</v>
      </c>
      <c r="K31" s="50">
        <v>0</v>
      </c>
      <c r="L31" s="50">
        <v>6</v>
      </c>
      <c r="M31" s="50">
        <v>308</v>
      </c>
      <c r="N31" s="50">
        <v>0</v>
      </c>
      <c r="O31" s="15">
        <f t="shared" si="0"/>
        <v>181</v>
      </c>
      <c r="P31" s="15">
        <f t="shared" si="1"/>
        <v>489</v>
      </c>
    </row>
    <row r="32" spans="2:32" ht="23.1" customHeight="1" x14ac:dyDescent="0.25">
      <c r="B32" s="24" t="s">
        <v>59</v>
      </c>
      <c r="C32" s="50">
        <v>42</v>
      </c>
      <c r="D32" s="50">
        <v>16</v>
      </c>
      <c r="E32" s="50">
        <v>11</v>
      </c>
      <c r="F32" s="50">
        <v>63</v>
      </c>
      <c r="G32" s="50">
        <v>2</v>
      </c>
      <c r="H32" s="50">
        <v>2</v>
      </c>
      <c r="I32" s="50">
        <v>9</v>
      </c>
      <c r="J32" s="50">
        <v>4</v>
      </c>
      <c r="K32" s="50">
        <v>2</v>
      </c>
      <c r="L32" s="50">
        <v>8</v>
      </c>
      <c r="M32" s="50">
        <v>225</v>
      </c>
      <c r="N32" s="50">
        <v>0</v>
      </c>
      <c r="O32" s="15">
        <f t="shared" si="0"/>
        <v>159</v>
      </c>
      <c r="P32" s="15">
        <f t="shared" si="1"/>
        <v>384</v>
      </c>
    </row>
    <row r="33" spans="2:20" ht="23.1" customHeight="1" x14ac:dyDescent="0.25">
      <c r="B33" s="23" t="s">
        <v>60</v>
      </c>
      <c r="C33" s="50">
        <v>54</v>
      </c>
      <c r="D33" s="50">
        <v>28</v>
      </c>
      <c r="E33" s="50">
        <v>8</v>
      </c>
      <c r="F33" s="50">
        <v>59</v>
      </c>
      <c r="G33" s="50">
        <v>3</v>
      </c>
      <c r="H33" s="50">
        <v>1</v>
      </c>
      <c r="I33" s="50">
        <v>7</v>
      </c>
      <c r="J33" s="50">
        <v>3</v>
      </c>
      <c r="K33" s="50">
        <v>0</v>
      </c>
      <c r="L33" s="50">
        <v>3</v>
      </c>
      <c r="M33" s="50">
        <v>340</v>
      </c>
      <c r="N33" s="50">
        <v>0</v>
      </c>
      <c r="O33" s="15">
        <f t="shared" si="0"/>
        <v>166</v>
      </c>
      <c r="P33" s="15">
        <f t="shared" si="1"/>
        <v>506</v>
      </c>
    </row>
    <row r="34" spans="2:20" ht="23.1" customHeight="1" x14ac:dyDescent="0.25">
      <c r="B34" s="24" t="s">
        <v>61</v>
      </c>
      <c r="C34" s="50">
        <v>48</v>
      </c>
      <c r="D34" s="50">
        <v>19</v>
      </c>
      <c r="E34" s="50">
        <v>15</v>
      </c>
      <c r="F34" s="50">
        <v>47</v>
      </c>
      <c r="G34" s="50">
        <v>1</v>
      </c>
      <c r="H34" s="50">
        <v>0</v>
      </c>
      <c r="I34" s="50">
        <v>9</v>
      </c>
      <c r="J34" s="50">
        <v>9</v>
      </c>
      <c r="K34" s="50">
        <v>3</v>
      </c>
      <c r="L34" s="50">
        <v>6</v>
      </c>
      <c r="M34" s="50">
        <v>435</v>
      </c>
      <c r="N34" s="50">
        <v>0</v>
      </c>
      <c r="O34" s="15">
        <f t="shared" si="0"/>
        <v>157</v>
      </c>
      <c r="P34" s="15">
        <f t="shared" si="1"/>
        <v>592</v>
      </c>
    </row>
    <row r="35" spans="2:20" ht="23.1" customHeight="1" x14ac:dyDescent="0.25">
      <c r="B35" s="24" t="s">
        <v>62</v>
      </c>
      <c r="C35" s="50">
        <v>23</v>
      </c>
      <c r="D35" s="50">
        <v>10</v>
      </c>
      <c r="E35" s="50">
        <v>5</v>
      </c>
      <c r="F35" s="50">
        <v>60</v>
      </c>
      <c r="G35" s="50">
        <v>1</v>
      </c>
      <c r="H35" s="50">
        <v>0</v>
      </c>
      <c r="I35" s="50">
        <v>10</v>
      </c>
      <c r="J35" s="50">
        <v>6</v>
      </c>
      <c r="K35" s="50">
        <v>3</v>
      </c>
      <c r="L35" s="50">
        <v>6</v>
      </c>
      <c r="M35" s="50">
        <v>295</v>
      </c>
      <c r="N35" s="50">
        <v>0</v>
      </c>
      <c r="O35" s="15">
        <f t="shared" si="0"/>
        <v>124</v>
      </c>
      <c r="P35" s="15">
        <f t="shared" si="1"/>
        <v>419</v>
      </c>
    </row>
    <row r="36" spans="2:20" ht="23.1" customHeight="1" x14ac:dyDescent="0.25">
      <c r="B36" s="24" t="s">
        <v>63</v>
      </c>
      <c r="C36" s="50">
        <v>31</v>
      </c>
      <c r="D36" s="50">
        <v>16</v>
      </c>
      <c r="E36" s="50">
        <v>7</v>
      </c>
      <c r="F36" s="50">
        <v>54</v>
      </c>
      <c r="G36" s="50">
        <v>1</v>
      </c>
      <c r="H36" s="50">
        <v>0</v>
      </c>
      <c r="I36" s="50">
        <v>7</v>
      </c>
      <c r="J36" s="50">
        <v>3</v>
      </c>
      <c r="K36" s="50">
        <v>2</v>
      </c>
      <c r="L36" s="50">
        <v>6</v>
      </c>
      <c r="M36" s="50">
        <v>370</v>
      </c>
      <c r="N36" s="50">
        <v>0</v>
      </c>
      <c r="O36" s="15">
        <f t="shared" si="0"/>
        <v>127</v>
      </c>
      <c r="P36" s="15">
        <f t="shared" si="1"/>
        <v>497</v>
      </c>
    </row>
    <row r="37" spans="2:20" ht="23.1" customHeight="1" x14ac:dyDescent="0.25">
      <c r="B37" s="23" t="s">
        <v>64</v>
      </c>
      <c r="C37" s="50">
        <v>41</v>
      </c>
      <c r="D37" s="50">
        <v>23</v>
      </c>
      <c r="E37" s="50">
        <v>19</v>
      </c>
      <c r="F37" s="50">
        <v>70</v>
      </c>
      <c r="G37" s="50">
        <v>1</v>
      </c>
      <c r="H37" s="50">
        <v>2</v>
      </c>
      <c r="I37" s="50">
        <v>9</v>
      </c>
      <c r="J37" s="50">
        <v>4</v>
      </c>
      <c r="K37" s="50">
        <v>2</v>
      </c>
      <c r="L37" s="50">
        <v>3</v>
      </c>
      <c r="M37" s="50">
        <v>400</v>
      </c>
      <c r="N37" s="50">
        <v>0</v>
      </c>
      <c r="O37" s="15">
        <f t="shared" si="0"/>
        <v>174</v>
      </c>
      <c r="P37" s="15">
        <f t="shared" si="1"/>
        <v>574</v>
      </c>
    </row>
    <row r="38" spans="2:20" ht="23.1" customHeight="1" x14ac:dyDescent="0.25">
      <c r="B38" s="24" t="s">
        <v>65</v>
      </c>
      <c r="C38" s="50">
        <v>47</v>
      </c>
      <c r="D38" s="50">
        <v>19</v>
      </c>
      <c r="E38" s="50">
        <v>15</v>
      </c>
      <c r="F38" s="50">
        <v>75</v>
      </c>
      <c r="G38" s="50">
        <v>7</v>
      </c>
      <c r="H38" s="50">
        <v>0</v>
      </c>
      <c r="I38" s="50">
        <v>7</v>
      </c>
      <c r="J38" s="50">
        <v>6</v>
      </c>
      <c r="K38" s="50">
        <v>0</v>
      </c>
      <c r="L38" s="50">
        <v>4</v>
      </c>
      <c r="M38" s="50">
        <v>320</v>
      </c>
      <c r="N38" s="50">
        <v>0</v>
      </c>
      <c r="O38" s="15">
        <f t="shared" si="0"/>
        <v>180</v>
      </c>
      <c r="P38" s="15">
        <f t="shared" si="1"/>
        <v>500</v>
      </c>
    </row>
    <row r="39" spans="2:20" ht="23.1" customHeight="1" x14ac:dyDescent="0.25">
      <c r="B39" s="24" t="s">
        <v>66</v>
      </c>
      <c r="C39" s="50">
        <v>44</v>
      </c>
      <c r="D39" s="50">
        <v>21</v>
      </c>
      <c r="E39" s="50">
        <v>10</v>
      </c>
      <c r="F39" s="50">
        <v>61</v>
      </c>
      <c r="G39" s="50">
        <v>2</v>
      </c>
      <c r="H39" s="50">
        <v>0</v>
      </c>
      <c r="I39" s="50">
        <v>9</v>
      </c>
      <c r="J39" s="50">
        <v>2</v>
      </c>
      <c r="K39" s="50">
        <v>1</v>
      </c>
      <c r="L39" s="50">
        <v>6</v>
      </c>
      <c r="M39" s="50">
        <v>210</v>
      </c>
      <c r="N39" s="50">
        <v>0</v>
      </c>
      <c r="O39" s="15">
        <f t="shared" si="0"/>
        <v>156</v>
      </c>
      <c r="P39" s="15">
        <f t="shared" si="1"/>
        <v>366</v>
      </c>
    </row>
    <row r="40" spans="2:20" ht="23.1" customHeight="1" x14ac:dyDescent="0.25">
      <c r="B40" s="24" t="s">
        <v>67</v>
      </c>
      <c r="C40" s="50">
        <v>60</v>
      </c>
      <c r="D40" s="50">
        <v>30</v>
      </c>
      <c r="E40" s="50">
        <v>17</v>
      </c>
      <c r="F40" s="50">
        <v>62</v>
      </c>
      <c r="G40" s="50">
        <v>0</v>
      </c>
      <c r="H40" s="50">
        <v>0</v>
      </c>
      <c r="I40" s="50">
        <v>17</v>
      </c>
      <c r="J40" s="50">
        <v>4</v>
      </c>
      <c r="K40" s="50">
        <v>0</v>
      </c>
      <c r="L40" s="50">
        <v>8</v>
      </c>
      <c r="M40" s="50">
        <v>352</v>
      </c>
      <c r="N40" s="50">
        <v>0</v>
      </c>
      <c r="O40" s="15">
        <f t="shared" si="0"/>
        <v>198</v>
      </c>
      <c r="P40" s="15">
        <f t="shared" si="1"/>
        <v>550</v>
      </c>
    </row>
    <row r="41" spans="2:20" ht="23.1" customHeight="1" x14ac:dyDescent="0.25">
      <c r="B41" s="23" t="s">
        <v>68</v>
      </c>
      <c r="C41" s="50">
        <v>65</v>
      </c>
      <c r="D41" s="50">
        <v>33</v>
      </c>
      <c r="E41" s="50">
        <v>9</v>
      </c>
      <c r="F41" s="50">
        <v>33</v>
      </c>
      <c r="G41" s="50">
        <v>4</v>
      </c>
      <c r="H41" s="50">
        <v>0</v>
      </c>
      <c r="I41" s="50">
        <v>9</v>
      </c>
      <c r="J41" s="50">
        <v>4</v>
      </c>
      <c r="K41" s="50">
        <v>3</v>
      </c>
      <c r="L41" s="50">
        <v>5</v>
      </c>
      <c r="M41" s="50">
        <v>375</v>
      </c>
      <c r="N41" s="50">
        <v>0</v>
      </c>
      <c r="O41" s="15">
        <f t="shared" si="0"/>
        <v>165</v>
      </c>
      <c r="P41" s="15">
        <f t="shared" si="1"/>
        <v>540</v>
      </c>
    </row>
    <row r="42" spans="2:20" ht="23.1" customHeight="1" x14ac:dyDescent="0.25">
      <c r="B42" s="24" t="s">
        <v>69</v>
      </c>
      <c r="C42" s="50">
        <v>61</v>
      </c>
      <c r="D42" s="50">
        <v>27</v>
      </c>
      <c r="E42" s="50">
        <v>6</v>
      </c>
      <c r="F42" s="50">
        <v>75</v>
      </c>
      <c r="G42" s="50">
        <v>4</v>
      </c>
      <c r="H42" s="50">
        <v>1</v>
      </c>
      <c r="I42" s="50">
        <v>8</v>
      </c>
      <c r="J42" s="50">
        <v>6</v>
      </c>
      <c r="K42" s="50">
        <v>2</v>
      </c>
      <c r="L42" s="50">
        <v>3</v>
      </c>
      <c r="M42" s="50">
        <v>310</v>
      </c>
      <c r="N42" s="50">
        <v>0</v>
      </c>
      <c r="O42" s="15">
        <f t="shared" si="0"/>
        <v>193</v>
      </c>
      <c r="P42" s="15">
        <f t="shared" si="1"/>
        <v>503</v>
      </c>
    </row>
    <row r="43" spans="2:20" ht="23.1" customHeight="1" x14ac:dyDescent="0.25">
      <c r="B43" s="23" t="s">
        <v>70</v>
      </c>
      <c r="C43" s="50">
        <v>46</v>
      </c>
      <c r="D43" s="50">
        <v>27</v>
      </c>
      <c r="E43" s="50">
        <v>7</v>
      </c>
      <c r="F43" s="50">
        <v>46</v>
      </c>
      <c r="G43" s="50">
        <v>0</v>
      </c>
      <c r="H43" s="50">
        <v>0</v>
      </c>
      <c r="I43" s="50">
        <v>9</v>
      </c>
      <c r="J43" s="50">
        <v>5</v>
      </c>
      <c r="K43" s="50">
        <v>0</v>
      </c>
      <c r="L43" s="50">
        <v>7</v>
      </c>
      <c r="M43" s="50">
        <v>300</v>
      </c>
      <c r="N43" s="50">
        <v>0</v>
      </c>
      <c r="O43" s="15">
        <f t="shared" si="0"/>
        <v>147</v>
      </c>
      <c r="P43" s="15">
        <f t="shared" si="1"/>
        <v>447</v>
      </c>
    </row>
    <row r="44" spans="2:20" ht="23.1" customHeight="1" x14ac:dyDescent="0.25">
      <c r="B44" s="25" t="s">
        <v>71</v>
      </c>
      <c r="C44" s="50">
        <v>52</v>
      </c>
      <c r="D44" s="50">
        <v>30</v>
      </c>
      <c r="E44" s="50">
        <v>14</v>
      </c>
      <c r="F44" s="50">
        <v>54</v>
      </c>
      <c r="G44" s="50">
        <v>2</v>
      </c>
      <c r="H44" s="50">
        <v>1</v>
      </c>
      <c r="I44" s="50">
        <v>5</v>
      </c>
      <c r="J44" s="50">
        <v>4</v>
      </c>
      <c r="K44" s="50">
        <v>2</v>
      </c>
      <c r="L44" s="50">
        <v>9</v>
      </c>
      <c r="M44" s="50">
        <v>320</v>
      </c>
      <c r="N44" s="50">
        <v>0</v>
      </c>
      <c r="O44" s="15">
        <f t="shared" si="0"/>
        <v>173</v>
      </c>
      <c r="P44" s="15">
        <f t="shared" si="1"/>
        <v>493</v>
      </c>
    </row>
    <row r="45" spans="2:20" ht="23.1" customHeight="1" x14ac:dyDescent="0.25">
      <c r="B45" s="23" t="s">
        <v>72</v>
      </c>
      <c r="C45" s="50">
        <v>63</v>
      </c>
      <c r="D45" s="50">
        <v>20</v>
      </c>
      <c r="E45" s="50">
        <v>16</v>
      </c>
      <c r="F45" s="50">
        <v>66</v>
      </c>
      <c r="G45" s="50">
        <v>1</v>
      </c>
      <c r="H45" s="50">
        <v>2</v>
      </c>
      <c r="I45" s="50">
        <v>17</v>
      </c>
      <c r="J45" s="50">
        <v>4</v>
      </c>
      <c r="K45" s="50">
        <v>2</v>
      </c>
      <c r="L45" s="50">
        <v>3</v>
      </c>
      <c r="M45" s="50">
        <v>350</v>
      </c>
      <c r="N45" s="50">
        <v>0</v>
      </c>
      <c r="O45" s="15">
        <f t="shared" si="0"/>
        <v>194</v>
      </c>
      <c r="P45" s="15">
        <f t="shared" si="1"/>
        <v>544</v>
      </c>
    </row>
    <row r="46" spans="2:20" ht="23.1" customHeight="1" x14ac:dyDescent="0.25">
      <c r="B46" s="24" t="s">
        <v>73</v>
      </c>
      <c r="C46" s="50">
        <v>55</v>
      </c>
      <c r="D46" s="50">
        <v>28</v>
      </c>
      <c r="E46" s="50">
        <v>13</v>
      </c>
      <c r="F46" s="50">
        <v>30</v>
      </c>
      <c r="G46" s="50">
        <v>0</v>
      </c>
      <c r="H46" s="50">
        <v>0</v>
      </c>
      <c r="I46" s="50">
        <v>7</v>
      </c>
      <c r="J46" s="50">
        <v>0</v>
      </c>
      <c r="K46" s="50">
        <v>0</v>
      </c>
      <c r="L46" s="50">
        <v>0</v>
      </c>
      <c r="M46" s="50">
        <v>385</v>
      </c>
      <c r="N46" s="50">
        <v>0</v>
      </c>
      <c r="O46" s="15">
        <f t="shared" si="0"/>
        <v>133</v>
      </c>
      <c r="P46" s="15">
        <f t="shared" si="1"/>
        <v>518</v>
      </c>
      <c r="R46" s="8"/>
      <c r="T46"/>
    </row>
    <row r="47" spans="2:20" ht="23.1" customHeight="1" x14ac:dyDescent="0.25">
      <c r="B47" s="24" t="s">
        <v>74</v>
      </c>
      <c r="C47" s="50">
        <v>49</v>
      </c>
      <c r="D47" s="50">
        <v>15</v>
      </c>
      <c r="E47" s="50">
        <v>8</v>
      </c>
      <c r="F47" s="50">
        <v>75</v>
      </c>
      <c r="G47" s="50">
        <v>1</v>
      </c>
      <c r="H47" s="50">
        <v>0</v>
      </c>
      <c r="I47" s="50">
        <v>14</v>
      </c>
      <c r="J47" s="50">
        <v>0</v>
      </c>
      <c r="K47" s="50">
        <v>0</v>
      </c>
      <c r="L47" s="50">
        <v>0</v>
      </c>
      <c r="M47" s="50">
        <v>310</v>
      </c>
      <c r="N47" s="50">
        <v>0</v>
      </c>
      <c r="O47" s="15">
        <f t="shared" si="0"/>
        <v>162</v>
      </c>
      <c r="P47" s="15">
        <f t="shared" si="1"/>
        <v>472</v>
      </c>
      <c r="R47" s="8"/>
      <c r="T47"/>
    </row>
    <row r="48" spans="2:20" ht="23.1" customHeight="1" x14ac:dyDescent="0.25">
      <c r="B48" s="24" t="s">
        <v>75</v>
      </c>
      <c r="C48" s="50">
        <v>78</v>
      </c>
      <c r="D48" s="50">
        <v>21</v>
      </c>
      <c r="E48" s="50">
        <v>14</v>
      </c>
      <c r="F48" s="50">
        <v>66</v>
      </c>
      <c r="G48" s="50">
        <v>2</v>
      </c>
      <c r="H48" s="50">
        <v>0</v>
      </c>
      <c r="I48" s="50">
        <v>8</v>
      </c>
      <c r="J48" s="50">
        <v>0</v>
      </c>
      <c r="K48" s="50">
        <v>0</v>
      </c>
      <c r="L48" s="50">
        <v>0</v>
      </c>
      <c r="M48" s="50">
        <v>334</v>
      </c>
      <c r="N48" s="50">
        <v>0</v>
      </c>
      <c r="O48" s="15">
        <f t="shared" si="0"/>
        <v>189</v>
      </c>
      <c r="P48" s="15">
        <f t="shared" si="1"/>
        <v>523</v>
      </c>
      <c r="R48" s="8"/>
      <c r="T48"/>
    </row>
    <row r="49" spans="2:20" ht="23.1" customHeight="1" x14ac:dyDescent="0.25">
      <c r="B49" s="23" t="s">
        <v>76</v>
      </c>
      <c r="C49" s="50">
        <v>127</v>
      </c>
      <c r="D49" s="50">
        <v>52</v>
      </c>
      <c r="E49" s="50">
        <v>11</v>
      </c>
      <c r="F49" s="50">
        <v>47</v>
      </c>
      <c r="G49" s="50">
        <v>5</v>
      </c>
      <c r="H49" s="50">
        <v>0</v>
      </c>
      <c r="I49" s="50">
        <v>7</v>
      </c>
      <c r="J49" s="50">
        <v>5</v>
      </c>
      <c r="K49" s="50">
        <v>0</v>
      </c>
      <c r="L49" s="50">
        <v>0</v>
      </c>
      <c r="M49" s="50">
        <v>380</v>
      </c>
      <c r="N49" s="50">
        <v>0</v>
      </c>
      <c r="O49" s="15">
        <f t="shared" si="0"/>
        <v>254</v>
      </c>
      <c r="P49" s="15">
        <f t="shared" si="1"/>
        <v>634</v>
      </c>
      <c r="R49" s="8"/>
      <c r="T49"/>
    </row>
    <row r="50" spans="2:20" ht="23.1" customHeight="1" x14ac:dyDescent="0.25">
      <c r="B50" s="24" t="s">
        <v>77</v>
      </c>
      <c r="C50" s="50">
        <v>149</v>
      </c>
      <c r="D50" s="50">
        <v>89</v>
      </c>
      <c r="E50" s="50">
        <v>48</v>
      </c>
      <c r="F50" s="50">
        <v>50</v>
      </c>
      <c r="G50" s="50">
        <v>0</v>
      </c>
      <c r="H50" s="50">
        <v>1</v>
      </c>
      <c r="I50" s="50">
        <v>5</v>
      </c>
      <c r="J50" s="50">
        <v>7</v>
      </c>
      <c r="K50" s="50">
        <v>1</v>
      </c>
      <c r="L50" s="50">
        <v>4</v>
      </c>
      <c r="M50" s="50">
        <v>505</v>
      </c>
      <c r="N50" s="50">
        <v>0</v>
      </c>
      <c r="O50" s="15">
        <f t="shared" si="0"/>
        <v>354</v>
      </c>
      <c r="P50" s="15">
        <f t="shared" si="1"/>
        <v>859</v>
      </c>
      <c r="R50" s="8"/>
      <c r="T50"/>
    </row>
    <row r="51" spans="2:20" ht="23.1" customHeight="1" x14ac:dyDescent="0.25">
      <c r="B51" s="24" t="s">
        <v>78</v>
      </c>
      <c r="C51" s="50">
        <v>122</v>
      </c>
      <c r="D51" s="50">
        <v>54</v>
      </c>
      <c r="E51" s="50">
        <v>35</v>
      </c>
      <c r="F51" s="50">
        <v>45</v>
      </c>
      <c r="G51" s="50">
        <v>0</v>
      </c>
      <c r="H51" s="50">
        <v>0</v>
      </c>
      <c r="I51" s="50">
        <v>7</v>
      </c>
      <c r="J51" s="50">
        <v>4</v>
      </c>
      <c r="K51" s="50">
        <v>0</v>
      </c>
      <c r="L51" s="50">
        <v>1</v>
      </c>
      <c r="M51" s="50">
        <v>380</v>
      </c>
      <c r="N51" s="50">
        <v>0</v>
      </c>
      <c r="O51" s="15">
        <f t="shared" si="0"/>
        <v>268</v>
      </c>
      <c r="P51" s="15">
        <f t="shared" si="1"/>
        <v>648</v>
      </c>
      <c r="R51" s="8"/>
      <c r="T51"/>
    </row>
    <row r="52" spans="2:20" ht="23.1" customHeight="1" x14ac:dyDescent="0.25">
      <c r="B52" s="24" t="s">
        <v>79</v>
      </c>
      <c r="C52" s="50">
        <v>139</v>
      </c>
      <c r="D52" s="50">
        <v>83</v>
      </c>
      <c r="E52" s="50">
        <v>27</v>
      </c>
      <c r="F52" s="50">
        <v>68</v>
      </c>
      <c r="G52" s="50">
        <v>1</v>
      </c>
      <c r="H52" s="50">
        <v>0</v>
      </c>
      <c r="I52" s="50">
        <v>6</v>
      </c>
      <c r="J52" s="50">
        <v>4</v>
      </c>
      <c r="K52" s="50">
        <v>0</v>
      </c>
      <c r="L52" s="50">
        <v>5</v>
      </c>
      <c r="M52" s="50">
        <v>365</v>
      </c>
      <c r="N52" s="50">
        <v>0</v>
      </c>
      <c r="O52" s="15">
        <f t="shared" si="0"/>
        <v>333</v>
      </c>
      <c r="P52" s="15">
        <f t="shared" si="1"/>
        <v>698</v>
      </c>
      <c r="R52" s="8"/>
      <c r="T52"/>
    </row>
    <row r="53" spans="2:20" ht="23.1" customHeight="1" x14ac:dyDescent="0.25">
      <c r="B53" s="23" t="s">
        <v>80</v>
      </c>
      <c r="C53" s="50">
        <v>166</v>
      </c>
      <c r="D53" s="50">
        <v>99</v>
      </c>
      <c r="E53" s="50">
        <v>49</v>
      </c>
      <c r="F53" s="50">
        <v>43</v>
      </c>
      <c r="G53" s="50">
        <v>0</v>
      </c>
      <c r="H53" s="50">
        <v>0</v>
      </c>
      <c r="I53" s="50">
        <v>9</v>
      </c>
      <c r="J53" s="50">
        <v>7</v>
      </c>
      <c r="K53" s="50">
        <v>0</v>
      </c>
      <c r="L53" s="50">
        <v>2</v>
      </c>
      <c r="M53" s="50">
        <v>380</v>
      </c>
      <c r="N53" s="50">
        <v>0</v>
      </c>
      <c r="O53" s="15">
        <f t="shared" si="0"/>
        <v>375</v>
      </c>
      <c r="P53" s="15">
        <f t="shared" si="1"/>
        <v>755</v>
      </c>
      <c r="R53" s="8"/>
      <c r="T53"/>
    </row>
    <row r="54" spans="2:20" ht="23.1" customHeight="1" x14ac:dyDescent="0.25">
      <c r="B54" s="23" t="s">
        <v>81</v>
      </c>
      <c r="C54" s="50">
        <v>131</v>
      </c>
      <c r="D54" s="50">
        <v>68</v>
      </c>
      <c r="E54" s="50">
        <v>38</v>
      </c>
      <c r="F54" s="50">
        <v>35</v>
      </c>
      <c r="G54" s="50">
        <v>3</v>
      </c>
      <c r="H54" s="50">
        <v>0</v>
      </c>
      <c r="I54" s="50">
        <v>2</v>
      </c>
      <c r="J54" s="50">
        <v>3</v>
      </c>
      <c r="K54" s="50">
        <v>0</v>
      </c>
      <c r="L54" s="50">
        <v>3</v>
      </c>
      <c r="M54" s="50">
        <v>395</v>
      </c>
      <c r="N54" s="50">
        <v>0</v>
      </c>
      <c r="O54" s="15">
        <f t="shared" si="0"/>
        <v>283</v>
      </c>
      <c r="P54" s="15">
        <f t="shared" si="1"/>
        <v>678</v>
      </c>
      <c r="R54" s="8"/>
      <c r="T54"/>
    </row>
    <row r="55" spans="2:20" ht="23.1" customHeight="1" x14ac:dyDescent="0.25">
      <c r="B55" s="23" t="s">
        <v>82</v>
      </c>
      <c r="C55" s="50">
        <v>127</v>
      </c>
      <c r="D55" s="50">
        <v>55</v>
      </c>
      <c r="E55" s="50">
        <v>17</v>
      </c>
      <c r="F55" s="50">
        <v>34</v>
      </c>
      <c r="G55" s="50">
        <v>5</v>
      </c>
      <c r="H55" s="50">
        <v>1</v>
      </c>
      <c r="I55" s="50">
        <v>5</v>
      </c>
      <c r="J55" s="50">
        <v>0</v>
      </c>
      <c r="K55" s="50">
        <v>1</v>
      </c>
      <c r="L55" s="50">
        <v>2</v>
      </c>
      <c r="M55" s="50">
        <v>310</v>
      </c>
      <c r="N55" s="50">
        <v>0</v>
      </c>
      <c r="O55" s="15">
        <f t="shared" si="0"/>
        <v>247</v>
      </c>
      <c r="P55" s="15">
        <f t="shared" si="1"/>
        <v>557</v>
      </c>
      <c r="R55" s="8"/>
      <c r="T55"/>
    </row>
    <row r="56" spans="2:20" ht="23.1" customHeight="1" x14ac:dyDescent="0.25">
      <c r="B56" s="23" t="s">
        <v>83</v>
      </c>
      <c r="C56" s="50">
        <v>136</v>
      </c>
      <c r="D56" s="50">
        <v>71</v>
      </c>
      <c r="E56" s="50">
        <v>44</v>
      </c>
      <c r="F56" s="50">
        <v>60</v>
      </c>
      <c r="G56" s="50">
        <v>2</v>
      </c>
      <c r="H56" s="50">
        <v>1</v>
      </c>
      <c r="I56" s="50">
        <v>2</v>
      </c>
      <c r="J56" s="50">
        <v>8</v>
      </c>
      <c r="K56" s="50">
        <v>0</v>
      </c>
      <c r="L56" s="50">
        <v>0</v>
      </c>
      <c r="M56" s="50">
        <v>275</v>
      </c>
      <c r="N56" s="50">
        <v>0</v>
      </c>
      <c r="O56" s="15">
        <f t="shared" si="0"/>
        <v>324</v>
      </c>
      <c r="P56" s="15">
        <f t="shared" si="1"/>
        <v>599</v>
      </c>
      <c r="R56" s="8"/>
      <c r="T56"/>
    </row>
    <row r="57" spans="2:20" ht="23.1" customHeight="1" x14ac:dyDescent="0.25">
      <c r="B57" s="23" t="s">
        <v>84</v>
      </c>
      <c r="C57" s="50">
        <v>153</v>
      </c>
      <c r="D57" s="50">
        <v>79</v>
      </c>
      <c r="E57" s="50">
        <v>52</v>
      </c>
      <c r="F57" s="50">
        <v>62</v>
      </c>
      <c r="G57" s="50">
        <v>1</v>
      </c>
      <c r="H57" s="50">
        <v>0</v>
      </c>
      <c r="I57" s="50">
        <v>1</v>
      </c>
      <c r="J57" s="50">
        <v>4</v>
      </c>
      <c r="K57" s="50">
        <v>0</v>
      </c>
      <c r="L57" s="50">
        <v>0</v>
      </c>
      <c r="M57" s="50">
        <v>400</v>
      </c>
      <c r="N57" s="50">
        <v>0</v>
      </c>
      <c r="O57" s="15">
        <f t="shared" si="0"/>
        <v>352</v>
      </c>
      <c r="P57" s="15">
        <f t="shared" si="1"/>
        <v>752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2845</v>
      </c>
      <c r="D58" s="16">
        <f t="shared" si="21"/>
        <v>1330</v>
      </c>
      <c r="E58" s="16">
        <f t="shared" si="21"/>
        <v>714</v>
      </c>
      <c r="F58" s="16">
        <f t="shared" si="21"/>
        <v>2578</v>
      </c>
      <c r="G58" s="16">
        <f t="shared" si="21"/>
        <v>81</v>
      </c>
      <c r="H58" s="16">
        <f t="shared" si="21"/>
        <v>23</v>
      </c>
      <c r="I58" s="16">
        <f t="shared" si="21"/>
        <v>350</v>
      </c>
      <c r="J58" s="16">
        <f t="shared" si="21"/>
        <v>200</v>
      </c>
      <c r="K58" s="16">
        <f t="shared" si="21"/>
        <v>47</v>
      </c>
      <c r="L58" s="16">
        <f t="shared" si="21"/>
        <v>175</v>
      </c>
      <c r="M58" s="16">
        <f t="shared" si="21"/>
        <v>17526</v>
      </c>
      <c r="N58" s="16">
        <f t="shared" si="21"/>
        <v>0</v>
      </c>
      <c r="O58" s="16">
        <f t="shared" si="21"/>
        <v>8343</v>
      </c>
      <c r="P58" s="16">
        <f t="shared" si="21"/>
        <v>25869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0.10997719277900189</v>
      </c>
      <c r="D59" s="43">
        <f t="shared" si="22"/>
        <v>5.1412888012679271E-2</v>
      </c>
      <c r="E59" s="43">
        <f t="shared" si="22"/>
        <v>2.7600603038385713E-2</v>
      </c>
      <c r="F59" s="43">
        <f t="shared" si="22"/>
        <v>9.9655958869689587E-2</v>
      </c>
      <c r="G59" s="43">
        <f t="shared" si="22"/>
        <v>3.1311608488924967E-3</v>
      </c>
      <c r="H59" s="43">
        <f t="shared" si="22"/>
        <v>8.890950558583633E-4</v>
      </c>
      <c r="I59" s="43">
        <f t="shared" si="22"/>
        <v>1.3529707371757703E-2</v>
      </c>
      <c r="J59" s="43">
        <f t="shared" si="22"/>
        <v>7.7312613552901156E-3</v>
      </c>
      <c r="K59" s="43">
        <f t="shared" si="22"/>
        <v>1.8168464184931772E-3</v>
      </c>
      <c r="L59" s="43">
        <f t="shared" si="22"/>
        <v>6.7648536858788515E-3</v>
      </c>
      <c r="M59" s="43">
        <f t="shared" si="22"/>
        <v>0.67749043256407282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0.34100443485556753</v>
      </c>
      <c r="D60" s="44">
        <f t="shared" ref="D60:N60" si="23">D58/$O$58</f>
        <v>0.15941507850892964</v>
      </c>
      <c r="E60" s="44">
        <f t="shared" si="23"/>
        <v>8.5580726357425391E-2</v>
      </c>
      <c r="F60" s="44">
        <f t="shared" si="23"/>
        <v>0.30900155819249669</v>
      </c>
      <c r="G60" s="44">
        <f t="shared" si="23"/>
        <v>9.7087378640776691E-3</v>
      </c>
      <c r="H60" s="44">
        <f t="shared" si="23"/>
        <v>2.7568021095529184E-3</v>
      </c>
      <c r="I60" s="44">
        <f t="shared" si="23"/>
        <v>4.1951336449718324E-2</v>
      </c>
      <c r="J60" s="44">
        <f t="shared" si="23"/>
        <v>2.3972192256981901E-2</v>
      </c>
      <c r="K60" s="44">
        <f t="shared" si="23"/>
        <v>5.6334651803907464E-3</v>
      </c>
      <c r="L60" s="44">
        <f t="shared" si="23"/>
        <v>2.0975668224859162E-2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40" zoomScaleSheetLayoutView="40" workbookViewId="0">
      <selection activeCell="F63" sqref="F6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Kyambogo-Spear Motors'!C3:G3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Spear Motors-Kyambogo'!D5</f>
        <v>31.07.19</v>
      </c>
      <c r="E5" s="3"/>
      <c r="F5" s="41" t="s">
        <v>1</v>
      </c>
      <c r="G5" s="63" t="str">
        <f>'29.07 Spear Motors-Kyambogo'!G5:H5</f>
        <v>PEPSI UGANDA</v>
      </c>
      <c r="H5" s="64"/>
      <c r="I5" s="14"/>
      <c r="J5" s="2" t="s">
        <v>5</v>
      </c>
      <c r="K5" s="63" t="str">
        <f>'29.07 Spear Motors-Kyambogo'!K5:L5</f>
        <v>WACHOMI R/GALABUZI R./MBAHA J/ASHABA K/LUBEGA S/KIKUMBAD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Kyambogo-Spear Motors'!D6:E6</f>
        <v>KYAMBOGO</v>
      </c>
      <c r="E6" s="64"/>
      <c r="F6" s="2" t="s">
        <v>2</v>
      </c>
      <c r="G6" s="63" t="str">
        <f>'29.07 Kyambogo-Spear Motors'!G6:H6</f>
        <v>SPEAR MOTORS</v>
      </c>
      <c r="H6" s="64"/>
      <c r="J6" s="2" t="s">
        <v>21</v>
      </c>
      <c r="K6" s="63" t="str">
        <f>'29.07 Spear Motors-Kyambogo'!K6:L6</f>
        <v>ANDREW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101</v>
      </c>
      <c r="D10" s="50">
        <v>15</v>
      </c>
      <c r="E10" s="50">
        <v>5</v>
      </c>
      <c r="F10" s="50">
        <v>39</v>
      </c>
      <c r="G10" s="50">
        <v>2</v>
      </c>
      <c r="H10" s="50">
        <v>0</v>
      </c>
      <c r="I10" s="50">
        <v>2</v>
      </c>
      <c r="J10" s="50">
        <v>0</v>
      </c>
      <c r="K10" s="50">
        <v>2</v>
      </c>
      <c r="L10" s="50">
        <v>0</v>
      </c>
      <c r="M10" s="50">
        <v>250</v>
      </c>
      <c r="N10" s="50">
        <v>0</v>
      </c>
      <c r="O10" s="15">
        <f t="shared" ref="O10:O57" si="0">SUM(C10:L10,N10)</f>
        <v>166</v>
      </c>
      <c r="P10" s="15">
        <f t="shared" ref="P10:P57" si="1">SUM(C10:N10)</f>
        <v>416</v>
      </c>
      <c r="R10" s="1" t="s">
        <v>6</v>
      </c>
      <c r="S10" s="17">
        <f t="shared" ref="S10:AF10" si="2">SUM(C10:C13)</f>
        <v>503</v>
      </c>
      <c r="T10" s="17">
        <f t="shared" si="2"/>
        <v>73</v>
      </c>
      <c r="U10" s="17">
        <f t="shared" si="2"/>
        <v>46</v>
      </c>
      <c r="V10" s="17">
        <f t="shared" si="2"/>
        <v>223</v>
      </c>
      <c r="W10" s="17">
        <f t="shared" si="2"/>
        <v>8</v>
      </c>
      <c r="X10" s="17">
        <f t="shared" si="2"/>
        <v>1</v>
      </c>
      <c r="Y10" s="17">
        <f t="shared" si="2"/>
        <v>7</v>
      </c>
      <c r="Z10" s="17">
        <f t="shared" si="2"/>
        <v>2</v>
      </c>
      <c r="AA10" s="17">
        <f t="shared" si="2"/>
        <v>4</v>
      </c>
      <c r="AB10" s="17">
        <f t="shared" si="2"/>
        <v>3</v>
      </c>
      <c r="AC10" s="17">
        <f t="shared" si="2"/>
        <v>1600</v>
      </c>
      <c r="AD10" s="17">
        <f t="shared" si="2"/>
        <v>0</v>
      </c>
      <c r="AE10" s="31">
        <f t="shared" si="2"/>
        <v>870</v>
      </c>
      <c r="AF10" s="31">
        <f t="shared" si="2"/>
        <v>2470</v>
      </c>
    </row>
    <row r="11" spans="2:32" s="6" customFormat="1" ht="23.1" customHeight="1" x14ac:dyDescent="0.25">
      <c r="B11" s="23" t="s">
        <v>38</v>
      </c>
      <c r="C11" s="50">
        <v>104</v>
      </c>
      <c r="D11" s="50">
        <v>18</v>
      </c>
      <c r="E11" s="50">
        <v>12</v>
      </c>
      <c r="F11" s="50">
        <v>52</v>
      </c>
      <c r="G11" s="50">
        <v>3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435</v>
      </c>
      <c r="N11" s="50">
        <v>0</v>
      </c>
      <c r="O11" s="15">
        <f t="shared" si="0"/>
        <v>189</v>
      </c>
      <c r="P11" s="15">
        <f t="shared" si="1"/>
        <v>624</v>
      </c>
      <c r="R11" s="1" t="s">
        <v>7</v>
      </c>
      <c r="S11" s="17">
        <f t="shared" ref="S11:AF11" si="3">SUM(C14:C17)</f>
        <v>538</v>
      </c>
      <c r="T11" s="17">
        <f t="shared" si="3"/>
        <v>112</v>
      </c>
      <c r="U11" s="17">
        <f t="shared" si="3"/>
        <v>60</v>
      </c>
      <c r="V11" s="17">
        <f t="shared" si="3"/>
        <v>324</v>
      </c>
      <c r="W11" s="17">
        <f t="shared" si="3"/>
        <v>18</v>
      </c>
      <c r="X11" s="17">
        <f t="shared" si="3"/>
        <v>3</v>
      </c>
      <c r="Y11" s="17">
        <f t="shared" si="3"/>
        <v>23</v>
      </c>
      <c r="Z11" s="17">
        <f t="shared" si="3"/>
        <v>15</v>
      </c>
      <c r="AA11" s="17">
        <f t="shared" si="3"/>
        <v>4</v>
      </c>
      <c r="AB11" s="17">
        <f t="shared" si="3"/>
        <v>24</v>
      </c>
      <c r="AC11" s="17">
        <f t="shared" si="3"/>
        <v>2300</v>
      </c>
      <c r="AD11" s="17">
        <f t="shared" si="3"/>
        <v>0</v>
      </c>
      <c r="AE11" s="31">
        <f t="shared" si="3"/>
        <v>1121</v>
      </c>
      <c r="AF11" s="31">
        <f t="shared" si="3"/>
        <v>3421</v>
      </c>
    </row>
    <row r="12" spans="2:32" ht="23.1" customHeight="1" x14ac:dyDescent="0.25">
      <c r="B12" s="23" t="s">
        <v>39</v>
      </c>
      <c r="C12" s="50">
        <v>205</v>
      </c>
      <c r="D12" s="50">
        <v>25</v>
      </c>
      <c r="E12" s="50">
        <v>16</v>
      </c>
      <c r="F12" s="50">
        <v>64</v>
      </c>
      <c r="G12" s="50">
        <v>1</v>
      </c>
      <c r="H12" s="50">
        <v>1</v>
      </c>
      <c r="I12" s="50">
        <v>2</v>
      </c>
      <c r="J12" s="50">
        <v>2</v>
      </c>
      <c r="K12" s="50">
        <v>2</v>
      </c>
      <c r="L12" s="50">
        <v>3</v>
      </c>
      <c r="M12" s="50">
        <v>350</v>
      </c>
      <c r="N12" s="50">
        <v>0</v>
      </c>
      <c r="O12" s="15">
        <f t="shared" si="0"/>
        <v>321</v>
      </c>
      <c r="P12" s="15">
        <f t="shared" si="1"/>
        <v>671</v>
      </c>
      <c r="R12" s="1" t="s">
        <v>8</v>
      </c>
      <c r="S12" s="17">
        <f t="shared" ref="S12:AF12" si="4">SUM(C18:C21)</f>
        <v>313</v>
      </c>
      <c r="T12" s="17">
        <f t="shared" si="4"/>
        <v>78</v>
      </c>
      <c r="U12" s="17">
        <f t="shared" si="4"/>
        <v>49</v>
      </c>
      <c r="V12" s="17">
        <f t="shared" si="4"/>
        <v>400</v>
      </c>
      <c r="W12" s="17">
        <f t="shared" si="4"/>
        <v>2</v>
      </c>
      <c r="X12" s="17">
        <f t="shared" si="4"/>
        <v>0</v>
      </c>
      <c r="Y12" s="17">
        <f t="shared" si="4"/>
        <v>14</v>
      </c>
      <c r="Z12" s="17">
        <f t="shared" si="4"/>
        <v>13</v>
      </c>
      <c r="AA12" s="17">
        <f t="shared" si="4"/>
        <v>3</v>
      </c>
      <c r="AB12" s="17">
        <f t="shared" si="4"/>
        <v>9</v>
      </c>
      <c r="AC12" s="17">
        <f t="shared" si="4"/>
        <v>2265</v>
      </c>
      <c r="AD12" s="17">
        <f t="shared" si="4"/>
        <v>0</v>
      </c>
      <c r="AE12" s="31">
        <f t="shared" si="4"/>
        <v>881</v>
      </c>
      <c r="AF12" s="31">
        <f t="shared" si="4"/>
        <v>3146</v>
      </c>
    </row>
    <row r="13" spans="2:32" ht="23.1" customHeight="1" x14ac:dyDescent="0.25">
      <c r="B13" s="23" t="s">
        <v>40</v>
      </c>
      <c r="C13" s="50">
        <v>93</v>
      </c>
      <c r="D13" s="50">
        <v>15</v>
      </c>
      <c r="E13" s="50">
        <v>13</v>
      </c>
      <c r="F13" s="50">
        <v>68</v>
      </c>
      <c r="G13" s="50">
        <v>2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565</v>
      </c>
      <c r="N13" s="50">
        <v>0</v>
      </c>
      <c r="O13" s="15">
        <f t="shared" si="0"/>
        <v>194</v>
      </c>
      <c r="P13" s="15">
        <f t="shared" si="1"/>
        <v>759</v>
      </c>
      <c r="R13" s="1" t="s">
        <v>9</v>
      </c>
      <c r="S13" s="17">
        <f t="shared" ref="S13:AF13" si="5">SUM(C22:C25)</f>
        <v>228</v>
      </c>
      <c r="T13" s="17">
        <f t="shared" si="5"/>
        <v>70</v>
      </c>
      <c r="U13" s="17">
        <f t="shared" si="5"/>
        <v>29</v>
      </c>
      <c r="V13" s="17">
        <f t="shared" si="5"/>
        <v>343</v>
      </c>
      <c r="W13" s="17">
        <f t="shared" si="5"/>
        <v>3</v>
      </c>
      <c r="X13" s="17">
        <f t="shared" si="5"/>
        <v>2</v>
      </c>
      <c r="Y13" s="17">
        <f t="shared" si="5"/>
        <v>16</v>
      </c>
      <c r="Z13" s="17">
        <f t="shared" si="5"/>
        <v>11</v>
      </c>
      <c r="AA13" s="17">
        <f t="shared" si="5"/>
        <v>1</v>
      </c>
      <c r="AB13" s="17">
        <f t="shared" si="5"/>
        <v>16</v>
      </c>
      <c r="AC13" s="17">
        <f t="shared" si="5"/>
        <v>1630</v>
      </c>
      <c r="AD13" s="17">
        <f t="shared" si="5"/>
        <v>0</v>
      </c>
      <c r="AE13" s="31">
        <f t="shared" si="5"/>
        <v>719</v>
      </c>
      <c r="AF13" s="31">
        <f t="shared" si="5"/>
        <v>2349</v>
      </c>
    </row>
    <row r="14" spans="2:32" ht="23.1" customHeight="1" x14ac:dyDescent="0.25">
      <c r="B14" s="23" t="s">
        <v>41</v>
      </c>
      <c r="C14" s="50">
        <v>200</v>
      </c>
      <c r="D14" s="50">
        <v>34</v>
      </c>
      <c r="E14" s="50">
        <v>24</v>
      </c>
      <c r="F14" s="50">
        <v>85</v>
      </c>
      <c r="G14" s="50">
        <v>6</v>
      </c>
      <c r="H14" s="50">
        <v>1</v>
      </c>
      <c r="I14" s="50">
        <v>5</v>
      </c>
      <c r="J14" s="50">
        <v>4</v>
      </c>
      <c r="K14" s="50">
        <v>1</v>
      </c>
      <c r="L14" s="50">
        <v>7</v>
      </c>
      <c r="M14" s="50">
        <v>605</v>
      </c>
      <c r="N14" s="50">
        <v>0</v>
      </c>
      <c r="O14" s="15">
        <f t="shared" si="0"/>
        <v>367</v>
      </c>
      <c r="P14" s="15">
        <f t="shared" si="1"/>
        <v>972</v>
      </c>
      <c r="R14" s="1" t="s">
        <v>10</v>
      </c>
      <c r="S14" s="17">
        <f t="shared" ref="S14:AF14" si="6">SUM(C26:C29)</f>
        <v>207</v>
      </c>
      <c r="T14" s="17">
        <f t="shared" si="6"/>
        <v>68</v>
      </c>
      <c r="U14" s="17">
        <f t="shared" si="6"/>
        <v>21</v>
      </c>
      <c r="V14" s="17">
        <f t="shared" si="6"/>
        <v>232</v>
      </c>
      <c r="W14" s="17">
        <f t="shared" si="6"/>
        <v>4</v>
      </c>
      <c r="X14" s="17">
        <f t="shared" si="6"/>
        <v>2</v>
      </c>
      <c r="Y14" s="17">
        <f t="shared" si="6"/>
        <v>14</v>
      </c>
      <c r="Z14" s="17">
        <f t="shared" si="6"/>
        <v>10</v>
      </c>
      <c r="AA14" s="17">
        <f t="shared" si="6"/>
        <v>5</v>
      </c>
      <c r="AB14" s="17">
        <f t="shared" si="6"/>
        <v>18</v>
      </c>
      <c r="AC14" s="17">
        <f t="shared" si="6"/>
        <v>1300</v>
      </c>
      <c r="AD14" s="17">
        <f t="shared" si="6"/>
        <v>0</v>
      </c>
      <c r="AE14" s="31">
        <f t="shared" si="6"/>
        <v>581</v>
      </c>
      <c r="AF14" s="31">
        <f t="shared" si="6"/>
        <v>1881</v>
      </c>
    </row>
    <row r="15" spans="2:32" ht="23.1" customHeight="1" x14ac:dyDescent="0.25">
      <c r="B15" s="23" t="s">
        <v>42</v>
      </c>
      <c r="C15" s="50">
        <v>108</v>
      </c>
      <c r="D15" s="50">
        <v>24</v>
      </c>
      <c r="E15" s="50">
        <v>8</v>
      </c>
      <c r="F15" s="50">
        <v>83</v>
      </c>
      <c r="G15" s="50">
        <v>5</v>
      </c>
      <c r="H15" s="50">
        <v>1</v>
      </c>
      <c r="I15" s="50">
        <v>5</v>
      </c>
      <c r="J15" s="50">
        <v>4</v>
      </c>
      <c r="K15" s="50">
        <v>0</v>
      </c>
      <c r="L15" s="50">
        <v>8</v>
      </c>
      <c r="M15" s="50">
        <v>570</v>
      </c>
      <c r="N15" s="50">
        <v>0</v>
      </c>
      <c r="O15" s="15">
        <f t="shared" si="0"/>
        <v>246</v>
      </c>
      <c r="P15" s="15">
        <f t="shared" si="1"/>
        <v>816</v>
      </c>
      <c r="R15" s="1" t="s">
        <v>11</v>
      </c>
      <c r="S15" s="17">
        <f t="shared" ref="S15:AF15" si="7">SUM(C30:C33)</f>
        <v>159</v>
      </c>
      <c r="T15" s="17">
        <f t="shared" si="7"/>
        <v>37</v>
      </c>
      <c r="U15" s="17">
        <f t="shared" si="7"/>
        <v>11</v>
      </c>
      <c r="V15" s="17">
        <f t="shared" si="7"/>
        <v>229</v>
      </c>
      <c r="W15" s="17">
        <f t="shared" si="7"/>
        <v>3</v>
      </c>
      <c r="X15" s="17">
        <f t="shared" si="7"/>
        <v>4</v>
      </c>
      <c r="Y15" s="17">
        <f t="shared" si="7"/>
        <v>29</v>
      </c>
      <c r="Z15" s="17">
        <f t="shared" si="7"/>
        <v>20</v>
      </c>
      <c r="AA15" s="17">
        <f t="shared" si="7"/>
        <v>8</v>
      </c>
      <c r="AB15" s="17">
        <f t="shared" si="7"/>
        <v>17</v>
      </c>
      <c r="AC15" s="17">
        <f t="shared" si="7"/>
        <v>1160</v>
      </c>
      <c r="AD15" s="17">
        <f t="shared" si="7"/>
        <v>0</v>
      </c>
      <c r="AE15" s="31">
        <f t="shared" si="7"/>
        <v>517</v>
      </c>
      <c r="AF15" s="31">
        <f t="shared" si="7"/>
        <v>1677</v>
      </c>
    </row>
    <row r="16" spans="2:32" ht="23.1" customHeight="1" x14ac:dyDescent="0.25">
      <c r="B16" s="23" t="s">
        <v>43</v>
      </c>
      <c r="C16" s="50">
        <v>125</v>
      </c>
      <c r="D16" s="50">
        <v>31</v>
      </c>
      <c r="E16" s="50">
        <v>20</v>
      </c>
      <c r="F16" s="50">
        <v>86</v>
      </c>
      <c r="G16" s="50">
        <v>5</v>
      </c>
      <c r="H16" s="50">
        <v>0</v>
      </c>
      <c r="I16" s="50">
        <v>8</v>
      </c>
      <c r="J16" s="50">
        <v>4</v>
      </c>
      <c r="K16" s="50">
        <v>1</v>
      </c>
      <c r="L16" s="50">
        <v>8</v>
      </c>
      <c r="M16" s="50">
        <v>595</v>
      </c>
      <c r="N16" s="50">
        <v>0</v>
      </c>
      <c r="O16" s="15">
        <f t="shared" si="0"/>
        <v>288</v>
      </c>
      <c r="P16" s="15">
        <f t="shared" si="1"/>
        <v>883</v>
      </c>
      <c r="R16" s="1" t="s">
        <v>12</v>
      </c>
      <c r="S16" s="17">
        <f t="shared" ref="S16:AF16" si="8">SUM(C34:C37)</f>
        <v>176</v>
      </c>
      <c r="T16" s="17">
        <f t="shared" si="8"/>
        <v>55</v>
      </c>
      <c r="U16" s="17">
        <f t="shared" si="8"/>
        <v>27</v>
      </c>
      <c r="V16" s="17">
        <f t="shared" si="8"/>
        <v>218</v>
      </c>
      <c r="W16" s="17">
        <f t="shared" si="8"/>
        <v>2</v>
      </c>
      <c r="X16" s="17">
        <f t="shared" si="8"/>
        <v>2</v>
      </c>
      <c r="Y16" s="17">
        <f t="shared" si="8"/>
        <v>22</v>
      </c>
      <c r="Z16" s="17">
        <f t="shared" si="8"/>
        <v>21</v>
      </c>
      <c r="AA16" s="17">
        <f t="shared" si="8"/>
        <v>5</v>
      </c>
      <c r="AB16" s="17">
        <f t="shared" si="8"/>
        <v>20</v>
      </c>
      <c r="AC16" s="17">
        <f t="shared" si="8"/>
        <v>1350</v>
      </c>
      <c r="AD16" s="17">
        <f t="shared" si="8"/>
        <v>0</v>
      </c>
      <c r="AE16" s="31">
        <f t="shared" si="8"/>
        <v>548</v>
      </c>
      <c r="AF16" s="31">
        <f t="shared" si="8"/>
        <v>1898</v>
      </c>
    </row>
    <row r="17" spans="2:32" ht="23.1" customHeight="1" x14ac:dyDescent="0.25">
      <c r="B17" s="23" t="s">
        <v>44</v>
      </c>
      <c r="C17" s="50">
        <v>105</v>
      </c>
      <c r="D17" s="50">
        <v>23</v>
      </c>
      <c r="E17" s="50">
        <v>8</v>
      </c>
      <c r="F17" s="50">
        <v>70</v>
      </c>
      <c r="G17" s="50">
        <v>2</v>
      </c>
      <c r="H17" s="50">
        <v>1</v>
      </c>
      <c r="I17" s="50">
        <v>5</v>
      </c>
      <c r="J17" s="50">
        <v>3</v>
      </c>
      <c r="K17" s="50">
        <v>2</v>
      </c>
      <c r="L17" s="50">
        <v>1</v>
      </c>
      <c r="M17" s="50">
        <v>530</v>
      </c>
      <c r="N17" s="50">
        <v>0</v>
      </c>
      <c r="O17" s="15">
        <f t="shared" si="0"/>
        <v>220</v>
      </c>
      <c r="P17" s="15">
        <f t="shared" si="1"/>
        <v>750</v>
      </c>
      <c r="R17" s="1" t="s">
        <v>13</v>
      </c>
      <c r="S17" s="17">
        <f t="shared" ref="S17:AF17" si="9">SUM(C38:C41)</f>
        <v>185</v>
      </c>
      <c r="T17" s="17">
        <f t="shared" si="9"/>
        <v>56</v>
      </c>
      <c r="U17" s="17">
        <f t="shared" si="9"/>
        <v>24</v>
      </c>
      <c r="V17" s="17">
        <f t="shared" si="9"/>
        <v>236</v>
      </c>
      <c r="W17" s="17">
        <f t="shared" si="9"/>
        <v>2</v>
      </c>
      <c r="X17" s="17">
        <f t="shared" si="9"/>
        <v>11</v>
      </c>
      <c r="Y17" s="17">
        <f t="shared" si="9"/>
        <v>27</v>
      </c>
      <c r="Z17" s="17">
        <f t="shared" si="9"/>
        <v>19</v>
      </c>
      <c r="AA17" s="17">
        <f t="shared" si="9"/>
        <v>3</v>
      </c>
      <c r="AB17" s="17">
        <f t="shared" si="9"/>
        <v>27</v>
      </c>
      <c r="AC17" s="17">
        <f t="shared" si="9"/>
        <v>1105</v>
      </c>
      <c r="AD17" s="17">
        <f t="shared" si="9"/>
        <v>0</v>
      </c>
      <c r="AE17" s="31">
        <f t="shared" si="9"/>
        <v>590</v>
      </c>
      <c r="AF17" s="31">
        <f t="shared" si="9"/>
        <v>1695</v>
      </c>
    </row>
    <row r="18" spans="2:32" ht="23.1" customHeight="1" x14ac:dyDescent="0.25">
      <c r="B18" s="23" t="s">
        <v>45</v>
      </c>
      <c r="C18" s="50">
        <v>90</v>
      </c>
      <c r="D18" s="50">
        <v>19</v>
      </c>
      <c r="E18" s="50">
        <v>12</v>
      </c>
      <c r="F18" s="50">
        <v>95</v>
      </c>
      <c r="G18" s="50">
        <v>0</v>
      </c>
      <c r="H18" s="50">
        <v>0</v>
      </c>
      <c r="I18" s="50">
        <v>3</v>
      </c>
      <c r="J18" s="50">
        <v>3</v>
      </c>
      <c r="K18" s="50">
        <v>1</v>
      </c>
      <c r="L18" s="50">
        <v>1</v>
      </c>
      <c r="M18" s="50">
        <v>615</v>
      </c>
      <c r="N18" s="50">
        <v>0</v>
      </c>
      <c r="O18" s="15">
        <f t="shared" si="0"/>
        <v>224</v>
      </c>
      <c r="P18" s="15">
        <f t="shared" si="1"/>
        <v>839</v>
      </c>
      <c r="R18" s="1" t="s">
        <v>14</v>
      </c>
      <c r="S18" s="17">
        <f t="shared" ref="S18:AF18" si="10">SUM(C42:C45)</f>
        <v>202</v>
      </c>
      <c r="T18" s="17">
        <f t="shared" si="10"/>
        <v>59</v>
      </c>
      <c r="U18" s="17">
        <f t="shared" si="10"/>
        <v>24</v>
      </c>
      <c r="V18" s="17">
        <f t="shared" si="10"/>
        <v>194</v>
      </c>
      <c r="W18" s="17">
        <f t="shared" si="10"/>
        <v>4</v>
      </c>
      <c r="X18" s="17">
        <f t="shared" si="10"/>
        <v>5</v>
      </c>
      <c r="Y18" s="17">
        <f t="shared" si="10"/>
        <v>22</v>
      </c>
      <c r="Z18" s="17">
        <f t="shared" si="10"/>
        <v>30</v>
      </c>
      <c r="AA18" s="17">
        <f t="shared" si="10"/>
        <v>13</v>
      </c>
      <c r="AB18" s="17">
        <f t="shared" si="10"/>
        <v>40</v>
      </c>
      <c r="AC18" s="17">
        <f t="shared" si="10"/>
        <v>1240</v>
      </c>
      <c r="AD18" s="17">
        <f t="shared" si="10"/>
        <v>0</v>
      </c>
      <c r="AE18" s="31">
        <f t="shared" si="10"/>
        <v>593</v>
      </c>
      <c r="AF18" s="31">
        <f t="shared" si="10"/>
        <v>1833</v>
      </c>
    </row>
    <row r="19" spans="2:32" ht="23.1" customHeight="1" x14ac:dyDescent="0.25">
      <c r="B19" s="23" t="s">
        <v>46</v>
      </c>
      <c r="C19" s="50">
        <v>80</v>
      </c>
      <c r="D19" s="50">
        <v>22</v>
      </c>
      <c r="E19" s="50">
        <v>15</v>
      </c>
      <c r="F19" s="50">
        <v>129</v>
      </c>
      <c r="G19" s="50">
        <v>0</v>
      </c>
      <c r="H19" s="50">
        <v>0</v>
      </c>
      <c r="I19" s="50">
        <v>1</v>
      </c>
      <c r="J19" s="50">
        <v>0</v>
      </c>
      <c r="K19" s="50">
        <v>1</v>
      </c>
      <c r="L19" s="50">
        <v>2</v>
      </c>
      <c r="M19" s="50">
        <v>625</v>
      </c>
      <c r="N19" s="50">
        <v>0</v>
      </c>
      <c r="O19" s="15">
        <f t="shared" si="0"/>
        <v>250</v>
      </c>
      <c r="P19" s="15">
        <f t="shared" si="1"/>
        <v>875</v>
      </c>
      <c r="R19" s="1" t="s">
        <v>15</v>
      </c>
      <c r="S19" s="17">
        <f t="shared" ref="S19:AF19" si="11">SUM(C46:C49)</f>
        <v>173</v>
      </c>
      <c r="T19" s="17">
        <f t="shared" si="11"/>
        <v>58</v>
      </c>
      <c r="U19" s="17">
        <f t="shared" si="11"/>
        <v>23</v>
      </c>
      <c r="V19" s="17">
        <f t="shared" si="11"/>
        <v>176</v>
      </c>
      <c r="W19" s="17">
        <f t="shared" si="11"/>
        <v>8</v>
      </c>
      <c r="X19" s="17">
        <f t="shared" si="11"/>
        <v>5</v>
      </c>
      <c r="Y19" s="17">
        <f t="shared" si="11"/>
        <v>15</v>
      </c>
      <c r="Z19" s="17">
        <f t="shared" si="11"/>
        <v>31</v>
      </c>
      <c r="AA19" s="17">
        <f t="shared" si="11"/>
        <v>13</v>
      </c>
      <c r="AB19" s="17">
        <f t="shared" si="11"/>
        <v>9</v>
      </c>
      <c r="AC19" s="17">
        <f t="shared" si="11"/>
        <v>1085</v>
      </c>
      <c r="AD19" s="17">
        <f t="shared" si="11"/>
        <v>0</v>
      </c>
      <c r="AE19" s="31">
        <f t="shared" si="11"/>
        <v>511</v>
      </c>
      <c r="AF19" s="31">
        <f t="shared" si="11"/>
        <v>1596</v>
      </c>
    </row>
    <row r="20" spans="2:32" ht="23.1" customHeight="1" x14ac:dyDescent="0.25">
      <c r="B20" s="23" t="s">
        <v>47</v>
      </c>
      <c r="C20" s="50">
        <v>70</v>
      </c>
      <c r="D20" s="50">
        <v>20</v>
      </c>
      <c r="E20" s="50">
        <v>12</v>
      </c>
      <c r="F20" s="50">
        <v>91</v>
      </c>
      <c r="G20" s="50">
        <v>2</v>
      </c>
      <c r="H20" s="50">
        <v>0</v>
      </c>
      <c r="I20" s="50">
        <v>7</v>
      </c>
      <c r="J20" s="50">
        <v>7</v>
      </c>
      <c r="K20" s="50">
        <v>0</v>
      </c>
      <c r="L20" s="50">
        <v>2</v>
      </c>
      <c r="M20" s="50">
        <v>530</v>
      </c>
      <c r="N20" s="50">
        <v>0</v>
      </c>
      <c r="O20" s="15">
        <f t="shared" si="0"/>
        <v>211</v>
      </c>
      <c r="P20" s="15">
        <f t="shared" si="1"/>
        <v>741</v>
      </c>
      <c r="R20" s="1" t="s">
        <v>16</v>
      </c>
      <c r="S20" s="17">
        <f t="shared" ref="S20:AF20" si="12">SUM(C50:C53)</f>
        <v>188</v>
      </c>
      <c r="T20" s="17">
        <f t="shared" si="12"/>
        <v>76</v>
      </c>
      <c r="U20" s="17">
        <f t="shared" si="12"/>
        <v>19</v>
      </c>
      <c r="V20" s="17">
        <f t="shared" si="12"/>
        <v>207</v>
      </c>
      <c r="W20" s="17">
        <f t="shared" si="12"/>
        <v>2</v>
      </c>
      <c r="X20" s="17">
        <f t="shared" si="12"/>
        <v>8</v>
      </c>
      <c r="Y20" s="17">
        <f t="shared" si="12"/>
        <v>13</v>
      </c>
      <c r="Z20" s="17">
        <f t="shared" si="12"/>
        <v>16</v>
      </c>
      <c r="AA20" s="17">
        <f t="shared" si="12"/>
        <v>7</v>
      </c>
      <c r="AB20" s="17">
        <f t="shared" si="12"/>
        <v>5</v>
      </c>
      <c r="AC20" s="17">
        <f t="shared" si="12"/>
        <v>1353</v>
      </c>
      <c r="AD20" s="17">
        <f t="shared" si="12"/>
        <v>0</v>
      </c>
      <c r="AE20" s="31">
        <f t="shared" si="12"/>
        <v>541</v>
      </c>
      <c r="AF20" s="31">
        <f t="shared" si="12"/>
        <v>1894</v>
      </c>
    </row>
    <row r="21" spans="2:32" ht="23.1" customHeight="1" x14ac:dyDescent="0.25">
      <c r="B21" s="23" t="s">
        <v>48</v>
      </c>
      <c r="C21" s="50">
        <v>73</v>
      </c>
      <c r="D21" s="50">
        <v>17</v>
      </c>
      <c r="E21" s="50">
        <v>10</v>
      </c>
      <c r="F21" s="50">
        <v>85</v>
      </c>
      <c r="G21" s="50">
        <v>0</v>
      </c>
      <c r="H21" s="50">
        <v>0</v>
      </c>
      <c r="I21" s="50">
        <v>3</v>
      </c>
      <c r="J21" s="50">
        <v>3</v>
      </c>
      <c r="K21" s="50">
        <v>1</v>
      </c>
      <c r="L21" s="50">
        <v>4</v>
      </c>
      <c r="M21" s="50">
        <v>495</v>
      </c>
      <c r="N21" s="50">
        <v>0</v>
      </c>
      <c r="O21" s="15">
        <f t="shared" si="0"/>
        <v>196</v>
      </c>
      <c r="P21" s="15">
        <f t="shared" si="1"/>
        <v>691</v>
      </c>
      <c r="R21" s="36" t="s">
        <v>20</v>
      </c>
      <c r="S21" s="34">
        <f t="shared" ref="S21:AF21" si="13">SUM(C54:C57)</f>
        <v>154</v>
      </c>
      <c r="T21" s="17">
        <f t="shared" si="13"/>
        <v>40</v>
      </c>
      <c r="U21" s="17">
        <f t="shared" si="13"/>
        <v>16</v>
      </c>
      <c r="V21" s="17">
        <f t="shared" si="13"/>
        <v>223</v>
      </c>
      <c r="W21" s="17">
        <f t="shared" si="13"/>
        <v>9</v>
      </c>
      <c r="X21" s="17">
        <f t="shared" si="13"/>
        <v>0</v>
      </c>
      <c r="Y21" s="17">
        <f t="shared" si="13"/>
        <v>12</v>
      </c>
      <c r="Z21" s="17">
        <f t="shared" si="13"/>
        <v>21</v>
      </c>
      <c r="AA21" s="17">
        <f t="shared" si="13"/>
        <v>8</v>
      </c>
      <c r="AB21" s="17">
        <f t="shared" si="13"/>
        <v>13</v>
      </c>
      <c r="AC21" s="17">
        <f t="shared" si="13"/>
        <v>1498</v>
      </c>
      <c r="AD21" s="17">
        <f t="shared" si="13"/>
        <v>0</v>
      </c>
      <c r="AE21" s="31">
        <f t="shared" si="13"/>
        <v>496</v>
      </c>
      <c r="AF21" s="31">
        <f t="shared" si="13"/>
        <v>1994</v>
      </c>
    </row>
    <row r="22" spans="2:32" ht="23.1" customHeight="1" x14ac:dyDescent="0.25">
      <c r="B22" s="23" t="s">
        <v>49</v>
      </c>
      <c r="C22" s="50">
        <v>64</v>
      </c>
      <c r="D22" s="50">
        <v>26</v>
      </c>
      <c r="E22" s="50">
        <v>3</v>
      </c>
      <c r="F22" s="50">
        <v>107</v>
      </c>
      <c r="G22" s="50">
        <v>1</v>
      </c>
      <c r="H22" s="50">
        <v>0</v>
      </c>
      <c r="I22" s="50">
        <v>3</v>
      </c>
      <c r="J22" s="50">
        <v>5</v>
      </c>
      <c r="K22" s="50">
        <v>1</v>
      </c>
      <c r="L22" s="50">
        <v>2</v>
      </c>
      <c r="M22" s="50">
        <v>485</v>
      </c>
      <c r="N22" s="50">
        <v>0</v>
      </c>
      <c r="O22" s="15">
        <f t="shared" si="0"/>
        <v>212</v>
      </c>
      <c r="P22" s="15">
        <f t="shared" si="1"/>
        <v>697</v>
      </c>
      <c r="R22" s="38" t="s">
        <v>90</v>
      </c>
      <c r="S22" s="39">
        <f>MAX(S10:S12)</f>
        <v>538</v>
      </c>
      <c r="T22" s="39">
        <f t="shared" ref="T22:AF22" si="14">MAX(T10:T12)</f>
        <v>112</v>
      </c>
      <c r="U22" s="39">
        <f t="shared" si="14"/>
        <v>60</v>
      </c>
      <c r="V22" s="39">
        <f t="shared" si="14"/>
        <v>400</v>
      </c>
      <c r="W22" s="39">
        <f t="shared" si="14"/>
        <v>18</v>
      </c>
      <c r="X22" s="39">
        <f t="shared" si="14"/>
        <v>3</v>
      </c>
      <c r="Y22" s="39">
        <f t="shared" si="14"/>
        <v>23</v>
      </c>
      <c r="Z22" s="39">
        <f t="shared" si="14"/>
        <v>15</v>
      </c>
      <c r="AA22" s="39">
        <f t="shared" si="14"/>
        <v>4</v>
      </c>
      <c r="AB22" s="39">
        <f t="shared" si="14"/>
        <v>24</v>
      </c>
      <c r="AC22" s="39">
        <f t="shared" si="14"/>
        <v>2300</v>
      </c>
      <c r="AD22" s="39">
        <f t="shared" si="14"/>
        <v>0</v>
      </c>
      <c r="AE22" s="40">
        <f t="shared" si="14"/>
        <v>1121</v>
      </c>
      <c r="AF22" s="40">
        <f t="shared" si="14"/>
        <v>3421</v>
      </c>
    </row>
    <row r="23" spans="2:32" ht="23.1" customHeight="1" x14ac:dyDescent="0.25">
      <c r="B23" s="23" t="s">
        <v>50</v>
      </c>
      <c r="C23" s="50">
        <v>50</v>
      </c>
      <c r="D23" s="50">
        <v>11</v>
      </c>
      <c r="E23" s="50">
        <v>6</v>
      </c>
      <c r="F23" s="50">
        <v>81</v>
      </c>
      <c r="G23" s="50">
        <v>0</v>
      </c>
      <c r="H23" s="50">
        <v>2</v>
      </c>
      <c r="I23" s="50">
        <v>4</v>
      </c>
      <c r="J23" s="50">
        <v>2</v>
      </c>
      <c r="K23" s="50">
        <v>0</v>
      </c>
      <c r="L23" s="50">
        <v>4</v>
      </c>
      <c r="M23" s="50">
        <v>390</v>
      </c>
      <c r="N23" s="50">
        <v>0</v>
      </c>
      <c r="O23" s="15">
        <f t="shared" si="0"/>
        <v>160</v>
      </c>
      <c r="P23" s="15">
        <f t="shared" si="1"/>
        <v>550</v>
      </c>
      <c r="R23" s="38" t="s">
        <v>91</v>
      </c>
      <c r="S23" s="39">
        <f>MAX(S13:S18)</f>
        <v>228</v>
      </c>
      <c r="T23" s="39">
        <f t="shared" ref="T23:AF23" si="15">MAX(T13:T18)</f>
        <v>70</v>
      </c>
      <c r="U23" s="39">
        <f t="shared" si="15"/>
        <v>29</v>
      </c>
      <c r="V23" s="39">
        <f t="shared" si="15"/>
        <v>343</v>
      </c>
      <c r="W23" s="39">
        <f t="shared" si="15"/>
        <v>4</v>
      </c>
      <c r="X23" s="39">
        <f t="shared" si="15"/>
        <v>11</v>
      </c>
      <c r="Y23" s="39">
        <f t="shared" si="15"/>
        <v>29</v>
      </c>
      <c r="Z23" s="39">
        <f t="shared" si="15"/>
        <v>30</v>
      </c>
      <c r="AA23" s="39">
        <f t="shared" si="15"/>
        <v>13</v>
      </c>
      <c r="AB23" s="39">
        <f t="shared" si="15"/>
        <v>40</v>
      </c>
      <c r="AC23" s="39">
        <f t="shared" si="15"/>
        <v>1630</v>
      </c>
      <c r="AD23" s="39">
        <f t="shared" si="15"/>
        <v>0</v>
      </c>
      <c r="AE23" s="40">
        <f t="shared" si="15"/>
        <v>719</v>
      </c>
      <c r="AF23" s="40">
        <f t="shared" si="15"/>
        <v>2349</v>
      </c>
    </row>
    <row r="24" spans="2:32" ht="23.1" customHeight="1" x14ac:dyDescent="0.25">
      <c r="B24" s="23" t="s">
        <v>51</v>
      </c>
      <c r="C24" s="50">
        <v>55</v>
      </c>
      <c r="D24" s="50">
        <v>12</v>
      </c>
      <c r="E24" s="50">
        <v>10</v>
      </c>
      <c r="F24" s="50">
        <v>62</v>
      </c>
      <c r="G24" s="50">
        <v>0</v>
      </c>
      <c r="H24" s="50">
        <v>0</v>
      </c>
      <c r="I24" s="50">
        <v>6</v>
      </c>
      <c r="J24" s="50">
        <v>2</v>
      </c>
      <c r="K24" s="50">
        <v>0</v>
      </c>
      <c r="L24" s="50">
        <v>7</v>
      </c>
      <c r="M24" s="50">
        <v>395</v>
      </c>
      <c r="N24" s="50">
        <v>0</v>
      </c>
      <c r="O24" s="15">
        <f t="shared" si="0"/>
        <v>154</v>
      </c>
      <c r="P24" s="15">
        <f t="shared" si="1"/>
        <v>549</v>
      </c>
      <c r="R24" s="38" t="s">
        <v>92</v>
      </c>
      <c r="S24" s="39">
        <f>MAX(S19:S21)</f>
        <v>188</v>
      </c>
      <c r="T24" s="39">
        <f t="shared" ref="T24:AF24" si="16">MAX(T19:T21)</f>
        <v>76</v>
      </c>
      <c r="U24" s="39">
        <f t="shared" si="16"/>
        <v>23</v>
      </c>
      <c r="V24" s="39">
        <f t="shared" si="16"/>
        <v>223</v>
      </c>
      <c r="W24" s="39">
        <f t="shared" si="16"/>
        <v>9</v>
      </c>
      <c r="X24" s="39">
        <f t="shared" si="16"/>
        <v>8</v>
      </c>
      <c r="Y24" s="39">
        <f t="shared" si="16"/>
        <v>15</v>
      </c>
      <c r="Z24" s="39">
        <f t="shared" si="16"/>
        <v>31</v>
      </c>
      <c r="AA24" s="39">
        <f t="shared" si="16"/>
        <v>13</v>
      </c>
      <c r="AB24" s="39">
        <f t="shared" si="16"/>
        <v>13</v>
      </c>
      <c r="AC24" s="39">
        <f t="shared" si="16"/>
        <v>1498</v>
      </c>
      <c r="AD24" s="39">
        <f t="shared" si="16"/>
        <v>0</v>
      </c>
      <c r="AE24" s="40">
        <f t="shared" si="16"/>
        <v>541</v>
      </c>
      <c r="AF24" s="40">
        <f t="shared" si="16"/>
        <v>1994</v>
      </c>
    </row>
    <row r="25" spans="2:32" ht="23.1" customHeight="1" x14ac:dyDescent="0.25">
      <c r="B25" s="23" t="s">
        <v>52</v>
      </c>
      <c r="C25" s="50">
        <v>59</v>
      </c>
      <c r="D25" s="50">
        <v>21</v>
      </c>
      <c r="E25" s="50">
        <v>10</v>
      </c>
      <c r="F25" s="50">
        <v>93</v>
      </c>
      <c r="G25" s="50">
        <v>2</v>
      </c>
      <c r="H25" s="50">
        <v>0</v>
      </c>
      <c r="I25" s="50">
        <v>3</v>
      </c>
      <c r="J25" s="50">
        <v>2</v>
      </c>
      <c r="K25" s="50">
        <v>0</v>
      </c>
      <c r="L25" s="50">
        <v>3</v>
      </c>
      <c r="M25" s="50">
        <v>360</v>
      </c>
      <c r="N25" s="50">
        <v>0</v>
      </c>
      <c r="O25" s="15">
        <f t="shared" si="0"/>
        <v>193</v>
      </c>
      <c r="P25" s="15">
        <f t="shared" si="1"/>
        <v>553</v>
      </c>
      <c r="R25" s="37" t="s">
        <v>85</v>
      </c>
      <c r="S25" s="35">
        <f t="shared" ref="S25:AF25" si="17">SUM(S10:S12)</f>
        <v>1354</v>
      </c>
      <c r="T25" s="16">
        <f t="shared" si="17"/>
        <v>263</v>
      </c>
      <c r="U25" s="16">
        <f t="shared" si="17"/>
        <v>155</v>
      </c>
      <c r="V25" s="16">
        <f t="shared" si="17"/>
        <v>947</v>
      </c>
      <c r="W25" s="16">
        <f t="shared" si="17"/>
        <v>28</v>
      </c>
      <c r="X25" s="16">
        <f t="shared" si="17"/>
        <v>4</v>
      </c>
      <c r="Y25" s="16">
        <f t="shared" si="17"/>
        <v>44</v>
      </c>
      <c r="Z25" s="16">
        <f t="shared" si="17"/>
        <v>30</v>
      </c>
      <c r="AA25" s="16">
        <f t="shared" si="17"/>
        <v>11</v>
      </c>
      <c r="AB25" s="16">
        <f t="shared" si="17"/>
        <v>36</v>
      </c>
      <c r="AC25" s="16">
        <f t="shared" si="17"/>
        <v>6165</v>
      </c>
      <c r="AD25" s="16">
        <f t="shared" si="17"/>
        <v>0</v>
      </c>
      <c r="AE25" s="32">
        <f t="shared" si="17"/>
        <v>2872</v>
      </c>
      <c r="AF25" s="32">
        <f t="shared" si="17"/>
        <v>9037</v>
      </c>
    </row>
    <row r="26" spans="2:32" ht="23.1" customHeight="1" x14ac:dyDescent="0.25">
      <c r="B26" s="23" t="s">
        <v>53</v>
      </c>
      <c r="C26" s="50">
        <v>50</v>
      </c>
      <c r="D26" s="50">
        <v>25</v>
      </c>
      <c r="E26" s="50">
        <v>7</v>
      </c>
      <c r="F26" s="50">
        <v>82</v>
      </c>
      <c r="G26" s="50">
        <v>2</v>
      </c>
      <c r="H26" s="50">
        <v>1</v>
      </c>
      <c r="I26" s="50">
        <v>3</v>
      </c>
      <c r="J26" s="50">
        <v>0</v>
      </c>
      <c r="K26" s="50">
        <v>0</v>
      </c>
      <c r="L26" s="50">
        <v>5</v>
      </c>
      <c r="M26" s="50">
        <v>390</v>
      </c>
      <c r="N26" s="50">
        <v>0</v>
      </c>
      <c r="O26" s="15">
        <f t="shared" si="0"/>
        <v>175</v>
      </c>
      <c r="P26" s="15">
        <f t="shared" si="1"/>
        <v>565</v>
      </c>
      <c r="R26" s="28" t="s">
        <v>86</v>
      </c>
      <c r="S26" s="16">
        <f t="shared" ref="S26:AF26" si="18">SUM(S13:S18)</f>
        <v>1157</v>
      </c>
      <c r="T26" s="16">
        <f t="shared" si="18"/>
        <v>345</v>
      </c>
      <c r="U26" s="16">
        <f t="shared" si="18"/>
        <v>136</v>
      </c>
      <c r="V26" s="16">
        <f t="shared" si="18"/>
        <v>1452</v>
      </c>
      <c r="W26" s="16">
        <f t="shared" si="18"/>
        <v>18</v>
      </c>
      <c r="X26" s="16">
        <f t="shared" si="18"/>
        <v>26</v>
      </c>
      <c r="Y26" s="16">
        <f t="shared" si="18"/>
        <v>130</v>
      </c>
      <c r="Z26" s="16">
        <f t="shared" si="18"/>
        <v>111</v>
      </c>
      <c r="AA26" s="16">
        <f t="shared" si="18"/>
        <v>35</v>
      </c>
      <c r="AB26" s="16">
        <f t="shared" si="18"/>
        <v>138</v>
      </c>
      <c r="AC26" s="16">
        <f t="shared" si="18"/>
        <v>7785</v>
      </c>
      <c r="AD26" s="16">
        <f t="shared" si="18"/>
        <v>0</v>
      </c>
      <c r="AE26" s="32">
        <f t="shared" si="18"/>
        <v>3548</v>
      </c>
      <c r="AF26" s="32">
        <f t="shared" si="18"/>
        <v>11333</v>
      </c>
    </row>
    <row r="27" spans="2:32" ht="23.1" customHeight="1" x14ac:dyDescent="0.25">
      <c r="B27" s="23" t="s">
        <v>54</v>
      </c>
      <c r="C27" s="50">
        <v>53</v>
      </c>
      <c r="D27" s="50">
        <v>18</v>
      </c>
      <c r="E27" s="50">
        <v>7</v>
      </c>
      <c r="F27" s="50">
        <v>46</v>
      </c>
      <c r="G27" s="50">
        <v>1</v>
      </c>
      <c r="H27" s="50">
        <v>0</v>
      </c>
      <c r="I27" s="50">
        <v>1</v>
      </c>
      <c r="J27" s="50">
        <v>1</v>
      </c>
      <c r="K27" s="50">
        <v>1</v>
      </c>
      <c r="L27" s="50">
        <v>5</v>
      </c>
      <c r="M27" s="50">
        <v>265</v>
      </c>
      <c r="N27" s="50">
        <v>0</v>
      </c>
      <c r="O27" s="15">
        <f t="shared" si="0"/>
        <v>133</v>
      </c>
      <c r="P27" s="15">
        <f t="shared" si="1"/>
        <v>398</v>
      </c>
      <c r="R27" s="29" t="s">
        <v>87</v>
      </c>
      <c r="S27" s="16">
        <f t="shared" ref="S27:AF27" si="19">SUM(S19:S21)</f>
        <v>515</v>
      </c>
      <c r="T27" s="16">
        <f t="shared" si="19"/>
        <v>174</v>
      </c>
      <c r="U27" s="16">
        <f t="shared" si="19"/>
        <v>58</v>
      </c>
      <c r="V27" s="16">
        <f t="shared" si="19"/>
        <v>606</v>
      </c>
      <c r="W27" s="16">
        <f t="shared" si="19"/>
        <v>19</v>
      </c>
      <c r="X27" s="16">
        <f t="shared" si="19"/>
        <v>13</v>
      </c>
      <c r="Y27" s="16">
        <f t="shared" si="19"/>
        <v>40</v>
      </c>
      <c r="Z27" s="16">
        <f t="shared" si="19"/>
        <v>68</v>
      </c>
      <c r="AA27" s="16">
        <f t="shared" si="19"/>
        <v>28</v>
      </c>
      <c r="AB27" s="16">
        <f t="shared" si="19"/>
        <v>27</v>
      </c>
      <c r="AC27" s="16">
        <f t="shared" si="19"/>
        <v>3936</v>
      </c>
      <c r="AD27" s="16">
        <f t="shared" si="19"/>
        <v>0</v>
      </c>
      <c r="AE27" s="32">
        <f t="shared" si="19"/>
        <v>1548</v>
      </c>
      <c r="AF27" s="32">
        <f t="shared" si="19"/>
        <v>5484</v>
      </c>
    </row>
    <row r="28" spans="2:32" ht="23.1" customHeight="1" x14ac:dyDescent="0.25">
      <c r="B28" s="23" t="s">
        <v>55</v>
      </c>
      <c r="C28" s="50">
        <v>60</v>
      </c>
      <c r="D28" s="50">
        <v>14</v>
      </c>
      <c r="E28" s="50">
        <v>5</v>
      </c>
      <c r="F28" s="50">
        <v>57</v>
      </c>
      <c r="G28" s="50">
        <v>1</v>
      </c>
      <c r="H28" s="50">
        <v>1</v>
      </c>
      <c r="I28" s="50">
        <v>7</v>
      </c>
      <c r="J28" s="50">
        <v>5</v>
      </c>
      <c r="K28" s="50">
        <v>4</v>
      </c>
      <c r="L28" s="50">
        <v>6</v>
      </c>
      <c r="M28" s="50">
        <v>390</v>
      </c>
      <c r="N28" s="50">
        <v>0</v>
      </c>
      <c r="O28" s="15">
        <f t="shared" si="0"/>
        <v>160</v>
      </c>
      <c r="P28" s="15">
        <f t="shared" si="1"/>
        <v>550</v>
      </c>
      <c r="R28" s="5" t="s">
        <v>17</v>
      </c>
      <c r="S28" s="16">
        <f t="shared" ref="S28:AF28" si="20">SUM(S10:S21)</f>
        <v>3026</v>
      </c>
      <c r="T28" s="16">
        <f t="shared" si="20"/>
        <v>782</v>
      </c>
      <c r="U28" s="16">
        <f t="shared" si="20"/>
        <v>349</v>
      </c>
      <c r="V28" s="16">
        <f t="shared" si="20"/>
        <v>3005</v>
      </c>
      <c r="W28" s="16">
        <f t="shared" si="20"/>
        <v>65</v>
      </c>
      <c r="X28" s="16">
        <f t="shared" si="20"/>
        <v>43</v>
      </c>
      <c r="Y28" s="16">
        <f t="shared" si="20"/>
        <v>214</v>
      </c>
      <c r="Z28" s="16">
        <f t="shared" si="20"/>
        <v>209</v>
      </c>
      <c r="AA28" s="16">
        <f t="shared" si="20"/>
        <v>74</v>
      </c>
      <c r="AB28" s="16">
        <f t="shared" si="20"/>
        <v>201</v>
      </c>
      <c r="AC28" s="16">
        <f t="shared" si="20"/>
        <v>17886</v>
      </c>
      <c r="AD28" s="16">
        <f t="shared" si="20"/>
        <v>0</v>
      </c>
      <c r="AE28" s="32">
        <f t="shared" si="20"/>
        <v>7968</v>
      </c>
      <c r="AF28" s="32">
        <f t="shared" si="20"/>
        <v>25854</v>
      </c>
    </row>
    <row r="29" spans="2:32" ht="23.1" customHeight="1" x14ac:dyDescent="0.25">
      <c r="B29" s="23" t="s">
        <v>56</v>
      </c>
      <c r="C29" s="50">
        <v>44</v>
      </c>
      <c r="D29" s="50">
        <v>11</v>
      </c>
      <c r="E29" s="50">
        <v>2</v>
      </c>
      <c r="F29" s="50">
        <v>47</v>
      </c>
      <c r="G29" s="50">
        <v>0</v>
      </c>
      <c r="H29" s="50">
        <v>0</v>
      </c>
      <c r="I29" s="50">
        <v>3</v>
      </c>
      <c r="J29" s="50">
        <v>4</v>
      </c>
      <c r="K29" s="50">
        <v>0</v>
      </c>
      <c r="L29" s="50">
        <v>2</v>
      </c>
      <c r="M29" s="50">
        <v>255</v>
      </c>
      <c r="N29" s="50">
        <v>0</v>
      </c>
      <c r="O29" s="15">
        <f t="shared" si="0"/>
        <v>113</v>
      </c>
      <c r="P29" s="15">
        <f t="shared" si="1"/>
        <v>368</v>
      </c>
      <c r="R29"/>
      <c r="S29" s="20"/>
      <c r="T29" s="19"/>
    </row>
    <row r="30" spans="2:32" ht="23.1" customHeight="1" x14ac:dyDescent="0.25">
      <c r="B30" s="23" t="s">
        <v>57</v>
      </c>
      <c r="C30" s="50">
        <v>45</v>
      </c>
      <c r="D30" s="50">
        <v>12</v>
      </c>
      <c r="E30" s="50">
        <v>2</v>
      </c>
      <c r="F30" s="50">
        <v>60</v>
      </c>
      <c r="G30" s="50">
        <v>1</v>
      </c>
      <c r="H30" s="50">
        <v>2</v>
      </c>
      <c r="I30" s="50">
        <v>6</v>
      </c>
      <c r="J30" s="50">
        <v>4</v>
      </c>
      <c r="K30" s="50">
        <v>2</v>
      </c>
      <c r="L30" s="50">
        <v>4</v>
      </c>
      <c r="M30" s="50">
        <v>250</v>
      </c>
      <c r="N30" s="50">
        <v>0</v>
      </c>
      <c r="O30" s="15">
        <f t="shared" si="0"/>
        <v>138</v>
      </c>
      <c r="P30" s="15">
        <f t="shared" si="1"/>
        <v>388</v>
      </c>
    </row>
    <row r="31" spans="2:32" ht="23.1" customHeight="1" x14ac:dyDescent="0.25">
      <c r="B31" s="24" t="s">
        <v>58</v>
      </c>
      <c r="C31" s="50">
        <v>38</v>
      </c>
      <c r="D31" s="50">
        <v>7</v>
      </c>
      <c r="E31" s="50">
        <v>4</v>
      </c>
      <c r="F31" s="50">
        <v>72</v>
      </c>
      <c r="G31" s="50">
        <v>1</v>
      </c>
      <c r="H31" s="50">
        <v>1</v>
      </c>
      <c r="I31" s="50">
        <v>10</v>
      </c>
      <c r="J31" s="50">
        <v>5</v>
      </c>
      <c r="K31" s="50">
        <v>3</v>
      </c>
      <c r="L31" s="50">
        <v>5</v>
      </c>
      <c r="M31" s="50">
        <v>285</v>
      </c>
      <c r="N31" s="50">
        <v>0</v>
      </c>
      <c r="O31" s="15">
        <f t="shared" si="0"/>
        <v>146</v>
      </c>
      <c r="P31" s="15">
        <f t="shared" si="1"/>
        <v>431</v>
      </c>
    </row>
    <row r="32" spans="2:32" ht="23.1" customHeight="1" x14ac:dyDescent="0.25">
      <c r="B32" s="24" t="s">
        <v>59</v>
      </c>
      <c r="C32" s="50">
        <v>44</v>
      </c>
      <c r="D32" s="50">
        <v>9</v>
      </c>
      <c r="E32" s="50">
        <v>1</v>
      </c>
      <c r="F32" s="50">
        <v>61</v>
      </c>
      <c r="G32" s="50">
        <v>1</v>
      </c>
      <c r="H32" s="50">
        <v>0</v>
      </c>
      <c r="I32" s="50">
        <v>8</v>
      </c>
      <c r="J32" s="50">
        <v>5</v>
      </c>
      <c r="K32" s="50">
        <v>1</v>
      </c>
      <c r="L32" s="50">
        <v>3</v>
      </c>
      <c r="M32" s="50">
        <v>305</v>
      </c>
      <c r="N32" s="50">
        <v>0</v>
      </c>
      <c r="O32" s="15">
        <f t="shared" si="0"/>
        <v>133</v>
      </c>
      <c r="P32" s="15">
        <f t="shared" si="1"/>
        <v>438</v>
      </c>
    </row>
    <row r="33" spans="2:20" ht="23.1" customHeight="1" x14ac:dyDescent="0.25">
      <c r="B33" s="23" t="s">
        <v>60</v>
      </c>
      <c r="C33" s="50">
        <v>32</v>
      </c>
      <c r="D33" s="50">
        <v>9</v>
      </c>
      <c r="E33" s="50">
        <v>4</v>
      </c>
      <c r="F33" s="50">
        <v>36</v>
      </c>
      <c r="G33" s="50">
        <v>0</v>
      </c>
      <c r="H33" s="50">
        <v>1</v>
      </c>
      <c r="I33" s="50">
        <v>5</v>
      </c>
      <c r="J33" s="50">
        <v>6</v>
      </c>
      <c r="K33" s="50">
        <v>2</v>
      </c>
      <c r="L33" s="50">
        <v>5</v>
      </c>
      <c r="M33" s="50">
        <v>320</v>
      </c>
      <c r="N33" s="50">
        <v>0</v>
      </c>
      <c r="O33" s="15">
        <f t="shared" si="0"/>
        <v>100</v>
      </c>
      <c r="P33" s="15">
        <f t="shared" si="1"/>
        <v>420</v>
      </c>
    </row>
    <row r="34" spans="2:20" ht="23.1" customHeight="1" x14ac:dyDescent="0.25">
      <c r="B34" s="24" t="s">
        <v>61</v>
      </c>
      <c r="C34" s="50">
        <v>36</v>
      </c>
      <c r="D34" s="50">
        <v>11</v>
      </c>
      <c r="E34" s="50">
        <v>5</v>
      </c>
      <c r="F34" s="50">
        <v>56</v>
      </c>
      <c r="G34" s="50">
        <v>0</v>
      </c>
      <c r="H34" s="50">
        <v>0</v>
      </c>
      <c r="I34" s="50">
        <v>7</v>
      </c>
      <c r="J34" s="50">
        <v>3</v>
      </c>
      <c r="K34" s="50">
        <v>1</v>
      </c>
      <c r="L34" s="50">
        <v>1</v>
      </c>
      <c r="M34" s="50">
        <v>420</v>
      </c>
      <c r="N34" s="50">
        <v>0</v>
      </c>
      <c r="O34" s="15">
        <f t="shared" si="0"/>
        <v>120</v>
      </c>
      <c r="P34" s="15">
        <f t="shared" si="1"/>
        <v>540</v>
      </c>
    </row>
    <row r="35" spans="2:20" ht="23.1" customHeight="1" x14ac:dyDescent="0.25">
      <c r="B35" s="24" t="s">
        <v>62</v>
      </c>
      <c r="C35" s="50">
        <v>40</v>
      </c>
      <c r="D35" s="50">
        <v>15</v>
      </c>
      <c r="E35" s="50">
        <v>4</v>
      </c>
      <c r="F35" s="50">
        <v>42</v>
      </c>
      <c r="G35" s="50">
        <v>0</v>
      </c>
      <c r="H35" s="50">
        <v>2</v>
      </c>
      <c r="I35" s="50">
        <v>7</v>
      </c>
      <c r="J35" s="50">
        <v>8</v>
      </c>
      <c r="K35" s="50">
        <v>2</v>
      </c>
      <c r="L35" s="50">
        <v>8</v>
      </c>
      <c r="M35" s="50">
        <v>320</v>
      </c>
      <c r="N35" s="50">
        <v>0</v>
      </c>
      <c r="O35" s="15">
        <f t="shared" si="0"/>
        <v>128</v>
      </c>
      <c r="P35" s="15">
        <f t="shared" si="1"/>
        <v>448</v>
      </c>
    </row>
    <row r="36" spans="2:20" ht="23.1" customHeight="1" x14ac:dyDescent="0.25">
      <c r="B36" s="24" t="s">
        <v>63</v>
      </c>
      <c r="C36" s="50">
        <v>50</v>
      </c>
      <c r="D36" s="50">
        <v>16</v>
      </c>
      <c r="E36" s="50">
        <v>7</v>
      </c>
      <c r="F36" s="50">
        <v>88</v>
      </c>
      <c r="G36" s="50">
        <v>0</v>
      </c>
      <c r="H36" s="50">
        <v>0</v>
      </c>
      <c r="I36" s="50">
        <v>5</v>
      </c>
      <c r="J36" s="50">
        <v>5</v>
      </c>
      <c r="K36" s="50">
        <v>2</v>
      </c>
      <c r="L36" s="50">
        <v>3</v>
      </c>
      <c r="M36" s="50">
        <v>335</v>
      </c>
      <c r="N36" s="50">
        <v>0</v>
      </c>
      <c r="O36" s="15">
        <f t="shared" si="0"/>
        <v>176</v>
      </c>
      <c r="P36" s="15">
        <f t="shared" si="1"/>
        <v>511</v>
      </c>
    </row>
    <row r="37" spans="2:20" ht="23.1" customHeight="1" x14ac:dyDescent="0.25">
      <c r="B37" s="23" t="s">
        <v>64</v>
      </c>
      <c r="C37" s="50">
        <v>50</v>
      </c>
      <c r="D37" s="50">
        <v>13</v>
      </c>
      <c r="E37" s="50">
        <v>11</v>
      </c>
      <c r="F37" s="50">
        <v>32</v>
      </c>
      <c r="G37" s="50">
        <v>2</v>
      </c>
      <c r="H37" s="50">
        <v>0</v>
      </c>
      <c r="I37" s="50">
        <v>3</v>
      </c>
      <c r="J37" s="50">
        <v>5</v>
      </c>
      <c r="K37" s="50">
        <v>0</v>
      </c>
      <c r="L37" s="50">
        <v>8</v>
      </c>
      <c r="M37" s="50">
        <v>275</v>
      </c>
      <c r="N37" s="50">
        <v>0</v>
      </c>
      <c r="O37" s="15">
        <f t="shared" si="0"/>
        <v>124</v>
      </c>
      <c r="P37" s="15">
        <f t="shared" si="1"/>
        <v>399</v>
      </c>
    </row>
    <row r="38" spans="2:20" ht="23.1" customHeight="1" x14ac:dyDescent="0.25">
      <c r="B38" s="24" t="s">
        <v>65</v>
      </c>
      <c r="C38" s="50">
        <v>51</v>
      </c>
      <c r="D38" s="50">
        <v>17</v>
      </c>
      <c r="E38" s="50">
        <v>11</v>
      </c>
      <c r="F38" s="50">
        <v>55</v>
      </c>
      <c r="G38" s="50">
        <v>1</v>
      </c>
      <c r="H38" s="50">
        <v>3</v>
      </c>
      <c r="I38" s="50">
        <v>5</v>
      </c>
      <c r="J38" s="50">
        <v>4</v>
      </c>
      <c r="K38" s="50">
        <v>0</v>
      </c>
      <c r="L38" s="50">
        <v>13</v>
      </c>
      <c r="M38" s="50">
        <v>250</v>
      </c>
      <c r="N38" s="50">
        <v>0</v>
      </c>
      <c r="O38" s="15">
        <f t="shared" si="0"/>
        <v>160</v>
      </c>
      <c r="P38" s="15">
        <f t="shared" si="1"/>
        <v>410</v>
      </c>
    </row>
    <row r="39" spans="2:20" ht="23.1" customHeight="1" x14ac:dyDescent="0.25">
      <c r="B39" s="24" t="s">
        <v>66</v>
      </c>
      <c r="C39" s="50">
        <v>40</v>
      </c>
      <c r="D39" s="50">
        <v>11</v>
      </c>
      <c r="E39" s="50">
        <v>4</v>
      </c>
      <c r="F39" s="50">
        <v>81</v>
      </c>
      <c r="G39" s="50">
        <v>0</v>
      </c>
      <c r="H39" s="50">
        <v>5</v>
      </c>
      <c r="I39" s="50">
        <v>8</v>
      </c>
      <c r="J39" s="50">
        <v>2</v>
      </c>
      <c r="K39" s="50">
        <v>1</v>
      </c>
      <c r="L39" s="50">
        <v>1</v>
      </c>
      <c r="M39" s="50">
        <v>280</v>
      </c>
      <c r="N39" s="50">
        <v>0</v>
      </c>
      <c r="O39" s="15">
        <f t="shared" si="0"/>
        <v>153</v>
      </c>
      <c r="P39" s="15">
        <f t="shared" si="1"/>
        <v>433</v>
      </c>
    </row>
    <row r="40" spans="2:20" ht="23.1" customHeight="1" x14ac:dyDescent="0.25">
      <c r="B40" s="24" t="s">
        <v>67</v>
      </c>
      <c r="C40" s="50">
        <v>44</v>
      </c>
      <c r="D40" s="50">
        <v>14</v>
      </c>
      <c r="E40" s="50">
        <v>6</v>
      </c>
      <c r="F40" s="50">
        <v>46</v>
      </c>
      <c r="G40" s="50">
        <v>0</v>
      </c>
      <c r="H40" s="50">
        <v>2</v>
      </c>
      <c r="I40" s="50">
        <v>3</v>
      </c>
      <c r="J40" s="50">
        <v>2</v>
      </c>
      <c r="K40" s="50">
        <v>1</v>
      </c>
      <c r="L40" s="50">
        <v>5</v>
      </c>
      <c r="M40" s="50">
        <v>285</v>
      </c>
      <c r="N40" s="50">
        <v>0</v>
      </c>
      <c r="O40" s="15">
        <f t="shared" si="0"/>
        <v>123</v>
      </c>
      <c r="P40" s="15">
        <f t="shared" si="1"/>
        <v>408</v>
      </c>
    </row>
    <row r="41" spans="2:20" ht="23.1" customHeight="1" x14ac:dyDescent="0.25">
      <c r="B41" s="23" t="s">
        <v>68</v>
      </c>
      <c r="C41" s="50">
        <v>50</v>
      </c>
      <c r="D41" s="50">
        <v>14</v>
      </c>
      <c r="E41" s="50">
        <v>3</v>
      </c>
      <c r="F41" s="50">
        <v>54</v>
      </c>
      <c r="G41" s="50">
        <v>1</v>
      </c>
      <c r="H41" s="50">
        <v>1</v>
      </c>
      <c r="I41" s="50">
        <v>11</v>
      </c>
      <c r="J41" s="50">
        <v>11</v>
      </c>
      <c r="K41" s="50">
        <v>1</v>
      </c>
      <c r="L41" s="50">
        <v>8</v>
      </c>
      <c r="M41" s="50">
        <v>290</v>
      </c>
      <c r="N41" s="50">
        <v>0</v>
      </c>
      <c r="O41" s="15">
        <f t="shared" si="0"/>
        <v>154</v>
      </c>
      <c r="P41" s="15">
        <f t="shared" si="1"/>
        <v>444</v>
      </c>
    </row>
    <row r="42" spans="2:20" ht="23.1" customHeight="1" x14ac:dyDescent="0.25">
      <c r="B42" s="24" t="s">
        <v>69</v>
      </c>
      <c r="C42" s="50">
        <v>41</v>
      </c>
      <c r="D42" s="50">
        <v>15</v>
      </c>
      <c r="E42" s="50">
        <v>8</v>
      </c>
      <c r="F42" s="50">
        <v>37</v>
      </c>
      <c r="G42" s="50">
        <v>2</v>
      </c>
      <c r="H42" s="50">
        <v>0</v>
      </c>
      <c r="I42" s="50">
        <v>6</v>
      </c>
      <c r="J42" s="50">
        <v>7</v>
      </c>
      <c r="K42" s="50">
        <v>3</v>
      </c>
      <c r="L42" s="50">
        <v>12</v>
      </c>
      <c r="M42" s="50">
        <v>320</v>
      </c>
      <c r="N42" s="50">
        <v>0</v>
      </c>
      <c r="O42" s="15">
        <f t="shared" si="0"/>
        <v>131</v>
      </c>
      <c r="P42" s="15">
        <f t="shared" si="1"/>
        <v>451</v>
      </c>
    </row>
    <row r="43" spans="2:20" ht="23.1" customHeight="1" x14ac:dyDescent="0.25">
      <c r="B43" s="23" t="s">
        <v>70</v>
      </c>
      <c r="C43" s="50">
        <v>48</v>
      </c>
      <c r="D43" s="50">
        <v>16</v>
      </c>
      <c r="E43" s="50">
        <v>5</v>
      </c>
      <c r="F43" s="50">
        <v>43</v>
      </c>
      <c r="G43" s="50">
        <v>1</v>
      </c>
      <c r="H43" s="50">
        <v>2</v>
      </c>
      <c r="I43" s="50">
        <v>5</v>
      </c>
      <c r="J43" s="50">
        <v>7</v>
      </c>
      <c r="K43" s="50">
        <v>1</v>
      </c>
      <c r="L43" s="50">
        <v>11</v>
      </c>
      <c r="M43" s="50">
        <v>270</v>
      </c>
      <c r="N43" s="50">
        <v>0</v>
      </c>
      <c r="O43" s="15">
        <f t="shared" si="0"/>
        <v>139</v>
      </c>
      <c r="P43" s="15">
        <f t="shared" si="1"/>
        <v>409</v>
      </c>
    </row>
    <row r="44" spans="2:20" ht="23.1" customHeight="1" x14ac:dyDescent="0.25">
      <c r="B44" s="25" t="s">
        <v>71</v>
      </c>
      <c r="C44" s="50">
        <v>63</v>
      </c>
      <c r="D44" s="50">
        <v>12</v>
      </c>
      <c r="E44" s="50">
        <v>7</v>
      </c>
      <c r="F44" s="50">
        <v>67</v>
      </c>
      <c r="G44" s="50">
        <v>0</v>
      </c>
      <c r="H44" s="50">
        <v>2</v>
      </c>
      <c r="I44" s="50">
        <v>8</v>
      </c>
      <c r="J44" s="50">
        <v>9</v>
      </c>
      <c r="K44" s="50">
        <v>5</v>
      </c>
      <c r="L44" s="50">
        <v>11</v>
      </c>
      <c r="M44" s="50">
        <v>255</v>
      </c>
      <c r="N44" s="50">
        <v>0</v>
      </c>
      <c r="O44" s="15">
        <f t="shared" si="0"/>
        <v>184</v>
      </c>
      <c r="P44" s="15">
        <f t="shared" si="1"/>
        <v>439</v>
      </c>
    </row>
    <row r="45" spans="2:20" ht="23.1" customHeight="1" x14ac:dyDescent="0.25">
      <c r="B45" s="23" t="s">
        <v>72</v>
      </c>
      <c r="C45" s="50">
        <v>50</v>
      </c>
      <c r="D45" s="50">
        <v>16</v>
      </c>
      <c r="E45" s="50">
        <v>4</v>
      </c>
      <c r="F45" s="50">
        <v>47</v>
      </c>
      <c r="G45" s="50">
        <v>1</v>
      </c>
      <c r="H45" s="50">
        <v>1</v>
      </c>
      <c r="I45" s="50">
        <v>3</v>
      </c>
      <c r="J45" s="50">
        <v>7</v>
      </c>
      <c r="K45" s="50">
        <v>4</v>
      </c>
      <c r="L45" s="50">
        <v>6</v>
      </c>
      <c r="M45" s="50">
        <v>395</v>
      </c>
      <c r="N45" s="50">
        <v>0</v>
      </c>
      <c r="O45" s="15">
        <f t="shared" si="0"/>
        <v>139</v>
      </c>
      <c r="P45" s="15">
        <f t="shared" si="1"/>
        <v>534</v>
      </c>
    </row>
    <row r="46" spans="2:20" ht="23.1" customHeight="1" x14ac:dyDescent="0.25">
      <c r="B46" s="24" t="s">
        <v>73</v>
      </c>
      <c r="C46" s="50">
        <v>47</v>
      </c>
      <c r="D46" s="50">
        <v>16</v>
      </c>
      <c r="E46" s="50">
        <v>8</v>
      </c>
      <c r="F46" s="50">
        <v>33</v>
      </c>
      <c r="G46" s="50">
        <v>2</v>
      </c>
      <c r="H46" s="50">
        <v>1</v>
      </c>
      <c r="I46" s="50">
        <v>3</v>
      </c>
      <c r="J46" s="50">
        <v>7</v>
      </c>
      <c r="K46" s="50">
        <v>5</v>
      </c>
      <c r="L46" s="50">
        <v>3</v>
      </c>
      <c r="M46" s="50">
        <v>275</v>
      </c>
      <c r="N46" s="50">
        <v>0</v>
      </c>
      <c r="O46" s="15">
        <f t="shared" si="0"/>
        <v>125</v>
      </c>
      <c r="P46" s="15">
        <f t="shared" si="1"/>
        <v>400</v>
      </c>
      <c r="R46" s="8"/>
      <c r="T46"/>
    </row>
    <row r="47" spans="2:20" ht="23.1" customHeight="1" x14ac:dyDescent="0.25">
      <c r="B47" s="24" t="s">
        <v>74</v>
      </c>
      <c r="C47" s="50">
        <v>41</v>
      </c>
      <c r="D47" s="50">
        <v>7</v>
      </c>
      <c r="E47" s="50">
        <v>2</v>
      </c>
      <c r="F47" s="50">
        <v>41</v>
      </c>
      <c r="G47" s="50">
        <v>1</v>
      </c>
      <c r="H47" s="50">
        <v>1</v>
      </c>
      <c r="I47" s="50">
        <v>3</v>
      </c>
      <c r="J47" s="50">
        <v>6</v>
      </c>
      <c r="K47" s="50">
        <v>4</v>
      </c>
      <c r="L47" s="50">
        <v>3</v>
      </c>
      <c r="M47" s="50">
        <v>270</v>
      </c>
      <c r="N47" s="50">
        <v>0</v>
      </c>
      <c r="O47" s="15">
        <f t="shared" si="0"/>
        <v>109</v>
      </c>
      <c r="P47" s="15">
        <f t="shared" si="1"/>
        <v>379</v>
      </c>
      <c r="R47" s="8"/>
      <c r="T47"/>
    </row>
    <row r="48" spans="2:20" ht="23.1" customHeight="1" x14ac:dyDescent="0.25">
      <c r="B48" s="24" t="s">
        <v>75</v>
      </c>
      <c r="C48" s="50">
        <v>44</v>
      </c>
      <c r="D48" s="50">
        <v>18</v>
      </c>
      <c r="E48" s="50">
        <v>5</v>
      </c>
      <c r="F48" s="50">
        <v>55</v>
      </c>
      <c r="G48" s="50">
        <v>2</v>
      </c>
      <c r="H48" s="50">
        <v>3</v>
      </c>
      <c r="I48" s="50">
        <v>5</v>
      </c>
      <c r="J48" s="50">
        <v>6</v>
      </c>
      <c r="K48" s="50">
        <v>3</v>
      </c>
      <c r="L48" s="50">
        <v>1</v>
      </c>
      <c r="M48" s="50">
        <v>285</v>
      </c>
      <c r="N48" s="50">
        <v>0</v>
      </c>
      <c r="O48" s="15">
        <f t="shared" si="0"/>
        <v>142</v>
      </c>
      <c r="P48" s="15">
        <f t="shared" si="1"/>
        <v>427</v>
      </c>
      <c r="R48" s="8"/>
      <c r="T48"/>
    </row>
    <row r="49" spans="2:20" ht="23.1" customHeight="1" x14ac:dyDescent="0.25">
      <c r="B49" s="23" t="s">
        <v>76</v>
      </c>
      <c r="C49" s="50">
        <v>41</v>
      </c>
      <c r="D49" s="50">
        <v>17</v>
      </c>
      <c r="E49" s="50">
        <v>8</v>
      </c>
      <c r="F49" s="50">
        <v>47</v>
      </c>
      <c r="G49" s="50">
        <v>3</v>
      </c>
      <c r="H49" s="50">
        <v>0</v>
      </c>
      <c r="I49" s="50">
        <v>4</v>
      </c>
      <c r="J49" s="50">
        <v>12</v>
      </c>
      <c r="K49" s="50">
        <v>1</v>
      </c>
      <c r="L49" s="50">
        <v>2</v>
      </c>
      <c r="M49" s="50">
        <v>255</v>
      </c>
      <c r="N49" s="50">
        <v>0</v>
      </c>
      <c r="O49" s="15">
        <f t="shared" si="0"/>
        <v>135</v>
      </c>
      <c r="P49" s="15">
        <f t="shared" si="1"/>
        <v>390</v>
      </c>
      <c r="R49" s="8"/>
      <c r="T49"/>
    </row>
    <row r="50" spans="2:20" ht="23.1" customHeight="1" x14ac:dyDescent="0.25">
      <c r="B50" s="24" t="s">
        <v>77</v>
      </c>
      <c r="C50" s="50">
        <v>48</v>
      </c>
      <c r="D50" s="50">
        <v>17</v>
      </c>
      <c r="E50" s="50">
        <v>7</v>
      </c>
      <c r="F50" s="50">
        <v>42</v>
      </c>
      <c r="G50" s="50">
        <v>1</v>
      </c>
      <c r="H50" s="50">
        <v>1</v>
      </c>
      <c r="I50" s="50">
        <v>3</v>
      </c>
      <c r="J50" s="50">
        <v>6</v>
      </c>
      <c r="K50" s="50">
        <v>2</v>
      </c>
      <c r="L50" s="50">
        <v>0</v>
      </c>
      <c r="M50" s="50">
        <v>358</v>
      </c>
      <c r="N50" s="50">
        <v>0</v>
      </c>
      <c r="O50" s="15">
        <f t="shared" si="0"/>
        <v>127</v>
      </c>
      <c r="P50" s="15">
        <f t="shared" si="1"/>
        <v>485</v>
      </c>
      <c r="R50" s="8"/>
      <c r="T50"/>
    </row>
    <row r="51" spans="2:20" ht="23.1" customHeight="1" x14ac:dyDescent="0.25">
      <c r="B51" s="24" t="s">
        <v>78</v>
      </c>
      <c r="C51" s="50">
        <v>65</v>
      </c>
      <c r="D51" s="50">
        <v>22</v>
      </c>
      <c r="E51" s="50">
        <v>3</v>
      </c>
      <c r="F51" s="50">
        <v>69</v>
      </c>
      <c r="G51" s="50">
        <v>0</v>
      </c>
      <c r="H51" s="50">
        <v>1</v>
      </c>
      <c r="I51" s="50">
        <v>1</v>
      </c>
      <c r="J51" s="50">
        <v>3</v>
      </c>
      <c r="K51" s="50">
        <v>3</v>
      </c>
      <c r="L51" s="50">
        <v>0</v>
      </c>
      <c r="M51" s="50">
        <v>315</v>
      </c>
      <c r="N51" s="50">
        <v>0</v>
      </c>
      <c r="O51" s="15">
        <f t="shared" si="0"/>
        <v>167</v>
      </c>
      <c r="P51" s="15">
        <f t="shared" si="1"/>
        <v>482</v>
      </c>
      <c r="R51" s="8"/>
      <c r="T51"/>
    </row>
    <row r="52" spans="2:20" ht="23.1" customHeight="1" x14ac:dyDescent="0.25">
      <c r="B52" s="24" t="s">
        <v>79</v>
      </c>
      <c r="C52" s="50">
        <v>43</v>
      </c>
      <c r="D52" s="50">
        <v>16</v>
      </c>
      <c r="E52" s="50">
        <v>6</v>
      </c>
      <c r="F52" s="50">
        <v>51</v>
      </c>
      <c r="G52" s="50">
        <v>0</v>
      </c>
      <c r="H52" s="50">
        <v>6</v>
      </c>
      <c r="I52" s="50">
        <v>6</v>
      </c>
      <c r="J52" s="50">
        <v>5</v>
      </c>
      <c r="K52" s="50">
        <v>1</v>
      </c>
      <c r="L52" s="50">
        <v>4</v>
      </c>
      <c r="M52" s="50">
        <v>295</v>
      </c>
      <c r="N52" s="50">
        <v>0</v>
      </c>
      <c r="O52" s="15">
        <f t="shared" si="0"/>
        <v>138</v>
      </c>
      <c r="P52" s="15">
        <f t="shared" si="1"/>
        <v>433</v>
      </c>
      <c r="R52" s="8"/>
      <c r="T52"/>
    </row>
    <row r="53" spans="2:20" ht="23.1" customHeight="1" x14ac:dyDescent="0.25">
      <c r="B53" s="23" t="s">
        <v>80</v>
      </c>
      <c r="C53" s="50">
        <v>32</v>
      </c>
      <c r="D53" s="50">
        <v>21</v>
      </c>
      <c r="E53" s="50">
        <v>3</v>
      </c>
      <c r="F53" s="50">
        <v>45</v>
      </c>
      <c r="G53" s="50">
        <v>1</v>
      </c>
      <c r="H53" s="50">
        <v>0</v>
      </c>
      <c r="I53" s="50">
        <v>3</v>
      </c>
      <c r="J53" s="50">
        <v>2</v>
      </c>
      <c r="K53" s="50">
        <v>1</v>
      </c>
      <c r="L53" s="50">
        <v>1</v>
      </c>
      <c r="M53" s="50">
        <v>385</v>
      </c>
      <c r="N53" s="50">
        <v>0</v>
      </c>
      <c r="O53" s="15">
        <f t="shared" si="0"/>
        <v>109</v>
      </c>
      <c r="P53" s="15">
        <f t="shared" si="1"/>
        <v>494</v>
      </c>
      <c r="R53" s="8"/>
      <c r="T53"/>
    </row>
    <row r="54" spans="2:20" ht="23.1" customHeight="1" x14ac:dyDescent="0.25">
      <c r="B54" s="23" t="s">
        <v>81</v>
      </c>
      <c r="C54" s="50">
        <v>44</v>
      </c>
      <c r="D54" s="50">
        <v>9</v>
      </c>
      <c r="E54" s="50">
        <v>7</v>
      </c>
      <c r="F54" s="50">
        <v>53</v>
      </c>
      <c r="G54" s="50">
        <v>1</v>
      </c>
      <c r="H54" s="50">
        <v>0</v>
      </c>
      <c r="I54" s="50">
        <v>3</v>
      </c>
      <c r="J54" s="50">
        <v>7</v>
      </c>
      <c r="K54" s="50">
        <v>3</v>
      </c>
      <c r="L54" s="50">
        <v>1</v>
      </c>
      <c r="M54" s="50">
        <v>390</v>
      </c>
      <c r="N54" s="50">
        <v>0</v>
      </c>
      <c r="O54" s="15">
        <f t="shared" si="0"/>
        <v>128</v>
      </c>
      <c r="P54" s="15">
        <f t="shared" si="1"/>
        <v>518</v>
      </c>
      <c r="R54" s="8"/>
      <c r="T54"/>
    </row>
    <row r="55" spans="2:20" ht="23.1" customHeight="1" x14ac:dyDescent="0.25">
      <c r="B55" s="23" t="s">
        <v>82</v>
      </c>
      <c r="C55" s="50">
        <v>39</v>
      </c>
      <c r="D55" s="50">
        <v>12</v>
      </c>
      <c r="E55" s="50">
        <v>1</v>
      </c>
      <c r="F55" s="50">
        <v>53</v>
      </c>
      <c r="G55" s="50">
        <v>2</v>
      </c>
      <c r="H55" s="50">
        <v>0</v>
      </c>
      <c r="I55" s="50">
        <v>5</v>
      </c>
      <c r="J55" s="50">
        <v>0</v>
      </c>
      <c r="K55" s="50">
        <v>2</v>
      </c>
      <c r="L55" s="50">
        <v>8</v>
      </c>
      <c r="M55" s="50">
        <v>358</v>
      </c>
      <c r="N55" s="50">
        <v>0</v>
      </c>
      <c r="O55" s="15">
        <f t="shared" si="0"/>
        <v>122</v>
      </c>
      <c r="P55" s="15">
        <f t="shared" si="1"/>
        <v>480</v>
      </c>
      <c r="R55" s="8"/>
      <c r="T55"/>
    </row>
    <row r="56" spans="2:20" ht="23.1" customHeight="1" x14ac:dyDescent="0.25">
      <c r="B56" s="23" t="s">
        <v>83</v>
      </c>
      <c r="C56" s="50">
        <v>50</v>
      </c>
      <c r="D56" s="50">
        <v>8</v>
      </c>
      <c r="E56" s="50">
        <v>2</v>
      </c>
      <c r="F56" s="50">
        <v>44</v>
      </c>
      <c r="G56" s="50">
        <v>3</v>
      </c>
      <c r="H56" s="50">
        <v>0</v>
      </c>
      <c r="I56" s="50">
        <v>3</v>
      </c>
      <c r="J56" s="50">
        <v>8</v>
      </c>
      <c r="K56" s="50">
        <v>3</v>
      </c>
      <c r="L56" s="50">
        <v>4</v>
      </c>
      <c r="M56" s="50">
        <v>335</v>
      </c>
      <c r="N56" s="50">
        <v>0</v>
      </c>
      <c r="O56" s="15">
        <f t="shared" si="0"/>
        <v>125</v>
      </c>
      <c r="P56" s="15">
        <f t="shared" si="1"/>
        <v>460</v>
      </c>
      <c r="R56" s="8"/>
      <c r="T56"/>
    </row>
    <row r="57" spans="2:20" ht="23.1" customHeight="1" x14ac:dyDescent="0.25">
      <c r="B57" s="23" t="s">
        <v>84</v>
      </c>
      <c r="C57" s="50">
        <v>21</v>
      </c>
      <c r="D57" s="50">
        <v>11</v>
      </c>
      <c r="E57" s="50">
        <v>6</v>
      </c>
      <c r="F57" s="50">
        <v>73</v>
      </c>
      <c r="G57" s="50">
        <v>3</v>
      </c>
      <c r="H57" s="50">
        <v>0</v>
      </c>
      <c r="I57" s="50">
        <v>1</v>
      </c>
      <c r="J57" s="50">
        <v>6</v>
      </c>
      <c r="K57" s="50">
        <v>0</v>
      </c>
      <c r="L57" s="50">
        <v>0</v>
      </c>
      <c r="M57" s="50">
        <v>415</v>
      </c>
      <c r="N57" s="50">
        <v>0</v>
      </c>
      <c r="O57" s="15">
        <f t="shared" si="0"/>
        <v>121</v>
      </c>
      <c r="P57" s="15">
        <f t="shared" si="1"/>
        <v>536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3026</v>
      </c>
      <c r="D58" s="16">
        <f t="shared" si="21"/>
        <v>782</v>
      </c>
      <c r="E58" s="16">
        <f t="shared" si="21"/>
        <v>349</v>
      </c>
      <c r="F58" s="16">
        <f t="shared" si="21"/>
        <v>3005</v>
      </c>
      <c r="G58" s="16">
        <f t="shared" si="21"/>
        <v>65</v>
      </c>
      <c r="H58" s="16">
        <f t="shared" si="21"/>
        <v>43</v>
      </c>
      <c r="I58" s="16">
        <f t="shared" si="21"/>
        <v>214</v>
      </c>
      <c r="J58" s="16">
        <f t="shared" si="21"/>
        <v>209</v>
      </c>
      <c r="K58" s="16">
        <f t="shared" si="21"/>
        <v>74</v>
      </c>
      <c r="L58" s="16">
        <f t="shared" si="21"/>
        <v>201</v>
      </c>
      <c r="M58" s="16">
        <f t="shared" si="21"/>
        <v>17886</v>
      </c>
      <c r="N58" s="16">
        <f t="shared" si="21"/>
        <v>0</v>
      </c>
      <c r="O58" s="16">
        <f t="shared" si="21"/>
        <v>7968</v>
      </c>
      <c r="P58" s="16">
        <f t="shared" si="21"/>
        <v>25854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0.11704185039065522</v>
      </c>
      <c r="D59" s="43">
        <f t="shared" si="22"/>
        <v>3.0246770325674945E-2</v>
      </c>
      <c r="E59" s="43">
        <f t="shared" si="22"/>
        <v>1.3498878316701478E-2</v>
      </c>
      <c r="F59" s="43">
        <f t="shared" si="22"/>
        <v>0.11622959696758722</v>
      </c>
      <c r="G59" s="43">
        <f t="shared" si="22"/>
        <v>2.5141177380676102E-3</v>
      </c>
      <c r="H59" s="43">
        <f t="shared" si="22"/>
        <v>1.6631855805678039E-3</v>
      </c>
      <c r="I59" s="43">
        <f t="shared" si="22"/>
        <v>8.2772491684072105E-3</v>
      </c>
      <c r="J59" s="43">
        <f t="shared" si="22"/>
        <v>8.0838554962481633E-3</v>
      </c>
      <c r="K59" s="43">
        <f t="shared" si="22"/>
        <v>2.8622263479538951E-3</v>
      </c>
      <c r="L59" s="43">
        <f t="shared" si="22"/>
        <v>7.7744256207936879E-3</v>
      </c>
      <c r="M59" s="43">
        <f t="shared" si="22"/>
        <v>0.69180784404734275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0.37976907630522089</v>
      </c>
      <c r="D60" s="44">
        <f t="shared" ref="D60:N60" si="23">D58/$O$58</f>
        <v>9.8142570281124497E-2</v>
      </c>
      <c r="E60" s="44">
        <f t="shared" si="23"/>
        <v>4.3800200803212855E-2</v>
      </c>
      <c r="F60" s="44">
        <f t="shared" si="23"/>
        <v>0.37713353413654621</v>
      </c>
      <c r="G60" s="44">
        <f t="shared" si="23"/>
        <v>8.1576305220883542E-3</v>
      </c>
      <c r="H60" s="44">
        <f t="shared" si="23"/>
        <v>5.3965863453815264E-3</v>
      </c>
      <c r="I60" s="44">
        <f t="shared" si="23"/>
        <v>2.6857429718875503E-2</v>
      </c>
      <c r="J60" s="44">
        <f t="shared" si="23"/>
        <v>2.6229919678714859E-2</v>
      </c>
      <c r="K60" s="44">
        <f t="shared" si="23"/>
        <v>9.2871485943775093E-3</v>
      </c>
      <c r="L60" s="44">
        <f t="shared" si="23"/>
        <v>2.5225903614457833E-2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3" zoomScale="87" zoomScaleSheetLayoutView="87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Motors-Kyambogo'!C3:G3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3" t="str">
        <f>'02.08 Kyambogo-Spear Motors'!G5:H5</f>
        <v>PEPSI UGANDA</v>
      </c>
      <c r="H5" s="64"/>
      <c r="I5" s="14"/>
      <c r="J5" s="2" t="s">
        <v>5</v>
      </c>
      <c r="K5" s="63" t="str">
        <f>'02.08 Kyambogo-Spear Motors'!K5:L5</f>
        <v>WACHOMI R/GALABUZI R./MBAHA J/ASHABA K/LUBEGA S/KIKUMBAD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Spear Motors-Kyambogo'!D6:E6</f>
        <v>SPEAR MOTORS</v>
      </c>
      <c r="E6" s="64"/>
      <c r="F6" s="2" t="s">
        <v>2</v>
      </c>
      <c r="G6" s="63" t="str">
        <f>'29.07 Spear Motors-Kyambogo'!G6:H6</f>
        <v>KYAMBOGO</v>
      </c>
      <c r="H6" s="64"/>
      <c r="J6" s="2" t="s">
        <v>21</v>
      </c>
      <c r="K6" s="63" t="str">
        <f>'02.08 Kyambogo-Spear Motors'!K6:L6</f>
        <v>ANDREW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19</v>
      </c>
      <c r="D10" s="50">
        <v>5</v>
      </c>
      <c r="E10" s="50">
        <v>4</v>
      </c>
      <c r="F10" s="50">
        <v>45</v>
      </c>
      <c r="G10" s="50">
        <v>0</v>
      </c>
      <c r="H10" s="50">
        <v>0</v>
      </c>
      <c r="I10" s="50">
        <v>4</v>
      </c>
      <c r="J10" s="50">
        <v>4</v>
      </c>
      <c r="K10" s="50">
        <v>1</v>
      </c>
      <c r="L10" s="50">
        <v>2</v>
      </c>
      <c r="M10" s="50">
        <v>295</v>
      </c>
      <c r="N10" s="50">
        <v>0</v>
      </c>
      <c r="O10" s="15">
        <f t="shared" ref="O10:O57" si="0">SUM(C10:L10,N10)</f>
        <v>84</v>
      </c>
      <c r="P10" s="15">
        <f t="shared" ref="P10:P57" si="1">SUM(C10:N10)</f>
        <v>379</v>
      </c>
      <c r="R10" s="1" t="s">
        <v>6</v>
      </c>
      <c r="S10" s="17">
        <f t="shared" ref="S10:AF10" si="2">SUM(C10:C13)</f>
        <v>91</v>
      </c>
      <c r="T10" s="17">
        <f t="shared" si="2"/>
        <v>30</v>
      </c>
      <c r="U10" s="17">
        <f t="shared" si="2"/>
        <v>22</v>
      </c>
      <c r="V10" s="17">
        <f t="shared" si="2"/>
        <v>196</v>
      </c>
      <c r="W10" s="17">
        <f t="shared" si="2"/>
        <v>10</v>
      </c>
      <c r="X10" s="17">
        <f t="shared" si="2"/>
        <v>1</v>
      </c>
      <c r="Y10" s="17">
        <f t="shared" si="2"/>
        <v>11</v>
      </c>
      <c r="Z10" s="17">
        <f t="shared" si="2"/>
        <v>8</v>
      </c>
      <c r="AA10" s="17">
        <f t="shared" si="2"/>
        <v>2</v>
      </c>
      <c r="AB10" s="17">
        <f t="shared" si="2"/>
        <v>8</v>
      </c>
      <c r="AC10" s="17">
        <f t="shared" si="2"/>
        <v>1050</v>
      </c>
      <c r="AD10" s="17">
        <f t="shared" si="2"/>
        <v>0</v>
      </c>
      <c r="AE10" s="31">
        <f t="shared" si="2"/>
        <v>379</v>
      </c>
      <c r="AF10" s="31">
        <f t="shared" si="2"/>
        <v>1429</v>
      </c>
    </row>
    <row r="11" spans="2:32" s="6" customFormat="1" ht="23.1" customHeight="1" x14ac:dyDescent="0.25">
      <c r="B11" s="45" t="s">
        <v>38</v>
      </c>
      <c r="C11" s="50">
        <v>22</v>
      </c>
      <c r="D11" s="50">
        <v>10</v>
      </c>
      <c r="E11" s="50">
        <v>7</v>
      </c>
      <c r="F11" s="50">
        <v>60</v>
      </c>
      <c r="G11" s="50">
        <v>3</v>
      </c>
      <c r="H11" s="50">
        <v>1</v>
      </c>
      <c r="I11" s="50">
        <v>2</v>
      </c>
      <c r="J11" s="50">
        <v>1</v>
      </c>
      <c r="K11" s="50">
        <v>0</v>
      </c>
      <c r="L11" s="50">
        <v>3</v>
      </c>
      <c r="M11" s="50">
        <v>240</v>
      </c>
      <c r="N11" s="50">
        <v>0</v>
      </c>
      <c r="O11" s="15">
        <f t="shared" si="0"/>
        <v>109</v>
      </c>
      <c r="P11" s="15">
        <f t="shared" si="1"/>
        <v>349</v>
      </c>
      <c r="R11" s="1" t="s">
        <v>7</v>
      </c>
      <c r="S11" s="17">
        <f t="shared" ref="S11:AF11" si="3">SUM(C14:C17)</f>
        <v>125</v>
      </c>
      <c r="T11" s="17">
        <f t="shared" si="3"/>
        <v>47</v>
      </c>
      <c r="U11" s="17">
        <f t="shared" si="3"/>
        <v>22</v>
      </c>
      <c r="V11" s="17">
        <f t="shared" si="3"/>
        <v>250</v>
      </c>
      <c r="W11" s="17">
        <f t="shared" si="3"/>
        <v>12</v>
      </c>
      <c r="X11" s="17">
        <f t="shared" si="3"/>
        <v>1</v>
      </c>
      <c r="Y11" s="17">
        <f t="shared" si="3"/>
        <v>17</v>
      </c>
      <c r="Z11" s="17">
        <f t="shared" si="3"/>
        <v>11</v>
      </c>
      <c r="AA11" s="17">
        <f t="shared" si="3"/>
        <v>13</v>
      </c>
      <c r="AB11" s="17">
        <f t="shared" si="3"/>
        <v>5</v>
      </c>
      <c r="AC11" s="17">
        <f t="shared" si="3"/>
        <v>1323</v>
      </c>
      <c r="AD11" s="17">
        <f t="shared" si="3"/>
        <v>0</v>
      </c>
      <c r="AE11" s="31">
        <f t="shared" si="3"/>
        <v>503</v>
      </c>
      <c r="AF11" s="31">
        <f t="shared" si="3"/>
        <v>1826</v>
      </c>
    </row>
    <row r="12" spans="2:32" ht="23.1" customHeight="1" x14ac:dyDescent="0.25">
      <c r="B12" s="45" t="s">
        <v>39</v>
      </c>
      <c r="C12" s="50">
        <v>17</v>
      </c>
      <c r="D12" s="50">
        <v>6</v>
      </c>
      <c r="E12" s="50">
        <v>5</v>
      </c>
      <c r="F12" s="50">
        <v>35</v>
      </c>
      <c r="G12" s="50">
        <v>0</v>
      </c>
      <c r="H12" s="50">
        <v>0</v>
      </c>
      <c r="I12" s="50">
        <v>3</v>
      </c>
      <c r="J12" s="50">
        <v>0</v>
      </c>
      <c r="K12" s="50">
        <v>1</v>
      </c>
      <c r="L12" s="50">
        <v>1</v>
      </c>
      <c r="M12" s="50">
        <v>255</v>
      </c>
      <c r="N12" s="50">
        <v>0</v>
      </c>
      <c r="O12" s="15">
        <f t="shared" si="0"/>
        <v>68</v>
      </c>
      <c r="P12" s="15">
        <f t="shared" si="1"/>
        <v>323</v>
      </c>
      <c r="R12" s="1" t="s">
        <v>8</v>
      </c>
      <c r="S12" s="17">
        <f t="shared" ref="S12:AF12" si="4">SUM(C18:C21)</f>
        <v>124</v>
      </c>
      <c r="T12" s="17">
        <f t="shared" si="4"/>
        <v>48</v>
      </c>
      <c r="U12" s="17">
        <f t="shared" si="4"/>
        <v>31</v>
      </c>
      <c r="V12" s="17">
        <f t="shared" si="4"/>
        <v>223</v>
      </c>
      <c r="W12" s="17">
        <f t="shared" si="4"/>
        <v>5</v>
      </c>
      <c r="X12" s="17">
        <f t="shared" si="4"/>
        <v>2</v>
      </c>
      <c r="Y12" s="17">
        <f t="shared" si="4"/>
        <v>21</v>
      </c>
      <c r="Z12" s="17">
        <f t="shared" si="4"/>
        <v>18</v>
      </c>
      <c r="AA12" s="17">
        <f t="shared" si="4"/>
        <v>4</v>
      </c>
      <c r="AB12" s="17">
        <f t="shared" si="4"/>
        <v>15</v>
      </c>
      <c r="AC12" s="17">
        <f t="shared" si="4"/>
        <v>1600</v>
      </c>
      <c r="AD12" s="17">
        <f t="shared" si="4"/>
        <v>0</v>
      </c>
      <c r="AE12" s="31">
        <f t="shared" si="4"/>
        <v>491</v>
      </c>
      <c r="AF12" s="31">
        <f t="shared" si="4"/>
        <v>2091</v>
      </c>
    </row>
    <row r="13" spans="2:32" ht="23.1" customHeight="1" x14ac:dyDescent="0.25">
      <c r="B13" s="45" t="s">
        <v>40</v>
      </c>
      <c r="C13" s="50">
        <v>33</v>
      </c>
      <c r="D13" s="50">
        <v>9</v>
      </c>
      <c r="E13" s="50">
        <v>6</v>
      </c>
      <c r="F13" s="50">
        <v>56</v>
      </c>
      <c r="G13" s="50">
        <v>7</v>
      </c>
      <c r="H13" s="50">
        <v>0</v>
      </c>
      <c r="I13" s="50">
        <v>2</v>
      </c>
      <c r="J13" s="50">
        <v>3</v>
      </c>
      <c r="K13" s="50">
        <v>0</v>
      </c>
      <c r="L13" s="50">
        <v>2</v>
      </c>
      <c r="M13" s="50">
        <v>260</v>
      </c>
      <c r="N13" s="50">
        <v>0</v>
      </c>
      <c r="O13" s="15">
        <f t="shared" si="0"/>
        <v>118</v>
      </c>
      <c r="P13" s="15">
        <f t="shared" si="1"/>
        <v>378</v>
      </c>
      <c r="R13" s="1" t="s">
        <v>9</v>
      </c>
      <c r="S13" s="17">
        <f t="shared" ref="S13:AF13" si="5">SUM(C22:C25)</f>
        <v>183</v>
      </c>
      <c r="T13" s="17">
        <f t="shared" si="5"/>
        <v>61</v>
      </c>
      <c r="U13" s="17">
        <f t="shared" si="5"/>
        <v>36</v>
      </c>
      <c r="V13" s="17">
        <f t="shared" si="5"/>
        <v>233</v>
      </c>
      <c r="W13" s="17">
        <f t="shared" si="5"/>
        <v>11</v>
      </c>
      <c r="X13" s="17">
        <f t="shared" si="5"/>
        <v>5</v>
      </c>
      <c r="Y13" s="17">
        <f t="shared" si="5"/>
        <v>34</v>
      </c>
      <c r="Z13" s="17">
        <f t="shared" si="5"/>
        <v>21</v>
      </c>
      <c r="AA13" s="17">
        <f t="shared" si="5"/>
        <v>9</v>
      </c>
      <c r="AB13" s="17">
        <f t="shared" si="5"/>
        <v>16</v>
      </c>
      <c r="AC13" s="17">
        <f t="shared" si="5"/>
        <v>1758</v>
      </c>
      <c r="AD13" s="17">
        <f t="shared" si="5"/>
        <v>0</v>
      </c>
      <c r="AE13" s="31">
        <f t="shared" si="5"/>
        <v>609</v>
      </c>
      <c r="AF13" s="31">
        <f t="shared" si="5"/>
        <v>2367</v>
      </c>
    </row>
    <row r="14" spans="2:32" ht="23.1" customHeight="1" x14ac:dyDescent="0.25">
      <c r="B14" s="45" t="s">
        <v>41</v>
      </c>
      <c r="C14" s="50">
        <v>30</v>
      </c>
      <c r="D14" s="50">
        <v>11</v>
      </c>
      <c r="E14" s="50">
        <v>5</v>
      </c>
      <c r="F14" s="50">
        <v>55</v>
      </c>
      <c r="G14" s="50">
        <v>0</v>
      </c>
      <c r="H14" s="50">
        <v>0</v>
      </c>
      <c r="I14" s="50">
        <v>4</v>
      </c>
      <c r="J14" s="50">
        <v>4</v>
      </c>
      <c r="K14" s="50">
        <v>2</v>
      </c>
      <c r="L14" s="50">
        <v>0</v>
      </c>
      <c r="M14" s="50">
        <v>300</v>
      </c>
      <c r="N14" s="50">
        <v>0</v>
      </c>
      <c r="O14" s="15">
        <f t="shared" si="0"/>
        <v>111</v>
      </c>
      <c r="P14" s="15">
        <f t="shared" si="1"/>
        <v>411</v>
      </c>
      <c r="R14" s="1" t="s">
        <v>10</v>
      </c>
      <c r="S14" s="17">
        <f t="shared" ref="S14:AF14" si="6">SUM(C26:C29)</f>
        <v>180</v>
      </c>
      <c r="T14" s="17">
        <f t="shared" si="6"/>
        <v>70</v>
      </c>
      <c r="U14" s="17">
        <f t="shared" si="6"/>
        <v>52</v>
      </c>
      <c r="V14" s="17">
        <f t="shared" si="6"/>
        <v>320</v>
      </c>
      <c r="W14" s="17">
        <f t="shared" si="6"/>
        <v>10</v>
      </c>
      <c r="X14" s="17">
        <f t="shared" si="6"/>
        <v>2</v>
      </c>
      <c r="Y14" s="17">
        <f t="shared" si="6"/>
        <v>32</v>
      </c>
      <c r="Z14" s="17">
        <f t="shared" si="6"/>
        <v>19</v>
      </c>
      <c r="AA14" s="17">
        <f t="shared" si="6"/>
        <v>5</v>
      </c>
      <c r="AB14" s="17">
        <f t="shared" si="6"/>
        <v>24</v>
      </c>
      <c r="AC14" s="17">
        <f t="shared" si="6"/>
        <v>1871</v>
      </c>
      <c r="AD14" s="17">
        <f t="shared" si="6"/>
        <v>0</v>
      </c>
      <c r="AE14" s="31">
        <f t="shared" si="6"/>
        <v>714</v>
      </c>
      <c r="AF14" s="31">
        <f t="shared" si="6"/>
        <v>2585</v>
      </c>
    </row>
    <row r="15" spans="2:32" ht="23.1" customHeight="1" x14ac:dyDescent="0.25">
      <c r="B15" s="45" t="s">
        <v>42</v>
      </c>
      <c r="C15" s="50">
        <v>35</v>
      </c>
      <c r="D15" s="50">
        <v>13</v>
      </c>
      <c r="E15" s="50">
        <v>6</v>
      </c>
      <c r="F15" s="50">
        <v>60</v>
      </c>
      <c r="G15" s="50">
        <v>5</v>
      </c>
      <c r="H15" s="50">
        <v>0</v>
      </c>
      <c r="I15" s="50">
        <v>6</v>
      </c>
      <c r="J15" s="50">
        <v>2</v>
      </c>
      <c r="K15" s="50">
        <v>3</v>
      </c>
      <c r="L15" s="50">
        <v>2</v>
      </c>
      <c r="M15" s="50">
        <v>293</v>
      </c>
      <c r="N15" s="50">
        <v>0</v>
      </c>
      <c r="O15" s="15">
        <f t="shared" si="0"/>
        <v>132</v>
      </c>
      <c r="P15" s="15">
        <f t="shared" si="1"/>
        <v>425</v>
      </c>
      <c r="R15" s="1" t="s">
        <v>11</v>
      </c>
      <c r="S15" s="17">
        <f t="shared" ref="S15:AF15" si="7">SUM(C30:C33)</f>
        <v>210</v>
      </c>
      <c r="T15" s="17">
        <f t="shared" si="7"/>
        <v>71</v>
      </c>
      <c r="U15" s="17">
        <f t="shared" si="7"/>
        <v>54</v>
      </c>
      <c r="V15" s="17">
        <f t="shared" si="7"/>
        <v>252</v>
      </c>
      <c r="W15" s="17">
        <f t="shared" si="7"/>
        <v>5</v>
      </c>
      <c r="X15" s="17">
        <f t="shared" si="7"/>
        <v>1</v>
      </c>
      <c r="Y15" s="17">
        <f t="shared" si="7"/>
        <v>33</v>
      </c>
      <c r="Z15" s="17">
        <f t="shared" si="7"/>
        <v>17</v>
      </c>
      <c r="AA15" s="17">
        <f t="shared" si="7"/>
        <v>12</v>
      </c>
      <c r="AB15" s="17">
        <f t="shared" si="7"/>
        <v>23</v>
      </c>
      <c r="AC15" s="17">
        <f t="shared" si="7"/>
        <v>1727</v>
      </c>
      <c r="AD15" s="17">
        <f t="shared" si="7"/>
        <v>0</v>
      </c>
      <c r="AE15" s="31">
        <f t="shared" si="7"/>
        <v>678</v>
      </c>
      <c r="AF15" s="31">
        <f t="shared" si="7"/>
        <v>2405</v>
      </c>
    </row>
    <row r="16" spans="2:32" ht="23.1" customHeight="1" x14ac:dyDescent="0.25">
      <c r="B16" s="45" t="s">
        <v>43</v>
      </c>
      <c r="C16" s="50">
        <v>22</v>
      </c>
      <c r="D16" s="50">
        <v>7</v>
      </c>
      <c r="E16" s="50">
        <v>4</v>
      </c>
      <c r="F16" s="50">
        <v>60</v>
      </c>
      <c r="G16" s="50">
        <v>4</v>
      </c>
      <c r="H16" s="50">
        <v>0</v>
      </c>
      <c r="I16" s="50">
        <v>4</v>
      </c>
      <c r="J16" s="50">
        <v>3</v>
      </c>
      <c r="K16" s="50">
        <v>5</v>
      </c>
      <c r="L16" s="50">
        <v>3</v>
      </c>
      <c r="M16" s="50">
        <v>290</v>
      </c>
      <c r="N16" s="50">
        <v>0</v>
      </c>
      <c r="O16" s="15">
        <f t="shared" si="0"/>
        <v>112</v>
      </c>
      <c r="P16" s="15">
        <f t="shared" si="1"/>
        <v>402</v>
      </c>
      <c r="R16" s="1" t="s">
        <v>12</v>
      </c>
      <c r="S16" s="17">
        <f t="shared" ref="S16:AF16" si="8">SUM(C34:C37)</f>
        <v>154</v>
      </c>
      <c r="T16" s="17">
        <f t="shared" si="8"/>
        <v>81</v>
      </c>
      <c r="U16" s="17">
        <f t="shared" si="8"/>
        <v>53</v>
      </c>
      <c r="V16" s="17">
        <f t="shared" si="8"/>
        <v>211</v>
      </c>
      <c r="W16" s="17">
        <f t="shared" si="8"/>
        <v>5</v>
      </c>
      <c r="X16" s="17">
        <f t="shared" si="8"/>
        <v>2</v>
      </c>
      <c r="Y16" s="17">
        <f t="shared" si="8"/>
        <v>40</v>
      </c>
      <c r="Z16" s="17">
        <f t="shared" si="8"/>
        <v>15</v>
      </c>
      <c r="AA16" s="17">
        <f t="shared" si="8"/>
        <v>8</v>
      </c>
      <c r="AB16" s="17">
        <f t="shared" si="8"/>
        <v>22</v>
      </c>
      <c r="AC16" s="17">
        <f t="shared" si="8"/>
        <v>1610</v>
      </c>
      <c r="AD16" s="17">
        <f t="shared" si="8"/>
        <v>0</v>
      </c>
      <c r="AE16" s="31">
        <f t="shared" si="8"/>
        <v>591</v>
      </c>
      <c r="AF16" s="31">
        <f t="shared" si="8"/>
        <v>2201</v>
      </c>
    </row>
    <row r="17" spans="2:32" ht="23.1" customHeight="1" x14ac:dyDescent="0.25">
      <c r="B17" s="45" t="s">
        <v>44</v>
      </c>
      <c r="C17" s="50">
        <v>38</v>
      </c>
      <c r="D17" s="50">
        <v>16</v>
      </c>
      <c r="E17" s="50">
        <v>7</v>
      </c>
      <c r="F17" s="50">
        <v>75</v>
      </c>
      <c r="G17" s="50">
        <v>3</v>
      </c>
      <c r="H17" s="50">
        <v>1</v>
      </c>
      <c r="I17" s="50">
        <v>3</v>
      </c>
      <c r="J17" s="50">
        <v>2</v>
      </c>
      <c r="K17" s="50">
        <v>3</v>
      </c>
      <c r="L17" s="50">
        <v>0</v>
      </c>
      <c r="M17" s="50">
        <v>440</v>
      </c>
      <c r="N17" s="50">
        <v>0</v>
      </c>
      <c r="O17" s="15">
        <f t="shared" si="0"/>
        <v>148</v>
      </c>
      <c r="P17" s="15">
        <f t="shared" si="1"/>
        <v>588</v>
      </c>
      <c r="R17" s="1" t="s">
        <v>13</v>
      </c>
      <c r="S17" s="17">
        <f t="shared" ref="S17:AF17" si="9">SUM(C38:C41)</f>
        <v>137</v>
      </c>
      <c r="T17" s="17">
        <f t="shared" si="9"/>
        <v>81</v>
      </c>
      <c r="U17" s="17">
        <f t="shared" si="9"/>
        <v>33</v>
      </c>
      <c r="V17" s="17">
        <f t="shared" si="9"/>
        <v>248</v>
      </c>
      <c r="W17" s="17">
        <f t="shared" si="9"/>
        <v>4</v>
      </c>
      <c r="X17" s="17">
        <f t="shared" si="9"/>
        <v>5</v>
      </c>
      <c r="Y17" s="17">
        <f t="shared" si="9"/>
        <v>24</v>
      </c>
      <c r="Z17" s="17">
        <f t="shared" si="9"/>
        <v>17</v>
      </c>
      <c r="AA17" s="17">
        <f t="shared" si="9"/>
        <v>4</v>
      </c>
      <c r="AB17" s="17">
        <f t="shared" si="9"/>
        <v>24</v>
      </c>
      <c r="AC17" s="17">
        <f t="shared" si="9"/>
        <v>1563</v>
      </c>
      <c r="AD17" s="17">
        <f t="shared" si="9"/>
        <v>0</v>
      </c>
      <c r="AE17" s="31">
        <f t="shared" si="9"/>
        <v>577</v>
      </c>
      <c r="AF17" s="31">
        <f t="shared" si="9"/>
        <v>2140</v>
      </c>
    </row>
    <row r="18" spans="2:32" ht="23.1" customHeight="1" x14ac:dyDescent="0.25">
      <c r="B18" s="45" t="s">
        <v>45</v>
      </c>
      <c r="C18" s="50">
        <v>13</v>
      </c>
      <c r="D18" s="50">
        <v>7</v>
      </c>
      <c r="E18" s="50">
        <v>4</v>
      </c>
      <c r="F18" s="50">
        <v>40</v>
      </c>
      <c r="G18" s="50">
        <v>0</v>
      </c>
      <c r="H18" s="50">
        <v>0</v>
      </c>
      <c r="I18" s="50">
        <v>3</v>
      </c>
      <c r="J18" s="50">
        <v>1</v>
      </c>
      <c r="K18" s="50">
        <v>1</v>
      </c>
      <c r="L18" s="50">
        <v>4</v>
      </c>
      <c r="M18" s="50">
        <v>440</v>
      </c>
      <c r="N18" s="50">
        <v>0</v>
      </c>
      <c r="O18" s="15">
        <f t="shared" si="0"/>
        <v>73</v>
      </c>
      <c r="P18" s="15">
        <f t="shared" si="1"/>
        <v>513</v>
      </c>
      <c r="R18" s="1" t="s">
        <v>14</v>
      </c>
      <c r="S18" s="17">
        <f t="shared" ref="S18:AF18" si="10">SUM(C42:C45)</f>
        <v>199</v>
      </c>
      <c r="T18" s="17">
        <f t="shared" si="10"/>
        <v>98</v>
      </c>
      <c r="U18" s="17">
        <f t="shared" si="10"/>
        <v>50</v>
      </c>
      <c r="V18" s="17">
        <f t="shared" si="10"/>
        <v>238</v>
      </c>
      <c r="W18" s="17">
        <f t="shared" si="10"/>
        <v>6</v>
      </c>
      <c r="X18" s="17">
        <f t="shared" si="10"/>
        <v>3</v>
      </c>
      <c r="Y18" s="17">
        <f t="shared" si="10"/>
        <v>32</v>
      </c>
      <c r="Z18" s="17">
        <f t="shared" si="10"/>
        <v>18</v>
      </c>
      <c r="AA18" s="17">
        <f t="shared" si="10"/>
        <v>5</v>
      </c>
      <c r="AB18" s="17">
        <f t="shared" si="10"/>
        <v>22</v>
      </c>
      <c r="AC18" s="17">
        <f t="shared" si="10"/>
        <v>1320</v>
      </c>
      <c r="AD18" s="17">
        <f t="shared" si="10"/>
        <v>0</v>
      </c>
      <c r="AE18" s="31">
        <f t="shared" si="10"/>
        <v>671</v>
      </c>
      <c r="AF18" s="31">
        <f t="shared" si="10"/>
        <v>1991</v>
      </c>
    </row>
    <row r="19" spans="2:32" ht="23.1" customHeight="1" x14ac:dyDescent="0.25">
      <c r="B19" s="45" t="s">
        <v>46</v>
      </c>
      <c r="C19" s="50">
        <v>31</v>
      </c>
      <c r="D19" s="50">
        <v>12</v>
      </c>
      <c r="E19" s="50">
        <v>8</v>
      </c>
      <c r="F19" s="50">
        <v>75</v>
      </c>
      <c r="G19" s="50">
        <v>3</v>
      </c>
      <c r="H19" s="50">
        <v>1</v>
      </c>
      <c r="I19" s="50">
        <v>8</v>
      </c>
      <c r="J19" s="50">
        <v>6</v>
      </c>
      <c r="K19" s="50">
        <v>2</v>
      </c>
      <c r="L19" s="50">
        <v>2</v>
      </c>
      <c r="M19" s="50">
        <v>300</v>
      </c>
      <c r="N19" s="50">
        <v>0</v>
      </c>
      <c r="O19" s="15">
        <f t="shared" si="0"/>
        <v>148</v>
      </c>
      <c r="P19" s="15">
        <f t="shared" si="1"/>
        <v>448</v>
      </c>
      <c r="R19" s="1" t="s">
        <v>15</v>
      </c>
      <c r="S19" s="17">
        <f t="shared" ref="S19:AF19" si="11">SUM(C46:C49)</f>
        <v>287</v>
      </c>
      <c r="T19" s="17">
        <f t="shared" si="11"/>
        <v>139</v>
      </c>
      <c r="U19" s="17">
        <f t="shared" si="11"/>
        <v>44</v>
      </c>
      <c r="V19" s="17">
        <f t="shared" si="11"/>
        <v>231</v>
      </c>
      <c r="W19" s="17">
        <f t="shared" si="11"/>
        <v>5</v>
      </c>
      <c r="X19" s="17">
        <f t="shared" si="11"/>
        <v>1</v>
      </c>
      <c r="Y19" s="17">
        <f t="shared" si="11"/>
        <v>29</v>
      </c>
      <c r="Z19" s="17">
        <f t="shared" si="11"/>
        <v>16</v>
      </c>
      <c r="AA19" s="17">
        <f t="shared" si="11"/>
        <v>9</v>
      </c>
      <c r="AB19" s="17">
        <f t="shared" si="11"/>
        <v>18</v>
      </c>
      <c r="AC19" s="17">
        <f t="shared" si="11"/>
        <v>1380</v>
      </c>
      <c r="AD19" s="17">
        <f t="shared" si="11"/>
        <v>0</v>
      </c>
      <c r="AE19" s="31">
        <f t="shared" si="11"/>
        <v>779</v>
      </c>
      <c r="AF19" s="31">
        <f t="shared" si="11"/>
        <v>2159</v>
      </c>
    </row>
    <row r="20" spans="2:32" ht="23.1" customHeight="1" x14ac:dyDescent="0.25">
      <c r="B20" s="45" t="s">
        <v>47</v>
      </c>
      <c r="C20" s="50">
        <v>47</v>
      </c>
      <c r="D20" s="50">
        <v>18</v>
      </c>
      <c r="E20" s="50">
        <v>10</v>
      </c>
      <c r="F20" s="50">
        <v>68</v>
      </c>
      <c r="G20" s="50">
        <v>1</v>
      </c>
      <c r="H20" s="50">
        <v>0</v>
      </c>
      <c r="I20" s="50">
        <v>4</v>
      </c>
      <c r="J20" s="50">
        <v>5</v>
      </c>
      <c r="K20" s="50">
        <v>0</v>
      </c>
      <c r="L20" s="50">
        <v>6</v>
      </c>
      <c r="M20" s="50">
        <v>515</v>
      </c>
      <c r="N20" s="50">
        <v>0</v>
      </c>
      <c r="O20" s="15">
        <f t="shared" si="0"/>
        <v>159</v>
      </c>
      <c r="P20" s="15">
        <f t="shared" si="1"/>
        <v>674</v>
      </c>
      <c r="R20" s="1" t="s">
        <v>16</v>
      </c>
      <c r="S20" s="17">
        <f t="shared" ref="S20:AF20" si="12">SUM(C50:C53)</f>
        <v>521</v>
      </c>
      <c r="T20" s="17">
        <f t="shared" si="12"/>
        <v>172</v>
      </c>
      <c r="U20" s="17">
        <f t="shared" si="12"/>
        <v>77</v>
      </c>
      <c r="V20" s="17">
        <f t="shared" si="12"/>
        <v>219</v>
      </c>
      <c r="W20" s="17">
        <f t="shared" si="12"/>
        <v>4</v>
      </c>
      <c r="X20" s="17">
        <f t="shared" si="12"/>
        <v>1</v>
      </c>
      <c r="Y20" s="17">
        <f t="shared" si="12"/>
        <v>27</v>
      </c>
      <c r="Z20" s="17">
        <f t="shared" si="12"/>
        <v>16</v>
      </c>
      <c r="AA20" s="17">
        <f t="shared" si="12"/>
        <v>2</v>
      </c>
      <c r="AB20" s="17">
        <f t="shared" si="12"/>
        <v>11</v>
      </c>
      <c r="AC20" s="17">
        <f t="shared" si="12"/>
        <v>1890</v>
      </c>
      <c r="AD20" s="17">
        <f t="shared" si="12"/>
        <v>0</v>
      </c>
      <c r="AE20" s="31">
        <f t="shared" si="12"/>
        <v>1050</v>
      </c>
      <c r="AF20" s="31">
        <f t="shared" si="12"/>
        <v>2940</v>
      </c>
    </row>
    <row r="21" spans="2:32" ht="23.1" customHeight="1" x14ac:dyDescent="0.25">
      <c r="B21" s="45" t="s">
        <v>48</v>
      </c>
      <c r="C21" s="50">
        <v>33</v>
      </c>
      <c r="D21" s="50">
        <v>11</v>
      </c>
      <c r="E21" s="50">
        <v>9</v>
      </c>
      <c r="F21" s="50">
        <v>40</v>
      </c>
      <c r="G21" s="50">
        <v>1</v>
      </c>
      <c r="H21" s="50">
        <v>1</v>
      </c>
      <c r="I21" s="50">
        <v>6</v>
      </c>
      <c r="J21" s="50">
        <v>6</v>
      </c>
      <c r="K21" s="50">
        <v>1</v>
      </c>
      <c r="L21" s="50">
        <v>3</v>
      </c>
      <c r="M21" s="50">
        <v>345</v>
      </c>
      <c r="N21" s="50">
        <v>0</v>
      </c>
      <c r="O21" s="15">
        <f t="shared" si="0"/>
        <v>111</v>
      </c>
      <c r="P21" s="15">
        <f t="shared" si="1"/>
        <v>456</v>
      </c>
      <c r="R21" s="36" t="s">
        <v>20</v>
      </c>
      <c r="S21" s="34">
        <f t="shared" ref="S21:AF21" si="13">SUM(C54:C57)</f>
        <v>551</v>
      </c>
      <c r="T21" s="17">
        <f t="shared" si="13"/>
        <v>205</v>
      </c>
      <c r="U21" s="17">
        <f t="shared" si="13"/>
        <v>116</v>
      </c>
      <c r="V21" s="17">
        <f t="shared" si="13"/>
        <v>214</v>
      </c>
      <c r="W21" s="17">
        <f t="shared" si="13"/>
        <v>6</v>
      </c>
      <c r="X21" s="17">
        <f t="shared" si="13"/>
        <v>1</v>
      </c>
      <c r="Y21" s="17">
        <f t="shared" si="13"/>
        <v>27</v>
      </c>
      <c r="Z21" s="17">
        <f t="shared" si="13"/>
        <v>13</v>
      </c>
      <c r="AA21" s="17">
        <f t="shared" si="13"/>
        <v>2</v>
      </c>
      <c r="AB21" s="17">
        <f t="shared" si="13"/>
        <v>7</v>
      </c>
      <c r="AC21" s="17">
        <f t="shared" si="13"/>
        <v>1962</v>
      </c>
      <c r="AD21" s="17">
        <f t="shared" si="13"/>
        <v>0</v>
      </c>
      <c r="AE21" s="31">
        <f t="shared" si="13"/>
        <v>1142</v>
      </c>
      <c r="AF21" s="31">
        <f t="shared" si="13"/>
        <v>3104</v>
      </c>
    </row>
    <row r="22" spans="2:32" ht="23.1" customHeight="1" x14ac:dyDescent="0.25">
      <c r="B22" s="45" t="s">
        <v>49</v>
      </c>
      <c r="C22" s="50">
        <v>31</v>
      </c>
      <c r="D22" s="50">
        <v>13</v>
      </c>
      <c r="E22" s="50">
        <v>10</v>
      </c>
      <c r="F22" s="50">
        <v>62</v>
      </c>
      <c r="G22" s="50">
        <v>5</v>
      </c>
      <c r="H22" s="50">
        <v>2</v>
      </c>
      <c r="I22" s="50">
        <v>9</v>
      </c>
      <c r="J22" s="50">
        <v>7</v>
      </c>
      <c r="K22" s="50">
        <v>1</v>
      </c>
      <c r="L22" s="50">
        <v>2</v>
      </c>
      <c r="M22" s="50">
        <v>380</v>
      </c>
      <c r="N22" s="50">
        <v>0</v>
      </c>
      <c r="O22" s="15">
        <f t="shared" si="0"/>
        <v>142</v>
      </c>
      <c r="P22" s="15">
        <f t="shared" si="1"/>
        <v>522</v>
      </c>
      <c r="R22" s="36" t="s">
        <v>146</v>
      </c>
      <c r="S22" s="34">
        <f>SUM(C58:C61)</f>
        <v>163</v>
      </c>
      <c r="T22" s="34">
        <f t="shared" ref="T22:AF22" si="14">SUM(D58:D61)</f>
        <v>31</v>
      </c>
      <c r="U22" s="34">
        <f t="shared" si="14"/>
        <v>17</v>
      </c>
      <c r="V22" s="34">
        <f t="shared" si="14"/>
        <v>214</v>
      </c>
      <c r="W22" s="34">
        <f t="shared" si="14"/>
        <v>19</v>
      </c>
      <c r="X22" s="34">
        <f t="shared" si="14"/>
        <v>5</v>
      </c>
      <c r="Y22" s="34">
        <f t="shared" si="14"/>
        <v>16</v>
      </c>
      <c r="Z22" s="34">
        <f t="shared" si="14"/>
        <v>11</v>
      </c>
      <c r="AA22" s="34">
        <f t="shared" si="14"/>
        <v>4</v>
      </c>
      <c r="AB22" s="34">
        <f t="shared" si="14"/>
        <v>1</v>
      </c>
      <c r="AC22" s="34">
        <f t="shared" si="14"/>
        <v>1120</v>
      </c>
      <c r="AD22" s="34">
        <f t="shared" si="14"/>
        <v>0</v>
      </c>
      <c r="AE22" s="31">
        <f t="shared" si="14"/>
        <v>481</v>
      </c>
      <c r="AF22" s="31">
        <f t="shared" si="14"/>
        <v>1601</v>
      </c>
    </row>
    <row r="23" spans="2:32" ht="23.1" customHeight="1" x14ac:dyDescent="0.25">
      <c r="B23" s="45" t="s">
        <v>50</v>
      </c>
      <c r="C23" s="50">
        <v>48</v>
      </c>
      <c r="D23" s="50">
        <v>15</v>
      </c>
      <c r="E23" s="50">
        <v>3</v>
      </c>
      <c r="F23" s="50">
        <v>53</v>
      </c>
      <c r="G23" s="50">
        <v>3</v>
      </c>
      <c r="H23" s="50">
        <v>1</v>
      </c>
      <c r="I23" s="50">
        <v>5</v>
      </c>
      <c r="J23" s="50">
        <v>8</v>
      </c>
      <c r="K23" s="50">
        <v>1</v>
      </c>
      <c r="L23" s="50">
        <v>5</v>
      </c>
      <c r="M23" s="50">
        <v>355</v>
      </c>
      <c r="N23" s="50">
        <v>0</v>
      </c>
      <c r="O23" s="15">
        <f t="shared" si="0"/>
        <v>142</v>
      </c>
      <c r="P23" s="15">
        <f t="shared" si="1"/>
        <v>497</v>
      </c>
      <c r="R23" s="36" t="s">
        <v>147</v>
      </c>
      <c r="S23" s="34">
        <f>SUM(C62:C65)</f>
        <v>219</v>
      </c>
      <c r="T23" s="34">
        <f t="shared" ref="T23:AF23" si="15">SUM(D62:D65)</f>
        <v>109</v>
      </c>
      <c r="U23" s="34">
        <f t="shared" si="15"/>
        <v>31</v>
      </c>
      <c r="V23" s="34">
        <f t="shared" si="15"/>
        <v>169</v>
      </c>
      <c r="W23" s="34">
        <f t="shared" si="15"/>
        <v>12</v>
      </c>
      <c r="X23" s="34">
        <f t="shared" si="15"/>
        <v>1</v>
      </c>
      <c r="Y23" s="34">
        <f t="shared" si="15"/>
        <v>16</v>
      </c>
      <c r="Z23" s="34">
        <f t="shared" si="15"/>
        <v>13</v>
      </c>
      <c r="AA23" s="34">
        <f t="shared" si="15"/>
        <v>7</v>
      </c>
      <c r="AB23" s="34">
        <f t="shared" si="15"/>
        <v>3</v>
      </c>
      <c r="AC23" s="34">
        <f t="shared" si="15"/>
        <v>1210</v>
      </c>
      <c r="AD23" s="34">
        <f t="shared" si="15"/>
        <v>0</v>
      </c>
      <c r="AE23" s="31">
        <f t="shared" si="15"/>
        <v>580</v>
      </c>
      <c r="AF23" s="31">
        <f t="shared" si="15"/>
        <v>1790</v>
      </c>
    </row>
    <row r="24" spans="2:32" ht="23.1" customHeight="1" x14ac:dyDescent="0.25">
      <c r="B24" s="45" t="s">
        <v>51</v>
      </c>
      <c r="C24" s="50">
        <v>57</v>
      </c>
      <c r="D24" s="50">
        <v>18</v>
      </c>
      <c r="E24" s="50">
        <v>7</v>
      </c>
      <c r="F24" s="50">
        <v>50</v>
      </c>
      <c r="G24" s="50">
        <v>1</v>
      </c>
      <c r="H24" s="50">
        <v>1</v>
      </c>
      <c r="I24" s="50">
        <v>10</v>
      </c>
      <c r="J24" s="50">
        <v>4</v>
      </c>
      <c r="K24" s="50">
        <v>4</v>
      </c>
      <c r="L24" s="50">
        <v>6</v>
      </c>
      <c r="M24" s="50">
        <v>500</v>
      </c>
      <c r="N24" s="50">
        <v>0</v>
      </c>
      <c r="O24" s="15">
        <f t="shared" si="0"/>
        <v>158</v>
      </c>
      <c r="P24" s="15">
        <f t="shared" si="1"/>
        <v>658</v>
      </c>
      <c r="R24" s="36" t="s">
        <v>148</v>
      </c>
      <c r="S24" s="34">
        <f>SUM(C66:C69)</f>
        <v>251</v>
      </c>
      <c r="T24" s="34">
        <f t="shared" ref="T24:AF24" si="16">SUM(D66:D69)</f>
        <v>128</v>
      </c>
      <c r="U24" s="34">
        <f t="shared" si="16"/>
        <v>38</v>
      </c>
      <c r="V24" s="34">
        <f t="shared" si="16"/>
        <v>150</v>
      </c>
      <c r="W24" s="34">
        <f t="shared" si="16"/>
        <v>5</v>
      </c>
      <c r="X24" s="34">
        <f t="shared" si="16"/>
        <v>1</v>
      </c>
      <c r="Y24" s="34">
        <f t="shared" si="16"/>
        <v>10</v>
      </c>
      <c r="Z24" s="34">
        <f t="shared" si="16"/>
        <v>15</v>
      </c>
      <c r="AA24" s="34">
        <f t="shared" si="16"/>
        <v>4</v>
      </c>
      <c r="AB24" s="34">
        <f t="shared" si="16"/>
        <v>2</v>
      </c>
      <c r="AC24" s="34">
        <f t="shared" si="16"/>
        <v>1105</v>
      </c>
      <c r="AD24" s="34">
        <f t="shared" si="16"/>
        <v>0</v>
      </c>
      <c r="AE24" s="31">
        <f t="shared" si="16"/>
        <v>604</v>
      </c>
      <c r="AF24" s="31">
        <f t="shared" si="16"/>
        <v>1709</v>
      </c>
    </row>
    <row r="25" spans="2:32" ht="23.1" customHeight="1" x14ac:dyDescent="0.25">
      <c r="B25" s="45" t="s">
        <v>52</v>
      </c>
      <c r="C25" s="50">
        <v>47</v>
      </c>
      <c r="D25" s="50">
        <v>15</v>
      </c>
      <c r="E25" s="50">
        <v>16</v>
      </c>
      <c r="F25" s="50">
        <v>68</v>
      </c>
      <c r="G25" s="50">
        <v>2</v>
      </c>
      <c r="H25" s="50">
        <v>1</v>
      </c>
      <c r="I25" s="50">
        <v>10</v>
      </c>
      <c r="J25" s="50">
        <v>2</v>
      </c>
      <c r="K25" s="50">
        <v>3</v>
      </c>
      <c r="L25" s="50">
        <v>3</v>
      </c>
      <c r="M25" s="50">
        <v>523</v>
      </c>
      <c r="N25" s="50">
        <v>0</v>
      </c>
      <c r="O25" s="15">
        <f t="shared" si="0"/>
        <v>167</v>
      </c>
      <c r="P25" s="15">
        <f t="shared" si="1"/>
        <v>690</v>
      </c>
      <c r="R25" s="36" t="s">
        <v>149</v>
      </c>
      <c r="S25" s="34">
        <f>SUM(C70:C73)</f>
        <v>181</v>
      </c>
      <c r="T25" s="34">
        <f t="shared" ref="T25:AF25" si="17">SUM(D70:D73)</f>
        <v>68</v>
      </c>
      <c r="U25" s="34">
        <f t="shared" si="17"/>
        <v>24</v>
      </c>
      <c r="V25" s="34">
        <f t="shared" si="17"/>
        <v>108</v>
      </c>
      <c r="W25" s="34">
        <f t="shared" si="17"/>
        <v>13</v>
      </c>
      <c r="X25" s="34">
        <f t="shared" si="17"/>
        <v>2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705</v>
      </c>
      <c r="AD25" s="34">
        <f t="shared" si="17"/>
        <v>0</v>
      </c>
      <c r="AE25" s="31">
        <f t="shared" si="17"/>
        <v>396</v>
      </c>
      <c r="AF25" s="31">
        <f t="shared" si="17"/>
        <v>1101</v>
      </c>
    </row>
    <row r="26" spans="2:32" ht="23.1" customHeight="1" x14ac:dyDescent="0.25">
      <c r="B26" s="45" t="s">
        <v>53</v>
      </c>
      <c r="C26" s="50">
        <v>39</v>
      </c>
      <c r="D26" s="50">
        <v>17</v>
      </c>
      <c r="E26" s="50">
        <v>12</v>
      </c>
      <c r="F26" s="50">
        <v>87</v>
      </c>
      <c r="G26" s="50">
        <v>6</v>
      </c>
      <c r="H26" s="50">
        <v>0</v>
      </c>
      <c r="I26" s="50">
        <v>9</v>
      </c>
      <c r="J26" s="50">
        <v>1</v>
      </c>
      <c r="K26" s="50">
        <v>1</v>
      </c>
      <c r="L26" s="50">
        <v>6</v>
      </c>
      <c r="M26" s="50">
        <v>570</v>
      </c>
      <c r="N26" s="50">
        <v>0</v>
      </c>
      <c r="O26" s="15">
        <f t="shared" si="0"/>
        <v>178</v>
      </c>
      <c r="P26" s="15">
        <f t="shared" si="1"/>
        <v>748</v>
      </c>
      <c r="R26" s="36" t="s">
        <v>150</v>
      </c>
      <c r="S26" s="34">
        <f>SUM(C74:C77)</f>
        <v>145</v>
      </c>
      <c r="T26" s="34">
        <f t="shared" ref="T26:AF26" si="18">SUM(D74:D77)</f>
        <v>28</v>
      </c>
      <c r="U26" s="34">
        <f t="shared" si="18"/>
        <v>20</v>
      </c>
      <c r="V26" s="34">
        <f t="shared" si="18"/>
        <v>70</v>
      </c>
      <c r="W26" s="34">
        <f t="shared" si="18"/>
        <v>6</v>
      </c>
      <c r="X26" s="34">
        <f t="shared" si="18"/>
        <v>1</v>
      </c>
      <c r="Y26" s="34">
        <f t="shared" si="18"/>
        <v>7</v>
      </c>
      <c r="Z26" s="34">
        <f t="shared" si="18"/>
        <v>7</v>
      </c>
      <c r="AA26" s="34">
        <f t="shared" si="18"/>
        <v>4</v>
      </c>
      <c r="AB26" s="34">
        <f t="shared" si="18"/>
        <v>6</v>
      </c>
      <c r="AC26" s="34">
        <f t="shared" si="18"/>
        <v>511</v>
      </c>
      <c r="AD26" s="34">
        <f t="shared" si="18"/>
        <v>0</v>
      </c>
      <c r="AE26" s="31">
        <f t="shared" si="18"/>
        <v>294</v>
      </c>
      <c r="AF26" s="31">
        <f t="shared" si="18"/>
        <v>805</v>
      </c>
    </row>
    <row r="27" spans="2:32" ht="23.1" customHeight="1" x14ac:dyDescent="0.25">
      <c r="B27" s="45" t="s">
        <v>54</v>
      </c>
      <c r="C27" s="50">
        <v>38</v>
      </c>
      <c r="D27" s="50">
        <v>13</v>
      </c>
      <c r="E27" s="50">
        <v>10</v>
      </c>
      <c r="F27" s="50">
        <v>61</v>
      </c>
      <c r="G27" s="50">
        <v>1</v>
      </c>
      <c r="H27" s="50">
        <v>0</v>
      </c>
      <c r="I27" s="50">
        <v>6</v>
      </c>
      <c r="J27" s="50">
        <v>9</v>
      </c>
      <c r="K27" s="50">
        <v>1</v>
      </c>
      <c r="L27" s="50">
        <v>6</v>
      </c>
      <c r="M27" s="50">
        <v>425</v>
      </c>
      <c r="N27" s="50">
        <v>0</v>
      </c>
      <c r="O27" s="15">
        <f t="shared" si="0"/>
        <v>145</v>
      </c>
      <c r="P27" s="15">
        <f t="shared" si="1"/>
        <v>570</v>
      </c>
      <c r="R27" s="36" t="s">
        <v>151</v>
      </c>
      <c r="S27" s="34">
        <f>SUM(C78:C81)</f>
        <v>94</v>
      </c>
      <c r="T27" s="34">
        <f t="shared" ref="T27:AF27" si="19">SUM(D78:D81)</f>
        <v>12</v>
      </c>
      <c r="U27" s="34">
        <f t="shared" si="19"/>
        <v>7</v>
      </c>
      <c r="V27" s="34">
        <f t="shared" si="19"/>
        <v>36</v>
      </c>
      <c r="W27" s="34">
        <f t="shared" si="19"/>
        <v>0</v>
      </c>
      <c r="X27" s="34">
        <f t="shared" si="19"/>
        <v>2</v>
      </c>
      <c r="Y27" s="34">
        <f t="shared" si="19"/>
        <v>14</v>
      </c>
      <c r="Z27" s="34">
        <f t="shared" si="19"/>
        <v>4</v>
      </c>
      <c r="AA27" s="34">
        <f t="shared" si="19"/>
        <v>1</v>
      </c>
      <c r="AB27" s="34">
        <f t="shared" si="19"/>
        <v>8</v>
      </c>
      <c r="AC27" s="34">
        <f t="shared" si="19"/>
        <v>160</v>
      </c>
      <c r="AD27" s="34">
        <f t="shared" si="19"/>
        <v>0</v>
      </c>
      <c r="AE27" s="31">
        <f t="shared" si="19"/>
        <v>178</v>
      </c>
      <c r="AF27" s="31">
        <f t="shared" si="19"/>
        <v>338</v>
      </c>
    </row>
    <row r="28" spans="2:32" ht="23.1" customHeight="1" x14ac:dyDescent="0.25">
      <c r="B28" s="45" t="s">
        <v>55</v>
      </c>
      <c r="C28" s="50">
        <v>41</v>
      </c>
      <c r="D28" s="50">
        <v>17</v>
      </c>
      <c r="E28" s="50">
        <v>17</v>
      </c>
      <c r="F28" s="50">
        <v>82</v>
      </c>
      <c r="G28" s="50">
        <v>1</v>
      </c>
      <c r="H28" s="50">
        <v>0</v>
      </c>
      <c r="I28" s="50">
        <v>4</v>
      </c>
      <c r="J28" s="50">
        <v>5</v>
      </c>
      <c r="K28" s="50">
        <v>1</v>
      </c>
      <c r="L28" s="50">
        <v>3</v>
      </c>
      <c r="M28" s="50">
        <v>466</v>
      </c>
      <c r="N28" s="50">
        <v>0</v>
      </c>
      <c r="O28" s="15">
        <f t="shared" si="0"/>
        <v>171</v>
      </c>
      <c r="P28" s="15">
        <f t="shared" si="1"/>
        <v>637</v>
      </c>
      <c r="R28" s="36" t="s">
        <v>152</v>
      </c>
      <c r="S28" s="34">
        <f>SUM(C82:C85)</f>
        <v>54</v>
      </c>
      <c r="T28" s="34">
        <f t="shared" ref="T28:AF28" si="20">SUM(D82:D85)</f>
        <v>29</v>
      </c>
      <c r="U28" s="34">
        <f t="shared" si="20"/>
        <v>6</v>
      </c>
      <c r="V28" s="34">
        <f t="shared" si="20"/>
        <v>23</v>
      </c>
      <c r="W28" s="34">
        <f t="shared" si="20"/>
        <v>0</v>
      </c>
      <c r="X28" s="34">
        <f t="shared" si="20"/>
        <v>3</v>
      </c>
      <c r="Y28" s="34">
        <f t="shared" si="20"/>
        <v>12</v>
      </c>
      <c r="Z28" s="34">
        <f t="shared" si="20"/>
        <v>15</v>
      </c>
      <c r="AA28" s="34">
        <f t="shared" si="20"/>
        <v>1</v>
      </c>
      <c r="AB28" s="34">
        <f t="shared" si="20"/>
        <v>62</v>
      </c>
      <c r="AC28" s="34">
        <f t="shared" si="20"/>
        <v>62</v>
      </c>
      <c r="AD28" s="34">
        <f t="shared" si="20"/>
        <v>0</v>
      </c>
      <c r="AE28" s="31">
        <f t="shared" si="20"/>
        <v>205</v>
      </c>
      <c r="AF28" s="31">
        <f t="shared" si="20"/>
        <v>267</v>
      </c>
    </row>
    <row r="29" spans="2:32" ht="23.1" customHeight="1" x14ac:dyDescent="0.25">
      <c r="B29" s="45" t="s">
        <v>56</v>
      </c>
      <c r="C29" s="50">
        <v>62</v>
      </c>
      <c r="D29" s="50">
        <v>23</v>
      </c>
      <c r="E29" s="50">
        <v>13</v>
      </c>
      <c r="F29" s="50">
        <v>90</v>
      </c>
      <c r="G29" s="50">
        <v>2</v>
      </c>
      <c r="H29" s="50">
        <v>2</v>
      </c>
      <c r="I29" s="50">
        <v>13</v>
      </c>
      <c r="J29" s="50">
        <v>4</v>
      </c>
      <c r="K29" s="50">
        <v>2</v>
      </c>
      <c r="L29" s="50">
        <v>9</v>
      </c>
      <c r="M29" s="50">
        <v>410</v>
      </c>
      <c r="N29" s="50">
        <v>0</v>
      </c>
      <c r="O29" s="15">
        <f t="shared" si="0"/>
        <v>220</v>
      </c>
      <c r="P29" s="15">
        <f t="shared" si="1"/>
        <v>630</v>
      </c>
      <c r="R29" s="36" t="s">
        <v>153</v>
      </c>
      <c r="S29" s="34">
        <f>SUM(C86:C89)</f>
        <v>42</v>
      </c>
      <c r="T29" s="34">
        <f t="shared" ref="T29:AF29" si="21">SUM(D86:D89)</f>
        <v>3</v>
      </c>
      <c r="U29" s="34">
        <f t="shared" si="21"/>
        <v>11</v>
      </c>
      <c r="V29" s="34">
        <f t="shared" si="21"/>
        <v>13</v>
      </c>
      <c r="W29" s="34">
        <f t="shared" si="21"/>
        <v>0</v>
      </c>
      <c r="X29" s="34">
        <f t="shared" si="21"/>
        <v>3</v>
      </c>
      <c r="Y29" s="34">
        <f t="shared" si="21"/>
        <v>20</v>
      </c>
      <c r="Z29" s="34">
        <f t="shared" si="21"/>
        <v>12</v>
      </c>
      <c r="AA29" s="34">
        <f t="shared" si="21"/>
        <v>1</v>
      </c>
      <c r="AB29" s="34">
        <f t="shared" si="21"/>
        <v>6</v>
      </c>
      <c r="AC29" s="34">
        <f t="shared" si="21"/>
        <v>44</v>
      </c>
      <c r="AD29" s="34">
        <f t="shared" si="21"/>
        <v>0</v>
      </c>
      <c r="AE29" s="31">
        <f t="shared" si="21"/>
        <v>111</v>
      </c>
      <c r="AF29" s="31">
        <f t="shared" si="21"/>
        <v>155</v>
      </c>
    </row>
    <row r="30" spans="2:32" ht="23.1" customHeight="1" x14ac:dyDescent="0.25">
      <c r="B30" s="45" t="s">
        <v>57</v>
      </c>
      <c r="C30" s="50">
        <v>52</v>
      </c>
      <c r="D30" s="50">
        <v>16</v>
      </c>
      <c r="E30" s="50">
        <v>6</v>
      </c>
      <c r="F30" s="50">
        <v>70</v>
      </c>
      <c r="G30" s="50">
        <v>3</v>
      </c>
      <c r="H30" s="50">
        <v>1</v>
      </c>
      <c r="I30" s="50">
        <v>4</v>
      </c>
      <c r="J30" s="50">
        <v>1</v>
      </c>
      <c r="K30" s="50">
        <v>8</v>
      </c>
      <c r="L30" s="50">
        <v>5</v>
      </c>
      <c r="M30" s="50">
        <v>502</v>
      </c>
      <c r="N30" s="50">
        <v>0</v>
      </c>
      <c r="O30" s="15">
        <f t="shared" si="0"/>
        <v>166</v>
      </c>
      <c r="P30" s="15">
        <f t="shared" si="1"/>
        <v>668</v>
      </c>
      <c r="R30" s="36" t="s">
        <v>154</v>
      </c>
      <c r="S30" s="34">
        <f>SUM(C90:C93)</f>
        <v>40</v>
      </c>
      <c r="T30" s="34">
        <f t="shared" ref="T30:AF30" si="22">SUM(D90:D93)</f>
        <v>5</v>
      </c>
      <c r="U30" s="34">
        <f t="shared" si="22"/>
        <v>9</v>
      </c>
      <c r="V30" s="34">
        <f t="shared" si="22"/>
        <v>23</v>
      </c>
      <c r="W30" s="34">
        <f t="shared" si="22"/>
        <v>0</v>
      </c>
      <c r="X30" s="34">
        <f t="shared" si="22"/>
        <v>0</v>
      </c>
      <c r="Y30" s="34">
        <f t="shared" si="22"/>
        <v>12</v>
      </c>
      <c r="Z30" s="34">
        <f t="shared" si="22"/>
        <v>20</v>
      </c>
      <c r="AA30" s="34">
        <f t="shared" si="22"/>
        <v>2</v>
      </c>
      <c r="AB30" s="34">
        <f t="shared" si="22"/>
        <v>2</v>
      </c>
      <c r="AC30" s="34">
        <f t="shared" si="22"/>
        <v>33</v>
      </c>
      <c r="AD30" s="34">
        <f t="shared" si="22"/>
        <v>0</v>
      </c>
      <c r="AE30" s="31">
        <f t="shared" si="22"/>
        <v>113</v>
      </c>
      <c r="AF30" s="31">
        <f t="shared" si="22"/>
        <v>146</v>
      </c>
    </row>
    <row r="31" spans="2:32" ht="23.1" customHeight="1" x14ac:dyDescent="0.25">
      <c r="B31" s="46" t="s">
        <v>58</v>
      </c>
      <c r="C31" s="50">
        <v>50</v>
      </c>
      <c r="D31" s="50">
        <v>17</v>
      </c>
      <c r="E31" s="50">
        <v>14</v>
      </c>
      <c r="F31" s="50">
        <v>50</v>
      </c>
      <c r="G31" s="50">
        <v>1</v>
      </c>
      <c r="H31" s="50">
        <v>0</v>
      </c>
      <c r="I31" s="50">
        <v>7</v>
      </c>
      <c r="J31" s="50">
        <v>6</v>
      </c>
      <c r="K31" s="50">
        <v>3</v>
      </c>
      <c r="L31" s="50">
        <v>3</v>
      </c>
      <c r="M31" s="50">
        <v>420</v>
      </c>
      <c r="N31" s="50">
        <v>0</v>
      </c>
      <c r="O31" s="15">
        <f t="shared" si="0"/>
        <v>151</v>
      </c>
      <c r="P31" s="15">
        <f t="shared" si="1"/>
        <v>571</v>
      </c>
      <c r="R31" s="36" t="s">
        <v>155</v>
      </c>
      <c r="S31" s="34">
        <f>SUM(C94:C97)</f>
        <v>24</v>
      </c>
      <c r="T31" s="34">
        <f t="shared" ref="T31:AF31" si="23">SUM(D94:D97)</f>
        <v>11</v>
      </c>
      <c r="U31" s="34">
        <f t="shared" si="23"/>
        <v>3</v>
      </c>
      <c r="V31" s="34">
        <f t="shared" si="23"/>
        <v>20</v>
      </c>
      <c r="W31" s="34">
        <f t="shared" si="23"/>
        <v>4</v>
      </c>
      <c r="X31" s="34">
        <f t="shared" si="23"/>
        <v>1</v>
      </c>
      <c r="Y31" s="34">
        <f t="shared" si="23"/>
        <v>16</v>
      </c>
      <c r="Z31" s="34">
        <f t="shared" si="23"/>
        <v>13</v>
      </c>
      <c r="AA31" s="34">
        <f t="shared" si="23"/>
        <v>2</v>
      </c>
      <c r="AB31" s="34">
        <f t="shared" si="23"/>
        <v>7</v>
      </c>
      <c r="AC31" s="34">
        <f t="shared" si="23"/>
        <v>23</v>
      </c>
      <c r="AD31" s="34">
        <f t="shared" si="23"/>
        <v>0</v>
      </c>
      <c r="AE31" s="31">
        <f t="shared" si="23"/>
        <v>101</v>
      </c>
      <c r="AF31" s="31">
        <f t="shared" si="23"/>
        <v>124</v>
      </c>
    </row>
    <row r="32" spans="2:32" ht="23.1" customHeight="1" x14ac:dyDescent="0.25">
      <c r="B32" s="46" t="s">
        <v>59</v>
      </c>
      <c r="C32" s="50">
        <v>40</v>
      </c>
      <c r="D32" s="50">
        <v>14</v>
      </c>
      <c r="E32" s="50">
        <v>15</v>
      </c>
      <c r="F32" s="50">
        <v>49</v>
      </c>
      <c r="G32" s="50">
        <v>0</v>
      </c>
      <c r="H32" s="50">
        <v>0</v>
      </c>
      <c r="I32" s="50">
        <v>16</v>
      </c>
      <c r="J32" s="50">
        <v>5</v>
      </c>
      <c r="K32" s="50">
        <v>0</v>
      </c>
      <c r="L32" s="50">
        <v>10</v>
      </c>
      <c r="M32" s="50">
        <v>365</v>
      </c>
      <c r="N32" s="50">
        <v>0</v>
      </c>
      <c r="O32" s="15">
        <f t="shared" si="0"/>
        <v>149</v>
      </c>
      <c r="P32" s="15">
        <f t="shared" si="1"/>
        <v>514</v>
      </c>
      <c r="R32" s="33" t="s">
        <v>156</v>
      </c>
      <c r="S32" s="34">
        <f>SUM(C98:C101)</f>
        <v>42</v>
      </c>
      <c r="T32" s="34">
        <f t="shared" ref="T32:AF32" si="24">SUM(D98:D101)</f>
        <v>9</v>
      </c>
      <c r="U32" s="34">
        <f t="shared" si="24"/>
        <v>8</v>
      </c>
      <c r="V32" s="34">
        <f t="shared" si="24"/>
        <v>66</v>
      </c>
      <c r="W32" s="34">
        <f t="shared" si="24"/>
        <v>3</v>
      </c>
      <c r="X32" s="34">
        <f t="shared" si="24"/>
        <v>2</v>
      </c>
      <c r="Y32" s="34">
        <f t="shared" si="24"/>
        <v>11</v>
      </c>
      <c r="Z32" s="34">
        <f t="shared" si="24"/>
        <v>20</v>
      </c>
      <c r="AA32" s="34">
        <f t="shared" si="24"/>
        <v>5</v>
      </c>
      <c r="AB32" s="34">
        <f t="shared" si="24"/>
        <v>9</v>
      </c>
      <c r="AC32" s="34">
        <f t="shared" si="24"/>
        <v>51</v>
      </c>
      <c r="AD32" s="34">
        <f t="shared" si="24"/>
        <v>0</v>
      </c>
      <c r="AE32" s="31">
        <f t="shared" si="24"/>
        <v>175</v>
      </c>
      <c r="AF32" s="31">
        <f t="shared" si="24"/>
        <v>226</v>
      </c>
    </row>
    <row r="33" spans="2:32" ht="23.1" customHeight="1" x14ac:dyDescent="0.25">
      <c r="B33" s="45" t="s">
        <v>60</v>
      </c>
      <c r="C33" s="50">
        <v>68</v>
      </c>
      <c r="D33" s="50">
        <v>24</v>
      </c>
      <c r="E33" s="50">
        <v>19</v>
      </c>
      <c r="F33" s="50">
        <v>83</v>
      </c>
      <c r="G33" s="50">
        <v>1</v>
      </c>
      <c r="H33" s="50">
        <v>0</v>
      </c>
      <c r="I33" s="50">
        <v>6</v>
      </c>
      <c r="J33" s="50">
        <v>5</v>
      </c>
      <c r="K33" s="50">
        <v>1</v>
      </c>
      <c r="L33" s="50">
        <v>5</v>
      </c>
      <c r="M33" s="50">
        <v>440</v>
      </c>
      <c r="N33" s="50">
        <v>0</v>
      </c>
      <c r="O33" s="15">
        <f t="shared" si="0"/>
        <v>212</v>
      </c>
      <c r="P33" s="15">
        <f t="shared" si="1"/>
        <v>652</v>
      </c>
      <c r="R33" s="33" t="s">
        <v>157</v>
      </c>
      <c r="S33" s="34">
        <f>SUM(C102:C105)</f>
        <v>98</v>
      </c>
      <c r="T33" s="34">
        <f t="shared" ref="T33:AF33" si="25">SUM(D102:D105)</f>
        <v>18</v>
      </c>
      <c r="U33" s="34">
        <f t="shared" si="25"/>
        <v>36</v>
      </c>
      <c r="V33" s="34">
        <f t="shared" si="25"/>
        <v>150</v>
      </c>
      <c r="W33" s="34">
        <f t="shared" si="25"/>
        <v>3</v>
      </c>
      <c r="X33" s="34">
        <f t="shared" si="25"/>
        <v>5</v>
      </c>
      <c r="Y33" s="34">
        <f t="shared" si="25"/>
        <v>17</v>
      </c>
      <c r="Z33" s="34">
        <f t="shared" si="25"/>
        <v>17</v>
      </c>
      <c r="AA33" s="34">
        <f t="shared" si="25"/>
        <v>4</v>
      </c>
      <c r="AB33" s="34">
        <f t="shared" si="25"/>
        <v>12</v>
      </c>
      <c r="AC33" s="34">
        <f t="shared" si="25"/>
        <v>82</v>
      </c>
      <c r="AD33" s="34">
        <f t="shared" si="25"/>
        <v>0</v>
      </c>
      <c r="AE33" s="31">
        <f t="shared" si="25"/>
        <v>360</v>
      </c>
      <c r="AF33" s="31">
        <f t="shared" si="25"/>
        <v>442</v>
      </c>
    </row>
    <row r="34" spans="2:32" ht="23.1" customHeight="1" x14ac:dyDescent="0.25">
      <c r="B34" s="46" t="s">
        <v>61</v>
      </c>
      <c r="C34" s="50">
        <v>46</v>
      </c>
      <c r="D34" s="50">
        <v>31</v>
      </c>
      <c r="E34" s="50">
        <v>22</v>
      </c>
      <c r="F34" s="50">
        <v>59</v>
      </c>
      <c r="G34" s="50">
        <v>1</v>
      </c>
      <c r="H34" s="50">
        <v>0</v>
      </c>
      <c r="I34" s="50">
        <v>13</v>
      </c>
      <c r="J34" s="50">
        <v>2</v>
      </c>
      <c r="K34" s="50">
        <v>4</v>
      </c>
      <c r="L34" s="50">
        <v>9</v>
      </c>
      <c r="M34" s="50">
        <v>420</v>
      </c>
      <c r="N34" s="50">
        <v>0</v>
      </c>
      <c r="O34" s="15">
        <f t="shared" si="0"/>
        <v>187</v>
      </c>
      <c r="P34" s="15">
        <f t="shared" si="1"/>
        <v>607</v>
      </c>
      <c r="R34" s="38" t="s">
        <v>90</v>
      </c>
      <c r="S34" s="39">
        <f t="shared" ref="S34:AF34" si="26">MAX(S10:S12)</f>
        <v>125</v>
      </c>
      <c r="T34" s="39">
        <f t="shared" si="26"/>
        <v>48</v>
      </c>
      <c r="U34" s="39">
        <f t="shared" si="26"/>
        <v>31</v>
      </c>
      <c r="V34" s="39">
        <f t="shared" si="26"/>
        <v>250</v>
      </c>
      <c r="W34" s="39">
        <f t="shared" si="26"/>
        <v>12</v>
      </c>
      <c r="X34" s="39">
        <f t="shared" si="26"/>
        <v>2</v>
      </c>
      <c r="Y34" s="39">
        <f t="shared" si="26"/>
        <v>21</v>
      </c>
      <c r="Z34" s="39">
        <f t="shared" si="26"/>
        <v>18</v>
      </c>
      <c r="AA34" s="39">
        <f t="shared" si="26"/>
        <v>13</v>
      </c>
      <c r="AB34" s="39">
        <f t="shared" si="26"/>
        <v>15</v>
      </c>
      <c r="AC34" s="39">
        <f t="shared" si="26"/>
        <v>1600</v>
      </c>
      <c r="AD34" s="39">
        <f t="shared" si="26"/>
        <v>0</v>
      </c>
      <c r="AE34" s="40">
        <f t="shared" si="26"/>
        <v>503</v>
      </c>
      <c r="AF34" s="40">
        <f t="shared" si="26"/>
        <v>2091</v>
      </c>
    </row>
    <row r="35" spans="2:32" ht="23.1" customHeight="1" x14ac:dyDescent="0.25">
      <c r="B35" s="46" t="s">
        <v>62</v>
      </c>
      <c r="C35" s="50">
        <v>35</v>
      </c>
      <c r="D35" s="50">
        <v>23</v>
      </c>
      <c r="E35" s="50">
        <v>12</v>
      </c>
      <c r="F35" s="50">
        <v>36</v>
      </c>
      <c r="G35" s="50">
        <v>1</v>
      </c>
      <c r="H35" s="50">
        <v>1</v>
      </c>
      <c r="I35" s="50">
        <v>8</v>
      </c>
      <c r="J35" s="50">
        <v>3</v>
      </c>
      <c r="K35" s="50">
        <v>0</v>
      </c>
      <c r="L35" s="50">
        <v>3</v>
      </c>
      <c r="M35" s="50">
        <v>435</v>
      </c>
      <c r="N35" s="50">
        <v>0</v>
      </c>
      <c r="O35" s="15">
        <f t="shared" si="0"/>
        <v>122</v>
      </c>
      <c r="P35" s="15">
        <f t="shared" si="1"/>
        <v>557</v>
      </c>
      <c r="R35" s="38" t="s">
        <v>91</v>
      </c>
      <c r="S35" s="39">
        <f t="shared" ref="S35:AF35" si="27">MAX(S13:S18)</f>
        <v>210</v>
      </c>
      <c r="T35" s="39">
        <f t="shared" si="27"/>
        <v>98</v>
      </c>
      <c r="U35" s="39">
        <f t="shared" si="27"/>
        <v>54</v>
      </c>
      <c r="V35" s="39">
        <f t="shared" si="27"/>
        <v>320</v>
      </c>
      <c r="W35" s="39">
        <f t="shared" si="27"/>
        <v>11</v>
      </c>
      <c r="X35" s="39">
        <f t="shared" si="27"/>
        <v>5</v>
      </c>
      <c r="Y35" s="39">
        <f t="shared" si="27"/>
        <v>40</v>
      </c>
      <c r="Z35" s="39">
        <f t="shared" si="27"/>
        <v>21</v>
      </c>
      <c r="AA35" s="39">
        <f t="shared" si="27"/>
        <v>12</v>
      </c>
      <c r="AB35" s="39">
        <f t="shared" si="27"/>
        <v>24</v>
      </c>
      <c r="AC35" s="39">
        <f t="shared" si="27"/>
        <v>1871</v>
      </c>
      <c r="AD35" s="39">
        <f t="shared" si="27"/>
        <v>0</v>
      </c>
      <c r="AE35" s="40">
        <f t="shared" si="27"/>
        <v>714</v>
      </c>
      <c r="AF35" s="40">
        <f t="shared" si="27"/>
        <v>2585</v>
      </c>
    </row>
    <row r="36" spans="2:32" ht="23.1" customHeight="1" x14ac:dyDescent="0.25">
      <c r="B36" s="46" t="s">
        <v>63</v>
      </c>
      <c r="C36" s="50">
        <v>32</v>
      </c>
      <c r="D36" s="50">
        <v>13</v>
      </c>
      <c r="E36" s="50">
        <v>7</v>
      </c>
      <c r="F36" s="50">
        <v>61</v>
      </c>
      <c r="G36" s="50">
        <v>2</v>
      </c>
      <c r="H36" s="50">
        <v>1</v>
      </c>
      <c r="I36" s="50">
        <v>9</v>
      </c>
      <c r="J36" s="50">
        <v>3</v>
      </c>
      <c r="K36" s="50">
        <v>2</v>
      </c>
      <c r="L36" s="50">
        <v>4</v>
      </c>
      <c r="M36" s="50">
        <v>395</v>
      </c>
      <c r="N36" s="50">
        <v>0</v>
      </c>
      <c r="O36" s="15">
        <f t="shared" si="0"/>
        <v>134</v>
      </c>
      <c r="P36" s="15">
        <f t="shared" si="1"/>
        <v>529</v>
      </c>
      <c r="R36" s="38" t="s">
        <v>92</v>
      </c>
      <c r="S36" s="39">
        <f t="shared" ref="S36:AF36" si="28">MAX(S19:S21)</f>
        <v>551</v>
      </c>
      <c r="T36" s="39">
        <f t="shared" si="28"/>
        <v>205</v>
      </c>
      <c r="U36" s="39">
        <f t="shared" si="28"/>
        <v>116</v>
      </c>
      <c r="V36" s="39">
        <f t="shared" si="28"/>
        <v>231</v>
      </c>
      <c r="W36" s="39">
        <f t="shared" si="28"/>
        <v>6</v>
      </c>
      <c r="X36" s="39">
        <f t="shared" si="28"/>
        <v>1</v>
      </c>
      <c r="Y36" s="39">
        <f t="shared" si="28"/>
        <v>29</v>
      </c>
      <c r="Z36" s="39">
        <f t="shared" si="28"/>
        <v>16</v>
      </c>
      <c r="AA36" s="39">
        <f t="shared" si="28"/>
        <v>9</v>
      </c>
      <c r="AB36" s="39">
        <f t="shared" si="28"/>
        <v>18</v>
      </c>
      <c r="AC36" s="39">
        <f t="shared" si="28"/>
        <v>1962</v>
      </c>
      <c r="AD36" s="39">
        <f t="shared" si="28"/>
        <v>0</v>
      </c>
      <c r="AE36" s="40">
        <f t="shared" si="28"/>
        <v>1142</v>
      </c>
      <c r="AF36" s="40">
        <f t="shared" si="28"/>
        <v>3104</v>
      </c>
    </row>
    <row r="37" spans="2:32" ht="23.1" customHeight="1" x14ac:dyDescent="0.25">
      <c r="B37" s="45" t="s">
        <v>64</v>
      </c>
      <c r="C37" s="50">
        <v>41</v>
      </c>
      <c r="D37" s="50">
        <v>14</v>
      </c>
      <c r="E37" s="50">
        <v>12</v>
      </c>
      <c r="F37" s="50">
        <v>55</v>
      </c>
      <c r="G37" s="50">
        <v>1</v>
      </c>
      <c r="H37" s="50">
        <v>0</v>
      </c>
      <c r="I37" s="50">
        <v>10</v>
      </c>
      <c r="J37" s="50">
        <v>7</v>
      </c>
      <c r="K37" s="50">
        <v>2</v>
      </c>
      <c r="L37" s="50">
        <v>6</v>
      </c>
      <c r="M37" s="50">
        <v>360</v>
      </c>
      <c r="N37" s="50">
        <v>0</v>
      </c>
      <c r="O37" s="15">
        <f t="shared" si="0"/>
        <v>148</v>
      </c>
      <c r="P37" s="15">
        <f t="shared" si="1"/>
        <v>508</v>
      </c>
      <c r="R37" s="37" t="s">
        <v>85</v>
      </c>
      <c r="S37" s="35">
        <f t="shared" ref="S37:AF37" si="29">SUM(S10:S12)</f>
        <v>340</v>
      </c>
      <c r="T37" s="16">
        <f t="shared" si="29"/>
        <v>125</v>
      </c>
      <c r="U37" s="16">
        <f t="shared" si="29"/>
        <v>75</v>
      </c>
      <c r="V37" s="16">
        <f t="shared" si="29"/>
        <v>669</v>
      </c>
      <c r="W37" s="16">
        <f t="shared" si="29"/>
        <v>27</v>
      </c>
      <c r="X37" s="16">
        <f t="shared" si="29"/>
        <v>4</v>
      </c>
      <c r="Y37" s="16">
        <f t="shared" si="29"/>
        <v>49</v>
      </c>
      <c r="Z37" s="16">
        <f t="shared" si="29"/>
        <v>37</v>
      </c>
      <c r="AA37" s="16">
        <f t="shared" si="29"/>
        <v>19</v>
      </c>
      <c r="AB37" s="16">
        <f t="shared" si="29"/>
        <v>28</v>
      </c>
      <c r="AC37" s="16">
        <f t="shared" si="29"/>
        <v>3973</v>
      </c>
      <c r="AD37" s="16">
        <f t="shared" si="29"/>
        <v>0</v>
      </c>
      <c r="AE37" s="32">
        <f t="shared" si="29"/>
        <v>1373</v>
      </c>
      <c r="AF37" s="32">
        <f t="shared" si="29"/>
        <v>5346</v>
      </c>
    </row>
    <row r="38" spans="2:32" ht="23.1" customHeight="1" x14ac:dyDescent="0.25">
      <c r="B38" s="46" t="s">
        <v>65</v>
      </c>
      <c r="C38" s="50">
        <v>37</v>
      </c>
      <c r="D38" s="50">
        <v>23</v>
      </c>
      <c r="E38" s="50">
        <v>8</v>
      </c>
      <c r="F38" s="50">
        <v>70</v>
      </c>
      <c r="G38" s="50">
        <v>1</v>
      </c>
      <c r="H38" s="50">
        <v>0</v>
      </c>
      <c r="I38" s="50">
        <v>8</v>
      </c>
      <c r="J38" s="50">
        <v>4</v>
      </c>
      <c r="K38" s="50">
        <v>2</v>
      </c>
      <c r="L38" s="50">
        <v>2</v>
      </c>
      <c r="M38" s="50">
        <v>403</v>
      </c>
      <c r="N38" s="50">
        <v>0</v>
      </c>
      <c r="O38" s="15">
        <f t="shared" si="0"/>
        <v>155</v>
      </c>
      <c r="P38" s="15">
        <f t="shared" si="1"/>
        <v>558</v>
      </c>
      <c r="R38" s="28" t="s">
        <v>86</v>
      </c>
      <c r="S38" s="16">
        <f t="shared" ref="S38:AF38" si="30">SUM(S13:S18)</f>
        <v>1063</v>
      </c>
      <c r="T38" s="16">
        <f t="shared" si="30"/>
        <v>462</v>
      </c>
      <c r="U38" s="16">
        <f t="shared" si="30"/>
        <v>278</v>
      </c>
      <c r="V38" s="16">
        <f t="shared" si="30"/>
        <v>1502</v>
      </c>
      <c r="W38" s="16">
        <f t="shared" si="30"/>
        <v>41</v>
      </c>
      <c r="X38" s="16">
        <f t="shared" si="30"/>
        <v>18</v>
      </c>
      <c r="Y38" s="16">
        <f t="shared" si="30"/>
        <v>195</v>
      </c>
      <c r="Z38" s="16">
        <f t="shared" si="30"/>
        <v>107</v>
      </c>
      <c r="AA38" s="16">
        <f t="shared" si="30"/>
        <v>43</v>
      </c>
      <c r="AB38" s="16">
        <f t="shared" si="30"/>
        <v>131</v>
      </c>
      <c r="AC38" s="16">
        <f t="shared" si="30"/>
        <v>9849</v>
      </c>
      <c r="AD38" s="16">
        <f t="shared" si="30"/>
        <v>0</v>
      </c>
      <c r="AE38" s="32">
        <f t="shared" si="30"/>
        <v>3840</v>
      </c>
      <c r="AF38" s="32">
        <f t="shared" si="30"/>
        <v>13689</v>
      </c>
    </row>
    <row r="39" spans="2:32" ht="23.1" customHeight="1" x14ac:dyDescent="0.25">
      <c r="B39" s="46" t="s">
        <v>66</v>
      </c>
      <c r="C39" s="50">
        <v>29</v>
      </c>
      <c r="D39" s="50">
        <v>25</v>
      </c>
      <c r="E39" s="50">
        <v>10</v>
      </c>
      <c r="F39" s="50">
        <v>64</v>
      </c>
      <c r="G39" s="50">
        <v>0</v>
      </c>
      <c r="H39" s="50">
        <v>3</v>
      </c>
      <c r="I39" s="50">
        <v>4</v>
      </c>
      <c r="J39" s="50">
        <v>4</v>
      </c>
      <c r="K39" s="50">
        <v>1</v>
      </c>
      <c r="L39" s="50">
        <v>6</v>
      </c>
      <c r="M39" s="50">
        <v>450</v>
      </c>
      <c r="N39" s="50">
        <v>0</v>
      </c>
      <c r="O39" s="15">
        <f t="shared" si="0"/>
        <v>146</v>
      </c>
      <c r="P39" s="15">
        <f t="shared" si="1"/>
        <v>596</v>
      </c>
      <c r="R39" s="29" t="s">
        <v>87</v>
      </c>
      <c r="S39" s="16">
        <f t="shared" ref="S39:AF39" si="31">SUM(S19:S21)</f>
        <v>1359</v>
      </c>
      <c r="T39" s="16">
        <f t="shared" si="31"/>
        <v>516</v>
      </c>
      <c r="U39" s="16">
        <f t="shared" si="31"/>
        <v>237</v>
      </c>
      <c r="V39" s="16">
        <f t="shared" si="31"/>
        <v>664</v>
      </c>
      <c r="W39" s="16">
        <f t="shared" si="31"/>
        <v>15</v>
      </c>
      <c r="X39" s="16">
        <f t="shared" si="31"/>
        <v>3</v>
      </c>
      <c r="Y39" s="16">
        <f t="shared" si="31"/>
        <v>83</v>
      </c>
      <c r="Z39" s="16">
        <f t="shared" si="31"/>
        <v>45</v>
      </c>
      <c r="AA39" s="16">
        <f t="shared" si="31"/>
        <v>13</v>
      </c>
      <c r="AB39" s="16">
        <f t="shared" si="31"/>
        <v>36</v>
      </c>
      <c r="AC39" s="16">
        <f t="shared" si="31"/>
        <v>5232</v>
      </c>
      <c r="AD39" s="16">
        <f t="shared" si="31"/>
        <v>0</v>
      </c>
      <c r="AE39" s="32">
        <f t="shared" si="31"/>
        <v>2971</v>
      </c>
      <c r="AF39" s="32">
        <f t="shared" si="31"/>
        <v>8203</v>
      </c>
    </row>
    <row r="40" spans="2:32" ht="23.1" customHeight="1" x14ac:dyDescent="0.25">
      <c r="B40" s="46" t="s">
        <v>67</v>
      </c>
      <c r="C40" s="50">
        <v>34</v>
      </c>
      <c r="D40" s="50">
        <v>17</v>
      </c>
      <c r="E40" s="50">
        <v>9</v>
      </c>
      <c r="F40" s="50">
        <v>62</v>
      </c>
      <c r="G40" s="50">
        <v>2</v>
      </c>
      <c r="H40" s="50">
        <v>1</v>
      </c>
      <c r="I40" s="50">
        <v>3</v>
      </c>
      <c r="J40" s="50">
        <v>3</v>
      </c>
      <c r="K40" s="50">
        <v>0</v>
      </c>
      <c r="L40" s="50">
        <v>7</v>
      </c>
      <c r="M40" s="50">
        <v>345</v>
      </c>
      <c r="N40" s="50">
        <v>0</v>
      </c>
      <c r="O40" s="15">
        <f t="shared" si="0"/>
        <v>138</v>
      </c>
      <c r="P40" s="15">
        <f t="shared" si="1"/>
        <v>483</v>
      </c>
      <c r="R40" s="5" t="s">
        <v>17</v>
      </c>
      <c r="S40" s="16">
        <f t="shared" ref="S40:AF40" si="32">SUM(S10:S21)</f>
        <v>2762</v>
      </c>
      <c r="T40" s="16">
        <f t="shared" si="32"/>
        <v>1103</v>
      </c>
      <c r="U40" s="16">
        <f t="shared" si="32"/>
        <v>590</v>
      </c>
      <c r="V40" s="16">
        <f t="shared" si="32"/>
        <v>2835</v>
      </c>
      <c r="W40" s="16">
        <f t="shared" si="32"/>
        <v>83</v>
      </c>
      <c r="X40" s="16">
        <f t="shared" si="32"/>
        <v>25</v>
      </c>
      <c r="Y40" s="16">
        <f t="shared" si="32"/>
        <v>327</v>
      </c>
      <c r="Z40" s="16">
        <f t="shared" si="32"/>
        <v>189</v>
      </c>
      <c r="AA40" s="16">
        <f t="shared" si="32"/>
        <v>75</v>
      </c>
      <c r="AB40" s="16">
        <f t="shared" si="32"/>
        <v>195</v>
      </c>
      <c r="AC40" s="16">
        <f t="shared" si="32"/>
        <v>19054</v>
      </c>
      <c r="AD40" s="16">
        <f t="shared" si="32"/>
        <v>0</v>
      </c>
      <c r="AE40" s="32">
        <f t="shared" si="32"/>
        <v>8184</v>
      </c>
      <c r="AF40" s="32">
        <f t="shared" si="32"/>
        <v>27238</v>
      </c>
    </row>
    <row r="41" spans="2:32" ht="23.1" customHeight="1" x14ac:dyDescent="0.25">
      <c r="B41" s="45" t="s">
        <v>68</v>
      </c>
      <c r="C41" s="50">
        <v>37</v>
      </c>
      <c r="D41" s="50">
        <v>16</v>
      </c>
      <c r="E41" s="50">
        <v>6</v>
      </c>
      <c r="F41" s="50">
        <v>52</v>
      </c>
      <c r="G41" s="50">
        <v>1</v>
      </c>
      <c r="H41" s="50">
        <v>1</v>
      </c>
      <c r="I41" s="50">
        <v>9</v>
      </c>
      <c r="J41" s="50">
        <v>6</v>
      </c>
      <c r="K41" s="50">
        <v>1</v>
      </c>
      <c r="L41" s="50">
        <v>9</v>
      </c>
      <c r="M41" s="50">
        <v>365</v>
      </c>
      <c r="N41" s="50">
        <v>0</v>
      </c>
      <c r="O41" s="15">
        <f t="shared" si="0"/>
        <v>138</v>
      </c>
      <c r="P41" s="15">
        <f t="shared" si="1"/>
        <v>503</v>
      </c>
      <c r="R41" s="5" t="s">
        <v>159</v>
      </c>
      <c r="S41" s="16">
        <f>SUM(S10:S33)</f>
        <v>4115</v>
      </c>
      <c r="T41" s="16">
        <f t="shared" ref="T41:AF41" si="33">SUM(T10:T33)</f>
        <v>1554</v>
      </c>
      <c r="U41" s="16">
        <f t="shared" si="33"/>
        <v>800</v>
      </c>
      <c r="V41" s="16">
        <f t="shared" si="33"/>
        <v>3877</v>
      </c>
      <c r="W41" s="16">
        <f t="shared" si="33"/>
        <v>148</v>
      </c>
      <c r="X41" s="16">
        <f t="shared" si="33"/>
        <v>51</v>
      </c>
      <c r="Y41" s="16">
        <f t="shared" si="33"/>
        <v>478</v>
      </c>
      <c r="Z41" s="16">
        <f t="shared" si="33"/>
        <v>336</v>
      </c>
      <c r="AA41" s="16">
        <f t="shared" si="33"/>
        <v>110</v>
      </c>
      <c r="AB41" s="16">
        <f t="shared" si="33"/>
        <v>313</v>
      </c>
      <c r="AC41" s="16">
        <f t="shared" si="33"/>
        <v>24160</v>
      </c>
      <c r="AD41" s="16">
        <f t="shared" si="33"/>
        <v>0</v>
      </c>
      <c r="AE41" s="32">
        <f t="shared" si="33"/>
        <v>11782</v>
      </c>
      <c r="AF41" s="32">
        <f t="shared" si="33"/>
        <v>35942</v>
      </c>
    </row>
    <row r="42" spans="2:32" ht="23.1" customHeight="1" x14ac:dyDescent="0.25">
      <c r="B42" s="46" t="s">
        <v>69</v>
      </c>
      <c r="C42" s="50">
        <v>58</v>
      </c>
      <c r="D42" s="50">
        <v>28</v>
      </c>
      <c r="E42" s="50">
        <v>8</v>
      </c>
      <c r="F42" s="50">
        <v>63</v>
      </c>
      <c r="G42" s="50">
        <v>2</v>
      </c>
      <c r="H42" s="50">
        <v>1</v>
      </c>
      <c r="I42" s="50">
        <v>9</v>
      </c>
      <c r="J42" s="50">
        <v>4</v>
      </c>
      <c r="K42" s="50">
        <v>0</v>
      </c>
      <c r="L42" s="50">
        <v>3</v>
      </c>
      <c r="M42" s="50">
        <v>308</v>
      </c>
      <c r="N42" s="50">
        <v>0</v>
      </c>
      <c r="O42" s="15">
        <f t="shared" si="0"/>
        <v>176</v>
      </c>
      <c r="P42" s="15">
        <f t="shared" si="1"/>
        <v>484</v>
      </c>
      <c r="R42" s="5" t="s">
        <v>160</v>
      </c>
      <c r="S42" s="48">
        <f>S41/S40</f>
        <v>1.4898624185372917</v>
      </c>
      <c r="T42" s="48">
        <f t="shared" ref="T42:AF42" si="34">T41/T40</f>
        <v>1.4088848594741614</v>
      </c>
      <c r="U42" s="48">
        <f t="shared" si="34"/>
        <v>1.3559322033898304</v>
      </c>
      <c r="V42" s="48">
        <f t="shared" si="34"/>
        <v>1.3675485008818342</v>
      </c>
      <c r="W42" s="48">
        <f t="shared" si="34"/>
        <v>1.7831325301204819</v>
      </c>
      <c r="X42" s="48">
        <f t="shared" si="34"/>
        <v>2.04</v>
      </c>
      <c r="Y42" s="48">
        <f t="shared" si="34"/>
        <v>1.4617737003058104</v>
      </c>
      <c r="Z42" s="48">
        <f t="shared" si="34"/>
        <v>1.7777777777777777</v>
      </c>
      <c r="AA42" s="48">
        <f t="shared" si="34"/>
        <v>1.4666666666666666</v>
      </c>
      <c r="AB42" s="48">
        <f t="shared" si="34"/>
        <v>1.6051282051282052</v>
      </c>
      <c r="AC42" s="48">
        <f t="shared" si="34"/>
        <v>1.2679752282985199</v>
      </c>
      <c r="AD42" s="48" t="e">
        <f t="shared" si="34"/>
        <v>#DIV/0!</v>
      </c>
      <c r="AE42" s="48">
        <f t="shared" si="34"/>
        <v>1.4396383186705768</v>
      </c>
      <c r="AF42" s="48">
        <f t="shared" si="34"/>
        <v>1.3195535648726044</v>
      </c>
    </row>
    <row r="43" spans="2:32" ht="23.1" customHeight="1" x14ac:dyDescent="0.25">
      <c r="B43" s="45" t="s">
        <v>70</v>
      </c>
      <c r="C43" s="50">
        <v>43</v>
      </c>
      <c r="D43" s="50">
        <v>25</v>
      </c>
      <c r="E43" s="50">
        <v>13</v>
      </c>
      <c r="F43" s="50">
        <v>61</v>
      </c>
      <c r="G43" s="50">
        <v>2</v>
      </c>
      <c r="H43" s="50">
        <v>0</v>
      </c>
      <c r="I43" s="50">
        <v>7</v>
      </c>
      <c r="J43" s="50">
        <v>5</v>
      </c>
      <c r="K43" s="50">
        <v>3</v>
      </c>
      <c r="L43" s="50">
        <v>5</v>
      </c>
      <c r="M43" s="50">
        <v>350</v>
      </c>
      <c r="N43" s="50">
        <v>0</v>
      </c>
      <c r="O43" s="15">
        <f t="shared" si="0"/>
        <v>164</v>
      </c>
      <c r="P43" s="15">
        <f t="shared" si="1"/>
        <v>514</v>
      </c>
    </row>
    <row r="44" spans="2:32" ht="23.1" customHeight="1" x14ac:dyDescent="0.25">
      <c r="B44" s="47" t="s">
        <v>71</v>
      </c>
      <c r="C44" s="50">
        <v>45</v>
      </c>
      <c r="D44" s="50">
        <v>21</v>
      </c>
      <c r="E44" s="50">
        <v>12</v>
      </c>
      <c r="F44" s="50">
        <v>53</v>
      </c>
      <c r="G44" s="50">
        <v>1</v>
      </c>
      <c r="H44" s="50">
        <v>2</v>
      </c>
      <c r="I44" s="50">
        <v>11</v>
      </c>
      <c r="J44" s="50">
        <v>5</v>
      </c>
      <c r="K44" s="50">
        <v>2</v>
      </c>
      <c r="L44" s="50">
        <v>8</v>
      </c>
      <c r="M44" s="50">
        <v>305</v>
      </c>
      <c r="N44" s="50">
        <v>0</v>
      </c>
      <c r="O44" s="15">
        <f t="shared" si="0"/>
        <v>160</v>
      </c>
      <c r="P44" s="15">
        <f t="shared" si="1"/>
        <v>465</v>
      </c>
    </row>
    <row r="45" spans="2:32" ht="23.1" customHeight="1" x14ac:dyDescent="0.25">
      <c r="B45" s="45" t="s">
        <v>72</v>
      </c>
      <c r="C45" s="50">
        <v>53</v>
      </c>
      <c r="D45" s="50">
        <v>24</v>
      </c>
      <c r="E45" s="50">
        <v>17</v>
      </c>
      <c r="F45" s="50">
        <v>61</v>
      </c>
      <c r="G45" s="50">
        <v>1</v>
      </c>
      <c r="H45" s="50">
        <v>0</v>
      </c>
      <c r="I45" s="50">
        <v>5</v>
      </c>
      <c r="J45" s="50">
        <v>4</v>
      </c>
      <c r="K45" s="50">
        <v>0</v>
      </c>
      <c r="L45" s="50">
        <v>6</v>
      </c>
      <c r="M45" s="50">
        <v>357</v>
      </c>
      <c r="N45" s="50">
        <v>0</v>
      </c>
      <c r="O45" s="15">
        <f t="shared" si="0"/>
        <v>171</v>
      </c>
      <c r="P45" s="15">
        <f t="shared" si="1"/>
        <v>528</v>
      </c>
    </row>
    <row r="46" spans="2:32" ht="23.1" customHeight="1" x14ac:dyDescent="0.25">
      <c r="B46" s="46" t="s">
        <v>73</v>
      </c>
      <c r="C46" s="50">
        <v>53</v>
      </c>
      <c r="D46" s="50">
        <v>25</v>
      </c>
      <c r="E46" s="50">
        <v>6</v>
      </c>
      <c r="F46" s="50">
        <v>58</v>
      </c>
      <c r="G46" s="50">
        <v>2</v>
      </c>
      <c r="H46" s="50">
        <v>1</v>
      </c>
      <c r="I46" s="50">
        <v>8</v>
      </c>
      <c r="J46" s="50">
        <v>5</v>
      </c>
      <c r="K46" s="50">
        <v>0</v>
      </c>
      <c r="L46" s="50">
        <v>4</v>
      </c>
      <c r="M46" s="50">
        <v>385</v>
      </c>
      <c r="N46" s="50">
        <v>0</v>
      </c>
      <c r="O46" s="15">
        <f t="shared" si="0"/>
        <v>162</v>
      </c>
      <c r="P46" s="15">
        <f t="shared" si="1"/>
        <v>547</v>
      </c>
      <c r="R46" s="8"/>
      <c r="T46"/>
    </row>
    <row r="47" spans="2:32" ht="23.1" customHeight="1" x14ac:dyDescent="0.25">
      <c r="B47" s="46" t="s">
        <v>74</v>
      </c>
      <c r="C47" s="50">
        <v>60</v>
      </c>
      <c r="D47" s="50">
        <v>27</v>
      </c>
      <c r="E47" s="50">
        <v>8</v>
      </c>
      <c r="F47" s="50">
        <v>58</v>
      </c>
      <c r="G47" s="50">
        <v>1</v>
      </c>
      <c r="H47" s="50">
        <v>0</v>
      </c>
      <c r="I47" s="50">
        <v>6</v>
      </c>
      <c r="J47" s="50">
        <v>4</v>
      </c>
      <c r="K47" s="50">
        <v>3</v>
      </c>
      <c r="L47" s="50">
        <v>6</v>
      </c>
      <c r="M47" s="50">
        <v>320</v>
      </c>
      <c r="N47" s="50">
        <v>0</v>
      </c>
      <c r="O47" s="15">
        <f t="shared" si="0"/>
        <v>173</v>
      </c>
      <c r="P47" s="15">
        <f t="shared" si="1"/>
        <v>493</v>
      </c>
      <c r="R47" s="8"/>
      <c r="T47"/>
    </row>
    <row r="48" spans="2:32" ht="23.1" customHeight="1" x14ac:dyDescent="0.25">
      <c r="B48" s="46" t="s">
        <v>75</v>
      </c>
      <c r="C48" s="50">
        <v>85</v>
      </c>
      <c r="D48" s="50">
        <v>45</v>
      </c>
      <c r="E48" s="50">
        <v>16</v>
      </c>
      <c r="F48" s="50">
        <v>60</v>
      </c>
      <c r="G48" s="50">
        <v>0</v>
      </c>
      <c r="H48" s="50">
        <v>0</v>
      </c>
      <c r="I48" s="50">
        <v>7</v>
      </c>
      <c r="J48" s="50">
        <v>4</v>
      </c>
      <c r="K48" s="50">
        <v>3</v>
      </c>
      <c r="L48" s="50">
        <v>6</v>
      </c>
      <c r="M48" s="50">
        <v>330</v>
      </c>
      <c r="N48" s="50">
        <v>0</v>
      </c>
      <c r="O48" s="15">
        <f t="shared" si="0"/>
        <v>226</v>
      </c>
      <c r="P48" s="15">
        <f t="shared" si="1"/>
        <v>556</v>
      </c>
      <c r="R48" s="8"/>
      <c r="T48"/>
    </row>
    <row r="49" spans="2:20" ht="23.1" customHeight="1" x14ac:dyDescent="0.25">
      <c r="B49" s="45" t="s">
        <v>76</v>
      </c>
      <c r="C49" s="50">
        <v>89</v>
      </c>
      <c r="D49" s="50">
        <v>42</v>
      </c>
      <c r="E49" s="50">
        <v>14</v>
      </c>
      <c r="F49" s="50">
        <v>55</v>
      </c>
      <c r="G49" s="50">
        <v>2</v>
      </c>
      <c r="H49" s="50">
        <v>0</v>
      </c>
      <c r="I49" s="50">
        <v>8</v>
      </c>
      <c r="J49" s="50">
        <v>3</v>
      </c>
      <c r="K49" s="50">
        <v>3</v>
      </c>
      <c r="L49" s="50">
        <v>2</v>
      </c>
      <c r="M49" s="50">
        <v>345</v>
      </c>
      <c r="N49" s="50">
        <v>0</v>
      </c>
      <c r="O49" s="15">
        <f t="shared" si="0"/>
        <v>218</v>
      </c>
      <c r="P49" s="15">
        <f t="shared" si="1"/>
        <v>563</v>
      </c>
      <c r="R49" s="8"/>
      <c r="T49"/>
    </row>
    <row r="50" spans="2:20" ht="23.1" customHeight="1" x14ac:dyDescent="0.25">
      <c r="B50" s="46" t="s">
        <v>77</v>
      </c>
      <c r="C50" s="50">
        <v>94</v>
      </c>
      <c r="D50" s="50">
        <v>40</v>
      </c>
      <c r="E50" s="50">
        <v>12</v>
      </c>
      <c r="F50" s="50">
        <v>46</v>
      </c>
      <c r="G50" s="50">
        <v>0</v>
      </c>
      <c r="H50" s="50">
        <v>1</v>
      </c>
      <c r="I50" s="50">
        <v>6</v>
      </c>
      <c r="J50" s="50">
        <v>4</v>
      </c>
      <c r="K50" s="50">
        <v>1</v>
      </c>
      <c r="L50" s="50">
        <v>2</v>
      </c>
      <c r="M50" s="50">
        <v>435</v>
      </c>
      <c r="N50" s="50">
        <v>0</v>
      </c>
      <c r="O50" s="15">
        <f t="shared" si="0"/>
        <v>206</v>
      </c>
      <c r="P50" s="15">
        <f t="shared" si="1"/>
        <v>641</v>
      </c>
      <c r="R50" s="8"/>
      <c r="T50"/>
    </row>
    <row r="51" spans="2:20" ht="23.1" customHeight="1" x14ac:dyDescent="0.25">
      <c r="B51" s="46" t="s">
        <v>78</v>
      </c>
      <c r="C51" s="50">
        <v>115</v>
      </c>
      <c r="D51" s="50">
        <v>47</v>
      </c>
      <c r="E51" s="50">
        <v>25</v>
      </c>
      <c r="F51" s="50">
        <v>41</v>
      </c>
      <c r="G51" s="50">
        <v>1</v>
      </c>
      <c r="H51" s="50">
        <v>0</v>
      </c>
      <c r="I51" s="50">
        <v>6</v>
      </c>
      <c r="J51" s="50">
        <v>3</v>
      </c>
      <c r="K51" s="50">
        <v>1</v>
      </c>
      <c r="L51" s="50">
        <v>6</v>
      </c>
      <c r="M51" s="50">
        <v>425</v>
      </c>
      <c r="N51" s="50">
        <v>0</v>
      </c>
      <c r="O51" s="15">
        <f t="shared" si="0"/>
        <v>245</v>
      </c>
      <c r="P51" s="15">
        <f t="shared" si="1"/>
        <v>670</v>
      </c>
      <c r="R51" s="8"/>
      <c r="T51"/>
    </row>
    <row r="52" spans="2:20" ht="23.1" customHeight="1" x14ac:dyDescent="0.25">
      <c r="B52" s="46" t="s">
        <v>79</v>
      </c>
      <c r="C52" s="50">
        <v>170</v>
      </c>
      <c r="D52" s="50">
        <v>45</v>
      </c>
      <c r="E52" s="50">
        <v>18</v>
      </c>
      <c r="F52" s="50">
        <v>70</v>
      </c>
      <c r="G52" s="50">
        <v>2</v>
      </c>
      <c r="H52" s="50">
        <v>0</v>
      </c>
      <c r="I52" s="50">
        <v>6</v>
      </c>
      <c r="J52" s="50">
        <v>5</v>
      </c>
      <c r="K52" s="50">
        <v>0</v>
      </c>
      <c r="L52" s="50">
        <v>1</v>
      </c>
      <c r="M52" s="50">
        <v>440</v>
      </c>
      <c r="N52" s="50">
        <v>0</v>
      </c>
      <c r="O52" s="15">
        <f t="shared" si="0"/>
        <v>317</v>
      </c>
      <c r="P52" s="15">
        <f t="shared" si="1"/>
        <v>757</v>
      </c>
      <c r="R52" s="8"/>
      <c r="T52"/>
    </row>
    <row r="53" spans="2:20" ht="23.1" customHeight="1" x14ac:dyDescent="0.25">
      <c r="B53" s="45" t="s">
        <v>80</v>
      </c>
      <c r="C53" s="50">
        <v>142</v>
      </c>
      <c r="D53" s="50">
        <v>40</v>
      </c>
      <c r="E53" s="50">
        <v>22</v>
      </c>
      <c r="F53" s="50">
        <v>62</v>
      </c>
      <c r="G53" s="50">
        <v>1</v>
      </c>
      <c r="H53" s="50">
        <v>0</v>
      </c>
      <c r="I53" s="50">
        <v>9</v>
      </c>
      <c r="J53" s="50">
        <v>4</v>
      </c>
      <c r="K53" s="50">
        <v>0</v>
      </c>
      <c r="L53" s="50">
        <v>2</v>
      </c>
      <c r="M53" s="50">
        <v>590</v>
      </c>
      <c r="N53" s="50">
        <v>0</v>
      </c>
      <c r="O53" s="15">
        <f t="shared" si="0"/>
        <v>282</v>
      </c>
      <c r="P53" s="15">
        <f t="shared" si="1"/>
        <v>872</v>
      </c>
      <c r="R53" s="8"/>
      <c r="T53"/>
    </row>
    <row r="54" spans="2:20" ht="23.1" customHeight="1" x14ac:dyDescent="0.25">
      <c r="B54" s="45" t="s">
        <v>81</v>
      </c>
      <c r="C54" s="50">
        <v>120</v>
      </c>
      <c r="D54" s="50">
        <v>32</v>
      </c>
      <c r="E54" s="50">
        <v>18</v>
      </c>
      <c r="F54" s="50">
        <v>51</v>
      </c>
      <c r="G54" s="50">
        <v>2</v>
      </c>
      <c r="H54" s="50">
        <v>0</v>
      </c>
      <c r="I54" s="50">
        <v>6</v>
      </c>
      <c r="J54" s="50">
        <v>2</v>
      </c>
      <c r="K54" s="50">
        <v>0</v>
      </c>
      <c r="L54" s="50">
        <v>3</v>
      </c>
      <c r="M54" s="50">
        <v>470</v>
      </c>
      <c r="N54" s="50">
        <v>0</v>
      </c>
      <c r="O54" s="15">
        <f t="shared" si="0"/>
        <v>234</v>
      </c>
      <c r="P54" s="15">
        <f t="shared" si="1"/>
        <v>704</v>
      </c>
      <c r="R54" s="8"/>
      <c r="T54"/>
    </row>
    <row r="55" spans="2:20" ht="23.1" customHeight="1" x14ac:dyDescent="0.25">
      <c r="B55" s="45" t="s">
        <v>82</v>
      </c>
      <c r="C55" s="50">
        <v>128</v>
      </c>
      <c r="D55" s="50">
        <v>48</v>
      </c>
      <c r="E55" s="50">
        <v>24</v>
      </c>
      <c r="F55" s="50">
        <v>43</v>
      </c>
      <c r="G55" s="50">
        <v>0</v>
      </c>
      <c r="H55" s="50">
        <v>0</v>
      </c>
      <c r="I55" s="50">
        <v>4</v>
      </c>
      <c r="J55" s="50">
        <v>2</v>
      </c>
      <c r="K55" s="50">
        <v>0</v>
      </c>
      <c r="L55" s="50">
        <v>0</v>
      </c>
      <c r="M55" s="50">
        <v>485</v>
      </c>
      <c r="N55" s="50">
        <v>0</v>
      </c>
      <c r="O55" s="15">
        <f t="shared" si="0"/>
        <v>249</v>
      </c>
      <c r="P55" s="15">
        <f t="shared" si="1"/>
        <v>734</v>
      </c>
      <c r="R55" s="8"/>
      <c r="T55"/>
    </row>
    <row r="56" spans="2:20" ht="23.1" customHeight="1" x14ac:dyDescent="0.25">
      <c r="B56" s="45" t="s">
        <v>83</v>
      </c>
      <c r="C56" s="50">
        <v>150</v>
      </c>
      <c r="D56" s="50">
        <v>66</v>
      </c>
      <c r="E56" s="50">
        <v>39</v>
      </c>
      <c r="F56" s="50">
        <v>65</v>
      </c>
      <c r="G56" s="50">
        <v>1</v>
      </c>
      <c r="H56" s="50">
        <v>0</v>
      </c>
      <c r="I56" s="50">
        <v>4</v>
      </c>
      <c r="J56" s="50">
        <v>3</v>
      </c>
      <c r="K56" s="50">
        <v>0</v>
      </c>
      <c r="L56" s="50">
        <v>2</v>
      </c>
      <c r="M56" s="50">
        <v>467</v>
      </c>
      <c r="N56" s="50">
        <v>0</v>
      </c>
      <c r="O56" s="15">
        <f t="shared" si="0"/>
        <v>330</v>
      </c>
      <c r="P56" s="15">
        <f t="shared" si="1"/>
        <v>797</v>
      </c>
      <c r="R56" s="8"/>
      <c r="T56"/>
    </row>
    <row r="57" spans="2:20" ht="23.1" customHeight="1" x14ac:dyDescent="0.25">
      <c r="B57" s="45" t="s">
        <v>84</v>
      </c>
      <c r="C57" s="50">
        <v>153</v>
      </c>
      <c r="D57" s="50">
        <v>59</v>
      </c>
      <c r="E57" s="50">
        <v>35</v>
      </c>
      <c r="F57" s="50">
        <v>55</v>
      </c>
      <c r="G57" s="50">
        <v>3</v>
      </c>
      <c r="H57" s="50">
        <v>1</v>
      </c>
      <c r="I57" s="50">
        <v>13</v>
      </c>
      <c r="J57" s="50">
        <v>6</v>
      </c>
      <c r="K57" s="50">
        <v>2</v>
      </c>
      <c r="L57" s="50">
        <v>2</v>
      </c>
      <c r="M57" s="50">
        <v>540</v>
      </c>
      <c r="N57" s="50">
        <v>0</v>
      </c>
      <c r="O57" s="15">
        <f t="shared" si="0"/>
        <v>329</v>
      </c>
      <c r="P57" s="15">
        <f t="shared" si="1"/>
        <v>869</v>
      </c>
      <c r="R57" s="8"/>
      <c r="T57"/>
    </row>
    <row r="58" spans="2:20" ht="23.1" customHeight="1" x14ac:dyDescent="0.25">
      <c r="B58" s="45" t="s">
        <v>99</v>
      </c>
      <c r="C58" s="50">
        <v>75</v>
      </c>
      <c r="D58" s="50">
        <v>20</v>
      </c>
      <c r="E58" s="50">
        <v>5</v>
      </c>
      <c r="F58" s="50">
        <v>39</v>
      </c>
      <c r="G58" s="50">
        <v>5</v>
      </c>
      <c r="H58" s="50">
        <v>1</v>
      </c>
      <c r="I58" s="50">
        <v>2</v>
      </c>
      <c r="J58" s="50">
        <v>0</v>
      </c>
      <c r="K58" s="50">
        <v>0</v>
      </c>
      <c r="L58" s="50">
        <v>0</v>
      </c>
      <c r="M58" s="50">
        <v>295</v>
      </c>
      <c r="N58" s="50">
        <v>0</v>
      </c>
      <c r="O58" s="15">
        <f t="shared" ref="O58:O105" si="35">SUM(C58:L58,N58)</f>
        <v>147</v>
      </c>
      <c r="P58" s="15">
        <f t="shared" ref="P58:P105" si="36">SUM(C58:N58)</f>
        <v>442</v>
      </c>
      <c r="R58" s="8"/>
      <c r="T58"/>
    </row>
    <row r="59" spans="2:20" ht="23.1" customHeight="1" x14ac:dyDescent="0.25">
      <c r="B59" s="45" t="s">
        <v>100</v>
      </c>
      <c r="C59" s="50">
        <v>35</v>
      </c>
      <c r="D59" s="50">
        <v>3</v>
      </c>
      <c r="E59" s="50">
        <v>6</v>
      </c>
      <c r="F59" s="50">
        <v>74</v>
      </c>
      <c r="G59" s="50">
        <v>7</v>
      </c>
      <c r="H59" s="50">
        <v>3</v>
      </c>
      <c r="I59" s="50">
        <v>4</v>
      </c>
      <c r="J59" s="50">
        <v>6</v>
      </c>
      <c r="K59" s="50">
        <v>1</v>
      </c>
      <c r="L59" s="50">
        <v>0</v>
      </c>
      <c r="M59" s="50">
        <v>330</v>
      </c>
      <c r="N59" s="50">
        <v>0</v>
      </c>
      <c r="O59" s="15">
        <f t="shared" si="35"/>
        <v>139</v>
      </c>
      <c r="P59" s="15">
        <f t="shared" si="36"/>
        <v>469</v>
      </c>
      <c r="R59" s="8"/>
      <c r="T59"/>
    </row>
    <row r="60" spans="2:20" ht="23.1" customHeight="1" x14ac:dyDescent="0.25">
      <c r="B60" s="45" t="s">
        <v>101</v>
      </c>
      <c r="C60" s="50">
        <v>47</v>
      </c>
      <c r="D60" s="50">
        <v>3</v>
      </c>
      <c r="E60" s="50">
        <v>5</v>
      </c>
      <c r="F60" s="50">
        <v>38</v>
      </c>
      <c r="G60" s="50">
        <v>3</v>
      </c>
      <c r="H60" s="50">
        <v>0</v>
      </c>
      <c r="I60" s="50">
        <v>3</v>
      </c>
      <c r="J60" s="50">
        <v>3</v>
      </c>
      <c r="K60" s="50">
        <v>2</v>
      </c>
      <c r="L60" s="50">
        <v>0</v>
      </c>
      <c r="M60" s="50">
        <v>235</v>
      </c>
      <c r="N60" s="50">
        <v>0</v>
      </c>
      <c r="O60" s="15">
        <f t="shared" si="35"/>
        <v>104</v>
      </c>
      <c r="P60" s="15">
        <f t="shared" si="36"/>
        <v>339</v>
      </c>
      <c r="R60" s="8"/>
      <c r="T60"/>
    </row>
    <row r="61" spans="2:20" ht="23.1" customHeight="1" x14ac:dyDescent="0.25">
      <c r="B61" s="45" t="s">
        <v>102</v>
      </c>
      <c r="C61" s="50">
        <v>6</v>
      </c>
      <c r="D61" s="50">
        <v>5</v>
      </c>
      <c r="E61" s="50">
        <v>1</v>
      </c>
      <c r="F61" s="50">
        <v>63</v>
      </c>
      <c r="G61" s="50">
        <v>4</v>
      </c>
      <c r="H61" s="50">
        <v>1</v>
      </c>
      <c r="I61" s="50">
        <v>7</v>
      </c>
      <c r="J61" s="50">
        <v>2</v>
      </c>
      <c r="K61" s="50">
        <v>1</v>
      </c>
      <c r="L61" s="50">
        <v>1</v>
      </c>
      <c r="M61" s="50">
        <v>260</v>
      </c>
      <c r="N61" s="50">
        <v>0</v>
      </c>
      <c r="O61" s="15">
        <f t="shared" si="35"/>
        <v>91</v>
      </c>
      <c r="P61" s="15">
        <f t="shared" si="36"/>
        <v>351</v>
      </c>
      <c r="R61" s="8"/>
      <c r="T61"/>
    </row>
    <row r="62" spans="2:20" ht="23.1" customHeight="1" x14ac:dyDescent="0.25">
      <c r="B62" s="45" t="s">
        <v>107</v>
      </c>
      <c r="C62" s="50">
        <v>60</v>
      </c>
      <c r="D62" s="50">
        <v>25</v>
      </c>
      <c r="E62" s="50">
        <v>7</v>
      </c>
      <c r="F62" s="50">
        <v>45</v>
      </c>
      <c r="G62" s="50">
        <v>4</v>
      </c>
      <c r="H62" s="50">
        <v>1</v>
      </c>
      <c r="I62" s="50">
        <v>9</v>
      </c>
      <c r="J62" s="50">
        <v>2</v>
      </c>
      <c r="K62" s="50">
        <v>4</v>
      </c>
      <c r="L62" s="50">
        <v>2</v>
      </c>
      <c r="M62" s="50">
        <v>380</v>
      </c>
      <c r="N62" s="50">
        <v>0</v>
      </c>
      <c r="O62" s="15">
        <f t="shared" si="35"/>
        <v>159</v>
      </c>
      <c r="P62" s="15">
        <f t="shared" si="36"/>
        <v>539</v>
      </c>
      <c r="R62" s="8"/>
      <c r="T62"/>
    </row>
    <row r="63" spans="2:20" ht="23.1" customHeight="1" x14ac:dyDescent="0.25">
      <c r="B63" s="45" t="s">
        <v>108</v>
      </c>
      <c r="C63" s="50">
        <v>65</v>
      </c>
      <c r="D63" s="50">
        <v>46</v>
      </c>
      <c r="E63" s="50">
        <v>15</v>
      </c>
      <c r="F63" s="50">
        <v>59</v>
      </c>
      <c r="G63" s="50">
        <v>3</v>
      </c>
      <c r="H63" s="50">
        <v>0</v>
      </c>
      <c r="I63" s="50">
        <v>6</v>
      </c>
      <c r="J63" s="50">
        <v>7</v>
      </c>
      <c r="K63" s="50">
        <v>2</v>
      </c>
      <c r="L63" s="50">
        <v>1</v>
      </c>
      <c r="M63" s="50">
        <v>225</v>
      </c>
      <c r="N63" s="50">
        <v>0</v>
      </c>
      <c r="O63" s="15">
        <f t="shared" si="35"/>
        <v>204</v>
      </c>
      <c r="P63" s="15">
        <f t="shared" si="36"/>
        <v>429</v>
      </c>
      <c r="R63" s="8"/>
      <c r="T63"/>
    </row>
    <row r="64" spans="2:20" ht="23.1" customHeight="1" x14ac:dyDescent="0.25">
      <c r="B64" s="45" t="s">
        <v>109</v>
      </c>
      <c r="C64" s="50">
        <v>64</v>
      </c>
      <c r="D64" s="50">
        <v>29</v>
      </c>
      <c r="E64" s="50">
        <v>6</v>
      </c>
      <c r="F64" s="50">
        <v>48</v>
      </c>
      <c r="G64" s="50">
        <v>3</v>
      </c>
      <c r="H64" s="50">
        <v>0</v>
      </c>
      <c r="I64" s="50">
        <v>1</v>
      </c>
      <c r="J64" s="50">
        <v>1</v>
      </c>
      <c r="K64" s="50">
        <v>1</v>
      </c>
      <c r="L64" s="50">
        <v>0</v>
      </c>
      <c r="M64" s="50">
        <v>310</v>
      </c>
      <c r="N64" s="50">
        <v>0</v>
      </c>
      <c r="O64" s="15">
        <f t="shared" si="35"/>
        <v>153</v>
      </c>
      <c r="P64" s="15">
        <f t="shared" si="36"/>
        <v>463</v>
      </c>
      <c r="R64" s="8"/>
      <c r="T64"/>
    </row>
    <row r="65" spans="2:20" ht="23.1" customHeight="1" x14ac:dyDescent="0.25">
      <c r="B65" s="45" t="s">
        <v>158</v>
      </c>
      <c r="C65" s="50">
        <v>30</v>
      </c>
      <c r="D65" s="50">
        <v>9</v>
      </c>
      <c r="E65" s="50">
        <v>3</v>
      </c>
      <c r="F65" s="50">
        <v>17</v>
      </c>
      <c r="G65" s="50">
        <v>2</v>
      </c>
      <c r="H65" s="50">
        <v>0</v>
      </c>
      <c r="I65" s="50">
        <v>0</v>
      </c>
      <c r="J65" s="50">
        <v>3</v>
      </c>
      <c r="K65" s="50">
        <v>0</v>
      </c>
      <c r="L65" s="50">
        <v>0</v>
      </c>
      <c r="M65" s="50">
        <v>295</v>
      </c>
      <c r="N65" s="50">
        <v>0</v>
      </c>
      <c r="O65" s="15">
        <f t="shared" si="35"/>
        <v>64</v>
      </c>
      <c r="P65" s="15">
        <f t="shared" si="36"/>
        <v>359</v>
      </c>
      <c r="R65" s="8"/>
      <c r="T65"/>
    </row>
    <row r="66" spans="2:20" ht="23.1" customHeight="1" x14ac:dyDescent="0.25">
      <c r="B66" s="45" t="s">
        <v>103</v>
      </c>
      <c r="C66" s="50">
        <v>83</v>
      </c>
      <c r="D66" s="50">
        <v>31</v>
      </c>
      <c r="E66" s="50">
        <v>9</v>
      </c>
      <c r="F66" s="50">
        <v>31</v>
      </c>
      <c r="G66" s="50">
        <v>1</v>
      </c>
      <c r="H66" s="50">
        <v>0</v>
      </c>
      <c r="I66" s="50">
        <v>4</v>
      </c>
      <c r="J66" s="50">
        <v>1</v>
      </c>
      <c r="K66" s="50">
        <v>0</v>
      </c>
      <c r="L66" s="50">
        <v>0</v>
      </c>
      <c r="M66" s="50">
        <v>265</v>
      </c>
      <c r="N66" s="50">
        <v>0</v>
      </c>
      <c r="O66" s="15">
        <f t="shared" si="35"/>
        <v>160</v>
      </c>
      <c r="P66" s="15">
        <f t="shared" si="36"/>
        <v>425</v>
      </c>
      <c r="R66" s="8"/>
      <c r="T66"/>
    </row>
    <row r="67" spans="2:20" ht="23.1" customHeight="1" x14ac:dyDescent="0.25">
      <c r="B67" s="45" t="s">
        <v>104</v>
      </c>
      <c r="C67" s="50">
        <v>60</v>
      </c>
      <c r="D67" s="50">
        <v>29</v>
      </c>
      <c r="E67" s="50">
        <v>16</v>
      </c>
      <c r="F67" s="50">
        <v>49</v>
      </c>
      <c r="G67" s="50">
        <v>1</v>
      </c>
      <c r="H67" s="50">
        <v>1</v>
      </c>
      <c r="I67" s="50">
        <v>3</v>
      </c>
      <c r="J67" s="50">
        <v>2</v>
      </c>
      <c r="K67" s="50">
        <v>1</v>
      </c>
      <c r="L67" s="50">
        <v>1</v>
      </c>
      <c r="M67" s="50">
        <v>280</v>
      </c>
      <c r="N67" s="50">
        <v>0</v>
      </c>
      <c r="O67" s="15">
        <f t="shared" si="35"/>
        <v>163</v>
      </c>
      <c r="P67" s="15">
        <f t="shared" si="36"/>
        <v>443</v>
      </c>
      <c r="R67" s="8"/>
      <c r="T67"/>
    </row>
    <row r="68" spans="2:20" ht="23.1" customHeight="1" x14ac:dyDescent="0.25">
      <c r="B68" s="45" t="s">
        <v>105</v>
      </c>
      <c r="C68" s="50">
        <v>64</v>
      </c>
      <c r="D68" s="50">
        <v>38</v>
      </c>
      <c r="E68" s="50">
        <v>7</v>
      </c>
      <c r="F68" s="50">
        <v>38</v>
      </c>
      <c r="G68" s="50">
        <v>0</v>
      </c>
      <c r="H68" s="50">
        <v>0</v>
      </c>
      <c r="I68" s="50">
        <v>3</v>
      </c>
      <c r="J68" s="50">
        <v>3</v>
      </c>
      <c r="K68" s="50">
        <v>0</v>
      </c>
      <c r="L68" s="50">
        <v>1</v>
      </c>
      <c r="M68" s="50">
        <v>320</v>
      </c>
      <c r="N68" s="50">
        <v>0</v>
      </c>
      <c r="O68" s="15">
        <f t="shared" si="35"/>
        <v>154</v>
      </c>
      <c r="P68" s="15">
        <f t="shared" si="36"/>
        <v>474</v>
      </c>
      <c r="R68" s="8"/>
      <c r="T68"/>
    </row>
    <row r="69" spans="2:20" ht="23.1" customHeight="1" x14ac:dyDescent="0.25">
      <c r="B69" s="45" t="s">
        <v>106</v>
      </c>
      <c r="C69" s="50">
        <v>44</v>
      </c>
      <c r="D69" s="50">
        <v>30</v>
      </c>
      <c r="E69" s="50">
        <v>6</v>
      </c>
      <c r="F69" s="50">
        <v>32</v>
      </c>
      <c r="G69" s="50">
        <v>3</v>
      </c>
      <c r="H69" s="50">
        <v>0</v>
      </c>
      <c r="I69" s="50">
        <v>0</v>
      </c>
      <c r="J69" s="50">
        <v>9</v>
      </c>
      <c r="K69" s="50">
        <v>3</v>
      </c>
      <c r="L69" s="50">
        <v>0</v>
      </c>
      <c r="M69" s="50">
        <v>240</v>
      </c>
      <c r="N69" s="50">
        <v>0</v>
      </c>
      <c r="O69" s="15">
        <f t="shared" si="35"/>
        <v>127</v>
      </c>
      <c r="P69" s="15">
        <f t="shared" si="36"/>
        <v>367</v>
      </c>
      <c r="R69" s="8"/>
      <c r="T69"/>
    </row>
    <row r="70" spans="2:20" ht="23.1" customHeight="1" x14ac:dyDescent="0.25">
      <c r="B70" s="45" t="s">
        <v>110</v>
      </c>
      <c r="C70" s="50">
        <v>30</v>
      </c>
      <c r="D70" s="50">
        <v>9</v>
      </c>
      <c r="E70" s="50">
        <v>4</v>
      </c>
      <c r="F70" s="50">
        <v>37</v>
      </c>
      <c r="G70" s="50">
        <v>2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215</v>
      </c>
      <c r="N70" s="50">
        <v>0</v>
      </c>
      <c r="O70" s="15">
        <f t="shared" si="35"/>
        <v>82</v>
      </c>
      <c r="P70" s="15">
        <f t="shared" si="36"/>
        <v>297</v>
      </c>
      <c r="R70" s="8"/>
      <c r="T70"/>
    </row>
    <row r="71" spans="2:20" ht="23.1" customHeight="1" x14ac:dyDescent="0.25">
      <c r="B71" s="45" t="s">
        <v>111</v>
      </c>
      <c r="C71" s="50">
        <v>51</v>
      </c>
      <c r="D71" s="50">
        <v>22</v>
      </c>
      <c r="E71" s="50">
        <v>7</v>
      </c>
      <c r="F71" s="50">
        <v>21</v>
      </c>
      <c r="G71" s="50">
        <v>4</v>
      </c>
      <c r="H71" s="50">
        <v>1</v>
      </c>
      <c r="I71" s="50">
        <v>0</v>
      </c>
      <c r="J71" s="50">
        <v>0</v>
      </c>
      <c r="K71" s="50">
        <v>0</v>
      </c>
      <c r="L71" s="50">
        <v>0</v>
      </c>
      <c r="M71" s="50">
        <v>170</v>
      </c>
      <c r="N71" s="50">
        <v>0</v>
      </c>
      <c r="O71" s="15">
        <f t="shared" si="35"/>
        <v>106</v>
      </c>
      <c r="P71" s="15">
        <f t="shared" si="36"/>
        <v>276</v>
      </c>
      <c r="R71" s="8"/>
      <c r="T71"/>
    </row>
    <row r="72" spans="2:20" ht="23.1" customHeight="1" x14ac:dyDescent="0.25">
      <c r="B72" s="45" t="s">
        <v>112</v>
      </c>
      <c r="C72" s="50">
        <v>57</v>
      </c>
      <c r="D72" s="50">
        <v>18</v>
      </c>
      <c r="E72" s="50">
        <v>6</v>
      </c>
      <c r="F72" s="50">
        <v>26</v>
      </c>
      <c r="G72" s="50">
        <v>5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160</v>
      </c>
      <c r="N72" s="50">
        <v>0</v>
      </c>
      <c r="O72" s="15">
        <f t="shared" si="35"/>
        <v>112</v>
      </c>
      <c r="P72" s="15">
        <f t="shared" si="36"/>
        <v>272</v>
      </c>
      <c r="R72" s="8"/>
      <c r="T72"/>
    </row>
    <row r="73" spans="2:20" ht="23.1" customHeight="1" x14ac:dyDescent="0.25">
      <c r="B73" s="45" t="s">
        <v>113</v>
      </c>
      <c r="C73" s="50">
        <v>43</v>
      </c>
      <c r="D73" s="50">
        <v>19</v>
      </c>
      <c r="E73" s="50">
        <v>7</v>
      </c>
      <c r="F73" s="50">
        <v>24</v>
      </c>
      <c r="G73" s="50">
        <v>2</v>
      </c>
      <c r="H73" s="50">
        <v>1</v>
      </c>
      <c r="I73" s="50">
        <v>0</v>
      </c>
      <c r="J73" s="50">
        <v>0</v>
      </c>
      <c r="K73" s="50">
        <v>0</v>
      </c>
      <c r="L73" s="50">
        <v>0</v>
      </c>
      <c r="M73" s="50">
        <v>160</v>
      </c>
      <c r="N73" s="50">
        <v>0</v>
      </c>
      <c r="O73" s="15">
        <f t="shared" si="35"/>
        <v>96</v>
      </c>
      <c r="P73" s="15">
        <f t="shared" si="36"/>
        <v>256</v>
      </c>
      <c r="R73" s="8"/>
      <c r="T73"/>
    </row>
    <row r="74" spans="2:20" ht="23.1" customHeight="1" x14ac:dyDescent="0.25">
      <c r="B74" s="45" t="s">
        <v>114</v>
      </c>
      <c r="C74" s="50">
        <v>58</v>
      </c>
      <c r="D74" s="50">
        <v>6</v>
      </c>
      <c r="E74" s="50">
        <v>5</v>
      </c>
      <c r="F74" s="50">
        <v>23</v>
      </c>
      <c r="G74" s="50">
        <v>2</v>
      </c>
      <c r="H74" s="50">
        <v>1</v>
      </c>
      <c r="I74" s="50">
        <v>2</v>
      </c>
      <c r="J74" s="50">
        <v>2</v>
      </c>
      <c r="K74" s="50">
        <v>2</v>
      </c>
      <c r="L74" s="50">
        <v>2</v>
      </c>
      <c r="M74" s="50">
        <v>180</v>
      </c>
      <c r="N74" s="50">
        <v>0</v>
      </c>
      <c r="O74" s="15">
        <f t="shared" si="35"/>
        <v>103</v>
      </c>
      <c r="P74" s="15">
        <f t="shared" si="36"/>
        <v>283</v>
      </c>
      <c r="R74" s="8"/>
      <c r="T74"/>
    </row>
    <row r="75" spans="2:20" ht="23.1" customHeight="1" x14ac:dyDescent="0.25">
      <c r="B75" s="45" t="s">
        <v>115</v>
      </c>
      <c r="C75" s="50">
        <v>28</v>
      </c>
      <c r="D75" s="50">
        <v>8</v>
      </c>
      <c r="E75" s="50">
        <v>9</v>
      </c>
      <c r="F75" s="50">
        <v>16</v>
      </c>
      <c r="G75" s="50">
        <v>1</v>
      </c>
      <c r="H75" s="50">
        <v>0</v>
      </c>
      <c r="I75" s="50">
        <v>0</v>
      </c>
      <c r="J75" s="50">
        <v>3</v>
      </c>
      <c r="K75" s="50">
        <v>0</v>
      </c>
      <c r="L75" s="50">
        <v>1</v>
      </c>
      <c r="M75" s="50">
        <v>160</v>
      </c>
      <c r="N75" s="50">
        <v>0</v>
      </c>
      <c r="O75" s="15">
        <f t="shared" si="35"/>
        <v>66</v>
      </c>
      <c r="P75" s="15">
        <f t="shared" si="36"/>
        <v>226</v>
      </c>
      <c r="R75" s="8"/>
      <c r="T75"/>
    </row>
    <row r="76" spans="2:20" ht="23.1" customHeight="1" x14ac:dyDescent="0.25">
      <c r="B76" s="45" t="s">
        <v>116</v>
      </c>
      <c r="C76" s="50">
        <v>35</v>
      </c>
      <c r="D76" s="50">
        <v>4</v>
      </c>
      <c r="E76" s="50">
        <v>3</v>
      </c>
      <c r="F76" s="50">
        <v>15</v>
      </c>
      <c r="G76" s="50">
        <v>1</v>
      </c>
      <c r="H76" s="50">
        <v>0</v>
      </c>
      <c r="I76" s="50">
        <v>2</v>
      </c>
      <c r="J76" s="50">
        <v>1</v>
      </c>
      <c r="K76" s="50">
        <v>0</v>
      </c>
      <c r="L76" s="50">
        <v>1</v>
      </c>
      <c r="M76" s="50">
        <v>93</v>
      </c>
      <c r="N76" s="50">
        <v>0</v>
      </c>
      <c r="O76" s="15">
        <f t="shared" si="35"/>
        <v>62</v>
      </c>
      <c r="P76" s="15">
        <f t="shared" si="36"/>
        <v>155</v>
      </c>
      <c r="R76" s="8"/>
      <c r="T76"/>
    </row>
    <row r="77" spans="2:20" ht="23.1" customHeight="1" x14ac:dyDescent="0.25">
      <c r="B77" s="45" t="s">
        <v>117</v>
      </c>
      <c r="C77" s="50">
        <v>24</v>
      </c>
      <c r="D77" s="50">
        <v>10</v>
      </c>
      <c r="E77" s="50">
        <v>3</v>
      </c>
      <c r="F77" s="50">
        <v>16</v>
      </c>
      <c r="G77" s="50">
        <v>2</v>
      </c>
      <c r="H77" s="50">
        <v>0</v>
      </c>
      <c r="I77" s="50">
        <v>3</v>
      </c>
      <c r="J77" s="50">
        <v>1</v>
      </c>
      <c r="K77" s="50">
        <v>2</v>
      </c>
      <c r="L77" s="50">
        <v>2</v>
      </c>
      <c r="M77" s="50">
        <v>78</v>
      </c>
      <c r="N77" s="50">
        <v>0</v>
      </c>
      <c r="O77" s="15">
        <f t="shared" si="35"/>
        <v>63</v>
      </c>
      <c r="P77" s="15">
        <f t="shared" si="36"/>
        <v>141</v>
      </c>
      <c r="R77" s="8"/>
      <c r="T77"/>
    </row>
    <row r="78" spans="2:20" ht="23.1" customHeight="1" x14ac:dyDescent="0.25">
      <c r="B78" s="46" t="s">
        <v>118</v>
      </c>
      <c r="C78" s="50">
        <v>34</v>
      </c>
      <c r="D78" s="50">
        <v>5</v>
      </c>
      <c r="E78" s="50">
        <v>3</v>
      </c>
      <c r="F78" s="50">
        <v>11</v>
      </c>
      <c r="G78" s="50">
        <v>0</v>
      </c>
      <c r="H78" s="50">
        <v>2</v>
      </c>
      <c r="I78" s="50">
        <v>2</v>
      </c>
      <c r="J78" s="50">
        <v>3</v>
      </c>
      <c r="K78" s="50">
        <v>1</v>
      </c>
      <c r="L78" s="50">
        <v>0</v>
      </c>
      <c r="M78" s="50">
        <v>85</v>
      </c>
      <c r="N78" s="50">
        <v>0</v>
      </c>
      <c r="O78" s="15">
        <f t="shared" si="35"/>
        <v>61</v>
      </c>
      <c r="P78" s="15">
        <f t="shared" si="36"/>
        <v>146</v>
      </c>
      <c r="R78" s="8"/>
      <c r="T78"/>
    </row>
    <row r="79" spans="2:20" ht="23.1" customHeight="1" x14ac:dyDescent="0.25">
      <c r="B79" s="45" t="s">
        <v>119</v>
      </c>
      <c r="C79" s="50">
        <v>15</v>
      </c>
      <c r="D79" s="50">
        <v>1</v>
      </c>
      <c r="E79" s="50">
        <v>0</v>
      </c>
      <c r="F79" s="50">
        <v>9</v>
      </c>
      <c r="G79" s="50">
        <v>0</v>
      </c>
      <c r="H79" s="50">
        <v>0</v>
      </c>
      <c r="I79" s="50">
        <v>6</v>
      </c>
      <c r="J79" s="50">
        <v>0</v>
      </c>
      <c r="K79" s="50">
        <v>0</v>
      </c>
      <c r="L79" s="50">
        <v>1</v>
      </c>
      <c r="M79" s="50">
        <v>48</v>
      </c>
      <c r="N79" s="50">
        <v>0</v>
      </c>
      <c r="O79" s="15">
        <f t="shared" si="35"/>
        <v>32</v>
      </c>
      <c r="P79" s="15">
        <f t="shared" si="36"/>
        <v>80</v>
      </c>
      <c r="R79" s="8"/>
      <c r="T79"/>
    </row>
    <row r="80" spans="2:20" ht="23.1" customHeight="1" x14ac:dyDescent="0.25">
      <c r="B80" s="47" t="s">
        <v>120</v>
      </c>
      <c r="C80" s="50">
        <v>24</v>
      </c>
      <c r="D80" s="50">
        <v>6</v>
      </c>
      <c r="E80" s="50">
        <v>3</v>
      </c>
      <c r="F80" s="50">
        <v>7</v>
      </c>
      <c r="G80" s="50">
        <v>0</v>
      </c>
      <c r="H80" s="50">
        <v>0</v>
      </c>
      <c r="I80" s="50">
        <v>2</v>
      </c>
      <c r="J80" s="50">
        <v>0</v>
      </c>
      <c r="K80" s="50">
        <v>0</v>
      </c>
      <c r="L80" s="50">
        <v>0</v>
      </c>
      <c r="M80" s="50">
        <v>20</v>
      </c>
      <c r="N80" s="50">
        <v>0</v>
      </c>
      <c r="O80" s="15">
        <f t="shared" si="35"/>
        <v>42</v>
      </c>
      <c r="P80" s="15">
        <f t="shared" si="36"/>
        <v>62</v>
      </c>
      <c r="R80" s="8"/>
      <c r="T80"/>
    </row>
    <row r="81" spans="2:20" ht="23.1" customHeight="1" x14ac:dyDescent="0.25">
      <c r="B81" s="45" t="s">
        <v>121</v>
      </c>
      <c r="C81" s="50">
        <v>21</v>
      </c>
      <c r="D81" s="50">
        <v>0</v>
      </c>
      <c r="E81" s="50">
        <v>1</v>
      </c>
      <c r="F81" s="50">
        <v>9</v>
      </c>
      <c r="G81" s="50">
        <v>0</v>
      </c>
      <c r="H81" s="50">
        <v>0</v>
      </c>
      <c r="I81" s="50">
        <v>4</v>
      </c>
      <c r="J81" s="50">
        <v>1</v>
      </c>
      <c r="K81" s="50">
        <v>0</v>
      </c>
      <c r="L81" s="50">
        <v>7</v>
      </c>
      <c r="M81" s="50">
        <v>7</v>
      </c>
      <c r="N81" s="50">
        <v>0</v>
      </c>
      <c r="O81" s="15">
        <f t="shared" si="35"/>
        <v>43</v>
      </c>
      <c r="P81" s="15">
        <f t="shared" si="36"/>
        <v>50</v>
      </c>
      <c r="R81" s="8"/>
      <c r="T81"/>
    </row>
    <row r="82" spans="2:20" ht="23.1" customHeight="1" x14ac:dyDescent="0.25">
      <c r="B82" s="46" t="s">
        <v>122</v>
      </c>
      <c r="C82" s="50">
        <v>14</v>
      </c>
      <c r="D82" s="50">
        <v>6</v>
      </c>
      <c r="E82" s="50">
        <v>2</v>
      </c>
      <c r="F82" s="50">
        <v>6</v>
      </c>
      <c r="G82" s="50">
        <v>0</v>
      </c>
      <c r="H82" s="50">
        <v>1</v>
      </c>
      <c r="I82" s="50">
        <v>5</v>
      </c>
      <c r="J82" s="50">
        <v>4</v>
      </c>
      <c r="K82" s="50">
        <v>1</v>
      </c>
      <c r="L82" s="50">
        <v>17</v>
      </c>
      <c r="M82" s="50">
        <v>17</v>
      </c>
      <c r="N82" s="50">
        <v>0</v>
      </c>
      <c r="O82" s="15">
        <f t="shared" si="35"/>
        <v>56</v>
      </c>
      <c r="P82" s="15">
        <f t="shared" si="36"/>
        <v>73</v>
      </c>
      <c r="R82" s="8"/>
      <c r="T82"/>
    </row>
    <row r="83" spans="2:20" ht="23.1" customHeight="1" x14ac:dyDescent="0.25">
      <c r="B83" s="45" t="s">
        <v>123</v>
      </c>
      <c r="C83" s="50">
        <v>13</v>
      </c>
      <c r="D83" s="50">
        <v>3</v>
      </c>
      <c r="E83" s="50">
        <v>0</v>
      </c>
      <c r="F83" s="50">
        <v>9</v>
      </c>
      <c r="G83" s="50">
        <v>0</v>
      </c>
      <c r="H83" s="50">
        <v>1</v>
      </c>
      <c r="I83" s="50">
        <v>2</v>
      </c>
      <c r="J83" s="50">
        <v>6</v>
      </c>
      <c r="K83" s="50">
        <v>0</v>
      </c>
      <c r="L83" s="50">
        <v>14</v>
      </c>
      <c r="M83" s="50">
        <v>14</v>
      </c>
      <c r="N83" s="50">
        <v>0</v>
      </c>
      <c r="O83" s="15">
        <f t="shared" si="35"/>
        <v>48</v>
      </c>
      <c r="P83" s="15">
        <f t="shared" si="36"/>
        <v>62</v>
      </c>
      <c r="R83" s="8"/>
      <c r="T83"/>
    </row>
    <row r="84" spans="2:20" ht="23.1" customHeight="1" x14ac:dyDescent="0.25">
      <c r="B84" s="47" t="s">
        <v>124</v>
      </c>
      <c r="C84" s="50">
        <v>12</v>
      </c>
      <c r="D84" s="50">
        <v>17</v>
      </c>
      <c r="E84" s="50">
        <v>3</v>
      </c>
      <c r="F84" s="50">
        <v>4</v>
      </c>
      <c r="G84" s="50">
        <v>0</v>
      </c>
      <c r="H84" s="50">
        <v>0</v>
      </c>
      <c r="I84" s="50">
        <v>1</v>
      </c>
      <c r="J84" s="50">
        <v>2</v>
      </c>
      <c r="K84" s="50">
        <v>0</v>
      </c>
      <c r="L84" s="50">
        <v>19</v>
      </c>
      <c r="M84" s="50">
        <v>19</v>
      </c>
      <c r="N84" s="50">
        <v>0</v>
      </c>
      <c r="O84" s="15">
        <f t="shared" si="35"/>
        <v>58</v>
      </c>
      <c r="P84" s="15">
        <f t="shared" si="36"/>
        <v>77</v>
      </c>
      <c r="R84" s="8"/>
      <c r="T84"/>
    </row>
    <row r="85" spans="2:20" ht="23.1" customHeight="1" x14ac:dyDescent="0.25">
      <c r="B85" s="45" t="s">
        <v>125</v>
      </c>
      <c r="C85" s="50">
        <v>15</v>
      </c>
      <c r="D85" s="50">
        <v>3</v>
      </c>
      <c r="E85" s="50">
        <v>1</v>
      </c>
      <c r="F85" s="50">
        <v>4</v>
      </c>
      <c r="G85" s="50">
        <v>0</v>
      </c>
      <c r="H85" s="50">
        <v>1</v>
      </c>
      <c r="I85" s="50">
        <v>4</v>
      </c>
      <c r="J85" s="50">
        <v>3</v>
      </c>
      <c r="K85" s="50">
        <v>0</v>
      </c>
      <c r="L85" s="50">
        <v>12</v>
      </c>
      <c r="M85" s="50">
        <v>12</v>
      </c>
      <c r="N85" s="50">
        <v>0</v>
      </c>
      <c r="O85" s="15">
        <f t="shared" si="35"/>
        <v>43</v>
      </c>
      <c r="P85" s="15">
        <f t="shared" si="36"/>
        <v>55</v>
      </c>
      <c r="R85" s="8"/>
      <c r="T85"/>
    </row>
    <row r="86" spans="2:20" ht="23.1" customHeight="1" x14ac:dyDescent="0.25">
      <c r="B86" s="46" t="s">
        <v>126</v>
      </c>
      <c r="C86" s="50">
        <v>6</v>
      </c>
      <c r="D86" s="50">
        <v>2</v>
      </c>
      <c r="E86" s="50">
        <v>2</v>
      </c>
      <c r="F86" s="50">
        <v>4</v>
      </c>
      <c r="G86" s="50">
        <v>0</v>
      </c>
      <c r="H86" s="50">
        <v>2</v>
      </c>
      <c r="I86" s="50">
        <v>3</v>
      </c>
      <c r="J86" s="50">
        <v>5</v>
      </c>
      <c r="K86" s="50">
        <v>1</v>
      </c>
      <c r="L86" s="50">
        <v>1</v>
      </c>
      <c r="M86" s="50">
        <v>8</v>
      </c>
      <c r="N86" s="50">
        <v>0</v>
      </c>
      <c r="O86" s="15">
        <f t="shared" si="35"/>
        <v>26</v>
      </c>
      <c r="P86" s="15">
        <f t="shared" si="36"/>
        <v>34</v>
      </c>
      <c r="R86" s="8"/>
      <c r="T86"/>
    </row>
    <row r="87" spans="2:20" ht="23.1" customHeight="1" x14ac:dyDescent="0.25">
      <c r="B87" s="45" t="s">
        <v>127</v>
      </c>
      <c r="C87" s="50">
        <v>15</v>
      </c>
      <c r="D87" s="50">
        <v>0</v>
      </c>
      <c r="E87" s="50">
        <v>1</v>
      </c>
      <c r="F87" s="50">
        <v>2</v>
      </c>
      <c r="G87" s="50">
        <v>0</v>
      </c>
      <c r="H87" s="50">
        <v>0</v>
      </c>
      <c r="I87" s="50">
        <v>3</v>
      </c>
      <c r="J87" s="50">
        <v>0</v>
      </c>
      <c r="K87" s="50">
        <v>0</v>
      </c>
      <c r="L87" s="50">
        <v>2</v>
      </c>
      <c r="M87" s="50">
        <v>12</v>
      </c>
      <c r="N87" s="50">
        <v>0</v>
      </c>
      <c r="O87" s="15">
        <f t="shared" si="35"/>
        <v>23</v>
      </c>
      <c r="P87" s="15">
        <f t="shared" si="36"/>
        <v>35</v>
      </c>
      <c r="R87" s="8"/>
      <c r="T87"/>
    </row>
    <row r="88" spans="2:20" ht="23.1" customHeight="1" x14ac:dyDescent="0.25">
      <c r="B88" s="47" t="s">
        <v>128</v>
      </c>
      <c r="C88" s="50">
        <v>8</v>
      </c>
      <c r="D88" s="50">
        <v>0</v>
      </c>
      <c r="E88" s="50">
        <v>4</v>
      </c>
      <c r="F88" s="50">
        <v>4</v>
      </c>
      <c r="G88" s="50">
        <v>0</v>
      </c>
      <c r="H88" s="50">
        <v>0</v>
      </c>
      <c r="I88" s="50">
        <v>5</v>
      </c>
      <c r="J88" s="50">
        <v>4</v>
      </c>
      <c r="K88" s="50">
        <v>0</v>
      </c>
      <c r="L88" s="50">
        <v>2</v>
      </c>
      <c r="M88" s="50">
        <v>9</v>
      </c>
      <c r="N88" s="50">
        <v>0</v>
      </c>
      <c r="O88" s="15">
        <f t="shared" si="35"/>
        <v>27</v>
      </c>
      <c r="P88" s="15">
        <f t="shared" si="36"/>
        <v>36</v>
      </c>
      <c r="R88" s="8"/>
      <c r="T88"/>
    </row>
    <row r="89" spans="2:20" ht="23.1" customHeight="1" x14ac:dyDescent="0.25">
      <c r="B89" s="45" t="s">
        <v>129</v>
      </c>
      <c r="C89" s="50">
        <v>13</v>
      </c>
      <c r="D89" s="50">
        <v>1</v>
      </c>
      <c r="E89" s="50">
        <v>4</v>
      </c>
      <c r="F89" s="50">
        <v>3</v>
      </c>
      <c r="G89" s="50">
        <v>0</v>
      </c>
      <c r="H89" s="50">
        <v>1</v>
      </c>
      <c r="I89" s="50">
        <v>9</v>
      </c>
      <c r="J89" s="50">
        <v>3</v>
      </c>
      <c r="K89" s="50">
        <v>0</v>
      </c>
      <c r="L89" s="50">
        <v>1</v>
      </c>
      <c r="M89" s="50">
        <v>15</v>
      </c>
      <c r="N89" s="50">
        <v>0</v>
      </c>
      <c r="O89" s="15">
        <f t="shared" si="35"/>
        <v>35</v>
      </c>
      <c r="P89" s="15">
        <f t="shared" si="36"/>
        <v>50</v>
      </c>
      <c r="R89" s="8"/>
      <c r="T89"/>
    </row>
    <row r="90" spans="2:20" ht="23.1" customHeight="1" x14ac:dyDescent="0.25">
      <c r="B90" s="46" t="s">
        <v>130</v>
      </c>
      <c r="C90" s="50">
        <v>11</v>
      </c>
      <c r="D90" s="50">
        <v>1</v>
      </c>
      <c r="E90" s="50">
        <v>3</v>
      </c>
      <c r="F90" s="50">
        <v>5</v>
      </c>
      <c r="G90" s="50">
        <v>0</v>
      </c>
      <c r="H90" s="50">
        <v>0</v>
      </c>
      <c r="I90" s="50">
        <v>0</v>
      </c>
      <c r="J90" s="50">
        <v>8</v>
      </c>
      <c r="K90" s="50">
        <v>1</v>
      </c>
      <c r="L90" s="50">
        <v>1</v>
      </c>
      <c r="M90" s="50">
        <v>8</v>
      </c>
      <c r="N90" s="50">
        <v>0</v>
      </c>
      <c r="O90" s="15">
        <f t="shared" si="35"/>
        <v>30</v>
      </c>
      <c r="P90" s="15">
        <f t="shared" si="36"/>
        <v>38</v>
      </c>
      <c r="R90" s="8"/>
      <c r="T90"/>
    </row>
    <row r="91" spans="2:20" ht="23.1" customHeight="1" x14ac:dyDescent="0.25">
      <c r="B91" s="45" t="s">
        <v>131</v>
      </c>
      <c r="C91" s="50">
        <v>12</v>
      </c>
      <c r="D91" s="50">
        <v>2</v>
      </c>
      <c r="E91" s="50">
        <v>4</v>
      </c>
      <c r="F91" s="50">
        <v>6</v>
      </c>
      <c r="G91" s="50">
        <v>0</v>
      </c>
      <c r="H91" s="50">
        <v>0</v>
      </c>
      <c r="I91" s="50">
        <v>5</v>
      </c>
      <c r="J91" s="50">
        <v>4</v>
      </c>
      <c r="K91" s="50">
        <v>0</v>
      </c>
      <c r="L91" s="50">
        <v>1</v>
      </c>
      <c r="M91" s="50">
        <v>8</v>
      </c>
      <c r="N91" s="50">
        <v>0</v>
      </c>
      <c r="O91" s="15">
        <f t="shared" si="35"/>
        <v>34</v>
      </c>
      <c r="P91" s="15">
        <f t="shared" si="36"/>
        <v>42</v>
      </c>
      <c r="R91" s="8"/>
      <c r="T91"/>
    </row>
    <row r="92" spans="2:20" ht="23.1" customHeight="1" x14ac:dyDescent="0.25">
      <c r="B92" s="47" t="s">
        <v>132</v>
      </c>
      <c r="C92" s="50">
        <v>7</v>
      </c>
      <c r="D92" s="50">
        <v>0</v>
      </c>
      <c r="E92" s="50">
        <v>0</v>
      </c>
      <c r="F92" s="50">
        <v>4</v>
      </c>
      <c r="G92" s="50">
        <v>0</v>
      </c>
      <c r="H92" s="50">
        <v>0</v>
      </c>
      <c r="I92" s="50">
        <v>6</v>
      </c>
      <c r="J92" s="50">
        <v>5</v>
      </c>
      <c r="K92" s="50">
        <v>1</v>
      </c>
      <c r="L92" s="50">
        <v>0</v>
      </c>
      <c r="M92" s="50">
        <v>10</v>
      </c>
      <c r="N92" s="50">
        <v>0</v>
      </c>
      <c r="O92" s="15">
        <f t="shared" si="35"/>
        <v>23</v>
      </c>
      <c r="P92" s="15">
        <f t="shared" si="36"/>
        <v>33</v>
      </c>
      <c r="R92" s="8"/>
      <c r="T92"/>
    </row>
    <row r="93" spans="2:20" ht="23.1" customHeight="1" x14ac:dyDescent="0.25">
      <c r="B93" s="45" t="s">
        <v>133</v>
      </c>
      <c r="C93" s="50">
        <v>10</v>
      </c>
      <c r="D93" s="50">
        <v>2</v>
      </c>
      <c r="E93" s="50">
        <v>2</v>
      </c>
      <c r="F93" s="50">
        <v>8</v>
      </c>
      <c r="G93" s="50">
        <v>0</v>
      </c>
      <c r="H93" s="50">
        <v>0</v>
      </c>
      <c r="I93" s="50">
        <v>1</v>
      </c>
      <c r="J93" s="50">
        <v>3</v>
      </c>
      <c r="K93" s="50">
        <v>0</v>
      </c>
      <c r="L93" s="50">
        <v>0</v>
      </c>
      <c r="M93" s="50">
        <v>7</v>
      </c>
      <c r="N93" s="50">
        <v>0</v>
      </c>
      <c r="O93" s="15">
        <f t="shared" si="35"/>
        <v>26</v>
      </c>
      <c r="P93" s="15">
        <f t="shared" si="36"/>
        <v>33</v>
      </c>
      <c r="R93" s="8"/>
      <c r="T93"/>
    </row>
    <row r="94" spans="2:20" ht="23.1" customHeight="1" x14ac:dyDescent="0.25">
      <c r="B94" s="46" t="s">
        <v>134</v>
      </c>
      <c r="C94" s="50">
        <v>12</v>
      </c>
      <c r="D94" s="50">
        <v>5</v>
      </c>
      <c r="E94" s="50">
        <v>0</v>
      </c>
      <c r="F94" s="50">
        <v>10</v>
      </c>
      <c r="G94" s="50">
        <v>0</v>
      </c>
      <c r="H94" s="50">
        <v>0</v>
      </c>
      <c r="I94" s="50">
        <v>7</v>
      </c>
      <c r="J94" s="50">
        <v>8</v>
      </c>
      <c r="K94" s="50">
        <v>0</v>
      </c>
      <c r="L94" s="50">
        <v>3</v>
      </c>
      <c r="M94" s="50">
        <v>1</v>
      </c>
      <c r="N94" s="50">
        <v>0</v>
      </c>
      <c r="O94" s="15">
        <f t="shared" si="35"/>
        <v>45</v>
      </c>
      <c r="P94" s="15">
        <f t="shared" si="36"/>
        <v>46</v>
      </c>
      <c r="R94" s="8"/>
      <c r="T94"/>
    </row>
    <row r="95" spans="2:20" ht="23.1" customHeight="1" x14ac:dyDescent="0.25">
      <c r="B95" s="45" t="s">
        <v>135</v>
      </c>
      <c r="C95" s="50">
        <v>5</v>
      </c>
      <c r="D95" s="50">
        <v>3</v>
      </c>
      <c r="E95" s="50">
        <v>0</v>
      </c>
      <c r="F95" s="50">
        <v>2</v>
      </c>
      <c r="G95" s="50">
        <v>1</v>
      </c>
      <c r="H95" s="50">
        <v>0</v>
      </c>
      <c r="I95" s="50">
        <v>2</v>
      </c>
      <c r="J95" s="50">
        <v>0</v>
      </c>
      <c r="K95" s="50">
        <v>0</v>
      </c>
      <c r="L95" s="50">
        <v>1</v>
      </c>
      <c r="M95" s="50">
        <v>9</v>
      </c>
      <c r="N95" s="50">
        <v>0</v>
      </c>
      <c r="O95" s="15">
        <f t="shared" si="35"/>
        <v>14</v>
      </c>
      <c r="P95" s="15">
        <f t="shared" si="36"/>
        <v>23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1</v>
      </c>
      <c r="E96" s="50">
        <v>3</v>
      </c>
      <c r="F96" s="50">
        <v>1</v>
      </c>
      <c r="G96" s="50">
        <v>1</v>
      </c>
      <c r="H96" s="50">
        <v>1</v>
      </c>
      <c r="I96" s="50">
        <v>5</v>
      </c>
      <c r="J96" s="50">
        <v>3</v>
      </c>
      <c r="K96" s="50">
        <v>2</v>
      </c>
      <c r="L96" s="50">
        <v>3</v>
      </c>
      <c r="M96" s="50">
        <v>7</v>
      </c>
      <c r="N96" s="50">
        <v>0</v>
      </c>
      <c r="O96" s="15">
        <f t="shared" si="35"/>
        <v>21</v>
      </c>
      <c r="P96" s="15">
        <f t="shared" si="36"/>
        <v>28</v>
      </c>
      <c r="R96" s="8"/>
      <c r="T96"/>
    </row>
    <row r="97" spans="2:20" ht="23.1" customHeight="1" x14ac:dyDescent="0.25">
      <c r="B97" s="45" t="s">
        <v>137</v>
      </c>
      <c r="C97" s="50">
        <v>6</v>
      </c>
      <c r="D97" s="50">
        <v>2</v>
      </c>
      <c r="E97" s="50">
        <v>0</v>
      </c>
      <c r="F97" s="50">
        <v>7</v>
      </c>
      <c r="G97" s="50">
        <v>2</v>
      </c>
      <c r="H97" s="50">
        <v>0</v>
      </c>
      <c r="I97" s="50">
        <v>2</v>
      </c>
      <c r="J97" s="50">
        <v>2</v>
      </c>
      <c r="K97" s="50">
        <v>0</v>
      </c>
      <c r="L97" s="50">
        <v>0</v>
      </c>
      <c r="M97" s="50">
        <v>6</v>
      </c>
      <c r="N97" s="50">
        <v>0</v>
      </c>
      <c r="O97" s="15">
        <f t="shared" si="35"/>
        <v>21</v>
      </c>
      <c r="P97" s="15">
        <f t="shared" si="36"/>
        <v>27</v>
      </c>
      <c r="R97" s="8"/>
      <c r="T97"/>
    </row>
    <row r="98" spans="2:20" ht="23.1" customHeight="1" x14ac:dyDescent="0.25">
      <c r="B98" s="46" t="s">
        <v>138</v>
      </c>
      <c r="C98" s="50">
        <v>3</v>
      </c>
      <c r="D98" s="50">
        <v>2</v>
      </c>
      <c r="E98" s="50">
        <v>0</v>
      </c>
      <c r="F98" s="50">
        <v>8</v>
      </c>
      <c r="G98" s="50">
        <v>0</v>
      </c>
      <c r="H98" s="50">
        <v>0</v>
      </c>
      <c r="I98" s="50">
        <v>3</v>
      </c>
      <c r="J98" s="50">
        <v>5</v>
      </c>
      <c r="K98" s="50">
        <v>0</v>
      </c>
      <c r="L98" s="50">
        <v>2</v>
      </c>
      <c r="M98" s="50">
        <v>13</v>
      </c>
      <c r="N98" s="50">
        <v>0</v>
      </c>
      <c r="O98" s="15">
        <f t="shared" si="35"/>
        <v>23</v>
      </c>
      <c r="P98" s="15">
        <f t="shared" si="36"/>
        <v>36</v>
      </c>
      <c r="R98" s="8"/>
      <c r="T98"/>
    </row>
    <row r="99" spans="2:20" ht="23.1" customHeight="1" x14ac:dyDescent="0.25">
      <c r="B99" s="45" t="s">
        <v>139</v>
      </c>
      <c r="C99" s="50">
        <v>6</v>
      </c>
      <c r="D99" s="50">
        <v>0</v>
      </c>
      <c r="E99" s="50">
        <v>2</v>
      </c>
      <c r="F99" s="50">
        <v>19</v>
      </c>
      <c r="G99" s="50">
        <v>0</v>
      </c>
      <c r="H99" s="50">
        <v>1</v>
      </c>
      <c r="I99" s="50">
        <v>1</v>
      </c>
      <c r="J99" s="50">
        <v>7</v>
      </c>
      <c r="K99" s="50">
        <v>0</v>
      </c>
      <c r="L99" s="50">
        <v>4</v>
      </c>
      <c r="M99" s="50">
        <v>14</v>
      </c>
      <c r="N99" s="50">
        <v>0</v>
      </c>
      <c r="O99" s="15">
        <f t="shared" si="35"/>
        <v>40</v>
      </c>
      <c r="P99" s="15">
        <f t="shared" si="36"/>
        <v>54</v>
      </c>
      <c r="R99" s="8"/>
      <c r="T99"/>
    </row>
    <row r="100" spans="2:20" ht="23.1" customHeight="1" x14ac:dyDescent="0.25">
      <c r="B100" s="47" t="s">
        <v>140</v>
      </c>
      <c r="C100" s="50">
        <v>20</v>
      </c>
      <c r="D100" s="50">
        <v>3</v>
      </c>
      <c r="E100" s="50">
        <v>2</v>
      </c>
      <c r="F100" s="50">
        <v>23</v>
      </c>
      <c r="G100" s="50">
        <v>0</v>
      </c>
      <c r="H100" s="50">
        <v>1</v>
      </c>
      <c r="I100" s="50">
        <v>1</v>
      </c>
      <c r="J100" s="50">
        <v>4</v>
      </c>
      <c r="K100" s="50">
        <v>1</v>
      </c>
      <c r="L100" s="50">
        <v>2</v>
      </c>
      <c r="M100" s="50">
        <v>15</v>
      </c>
      <c r="N100" s="50">
        <v>0</v>
      </c>
      <c r="O100" s="15">
        <f t="shared" si="35"/>
        <v>57</v>
      </c>
      <c r="P100" s="15">
        <f t="shared" si="36"/>
        <v>72</v>
      </c>
      <c r="R100" s="8"/>
      <c r="T100"/>
    </row>
    <row r="101" spans="2:20" ht="23.1" customHeight="1" x14ac:dyDescent="0.25">
      <c r="B101" s="45" t="s">
        <v>141</v>
      </c>
      <c r="C101" s="50">
        <v>13</v>
      </c>
      <c r="D101" s="50">
        <v>4</v>
      </c>
      <c r="E101" s="50">
        <v>4</v>
      </c>
      <c r="F101" s="50">
        <v>16</v>
      </c>
      <c r="G101" s="50">
        <v>3</v>
      </c>
      <c r="H101" s="50">
        <v>0</v>
      </c>
      <c r="I101" s="50">
        <v>6</v>
      </c>
      <c r="J101" s="50">
        <v>4</v>
      </c>
      <c r="K101" s="50">
        <v>4</v>
      </c>
      <c r="L101" s="50">
        <v>1</v>
      </c>
      <c r="M101" s="50">
        <v>9</v>
      </c>
      <c r="N101" s="50">
        <v>0</v>
      </c>
      <c r="O101" s="15">
        <f t="shared" si="35"/>
        <v>55</v>
      </c>
      <c r="P101" s="15">
        <f t="shared" si="36"/>
        <v>64</v>
      </c>
      <c r="R101" s="8"/>
      <c r="T101"/>
    </row>
    <row r="102" spans="2:20" ht="23.1" customHeight="1" x14ac:dyDescent="0.25">
      <c r="B102" s="46" t="s">
        <v>142</v>
      </c>
      <c r="C102" s="50">
        <v>20</v>
      </c>
      <c r="D102" s="50">
        <v>3</v>
      </c>
      <c r="E102" s="50">
        <v>9</v>
      </c>
      <c r="F102" s="50">
        <v>28</v>
      </c>
      <c r="G102" s="50">
        <v>0</v>
      </c>
      <c r="H102" s="50">
        <v>0</v>
      </c>
      <c r="I102" s="50">
        <v>4</v>
      </c>
      <c r="J102" s="50">
        <v>2</v>
      </c>
      <c r="K102" s="50">
        <v>1</v>
      </c>
      <c r="L102" s="50">
        <v>4</v>
      </c>
      <c r="M102" s="50">
        <v>12</v>
      </c>
      <c r="N102" s="50">
        <v>0</v>
      </c>
      <c r="O102" s="15">
        <f t="shared" si="35"/>
        <v>71</v>
      </c>
      <c r="P102" s="15">
        <f t="shared" si="36"/>
        <v>83</v>
      </c>
      <c r="R102" s="8"/>
      <c r="T102"/>
    </row>
    <row r="103" spans="2:20" ht="23.1" customHeight="1" x14ac:dyDescent="0.25">
      <c r="B103" s="45" t="s">
        <v>143</v>
      </c>
      <c r="C103" s="50">
        <v>24</v>
      </c>
      <c r="D103" s="50">
        <v>3</v>
      </c>
      <c r="E103" s="50">
        <v>6</v>
      </c>
      <c r="F103" s="50">
        <v>39</v>
      </c>
      <c r="G103" s="50">
        <v>2</v>
      </c>
      <c r="H103" s="50">
        <v>0</v>
      </c>
      <c r="I103" s="50">
        <v>3</v>
      </c>
      <c r="J103" s="50">
        <v>7</v>
      </c>
      <c r="K103" s="50">
        <v>2</v>
      </c>
      <c r="L103" s="50">
        <v>2</v>
      </c>
      <c r="M103" s="50">
        <v>16</v>
      </c>
      <c r="N103" s="50">
        <v>0</v>
      </c>
      <c r="O103" s="15">
        <f t="shared" si="35"/>
        <v>88</v>
      </c>
      <c r="P103" s="15">
        <f t="shared" si="36"/>
        <v>104</v>
      </c>
      <c r="R103" s="8"/>
      <c r="T103"/>
    </row>
    <row r="104" spans="2:20" ht="23.1" customHeight="1" x14ac:dyDescent="0.25">
      <c r="B104" s="47" t="s">
        <v>144</v>
      </c>
      <c r="C104" s="50">
        <v>24</v>
      </c>
      <c r="D104" s="50">
        <v>2</v>
      </c>
      <c r="E104" s="50">
        <v>9</v>
      </c>
      <c r="F104" s="50">
        <v>44</v>
      </c>
      <c r="G104" s="50">
        <v>0</v>
      </c>
      <c r="H104" s="50">
        <v>3</v>
      </c>
      <c r="I104" s="50">
        <v>6</v>
      </c>
      <c r="J104" s="50">
        <v>3</v>
      </c>
      <c r="K104" s="50">
        <v>0</v>
      </c>
      <c r="L104" s="50">
        <v>3</v>
      </c>
      <c r="M104" s="50">
        <v>29</v>
      </c>
      <c r="N104" s="50">
        <v>0</v>
      </c>
      <c r="O104" s="15">
        <f t="shared" si="35"/>
        <v>94</v>
      </c>
      <c r="P104" s="15">
        <f t="shared" si="36"/>
        <v>123</v>
      </c>
      <c r="R104" s="8"/>
      <c r="T104"/>
    </row>
    <row r="105" spans="2:20" ht="23.1" customHeight="1" x14ac:dyDescent="0.25">
      <c r="B105" s="45" t="s">
        <v>145</v>
      </c>
      <c r="C105" s="50">
        <v>30</v>
      </c>
      <c r="D105" s="50">
        <v>10</v>
      </c>
      <c r="E105" s="50">
        <v>12</v>
      </c>
      <c r="F105" s="50">
        <v>39</v>
      </c>
      <c r="G105" s="50">
        <v>1</v>
      </c>
      <c r="H105" s="50">
        <v>2</v>
      </c>
      <c r="I105" s="50">
        <v>4</v>
      </c>
      <c r="J105" s="50">
        <v>5</v>
      </c>
      <c r="K105" s="50">
        <v>1</v>
      </c>
      <c r="L105" s="50">
        <v>3</v>
      </c>
      <c r="M105" s="50">
        <v>25</v>
      </c>
      <c r="N105" s="50">
        <v>0</v>
      </c>
      <c r="O105" s="15">
        <f t="shared" si="35"/>
        <v>107</v>
      </c>
      <c r="P105" s="15">
        <f t="shared" si="36"/>
        <v>132</v>
      </c>
      <c r="R105" s="8"/>
      <c r="T105"/>
    </row>
    <row r="106" spans="2:20" ht="23.1" customHeight="1" x14ac:dyDescent="0.25">
      <c r="B106" s="26" t="s">
        <v>18</v>
      </c>
      <c r="C106" s="16">
        <f t="shared" ref="C106:D106" si="37">SUM(C10:C105)</f>
        <v>4115</v>
      </c>
      <c r="D106" s="16">
        <f t="shared" si="37"/>
        <v>1554</v>
      </c>
      <c r="E106" s="16">
        <f>SUM(E10:E105)</f>
        <v>800</v>
      </c>
      <c r="F106" s="16">
        <f t="shared" ref="F106:P106" si="38">SUM(F10:F105)</f>
        <v>3877</v>
      </c>
      <c r="G106" s="16">
        <f t="shared" si="38"/>
        <v>148</v>
      </c>
      <c r="H106" s="16">
        <f t="shared" si="38"/>
        <v>51</v>
      </c>
      <c r="I106" s="16">
        <f t="shared" si="38"/>
        <v>478</v>
      </c>
      <c r="J106" s="16">
        <f t="shared" si="38"/>
        <v>336</v>
      </c>
      <c r="K106" s="16">
        <f t="shared" si="38"/>
        <v>110</v>
      </c>
      <c r="L106" s="16">
        <f t="shared" si="38"/>
        <v>313</v>
      </c>
      <c r="M106" s="16">
        <f t="shared" si="38"/>
        <v>24160</v>
      </c>
      <c r="N106" s="16">
        <f t="shared" si="38"/>
        <v>0</v>
      </c>
      <c r="O106" s="16">
        <f t="shared" si="38"/>
        <v>11782</v>
      </c>
      <c r="P106" s="16">
        <f t="shared" si="38"/>
        <v>35942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0.11449001168549329</v>
      </c>
      <c r="D107" s="43">
        <f t="shared" si="39"/>
        <v>4.3236325190584832E-2</v>
      </c>
      <c r="E107" s="43">
        <f t="shared" si="39"/>
        <v>2.2258082466195539E-2</v>
      </c>
      <c r="F107" s="43">
        <f t="shared" si="39"/>
        <v>0.10786823215180012</v>
      </c>
      <c r="G107" s="43">
        <f t="shared" si="39"/>
        <v>4.1177452562461744E-3</v>
      </c>
      <c r="H107" s="43">
        <f t="shared" si="39"/>
        <v>1.4189527572199656E-3</v>
      </c>
      <c r="I107" s="43">
        <f t="shared" si="39"/>
        <v>1.3299204273551834E-2</v>
      </c>
      <c r="J107" s="43">
        <f t="shared" si="39"/>
        <v>9.3483946358021257E-3</v>
      </c>
      <c r="K107" s="43">
        <f t="shared" si="39"/>
        <v>3.0604863391018862E-3</v>
      </c>
      <c r="L107" s="43">
        <f t="shared" si="39"/>
        <v>8.7084747648990043E-3</v>
      </c>
      <c r="M107" s="43">
        <f t="shared" si="39"/>
        <v>0.67219409047910528</v>
      </c>
      <c r="N107" s="43">
        <f t="shared" si="39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0.34926158546936004</v>
      </c>
      <c r="D108" s="44">
        <f t="shared" ref="D108:N108" si="40">D106/$O$106</f>
        <v>0.13189611271430995</v>
      </c>
      <c r="E108" s="44">
        <f t="shared" si="40"/>
        <v>6.7900186725513498E-2</v>
      </c>
      <c r="F108" s="44">
        <f t="shared" si="40"/>
        <v>0.3290612799185198</v>
      </c>
      <c r="G108" s="44">
        <f t="shared" si="40"/>
        <v>1.2561534544219996E-2</v>
      </c>
      <c r="H108" s="44">
        <f t="shared" si="40"/>
        <v>4.3286369037514854E-3</v>
      </c>
      <c r="I108" s="44">
        <f t="shared" si="40"/>
        <v>4.0570361568494313E-2</v>
      </c>
      <c r="J108" s="44">
        <f t="shared" si="40"/>
        <v>2.8518078424715668E-2</v>
      </c>
      <c r="K108" s="44">
        <f t="shared" si="40"/>
        <v>9.3362756747581051E-3</v>
      </c>
      <c r="L108" s="44">
        <f t="shared" si="40"/>
        <v>2.6565948056357154E-2</v>
      </c>
      <c r="M108" s="44"/>
      <c r="N108" s="44">
        <f t="shared" si="40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5" zoomScale="60" workbookViewId="0">
      <selection activeCell="J38" sqref="J3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Motors-Kyambogo'!C3:G3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Spear Motors-Kyambogo'!D5</f>
        <v>01.08.19</v>
      </c>
      <c r="E5" s="3"/>
      <c r="F5" s="41" t="s">
        <v>1</v>
      </c>
      <c r="G5" s="63" t="str">
        <f>'01.08 Spear Motors-Kyambogo'!G5:H5</f>
        <v>PEPSI UGANDA</v>
      </c>
      <c r="H5" s="64"/>
      <c r="I5" s="14"/>
      <c r="J5" s="2" t="s">
        <v>5</v>
      </c>
      <c r="K5" s="63" t="str">
        <f>'01.08 Spear Motors-Kyambogo'!K5:L5</f>
        <v>WACHOMI R/GALABUZI R./MBAHA J/ASHABA K/LUBEGA S/KIKUMBAD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Kyambogo-Spear Motors'!D6:E6</f>
        <v>KYAMBOGO</v>
      </c>
      <c r="E6" s="64"/>
      <c r="F6" s="2" t="s">
        <v>2</v>
      </c>
      <c r="G6" s="63" t="str">
        <f>'30.07 Kyambogo-Spear Motors'!G6:H6</f>
        <v>SPEAR MOTORS</v>
      </c>
      <c r="H6" s="64"/>
      <c r="J6" s="2" t="s">
        <v>21</v>
      </c>
      <c r="K6" s="63" t="str">
        <f>'01.08 Spear Motors-Kyambogo'!K6:L6</f>
        <v>ANDREW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135</v>
      </c>
      <c r="D10" s="50">
        <v>26</v>
      </c>
      <c r="E10" s="50">
        <v>13</v>
      </c>
      <c r="F10" s="50">
        <v>40</v>
      </c>
      <c r="G10" s="50">
        <v>3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300</v>
      </c>
      <c r="N10" s="50">
        <v>0</v>
      </c>
      <c r="O10" s="15">
        <f t="shared" ref="O10:O73" si="0">SUM(C10:L10,N10)</f>
        <v>217</v>
      </c>
      <c r="P10" s="15">
        <f t="shared" ref="P10:P73" si="1">SUM(C10:N10)</f>
        <v>517</v>
      </c>
      <c r="R10" s="1" t="s">
        <v>6</v>
      </c>
      <c r="S10" s="17">
        <f t="shared" ref="S10:AF10" si="2">SUM(C10:C13)</f>
        <v>515</v>
      </c>
      <c r="T10" s="17">
        <f t="shared" si="2"/>
        <v>110</v>
      </c>
      <c r="U10" s="17">
        <f t="shared" si="2"/>
        <v>62</v>
      </c>
      <c r="V10" s="17">
        <f t="shared" si="2"/>
        <v>194</v>
      </c>
      <c r="W10" s="17">
        <f t="shared" si="2"/>
        <v>14</v>
      </c>
      <c r="X10" s="17">
        <f t="shared" si="2"/>
        <v>1</v>
      </c>
      <c r="Y10" s="17">
        <f t="shared" si="2"/>
        <v>1</v>
      </c>
      <c r="Z10" s="17">
        <f t="shared" si="2"/>
        <v>2</v>
      </c>
      <c r="AA10" s="17">
        <f t="shared" si="2"/>
        <v>0</v>
      </c>
      <c r="AB10" s="17">
        <f t="shared" si="2"/>
        <v>8</v>
      </c>
      <c r="AC10" s="17">
        <f t="shared" si="2"/>
        <v>1125</v>
      </c>
      <c r="AD10" s="17">
        <f t="shared" si="2"/>
        <v>0</v>
      </c>
      <c r="AE10" s="31">
        <f t="shared" si="2"/>
        <v>907</v>
      </c>
      <c r="AF10" s="31">
        <f t="shared" si="2"/>
        <v>2032</v>
      </c>
    </row>
    <row r="11" spans="2:32" s="6" customFormat="1" ht="23.1" customHeight="1" x14ac:dyDescent="0.25">
      <c r="B11" s="45" t="s">
        <v>38</v>
      </c>
      <c r="C11" s="50">
        <v>110</v>
      </c>
      <c r="D11" s="50">
        <v>32</v>
      </c>
      <c r="E11" s="50">
        <v>16</v>
      </c>
      <c r="F11" s="50">
        <v>20</v>
      </c>
      <c r="G11" s="50">
        <v>1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240</v>
      </c>
      <c r="N11" s="50">
        <v>0</v>
      </c>
      <c r="O11" s="15">
        <f t="shared" si="0"/>
        <v>179</v>
      </c>
      <c r="P11" s="15">
        <f t="shared" si="1"/>
        <v>419</v>
      </c>
      <c r="R11" s="1" t="s">
        <v>7</v>
      </c>
      <c r="S11" s="17">
        <f t="shared" ref="S11:AF11" si="3">SUM(C14:C17)</f>
        <v>325</v>
      </c>
      <c r="T11" s="17">
        <f t="shared" si="3"/>
        <v>120</v>
      </c>
      <c r="U11" s="17">
        <f t="shared" si="3"/>
        <v>55</v>
      </c>
      <c r="V11" s="17">
        <f t="shared" si="3"/>
        <v>279</v>
      </c>
      <c r="W11" s="17">
        <f t="shared" si="3"/>
        <v>10</v>
      </c>
      <c r="X11" s="17">
        <f t="shared" si="3"/>
        <v>0</v>
      </c>
      <c r="Y11" s="17">
        <f t="shared" si="3"/>
        <v>15</v>
      </c>
      <c r="Z11" s="17">
        <f t="shared" si="3"/>
        <v>7</v>
      </c>
      <c r="AA11" s="17">
        <f t="shared" si="3"/>
        <v>2</v>
      </c>
      <c r="AB11" s="17">
        <f t="shared" si="3"/>
        <v>10</v>
      </c>
      <c r="AC11" s="17">
        <f t="shared" si="3"/>
        <v>880</v>
      </c>
      <c r="AD11" s="17">
        <f t="shared" si="3"/>
        <v>0</v>
      </c>
      <c r="AE11" s="31">
        <f t="shared" si="3"/>
        <v>823</v>
      </c>
      <c r="AF11" s="31">
        <f t="shared" si="3"/>
        <v>1703</v>
      </c>
    </row>
    <row r="12" spans="2:32" ht="23.1" customHeight="1" x14ac:dyDescent="0.25">
      <c r="B12" s="45" t="s">
        <v>39</v>
      </c>
      <c r="C12" s="50">
        <v>140</v>
      </c>
      <c r="D12" s="50">
        <v>25</v>
      </c>
      <c r="E12" s="50">
        <v>15</v>
      </c>
      <c r="F12" s="50">
        <v>59</v>
      </c>
      <c r="G12" s="50">
        <v>5</v>
      </c>
      <c r="H12" s="50">
        <v>1</v>
      </c>
      <c r="I12" s="50">
        <v>1</v>
      </c>
      <c r="J12" s="50">
        <v>2</v>
      </c>
      <c r="K12" s="50">
        <v>0</v>
      </c>
      <c r="L12" s="50">
        <v>6</v>
      </c>
      <c r="M12" s="50">
        <v>310</v>
      </c>
      <c r="N12" s="50">
        <v>0</v>
      </c>
      <c r="O12" s="15">
        <f t="shared" si="0"/>
        <v>254</v>
      </c>
      <c r="P12" s="15">
        <f t="shared" si="1"/>
        <v>564</v>
      </c>
      <c r="R12" s="1" t="s">
        <v>8</v>
      </c>
      <c r="S12" s="17">
        <f t="shared" ref="S12:AF12" si="4">SUM(C18:C21)</f>
        <v>242</v>
      </c>
      <c r="T12" s="17">
        <f t="shared" si="4"/>
        <v>75</v>
      </c>
      <c r="U12" s="17">
        <f t="shared" si="4"/>
        <v>40</v>
      </c>
      <c r="V12" s="17">
        <f t="shared" si="4"/>
        <v>278</v>
      </c>
      <c r="W12" s="17">
        <f t="shared" si="4"/>
        <v>0</v>
      </c>
      <c r="X12" s="17">
        <f t="shared" si="4"/>
        <v>2</v>
      </c>
      <c r="Y12" s="17">
        <f t="shared" si="4"/>
        <v>5</v>
      </c>
      <c r="Z12" s="17">
        <f t="shared" si="4"/>
        <v>7</v>
      </c>
      <c r="AA12" s="17">
        <f t="shared" si="4"/>
        <v>7</v>
      </c>
      <c r="AB12" s="17">
        <f t="shared" si="4"/>
        <v>20</v>
      </c>
      <c r="AC12" s="17">
        <f t="shared" si="4"/>
        <v>576</v>
      </c>
      <c r="AD12" s="17">
        <f t="shared" si="4"/>
        <v>0</v>
      </c>
      <c r="AE12" s="31">
        <f t="shared" si="4"/>
        <v>676</v>
      </c>
      <c r="AF12" s="31">
        <f t="shared" si="4"/>
        <v>1252</v>
      </c>
    </row>
    <row r="13" spans="2:32" ht="23.1" customHeight="1" x14ac:dyDescent="0.25">
      <c r="B13" s="45" t="s">
        <v>40</v>
      </c>
      <c r="C13" s="50">
        <v>130</v>
      </c>
      <c r="D13" s="50">
        <v>27</v>
      </c>
      <c r="E13" s="50">
        <v>18</v>
      </c>
      <c r="F13" s="50">
        <v>75</v>
      </c>
      <c r="G13" s="50">
        <v>5</v>
      </c>
      <c r="H13" s="50">
        <v>0</v>
      </c>
      <c r="I13" s="50">
        <v>0</v>
      </c>
      <c r="J13" s="50">
        <v>0</v>
      </c>
      <c r="K13" s="50">
        <v>0</v>
      </c>
      <c r="L13" s="50">
        <v>2</v>
      </c>
      <c r="M13" s="50">
        <v>275</v>
      </c>
      <c r="N13" s="50">
        <v>0</v>
      </c>
      <c r="O13" s="15">
        <f t="shared" si="0"/>
        <v>257</v>
      </c>
      <c r="P13" s="15">
        <f t="shared" si="1"/>
        <v>532</v>
      </c>
      <c r="R13" s="1" t="s">
        <v>9</v>
      </c>
      <c r="S13" s="17">
        <f t="shared" ref="S13:AF13" si="5">SUM(C22:C25)</f>
        <v>247</v>
      </c>
      <c r="T13" s="17">
        <f t="shared" si="5"/>
        <v>77</v>
      </c>
      <c r="U13" s="17">
        <f t="shared" si="5"/>
        <v>41</v>
      </c>
      <c r="V13" s="17">
        <f t="shared" si="5"/>
        <v>287</v>
      </c>
      <c r="W13" s="17">
        <f t="shared" si="5"/>
        <v>4</v>
      </c>
      <c r="X13" s="17">
        <f t="shared" si="5"/>
        <v>1</v>
      </c>
      <c r="Y13" s="17">
        <f t="shared" si="5"/>
        <v>13</v>
      </c>
      <c r="Z13" s="17">
        <f t="shared" si="5"/>
        <v>7</v>
      </c>
      <c r="AA13" s="17">
        <f t="shared" si="5"/>
        <v>2</v>
      </c>
      <c r="AB13" s="17">
        <f t="shared" si="5"/>
        <v>17</v>
      </c>
      <c r="AC13" s="17">
        <f t="shared" si="5"/>
        <v>291</v>
      </c>
      <c r="AD13" s="17">
        <f t="shared" si="5"/>
        <v>0</v>
      </c>
      <c r="AE13" s="31">
        <f t="shared" si="5"/>
        <v>696</v>
      </c>
      <c r="AF13" s="31">
        <f t="shared" si="5"/>
        <v>987</v>
      </c>
    </row>
    <row r="14" spans="2:32" ht="23.1" customHeight="1" x14ac:dyDescent="0.25">
      <c r="B14" s="45" t="s">
        <v>41</v>
      </c>
      <c r="C14" s="50">
        <v>85</v>
      </c>
      <c r="D14" s="50">
        <v>27</v>
      </c>
      <c r="E14" s="50">
        <v>17</v>
      </c>
      <c r="F14" s="50">
        <v>53</v>
      </c>
      <c r="G14" s="50">
        <v>3</v>
      </c>
      <c r="H14" s="50">
        <v>0</v>
      </c>
      <c r="I14" s="50">
        <v>2</v>
      </c>
      <c r="J14" s="50">
        <v>0</v>
      </c>
      <c r="K14" s="50">
        <v>0</v>
      </c>
      <c r="L14" s="50">
        <v>1</v>
      </c>
      <c r="M14" s="50">
        <v>260</v>
      </c>
      <c r="N14" s="50">
        <v>0</v>
      </c>
      <c r="O14" s="15">
        <f t="shared" si="0"/>
        <v>188</v>
      </c>
      <c r="P14" s="15">
        <f t="shared" si="1"/>
        <v>448</v>
      </c>
      <c r="R14" s="1" t="s">
        <v>10</v>
      </c>
      <c r="S14" s="17">
        <f t="shared" ref="S14:AF14" si="6">SUM(C26:C29)</f>
        <v>222</v>
      </c>
      <c r="T14" s="17">
        <f t="shared" si="6"/>
        <v>72</v>
      </c>
      <c r="U14" s="17">
        <f t="shared" si="6"/>
        <v>45</v>
      </c>
      <c r="V14" s="17">
        <f t="shared" si="6"/>
        <v>272</v>
      </c>
      <c r="W14" s="17">
        <f t="shared" si="6"/>
        <v>7</v>
      </c>
      <c r="X14" s="17">
        <f t="shared" si="6"/>
        <v>0</v>
      </c>
      <c r="Y14" s="17">
        <f t="shared" si="6"/>
        <v>35</v>
      </c>
      <c r="Z14" s="17">
        <f t="shared" si="6"/>
        <v>17</v>
      </c>
      <c r="AA14" s="17">
        <f t="shared" si="6"/>
        <v>5</v>
      </c>
      <c r="AB14" s="17">
        <f t="shared" si="6"/>
        <v>23</v>
      </c>
      <c r="AC14" s="17">
        <f t="shared" si="6"/>
        <v>99</v>
      </c>
      <c r="AD14" s="17">
        <f t="shared" si="6"/>
        <v>0</v>
      </c>
      <c r="AE14" s="31">
        <f t="shared" si="6"/>
        <v>698</v>
      </c>
      <c r="AF14" s="31">
        <f t="shared" si="6"/>
        <v>797</v>
      </c>
    </row>
    <row r="15" spans="2:32" ht="23.1" customHeight="1" x14ac:dyDescent="0.25">
      <c r="B15" s="45" t="s">
        <v>42</v>
      </c>
      <c r="C15" s="50">
        <v>87</v>
      </c>
      <c r="D15" s="50">
        <v>37</v>
      </c>
      <c r="E15" s="50">
        <v>16</v>
      </c>
      <c r="F15" s="50">
        <v>108</v>
      </c>
      <c r="G15" s="50">
        <v>3</v>
      </c>
      <c r="H15" s="50">
        <v>0</v>
      </c>
      <c r="I15" s="50">
        <v>8</v>
      </c>
      <c r="J15" s="50">
        <v>3</v>
      </c>
      <c r="K15" s="50">
        <v>2</v>
      </c>
      <c r="L15" s="50">
        <v>0</v>
      </c>
      <c r="M15" s="50">
        <v>235</v>
      </c>
      <c r="N15" s="50">
        <v>0</v>
      </c>
      <c r="O15" s="15">
        <f t="shared" si="0"/>
        <v>264</v>
      </c>
      <c r="P15" s="15">
        <f t="shared" si="1"/>
        <v>499</v>
      </c>
      <c r="R15" s="1" t="s">
        <v>11</v>
      </c>
      <c r="S15" s="17">
        <f t="shared" ref="S15:AF15" si="7">SUM(C30:C33)</f>
        <v>212</v>
      </c>
      <c r="T15" s="17">
        <f t="shared" si="7"/>
        <v>63</v>
      </c>
      <c r="U15" s="17">
        <f t="shared" si="7"/>
        <v>45</v>
      </c>
      <c r="V15" s="17">
        <f t="shared" si="7"/>
        <v>195</v>
      </c>
      <c r="W15" s="17">
        <f t="shared" si="7"/>
        <v>4</v>
      </c>
      <c r="X15" s="17">
        <f t="shared" si="7"/>
        <v>0</v>
      </c>
      <c r="Y15" s="17">
        <f t="shared" si="7"/>
        <v>8</v>
      </c>
      <c r="Z15" s="17">
        <f t="shared" si="7"/>
        <v>12</v>
      </c>
      <c r="AA15" s="17">
        <f t="shared" si="7"/>
        <v>8</v>
      </c>
      <c r="AB15" s="17">
        <f t="shared" si="7"/>
        <v>9</v>
      </c>
      <c r="AC15" s="17">
        <f t="shared" si="7"/>
        <v>50</v>
      </c>
      <c r="AD15" s="17">
        <f t="shared" si="7"/>
        <v>0</v>
      </c>
      <c r="AE15" s="31">
        <f t="shared" si="7"/>
        <v>556</v>
      </c>
      <c r="AF15" s="31">
        <f t="shared" si="7"/>
        <v>606</v>
      </c>
    </row>
    <row r="16" spans="2:32" ht="23.1" customHeight="1" x14ac:dyDescent="0.25">
      <c r="B16" s="45" t="s">
        <v>43</v>
      </c>
      <c r="C16" s="50">
        <v>85</v>
      </c>
      <c r="D16" s="50">
        <v>30</v>
      </c>
      <c r="E16" s="50">
        <v>6</v>
      </c>
      <c r="F16" s="50">
        <v>48</v>
      </c>
      <c r="G16" s="50">
        <v>3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195</v>
      </c>
      <c r="N16" s="50">
        <v>0</v>
      </c>
      <c r="O16" s="15">
        <f t="shared" si="0"/>
        <v>174</v>
      </c>
      <c r="P16" s="15">
        <f t="shared" si="1"/>
        <v>369</v>
      </c>
      <c r="R16" s="1" t="s">
        <v>12</v>
      </c>
      <c r="S16" s="17">
        <f t="shared" ref="S16:AF16" si="8">SUM(C34:C37)</f>
        <v>176</v>
      </c>
      <c r="T16" s="17">
        <f t="shared" si="8"/>
        <v>67</v>
      </c>
      <c r="U16" s="17">
        <f t="shared" si="8"/>
        <v>30</v>
      </c>
      <c r="V16" s="17">
        <f t="shared" si="8"/>
        <v>214</v>
      </c>
      <c r="W16" s="17">
        <f t="shared" si="8"/>
        <v>4</v>
      </c>
      <c r="X16" s="17">
        <f t="shared" si="8"/>
        <v>4</v>
      </c>
      <c r="Y16" s="17">
        <f t="shared" si="8"/>
        <v>24</v>
      </c>
      <c r="Z16" s="17">
        <f t="shared" si="8"/>
        <v>10</v>
      </c>
      <c r="AA16" s="17">
        <f t="shared" si="8"/>
        <v>3</v>
      </c>
      <c r="AB16" s="17">
        <f t="shared" si="8"/>
        <v>14</v>
      </c>
      <c r="AC16" s="17">
        <f t="shared" si="8"/>
        <v>21</v>
      </c>
      <c r="AD16" s="17">
        <f t="shared" si="8"/>
        <v>0</v>
      </c>
      <c r="AE16" s="31">
        <f t="shared" si="8"/>
        <v>546</v>
      </c>
      <c r="AF16" s="31">
        <f t="shared" si="8"/>
        <v>567</v>
      </c>
    </row>
    <row r="17" spans="2:32" ht="23.1" customHeight="1" x14ac:dyDescent="0.25">
      <c r="B17" s="45" t="s">
        <v>44</v>
      </c>
      <c r="C17" s="50">
        <v>68</v>
      </c>
      <c r="D17" s="50">
        <v>26</v>
      </c>
      <c r="E17" s="50">
        <v>16</v>
      </c>
      <c r="F17" s="50">
        <v>70</v>
      </c>
      <c r="G17" s="50">
        <v>1</v>
      </c>
      <c r="H17" s="50">
        <v>0</v>
      </c>
      <c r="I17" s="50">
        <v>4</v>
      </c>
      <c r="J17" s="50">
        <v>3</v>
      </c>
      <c r="K17" s="50">
        <v>0</v>
      </c>
      <c r="L17" s="50">
        <v>9</v>
      </c>
      <c r="M17" s="50">
        <v>190</v>
      </c>
      <c r="N17" s="50">
        <v>0</v>
      </c>
      <c r="O17" s="15">
        <f t="shared" si="0"/>
        <v>197</v>
      </c>
      <c r="P17" s="15">
        <f t="shared" si="1"/>
        <v>387</v>
      </c>
      <c r="R17" s="1" t="s">
        <v>13</v>
      </c>
      <c r="S17" s="17">
        <f t="shared" ref="S17:AF17" si="9">SUM(C38:C41)</f>
        <v>177</v>
      </c>
      <c r="T17" s="17">
        <f t="shared" si="9"/>
        <v>50</v>
      </c>
      <c r="U17" s="17">
        <f t="shared" si="9"/>
        <v>43</v>
      </c>
      <c r="V17" s="17">
        <f t="shared" si="9"/>
        <v>168</v>
      </c>
      <c r="W17" s="17">
        <f t="shared" si="9"/>
        <v>8</v>
      </c>
      <c r="X17" s="17">
        <f t="shared" si="9"/>
        <v>2</v>
      </c>
      <c r="Y17" s="17">
        <f t="shared" si="9"/>
        <v>10</v>
      </c>
      <c r="Z17" s="17">
        <f t="shared" si="9"/>
        <v>7</v>
      </c>
      <c r="AA17" s="17">
        <f t="shared" si="9"/>
        <v>8</v>
      </c>
      <c r="AB17" s="17">
        <f t="shared" si="9"/>
        <v>8</v>
      </c>
      <c r="AC17" s="17">
        <f t="shared" si="9"/>
        <v>10</v>
      </c>
      <c r="AD17" s="17">
        <f t="shared" si="9"/>
        <v>0</v>
      </c>
      <c r="AE17" s="31">
        <f t="shared" si="9"/>
        <v>481</v>
      </c>
      <c r="AF17" s="31">
        <f t="shared" si="9"/>
        <v>491</v>
      </c>
    </row>
    <row r="18" spans="2:32" ht="23.1" customHeight="1" x14ac:dyDescent="0.25">
      <c r="B18" s="45" t="s">
        <v>45</v>
      </c>
      <c r="C18" s="50">
        <v>65</v>
      </c>
      <c r="D18" s="50">
        <v>13</v>
      </c>
      <c r="E18" s="50">
        <v>12</v>
      </c>
      <c r="F18" s="50">
        <v>92</v>
      </c>
      <c r="G18" s="50">
        <v>0</v>
      </c>
      <c r="H18" s="50">
        <v>0</v>
      </c>
      <c r="I18" s="50">
        <v>1</v>
      </c>
      <c r="J18" s="50">
        <v>4</v>
      </c>
      <c r="K18" s="50">
        <v>2</v>
      </c>
      <c r="L18" s="50">
        <v>4</v>
      </c>
      <c r="M18" s="50">
        <v>180</v>
      </c>
      <c r="N18" s="50">
        <v>0</v>
      </c>
      <c r="O18" s="15">
        <f t="shared" si="0"/>
        <v>193</v>
      </c>
      <c r="P18" s="15">
        <f t="shared" si="1"/>
        <v>373</v>
      </c>
      <c r="R18" s="1" t="s">
        <v>14</v>
      </c>
      <c r="S18" s="17">
        <f t="shared" ref="S18:AF18" si="10">SUM(C42:C45)</f>
        <v>150</v>
      </c>
      <c r="T18" s="17">
        <f t="shared" si="10"/>
        <v>47</v>
      </c>
      <c r="U18" s="17">
        <f t="shared" si="10"/>
        <v>23</v>
      </c>
      <c r="V18" s="17">
        <f t="shared" si="10"/>
        <v>177</v>
      </c>
      <c r="W18" s="17">
        <f t="shared" si="10"/>
        <v>8</v>
      </c>
      <c r="X18" s="17">
        <f t="shared" si="10"/>
        <v>2</v>
      </c>
      <c r="Y18" s="17">
        <f t="shared" si="10"/>
        <v>10</v>
      </c>
      <c r="Z18" s="17">
        <f t="shared" si="10"/>
        <v>20</v>
      </c>
      <c r="AA18" s="17">
        <f t="shared" si="10"/>
        <v>8</v>
      </c>
      <c r="AB18" s="17">
        <f t="shared" si="10"/>
        <v>12</v>
      </c>
      <c r="AC18" s="17">
        <f t="shared" si="10"/>
        <v>41</v>
      </c>
      <c r="AD18" s="17">
        <f t="shared" si="10"/>
        <v>0</v>
      </c>
      <c r="AE18" s="31">
        <f t="shared" si="10"/>
        <v>457</v>
      </c>
      <c r="AF18" s="31">
        <f t="shared" si="10"/>
        <v>498</v>
      </c>
    </row>
    <row r="19" spans="2:32" ht="23.1" customHeight="1" x14ac:dyDescent="0.25">
      <c r="B19" s="45" t="s">
        <v>46</v>
      </c>
      <c r="C19" s="50">
        <v>52</v>
      </c>
      <c r="D19" s="50">
        <v>22</v>
      </c>
      <c r="E19" s="50">
        <v>7</v>
      </c>
      <c r="F19" s="50">
        <v>59</v>
      </c>
      <c r="G19" s="50">
        <v>0</v>
      </c>
      <c r="H19" s="50">
        <v>0</v>
      </c>
      <c r="I19" s="50">
        <v>3</v>
      </c>
      <c r="J19" s="50">
        <v>2</v>
      </c>
      <c r="K19" s="50">
        <v>2</v>
      </c>
      <c r="L19" s="50">
        <v>10</v>
      </c>
      <c r="M19" s="50">
        <v>155</v>
      </c>
      <c r="N19" s="50">
        <v>0</v>
      </c>
      <c r="O19" s="15">
        <f t="shared" si="0"/>
        <v>157</v>
      </c>
      <c r="P19" s="15">
        <f t="shared" si="1"/>
        <v>312</v>
      </c>
      <c r="R19" s="1" t="s">
        <v>15</v>
      </c>
      <c r="S19" s="17">
        <f t="shared" ref="S19:AF19" si="11">SUM(C46:C49)</f>
        <v>160</v>
      </c>
      <c r="T19" s="17">
        <f t="shared" si="11"/>
        <v>43</v>
      </c>
      <c r="U19" s="17">
        <f t="shared" si="11"/>
        <v>33</v>
      </c>
      <c r="V19" s="17">
        <f t="shared" si="11"/>
        <v>202</v>
      </c>
      <c r="W19" s="17">
        <f t="shared" si="11"/>
        <v>5</v>
      </c>
      <c r="X19" s="17">
        <f t="shared" si="11"/>
        <v>5</v>
      </c>
      <c r="Y19" s="17">
        <f t="shared" si="11"/>
        <v>24</v>
      </c>
      <c r="Z19" s="17">
        <f t="shared" si="11"/>
        <v>21</v>
      </c>
      <c r="AA19" s="17">
        <f t="shared" si="11"/>
        <v>9</v>
      </c>
      <c r="AB19" s="17">
        <f t="shared" si="11"/>
        <v>11</v>
      </c>
      <c r="AC19" s="17">
        <f t="shared" si="11"/>
        <v>31</v>
      </c>
      <c r="AD19" s="17">
        <f t="shared" si="11"/>
        <v>0</v>
      </c>
      <c r="AE19" s="31">
        <f t="shared" si="11"/>
        <v>513</v>
      </c>
      <c r="AF19" s="31">
        <f t="shared" si="11"/>
        <v>544</v>
      </c>
    </row>
    <row r="20" spans="2:32" ht="23.1" customHeight="1" x14ac:dyDescent="0.25">
      <c r="B20" s="45" t="s">
        <v>47</v>
      </c>
      <c r="C20" s="50">
        <v>60</v>
      </c>
      <c r="D20" s="50">
        <v>20</v>
      </c>
      <c r="E20" s="50">
        <v>13</v>
      </c>
      <c r="F20" s="50">
        <v>72</v>
      </c>
      <c r="G20" s="50">
        <v>0</v>
      </c>
      <c r="H20" s="50">
        <v>1</v>
      </c>
      <c r="I20" s="50">
        <v>0</v>
      </c>
      <c r="J20" s="50">
        <v>1</v>
      </c>
      <c r="K20" s="50">
        <v>1</v>
      </c>
      <c r="L20" s="50">
        <v>1</v>
      </c>
      <c r="M20" s="50">
        <v>118</v>
      </c>
      <c r="N20" s="50">
        <v>0</v>
      </c>
      <c r="O20" s="15">
        <f t="shared" si="0"/>
        <v>169</v>
      </c>
      <c r="P20" s="15">
        <f t="shared" si="1"/>
        <v>287</v>
      </c>
      <c r="R20" s="1" t="s">
        <v>16</v>
      </c>
      <c r="S20" s="17">
        <f t="shared" ref="S20:AF20" si="12">SUM(C50:C53)</f>
        <v>192</v>
      </c>
      <c r="T20" s="17">
        <f t="shared" si="12"/>
        <v>31</v>
      </c>
      <c r="U20" s="17">
        <f t="shared" si="12"/>
        <v>35</v>
      </c>
      <c r="V20" s="17">
        <f t="shared" si="12"/>
        <v>180</v>
      </c>
      <c r="W20" s="17">
        <f t="shared" si="12"/>
        <v>12</v>
      </c>
      <c r="X20" s="17">
        <f t="shared" si="12"/>
        <v>4</v>
      </c>
      <c r="Y20" s="17">
        <f t="shared" si="12"/>
        <v>17</v>
      </c>
      <c r="Z20" s="17">
        <f t="shared" si="12"/>
        <v>14</v>
      </c>
      <c r="AA20" s="17">
        <f t="shared" si="12"/>
        <v>9</v>
      </c>
      <c r="AB20" s="17">
        <f t="shared" si="12"/>
        <v>11</v>
      </c>
      <c r="AC20" s="17">
        <f t="shared" si="12"/>
        <v>50</v>
      </c>
      <c r="AD20" s="17">
        <f t="shared" si="12"/>
        <v>0</v>
      </c>
      <c r="AE20" s="31">
        <f t="shared" si="12"/>
        <v>505</v>
      </c>
      <c r="AF20" s="31">
        <f t="shared" si="12"/>
        <v>555</v>
      </c>
    </row>
    <row r="21" spans="2:32" ht="23.1" customHeight="1" x14ac:dyDescent="0.25">
      <c r="B21" s="45" t="s">
        <v>48</v>
      </c>
      <c r="C21" s="50">
        <v>65</v>
      </c>
      <c r="D21" s="50">
        <v>20</v>
      </c>
      <c r="E21" s="50">
        <v>8</v>
      </c>
      <c r="F21" s="50">
        <v>55</v>
      </c>
      <c r="G21" s="50">
        <v>0</v>
      </c>
      <c r="H21" s="50">
        <v>1</v>
      </c>
      <c r="I21" s="50">
        <v>1</v>
      </c>
      <c r="J21" s="50">
        <v>0</v>
      </c>
      <c r="K21" s="50">
        <v>2</v>
      </c>
      <c r="L21" s="50">
        <v>5</v>
      </c>
      <c r="M21" s="50">
        <v>123</v>
      </c>
      <c r="N21" s="50">
        <v>0</v>
      </c>
      <c r="O21" s="15">
        <f t="shared" si="0"/>
        <v>157</v>
      </c>
      <c r="P21" s="15">
        <f t="shared" si="1"/>
        <v>280</v>
      </c>
      <c r="R21" s="36" t="s">
        <v>20</v>
      </c>
      <c r="S21" s="34">
        <f t="shared" ref="S21:AF21" si="13">SUM(C54:C57)</f>
        <v>153</v>
      </c>
      <c r="T21" s="17">
        <f t="shared" si="13"/>
        <v>26</v>
      </c>
      <c r="U21" s="17">
        <f t="shared" si="13"/>
        <v>11</v>
      </c>
      <c r="V21" s="17">
        <f t="shared" si="13"/>
        <v>148</v>
      </c>
      <c r="W21" s="17">
        <f t="shared" si="13"/>
        <v>13</v>
      </c>
      <c r="X21" s="17">
        <f t="shared" si="13"/>
        <v>2</v>
      </c>
      <c r="Y21" s="17">
        <f t="shared" si="13"/>
        <v>9</v>
      </c>
      <c r="Z21" s="17">
        <f t="shared" si="13"/>
        <v>9</v>
      </c>
      <c r="AA21" s="17">
        <f t="shared" si="13"/>
        <v>9</v>
      </c>
      <c r="AB21" s="17">
        <f t="shared" si="13"/>
        <v>3</v>
      </c>
      <c r="AC21" s="17">
        <f t="shared" si="13"/>
        <v>457</v>
      </c>
      <c r="AD21" s="17">
        <f t="shared" si="13"/>
        <v>0</v>
      </c>
      <c r="AE21" s="31">
        <f t="shared" si="13"/>
        <v>383</v>
      </c>
      <c r="AF21" s="31">
        <f t="shared" si="13"/>
        <v>840</v>
      </c>
    </row>
    <row r="22" spans="2:32" ht="23.1" customHeight="1" x14ac:dyDescent="0.25">
      <c r="B22" s="45" t="s">
        <v>49</v>
      </c>
      <c r="C22" s="50">
        <v>75</v>
      </c>
      <c r="D22" s="50">
        <v>20</v>
      </c>
      <c r="E22" s="50">
        <v>9</v>
      </c>
      <c r="F22" s="50">
        <v>73</v>
      </c>
      <c r="G22" s="50">
        <v>1</v>
      </c>
      <c r="H22" s="50">
        <v>0</v>
      </c>
      <c r="I22" s="50">
        <v>5</v>
      </c>
      <c r="J22" s="50">
        <v>1</v>
      </c>
      <c r="K22" s="50">
        <v>0</v>
      </c>
      <c r="L22" s="50">
        <v>3</v>
      </c>
      <c r="M22" s="50">
        <v>77</v>
      </c>
      <c r="N22" s="50">
        <v>0</v>
      </c>
      <c r="O22" s="15">
        <f t="shared" si="0"/>
        <v>187</v>
      </c>
      <c r="P22" s="15">
        <f t="shared" si="1"/>
        <v>264</v>
      </c>
      <c r="R22" s="36" t="s">
        <v>146</v>
      </c>
      <c r="S22" s="34">
        <f>SUM(C58:C61)</f>
        <v>99</v>
      </c>
      <c r="T22" s="34">
        <f t="shared" ref="T22:AF22" si="14">SUM(D58:D61)</f>
        <v>21</v>
      </c>
      <c r="U22" s="34">
        <f t="shared" si="14"/>
        <v>27</v>
      </c>
      <c r="V22" s="34">
        <f t="shared" si="14"/>
        <v>194</v>
      </c>
      <c r="W22" s="34">
        <f t="shared" si="14"/>
        <v>10</v>
      </c>
      <c r="X22" s="34">
        <f t="shared" si="14"/>
        <v>9</v>
      </c>
      <c r="Y22" s="34">
        <f t="shared" si="14"/>
        <v>20</v>
      </c>
      <c r="Z22" s="34">
        <f t="shared" si="14"/>
        <v>9</v>
      </c>
      <c r="AA22" s="34">
        <f t="shared" si="14"/>
        <v>3</v>
      </c>
      <c r="AB22" s="34">
        <f t="shared" si="14"/>
        <v>5</v>
      </c>
      <c r="AC22" s="34">
        <f t="shared" si="14"/>
        <v>1355</v>
      </c>
      <c r="AD22" s="34">
        <f t="shared" si="14"/>
        <v>0</v>
      </c>
      <c r="AE22" s="31">
        <f t="shared" si="14"/>
        <v>397</v>
      </c>
      <c r="AF22" s="31">
        <f t="shared" si="14"/>
        <v>1752</v>
      </c>
    </row>
    <row r="23" spans="2:32" ht="23.1" customHeight="1" x14ac:dyDescent="0.25">
      <c r="B23" s="45" t="s">
        <v>50</v>
      </c>
      <c r="C23" s="50">
        <v>55</v>
      </c>
      <c r="D23" s="50">
        <v>16</v>
      </c>
      <c r="E23" s="50">
        <v>12</v>
      </c>
      <c r="F23" s="50">
        <v>75</v>
      </c>
      <c r="G23" s="50">
        <v>2</v>
      </c>
      <c r="H23" s="50">
        <v>0</v>
      </c>
      <c r="I23" s="50">
        <v>6</v>
      </c>
      <c r="J23" s="50">
        <v>2</v>
      </c>
      <c r="K23" s="50">
        <v>0</v>
      </c>
      <c r="L23" s="50">
        <v>5</v>
      </c>
      <c r="M23" s="50">
        <v>52</v>
      </c>
      <c r="N23" s="50">
        <v>0</v>
      </c>
      <c r="O23" s="15">
        <f t="shared" si="0"/>
        <v>173</v>
      </c>
      <c r="P23" s="15">
        <f t="shared" si="1"/>
        <v>225</v>
      </c>
      <c r="R23" s="36" t="s">
        <v>147</v>
      </c>
      <c r="S23" s="34">
        <f>SUM(C62:C65)</f>
        <v>114</v>
      </c>
      <c r="T23" s="34">
        <f t="shared" ref="T23:AF23" si="15">SUM(D62:D65)</f>
        <v>16</v>
      </c>
      <c r="U23" s="34">
        <f t="shared" si="15"/>
        <v>13</v>
      </c>
      <c r="V23" s="34">
        <f t="shared" si="15"/>
        <v>207</v>
      </c>
      <c r="W23" s="34">
        <f t="shared" si="15"/>
        <v>14</v>
      </c>
      <c r="X23" s="34">
        <f t="shared" si="15"/>
        <v>5</v>
      </c>
      <c r="Y23" s="34">
        <f t="shared" si="15"/>
        <v>23</v>
      </c>
      <c r="Z23" s="34">
        <f t="shared" si="15"/>
        <v>7</v>
      </c>
      <c r="AA23" s="34">
        <f t="shared" si="15"/>
        <v>6</v>
      </c>
      <c r="AB23" s="34">
        <f t="shared" si="15"/>
        <v>8</v>
      </c>
      <c r="AC23" s="34">
        <f t="shared" si="15"/>
        <v>1545</v>
      </c>
      <c r="AD23" s="34">
        <f t="shared" si="15"/>
        <v>0</v>
      </c>
      <c r="AE23" s="31">
        <f t="shared" si="15"/>
        <v>413</v>
      </c>
      <c r="AF23" s="31">
        <f t="shared" si="15"/>
        <v>1958</v>
      </c>
    </row>
    <row r="24" spans="2:32" ht="23.1" customHeight="1" x14ac:dyDescent="0.25">
      <c r="B24" s="45" t="s">
        <v>51</v>
      </c>
      <c r="C24" s="50">
        <v>63</v>
      </c>
      <c r="D24" s="50">
        <v>19</v>
      </c>
      <c r="E24" s="50">
        <v>9</v>
      </c>
      <c r="F24" s="50">
        <v>53</v>
      </c>
      <c r="G24" s="50">
        <v>0</v>
      </c>
      <c r="H24" s="50">
        <v>0</v>
      </c>
      <c r="I24" s="50">
        <v>0</v>
      </c>
      <c r="J24" s="50">
        <v>2</v>
      </c>
      <c r="K24" s="50">
        <v>0</v>
      </c>
      <c r="L24" s="50">
        <v>1</v>
      </c>
      <c r="M24" s="50">
        <v>124</v>
      </c>
      <c r="N24" s="50">
        <v>0</v>
      </c>
      <c r="O24" s="15">
        <f t="shared" si="0"/>
        <v>147</v>
      </c>
      <c r="P24" s="15">
        <f t="shared" si="1"/>
        <v>271</v>
      </c>
      <c r="R24" s="36" t="s">
        <v>148</v>
      </c>
      <c r="S24" s="34">
        <f>SUM(C66:C69)</f>
        <v>68</v>
      </c>
      <c r="T24" s="34">
        <f t="shared" ref="T24:AF24" si="16">SUM(D66:D69)</f>
        <v>10</v>
      </c>
      <c r="U24" s="34">
        <f t="shared" si="16"/>
        <v>5</v>
      </c>
      <c r="V24" s="34">
        <f t="shared" si="16"/>
        <v>162</v>
      </c>
      <c r="W24" s="34">
        <f t="shared" si="16"/>
        <v>10</v>
      </c>
      <c r="X24" s="34">
        <f t="shared" si="16"/>
        <v>4</v>
      </c>
      <c r="Y24" s="34">
        <f t="shared" si="16"/>
        <v>39</v>
      </c>
      <c r="Z24" s="34">
        <f t="shared" si="16"/>
        <v>10</v>
      </c>
      <c r="AA24" s="34">
        <f t="shared" si="16"/>
        <v>4</v>
      </c>
      <c r="AB24" s="34">
        <f t="shared" si="16"/>
        <v>11</v>
      </c>
      <c r="AC24" s="34">
        <f t="shared" si="16"/>
        <v>1495</v>
      </c>
      <c r="AD24" s="34">
        <f t="shared" si="16"/>
        <v>0</v>
      </c>
      <c r="AE24" s="31">
        <f t="shared" si="16"/>
        <v>323</v>
      </c>
      <c r="AF24" s="31">
        <f t="shared" si="16"/>
        <v>1818</v>
      </c>
    </row>
    <row r="25" spans="2:32" ht="23.1" customHeight="1" x14ac:dyDescent="0.25">
      <c r="B25" s="45" t="s">
        <v>52</v>
      </c>
      <c r="C25" s="50">
        <v>54</v>
      </c>
      <c r="D25" s="50">
        <v>22</v>
      </c>
      <c r="E25" s="50">
        <v>11</v>
      </c>
      <c r="F25" s="50">
        <v>86</v>
      </c>
      <c r="G25" s="50">
        <v>1</v>
      </c>
      <c r="H25" s="50">
        <v>1</v>
      </c>
      <c r="I25" s="50">
        <v>2</v>
      </c>
      <c r="J25" s="50">
        <v>2</v>
      </c>
      <c r="K25" s="50">
        <v>2</v>
      </c>
      <c r="L25" s="50">
        <v>8</v>
      </c>
      <c r="M25" s="50">
        <v>38</v>
      </c>
      <c r="N25" s="50">
        <v>0</v>
      </c>
      <c r="O25" s="15">
        <f t="shared" si="0"/>
        <v>189</v>
      </c>
      <c r="P25" s="15">
        <f t="shared" si="1"/>
        <v>227</v>
      </c>
      <c r="R25" s="36" t="s">
        <v>149</v>
      </c>
      <c r="S25" s="34">
        <f>SUM(C70:C73)</f>
        <v>100</v>
      </c>
      <c r="T25" s="34">
        <f t="shared" ref="T25:AF25" si="17">SUM(D70:D73)</f>
        <v>8</v>
      </c>
      <c r="U25" s="34">
        <f t="shared" si="17"/>
        <v>7</v>
      </c>
      <c r="V25" s="34">
        <f t="shared" si="17"/>
        <v>121</v>
      </c>
      <c r="W25" s="34">
        <f t="shared" si="17"/>
        <v>6</v>
      </c>
      <c r="X25" s="34">
        <f t="shared" si="17"/>
        <v>2</v>
      </c>
      <c r="Y25" s="34">
        <f t="shared" si="17"/>
        <v>30</v>
      </c>
      <c r="Z25" s="34">
        <f t="shared" si="17"/>
        <v>8</v>
      </c>
      <c r="AA25" s="34">
        <f t="shared" si="17"/>
        <v>3</v>
      </c>
      <c r="AB25" s="34">
        <f t="shared" si="17"/>
        <v>6</v>
      </c>
      <c r="AC25" s="34">
        <f t="shared" si="17"/>
        <v>1445</v>
      </c>
      <c r="AD25" s="34">
        <f t="shared" si="17"/>
        <v>0</v>
      </c>
      <c r="AE25" s="31">
        <f t="shared" si="17"/>
        <v>291</v>
      </c>
      <c r="AF25" s="31">
        <f t="shared" si="17"/>
        <v>1736</v>
      </c>
    </row>
    <row r="26" spans="2:32" ht="23.1" customHeight="1" x14ac:dyDescent="0.25">
      <c r="B26" s="45" t="s">
        <v>53</v>
      </c>
      <c r="C26" s="50">
        <v>53</v>
      </c>
      <c r="D26" s="50">
        <v>12</v>
      </c>
      <c r="E26" s="50">
        <v>8</v>
      </c>
      <c r="F26" s="50">
        <v>51</v>
      </c>
      <c r="G26" s="50">
        <v>1</v>
      </c>
      <c r="H26" s="50">
        <v>0</v>
      </c>
      <c r="I26" s="50">
        <v>6</v>
      </c>
      <c r="J26" s="50">
        <v>5</v>
      </c>
      <c r="K26" s="50">
        <v>1</v>
      </c>
      <c r="L26" s="50">
        <v>2</v>
      </c>
      <c r="M26" s="50">
        <v>42</v>
      </c>
      <c r="N26" s="50">
        <v>0</v>
      </c>
      <c r="O26" s="15">
        <f t="shared" si="0"/>
        <v>139</v>
      </c>
      <c r="P26" s="15">
        <f t="shared" si="1"/>
        <v>181</v>
      </c>
      <c r="R26" s="36" t="s">
        <v>150</v>
      </c>
      <c r="S26" s="34">
        <f>SUM(C74:C77)</f>
        <v>101</v>
      </c>
      <c r="T26" s="34">
        <f t="shared" ref="T26:AF26" si="18">SUM(D74:D77)</f>
        <v>23</v>
      </c>
      <c r="U26" s="34">
        <f t="shared" si="18"/>
        <v>24</v>
      </c>
      <c r="V26" s="34">
        <f t="shared" si="18"/>
        <v>71</v>
      </c>
      <c r="W26" s="34">
        <f t="shared" si="18"/>
        <v>7</v>
      </c>
      <c r="X26" s="34">
        <f t="shared" si="18"/>
        <v>2</v>
      </c>
      <c r="Y26" s="34">
        <f t="shared" si="18"/>
        <v>27</v>
      </c>
      <c r="Z26" s="34">
        <f t="shared" si="18"/>
        <v>25</v>
      </c>
      <c r="AA26" s="34">
        <f t="shared" si="18"/>
        <v>4</v>
      </c>
      <c r="AB26" s="34">
        <f t="shared" si="18"/>
        <v>7</v>
      </c>
      <c r="AC26" s="34">
        <f t="shared" si="18"/>
        <v>1195</v>
      </c>
      <c r="AD26" s="34">
        <f t="shared" si="18"/>
        <v>0</v>
      </c>
      <c r="AE26" s="31">
        <f t="shared" si="18"/>
        <v>291</v>
      </c>
      <c r="AF26" s="31">
        <f t="shared" si="18"/>
        <v>1486</v>
      </c>
    </row>
    <row r="27" spans="2:32" ht="23.1" customHeight="1" x14ac:dyDescent="0.25">
      <c r="B27" s="45" t="s">
        <v>54</v>
      </c>
      <c r="C27" s="50">
        <v>54</v>
      </c>
      <c r="D27" s="50">
        <v>17</v>
      </c>
      <c r="E27" s="50">
        <v>15</v>
      </c>
      <c r="F27" s="50">
        <v>56</v>
      </c>
      <c r="G27" s="50">
        <v>1</v>
      </c>
      <c r="H27" s="50">
        <v>0</v>
      </c>
      <c r="I27" s="50">
        <v>5</v>
      </c>
      <c r="J27" s="50">
        <v>6</v>
      </c>
      <c r="K27" s="50">
        <v>2</v>
      </c>
      <c r="L27" s="50">
        <v>3</v>
      </c>
      <c r="M27" s="50">
        <v>26</v>
      </c>
      <c r="N27" s="50">
        <v>0</v>
      </c>
      <c r="O27" s="15">
        <f t="shared" si="0"/>
        <v>159</v>
      </c>
      <c r="P27" s="15">
        <f t="shared" si="1"/>
        <v>185</v>
      </c>
      <c r="R27" s="36" t="s">
        <v>151</v>
      </c>
      <c r="S27" s="34">
        <f>SUM(C78:C81)</f>
        <v>112</v>
      </c>
      <c r="T27" s="34">
        <f t="shared" ref="T27:AF27" si="19">SUM(D78:D81)</f>
        <v>10</v>
      </c>
      <c r="U27" s="34">
        <f t="shared" si="19"/>
        <v>13</v>
      </c>
      <c r="V27" s="34">
        <f t="shared" si="19"/>
        <v>41</v>
      </c>
      <c r="W27" s="34">
        <f t="shared" si="19"/>
        <v>4</v>
      </c>
      <c r="X27" s="34">
        <f t="shared" si="19"/>
        <v>2</v>
      </c>
      <c r="Y27" s="34">
        <f t="shared" si="19"/>
        <v>31</v>
      </c>
      <c r="Z27" s="34">
        <f t="shared" si="19"/>
        <v>21</v>
      </c>
      <c r="AA27" s="34">
        <f t="shared" si="19"/>
        <v>2</v>
      </c>
      <c r="AB27" s="34">
        <f t="shared" si="19"/>
        <v>9</v>
      </c>
      <c r="AC27" s="34">
        <f t="shared" si="19"/>
        <v>1100</v>
      </c>
      <c r="AD27" s="34">
        <f t="shared" si="19"/>
        <v>0</v>
      </c>
      <c r="AE27" s="31">
        <f t="shared" si="19"/>
        <v>245</v>
      </c>
      <c r="AF27" s="31">
        <f t="shared" si="19"/>
        <v>1345</v>
      </c>
    </row>
    <row r="28" spans="2:32" ht="23.1" customHeight="1" x14ac:dyDescent="0.25">
      <c r="B28" s="45" t="s">
        <v>55</v>
      </c>
      <c r="C28" s="50">
        <v>60</v>
      </c>
      <c r="D28" s="50">
        <v>14</v>
      </c>
      <c r="E28" s="50">
        <v>13</v>
      </c>
      <c r="F28" s="50">
        <v>93</v>
      </c>
      <c r="G28" s="50">
        <v>2</v>
      </c>
      <c r="H28" s="50">
        <v>0</v>
      </c>
      <c r="I28" s="50">
        <v>17</v>
      </c>
      <c r="J28" s="50">
        <v>4</v>
      </c>
      <c r="K28" s="50">
        <v>1</v>
      </c>
      <c r="L28" s="50">
        <v>13</v>
      </c>
      <c r="M28" s="50">
        <v>19</v>
      </c>
      <c r="N28" s="50">
        <v>0</v>
      </c>
      <c r="O28" s="15">
        <f t="shared" si="0"/>
        <v>217</v>
      </c>
      <c r="P28" s="15">
        <f t="shared" si="1"/>
        <v>236</v>
      </c>
      <c r="R28" s="36" t="s">
        <v>152</v>
      </c>
      <c r="S28" s="34">
        <f>SUM(C82:C85)</f>
        <v>60</v>
      </c>
      <c r="T28" s="34">
        <f t="shared" ref="T28:AF28" si="20">SUM(D82:D85)</f>
        <v>5</v>
      </c>
      <c r="U28" s="34">
        <f t="shared" si="20"/>
        <v>8</v>
      </c>
      <c r="V28" s="34">
        <f t="shared" si="20"/>
        <v>23</v>
      </c>
      <c r="W28" s="34">
        <f t="shared" si="20"/>
        <v>7</v>
      </c>
      <c r="X28" s="34">
        <f t="shared" si="20"/>
        <v>20</v>
      </c>
      <c r="Y28" s="34">
        <f t="shared" si="20"/>
        <v>20</v>
      </c>
      <c r="Z28" s="34">
        <f t="shared" si="20"/>
        <v>7</v>
      </c>
      <c r="AA28" s="34">
        <f t="shared" si="20"/>
        <v>13</v>
      </c>
      <c r="AB28" s="34">
        <f t="shared" si="20"/>
        <v>0</v>
      </c>
      <c r="AC28" s="34">
        <f t="shared" si="20"/>
        <v>1045</v>
      </c>
      <c r="AD28" s="34">
        <f t="shared" si="20"/>
        <v>0</v>
      </c>
      <c r="AE28" s="31">
        <f t="shared" si="20"/>
        <v>163</v>
      </c>
      <c r="AF28" s="31">
        <f t="shared" si="20"/>
        <v>1208</v>
      </c>
    </row>
    <row r="29" spans="2:32" ht="23.1" customHeight="1" x14ac:dyDescent="0.25">
      <c r="B29" s="45" t="s">
        <v>56</v>
      </c>
      <c r="C29" s="50">
        <v>55</v>
      </c>
      <c r="D29" s="50">
        <v>29</v>
      </c>
      <c r="E29" s="50">
        <v>9</v>
      </c>
      <c r="F29" s="50">
        <v>72</v>
      </c>
      <c r="G29" s="50">
        <v>3</v>
      </c>
      <c r="H29" s="50">
        <v>0</v>
      </c>
      <c r="I29" s="50">
        <v>7</v>
      </c>
      <c r="J29" s="50">
        <v>2</v>
      </c>
      <c r="K29" s="50">
        <v>1</v>
      </c>
      <c r="L29" s="50">
        <v>5</v>
      </c>
      <c r="M29" s="50">
        <v>12</v>
      </c>
      <c r="N29" s="50">
        <v>0</v>
      </c>
      <c r="O29" s="15">
        <f t="shared" si="0"/>
        <v>183</v>
      </c>
      <c r="P29" s="15">
        <f t="shared" si="1"/>
        <v>195</v>
      </c>
      <c r="R29" s="36" t="s">
        <v>153</v>
      </c>
      <c r="S29" s="34">
        <f>SUM(C86:C89)</f>
        <v>48</v>
      </c>
      <c r="T29" s="34">
        <f t="shared" ref="T29:AF29" si="21">SUM(D86:D89)</f>
        <v>3</v>
      </c>
      <c r="U29" s="34">
        <f t="shared" si="21"/>
        <v>7</v>
      </c>
      <c r="V29" s="34">
        <f t="shared" si="21"/>
        <v>23</v>
      </c>
      <c r="W29" s="34">
        <f t="shared" si="21"/>
        <v>4</v>
      </c>
      <c r="X29" s="34">
        <f t="shared" si="21"/>
        <v>6</v>
      </c>
      <c r="Y29" s="34">
        <f t="shared" si="21"/>
        <v>17</v>
      </c>
      <c r="Z29" s="34">
        <f t="shared" si="21"/>
        <v>11</v>
      </c>
      <c r="AA29" s="34">
        <f t="shared" si="21"/>
        <v>7</v>
      </c>
      <c r="AB29" s="34">
        <f t="shared" si="21"/>
        <v>4</v>
      </c>
      <c r="AC29" s="34">
        <f t="shared" si="21"/>
        <v>1148</v>
      </c>
      <c r="AD29" s="34">
        <f t="shared" si="21"/>
        <v>0</v>
      </c>
      <c r="AE29" s="31">
        <f t="shared" si="21"/>
        <v>130</v>
      </c>
      <c r="AF29" s="31">
        <f t="shared" si="21"/>
        <v>1278</v>
      </c>
    </row>
    <row r="30" spans="2:32" ht="23.1" customHeight="1" x14ac:dyDescent="0.25">
      <c r="B30" s="45" t="s">
        <v>57</v>
      </c>
      <c r="C30" s="50">
        <v>44</v>
      </c>
      <c r="D30" s="50">
        <v>21</v>
      </c>
      <c r="E30" s="50">
        <v>14</v>
      </c>
      <c r="F30" s="50">
        <v>57</v>
      </c>
      <c r="G30" s="50">
        <v>2</v>
      </c>
      <c r="H30" s="50">
        <v>0</v>
      </c>
      <c r="I30" s="50">
        <v>4</v>
      </c>
      <c r="J30" s="50">
        <v>1</v>
      </c>
      <c r="K30" s="50">
        <v>1</v>
      </c>
      <c r="L30" s="50">
        <v>1</v>
      </c>
      <c r="M30" s="50">
        <v>13</v>
      </c>
      <c r="N30" s="50">
        <v>0</v>
      </c>
      <c r="O30" s="15">
        <f t="shared" si="0"/>
        <v>145</v>
      </c>
      <c r="P30" s="15">
        <f t="shared" si="1"/>
        <v>158</v>
      </c>
      <c r="R30" s="36" t="s">
        <v>154</v>
      </c>
      <c r="S30" s="34">
        <f>SUM(C90:C93)</f>
        <v>32</v>
      </c>
      <c r="T30" s="34">
        <f t="shared" ref="T30:AF30" si="22">SUM(D90:D93)</f>
        <v>3</v>
      </c>
      <c r="U30" s="34">
        <f t="shared" si="22"/>
        <v>13</v>
      </c>
      <c r="V30" s="34">
        <f t="shared" si="22"/>
        <v>18</v>
      </c>
      <c r="W30" s="34">
        <f t="shared" si="22"/>
        <v>2</v>
      </c>
      <c r="X30" s="34">
        <f t="shared" si="22"/>
        <v>2</v>
      </c>
      <c r="Y30" s="34">
        <f t="shared" si="22"/>
        <v>17</v>
      </c>
      <c r="Z30" s="34">
        <f t="shared" si="22"/>
        <v>15</v>
      </c>
      <c r="AA30" s="34">
        <f t="shared" si="22"/>
        <v>3</v>
      </c>
      <c r="AB30" s="34">
        <f t="shared" si="22"/>
        <v>11</v>
      </c>
      <c r="AC30" s="34">
        <f t="shared" si="22"/>
        <v>1105</v>
      </c>
      <c r="AD30" s="34">
        <f t="shared" si="22"/>
        <v>0</v>
      </c>
      <c r="AE30" s="31">
        <f t="shared" si="22"/>
        <v>116</v>
      </c>
      <c r="AF30" s="31">
        <f t="shared" si="22"/>
        <v>1221</v>
      </c>
    </row>
    <row r="31" spans="2:32" ht="23.1" customHeight="1" x14ac:dyDescent="0.25">
      <c r="B31" s="46" t="s">
        <v>58</v>
      </c>
      <c r="C31" s="50">
        <v>65</v>
      </c>
      <c r="D31" s="50">
        <v>18</v>
      </c>
      <c r="E31" s="50">
        <v>7</v>
      </c>
      <c r="F31" s="50">
        <v>54</v>
      </c>
      <c r="G31" s="50">
        <v>1</v>
      </c>
      <c r="H31" s="50">
        <v>0</v>
      </c>
      <c r="I31" s="50">
        <v>1</v>
      </c>
      <c r="J31" s="50">
        <v>2</v>
      </c>
      <c r="K31" s="50">
        <v>1</v>
      </c>
      <c r="L31" s="50">
        <v>5</v>
      </c>
      <c r="M31" s="50">
        <v>8</v>
      </c>
      <c r="N31" s="50">
        <v>0</v>
      </c>
      <c r="O31" s="15">
        <f t="shared" si="0"/>
        <v>154</v>
      </c>
      <c r="P31" s="15">
        <f t="shared" si="1"/>
        <v>162</v>
      </c>
      <c r="R31" s="36" t="s">
        <v>155</v>
      </c>
      <c r="S31" s="34">
        <f>SUM(C94:C97)</f>
        <v>64</v>
      </c>
      <c r="T31" s="34">
        <f t="shared" ref="T31:AF31" si="23">SUM(D94:D97)</f>
        <v>6</v>
      </c>
      <c r="U31" s="34">
        <f t="shared" si="23"/>
        <v>20</v>
      </c>
      <c r="V31" s="34">
        <f t="shared" si="23"/>
        <v>49</v>
      </c>
      <c r="W31" s="34">
        <f t="shared" si="23"/>
        <v>2</v>
      </c>
      <c r="X31" s="34">
        <f t="shared" si="23"/>
        <v>3</v>
      </c>
      <c r="Y31" s="34">
        <f t="shared" si="23"/>
        <v>17</v>
      </c>
      <c r="Z31" s="34">
        <f t="shared" si="23"/>
        <v>8</v>
      </c>
      <c r="AA31" s="34">
        <f t="shared" si="23"/>
        <v>1</v>
      </c>
      <c r="AB31" s="34">
        <f t="shared" si="23"/>
        <v>11</v>
      </c>
      <c r="AC31" s="34">
        <f t="shared" si="23"/>
        <v>1000</v>
      </c>
      <c r="AD31" s="34">
        <f t="shared" si="23"/>
        <v>0</v>
      </c>
      <c r="AE31" s="31">
        <f t="shared" si="23"/>
        <v>181</v>
      </c>
      <c r="AF31" s="31">
        <f t="shared" si="23"/>
        <v>1181</v>
      </c>
    </row>
    <row r="32" spans="2:32" ht="23.1" customHeight="1" x14ac:dyDescent="0.25">
      <c r="B32" s="46" t="s">
        <v>59</v>
      </c>
      <c r="C32" s="50">
        <v>43</v>
      </c>
      <c r="D32" s="50">
        <v>9</v>
      </c>
      <c r="E32" s="50">
        <v>11</v>
      </c>
      <c r="F32" s="50">
        <v>43</v>
      </c>
      <c r="G32" s="50">
        <v>0</v>
      </c>
      <c r="H32" s="50">
        <v>0</v>
      </c>
      <c r="I32" s="50">
        <v>1</v>
      </c>
      <c r="J32" s="50">
        <v>4</v>
      </c>
      <c r="K32" s="50">
        <v>0</v>
      </c>
      <c r="L32" s="50">
        <v>1</v>
      </c>
      <c r="M32" s="50">
        <v>18</v>
      </c>
      <c r="N32" s="50">
        <v>0</v>
      </c>
      <c r="O32" s="15">
        <f t="shared" si="0"/>
        <v>112</v>
      </c>
      <c r="P32" s="15">
        <f t="shared" si="1"/>
        <v>130</v>
      </c>
      <c r="R32" s="33" t="s">
        <v>156</v>
      </c>
      <c r="S32" s="34">
        <f>SUM(C98:C101)</f>
        <v>62</v>
      </c>
      <c r="T32" s="34">
        <f t="shared" ref="T32:AF32" si="24">SUM(D98:D101)</f>
        <v>5</v>
      </c>
      <c r="U32" s="34">
        <f t="shared" si="24"/>
        <v>6</v>
      </c>
      <c r="V32" s="34">
        <f t="shared" si="24"/>
        <v>125</v>
      </c>
      <c r="W32" s="34">
        <f t="shared" si="24"/>
        <v>5</v>
      </c>
      <c r="X32" s="34">
        <f t="shared" si="24"/>
        <v>4</v>
      </c>
      <c r="Y32" s="34">
        <f t="shared" si="24"/>
        <v>15</v>
      </c>
      <c r="Z32" s="34">
        <f t="shared" si="24"/>
        <v>11</v>
      </c>
      <c r="AA32" s="34">
        <f t="shared" si="24"/>
        <v>4</v>
      </c>
      <c r="AB32" s="34">
        <f t="shared" si="24"/>
        <v>20</v>
      </c>
      <c r="AC32" s="34">
        <f t="shared" si="24"/>
        <v>1173</v>
      </c>
      <c r="AD32" s="34">
        <f t="shared" si="24"/>
        <v>0</v>
      </c>
      <c r="AE32" s="31">
        <f t="shared" si="24"/>
        <v>257</v>
      </c>
      <c r="AF32" s="31">
        <f t="shared" si="24"/>
        <v>1430</v>
      </c>
    </row>
    <row r="33" spans="2:32" ht="23.1" customHeight="1" x14ac:dyDescent="0.25">
      <c r="B33" s="45" t="s">
        <v>60</v>
      </c>
      <c r="C33" s="50">
        <v>60</v>
      </c>
      <c r="D33" s="50">
        <v>15</v>
      </c>
      <c r="E33" s="50">
        <v>13</v>
      </c>
      <c r="F33" s="50">
        <v>41</v>
      </c>
      <c r="G33" s="50">
        <v>1</v>
      </c>
      <c r="H33" s="50">
        <v>0</v>
      </c>
      <c r="I33" s="50">
        <v>2</v>
      </c>
      <c r="J33" s="50">
        <v>5</v>
      </c>
      <c r="K33" s="50">
        <v>6</v>
      </c>
      <c r="L33" s="50">
        <v>2</v>
      </c>
      <c r="M33" s="50">
        <v>11</v>
      </c>
      <c r="N33" s="50">
        <v>0</v>
      </c>
      <c r="O33" s="15">
        <f t="shared" si="0"/>
        <v>145</v>
      </c>
      <c r="P33" s="15">
        <f t="shared" si="1"/>
        <v>156</v>
      </c>
      <c r="R33" s="33" t="s">
        <v>157</v>
      </c>
      <c r="S33" s="34">
        <f>SUM(C102:C105)</f>
        <v>121</v>
      </c>
      <c r="T33" s="34">
        <f t="shared" ref="T33:AF33" si="25">SUM(D102:D105)</f>
        <v>44</v>
      </c>
      <c r="U33" s="34">
        <f t="shared" si="25"/>
        <v>15</v>
      </c>
      <c r="V33" s="34">
        <f t="shared" si="25"/>
        <v>323</v>
      </c>
      <c r="W33" s="34">
        <f t="shared" si="25"/>
        <v>42</v>
      </c>
      <c r="X33" s="34">
        <f t="shared" si="25"/>
        <v>26</v>
      </c>
      <c r="Y33" s="34">
        <f t="shared" si="25"/>
        <v>29</v>
      </c>
      <c r="Z33" s="34">
        <f t="shared" si="25"/>
        <v>32</v>
      </c>
      <c r="AA33" s="34">
        <f t="shared" si="25"/>
        <v>4</v>
      </c>
      <c r="AB33" s="34">
        <f t="shared" si="25"/>
        <v>10</v>
      </c>
      <c r="AC33" s="34">
        <f t="shared" si="25"/>
        <v>915</v>
      </c>
      <c r="AD33" s="34">
        <f t="shared" si="25"/>
        <v>0</v>
      </c>
      <c r="AE33" s="31">
        <f t="shared" si="25"/>
        <v>646</v>
      </c>
      <c r="AF33" s="31">
        <f t="shared" si="25"/>
        <v>1561</v>
      </c>
    </row>
    <row r="34" spans="2:32" ht="23.1" customHeight="1" x14ac:dyDescent="0.25">
      <c r="B34" s="46" t="s">
        <v>61</v>
      </c>
      <c r="C34" s="50">
        <v>42</v>
      </c>
      <c r="D34" s="50">
        <v>17</v>
      </c>
      <c r="E34" s="50">
        <v>6</v>
      </c>
      <c r="F34" s="50">
        <v>48</v>
      </c>
      <c r="G34" s="50">
        <v>1</v>
      </c>
      <c r="H34" s="50">
        <v>0</v>
      </c>
      <c r="I34" s="50">
        <v>6</v>
      </c>
      <c r="J34" s="50">
        <v>2</v>
      </c>
      <c r="K34" s="50">
        <v>1</v>
      </c>
      <c r="L34" s="50">
        <v>6</v>
      </c>
      <c r="M34" s="50">
        <v>12</v>
      </c>
      <c r="N34" s="50">
        <v>0</v>
      </c>
      <c r="O34" s="15">
        <f t="shared" si="0"/>
        <v>129</v>
      </c>
      <c r="P34" s="15">
        <f t="shared" si="1"/>
        <v>141</v>
      </c>
      <c r="R34" s="38" t="s">
        <v>90</v>
      </c>
      <c r="S34" s="39">
        <f t="shared" ref="S34:AF34" si="26">MAX(S10:S12)</f>
        <v>515</v>
      </c>
      <c r="T34" s="39">
        <f t="shared" si="26"/>
        <v>120</v>
      </c>
      <c r="U34" s="39">
        <f t="shared" si="26"/>
        <v>62</v>
      </c>
      <c r="V34" s="39">
        <f t="shared" si="26"/>
        <v>279</v>
      </c>
      <c r="W34" s="39">
        <f t="shared" si="26"/>
        <v>14</v>
      </c>
      <c r="X34" s="39">
        <f t="shared" si="26"/>
        <v>2</v>
      </c>
      <c r="Y34" s="39">
        <f t="shared" si="26"/>
        <v>15</v>
      </c>
      <c r="Z34" s="39">
        <f t="shared" si="26"/>
        <v>7</v>
      </c>
      <c r="AA34" s="39">
        <f t="shared" si="26"/>
        <v>7</v>
      </c>
      <c r="AB34" s="39">
        <f t="shared" si="26"/>
        <v>20</v>
      </c>
      <c r="AC34" s="39">
        <f t="shared" si="26"/>
        <v>1125</v>
      </c>
      <c r="AD34" s="39">
        <f t="shared" si="26"/>
        <v>0</v>
      </c>
      <c r="AE34" s="40">
        <f t="shared" si="26"/>
        <v>907</v>
      </c>
      <c r="AF34" s="40">
        <f t="shared" si="26"/>
        <v>2032</v>
      </c>
    </row>
    <row r="35" spans="2:32" ht="23.1" customHeight="1" x14ac:dyDescent="0.25">
      <c r="B35" s="46" t="s">
        <v>62</v>
      </c>
      <c r="C35" s="50">
        <v>49</v>
      </c>
      <c r="D35" s="50">
        <v>26</v>
      </c>
      <c r="E35" s="50">
        <v>6</v>
      </c>
      <c r="F35" s="50">
        <v>60</v>
      </c>
      <c r="G35" s="50">
        <v>1</v>
      </c>
      <c r="H35" s="50">
        <v>0</v>
      </c>
      <c r="I35" s="50">
        <v>15</v>
      </c>
      <c r="J35" s="50">
        <v>0</v>
      </c>
      <c r="K35" s="50">
        <v>0</v>
      </c>
      <c r="L35" s="50">
        <v>0</v>
      </c>
      <c r="M35" s="50">
        <v>4</v>
      </c>
      <c r="N35" s="50">
        <v>0</v>
      </c>
      <c r="O35" s="15">
        <f t="shared" si="0"/>
        <v>157</v>
      </c>
      <c r="P35" s="15">
        <f t="shared" si="1"/>
        <v>161</v>
      </c>
      <c r="R35" s="38" t="s">
        <v>91</v>
      </c>
      <c r="S35" s="39">
        <f t="shared" ref="S35:AF35" si="27">MAX(S13:S18)</f>
        <v>247</v>
      </c>
      <c r="T35" s="39">
        <f t="shared" si="27"/>
        <v>77</v>
      </c>
      <c r="U35" s="39">
        <f t="shared" si="27"/>
        <v>45</v>
      </c>
      <c r="V35" s="39">
        <f t="shared" si="27"/>
        <v>287</v>
      </c>
      <c r="W35" s="39">
        <f t="shared" si="27"/>
        <v>8</v>
      </c>
      <c r="X35" s="39">
        <f t="shared" si="27"/>
        <v>4</v>
      </c>
      <c r="Y35" s="39">
        <f t="shared" si="27"/>
        <v>35</v>
      </c>
      <c r="Z35" s="39">
        <f t="shared" si="27"/>
        <v>20</v>
      </c>
      <c r="AA35" s="39">
        <f t="shared" si="27"/>
        <v>8</v>
      </c>
      <c r="AB35" s="39">
        <f t="shared" si="27"/>
        <v>23</v>
      </c>
      <c r="AC35" s="39">
        <f t="shared" si="27"/>
        <v>291</v>
      </c>
      <c r="AD35" s="39">
        <f t="shared" si="27"/>
        <v>0</v>
      </c>
      <c r="AE35" s="40">
        <f t="shared" si="27"/>
        <v>698</v>
      </c>
      <c r="AF35" s="40">
        <f t="shared" si="27"/>
        <v>987</v>
      </c>
    </row>
    <row r="36" spans="2:32" ht="23.1" customHeight="1" x14ac:dyDescent="0.25">
      <c r="B36" s="46" t="s">
        <v>63</v>
      </c>
      <c r="C36" s="50">
        <v>40</v>
      </c>
      <c r="D36" s="50">
        <v>11</v>
      </c>
      <c r="E36" s="50">
        <v>8</v>
      </c>
      <c r="F36" s="50">
        <v>57</v>
      </c>
      <c r="G36" s="50">
        <v>0</v>
      </c>
      <c r="H36" s="50">
        <v>4</v>
      </c>
      <c r="I36" s="50">
        <v>2</v>
      </c>
      <c r="J36" s="50">
        <v>1</v>
      </c>
      <c r="K36" s="50">
        <v>1</v>
      </c>
      <c r="L36" s="50">
        <v>2</v>
      </c>
      <c r="M36" s="50">
        <v>2</v>
      </c>
      <c r="N36" s="50">
        <v>0</v>
      </c>
      <c r="O36" s="15">
        <f t="shared" si="0"/>
        <v>126</v>
      </c>
      <c r="P36" s="15">
        <f t="shared" si="1"/>
        <v>128</v>
      </c>
      <c r="R36" s="38" t="s">
        <v>92</v>
      </c>
      <c r="S36" s="39">
        <f t="shared" ref="S36:AF36" si="28">MAX(S19:S21)</f>
        <v>192</v>
      </c>
      <c r="T36" s="39">
        <f t="shared" si="28"/>
        <v>43</v>
      </c>
      <c r="U36" s="39">
        <f t="shared" si="28"/>
        <v>35</v>
      </c>
      <c r="V36" s="39">
        <f t="shared" si="28"/>
        <v>202</v>
      </c>
      <c r="W36" s="39">
        <f t="shared" si="28"/>
        <v>13</v>
      </c>
      <c r="X36" s="39">
        <f t="shared" si="28"/>
        <v>5</v>
      </c>
      <c r="Y36" s="39">
        <f t="shared" si="28"/>
        <v>24</v>
      </c>
      <c r="Z36" s="39">
        <f t="shared" si="28"/>
        <v>21</v>
      </c>
      <c r="AA36" s="39">
        <f t="shared" si="28"/>
        <v>9</v>
      </c>
      <c r="AB36" s="39">
        <f t="shared" si="28"/>
        <v>11</v>
      </c>
      <c r="AC36" s="39">
        <f t="shared" si="28"/>
        <v>457</v>
      </c>
      <c r="AD36" s="39">
        <f t="shared" si="28"/>
        <v>0</v>
      </c>
      <c r="AE36" s="40">
        <f t="shared" si="28"/>
        <v>513</v>
      </c>
      <c r="AF36" s="40">
        <f t="shared" si="28"/>
        <v>840</v>
      </c>
    </row>
    <row r="37" spans="2:32" ht="23.1" customHeight="1" x14ac:dyDescent="0.25">
      <c r="B37" s="45" t="s">
        <v>64</v>
      </c>
      <c r="C37" s="50">
        <v>45</v>
      </c>
      <c r="D37" s="50">
        <v>13</v>
      </c>
      <c r="E37" s="50">
        <v>10</v>
      </c>
      <c r="F37" s="50">
        <v>49</v>
      </c>
      <c r="G37" s="50">
        <v>2</v>
      </c>
      <c r="H37" s="50">
        <v>0</v>
      </c>
      <c r="I37" s="50">
        <v>1</v>
      </c>
      <c r="J37" s="50">
        <v>7</v>
      </c>
      <c r="K37" s="50">
        <v>1</v>
      </c>
      <c r="L37" s="50">
        <v>6</v>
      </c>
      <c r="M37" s="50">
        <v>3</v>
      </c>
      <c r="N37" s="50">
        <v>0</v>
      </c>
      <c r="O37" s="15">
        <f t="shared" si="0"/>
        <v>134</v>
      </c>
      <c r="P37" s="15">
        <f t="shared" si="1"/>
        <v>137</v>
      </c>
      <c r="R37" s="37" t="s">
        <v>85</v>
      </c>
      <c r="S37" s="35">
        <f t="shared" ref="S37:AF37" si="29">SUM(S10:S12)</f>
        <v>1082</v>
      </c>
      <c r="T37" s="16">
        <f t="shared" si="29"/>
        <v>305</v>
      </c>
      <c r="U37" s="16">
        <f t="shared" si="29"/>
        <v>157</v>
      </c>
      <c r="V37" s="16">
        <f t="shared" si="29"/>
        <v>751</v>
      </c>
      <c r="W37" s="16">
        <f t="shared" si="29"/>
        <v>24</v>
      </c>
      <c r="X37" s="16">
        <f t="shared" si="29"/>
        <v>3</v>
      </c>
      <c r="Y37" s="16">
        <f t="shared" si="29"/>
        <v>21</v>
      </c>
      <c r="Z37" s="16">
        <f t="shared" si="29"/>
        <v>16</v>
      </c>
      <c r="AA37" s="16">
        <f t="shared" si="29"/>
        <v>9</v>
      </c>
      <c r="AB37" s="16">
        <f t="shared" si="29"/>
        <v>38</v>
      </c>
      <c r="AC37" s="16">
        <f t="shared" si="29"/>
        <v>2581</v>
      </c>
      <c r="AD37" s="16">
        <f t="shared" si="29"/>
        <v>0</v>
      </c>
      <c r="AE37" s="32">
        <f t="shared" si="29"/>
        <v>2406</v>
      </c>
      <c r="AF37" s="32">
        <f t="shared" si="29"/>
        <v>4987</v>
      </c>
    </row>
    <row r="38" spans="2:32" ht="23.1" customHeight="1" x14ac:dyDescent="0.25">
      <c r="B38" s="46" t="s">
        <v>65</v>
      </c>
      <c r="C38" s="50">
        <v>47</v>
      </c>
      <c r="D38" s="50">
        <v>17</v>
      </c>
      <c r="E38" s="50">
        <v>16</v>
      </c>
      <c r="F38" s="50">
        <v>43</v>
      </c>
      <c r="G38" s="50">
        <v>4</v>
      </c>
      <c r="H38" s="50">
        <v>1</v>
      </c>
      <c r="I38" s="50">
        <v>6</v>
      </c>
      <c r="J38" s="50">
        <v>3</v>
      </c>
      <c r="K38" s="50">
        <v>1</v>
      </c>
      <c r="L38" s="50">
        <v>5</v>
      </c>
      <c r="M38" s="50">
        <v>3</v>
      </c>
      <c r="N38" s="50">
        <v>0</v>
      </c>
      <c r="O38" s="15">
        <f t="shared" si="0"/>
        <v>143</v>
      </c>
      <c r="P38" s="15">
        <f t="shared" si="1"/>
        <v>146</v>
      </c>
      <c r="R38" s="28" t="s">
        <v>86</v>
      </c>
      <c r="S38" s="16">
        <f t="shared" ref="S38:AF38" si="30">SUM(S13:S18)</f>
        <v>1184</v>
      </c>
      <c r="T38" s="16">
        <f t="shared" si="30"/>
        <v>376</v>
      </c>
      <c r="U38" s="16">
        <f t="shared" si="30"/>
        <v>227</v>
      </c>
      <c r="V38" s="16">
        <f t="shared" si="30"/>
        <v>1313</v>
      </c>
      <c r="W38" s="16">
        <f t="shared" si="30"/>
        <v>35</v>
      </c>
      <c r="X38" s="16">
        <f t="shared" si="30"/>
        <v>9</v>
      </c>
      <c r="Y38" s="16">
        <f t="shared" si="30"/>
        <v>100</v>
      </c>
      <c r="Z38" s="16">
        <f t="shared" si="30"/>
        <v>73</v>
      </c>
      <c r="AA38" s="16">
        <f t="shared" si="30"/>
        <v>34</v>
      </c>
      <c r="AB38" s="16">
        <f t="shared" si="30"/>
        <v>83</v>
      </c>
      <c r="AC38" s="16">
        <f t="shared" si="30"/>
        <v>512</v>
      </c>
      <c r="AD38" s="16">
        <f t="shared" si="30"/>
        <v>0</v>
      </c>
      <c r="AE38" s="32">
        <f t="shared" si="30"/>
        <v>3434</v>
      </c>
      <c r="AF38" s="32">
        <f t="shared" si="30"/>
        <v>3946</v>
      </c>
    </row>
    <row r="39" spans="2:32" ht="23.1" customHeight="1" x14ac:dyDescent="0.25">
      <c r="B39" s="46" t="s">
        <v>66</v>
      </c>
      <c r="C39" s="50">
        <v>48</v>
      </c>
      <c r="D39" s="50">
        <v>5</v>
      </c>
      <c r="E39" s="50">
        <v>8</v>
      </c>
      <c r="F39" s="50">
        <v>37</v>
      </c>
      <c r="G39" s="50">
        <v>2</v>
      </c>
      <c r="H39" s="50">
        <v>0</v>
      </c>
      <c r="I39" s="50">
        <v>1</v>
      </c>
      <c r="J39" s="50">
        <v>2</v>
      </c>
      <c r="K39" s="50">
        <v>3</v>
      </c>
      <c r="L39" s="50">
        <v>0</v>
      </c>
      <c r="M39" s="50">
        <v>2</v>
      </c>
      <c r="N39" s="50">
        <v>0</v>
      </c>
      <c r="O39" s="15">
        <f t="shared" si="0"/>
        <v>106</v>
      </c>
      <c r="P39" s="15">
        <f t="shared" si="1"/>
        <v>108</v>
      </c>
      <c r="R39" s="29" t="s">
        <v>87</v>
      </c>
      <c r="S39" s="16">
        <f t="shared" ref="S39:AF39" si="31">SUM(S19:S21)</f>
        <v>505</v>
      </c>
      <c r="T39" s="16">
        <f t="shared" si="31"/>
        <v>100</v>
      </c>
      <c r="U39" s="16">
        <f t="shared" si="31"/>
        <v>79</v>
      </c>
      <c r="V39" s="16">
        <f t="shared" si="31"/>
        <v>530</v>
      </c>
      <c r="W39" s="16">
        <f t="shared" si="31"/>
        <v>30</v>
      </c>
      <c r="X39" s="16">
        <f t="shared" si="31"/>
        <v>11</v>
      </c>
      <c r="Y39" s="16">
        <f t="shared" si="31"/>
        <v>50</v>
      </c>
      <c r="Z39" s="16">
        <f t="shared" si="31"/>
        <v>44</v>
      </c>
      <c r="AA39" s="16">
        <f t="shared" si="31"/>
        <v>27</v>
      </c>
      <c r="AB39" s="16">
        <f t="shared" si="31"/>
        <v>25</v>
      </c>
      <c r="AC39" s="16">
        <f t="shared" si="31"/>
        <v>538</v>
      </c>
      <c r="AD39" s="16">
        <f t="shared" si="31"/>
        <v>0</v>
      </c>
      <c r="AE39" s="32">
        <f t="shared" si="31"/>
        <v>1401</v>
      </c>
      <c r="AF39" s="32">
        <f t="shared" si="31"/>
        <v>1939</v>
      </c>
    </row>
    <row r="40" spans="2:32" ht="23.1" customHeight="1" x14ac:dyDescent="0.25">
      <c r="B40" s="46" t="s">
        <v>67</v>
      </c>
      <c r="C40" s="50">
        <v>40</v>
      </c>
      <c r="D40" s="50">
        <v>13</v>
      </c>
      <c r="E40" s="50">
        <v>9</v>
      </c>
      <c r="F40" s="50">
        <v>35</v>
      </c>
      <c r="G40" s="50">
        <v>0</v>
      </c>
      <c r="H40" s="50">
        <v>1</v>
      </c>
      <c r="I40" s="50">
        <v>1</v>
      </c>
      <c r="J40" s="50">
        <v>1</v>
      </c>
      <c r="K40" s="50">
        <v>2</v>
      </c>
      <c r="L40" s="50">
        <v>1</v>
      </c>
      <c r="M40" s="50">
        <v>2</v>
      </c>
      <c r="N40" s="50">
        <v>0</v>
      </c>
      <c r="O40" s="15">
        <f t="shared" si="0"/>
        <v>103</v>
      </c>
      <c r="P40" s="15">
        <f t="shared" si="1"/>
        <v>105</v>
      </c>
      <c r="R40" s="5" t="s">
        <v>17</v>
      </c>
      <c r="S40" s="16">
        <f t="shared" ref="S40:AF40" si="32">SUM(S10:S21)</f>
        <v>2771</v>
      </c>
      <c r="T40" s="16">
        <f t="shared" si="32"/>
        <v>781</v>
      </c>
      <c r="U40" s="16">
        <f t="shared" si="32"/>
        <v>463</v>
      </c>
      <c r="V40" s="16">
        <f t="shared" si="32"/>
        <v>2594</v>
      </c>
      <c r="W40" s="16">
        <f t="shared" si="32"/>
        <v>89</v>
      </c>
      <c r="X40" s="16">
        <f t="shared" si="32"/>
        <v>23</v>
      </c>
      <c r="Y40" s="16">
        <f t="shared" si="32"/>
        <v>171</v>
      </c>
      <c r="Z40" s="16">
        <f t="shared" si="32"/>
        <v>133</v>
      </c>
      <c r="AA40" s="16">
        <f t="shared" si="32"/>
        <v>70</v>
      </c>
      <c r="AB40" s="16">
        <f t="shared" si="32"/>
        <v>146</v>
      </c>
      <c r="AC40" s="16">
        <f t="shared" si="32"/>
        <v>3631</v>
      </c>
      <c r="AD40" s="16">
        <f t="shared" si="32"/>
        <v>0</v>
      </c>
      <c r="AE40" s="32">
        <f t="shared" si="32"/>
        <v>7241</v>
      </c>
      <c r="AF40" s="32">
        <f t="shared" si="32"/>
        <v>10872</v>
      </c>
    </row>
    <row r="41" spans="2:32" ht="23.1" customHeight="1" x14ac:dyDescent="0.25">
      <c r="B41" s="45" t="s">
        <v>68</v>
      </c>
      <c r="C41" s="50">
        <v>42</v>
      </c>
      <c r="D41" s="50">
        <v>15</v>
      </c>
      <c r="E41" s="50">
        <v>10</v>
      </c>
      <c r="F41" s="50">
        <v>53</v>
      </c>
      <c r="G41" s="50">
        <v>2</v>
      </c>
      <c r="H41" s="50">
        <v>0</v>
      </c>
      <c r="I41" s="50">
        <v>2</v>
      </c>
      <c r="J41" s="50">
        <v>1</v>
      </c>
      <c r="K41" s="50">
        <v>2</v>
      </c>
      <c r="L41" s="50">
        <v>2</v>
      </c>
      <c r="M41" s="50">
        <v>3</v>
      </c>
      <c r="N41" s="50">
        <v>0</v>
      </c>
      <c r="O41" s="15">
        <f t="shared" si="0"/>
        <v>129</v>
      </c>
      <c r="P41" s="15">
        <f t="shared" si="1"/>
        <v>132</v>
      </c>
      <c r="R41" s="5" t="s">
        <v>159</v>
      </c>
      <c r="S41" s="16">
        <f>SUM(S10:S33)</f>
        <v>3752</v>
      </c>
      <c r="T41" s="16">
        <f t="shared" ref="T41:AF41" si="33">SUM(T10:T33)</f>
        <v>935</v>
      </c>
      <c r="U41" s="16">
        <f t="shared" si="33"/>
        <v>621</v>
      </c>
      <c r="V41" s="16">
        <f t="shared" si="33"/>
        <v>3951</v>
      </c>
      <c r="W41" s="16">
        <f t="shared" si="33"/>
        <v>202</v>
      </c>
      <c r="X41" s="16">
        <f t="shared" si="33"/>
        <v>108</v>
      </c>
      <c r="Y41" s="16">
        <f t="shared" si="33"/>
        <v>456</v>
      </c>
      <c r="Z41" s="16">
        <f t="shared" si="33"/>
        <v>297</v>
      </c>
      <c r="AA41" s="16">
        <f t="shared" si="33"/>
        <v>124</v>
      </c>
      <c r="AB41" s="16">
        <f t="shared" si="33"/>
        <v>248</v>
      </c>
      <c r="AC41" s="16">
        <f t="shared" si="33"/>
        <v>18152</v>
      </c>
      <c r="AD41" s="16">
        <f t="shared" si="33"/>
        <v>0</v>
      </c>
      <c r="AE41" s="32">
        <f t="shared" si="33"/>
        <v>10694</v>
      </c>
      <c r="AF41" s="32">
        <f t="shared" si="33"/>
        <v>28846</v>
      </c>
    </row>
    <row r="42" spans="2:32" ht="23.1" customHeight="1" x14ac:dyDescent="0.25">
      <c r="B42" s="46" t="s">
        <v>69</v>
      </c>
      <c r="C42" s="50">
        <v>40</v>
      </c>
      <c r="D42" s="50">
        <v>12</v>
      </c>
      <c r="E42" s="50">
        <v>6</v>
      </c>
      <c r="F42" s="50">
        <v>50</v>
      </c>
      <c r="G42" s="50">
        <v>1</v>
      </c>
      <c r="H42" s="50">
        <v>0</v>
      </c>
      <c r="I42" s="50">
        <v>2</v>
      </c>
      <c r="J42" s="50">
        <v>3</v>
      </c>
      <c r="K42" s="50">
        <v>0</v>
      </c>
      <c r="L42" s="50">
        <v>6</v>
      </c>
      <c r="M42" s="50">
        <v>10</v>
      </c>
      <c r="N42" s="50">
        <v>0</v>
      </c>
      <c r="O42" s="15">
        <f t="shared" si="0"/>
        <v>120</v>
      </c>
      <c r="P42" s="15">
        <f t="shared" si="1"/>
        <v>130</v>
      </c>
      <c r="R42" s="5" t="s">
        <v>160</v>
      </c>
      <c r="S42" s="48">
        <f>S41/S40</f>
        <v>1.3540238181162034</v>
      </c>
      <c r="T42" s="48">
        <f t="shared" ref="T42:AF42" si="34">T41/T40</f>
        <v>1.1971830985915493</v>
      </c>
      <c r="U42" s="48">
        <f t="shared" si="34"/>
        <v>1.3412526997840173</v>
      </c>
      <c r="V42" s="48">
        <f t="shared" si="34"/>
        <v>1.523130300693909</v>
      </c>
      <c r="W42" s="48">
        <f t="shared" si="34"/>
        <v>2.2696629213483148</v>
      </c>
      <c r="X42" s="48">
        <f t="shared" si="34"/>
        <v>4.6956521739130439</v>
      </c>
      <c r="Y42" s="48">
        <f t="shared" si="34"/>
        <v>2.6666666666666665</v>
      </c>
      <c r="Z42" s="48">
        <f t="shared" si="34"/>
        <v>2.2330827067669174</v>
      </c>
      <c r="AA42" s="48">
        <f t="shared" si="34"/>
        <v>1.7714285714285714</v>
      </c>
      <c r="AB42" s="48">
        <f t="shared" si="34"/>
        <v>1.6986301369863013</v>
      </c>
      <c r="AC42" s="48">
        <f t="shared" si="34"/>
        <v>4.9991737813274577</v>
      </c>
      <c r="AD42" s="48" t="e">
        <f t="shared" si="34"/>
        <v>#DIV/0!</v>
      </c>
      <c r="AE42" s="48">
        <f t="shared" si="34"/>
        <v>1.4768678359342633</v>
      </c>
      <c r="AF42" s="48">
        <f t="shared" si="34"/>
        <v>2.6532376747608537</v>
      </c>
    </row>
    <row r="43" spans="2:32" ht="23.1" customHeight="1" x14ac:dyDescent="0.25">
      <c r="B43" s="45" t="s">
        <v>70</v>
      </c>
      <c r="C43" s="50">
        <v>43</v>
      </c>
      <c r="D43" s="50">
        <v>14</v>
      </c>
      <c r="E43" s="50">
        <v>3</v>
      </c>
      <c r="F43" s="50">
        <v>41</v>
      </c>
      <c r="G43" s="50">
        <v>5</v>
      </c>
      <c r="H43" s="50">
        <v>1</v>
      </c>
      <c r="I43" s="50">
        <v>3</v>
      </c>
      <c r="J43" s="50">
        <v>9</v>
      </c>
      <c r="K43" s="50">
        <v>6</v>
      </c>
      <c r="L43" s="50">
        <v>4</v>
      </c>
      <c r="M43" s="50">
        <v>11</v>
      </c>
      <c r="N43" s="50">
        <v>0</v>
      </c>
      <c r="O43" s="15">
        <f t="shared" si="0"/>
        <v>129</v>
      </c>
      <c r="P43" s="15">
        <f t="shared" si="1"/>
        <v>140</v>
      </c>
    </row>
    <row r="44" spans="2:32" ht="23.1" customHeight="1" x14ac:dyDescent="0.25">
      <c r="B44" s="47" t="s">
        <v>71</v>
      </c>
      <c r="C44" s="50">
        <v>38</v>
      </c>
      <c r="D44" s="50">
        <v>15</v>
      </c>
      <c r="E44" s="50">
        <v>6</v>
      </c>
      <c r="F44" s="50">
        <v>40</v>
      </c>
      <c r="G44" s="50">
        <v>2</v>
      </c>
      <c r="H44" s="50">
        <v>0</v>
      </c>
      <c r="I44" s="50">
        <v>4</v>
      </c>
      <c r="J44" s="50">
        <v>5</v>
      </c>
      <c r="K44" s="50">
        <v>2</v>
      </c>
      <c r="L44" s="50">
        <v>2</v>
      </c>
      <c r="M44" s="50">
        <v>7</v>
      </c>
      <c r="N44" s="50">
        <v>0</v>
      </c>
      <c r="O44" s="15">
        <f t="shared" si="0"/>
        <v>114</v>
      </c>
      <c r="P44" s="15">
        <f t="shared" si="1"/>
        <v>121</v>
      </c>
    </row>
    <row r="45" spans="2:32" ht="23.1" customHeight="1" x14ac:dyDescent="0.25">
      <c r="B45" s="45" t="s">
        <v>72</v>
      </c>
      <c r="C45" s="50">
        <v>29</v>
      </c>
      <c r="D45" s="50">
        <v>6</v>
      </c>
      <c r="E45" s="50">
        <v>8</v>
      </c>
      <c r="F45" s="50">
        <v>46</v>
      </c>
      <c r="G45" s="50">
        <v>0</v>
      </c>
      <c r="H45" s="50">
        <v>1</v>
      </c>
      <c r="I45" s="50">
        <v>1</v>
      </c>
      <c r="J45" s="50">
        <v>3</v>
      </c>
      <c r="K45" s="50">
        <v>0</v>
      </c>
      <c r="L45" s="50">
        <v>0</v>
      </c>
      <c r="M45" s="50">
        <v>13</v>
      </c>
      <c r="N45" s="50">
        <v>0</v>
      </c>
      <c r="O45" s="15">
        <f t="shared" si="0"/>
        <v>94</v>
      </c>
      <c r="P45" s="15">
        <f t="shared" si="1"/>
        <v>107</v>
      </c>
    </row>
    <row r="46" spans="2:32" ht="23.1" customHeight="1" x14ac:dyDescent="0.25">
      <c r="B46" s="46" t="s">
        <v>73</v>
      </c>
      <c r="C46" s="50">
        <v>47</v>
      </c>
      <c r="D46" s="50">
        <v>10</v>
      </c>
      <c r="E46" s="50">
        <v>9</v>
      </c>
      <c r="F46" s="50">
        <v>54</v>
      </c>
      <c r="G46" s="50">
        <v>0</v>
      </c>
      <c r="H46" s="50">
        <v>3</v>
      </c>
      <c r="I46" s="50">
        <v>3</v>
      </c>
      <c r="J46" s="50">
        <v>2</v>
      </c>
      <c r="K46" s="50">
        <v>2</v>
      </c>
      <c r="L46" s="50">
        <v>4</v>
      </c>
      <c r="M46" s="50">
        <v>12</v>
      </c>
      <c r="N46" s="50">
        <v>0</v>
      </c>
      <c r="O46" s="15">
        <f t="shared" si="0"/>
        <v>134</v>
      </c>
      <c r="P46" s="15">
        <f t="shared" si="1"/>
        <v>146</v>
      </c>
      <c r="R46" s="8"/>
      <c r="T46"/>
    </row>
    <row r="47" spans="2:32" ht="23.1" customHeight="1" x14ac:dyDescent="0.25">
      <c r="B47" s="46" t="s">
        <v>74</v>
      </c>
      <c r="C47" s="50">
        <v>46</v>
      </c>
      <c r="D47" s="50">
        <v>14</v>
      </c>
      <c r="E47" s="50">
        <v>8</v>
      </c>
      <c r="F47" s="50">
        <v>42</v>
      </c>
      <c r="G47" s="50">
        <v>3</v>
      </c>
      <c r="H47" s="50">
        <v>1</v>
      </c>
      <c r="I47" s="50">
        <v>8</v>
      </c>
      <c r="J47" s="50">
        <v>7</v>
      </c>
      <c r="K47" s="50">
        <v>4</v>
      </c>
      <c r="L47" s="50">
        <v>3</v>
      </c>
      <c r="M47" s="50">
        <v>3</v>
      </c>
      <c r="N47" s="50">
        <v>0</v>
      </c>
      <c r="O47" s="15">
        <f t="shared" si="0"/>
        <v>136</v>
      </c>
      <c r="P47" s="15">
        <f t="shared" si="1"/>
        <v>139</v>
      </c>
      <c r="R47" s="8"/>
      <c r="T47"/>
    </row>
    <row r="48" spans="2:32" ht="23.1" customHeight="1" x14ac:dyDescent="0.25">
      <c r="B48" s="46" t="s">
        <v>75</v>
      </c>
      <c r="C48" s="50">
        <v>40</v>
      </c>
      <c r="D48" s="50">
        <v>9</v>
      </c>
      <c r="E48" s="50">
        <v>13</v>
      </c>
      <c r="F48" s="50">
        <v>58</v>
      </c>
      <c r="G48" s="50">
        <v>1</v>
      </c>
      <c r="H48" s="50">
        <v>1</v>
      </c>
      <c r="I48" s="50">
        <v>9</v>
      </c>
      <c r="J48" s="50">
        <v>3</v>
      </c>
      <c r="K48" s="50">
        <v>3</v>
      </c>
      <c r="L48" s="50">
        <v>2</v>
      </c>
      <c r="M48" s="50">
        <v>7</v>
      </c>
      <c r="N48" s="50">
        <v>0</v>
      </c>
      <c r="O48" s="15">
        <f t="shared" si="0"/>
        <v>139</v>
      </c>
      <c r="P48" s="15">
        <f t="shared" si="1"/>
        <v>146</v>
      </c>
      <c r="R48" s="8"/>
      <c r="T48"/>
    </row>
    <row r="49" spans="2:20" ht="23.1" customHeight="1" x14ac:dyDescent="0.25">
      <c r="B49" s="45" t="s">
        <v>76</v>
      </c>
      <c r="C49" s="50">
        <v>27</v>
      </c>
      <c r="D49" s="50">
        <v>10</v>
      </c>
      <c r="E49" s="50">
        <v>3</v>
      </c>
      <c r="F49" s="50">
        <v>48</v>
      </c>
      <c r="G49" s="50">
        <v>1</v>
      </c>
      <c r="H49" s="50">
        <v>0</v>
      </c>
      <c r="I49" s="50">
        <v>4</v>
      </c>
      <c r="J49" s="50">
        <v>9</v>
      </c>
      <c r="K49" s="50">
        <v>0</v>
      </c>
      <c r="L49" s="50">
        <v>2</v>
      </c>
      <c r="M49" s="50">
        <v>9</v>
      </c>
      <c r="N49" s="50">
        <v>0</v>
      </c>
      <c r="O49" s="15">
        <f t="shared" si="0"/>
        <v>104</v>
      </c>
      <c r="P49" s="15">
        <f t="shared" si="1"/>
        <v>113</v>
      </c>
      <c r="R49" s="8"/>
      <c r="T49"/>
    </row>
    <row r="50" spans="2:20" ht="23.1" customHeight="1" x14ac:dyDescent="0.25">
      <c r="B50" s="46" t="s">
        <v>77</v>
      </c>
      <c r="C50" s="50">
        <v>45</v>
      </c>
      <c r="D50" s="50">
        <v>6</v>
      </c>
      <c r="E50" s="50">
        <v>7</v>
      </c>
      <c r="F50" s="50">
        <v>40</v>
      </c>
      <c r="G50" s="50">
        <v>2</v>
      </c>
      <c r="H50" s="50">
        <v>1</v>
      </c>
      <c r="I50" s="50">
        <v>4</v>
      </c>
      <c r="J50" s="50">
        <v>6</v>
      </c>
      <c r="K50" s="50">
        <v>3</v>
      </c>
      <c r="L50" s="50">
        <v>3</v>
      </c>
      <c r="M50" s="50">
        <v>12</v>
      </c>
      <c r="N50" s="50">
        <v>0</v>
      </c>
      <c r="O50" s="15">
        <f t="shared" si="0"/>
        <v>117</v>
      </c>
      <c r="P50" s="15">
        <f t="shared" si="1"/>
        <v>129</v>
      </c>
      <c r="R50" s="8"/>
      <c r="T50"/>
    </row>
    <row r="51" spans="2:20" ht="23.1" customHeight="1" x14ac:dyDescent="0.25">
      <c r="B51" s="46" t="s">
        <v>78</v>
      </c>
      <c r="C51" s="50">
        <v>47</v>
      </c>
      <c r="D51" s="50">
        <v>10</v>
      </c>
      <c r="E51" s="50">
        <v>9</v>
      </c>
      <c r="F51" s="50">
        <v>43</v>
      </c>
      <c r="G51" s="50">
        <v>2</v>
      </c>
      <c r="H51" s="50">
        <v>1</v>
      </c>
      <c r="I51" s="50">
        <v>5</v>
      </c>
      <c r="J51" s="50">
        <v>4</v>
      </c>
      <c r="K51" s="50">
        <v>2</v>
      </c>
      <c r="L51" s="50">
        <v>2</v>
      </c>
      <c r="M51" s="50">
        <v>7</v>
      </c>
      <c r="N51" s="50">
        <v>0</v>
      </c>
      <c r="O51" s="15">
        <f t="shared" si="0"/>
        <v>125</v>
      </c>
      <c r="P51" s="15">
        <f t="shared" si="1"/>
        <v>132</v>
      </c>
      <c r="R51" s="8"/>
      <c r="T51"/>
    </row>
    <row r="52" spans="2:20" ht="23.1" customHeight="1" x14ac:dyDescent="0.25">
      <c r="B52" s="46" t="s">
        <v>79</v>
      </c>
      <c r="C52" s="50">
        <v>52</v>
      </c>
      <c r="D52" s="50">
        <v>7</v>
      </c>
      <c r="E52" s="50">
        <v>10</v>
      </c>
      <c r="F52" s="50">
        <v>56</v>
      </c>
      <c r="G52" s="50">
        <v>4</v>
      </c>
      <c r="H52" s="50">
        <v>1</v>
      </c>
      <c r="I52" s="50">
        <v>3</v>
      </c>
      <c r="J52" s="50">
        <v>2</v>
      </c>
      <c r="K52" s="50">
        <v>2</v>
      </c>
      <c r="L52" s="50">
        <v>4</v>
      </c>
      <c r="M52" s="50">
        <v>13</v>
      </c>
      <c r="N52" s="50">
        <v>0</v>
      </c>
      <c r="O52" s="15">
        <f t="shared" si="0"/>
        <v>141</v>
      </c>
      <c r="P52" s="15">
        <f t="shared" si="1"/>
        <v>154</v>
      </c>
      <c r="R52" s="8"/>
      <c r="T52"/>
    </row>
    <row r="53" spans="2:20" ht="23.1" customHeight="1" x14ac:dyDescent="0.25">
      <c r="B53" s="45" t="s">
        <v>80</v>
      </c>
      <c r="C53" s="50">
        <v>48</v>
      </c>
      <c r="D53" s="50">
        <v>8</v>
      </c>
      <c r="E53" s="50">
        <v>9</v>
      </c>
      <c r="F53" s="50">
        <v>41</v>
      </c>
      <c r="G53" s="50">
        <v>4</v>
      </c>
      <c r="H53" s="50">
        <v>1</v>
      </c>
      <c r="I53" s="50">
        <v>5</v>
      </c>
      <c r="J53" s="50">
        <v>2</v>
      </c>
      <c r="K53" s="50">
        <v>2</v>
      </c>
      <c r="L53" s="50">
        <v>2</v>
      </c>
      <c r="M53" s="50">
        <v>18</v>
      </c>
      <c r="N53" s="50">
        <v>0</v>
      </c>
      <c r="O53" s="15">
        <f t="shared" si="0"/>
        <v>122</v>
      </c>
      <c r="P53" s="15">
        <f t="shared" si="1"/>
        <v>140</v>
      </c>
      <c r="R53" s="8"/>
      <c r="T53"/>
    </row>
    <row r="54" spans="2:20" ht="23.1" customHeight="1" x14ac:dyDescent="0.25">
      <c r="B54" s="45" t="s">
        <v>81</v>
      </c>
      <c r="C54" s="50">
        <v>49</v>
      </c>
      <c r="D54" s="50">
        <v>6</v>
      </c>
      <c r="E54" s="50">
        <v>3</v>
      </c>
      <c r="F54" s="50">
        <v>37</v>
      </c>
      <c r="G54" s="50">
        <v>1</v>
      </c>
      <c r="H54" s="50">
        <v>1</v>
      </c>
      <c r="I54" s="50">
        <v>5</v>
      </c>
      <c r="J54" s="50">
        <v>2</v>
      </c>
      <c r="K54" s="50">
        <v>4</v>
      </c>
      <c r="L54" s="50">
        <v>0</v>
      </c>
      <c r="M54" s="50">
        <v>61</v>
      </c>
      <c r="N54" s="50">
        <v>0</v>
      </c>
      <c r="O54" s="15">
        <f t="shared" si="0"/>
        <v>108</v>
      </c>
      <c r="P54" s="15">
        <f t="shared" si="1"/>
        <v>169</v>
      </c>
      <c r="R54" s="8"/>
      <c r="T54"/>
    </row>
    <row r="55" spans="2:20" ht="23.1" customHeight="1" x14ac:dyDescent="0.25">
      <c r="B55" s="45" t="s">
        <v>82</v>
      </c>
      <c r="C55" s="50">
        <v>37</v>
      </c>
      <c r="D55" s="50">
        <v>8</v>
      </c>
      <c r="E55" s="50">
        <v>4</v>
      </c>
      <c r="F55" s="50">
        <v>31</v>
      </c>
      <c r="G55" s="50">
        <v>3</v>
      </c>
      <c r="H55" s="50">
        <v>1</v>
      </c>
      <c r="I55" s="50">
        <v>1</v>
      </c>
      <c r="J55" s="50">
        <v>4</v>
      </c>
      <c r="K55" s="50">
        <v>2</v>
      </c>
      <c r="L55" s="50">
        <v>0</v>
      </c>
      <c r="M55" s="50">
        <v>150</v>
      </c>
      <c r="N55" s="50">
        <v>0</v>
      </c>
      <c r="O55" s="15">
        <f t="shared" si="0"/>
        <v>91</v>
      </c>
      <c r="P55" s="15">
        <f t="shared" si="1"/>
        <v>241</v>
      </c>
      <c r="R55" s="8"/>
      <c r="T55"/>
    </row>
    <row r="56" spans="2:20" ht="23.1" customHeight="1" x14ac:dyDescent="0.25">
      <c r="B56" s="45" t="s">
        <v>83</v>
      </c>
      <c r="C56" s="50">
        <v>30</v>
      </c>
      <c r="D56" s="50">
        <v>7</v>
      </c>
      <c r="E56" s="50">
        <v>1</v>
      </c>
      <c r="F56" s="50">
        <v>32</v>
      </c>
      <c r="G56" s="50">
        <v>3</v>
      </c>
      <c r="H56" s="50">
        <v>0</v>
      </c>
      <c r="I56" s="50">
        <v>0</v>
      </c>
      <c r="J56" s="50">
        <v>2</v>
      </c>
      <c r="K56" s="50">
        <v>0</v>
      </c>
      <c r="L56" s="50">
        <v>0</v>
      </c>
      <c r="M56" s="50">
        <v>96</v>
      </c>
      <c r="N56" s="50">
        <v>0</v>
      </c>
      <c r="O56" s="15">
        <f t="shared" si="0"/>
        <v>75</v>
      </c>
      <c r="P56" s="15">
        <f t="shared" si="1"/>
        <v>171</v>
      </c>
      <c r="R56" s="8"/>
      <c r="T56"/>
    </row>
    <row r="57" spans="2:20" ht="23.1" customHeight="1" x14ac:dyDescent="0.25">
      <c r="B57" s="45" t="s">
        <v>84</v>
      </c>
      <c r="C57" s="50">
        <v>37</v>
      </c>
      <c r="D57" s="50">
        <v>5</v>
      </c>
      <c r="E57" s="50">
        <v>3</v>
      </c>
      <c r="F57" s="50">
        <v>48</v>
      </c>
      <c r="G57" s="50">
        <v>6</v>
      </c>
      <c r="H57" s="50">
        <v>0</v>
      </c>
      <c r="I57" s="50">
        <v>3</v>
      </c>
      <c r="J57" s="50">
        <v>1</v>
      </c>
      <c r="K57" s="50">
        <v>3</v>
      </c>
      <c r="L57" s="50">
        <v>3</v>
      </c>
      <c r="M57" s="50">
        <v>150</v>
      </c>
      <c r="N57" s="50">
        <v>0</v>
      </c>
      <c r="O57" s="15">
        <f t="shared" si="0"/>
        <v>109</v>
      </c>
      <c r="P57" s="15">
        <f t="shared" si="1"/>
        <v>259</v>
      </c>
      <c r="R57" s="8"/>
      <c r="T57"/>
    </row>
    <row r="58" spans="2:20" ht="23.1" customHeight="1" x14ac:dyDescent="0.25">
      <c r="B58" s="45" t="s">
        <v>99</v>
      </c>
      <c r="C58" s="50">
        <v>27</v>
      </c>
      <c r="D58" s="50">
        <v>5</v>
      </c>
      <c r="E58" s="50">
        <v>7</v>
      </c>
      <c r="F58" s="50">
        <v>27</v>
      </c>
      <c r="G58" s="50">
        <v>3</v>
      </c>
      <c r="H58" s="50">
        <v>2</v>
      </c>
      <c r="I58" s="50">
        <v>2</v>
      </c>
      <c r="J58" s="50">
        <v>2</v>
      </c>
      <c r="K58" s="50">
        <v>1</v>
      </c>
      <c r="L58" s="50">
        <v>0</v>
      </c>
      <c r="M58" s="50">
        <v>190</v>
      </c>
      <c r="N58" s="50">
        <v>0</v>
      </c>
      <c r="O58" s="15">
        <f t="shared" si="0"/>
        <v>76</v>
      </c>
      <c r="P58" s="15">
        <f t="shared" si="1"/>
        <v>266</v>
      </c>
      <c r="R58" s="8"/>
      <c r="T58"/>
    </row>
    <row r="59" spans="2:20" ht="23.1" customHeight="1" x14ac:dyDescent="0.25">
      <c r="B59" s="45" t="s">
        <v>100</v>
      </c>
      <c r="C59" s="50">
        <v>33</v>
      </c>
      <c r="D59" s="50">
        <v>4</v>
      </c>
      <c r="E59" s="50">
        <v>6</v>
      </c>
      <c r="F59" s="50">
        <v>66</v>
      </c>
      <c r="G59" s="50">
        <v>2</v>
      </c>
      <c r="H59" s="50">
        <v>1</v>
      </c>
      <c r="I59" s="50">
        <v>6</v>
      </c>
      <c r="J59" s="50">
        <v>3</v>
      </c>
      <c r="K59" s="50">
        <v>1</v>
      </c>
      <c r="L59" s="50">
        <v>0</v>
      </c>
      <c r="M59" s="50">
        <v>325</v>
      </c>
      <c r="N59" s="50">
        <v>0</v>
      </c>
      <c r="O59" s="15">
        <f t="shared" si="0"/>
        <v>122</v>
      </c>
      <c r="P59" s="15">
        <f t="shared" si="1"/>
        <v>447</v>
      </c>
      <c r="R59" s="8"/>
      <c r="T59"/>
    </row>
    <row r="60" spans="2:20" ht="23.1" customHeight="1" x14ac:dyDescent="0.25">
      <c r="B60" s="45" t="s">
        <v>101</v>
      </c>
      <c r="C60" s="50">
        <v>21</v>
      </c>
      <c r="D60" s="50">
        <v>7</v>
      </c>
      <c r="E60" s="50">
        <v>2</v>
      </c>
      <c r="F60" s="50">
        <v>55</v>
      </c>
      <c r="G60" s="50">
        <v>2</v>
      </c>
      <c r="H60" s="50">
        <v>2</v>
      </c>
      <c r="I60" s="50">
        <v>6</v>
      </c>
      <c r="J60" s="50">
        <v>2</v>
      </c>
      <c r="K60" s="50">
        <v>1</v>
      </c>
      <c r="L60" s="50">
        <v>1</v>
      </c>
      <c r="M60" s="50">
        <v>375</v>
      </c>
      <c r="N60" s="50">
        <v>0</v>
      </c>
      <c r="O60" s="15">
        <f t="shared" si="0"/>
        <v>99</v>
      </c>
      <c r="P60" s="15">
        <f t="shared" si="1"/>
        <v>474</v>
      </c>
      <c r="R60" s="8"/>
      <c r="T60"/>
    </row>
    <row r="61" spans="2:20" ht="23.1" customHeight="1" x14ac:dyDescent="0.25">
      <c r="B61" s="45" t="s">
        <v>102</v>
      </c>
      <c r="C61" s="50">
        <v>18</v>
      </c>
      <c r="D61" s="50">
        <v>5</v>
      </c>
      <c r="E61" s="50">
        <v>12</v>
      </c>
      <c r="F61" s="50">
        <v>46</v>
      </c>
      <c r="G61" s="50">
        <v>3</v>
      </c>
      <c r="H61" s="50">
        <v>4</v>
      </c>
      <c r="I61" s="50">
        <v>6</v>
      </c>
      <c r="J61" s="50">
        <v>2</v>
      </c>
      <c r="K61" s="50">
        <v>0</v>
      </c>
      <c r="L61" s="50">
        <v>4</v>
      </c>
      <c r="M61" s="50">
        <v>465</v>
      </c>
      <c r="N61" s="50">
        <v>0</v>
      </c>
      <c r="O61" s="15">
        <f t="shared" si="0"/>
        <v>100</v>
      </c>
      <c r="P61" s="15">
        <f t="shared" si="1"/>
        <v>565</v>
      </c>
      <c r="R61" s="8"/>
      <c r="T61"/>
    </row>
    <row r="62" spans="2:20" ht="23.1" customHeight="1" x14ac:dyDescent="0.25">
      <c r="B62" s="45" t="s">
        <v>107</v>
      </c>
      <c r="C62" s="50">
        <v>29</v>
      </c>
      <c r="D62" s="50">
        <v>5</v>
      </c>
      <c r="E62" s="50">
        <v>3</v>
      </c>
      <c r="F62" s="50">
        <v>57</v>
      </c>
      <c r="G62" s="50">
        <v>2</v>
      </c>
      <c r="H62" s="50">
        <v>2</v>
      </c>
      <c r="I62" s="50">
        <v>6</v>
      </c>
      <c r="J62" s="50">
        <v>2</v>
      </c>
      <c r="K62" s="50">
        <v>1</v>
      </c>
      <c r="L62" s="50">
        <v>3</v>
      </c>
      <c r="M62" s="50">
        <v>55</v>
      </c>
      <c r="N62" s="50">
        <v>0</v>
      </c>
      <c r="O62" s="15">
        <f t="shared" si="0"/>
        <v>110</v>
      </c>
      <c r="P62" s="15">
        <f t="shared" si="1"/>
        <v>165</v>
      </c>
      <c r="R62" s="8"/>
      <c r="T62"/>
    </row>
    <row r="63" spans="2:20" ht="23.1" customHeight="1" x14ac:dyDescent="0.25">
      <c r="B63" s="45" t="s">
        <v>108</v>
      </c>
      <c r="C63" s="50">
        <v>32</v>
      </c>
      <c r="D63" s="50">
        <v>6</v>
      </c>
      <c r="E63" s="50">
        <v>4</v>
      </c>
      <c r="F63" s="50">
        <v>58</v>
      </c>
      <c r="G63" s="50">
        <v>4</v>
      </c>
      <c r="H63" s="50">
        <v>0</v>
      </c>
      <c r="I63" s="50">
        <v>10</v>
      </c>
      <c r="J63" s="50">
        <v>1</v>
      </c>
      <c r="K63" s="50">
        <v>3</v>
      </c>
      <c r="L63" s="50">
        <v>0</v>
      </c>
      <c r="M63" s="50">
        <v>495</v>
      </c>
      <c r="N63" s="50">
        <v>0</v>
      </c>
      <c r="O63" s="15">
        <f t="shared" si="0"/>
        <v>118</v>
      </c>
      <c r="P63" s="15">
        <f t="shared" si="1"/>
        <v>613</v>
      </c>
      <c r="R63" s="8"/>
      <c r="T63"/>
    </row>
    <row r="64" spans="2:20" ht="23.1" customHeight="1" x14ac:dyDescent="0.25">
      <c r="B64" s="45" t="s">
        <v>109</v>
      </c>
      <c r="C64" s="50">
        <v>25</v>
      </c>
      <c r="D64" s="50">
        <v>3</v>
      </c>
      <c r="E64" s="50">
        <v>5</v>
      </c>
      <c r="F64" s="50">
        <v>55</v>
      </c>
      <c r="G64" s="50">
        <v>7</v>
      </c>
      <c r="H64" s="50">
        <v>2</v>
      </c>
      <c r="I64" s="50">
        <v>4</v>
      </c>
      <c r="J64" s="50">
        <v>3</v>
      </c>
      <c r="K64" s="50">
        <v>2</v>
      </c>
      <c r="L64" s="50">
        <v>2</v>
      </c>
      <c r="M64" s="50">
        <v>500</v>
      </c>
      <c r="N64" s="50">
        <v>0</v>
      </c>
      <c r="O64" s="15">
        <f t="shared" si="0"/>
        <v>108</v>
      </c>
      <c r="P64" s="15">
        <f t="shared" si="1"/>
        <v>608</v>
      </c>
      <c r="R64" s="8"/>
      <c r="T64"/>
    </row>
    <row r="65" spans="2:20" ht="23.1" customHeight="1" x14ac:dyDescent="0.25">
      <c r="B65" s="45" t="s">
        <v>158</v>
      </c>
      <c r="C65" s="50">
        <v>28</v>
      </c>
      <c r="D65" s="50">
        <v>2</v>
      </c>
      <c r="E65" s="50">
        <v>1</v>
      </c>
      <c r="F65" s="50">
        <v>37</v>
      </c>
      <c r="G65" s="50">
        <v>1</v>
      </c>
      <c r="H65" s="50">
        <v>1</v>
      </c>
      <c r="I65" s="50">
        <v>3</v>
      </c>
      <c r="J65" s="50">
        <v>1</v>
      </c>
      <c r="K65" s="50">
        <v>0</v>
      </c>
      <c r="L65" s="50">
        <v>3</v>
      </c>
      <c r="M65" s="50">
        <v>495</v>
      </c>
      <c r="N65" s="50">
        <v>0</v>
      </c>
      <c r="O65" s="15">
        <f t="shared" si="0"/>
        <v>77</v>
      </c>
      <c r="P65" s="15">
        <f t="shared" si="1"/>
        <v>572</v>
      </c>
      <c r="R65" s="8"/>
      <c r="T65"/>
    </row>
    <row r="66" spans="2:20" ht="23.1" customHeight="1" x14ac:dyDescent="0.25">
      <c r="B66" s="45" t="s">
        <v>103</v>
      </c>
      <c r="C66" s="50">
        <v>31</v>
      </c>
      <c r="D66" s="50">
        <v>3</v>
      </c>
      <c r="E66" s="50">
        <v>3</v>
      </c>
      <c r="F66" s="50">
        <v>33</v>
      </c>
      <c r="G66" s="50">
        <v>2</v>
      </c>
      <c r="H66" s="50">
        <v>2</v>
      </c>
      <c r="I66" s="50">
        <v>14</v>
      </c>
      <c r="J66" s="50">
        <v>3</v>
      </c>
      <c r="K66" s="50">
        <v>0</v>
      </c>
      <c r="L66" s="50">
        <v>1</v>
      </c>
      <c r="M66" s="50">
        <v>475</v>
      </c>
      <c r="N66" s="50">
        <v>0</v>
      </c>
      <c r="O66" s="15">
        <f t="shared" si="0"/>
        <v>92</v>
      </c>
      <c r="P66" s="15">
        <f t="shared" si="1"/>
        <v>567</v>
      </c>
      <c r="R66" s="8"/>
      <c r="T66"/>
    </row>
    <row r="67" spans="2:20" ht="23.1" customHeight="1" x14ac:dyDescent="0.25">
      <c r="B67" s="45" t="s">
        <v>104</v>
      </c>
      <c r="C67" s="50">
        <v>12</v>
      </c>
      <c r="D67" s="50">
        <v>1</v>
      </c>
      <c r="E67" s="50">
        <v>1</v>
      </c>
      <c r="F67" s="50">
        <v>15</v>
      </c>
      <c r="G67" s="50">
        <v>0</v>
      </c>
      <c r="H67" s="50">
        <v>0</v>
      </c>
      <c r="I67" s="50">
        <v>5</v>
      </c>
      <c r="J67" s="50">
        <v>1</v>
      </c>
      <c r="K67" s="50">
        <v>0</v>
      </c>
      <c r="L67" s="50">
        <v>1</v>
      </c>
      <c r="M67" s="50">
        <v>310</v>
      </c>
      <c r="N67" s="50">
        <v>0</v>
      </c>
      <c r="O67" s="15">
        <f t="shared" si="0"/>
        <v>36</v>
      </c>
      <c r="P67" s="15">
        <f t="shared" si="1"/>
        <v>346</v>
      </c>
      <c r="R67" s="8"/>
      <c r="T67"/>
    </row>
    <row r="68" spans="2:20" ht="23.1" customHeight="1" x14ac:dyDescent="0.25">
      <c r="B68" s="45" t="s">
        <v>105</v>
      </c>
      <c r="C68" s="50">
        <v>16</v>
      </c>
      <c r="D68" s="50">
        <v>5</v>
      </c>
      <c r="E68" s="50">
        <v>1</v>
      </c>
      <c r="F68" s="50">
        <v>68</v>
      </c>
      <c r="G68" s="50">
        <v>6</v>
      </c>
      <c r="H68" s="50">
        <v>0</v>
      </c>
      <c r="I68" s="50">
        <v>8</v>
      </c>
      <c r="J68" s="50">
        <v>2</v>
      </c>
      <c r="K68" s="50">
        <v>2</v>
      </c>
      <c r="L68" s="50">
        <v>3</v>
      </c>
      <c r="M68" s="50">
        <v>345</v>
      </c>
      <c r="N68" s="50">
        <v>0</v>
      </c>
      <c r="O68" s="15">
        <f t="shared" si="0"/>
        <v>111</v>
      </c>
      <c r="P68" s="15">
        <f t="shared" si="1"/>
        <v>456</v>
      </c>
      <c r="R68" s="8"/>
      <c r="T68"/>
    </row>
    <row r="69" spans="2:20" ht="23.1" customHeight="1" x14ac:dyDescent="0.25">
      <c r="B69" s="45" t="s">
        <v>106</v>
      </c>
      <c r="C69" s="50">
        <v>9</v>
      </c>
      <c r="D69" s="50">
        <v>1</v>
      </c>
      <c r="E69" s="50">
        <v>0</v>
      </c>
      <c r="F69" s="50">
        <v>46</v>
      </c>
      <c r="G69" s="50">
        <v>2</v>
      </c>
      <c r="H69" s="50">
        <v>2</v>
      </c>
      <c r="I69" s="50">
        <v>12</v>
      </c>
      <c r="J69" s="50">
        <v>4</v>
      </c>
      <c r="K69" s="50">
        <v>2</v>
      </c>
      <c r="L69" s="50">
        <v>6</v>
      </c>
      <c r="M69" s="50">
        <v>365</v>
      </c>
      <c r="N69" s="50">
        <v>0</v>
      </c>
      <c r="O69" s="15">
        <f t="shared" si="0"/>
        <v>84</v>
      </c>
      <c r="P69" s="15">
        <f t="shared" si="1"/>
        <v>449</v>
      </c>
      <c r="R69" s="8"/>
      <c r="T69"/>
    </row>
    <row r="70" spans="2:20" ht="23.1" customHeight="1" x14ac:dyDescent="0.25">
      <c r="B70" s="45" t="s">
        <v>110</v>
      </c>
      <c r="C70" s="50">
        <v>17</v>
      </c>
      <c r="D70" s="50">
        <v>1</v>
      </c>
      <c r="E70" s="50">
        <v>0</v>
      </c>
      <c r="F70" s="50">
        <v>31</v>
      </c>
      <c r="G70" s="50">
        <v>2</v>
      </c>
      <c r="H70" s="50">
        <v>0</v>
      </c>
      <c r="I70" s="50">
        <v>5</v>
      </c>
      <c r="J70" s="50">
        <v>1</v>
      </c>
      <c r="K70" s="50">
        <v>1</v>
      </c>
      <c r="L70" s="50">
        <v>3</v>
      </c>
      <c r="M70" s="50">
        <v>285</v>
      </c>
      <c r="N70" s="50">
        <v>0</v>
      </c>
      <c r="O70" s="15">
        <f t="shared" si="0"/>
        <v>61</v>
      </c>
      <c r="P70" s="15">
        <f t="shared" si="1"/>
        <v>346</v>
      </c>
      <c r="R70" s="8"/>
      <c r="T70"/>
    </row>
    <row r="71" spans="2:20" ht="23.1" customHeight="1" x14ac:dyDescent="0.25">
      <c r="B71" s="45" t="s">
        <v>111</v>
      </c>
      <c r="C71" s="50">
        <v>21</v>
      </c>
      <c r="D71" s="50">
        <v>1</v>
      </c>
      <c r="E71" s="50">
        <v>3</v>
      </c>
      <c r="F71" s="50">
        <v>22</v>
      </c>
      <c r="G71" s="50">
        <v>1</v>
      </c>
      <c r="H71" s="50">
        <v>0</v>
      </c>
      <c r="I71" s="50">
        <v>8</v>
      </c>
      <c r="J71" s="50">
        <v>3</v>
      </c>
      <c r="K71" s="50">
        <v>1</v>
      </c>
      <c r="L71" s="50">
        <v>0</v>
      </c>
      <c r="M71" s="50">
        <v>405</v>
      </c>
      <c r="N71" s="50">
        <v>0</v>
      </c>
      <c r="O71" s="15">
        <f t="shared" si="0"/>
        <v>60</v>
      </c>
      <c r="P71" s="15">
        <f t="shared" si="1"/>
        <v>465</v>
      </c>
      <c r="R71" s="8"/>
      <c r="T71"/>
    </row>
    <row r="72" spans="2:20" ht="23.1" customHeight="1" x14ac:dyDescent="0.25">
      <c r="B72" s="45" t="s">
        <v>112</v>
      </c>
      <c r="C72" s="50">
        <v>30</v>
      </c>
      <c r="D72" s="50">
        <v>2</v>
      </c>
      <c r="E72" s="50">
        <v>1</v>
      </c>
      <c r="F72" s="50">
        <v>37</v>
      </c>
      <c r="G72" s="50">
        <v>1</v>
      </c>
      <c r="H72" s="50">
        <v>1</v>
      </c>
      <c r="I72" s="50">
        <v>7</v>
      </c>
      <c r="J72" s="50">
        <v>3</v>
      </c>
      <c r="K72" s="50">
        <v>0</v>
      </c>
      <c r="L72" s="50">
        <v>1</v>
      </c>
      <c r="M72" s="50">
        <v>360</v>
      </c>
      <c r="N72" s="50">
        <v>0</v>
      </c>
      <c r="O72" s="15">
        <f t="shared" si="0"/>
        <v>83</v>
      </c>
      <c r="P72" s="15">
        <f t="shared" si="1"/>
        <v>443</v>
      </c>
      <c r="R72" s="8"/>
      <c r="T72"/>
    </row>
    <row r="73" spans="2:20" ht="23.1" customHeight="1" x14ac:dyDescent="0.25">
      <c r="B73" s="45" t="s">
        <v>113</v>
      </c>
      <c r="C73" s="50">
        <v>32</v>
      </c>
      <c r="D73" s="50">
        <v>4</v>
      </c>
      <c r="E73" s="50">
        <v>3</v>
      </c>
      <c r="F73" s="50">
        <v>31</v>
      </c>
      <c r="G73" s="50">
        <v>2</v>
      </c>
      <c r="H73" s="50">
        <v>1</v>
      </c>
      <c r="I73" s="50">
        <v>10</v>
      </c>
      <c r="J73" s="50">
        <v>1</v>
      </c>
      <c r="K73" s="50">
        <v>1</v>
      </c>
      <c r="L73" s="50">
        <v>2</v>
      </c>
      <c r="M73" s="50">
        <v>395</v>
      </c>
      <c r="N73" s="50">
        <v>0</v>
      </c>
      <c r="O73" s="15">
        <f t="shared" si="0"/>
        <v>87</v>
      </c>
      <c r="P73" s="15">
        <f t="shared" si="1"/>
        <v>482</v>
      </c>
      <c r="R73" s="8"/>
      <c r="T73"/>
    </row>
    <row r="74" spans="2:20" ht="23.1" customHeight="1" x14ac:dyDescent="0.25">
      <c r="B74" s="45" t="s">
        <v>114</v>
      </c>
      <c r="C74" s="50">
        <v>34</v>
      </c>
      <c r="D74" s="50">
        <v>10</v>
      </c>
      <c r="E74" s="50">
        <v>6</v>
      </c>
      <c r="F74" s="50">
        <v>18</v>
      </c>
      <c r="G74" s="50">
        <v>4</v>
      </c>
      <c r="H74" s="50">
        <v>1</v>
      </c>
      <c r="I74" s="50">
        <v>6</v>
      </c>
      <c r="J74" s="50">
        <v>6</v>
      </c>
      <c r="K74" s="50">
        <v>2</v>
      </c>
      <c r="L74" s="50">
        <v>1</v>
      </c>
      <c r="M74" s="50">
        <v>330</v>
      </c>
      <c r="N74" s="50">
        <v>0</v>
      </c>
      <c r="O74" s="15">
        <f t="shared" ref="O74:O105" si="35">SUM(C74:L74,N74)</f>
        <v>88</v>
      </c>
      <c r="P74" s="15">
        <f t="shared" ref="P74:P105" si="36">SUM(C74:N74)</f>
        <v>418</v>
      </c>
      <c r="R74" s="8"/>
      <c r="T74"/>
    </row>
    <row r="75" spans="2:20" ht="23.1" customHeight="1" x14ac:dyDescent="0.25">
      <c r="B75" s="45" t="s">
        <v>115</v>
      </c>
      <c r="C75" s="50">
        <v>19</v>
      </c>
      <c r="D75" s="50">
        <v>7</v>
      </c>
      <c r="E75" s="50">
        <v>5</v>
      </c>
      <c r="F75" s="50">
        <v>20</v>
      </c>
      <c r="G75" s="50">
        <v>1</v>
      </c>
      <c r="H75" s="50">
        <v>1</v>
      </c>
      <c r="I75" s="50">
        <v>10</v>
      </c>
      <c r="J75" s="50">
        <v>3</v>
      </c>
      <c r="K75" s="50">
        <v>0</v>
      </c>
      <c r="L75" s="50">
        <v>3</v>
      </c>
      <c r="M75" s="50">
        <v>275</v>
      </c>
      <c r="N75" s="50">
        <v>0</v>
      </c>
      <c r="O75" s="15">
        <f t="shared" si="35"/>
        <v>69</v>
      </c>
      <c r="P75" s="15">
        <f t="shared" si="36"/>
        <v>344</v>
      </c>
      <c r="R75" s="8"/>
      <c r="T75"/>
    </row>
    <row r="76" spans="2:20" ht="23.1" customHeight="1" x14ac:dyDescent="0.25">
      <c r="B76" s="45" t="s">
        <v>116</v>
      </c>
      <c r="C76" s="50">
        <v>29</v>
      </c>
      <c r="D76" s="50">
        <v>5</v>
      </c>
      <c r="E76" s="50">
        <v>9</v>
      </c>
      <c r="F76" s="50">
        <v>22</v>
      </c>
      <c r="G76" s="50">
        <v>2</v>
      </c>
      <c r="H76" s="50">
        <v>0</v>
      </c>
      <c r="I76" s="50">
        <v>7</v>
      </c>
      <c r="J76" s="50">
        <v>12</v>
      </c>
      <c r="K76" s="50">
        <v>1</v>
      </c>
      <c r="L76" s="50">
        <v>3</v>
      </c>
      <c r="M76" s="50">
        <v>230</v>
      </c>
      <c r="N76" s="50">
        <v>0</v>
      </c>
      <c r="O76" s="15">
        <f t="shared" si="35"/>
        <v>90</v>
      </c>
      <c r="P76" s="15">
        <f t="shared" si="36"/>
        <v>320</v>
      </c>
      <c r="R76" s="8"/>
      <c r="T76"/>
    </row>
    <row r="77" spans="2:20" ht="23.1" customHeight="1" x14ac:dyDescent="0.25">
      <c r="B77" s="45" t="s">
        <v>117</v>
      </c>
      <c r="C77" s="50">
        <v>19</v>
      </c>
      <c r="D77" s="50">
        <v>1</v>
      </c>
      <c r="E77" s="50">
        <v>4</v>
      </c>
      <c r="F77" s="50">
        <v>11</v>
      </c>
      <c r="G77" s="50">
        <v>0</v>
      </c>
      <c r="H77" s="50">
        <v>0</v>
      </c>
      <c r="I77" s="50">
        <v>4</v>
      </c>
      <c r="J77" s="50">
        <v>4</v>
      </c>
      <c r="K77" s="50">
        <v>1</v>
      </c>
      <c r="L77" s="50">
        <v>0</v>
      </c>
      <c r="M77" s="50">
        <v>360</v>
      </c>
      <c r="N77" s="50">
        <v>0</v>
      </c>
      <c r="O77" s="15">
        <f t="shared" si="35"/>
        <v>44</v>
      </c>
      <c r="P77" s="15">
        <f t="shared" si="36"/>
        <v>404</v>
      </c>
      <c r="R77" s="8"/>
      <c r="T77"/>
    </row>
    <row r="78" spans="2:20" ht="23.1" customHeight="1" x14ac:dyDescent="0.25">
      <c r="B78" s="46" t="s">
        <v>118</v>
      </c>
      <c r="C78" s="50">
        <v>23</v>
      </c>
      <c r="D78" s="50">
        <v>0</v>
      </c>
      <c r="E78" s="50">
        <v>4</v>
      </c>
      <c r="F78" s="50">
        <v>9</v>
      </c>
      <c r="G78" s="50">
        <v>0</v>
      </c>
      <c r="H78" s="50">
        <v>0</v>
      </c>
      <c r="I78" s="50">
        <v>7</v>
      </c>
      <c r="J78" s="50">
        <v>5</v>
      </c>
      <c r="K78" s="50">
        <v>0</v>
      </c>
      <c r="L78" s="50">
        <v>1</v>
      </c>
      <c r="M78" s="50">
        <v>305</v>
      </c>
      <c r="N78" s="50">
        <v>0</v>
      </c>
      <c r="O78" s="15">
        <f t="shared" si="35"/>
        <v>49</v>
      </c>
      <c r="P78" s="15">
        <f t="shared" si="36"/>
        <v>354</v>
      </c>
      <c r="R78" s="8"/>
      <c r="T78"/>
    </row>
    <row r="79" spans="2:20" ht="23.1" customHeight="1" x14ac:dyDescent="0.25">
      <c r="B79" s="45" t="s">
        <v>119</v>
      </c>
      <c r="C79" s="50">
        <v>40</v>
      </c>
      <c r="D79" s="50">
        <v>6</v>
      </c>
      <c r="E79" s="50">
        <v>5</v>
      </c>
      <c r="F79" s="50">
        <v>14</v>
      </c>
      <c r="G79" s="50">
        <v>3</v>
      </c>
      <c r="H79" s="50">
        <v>2</v>
      </c>
      <c r="I79" s="50">
        <v>10</v>
      </c>
      <c r="J79" s="50">
        <v>9</v>
      </c>
      <c r="K79" s="50">
        <v>1</v>
      </c>
      <c r="L79" s="50">
        <v>5</v>
      </c>
      <c r="M79" s="50">
        <v>290</v>
      </c>
      <c r="N79" s="50">
        <v>0</v>
      </c>
      <c r="O79" s="15">
        <f t="shared" si="35"/>
        <v>95</v>
      </c>
      <c r="P79" s="15">
        <f t="shared" si="36"/>
        <v>385</v>
      </c>
      <c r="R79" s="8"/>
      <c r="T79"/>
    </row>
    <row r="80" spans="2:20" ht="23.1" customHeight="1" x14ac:dyDescent="0.25">
      <c r="B80" s="47" t="s">
        <v>120</v>
      </c>
      <c r="C80" s="50">
        <v>27</v>
      </c>
      <c r="D80" s="50">
        <v>0</v>
      </c>
      <c r="E80" s="50">
        <v>2</v>
      </c>
      <c r="F80" s="50">
        <v>6</v>
      </c>
      <c r="G80" s="50">
        <v>1</v>
      </c>
      <c r="H80" s="50">
        <v>0</v>
      </c>
      <c r="I80" s="50">
        <v>3</v>
      </c>
      <c r="J80" s="50">
        <v>2</v>
      </c>
      <c r="K80" s="50">
        <v>1</v>
      </c>
      <c r="L80" s="50">
        <v>0</v>
      </c>
      <c r="M80" s="50">
        <v>235</v>
      </c>
      <c r="N80" s="50">
        <v>0</v>
      </c>
      <c r="O80" s="15">
        <f t="shared" si="35"/>
        <v>42</v>
      </c>
      <c r="P80" s="15">
        <f t="shared" si="36"/>
        <v>277</v>
      </c>
      <c r="R80" s="8"/>
      <c r="T80"/>
    </row>
    <row r="81" spans="2:20" ht="23.1" customHeight="1" x14ac:dyDescent="0.25">
      <c r="B81" s="45" t="s">
        <v>121</v>
      </c>
      <c r="C81" s="50">
        <v>22</v>
      </c>
      <c r="D81" s="50">
        <v>4</v>
      </c>
      <c r="E81" s="50">
        <v>2</v>
      </c>
      <c r="F81" s="50">
        <v>12</v>
      </c>
      <c r="G81" s="50">
        <v>0</v>
      </c>
      <c r="H81" s="50">
        <v>0</v>
      </c>
      <c r="I81" s="50">
        <v>11</v>
      </c>
      <c r="J81" s="50">
        <v>5</v>
      </c>
      <c r="K81" s="50">
        <v>0</v>
      </c>
      <c r="L81" s="50">
        <v>3</v>
      </c>
      <c r="M81" s="50">
        <v>270</v>
      </c>
      <c r="N81" s="50">
        <v>0</v>
      </c>
      <c r="O81" s="15">
        <f t="shared" si="35"/>
        <v>59</v>
      </c>
      <c r="P81" s="15">
        <f t="shared" si="36"/>
        <v>329</v>
      </c>
      <c r="R81" s="8"/>
      <c r="T81"/>
    </row>
    <row r="82" spans="2:20" ht="23.1" customHeight="1" x14ac:dyDescent="0.25">
      <c r="B82" s="46" t="s">
        <v>122</v>
      </c>
      <c r="C82" s="50">
        <v>18</v>
      </c>
      <c r="D82" s="50">
        <v>4</v>
      </c>
      <c r="E82" s="50">
        <v>3</v>
      </c>
      <c r="F82" s="50">
        <v>5</v>
      </c>
      <c r="G82" s="50">
        <v>3</v>
      </c>
      <c r="H82" s="50">
        <v>5</v>
      </c>
      <c r="I82" s="50">
        <v>8</v>
      </c>
      <c r="J82" s="50">
        <v>3</v>
      </c>
      <c r="K82" s="50">
        <v>6</v>
      </c>
      <c r="L82" s="50">
        <v>0</v>
      </c>
      <c r="M82" s="50">
        <v>240</v>
      </c>
      <c r="N82" s="50">
        <v>0</v>
      </c>
      <c r="O82" s="15">
        <f t="shared" si="35"/>
        <v>55</v>
      </c>
      <c r="P82" s="15">
        <f t="shared" si="36"/>
        <v>295</v>
      </c>
      <c r="R82" s="8"/>
      <c r="T82"/>
    </row>
    <row r="83" spans="2:20" ht="23.1" customHeight="1" x14ac:dyDescent="0.25">
      <c r="B83" s="45" t="s">
        <v>123</v>
      </c>
      <c r="C83" s="50">
        <v>14</v>
      </c>
      <c r="D83" s="50">
        <v>0</v>
      </c>
      <c r="E83" s="50">
        <v>1</v>
      </c>
      <c r="F83" s="50">
        <v>10</v>
      </c>
      <c r="G83" s="50">
        <v>3</v>
      </c>
      <c r="H83" s="50">
        <v>7</v>
      </c>
      <c r="I83" s="50">
        <v>4</v>
      </c>
      <c r="J83" s="50">
        <v>1</v>
      </c>
      <c r="K83" s="50">
        <v>3</v>
      </c>
      <c r="L83" s="50">
        <v>0</v>
      </c>
      <c r="M83" s="50">
        <v>320</v>
      </c>
      <c r="N83" s="50">
        <v>0</v>
      </c>
      <c r="O83" s="15">
        <f t="shared" si="35"/>
        <v>43</v>
      </c>
      <c r="P83" s="15">
        <f t="shared" si="36"/>
        <v>363</v>
      </c>
      <c r="R83" s="8"/>
      <c r="T83"/>
    </row>
    <row r="84" spans="2:20" ht="23.1" customHeight="1" x14ac:dyDescent="0.25">
      <c r="B84" s="47" t="s">
        <v>124</v>
      </c>
      <c r="C84" s="50">
        <v>18</v>
      </c>
      <c r="D84" s="50">
        <v>1</v>
      </c>
      <c r="E84" s="50">
        <v>3</v>
      </c>
      <c r="F84" s="50">
        <v>4</v>
      </c>
      <c r="G84" s="50">
        <v>1</v>
      </c>
      <c r="H84" s="50">
        <v>6</v>
      </c>
      <c r="I84" s="50">
        <v>5</v>
      </c>
      <c r="J84" s="50">
        <v>2</v>
      </c>
      <c r="K84" s="50">
        <v>4</v>
      </c>
      <c r="L84" s="50">
        <v>0</v>
      </c>
      <c r="M84" s="50">
        <v>265</v>
      </c>
      <c r="N84" s="50">
        <v>0</v>
      </c>
      <c r="O84" s="15">
        <f t="shared" si="35"/>
        <v>44</v>
      </c>
      <c r="P84" s="15">
        <f t="shared" si="36"/>
        <v>309</v>
      </c>
      <c r="R84" s="8"/>
      <c r="T84"/>
    </row>
    <row r="85" spans="2:20" ht="23.1" customHeight="1" x14ac:dyDescent="0.25">
      <c r="B85" s="45" t="s">
        <v>125</v>
      </c>
      <c r="C85" s="50">
        <v>10</v>
      </c>
      <c r="D85" s="50">
        <v>0</v>
      </c>
      <c r="E85" s="50">
        <v>1</v>
      </c>
      <c r="F85" s="50">
        <v>4</v>
      </c>
      <c r="G85" s="50">
        <v>0</v>
      </c>
      <c r="H85" s="50">
        <v>2</v>
      </c>
      <c r="I85" s="50">
        <v>3</v>
      </c>
      <c r="J85" s="50">
        <v>1</v>
      </c>
      <c r="K85" s="50">
        <v>0</v>
      </c>
      <c r="L85" s="50">
        <v>0</v>
      </c>
      <c r="M85" s="50">
        <v>220</v>
      </c>
      <c r="N85" s="50">
        <v>0</v>
      </c>
      <c r="O85" s="15">
        <f t="shared" si="35"/>
        <v>21</v>
      </c>
      <c r="P85" s="15">
        <f t="shared" si="36"/>
        <v>241</v>
      </c>
      <c r="R85" s="8"/>
      <c r="T85"/>
    </row>
    <row r="86" spans="2:20" ht="23.1" customHeight="1" x14ac:dyDescent="0.25">
      <c r="B86" s="46" t="s">
        <v>126</v>
      </c>
      <c r="C86" s="50">
        <v>7</v>
      </c>
      <c r="D86" s="50">
        <v>0</v>
      </c>
      <c r="E86" s="50">
        <v>2</v>
      </c>
      <c r="F86" s="50">
        <v>9</v>
      </c>
      <c r="G86" s="50">
        <v>1</v>
      </c>
      <c r="H86" s="50">
        <v>1</v>
      </c>
      <c r="I86" s="50">
        <v>8</v>
      </c>
      <c r="J86" s="50">
        <v>6</v>
      </c>
      <c r="K86" s="50">
        <v>0</v>
      </c>
      <c r="L86" s="50">
        <v>2</v>
      </c>
      <c r="M86" s="50">
        <v>250</v>
      </c>
      <c r="N86" s="50">
        <v>0</v>
      </c>
      <c r="O86" s="15">
        <f t="shared" si="35"/>
        <v>36</v>
      </c>
      <c r="P86" s="15">
        <f t="shared" si="36"/>
        <v>286</v>
      </c>
      <c r="R86" s="8"/>
      <c r="T86"/>
    </row>
    <row r="87" spans="2:20" ht="23.1" customHeight="1" x14ac:dyDescent="0.25">
      <c r="B87" s="45" t="s">
        <v>127</v>
      </c>
      <c r="C87" s="50">
        <v>11</v>
      </c>
      <c r="D87" s="50">
        <v>2</v>
      </c>
      <c r="E87" s="50">
        <v>0</v>
      </c>
      <c r="F87" s="50">
        <v>6</v>
      </c>
      <c r="G87" s="50">
        <v>0</v>
      </c>
      <c r="H87" s="50">
        <v>2</v>
      </c>
      <c r="I87" s="50">
        <v>2</v>
      </c>
      <c r="J87" s="50">
        <v>0</v>
      </c>
      <c r="K87" s="50">
        <v>1</v>
      </c>
      <c r="L87" s="50">
        <v>2</v>
      </c>
      <c r="M87" s="50">
        <v>223</v>
      </c>
      <c r="N87" s="50">
        <v>0</v>
      </c>
      <c r="O87" s="15">
        <f t="shared" si="35"/>
        <v>26</v>
      </c>
      <c r="P87" s="15">
        <f t="shared" si="36"/>
        <v>249</v>
      </c>
      <c r="R87" s="8"/>
      <c r="T87"/>
    </row>
    <row r="88" spans="2:20" ht="23.1" customHeight="1" x14ac:dyDescent="0.25">
      <c r="B88" s="47" t="s">
        <v>128</v>
      </c>
      <c r="C88" s="50">
        <v>16</v>
      </c>
      <c r="D88" s="50">
        <v>1</v>
      </c>
      <c r="E88" s="50">
        <v>3</v>
      </c>
      <c r="F88" s="50">
        <v>5</v>
      </c>
      <c r="G88" s="50">
        <v>2</v>
      </c>
      <c r="H88" s="50">
        <v>3</v>
      </c>
      <c r="I88" s="50">
        <v>1</v>
      </c>
      <c r="J88" s="50">
        <v>1</v>
      </c>
      <c r="K88" s="50">
        <v>3</v>
      </c>
      <c r="L88" s="50">
        <v>0</v>
      </c>
      <c r="M88" s="50">
        <v>350</v>
      </c>
      <c r="N88" s="50">
        <v>0</v>
      </c>
      <c r="O88" s="15">
        <f t="shared" si="35"/>
        <v>35</v>
      </c>
      <c r="P88" s="15">
        <f t="shared" si="36"/>
        <v>385</v>
      </c>
      <c r="R88" s="8"/>
      <c r="T88"/>
    </row>
    <row r="89" spans="2:20" ht="23.1" customHeight="1" x14ac:dyDescent="0.25">
      <c r="B89" s="45" t="s">
        <v>129</v>
      </c>
      <c r="C89" s="50">
        <v>14</v>
      </c>
      <c r="D89" s="50">
        <v>0</v>
      </c>
      <c r="E89" s="50">
        <v>2</v>
      </c>
      <c r="F89" s="50">
        <v>3</v>
      </c>
      <c r="G89" s="50">
        <v>1</v>
      </c>
      <c r="H89" s="50">
        <v>0</v>
      </c>
      <c r="I89" s="50">
        <v>6</v>
      </c>
      <c r="J89" s="50">
        <v>4</v>
      </c>
      <c r="K89" s="50">
        <v>3</v>
      </c>
      <c r="L89" s="50">
        <v>0</v>
      </c>
      <c r="M89" s="50">
        <v>325</v>
      </c>
      <c r="N89" s="50">
        <v>0</v>
      </c>
      <c r="O89" s="15">
        <f t="shared" si="35"/>
        <v>33</v>
      </c>
      <c r="P89" s="15">
        <f t="shared" si="36"/>
        <v>358</v>
      </c>
      <c r="R89" s="8"/>
      <c r="T89"/>
    </row>
    <row r="90" spans="2:20" ht="23.1" customHeight="1" x14ac:dyDescent="0.25">
      <c r="B90" s="46" t="s">
        <v>130</v>
      </c>
      <c r="C90" s="50">
        <v>8</v>
      </c>
      <c r="D90" s="50">
        <v>0</v>
      </c>
      <c r="E90" s="50">
        <v>3</v>
      </c>
      <c r="F90" s="50">
        <v>4</v>
      </c>
      <c r="G90" s="50">
        <v>0</v>
      </c>
      <c r="H90" s="50">
        <v>1</v>
      </c>
      <c r="I90" s="50">
        <v>4</v>
      </c>
      <c r="J90" s="50">
        <v>6</v>
      </c>
      <c r="K90" s="50">
        <v>0</v>
      </c>
      <c r="L90" s="50">
        <v>3</v>
      </c>
      <c r="M90" s="50">
        <v>320</v>
      </c>
      <c r="N90" s="50">
        <v>0</v>
      </c>
      <c r="O90" s="15">
        <f t="shared" si="35"/>
        <v>29</v>
      </c>
      <c r="P90" s="15">
        <f t="shared" si="36"/>
        <v>349</v>
      </c>
      <c r="R90" s="8"/>
      <c r="T90"/>
    </row>
    <row r="91" spans="2:20" ht="23.1" customHeight="1" x14ac:dyDescent="0.25">
      <c r="B91" s="45" t="s">
        <v>131</v>
      </c>
      <c r="C91" s="50">
        <v>5</v>
      </c>
      <c r="D91" s="50">
        <v>0</v>
      </c>
      <c r="E91" s="50">
        <v>6</v>
      </c>
      <c r="F91" s="50">
        <v>3</v>
      </c>
      <c r="G91" s="50">
        <v>2</v>
      </c>
      <c r="H91" s="50">
        <v>1</v>
      </c>
      <c r="I91" s="50">
        <v>9</v>
      </c>
      <c r="J91" s="50">
        <v>6</v>
      </c>
      <c r="K91" s="50">
        <v>2</v>
      </c>
      <c r="L91" s="50">
        <v>5</v>
      </c>
      <c r="M91" s="50">
        <v>235</v>
      </c>
      <c r="N91" s="50">
        <v>0</v>
      </c>
      <c r="O91" s="15">
        <f t="shared" si="35"/>
        <v>39</v>
      </c>
      <c r="P91" s="15">
        <f t="shared" si="36"/>
        <v>274</v>
      </c>
      <c r="R91" s="8"/>
      <c r="T91"/>
    </row>
    <row r="92" spans="2:20" ht="23.1" customHeight="1" x14ac:dyDescent="0.25">
      <c r="B92" s="47" t="s">
        <v>132</v>
      </c>
      <c r="C92" s="50">
        <v>7</v>
      </c>
      <c r="D92" s="50">
        <v>2</v>
      </c>
      <c r="E92" s="50">
        <v>1</v>
      </c>
      <c r="F92" s="50">
        <v>3</v>
      </c>
      <c r="G92" s="50">
        <v>0</v>
      </c>
      <c r="H92" s="50">
        <v>0</v>
      </c>
      <c r="I92" s="50">
        <v>1</v>
      </c>
      <c r="J92" s="50">
        <v>1</v>
      </c>
      <c r="K92" s="50">
        <v>1</v>
      </c>
      <c r="L92" s="50">
        <v>1</v>
      </c>
      <c r="M92" s="50">
        <v>295</v>
      </c>
      <c r="N92" s="50">
        <v>0</v>
      </c>
      <c r="O92" s="15">
        <f t="shared" si="35"/>
        <v>17</v>
      </c>
      <c r="P92" s="15">
        <f t="shared" si="36"/>
        <v>312</v>
      </c>
      <c r="R92" s="8"/>
      <c r="T92"/>
    </row>
    <row r="93" spans="2:20" ht="23.1" customHeight="1" x14ac:dyDescent="0.25">
      <c r="B93" s="45" t="s">
        <v>133</v>
      </c>
      <c r="C93" s="50">
        <v>12</v>
      </c>
      <c r="D93" s="50">
        <v>1</v>
      </c>
      <c r="E93" s="50">
        <v>3</v>
      </c>
      <c r="F93" s="50">
        <v>8</v>
      </c>
      <c r="G93" s="50">
        <v>0</v>
      </c>
      <c r="H93" s="50">
        <v>0</v>
      </c>
      <c r="I93" s="50">
        <v>3</v>
      </c>
      <c r="J93" s="50">
        <v>2</v>
      </c>
      <c r="K93" s="50">
        <v>0</v>
      </c>
      <c r="L93" s="50">
        <v>2</v>
      </c>
      <c r="M93" s="50">
        <v>255</v>
      </c>
      <c r="N93" s="50">
        <v>0</v>
      </c>
      <c r="O93" s="15">
        <f t="shared" si="35"/>
        <v>31</v>
      </c>
      <c r="P93" s="15">
        <f t="shared" si="36"/>
        <v>286</v>
      </c>
      <c r="R93" s="8"/>
      <c r="T93"/>
    </row>
    <row r="94" spans="2:20" ht="23.1" customHeight="1" x14ac:dyDescent="0.25">
      <c r="B94" s="46" t="s">
        <v>134</v>
      </c>
      <c r="C94" s="50">
        <v>3</v>
      </c>
      <c r="D94" s="50">
        <v>1</v>
      </c>
      <c r="E94" s="50">
        <v>2</v>
      </c>
      <c r="F94" s="50">
        <v>10</v>
      </c>
      <c r="G94" s="50">
        <v>0</v>
      </c>
      <c r="H94" s="50">
        <v>1</v>
      </c>
      <c r="I94" s="50">
        <v>3</v>
      </c>
      <c r="J94" s="50">
        <v>3</v>
      </c>
      <c r="K94" s="50">
        <v>0</v>
      </c>
      <c r="L94" s="50">
        <v>0</v>
      </c>
      <c r="M94" s="50">
        <v>230</v>
      </c>
      <c r="N94" s="50">
        <v>0</v>
      </c>
      <c r="O94" s="15">
        <f t="shared" si="35"/>
        <v>23</v>
      </c>
      <c r="P94" s="15">
        <f t="shared" si="36"/>
        <v>253</v>
      </c>
      <c r="R94" s="8"/>
      <c r="T94"/>
    </row>
    <row r="95" spans="2:20" ht="23.1" customHeight="1" x14ac:dyDescent="0.25">
      <c r="B95" s="45" t="s">
        <v>135</v>
      </c>
      <c r="C95" s="50">
        <v>17</v>
      </c>
      <c r="D95" s="50">
        <v>2</v>
      </c>
      <c r="E95" s="50">
        <v>6</v>
      </c>
      <c r="F95" s="50">
        <v>13</v>
      </c>
      <c r="G95" s="50">
        <v>0</v>
      </c>
      <c r="H95" s="50">
        <v>0</v>
      </c>
      <c r="I95" s="50">
        <v>9</v>
      </c>
      <c r="J95" s="50">
        <v>0</v>
      </c>
      <c r="K95" s="50">
        <v>0</v>
      </c>
      <c r="L95" s="50">
        <v>5</v>
      </c>
      <c r="M95" s="50">
        <v>295</v>
      </c>
      <c r="N95" s="50">
        <v>0</v>
      </c>
      <c r="O95" s="15">
        <f t="shared" si="35"/>
        <v>52</v>
      </c>
      <c r="P95" s="15">
        <f t="shared" si="36"/>
        <v>347</v>
      </c>
      <c r="R95" s="8"/>
      <c r="T95"/>
    </row>
    <row r="96" spans="2:20" ht="23.1" customHeight="1" x14ac:dyDescent="0.25">
      <c r="B96" s="47" t="s">
        <v>136</v>
      </c>
      <c r="C96" s="50">
        <v>15</v>
      </c>
      <c r="D96" s="50">
        <v>3</v>
      </c>
      <c r="E96" s="50">
        <v>0</v>
      </c>
      <c r="F96" s="50">
        <v>14</v>
      </c>
      <c r="G96" s="50">
        <v>0</v>
      </c>
      <c r="H96" s="50">
        <v>1</v>
      </c>
      <c r="I96" s="50">
        <v>3</v>
      </c>
      <c r="J96" s="50">
        <v>3</v>
      </c>
      <c r="K96" s="50">
        <v>0</v>
      </c>
      <c r="L96" s="50">
        <v>5</v>
      </c>
      <c r="M96" s="50">
        <v>255</v>
      </c>
      <c r="N96" s="50">
        <v>0</v>
      </c>
      <c r="O96" s="15">
        <f t="shared" si="35"/>
        <v>44</v>
      </c>
      <c r="P96" s="15">
        <f t="shared" si="36"/>
        <v>299</v>
      </c>
      <c r="R96" s="8"/>
      <c r="T96"/>
    </row>
    <row r="97" spans="2:20" ht="23.1" customHeight="1" x14ac:dyDescent="0.25">
      <c r="B97" s="45" t="s">
        <v>137</v>
      </c>
      <c r="C97" s="50">
        <v>29</v>
      </c>
      <c r="D97" s="50">
        <v>0</v>
      </c>
      <c r="E97" s="50">
        <v>12</v>
      </c>
      <c r="F97" s="50">
        <v>12</v>
      </c>
      <c r="G97" s="50">
        <v>2</v>
      </c>
      <c r="H97" s="50">
        <v>1</v>
      </c>
      <c r="I97" s="50">
        <v>2</v>
      </c>
      <c r="J97" s="50">
        <v>2</v>
      </c>
      <c r="K97" s="50">
        <v>1</v>
      </c>
      <c r="L97" s="50">
        <v>1</v>
      </c>
      <c r="M97" s="50">
        <v>220</v>
      </c>
      <c r="N97" s="50">
        <v>0</v>
      </c>
      <c r="O97" s="15">
        <f t="shared" si="35"/>
        <v>62</v>
      </c>
      <c r="P97" s="15">
        <f t="shared" si="36"/>
        <v>282</v>
      </c>
      <c r="R97" s="8"/>
      <c r="T97"/>
    </row>
    <row r="98" spans="2:20" ht="23.1" customHeight="1" x14ac:dyDescent="0.25">
      <c r="B98" s="46" t="s">
        <v>138</v>
      </c>
      <c r="C98" s="50">
        <v>23</v>
      </c>
      <c r="D98" s="50">
        <v>0</v>
      </c>
      <c r="E98" s="50">
        <v>1</v>
      </c>
      <c r="F98" s="50">
        <v>19</v>
      </c>
      <c r="G98" s="50">
        <v>0</v>
      </c>
      <c r="H98" s="50">
        <v>2</v>
      </c>
      <c r="I98" s="50">
        <v>1</v>
      </c>
      <c r="J98" s="50">
        <v>1</v>
      </c>
      <c r="K98" s="50">
        <v>1</v>
      </c>
      <c r="L98" s="50">
        <v>1</v>
      </c>
      <c r="M98" s="50">
        <v>295</v>
      </c>
      <c r="N98" s="50">
        <v>0</v>
      </c>
      <c r="O98" s="15">
        <f t="shared" si="35"/>
        <v>49</v>
      </c>
      <c r="P98" s="15">
        <f t="shared" si="36"/>
        <v>344</v>
      </c>
      <c r="R98" s="8"/>
      <c r="T98"/>
    </row>
    <row r="99" spans="2:20" ht="23.1" customHeight="1" x14ac:dyDescent="0.25">
      <c r="B99" s="45" t="s">
        <v>139</v>
      </c>
      <c r="C99" s="50">
        <v>16</v>
      </c>
      <c r="D99" s="50">
        <v>2</v>
      </c>
      <c r="E99" s="50">
        <v>1</v>
      </c>
      <c r="F99" s="50">
        <v>26</v>
      </c>
      <c r="G99" s="50">
        <v>1</v>
      </c>
      <c r="H99" s="50">
        <v>0</v>
      </c>
      <c r="I99" s="50">
        <v>2</v>
      </c>
      <c r="J99" s="50">
        <v>3</v>
      </c>
      <c r="K99" s="50">
        <v>2</v>
      </c>
      <c r="L99" s="50">
        <v>6</v>
      </c>
      <c r="M99" s="50">
        <v>270</v>
      </c>
      <c r="N99" s="50">
        <v>0</v>
      </c>
      <c r="O99" s="15">
        <f t="shared" si="35"/>
        <v>59</v>
      </c>
      <c r="P99" s="15">
        <f t="shared" si="36"/>
        <v>329</v>
      </c>
      <c r="R99" s="8"/>
      <c r="T99"/>
    </row>
    <row r="100" spans="2:20" ht="23.1" customHeight="1" x14ac:dyDescent="0.25">
      <c r="B100" s="47" t="s">
        <v>140</v>
      </c>
      <c r="C100" s="50">
        <v>13</v>
      </c>
      <c r="D100" s="50">
        <v>0</v>
      </c>
      <c r="E100" s="50">
        <v>4</v>
      </c>
      <c r="F100" s="50">
        <v>31</v>
      </c>
      <c r="G100" s="50">
        <v>3</v>
      </c>
      <c r="H100" s="50">
        <v>0</v>
      </c>
      <c r="I100" s="50">
        <v>4</v>
      </c>
      <c r="J100" s="50">
        <v>4</v>
      </c>
      <c r="K100" s="50">
        <v>1</v>
      </c>
      <c r="L100" s="50">
        <v>10</v>
      </c>
      <c r="M100" s="50">
        <v>310</v>
      </c>
      <c r="N100" s="50">
        <v>0</v>
      </c>
      <c r="O100" s="15">
        <f t="shared" si="35"/>
        <v>70</v>
      </c>
      <c r="P100" s="15">
        <f t="shared" si="36"/>
        <v>380</v>
      </c>
      <c r="R100" s="8"/>
      <c r="T100"/>
    </row>
    <row r="101" spans="2:20" ht="23.1" customHeight="1" x14ac:dyDescent="0.25">
      <c r="B101" s="45" t="s">
        <v>141</v>
      </c>
      <c r="C101" s="50">
        <v>10</v>
      </c>
      <c r="D101" s="50">
        <v>3</v>
      </c>
      <c r="E101" s="50">
        <v>0</v>
      </c>
      <c r="F101" s="50">
        <v>49</v>
      </c>
      <c r="G101" s="50">
        <v>1</v>
      </c>
      <c r="H101" s="50">
        <v>2</v>
      </c>
      <c r="I101" s="50">
        <v>8</v>
      </c>
      <c r="J101" s="50">
        <v>3</v>
      </c>
      <c r="K101" s="50">
        <v>0</v>
      </c>
      <c r="L101" s="50">
        <v>3</v>
      </c>
      <c r="M101" s="50">
        <v>298</v>
      </c>
      <c r="N101" s="50">
        <v>0</v>
      </c>
      <c r="O101" s="15">
        <f t="shared" si="35"/>
        <v>79</v>
      </c>
      <c r="P101" s="15">
        <f t="shared" si="36"/>
        <v>377</v>
      </c>
      <c r="R101" s="8"/>
      <c r="T101"/>
    </row>
    <row r="102" spans="2:20" ht="23.1" customHeight="1" x14ac:dyDescent="0.25">
      <c r="B102" s="46" t="s">
        <v>142</v>
      </c>
      <c r="C102" s="50">
        <v>22</v>
      </c>
      <c r="D102" s="50">
        <v>6</v>
      </c>
      <c r="E102" s="50">
        <v>4</v>
      </c>
      <c r="F102" s="50">
        <v>26</v>
      </c>
      <c r="G102" s="50">
        <v>6</v>
      </c>
      <c r="H102" s="50">
        <v>3</v>
      </c>
      <c r="I102" s="50">
        <v>4</v>
      </c>
      <c r="J102" s="50">
        <v>3</v>
      </c>
      <c r="K102" s="50">
        <v>0</v>
      </c>
      <c r="L102" s="50">
        <v>2</v>
      </c>
      <c r="M102" s="50">
        <v>180</v>
      </c>
      <c r="N102" s="50">
        <v>0</v>
      </c>
      <c r="O102" s="15">
        <f t="shared" si="35"/>
        <v>76</v>
      </c>
      <c r="P102" s="15">
        <f t="shared" si="36"/>
        <v>256</v>
      </c>
      <c r="R102" s="8"/>
      <c r="T102"/>
    </row>
    <row r="103" spans="2:20" ht="23.1" customHeight="1" x14ac:dyDescent="0.25">
      <c r="B103" s="45" t="s">
        <v>143</v>
      </c>
      <c r="C103" s="50">
        <v>27</v>
      </c>
      <c r="D103" s="50">
        <v>16</v>
      </c>
      <c r="E103" s="50">
        <v>2</v>
      </c>
      <c r="F103" s="50">
        <v>75</v>
      </c>
      <c r="G103" s="50">
        <v>5</v>
      </c>
      <c r="H103" s="50">
        <v>3</v>
      </c>
      <c r="I103" s="50">
        <v>1</v>
      </c>
      <c r="J103" s="50">
        <v>9</v>
      </c>
      <c r="K103" s="50">
        <v>3</v>
      </c>
      <c r="L103" s="50">
        <v>2</v>
      </c>
      <c r="M103" s="50">
        <v>245</v>
      </c>
      <c r="N103" s="50">
        <v>0</v>
      </c>
      <c r="O103" s="15">
        <f t="shared" si="35"/>
        <v>143</v>
      </c>
      <c r="P103" s="15">
        <f t="shared" si="36"/>
        <v>388</v>
      </c>
      <c r="R103" s="8"/>
      <c r="T103"/>
    </row>
    <row r="104" spans="2:20" ht="23.1" customHeight="1" x14ac:dyDescent="0.25">
      <c r="B104" s="47" t="s">
        <v>144</v>
      </c>
      <c r="C104" s="50">
        <v>34</v>
      </c>
      <c r="D104" s="50">
        <v>17</v>
      </c>
      <c r="E104" s="50">
        <v>5</v>
      </c>
      <c r="F104" s="50">
        <v>171</v>
      </c>
      <c r="G104" s="50">
        <v>11</v>
      </c>
      <c r="H104" s="50">
        <v>3</v>
      </c>
      <c r="I104" s="50">
        <v>9</v>
      </c>
      <c r="J104" s="50">
        <v>3</v>
      </c>
      <c r="K104" s="50">
        <v>0</v>
      </c>
      <c r="L104" s="50">
        <v>2</v>
      </c>
      <c r="M104" s="50">
        <v>275</v>
      </c>
      <c r="N104" s="50">
        <v>0</v>
      </c>
      <c r="O104" s="15">
        <f t="shared" si="35"/>
        <v>255</v>
      </c>
      <c r="P104" s="15">
        <f t="shared" si="36"/>
        <v>530</v>
      </c>
      <c r="R104" s="8"/>
      <c r="T104"/>
    </row>
    <row r="105" spans="2:20" ht="23.1" customHeight="1" x14ac:dyDescent="0.25">
      <c r="B105" s="45" t="s">
        <v>145</v>
      </c>
      <c r="C105" s="50">
        <v>38</v>
      </c>
      <c r="D105" s="50">
        <v>5</v>
      </c>
      <c r="E105" s="50">
        <v>4</v>
      </c>
      <c r="F105" s="50">
        <v>51</v>
      </c>
      <c r="G105" s="50">
        <v>20</v>
      </c>
      <c r="H105" s="50">
        <v>17</v>
      </c>
      <c r="I105" s="50">
        <v>15</v>
      </c>
      <c r="J105" s="50">
        <v>17</v>
      </c>
      <c r="K105" s="50">
        <v>1</v>
      </c>
      <c r="L105" s="50">
        <v>4</v>
      </c>
      <c r="M105" s="50">
        <v>215</v>
      </c>
      <c r="N105" s="50">
        <v>0</v>
      </c>
      <c r="O105" s="15">
        <f t="shared" si="35"/>
        <v>172</v>
      </c>
      <c r="P105" s="15">
        <f t="shared" si="36"/>
        <v>387</v>
      </c>
      <c r="R105" s="8"/>
      <c r="T105"/>
    </row>
    <row r="106" spans="2:20" ht="23.1" customHeight="1" x14ac:dyDescent="0.25">
      <c r="B106" s="26" t="s">
        <v>18</v>
      </c>
      <c r="C106" s="16">
        <f>'01.08 Spear Motors-Kyambogo'!C10</f>
        <v>19</v>
      </c>
      <c r="D106" s="16">
        <f t="shared" ref="D106:P106" si="37">SUM(D10:D105)</f>
        <v>935</v>
      </c>
      <c r="E106" s="16">
        <f t="shared" si="37"/>
        <v>621</v>
      </c>
      <c r="F106" s="16">
        <f t="shared" si="37"/>
        <v>3951</v>
      </c>
      <c r="G106" s="16">
        <f t="shared" si="37"/>
        <v>202</v>
      </c>
      <c r="H106" s="16">
        <f t="shared" si="37"/>
        <v>108</v>
      </c>
      <c r="I106" s="16">
        <f t="shared" si="37"/>
        <v>456</v>
      </c>
      <c r="J106" s="16">
        <f t="shared" si="37"/>
        <v>297</v>
      </c>
      <c r="K106" s="16">
        <f t="shared" si="37"/>
        <v>124</v>
      </c>
      <c r="L106" s="16">
        <f t="shared" si="37"/>
        <v>248</v>
      </c>
      <c r="M106" s="16">
        <f t="shared" si="37"/>
        <v>18152</v>
      </c>
      <c r="N106" s="16">
        <f t="shared" si="37"/>
        <v>0</v>
      </c>
      <c r="O106" s="16">
        <f t="shared" si="37"/>
        <v>10694</v>
      </c>
      <c r="P106" s="16">
        <f t="shared" si="37"/>
        <v>28846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6.5867017957429107E-4</v>
      </c>
      <c r="D107" s="43">
        <f t="shared" si="38"/>
        <v>3.2413506205366427E-2</v>
      </c>
      <c r="E107" s="43">
        <f t="shared" si="38"/>
        <v>2.1528114816612355E-2</v>
      </c>
      <c r="F107" s="43">
        <f t="shared" si="38"/>
        <v>0.136968730499896</v>
      </c>
      <c r="G107" s="43">
        <f t="shared" si="38"/>
        <v>7.0027040144214105E-3</v>
      </c>
      <c r="H107" s="43">
        <f t="shared" si="38"/>
        <v>3.7440199681064968E-3</v>
      </c>
      <c r="I107" s="43">
        <f t="shared" si="38"/>
        <v>1.5808084309782984E-2</v>
      </c>
      <c r="J107" s="43">
        <f t="shared" si="38"/>
        <v>1.0296054912292865E-2</v>
      </c>
      <c r="K107" s="43">
        <f t="shared" si="38"/>
        <v>4.2986895930111624E-3</v>
      </c>
      <c r="L107" s="43">
        <f t="shared" si="38"/>
        <v>8.5973791860223248E-3</v>
      </c>
      <c r="M107" s="43">
        <f t="shared" si="38"/>
        <v>0.62927268945434378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1.7766972133906865E-3</v>
      </c>
      <c r="D108" s="44">
        <f t="shared" ref="D108:N108" si="39">D106/$O$106</f>
        <v>8.7432204974752195E-2</v>
      </c>
      <c r="E108" s="44">
        <f t="shared" si="39"/>
        <v>5.8069945763979801E-2</v>
      </c>
      <c r="F108" s="44">
        <f t="shared" si="39"/>
        <v>0.36945951000561061</v>
      </c>
      <c r="G108" s="44">
        <f t="shared" si="39"/>
        <v>1.888909668973256E-2</v>
      </c>
      <c r="H108" s="44">
        <f t="shared" si="39"/>
        <v>1.009912100243127E-2</v>
      </c>
      <c r="I108" s="44">
        <f t="shared" si="39"/>
        <v>4.2640733121376471E-2</v>
      </c>
      <c r="J108" s="44">
        <f t="shared" si="39"/>
        <v>2.7772582756685992E-2</v>
      </c>
      <c r="K108" s="44">
        <f t="shared" si="39"/>
        <v>1.1595287076865532E-2</v>
      </c>
      <c r="L108" s="44">
        <f t="shared" si="39"/>
        <v>2.3190574153731065E-2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40" zoomScaleSheetLayoutView="40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Motors-Kyambogo'!C3:G3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3" t="str">
        <f>'31.07 Kyambogo-Spear Motors'!G5:H5</f>
        <v>PEPSI UGANDA</v>
      </c>
      <c r="H5" s="64"/>
      <c r="I5" s="14"/>
      <c r="J5" s="2" t="s">
        <v>5</v>
      </c>
      <c r="K5" s="63" t="str">
        <f>'31.07 Kyambogo-Spear Motors'!K5:L5</f>
        <v>WACHOMI R/GALABUZI R./MBAHA J/ASHABA K/LUBEGA S/KIKUMBAD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Spear Motors-Kyambogo'!D6:E6</f>
        <v>SPEAR MOTORS</v>
      </c>
      <c r="E6" s="64"/>
      <c r="F6" s="2" t="s">
        <v>2</v>
      </c>
      <c r="G6" s="63" t="str">
        <f>'29.07 Spear Motors-Kyambogo'!G6:H6</f>
        <v>KYAMBOGO</v>
      </c>
      <c r="H6" s="64"/>
      <c r="J6" s="2" t="s">
        <v>21</v>
      </c>
      <c r="K6" s="63" t="str">
        <f>'31.07 Kyambogo-Spear Motors'!K6:L6</f>
        <v>ANDREW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27</v>
      </c>
      <c r="D10" s="50">
        <v>8</v>
      </c>
      <c r="E10" s="50">
        <v>5</v>
      </c>
      <c r="F10" s="50">
        <v>40</v>
      </c>
      <c r="G10" s="50">
        <v>0</v>
      </c>
      <c r="H10" s="50">
        <v>0</v>
      </c>
      <c r="I10" s="50">
        <v>2</v>
      </c>
      <c r="J10" s="50">
        <v>0</v>
      </c>
      <c r="K10" s="50">
        <v>1</v>
      </c>
      <c r="L10" s="50">
        <v>1</v>
      </c>
      <c r="M10" s="50">
        <v>420</v>
      </c>
      <c r="N10" s="50">
        <v>0</v>
      </c>
      <c r="O10" s="15">
        <f t="shared" ref="O10:O57" si="0">SUM(C10:L10,N10)</f>
        <v>84</v>
      </c>
      <c r="P10" s="15">
        <f t="shared" ref="P10:P57" si="1">SUM(C10:N10)</f>
        <v>504</v>
      </c>
      <c r="R10" s="1" t="s">
        <v>6</v>
      </c>
      <c r="S10" s="17">
        <f t="shared" ref="S10:AF10" si="2">SUM(C10:C13)</f>
        <v>89</v>
      </c>
      <c r="T10" s="17">
        <f t="shared" si="2"/>
        <v>32</v>
      </c>
      <c r="U10" s="17">
        <f t="shared" si="2"/>
        <v>24</v>
      </c>
      <c r="V10" s="17">
        <f t="shared" si="2"/>
        <v>126</v>
      </c>
      <c r="W10" s="17">
        <f t="shared" si="2"/>
        <v>51</v>
      </c>
      <c r="X10" s="17">
        <f t="shared" si="2"/>
        <v>2</v>
      </c>
      <c r="Y10" s="17">
        <f t="shared" si="2"/>
        <v>17</v>
      </c>
      <c r="Z10" s="17">
        <f t="shared" si="2"/>
        <v>6</v>
      </c>
      <c r="AA10" s="17">
        <f t="shared" si="2"/>
        <v>2</v>
      </c>
      <c r="AB10" s="17">
        <f t="shared" si="2"/>
        <v>9</v>
      </c>
      <c r="AC10" s="17">
        <f t="shared" si="2"/>
        <v>1495</v>
      </c>
      <c r="AD10" s="17">
        <f t="shared" si="2"/>
        <v>0</v>
      </c>
      <c r="AE10" s="31">
        <f t="shared" si="2"/>
        <v>358</v>
      </c>
      <c r="AF10" s="31">
        <f t="shared" si="2"/>
        <v>1853</v>
      </c>
    </row>
    <row r="11" spans="2:32" s="6" customFormat="1" ht="23.1" customHeight="1" x14ac:dyDescent="0.25">
      <c r="B11" s="23" t="s">
        <v>38</v>
      </c>
      <c r="C11" s="50">
        <v>16</v>
      </c>
      <c r="D11" s="50">
        <v>5</v>
      </c>
      <c r="E11" s="50">
        <v>3</v>
      </c>
      <c r="F11" s="50">
        <v>35</v>
      </c>
      <c r="G11" s="50">
        <v>1</v>
      </c>
      <c r="H11" s="50">
        <v>1</v>
      </c>
      <c r="I11" s="50">
        <v>2</v>
      </c>
      <c r="J11" s="50">
        <v>0</v>
      </c>
      <c r="K11" s="50">
        <v>0</v>
      </c>
      <c r="L11" s="50">
        <v>4</v>
      </c>
      <c r="M11" s="50">
        <v>285</v>
      </c>
      <c r="N11" s="50">
        <v>0</v>
      </c>
      <c r="O11" s="15">
        <f t="shared" si="0"/>
        <v>67</v>
      </c>
      <c r="P11" s="15">
        <f t="shared" si="1"/>
        <v>352</v>
      </c>
      <c r="R11" s="1" t="s">
        <v>7</v>
      </c>
      <c r="S11" s="17">
        <f t="shared" ref="S11:AF11" si="3">SUM(C14:C17)</f>
        <v>118</v>
      </c>
      <c r="T11" s="17">
        <f t="shared" si="3"/>
        <v>41</v>
      </c>
      <c r="U11" s="17">
        <f t="shared" si="3"/>
        <v>19</v>
      </c>
      <c r="V11" s="17">
        <f t="shared" si="3"/>
        <v>210</v>
      </c>
      <c r="W11" s="17">
        <f t="shared" si="3"/>
        <v>8</v>
      </c>
      <c r="X11" s="17">
        <f t="shared" si="3"/>
        <v>1</v>
      </c>
      <c r="Y11" s="17">
        <f t="shared" si="3"/>
        <v>17</v>
      </c>
      <c r="Z11" s="17">
        <f t="shared" si="3"/>
        <v>10</v>
      </c>
      <c r="AA11" s="17">
        <f t="shared" si="3"/>
        <v>9</v>
      </c>
      <c r="AB11" s="17">
        <f t="shared" si="3"/>
        <v>8</v>
      </c>
      <c r="AC11" s="17">
        <f t="shared" si="3"/>
        <v>1385</v>
      </c>
      <c r="AD11" s="17">
        <f t="shared" si="3"/>
        <v>0</v>
      </c>
      <c r="AE11" s="31">
        <f t="shared" si="3"/>
        <v>441</v>
      </c>
      <c r="AF11" s="31">
        <f t="shared" si="3"/>
        <v>1826</v>
      </c>
    </row>
    <row r="12" spans="2:32" ht="23.1" customHeight="1" x14ac:dyDescent="0.25">
      <c r="B12" s="23" t="s">
        <v>39</v>
      </c>
      <c r="C12" s="50">
        <v>27</v>
      </c>
      <c r="D12" s="50">
        <v>11</v>
      </c>
      <c r="E12" s="50">
        <v>7</v>
      </c>
      <c r="F12" s="50">
        <v>51</v>
      </c>
      <c r="G12" s="50">
        <v>2</v>
      </c>
      <c r="H12" s="50">
        <v>0</v>
      </c>
      <c r="I12" s="50">
        <v>7</v>
      </c>
      <c r="J12" s="50">
        <v>3</v>
      </c>
      <c r="K12" s="50">
        <v>1</v>
      </c>
      <c r="L12" s="50">
        <v>3</v>
      </c>
      <c r="M12" s="50">
        <v>385</v>
      </c>
      <c r="N12" s="50">
        <v>0</v>
      </c>
      <c r="O12" s="15">
        <f t="shared" si="0"/>
        <v>112</v>
      </c>
      <c r="P12" s="15">
        <f t="shared" si="1"/>
        <v>497</v>
      </c>
      <c r="R12" s="1" t="s">
        <v>8</v>
      </c>
      <c r="S12" s="17">
        <f t="shared" ref="S12:AF12" si="4">SUM(C18:C21)</f>
        <v>137</v>
      </c>
      <c r="T12" s="17">
        <f t="shared" si="4"/>
        <v>62</v>
      </c>
      <c r="U12" s="17">
        <f t="shared" si="4"/>
        <v>27</v>
      </c>
      <c r="V12" s="17">
        <f t="shared" si="4"/>
        <v>242</v>
      </c>
      <c r="W12" s="17">
        <f t="shared" si="4"/>
        <v>4</v>
      </c>
      <c r="X12" s="17">
        <f t="shared" si="4"/>
        <v>2</v>
      </c>
      <c r="Y12" s="17">
        <f t="shared" si="4"/>
        <v>28</v>
      </c>
      <c r="Z12" s="17">
        <f t="shared" si="4"/>
        <v>23</v>
      </c>
      <c r="AA12" s="17">
        <f t="shared" si="4"/>
        <v>9</v>
      </c>
      <c r="AB12" s="17">
        <f t="shared" si="4"/>
        <v>16</v>
      </c>
      <c r="AC12" s="17">
        <f t="shared" si="4"/>
        <v>1625</v>
      </c>
      <c r="AD12" s="17">
        <f t="shared" si="4"/>
        <v>0</v>
      </c>
      <c r="AE12" s="31">
        <f t="shared" si="4"/>
        <v>550</v>
      </c>
      <c r="AF12" s="31">
        <f t="shared" si="4"/>
        <v>2175</v>
      </c>
    </row>
    <row r="13" spans="2:32" ht="23.1" customHeight="1" x14ac:dyDescent="0.25">
      <c r="B13" s="23" t="s">
        <v>40</v>
      </c>
      <c r="C13" s="50">
        <v>19</v>
      </c>
      <c r="D13" s="50">
        <v>8</v>
      </c>
      <c r="E13" s="50">
        <v>9</v>
      </c>
      <c r="F13" s="50">
        <v>0</v>
      </c>
      <c r="G13" s="50">
        <v>48</v>
      </c>
      <c r="H13" s="50">
        <v>1</v>
      </c>
      <c r="I13" s="50">
        <v>6</v>
      </c>
      <c r="J13" s="50">
        <v>3</v>
      </c>
      <c r="K13" s="50">
        <v>0</v>
      </c>
      <c r="L13" s="50">
        <v>1</v>
      </c>
      <c r="M13" s="50">
        <v>405</v>
      </c>
      <c r="N13" s="50">
        <v>0</v>
      </c>
      <c r="O13" s="15">
        <f t="shared" si="0"/>
        <v>95</v>
      </c>
      <c r="P13" s="15">
        <f t="shared" si="1"/>
        <v>500</v>
      </c>
      <c r="R13" s="1" t="s">
        <v>9</v>
      </c>
      <c r="S13" s="17">
        <f t="shared" ref="S13:AF13" si="5">SUM(C22:C25)</f>
        <v>161</v>
      </c>
      <c r="T13" s="17">
        <f t="shared" si="5"/>
        <v>70</v>
      </c>
      <c r="U13" s="17">
        <f t="shared" si="5"/>
        <v>47</v>
      </c>
      <c r="V13" s="17">
        <f t="shared" si="5"/>
        <v>223</v>
      </c>
      <c r="W13" s="17">
        <f t="shared" si="5"/>
        <v>6</v>
      </c>
      <c r="X13" s="17">
        <f t="shared" si="5"/>
        <v>2</v>
      </c>
      <c r="Y13" s="17">
        <f t="shared" si="5"/>
        <v>35</v>
      </c>
      <c r="Z13" s="17">
        <f t="shared" si="5"/>
        <v>24</v>
      </c>
      <c r="AA13" s="17">
        <f t="shared" si="5"/>
        <v>4</v>
      </c>
      <c r="AB13" s="17">
        <f t="shared" si="5"/>
        <v>16</v>
      </c>
      <c r="AC13" s="17">
        <f t="shared" si="5"/>
        <v>1510</v>
      </c>
      <c r="AD13" s="17">
        <f t="shared" si="5"/>
        <v>0</v>
      </c>
      <c r="AE13" s="31">
        <f t="shared" si="5"/>
        <v>588</v>
      </c>
      <c r="AF13" s="31">
        <f t="shared" si="5"/>
        <v>2098</v>
      </c>
    </row>
    <row r="14" spans="2:32" ht="23.1" customHeight="1" x14ac:dyDescent="0.25">
      <c r="B14" s="23" t="s">
        <v>41</v>
      </c>
      <c r="C14" s="50">
        <v>16</v>
      </c>
      <c r="D14" s="50">
        <v>7</v>
      </c>
      <c r="E14" s="50">
        <v>3</v>
      </c>
      <c r="F14" s="50">
        <v>29</v>
      </c>
      <c r="G14" s="50">
        <v>1</v>
      </c>
      <c r="H14" s="50">
        <v>0</v>
      </c>
      <c r="I14" s="50">
        <v>1</v>
      </c>
      <c r="J14" s="50">
        <v>1</v>
      </c>
      <c r="K14" s="50">
        <v>1</v>
      </c>
      <c r="L14" s="50">
        <v>2</v>
      </c>
      <c r="M14" s="50">
        <v>375</v>
      </c>
      <c r="N14" s="50">
        <v>0</v>
      </c>
      <c r="O14" s="15">
        <f t="shared" si="0"/>
        <v>61</v>
      </c>
      <c r="P14" s="15">
        <f t="shared" si="1"/>
        <v>436</v>
      </c>
      <c r="R14" s="1" t="s">
        <v>10</v>
      </c>
      <c r="S14" s="17">
        <f t="shared" ref="S14:AF14" si="6">SUM(C26:C29)</f>
        <v>221</v>
      </c>
      <c r="T14" s="17">
        <f t="shared" si="6"/>
        <v>89</v>
      </c>
      <c r="U14" s="17">
        <f t="shared" si="6"/>
        <v>67</v>
      </c>
      <c r="V14" s="17">
        <f t="shared" si="6"/>
        <v>259</v>
      </c>
      <c r="W14" s="17">
        <f t="shared" si="6"/>
        <v>11</v>
      </c>
      <c r="X14" s="17">
        <f t="shared" si="6"/>
        <v>4</v>
      </c>
      <c r="Y14" s="17">
        <f t="shared" si="6"/>
        <v>45</v>
      </c>
      <c r="Z14" s="17">
        <f t="shared" si="6"/>
        <v>22</v>
      </c>
      <c r="AA14" s="17">
        <f t="shared" si="6"/>
        <v>7</v>
      </c>
      <c r="AB14" s="17">
        <f t="shared" si="6"/>
        <v>23</v>
      </c>
      <c r="AC14" s="17">
        <f t="shared" si="6"/>
        <v>1000</v>
      </c>
      <c r="AD14" s="17">
        <f t="shared" si="6"/>
        <v>0</v>
      </c>
      <c r="AE14" s="31">
        <f t="shared" si="6"/>
        <v>748</v>
      </c>
      <c r="AF14" s="31">
        <f t="shared" si="6"/>
        <v>1748</v>
      </c>
    </row>
    <row r="15" spans="2:32" ht="23.1" customHeight="1" x14ac:dyDescent="0.25">
      <c r="B15" s="23" t="s">
        <v>42</v>
      </c>
      <c r="C15" s="50">
        <v>38</v>
      </c>
      <c r="D15" s="50">
        <v>12</v>
      </c>
      <c r="E15" s="50">
        <v>4</v>
      </c>
      <c r="F15" s="50">
        <v>68</v>
      </c>
      <c r="G15" s="50">
        <v>3</v>
      </c>
      <c r="H15" s="50">
        <v>1</v>
      </c>
      <c r="I15" s="50">
        <v>4</v>
      </c>
      <c r="J15" s="50">
        <v>3</v>
      </c>
      <c r="K15" s="50">
        <v>4</v>
      </c>
      <c r="L15" s="50">
        <v>1</v>
      </c>
      <c r="M15" s="50">
        <v>305</v>
      </c>
      <c r="N15" s="50">
        <v>0</v>
      </c>
      <c r="O15" s="15">
        <f t="shared" si="0"/>
        <v>138</v>
      </c>
      <c r="P15" s="15">
        <f t="shared" si="1"/>
        <v>443</v>
      </c>
      <c r="R15" s="1" t="s">
        <v>11</v>
      </c>
      <c r="S15" s="17">
        <f t="shared" ref="S15:AF15" si="7">SUM(C30:C33)</f>
        <v>309</v>
      </c>
      <c r="T15" s="17">
        <f t="shared" si="7"/>
        <v>130</v>
      </c>
      <c r="U15" s="17">
        <f t="shared" si="7"/>
        <v>45</v>
      </c>
      <c r="V15" s="17">
        <f t="shared" si="7"/>
        <v>204</v>
      </c>
      <c r="W15" s="17">
        <f t="shared" si="7"/>
        <v>3</v>
      </c>
      <c r="X15" s="17">
        <f t="shared" si="7"/>
        <v>3</v>
      </c>
      <c r="Y15" s="17">
        <f t="shared" si="7"/>
        <v>37</v>
      </c>
      <c r="Z15" s="17">
        <f t="shared" si="7"/>
        <v>22</v>
      </c>
      <c r="AA15" s="17">
        <f t="shared" si="7"/>
        <v>9</v>
      </c>
      <c r="AB15" s="17">
        <f t="shared" si="7"/>
        <v>17</v>
      </c>
      <c r="AC15" s="17">
        <f t="shared" si="7"/>
        <v>1125</v>
      </c>
      <c r="AD15" s="17">
        <f t="shared" si="7"/>
        <v>0</v>
      </c>
      <c r="AE15" s="31">
        <f t="shared" si="7"/>
        <v>779</v>
      </c>
      <c r="AF15" s="31">
        <f t="shared" si="7"/>
        <v>1904</v>
      </c>
    </row>
    <row r="16" spans="2:32" ht="23.1" customHeight="1" x14ac:dyDescent="0.25">
      <c r="B16" s="23" t="s">
        <v>43</v>
      </c>
      <c r="C16" s="50">
        <v>28</v>
      </c>
      <c r="D16" s="50">
        <v>10</v>
      </c>
      <c r="E16" s="50">
        <v>5</v>
      </c>
      <c r="F16" s="50">
        <v>50</v>
      </c>
      <c r="G16" s="50">
        <v>2</v>
      </c>
      <c r="H16" s="50">
        <v>0</v>
      </c>
      <c r="I16" s="50">
        <v>6</v>
      </c>
      <c r="J16" s="50">
        <v>3</v>
      </c>
      <c r="K16" s="50">
        <v>3</v>
      </c>
      <c r="L16" s="50">
        <v>5</v>
      </c>
      <c r="M16" s="50">
        <v>320</v>
      </c>
      <c r="N16" s="50">
        <v>0</v>
      </c>
      <c r="O16" s="15">
        <f t="shared" si="0"/>
        <v>112</v>
      </c>
      <c r="P16" s="15">
        <f t="shared" si="1"/>
        <v>432</v>
      </c>
      <c r="R16" s="1" t="s">
        <v>12</v>
      </c>
      <c r="S16" s="17">
        <f t="shared" ref="S16:AF16" si="8">SUM(C34:C37)</f>
        <v>264</v>
      </c>
      <c r="T16" s="17">
        <f t="shared" si="8"/>
        <v>111</v>
      </c>
      <c r="U16" s="17">
        <f t="shared" si="8"/>
        <v>54</v>
      </c>
      <c r="V16" s="17">
        <f t="shared" si="8"/>
        <v>261</v>
      </c>
      <c r="W16" s="17">
        <f t="shared" si="8"/>
        <v>4</v>
      </c>
      <c r="X16" s="17">
        <f t="shared" si="8"/>
        <v>2</v>
      </c>
      <c r="Y16" s="17">
        <f t="shared" si="8"/>
        <v>40</v>
      </c>
      <c r="Z16" s="17">
        <f t="shared" si="8"/>
        <v>15</v>
      </c>
      <c r="AA16" s="17">
        <f t="shared" si="8"/>
        <v>4</v>
      </c>
      <c r="AB16" s="17">
        <f t="shared" si="8"/>
        <v>16</v>
      </c>
      <c r="AC16" s="17">
        <f t="shared" si="8"/>
        <v>1010</v>
      </c>
      <c r="AD16" s="17">
        <f t="shared" si="8"/>
        <v>0</v>
      </c>
      <c r="AE16" s="31">
        <f t="shared" si="8"/>
        <v>771</v>
      </c>
      <c r="AF16" s="31">
        <f t="shared" si="8"/>
        <v>1781</v>
      </c>
    </row>
    <row r="17" spans="2:32" ht="23.1" customHeight="1" x14ac:dyDescent="0.25">
      <c r="B17" s="23" t="s">
        <v>44</v>
      </c>
      <c r="C17" s="50">
        <v>36</v>
      </c>
      <c r="D17" s="50">
        <v>12</v>
      </c>
      <c r="E17" s="50">
        <v>7</v>
      </c>
      <c r="F17" s="50">
        <v>63</v>
      </c>
      <c r="G17" s="50">
        <v>2</v>
      </c>
      <c r="H17" s="50">
        <v>0</v>
      </c>
      <c r="I17" s="50">
        <v>6</v>
      </c>
      <c r="J17" s="50">
        <v>3</v>
      </c>
      <c r="K17" s="50">
        <v>1</v>
      </c>
      <c r="L17" s="50">
        <v>0</v>
      </c>
      <c r="M17" s="50">
        <v>385</v>
      </c>
      <c r="N17" s="50">
        <v>0</v>
      </c>
      <c r="O17" s="15">
        <f t="shared" si="0"/>
        <v>130</v>
      </c>
      <c r="P17" s="15">
        <f t="shared" si="1"/>
        <v>515</v>
      </c>
      <c r="R17" s="1" t="s">
        <v>13</v>
      </c>
      <c r="S17" s="17">
        <f t="shared" ref="S17:AF17" si="9">SUM(C38:C41)</f>
        <v>266</v>
      </c>
      <c r="T17" s="17">
        <f t="shared" si="9"/>
        <v>74</v>
      </c>
      <c r="U17" s="17">
        <f t="shared" si="9"/>
        <v>65</v>
      </c>
      <c r="V17" s="17">
        <f t="shared" si="9"/>
        <v>256</v>
      </c>
      <c r="W17" s="17">
        <f t="shared" si="9"/>
        <v>5</v>
      </c>
      <c r="X17" s="17">
        <f t="shared" si="9"/>
        <v>2</v>
      </c>
      <c r="Y17" s="17">
        <f t="shared" si="9"/>
        <v>38</v>
      </c>
      <c r="Z17" s="17">
        <f t="shared" si="9"/>
        <v>19</v>
      </c>
      <c r="AA17" s="17">
        <f t="shared" si="9"/>
        <v>5</v>
      </c>
      <c r="AB17" s="17">
        <f t="shared" si="9"/>
        <v>29</v>
      </c>
      <c r="AC17" s="17">
        <f t="shared" si="9"/>
        <v>1293</v>
      </c>
      <c r="AD17" s="17">
        <f t="shared" si="9"/>
        <v>0</v>
      </c>
      <c r="AE17" s="31">
        <f t="shared" si="9"/>
        <v>759</v>
      </c>
      <c r="AF17" s="31">
        <f t="shared" si="9"/>
        <v>2052</v>
      </c>
    </row>
    <row r="18" spans="2:32" ht="23.1" customHeight="1" x14ac:dyDescent="0.25">
      <c r="B18" s="23" t="s">
        <v>45</v>
      </c>
      <c r="C18" s="50">
        <v>20</v>
      </c>
      <c r="D18" s="50">
        <v>10</v>
      </c>
      <c r="E18" s="50">
        <v>5</v>
      </c>
      <c r="F18" s="50">
        <v>65</v>
      </c>
      <c r="G18" s="50">
        <v>1</v>
      </c>
      <c r="H18" s="50">
        <v>1</v>
      </c>
      <c r="I18" s="50">
        <v>3</v>
      </c>
      <c r="J18" s="50">
        <v>2</v>
      </c>
      <c r="K18" s="50">
        <v>0</v>
      </c>
      <c r="L18" s="50">
        <v>3</v>
      </c>
      <c r="M18" s="50">
        <v>445</v>
      </c>
      <c r="N18" s="50">
        <v>0</v>
      </c>
      <c r="O18" s="15">
        <f t="shared" si="0"/>
        <v>110</v>
      </c>
      <c r="P18" s="15">
        <f t="shared" si="1"/>
        <v>555</v>
      </c>
      <c r="R18" s="1" t="s">
        <v>14</v>
      </c>
      <c r="S18" s="17">
        <f t="shared" ref="S18:AF18" si="10">SUM(C42:C45)</f>
        <v>283</v>
      </c>
      <c r="T18" s="17">
        <f t="shared" si="10"/>
        <v>98</v>
      </c>
      <c r="U18" s="17">
        <f t="shared" si="10"/>
        <v>58</v>
      </c>
      <c r="V18" s="17">
        <f t="shared" si="10"/>
        <v>243</v>
      </c>
      <c r="W18" s="17">
        <f t="shared" si="10"/>
        <v>4</v>
      </c>
      <c r="X18" s="17">
        <f t="shared" si="10"/>
        <v>2</v>
      </c>
      <c r="Y18" s="17">
        <f t="shared" si="10"/>
        <v>34</v>
      </c>
      <c r="Z18" s="17">
        <f t="shared" si="10"/>
        <v>19</v>
      </c>
      <c r="AA18" s="17">
        <f t="shared" si="10"/>
        <v>6</v>
      </c>
      <c r="AB18" s="17">
        <f t="shared" si="10"/>
        <v>32</v>
      </c>
      <c r="AC18" s="17">
        <f t="shared" si="10"/>
        <v>1184</v>
      </c>
      <c r="AD18" s="17">
        <f t="shared" si="10"/>
        <v>0</v>
      </c>
      <c r="AE18" s="31">
        <f t="shared" si="10"/>
        <v>779</v>
      </c>
      <c r="AF18" s="31">
        <f t="shared" si="10"/>
        <v>1963</v>
      </c>
    </row>
    <row r="19" spans="2:32" ht="23.1" customHeight="1" x14ac:dyDescent="0.25">
      <c r="B19" s="23" t="s">
        <v>46</v>
      </c>
      <c r="C19" s="50">
        <v>35</v>
      </c>
      <c r="D19" s="50">
        <v>13</v>
      </c>
      <c r="E19" s="50">
        <v>3</v>
      </c>
      <c r="F19" s="50">
        <v>60</v>
      </c>
      <c r="G19" s="50">
        <v>0</v>
      </c>
      <c r="H19" s="50">
        <v>0</v>
      </c>
      <c r="I19" s="50">
        <v>7</v>
      </c>
      <c r="J19" s="50">
        <v>6</v>
      </c>
      <c r="K19" s="50">
        <v>1</v>
      </c>
      <c r="L19" s="50">
        <v>6</v>
      </c>
      <c r="M19" s="50">
        <v>340</v>
      </c>
      <c r="N19" s="50">
        <v>0</v>
      </c>
      <c r="O19" s="15">
        <f t="shared" si="0"/>
        <v>131</v>
      </c>
      <c r="P19" s="15">
        <f t="shared" si="1"/>
        <v>471</v>
      </c>
      <c r="R19" s="1" t="s">
        <v>15</v>
      </c>
      <c r="S19" s="17">
        <f t="shared" ref="S19:AF19" si="11">SUM(C46:C49)</f>
        <v>399</v>
      </c>
      <c r="T19" s="17">
        <f t="shared" si="11"/>
        <v>147</v>
      </c>
      <c r="U19" s="17">
        <f t="shared" si="11"/>
        <v>101</v>
      </c>
      <c r="V19" s="17">
        <f t="shared" si="11"/>
        <v>238</v>
      </c>
      <c r="W19" s="17">
        <f t="shared" si="11"/>
        <v>5</v>
      </c>
      <c r="X19" s="17">
        <f t="shared" si="11"/>
        <v>1</v>
      </c>
      <c r="Y19" s="17">
        <f t="shared" si="11"/>
        <v>43</v>
      </c>
      <c r="Z19" s="17">
        <f t="shared" si="11"/>
        <v>27</v>
      </c>
      <c r="AA19" s="17">
        <f t="shared" si="11"/>
        <v>8</v>
      </c>
      <c r="AB19" s="17">
        <f t="shared" si="11"/>
        <v>40</v>
      </c>
      <c r="AC19" s="17">
        <f t="shared" si="11"/>
        <v>1305</v>
      </c>
      <c r="AD19" s="17">
        <f t="shared" si="11"/>
        <v>0</v>
      </c>
      <c r="AE19" s="31">
        <f t="shared" si="11"/>
        <v>1009</v>
      </c>
      <c r="AF19" s="31">
        <f t="shared" si="11"/>
        <v>2314</v>
      </c>
    </row>
    <row r="20" spans="2:32" ht="23.1" customHeight="1" x14ac:dyDescent="0.25">
      <c r="B20" s="23" t="s">
        <v>47</v>
      </c>
      <c r="C20" s="50">
        <v>34</v>
      </c>
      <c r="D20" s="50">
        <v>16</v>
      </c>
      <c r="E20" s="50">
        <v>7</v>
      </c>
      <c r="F20" s="50">
        <v>50</v>
      </c>
      <c r="G20" s="50">
        <v>2</v>
      </c>
      <c r="H20" s="50">
        <v>1</v>
      </c>
      <c r="I20" s="50">
        <v>10</v>
      </c>
      <c r="J20" s="50">
        <v>10</v>
      </c>
      <c r="K20" s="50">
        <v>6</v>
      </c>
      <c r="L20" s="50">
        <v>0</v>
      </c>
      <c r="M20" s="50">
        <v>370</v>
      </c>
      <c r="N20" s="50">
        <v>0</v>
      </c>
      <c r="O20" s="15">
        <f t="shared" si="0"/>
        <v>136</v>
      </c>
      <c r="P20" s="15">
        <f t="shared" si="1"/>
        <v>506</v>
      </c>
      <c r="R20" s="1" t="s">
        <v>16</v>
      </c>
      <c r="S20" s="17">
        <f t="shared" ref="S20:AF20" si="12">SUM(C50:C53)</f>
        <v>446</v>
      </c>
      <c r="T20" s="17">
        <f t="shared" si="12"/>
        <v>194</v>
      </c>
      <c r="U20" s="17">
        <f t="shared" si="12"/>
        <v>107</v>
      </c>
      <c r="V20" s="17">
        <f t="shared" si="12"/>
        <v>184</v>
      </c>
      <c r="W20" s="17">
        <f t="shared" si="12"/>
        <v>5</v>
      </c>
      <c r="X20" s="17">
        <f t="shared" si="12"/>
        <v>1</v>
      </c>
      <c r="Y20" s="17">
        <f t="shared" si="12"/>
        <v>31</v>
      </c>
      <c r="Z20" s="17">
        <f t="shared" si="12"/>
        <v>20</v>
      </c>
      <c r="AA20" s="17">
        <f t="shared" si="12"/>
        <v>6</v>
      </c>
      <c r="AB20" s="17">
        <f t="shared" si="12"/>
        <v>20</v>
      </c>
      <c r="AC20" s="17">
        <f t="shared" si="12"/>
        <v>1195</v>
      </c>
      <c r="AD20" s="17">
        <f t="shared" si="12"/>
        <v>0</v>
      </c>
      <c r="AE20" s="31">
        <f t="shared" si="12"/>
        <v>1014</v>
      </c>
      <c r="AF20" s="31">
        <f t="shared" si="12"/>
        <v>2209</v>
      </c>
    </row>
    <row r="21" spans="2:32" ht="23.1" customHeight="1" x14ac:dyDescent="0.25">
      <c r="B21" s="23" t="s">
        <v>48</v>
      </c>
      <c r="C21" s="50">
        <v>48</v>
      </c>
      <c r="D21" s="50">
        <v>23</v>
      </c>
      <c r="E21" s="50">
        <v>12</v>
      </c>
      <c r="F21" s="50">
        <v>67</v>
      </c>
      <c r="G21" s="50">
        <v>1</v>
      </c>
      <c r="H21" s="50">
        <v>0</v>
      </c>
      <c r="I21" s="50">
        <v>8</v>
      </c>
      <c r="J21" s="50">
        <v>5</v>
      </c>
      <c r="K21" s="50">
        <v>2</v>
      </c>
      <c r="L21" s="50">
        <v>7</v>
      </c>
      <c r="M21" s="50">
        <v>470</v>
      </c>
      <c r="N21" s="50">
        <v>0</v>
      </c>
      <c r="O21" s="15">
        <f t="shared" si="0"/>
        <v>173</v>
      </c>
      <c r="P21" s="15">
        <f t="shared" si="1"/>
        <v>643</v>
      </c>
      <c r="R21" s="36" t="s">
        <v>20</v>
      </c>
      <c r="S21" s="34">
        <f t="shared" ref="S21:AF21" si="13">SUM(C54:C57)</f>
        <v>628</v>
      </c>
      <c r="T21" s="17">
        <f t="shared" si="13"/>
        <v>314</v>
      </c>
      <c r="U21" s="17">
        <f t="shared" si="13"/>
        <v>172</v>
      </c>
      <c r="V21" s="17">
        <f t="shared" si="13"/>
        <v>212</v>
      </c>
      <c r="W21" s="17">
        <f t="shared" si="13"/>
        <v>11</v>
      </c>
      <c r="X21" s="17">
        <f t="shared" si="13"/>
        <v>2</v>
      </c>
      <c r="Y21" s="17">
        <f t="shared" si="13"/>
        <v>25</v>
      </c>
      <c r="Z21" s="17">
        <f t="shared" si="13"/>
        <v>24</v>
      </c>
      <c r="AA21" s="17">
        <f t="shared" si="13"/>
        <v>0</v>
      </c>
      <c r="AB21" s="17">
        <f t="shared" si="13"/>
        <v>7</v>
      </c>
      <c r="AC21" s="17">
        <f t="shared" si="13"/>
        <v>1245</v>
      </c>
      <c r="AD21" s="17">
        <f t="shared" si="13"/>
        <v>0</v>
      </c>
      <c r="AE21" s="31">
        <f t="shared" si="13"/>
        <v>1395</v>
      </c>
      <c r="AF21" s="31">
        <f t="shared" si="13"/>
        <v>2640</v>
      </c>
    </row>
    <row r="22" spans="2:32" ht="23.1" customHeight="1" x14ac:dyDescent="0.25">
      <c r="B22" s="23" t="s">
        <v>49</v>
      </c>
      <c r="C22" s="50">
        <v>51</v>
      </c>
      <c r="D22" s="50">
        <v>25</v>
      </c>
      <c r="E22" s="50">
        <v>11</v>
      </c>
      <c r="F22" s="50">
        <v>56</v>
      </c>
      <c r="G22" s="50">
        <v>1</v>
      </c>
      <c r="H22" s="50">
        <v>1</v>
      </c>
      <c r="I22" s="50">
        <v>10</v>
      </c>
      <c r="J22" s="50">
        <v>2</v>
      </c>
      <c r="K22" s="50">
        <v>1</v>
      </c>
      <c r="L22" s="50">
        <v>4</v>
      </c>
      <c r="M22" s="50">
        <v>470</v>
      </c>
      <c r="N22" s="50">
        <v>0</v>
      </c>
      <c r="O22" s="15">
        <f t="shared" si="0"/>
        <v>162</v>
      </c>
      <c r="P22" s="15">
        <f t="shared" si="1"/>
        <v>632</v>
      </c>
      <c r="R22" s="38" t="s">
        <v>90</v>
      </c>
      <c r="S22" s="39">
        <f>MAX(S10:S12)</f>
        <v>137</v>
      </c>
      <c r="T22" s="39">
        <f t="shared" ref="T22:AF22" si="14">MAX(T10:T12)</f>
        <v>62</v>
      </c>
      <c r="U22" s="39">
        <f t="shared" si="14"/>
        <v>27</v>
      </c>
      <c r="V22" s="39">
        <f t="shared" si="14"/>
        <v>242</v>
      </c>
      <c r="W22" s="39">
        <f t="shared" si="14"/>
        <v>51</v>
      </c>
      <c r="X22" s="39">
        <f t="shared" si="14"/>
        <v>2</v>
      </c>
      <c r="Y22" s="39">
        <f t="shared" si="14"/>
        <v>28</v>
      </c>
      <c r="Z22" s="39">
        <f t="shared" si="14"/>
        <v>23</v>
      </c>
      <c r="AA22" s="39">
        <f t="shared" si="14"/>
        <v>9</v>
      </c>
      <c r="AB22" s="39">
        <f t="shared" si="14"/>
        <v>16</v>
      </c>
      <c r="AC22" s="39">
        <f t="shared" si="14"/>
        <v>1625</v>
      </c>
      <c r="AD22" s="39">
        <f t="shared" si="14"/>
        <v>0</v>
      </c>
      <c r="AE22" s="40">
        <f t="shared" si="14"/>
        <v>550</v>
      </c>
      <c r="AF22" s="40">
        <f t="shared" si="14"/>
        <v>2175</v>
      </c>
    </row>
    <row r="23" spans="2:32" ht="23.1" customHeight="1" x14ac:dyDescent="0.25">
      <c r="B23" s="23" t="s">
        <v>50</v>
      </c>
      <c r="C23" s="50">
        <v>43</v>
      </c>
      <c r="D23" s="50">
        <v>18</v>
      </c>
      <c r="E23" s="50">
        <v>15</v>
      </c>
      <c r="F23" s="50">
        <v>52</v>
      </c>
      <c r="G23" s="50">
        <v>1</v>
      </c>
      <c r="H23" s="50">
        <v>0</v>
      </c>
      <c r="I23" s="50">
        <v>3</v>
      </c>
      <c r="J23" s="50">
        <v>6</v>
      </c>
      <c r="K23" s="50">
        <v>0</v>
      </c>
      <c r="L23" s="50">
        <v>7</v>
      </c>
      <c r="M23" s="50">
        <v>320</v>
      </c>
      <c r="N23" s="50">
        <v>0</v>
      </c>
      <c r="O23" s="15">
        <f t="shared" si="0"/>
        <v>145</v>
      </c>
      <c r="P23" s="15">
        <f t="shared" si="1"/>
        <v>465</v>
      </c>
      <c r="R23" s="38" t="s">
        <v>91</v>
      </c>
      <c r="S23" s="39">
        <f>MAX(S13:S18)</f>
        <v>309</v>
      </c>
      <c r="T23" s="39">
        <f t="shared" ref="T23:AF23" si="15">MAX(T13:T18)</f>
        <v>130</v>
      </c>
      <c r="U23" s="39">
        <f t="shared" si="15"/>
        <v>67</v>
      </c>
      <c r="V23" s="39">
        <f t="shared" si="15"/>
        <v>261</v>
      </c>
      <c r="W23" s="39">
        <f t="shared" si="15"/>
        <v>11</v>
      </c>
      <c r="X23" s="39">
        <f t="shared" si="15"/>
        <v>4</v>
      </c>
      <c r="Y23" s="39">
        <f t="shared" si="15"/>
        <v>45</v>
      </c>
      <c r="Z23" s="39">
        <f t="shared" si="15"/>
        <v>24</v>
      </c>
      <c r="AA23" s="39">
        <f t="shared" si="15"/>
        <v>9</v>
      </c>
      <c r="AB23" s="39">
        <f t="shared" si="15"/>
        <v>32</v>
      </c>
      <c r="AC23" s="39">
        <f t="shared" si="15"/>
        <v>1510</v>
      </c>
      <c r="AD23" s="39">
        <f t="shared" si="15"/>
        <v>0</v>
      </c>
      <c r="AE23" s="40">
        <f t="shared" si="15"/>
        <v>779</v>
      </c>
      <c r="AF23" s="40">
        <f t="shared" si="15"/>
        <v>2098</v>
      </c>
    </row>
    <row r="24" spans="2:32" ht="23.1" customHeight="1" x14ac:dyDescent="0.25">
      <c r="B24" s="23" t="s">
        <v>51</v>
      </c>
      <c r="C24" s="50">
        <v>24</v>
      </c>
      <c r="D24" s="50">
        <v>10</v>
      </c>
      <c r="E24" s="50">
        <v>8</v>
      </c>
      <c r="F24" s="50">
        <v>64</v>
      </c>
      <c r="G24" s="50">
        <v>3</v>
      </c>
      <c r="H24" s="50">
        <v>1</v>
      </c>
      <c r="I24" s="50">
        <v>8</v>
      </c>
      <c r="J24" s="50">
        <v>6</v>
      </c>
      <c r="K24" s="50">
        <v>1</v>
      </c>
      <c r="L24" s="50">
        <v>4</v>
      </c>
      <c r="M24" s="50">
        <v>270</v>
      </c>
      <c r="N24" s="50">
        <v>0</v>
      </c>
      <c r="O24" s="15">
        <f t="shared" si="0"/>
        <v>129</v>
      </c>
      <c r="P24" s="15">
        <f t="shared" si="1"/>
        <v>399</v>
      </c>
      <c r="R24" s="38" t="s">
        <v>92</v>
      </c>
      <c r="S24" s="39">
        <f>MAX(S19:S21)</f>
        <v>628</v>
      </c>
      <c r="T24" s="39">
        <f t="shared" ref="T24:AF24" si="16">MAX(T19:T21)</f>
        <v>314</v>
      </c>
      <c r="U24" s="39">
        <f t="shared" si="16"/>
        <v>172</v>
      </c>
      <c r="V24" s="39">
        <f t="shared" si="16"/>
        <v>238</v>
      </c>
      <c r="W24" s="39">
        <f t="shared" si="16"/>
        <v>11</v>
      </c>
      <c r="X24" s="39">
        <f t="shared" si="16"/>
        <v>2</v>
      </c>
      <c r="Y24" s="39">
        <f t="shared" si="16"/>
        <v>43</v>
      </c>
      <c r="Z24" s="39">
        <f t="shared" si="16"/>
        <v>27</v>
      </c>
      <c r="AA24" s="39">
        <f t="shared" si="16"/>
        <v>8</v>
      </c>
      <c r="AB24" s="39">
        <f t="shared" si="16"/>
        <v>40</v>
      </c>
      <c r="AC24" s="39">
        <f t="shared" si="16"/>
        <v>1305</v>
      </c>
      <c r="AD24" s="39">
        <f t="shared" si="16"/>
        <v>0</v>
      </c>
      <c r="AE24" s="40">
        <f t="shared" si="16"/>
        <v>1395</v>
      </c>
      <c r="AF24" s="40">
        <f t="shared" si="16"/>
        <v>2640</v>
      </c>
    </row>
    <row r="25" spans="2:32" ht="23.1" customHeight="1" x14ac:dyDescent="0.25">
      <c r="B25" s="23" t="s">
        <v>52</v>
      </c>
      <c r="C25" s="50">
        <v>43</v>
      </c>
      <c r="D25" s="50">
        <v>17</v>
      </c>
      <c r="E25" s="50">
        <v>13</v>
      </c>
      <c r="F25" s="50">
        <v>51</v>
      </c>
      <c r="G25" s="50">
        <v>1</v>
      </c>
      <c r="H25" s="50">
        <v>0</v>
      </c>
      <c r="I25" s="50">
        <v>14</v>
      </c>
      <c r="J25" s="50">
        <v>10</v>
      </c>
      <c r="K25" s="50">
        <v>2</v>
      </c>
      <c r="L25" s="50">
        <v>1</v>
      </c>
      <c r="M25" s="50">
        <v>450</v>
      </c>
      <c r="N25" s="50">
        <v>0</v>
      </c>
      <c r="O25" s="15">
        <f t="shared" si="0"/>
        <v>152</v>
      </c>
      <c r="P25" s="15">
        <f t="shared" si="1"/>
        <v>602</v>
      </c>
      <c r="R25" s="37" t="s">
        <v>85</v>
      </c>
      <c r="S25" s="35">
        <f t="shared" ref="S25:AF25" si="17">SUM(S10:S12)</f>
        <v>344</v>
      </c>
      <c r="T25" s="16">
        <f t="shared" si="17"/>
        <v>135</v>
      </c>
      <c r="U25" s="16">
        <f t="shared" si="17"/>
        <v>70</v>
      </c>
      <c r="V25" s="16">
        <f t="shared" si="17"/>
        <v>578</v>
      </c>
      <c r="W25" s="16">
        <f t="shared" si="17"/>
        <v>63</v>
      </c>
      <c r="X25" s="16">
        <f t="shared" si="17"/>
        <v>5</v>
      </c>
      <c r="Y25" s="16">
        <f t="shared" si="17"/>
        <v>62</v>
      </c>
      <c r="Z25" s="16">
        <f t="shared" si="17"/>
        <v>39</v>
      </c>
      <c r="AA25" s="16">
        <f t="shared" si="17"/>
        <v>20</v>
      </c>
      <c r="AB25" s="16">
        <f t="shared" si="17"/>
        <v>33</v>
      </c>
      <c r="AC25" s="16">
        <f t="shared" si="17"/>
        <v>4505</v>
      </c>
      <c r="AD25" s="16">
        <f t="shared" si="17"/>
        <v>0</v>
      </c>
      <c r="AE25" s="32">
        <f t="shared" si="17"/>
        <v>1349</v>
      </c>
      <c r="AF25" s="32">
        <f t="shared" si="17"/>
        <v>5854</v>
      </c>
    </row>
    <row r="26" spans="2:32" ht="23.1" customHeight="1" x14ac:dyDescent="0.25">
      <c r="B26" s="23" t="s">
        <v>53</v>
      </c>
      <c r="C26" s="50">
        <v>59</v>
      </c>
      <c r="D26" s="50">
        <v>17</v>
      </c>
      <c r="E26" s="50">
        <v>14</v>
      </c>
      <c r="F26" s="50">
        <v>74</v>
      </c>
      <c r="G26" s="50">
        <v>5</v>
      </c>
      <c r="H26" s="50">
        <v>1</v>
      </c>
      <c r="I26" s="50">
        <v>13</v>
      </c>
      <c r="J26" s="50">
        <v>4</v>
      </c>
      <c r="K26" s="50">
        <v>0</v>
      </c>
      <c r="L26" s="50">
        <v>6</v>
      </c>
      <c r="M26" s="50">
        <v>240</v>
      </c>
      <c r="N26" s="50">
        <v>0</v>
      </c>
      <c r="O26" s="15">
        <f t="shared" si="0"/>
        <v>193</v>
      </c>
      <c r="P26" s="15">
        <f t="shared" si="1"/>
        <v>433</v>
      </c>
      <c r="R26" s="28" t="s">
        <v>86</v>
      </c>
      <c r="S26" s="16">
        <f t="shared" ref="S26:AF26" si="18">SUM(S13:S18)</f>
        <v>1504</v>
      </c>
      <c r="T26" s="16">
        <f t="shared" si="18"/>
        <v>572</v>
      </c>
      <c r="U26" s="16">
        <f t="shared" si="18"/>
        <v>336</v>
      </c>
      <c r="V26" s="16">
        <f t="shared" si="18"/>
        <v>1446</v>
      </c>
      <c r="W26" s="16">
        <f t="shared" si="18"/>
        <v>33</v>
      </c>
      <c r="X26" s="16">
        <f t="shared" si="18"/>
        <v>15</v>
      </c>
      <c r="Y26" s="16">
        <f t="shared" si="18"/>
        <v>229</v>
      </c>
      <c r="Z26" s="16">
        <f t="shared" si="18"/>
        <v>121</v>
      </c>
      <c r="AA26" s="16">
        <f t="shared" si="18"/>
        <v>35</v>
      </c>
      <c r="AB26" s="16">
        <f t="shared" si="18"/>
        <v>133</v>
      </c>
      <c r="AC26" s="16">
        <f t="shared" si="18"/>
        <v>7122</v>
      </c>
      <c r="AD26" s="16">
        <f t="shared" si="18"/>
        <v>0</v>
      </c>
      <c r="AE26" s="32">
        <f t="shared" si="18"/>
        <v>4424</v>
      </c>
      <c r="AF26" s="32">
        <f t="shared" si="18"/>
        <v>11546</v>
      </c>
    </row>
    <row r="27" spans="2:32" ht="23.1" customHeight="1" x14ac:dyDescent="0.25">
      <c r="B27" s="23" t="s">
        <v>54</v>
      </c>
      <c r="C27" s="50">
        <v>50</v>
      </c>
      <c r="D27" s="50">
        <v>21</v>
      </c>
      <c r="E27" s="50">
        <v>14</v>
      </c>
      <c r="F27" s="50">
        <v>65</v>
      </c>
      <c r="G27" s="50">
        <v>2</v>
      </c>
      <c r="H27" s="50">
        <v>1</v>
      </c>
      <c r="I27" s="50">
        <v>12</v>
      </c>
      <c r="J27" s="50">
        <v>2</v>
      </c>
      <c r="K27" s="50">
        <v>3</v>
      </c>
      <c r="L27" s="50">
        <v>6</v>
      </c>
      <c r="M27" s="50">
        <v>285</v>
      </c>
      <c r="N27" s="50">
        <v>0</v>
      </c>
      <c r="O27" s="15">
        <f t="shared" si="0"/>
        <v>176</v>
      </c>
      <c r="P27" s="15">
        <f t="shared" si="1"/>
        <v>461</v>
      </c>
      <c r="R27" s="29" t="s">
        <v>87</v>
      </c>
      <c r="S27" s="16">
        <f t="shared" ref="S27:AF27" si="19">SUM(S19:S21)</f>
        <v>1473</v>
      </c>
      <c r="T27" s="16">
        <f t="shared" si="19"/>
        <v>655</v>
      </c>
      <c r="U27" s="16">
        <f t="shared" si="19"/>
        <v>380</v>
      </c>
      <c r="V27" s="16">
        <f t="shared" si="19"/>
        <v>634</v>
      </c>
      <c r="W27" s="16">
        <f t="shared" si="19"/>
        <v>21</v>
      </c>
      <c r="X27" s="16">
        <f t="shared" si="19"/>
        <v>4</v>
      </c>
      <c r="Y27" s="16">
        <f t="shared" si="19"/>
        <v>99</v>
      </c>
      <c r="Z27" s="16">
        <f t="shared" si="19"/>
        <v>71</v>
      </c>
      <c r="AA27" s="16">
        <f t="shared" si="19"/>
        <v>14</v>
      </c>
      <c r="AB27" s="16">
        <f t="shared" si="19"/>
        <v>67</v>
      </c>
      <c r="AC27" s="16">
        <f t="shared" si="19"/>
        <v>3745</v>
      </c>
      <c r="AD27" s="16">
        <f t="shared" si="19"/>
        <v>0</v>
      </c>
      <c r="AE27" s="32">
        <f t="shared" si="19"/>
        <v>3418</v>
      </c>
      <c r="AF27" s="32">
        <f t="shared" si="19"/>
        <v>7163</v>
      </c>
    </row>
    <row r="28" spans="2:32" ht="23.1" customHeight="1" x14ac:dyDescent="0.25">
      <c r="B28" s="23" t="s">
        <v>55</v>
      </c>
      <c r="C28" s="50">
        <v>52</v>
      </c>
      <c r="D28" s="50">
        <v>18</v>
      </c>
      <c r="E28" s="50">
        <v>15</v>
      </c>
      <c r="F28" s="50">
        <v>55</v>
      </c>
      <c r="G28" s="50">
        <v>1</v>
      </c>
      <c r="H28" s="50">
        <v>0</v>
      </c>
      <c r="I28" s="50">
        <v>13</v>
      </c>
      <c r="J28" s="50">
        <v>7</v>
      </c>
      <c r="K28" s="50">
        <v>0</v>
      </c>
      <c r="L28" s="50">
        <v>4</v>
      </c>
      <c r="M28" s="50">
        <v>245</v>
      </c>
      <c r="N28" s="50">
        <v>0</v>
      </c>
      <c r="O28" s="15">
        <f t="shared" si="0"/>
        <v>165</v>
      </c>
      <c r="P28" s="15">
        <f t="shared" si="1"/>
        <v>410</v>
      </c>
      <c r="R28" s="5" t="s">
        <v>17</v>
      </c>
      <c r="S28" s="16">
        <f t="shared" ref="S28:AF28" si="20">SUM(S10:S21)</f>
        <v>3321</v>
      </c>
      <c r="T28" s="16">
        <f t="shared" si="20"/>
        <v>1362</v>
      </c>
      <c r="U28" s="16">
        <f t="shared" si="20"/>
        <v>786</v>
      </c>
      <c r="V28" s="16">
        <f t="shared" si="20"/>
        <v>2658</v>
      </c>
      <c r="W28" s="16">
        <f t="shared" si="20"/>
        <v>117</v>
      </c>
      <c r="X28" s="16">
        <f t="shared" si="20"/>
        <v>24</v>
      </c>
      <c r="Y28" s="16">
        <f t="shared" si="20"/>
        <v>390</v>
      </c>
      <c r="Z28" s="16">
        <f t="shared" si="20"/>
        <v>231</v>
      </c>
      <c r="AA28" s="16">
        <f t="shared" si="20"/>
        <v>69</v>
      </c>
      <c r="AB28" s="16">
        <f t="shared" si="20"/>
        <v>233</v>
      </c>
      <c r="AC28" s="16">
        <f t="shared" si="20"/>
        <v>15372</v>
      </c>
      <c r="AD28" s="16">
        <f t="shared" si="20"/>
        <v>0</v>
      </c>
      <c r="AE28" s="32">
        <f t="shared" si="20"/>
        <v>9191</v>
      </c>
      <c r="AF28" s="32">
        <f t="shared" si="20"/>
        <v>24563</v>
      </c>
    </row>
    <row r="29" spans="2:32" ht="23.1" customHeight="1" x14ac:dyDescent="0.25">
      <c r="B29" s="23" t="s">
        <v>56</v>
      </c>
      <c r="C29" s="50">
        <v>60</v>
      </c>
      <c r="D29" s="50">
        <v>33</v>
      </c>
      <c r="E29" s="50">
        <v>24</v>
      </c>
      <c r="F29" s="50">
        <v>65</v>
      </c>
      <c r="G29" s="50">
        <v>3</v>
      </c>
      <c r="H29" s="50">
        <v>2</v>
      </c>
      <c r="I29" s="50">
        <v>7</v>
      </c>
      <c r="J29" s="50">
        <v>9</v>
      </c>
      <c r="K29" s="50">
        <v>4</v>
      </c>
      <c r="L29" s="50">
        <v>7</v>
      </c>
      <c r="M29" s="50">
        <v>230</v>
      </c>
      <c r="N29" s="50">
        <v>0</v>
      </c>
      <c r="O29" s="15">
        <f t="shared" si="0"/>
        <v>214</v>
      </c>
      <c r="P29" s="15">
        <f t="shared" si="1"/>
        <v>444</v>
      </c>
      <c r="R29"/>
      <c r="S29" s="20"/>
      <c r="T29" s="19"/>
    </row>
    <row r="30" spans="2:32" ht="23.1" customHeight="1" x14ac:dyDescent="0.25">
      <c r="B30" s="23" t="s">
        <v>57</v>
      </c>
      <c r="C30" s="50">
        <v>74</v>
      </c>
      <c r="D30" s="50">
        <v>40</v>
      </c>
      <c r="E30" s="50">
        <v>10</v>
      </c>
      <c r="F30" s="50">
        <v>53</v>
      </c>
      <c r="G30" s="50">
        <v>2</v>
      </c>
      <c r="H30" s="50">
        <v>0</v>
      </c>
      <c r="I30" s="50">
        <v>7</v>
      </c>
      <c r="J30" s="50">
        <v>2</v>
      </c>
      <c r="K30" s="50">
        <v>3</v>
      </c>
      <c r="L30" s="50">
        <v>3</v>
      </c>
      <c r="M30" s="50">
        <v>280</v>
      </c>
      <c r="N30" s="50">
        <v>0</v>
      </c>
      <c r="O30" s="15">
        <f t="shared" si="0"/>
        <v>194</v>
      </c>
      <c r="P30" s="15">
        <f t="shared" si="1"/>
        <v>474</v>
      </c>
    </row>
    <row r="31" spans="2:32" ht="23.1" customHeight="1" x14ac:dyDescent="0.25">
      <c r="B31" s="24" t="s">
        <v>58</v>
      </c>
      <c r="C31" s="50">
        <v>67</v>
      </c>
      <c r="D31" s="50">
        <v>31</v>
      </c>
      <c r="E31" s="50">
        <v>9</v>
      </c>
      <c r="F31" s="50">
        <v>43</v>
      </c>
      <c r="G31" s="50">
        <v>0</v>
      </c>
      <c r="H31" s="50">
        <v>1</v>
      </c>
      <c r="I31" s="50">
        <v>8</v>
      </c>
      <c r="J31" s="50">
        <v>11</v>
      </c>
      <c r="K31" s="50">
        <v>0</v>
      </c>
      <c r="L31" s="50">
        <v>1</v>
      </c>
      <c r="M31" s="50">
        <v>295</v>
      </c>
      <c r="N31" s="50">
        <v>0</v>
      </c>
      <c r="O31" s="15">
        <f t="shared" si="0"/>
        <v>171</v>
      </c>
      <c r="P31" s="15">
        <f t="shared" si="1"/>
        <v>466</v>
      </c>
    </row>
    <row r="32" spans="2:32" ht="23.1" customHeight="1" x14ac:dyDescent="0.25">
      <c r="B32" s="24" t="s">
        <v>59</v>
      </c>
      <c r="C32" s="50">
        <v>90</v>
      </c>
      <c r="D32" s="50">
        <v>29</v>
      </c>
      <c r="E32" s="50">
        <v>16</v>
      </c>
      <c r="F32" s="50">
        <v>53</v>
      </c>
      <c r="G32" s="50">
        <v>1</v>
      </c>
      <c r="H32" s="50">
        <v>1</v>
      </c>
      <c r="I32" s="50">
        <v>7</v>
      </c>
      <c r="J32" s="50">
        <v>7</v>
      </c>
      <c r="K32" s="50">
        <v>3</v>
      </c>
      <c r="L32" s="50">
        <v>8</v>
      </c>
      <c r="M32" s="50">
        <v>312</v>
      </c>
      <c r="N32" s="50">
        <v>0</v>
      </c>
      <c r="O32" s="15">
        <f t="shared" si="0"/>
        <v>215</v>
      </c>
      <c r="P32" s="15">
        <f t="shared" si="1"/>
        <v>527</v>
      </c>
    </row>
    <row r="33" spans="2:20" ht="23.1" customHeight="1" x14ac:dyDescent="0.25">
      <c r="B33" s="23" t="s">
        <v>60</v>
      </c>
      <c r="C33" s="50">
        <v>78</v>
      </c>
      <c r="D33" s="50">
        <v>30</v>
      </c>
      <c r="E33" s="50">
        <v>10</v>
      </c>
      <c r="F33" s="50">
        <v>55</v>
      </c>
      <c r="G33" s="50">
        <v>0</v>
      </c>
      <c r="H33" s="50">
        <v>1</v>
      </c>
      <c r="I33" s="50">
        <v>15</v>
      </c>
      <c r="J33" s="50">
        <v>2</v>
      </c>
      <c r="K33" s="50">
        <v>3</v>
      </c>
      <c r="L33" s="50">
        <v>5</v>
      </c>
      <c r="M33" s="50">
        <v>238</v>
      </c>
      <c r="N33" s="50">
        <v>0</v>
      </c>
      <c r="O33" s="15">
        <f t="shared" si="0"/>
        <v>199</v>
      </c>
      <c r="P33" s="15">
        <f t="shared" si="1"/>
        <v>437</v>
      </c>
    </row>
    <row r="34" spans="2:20" ht="23.1" customHeight="1" x14ac:dyDescent="0.25">
      <c r="B34" s="24" t="s">
        <v>61</v>
      </c>
      <c r="C34" s="50">
        <v>54</v>
      </c>
      <c r="D34" s="50">
        <v>26</v>
      </c>
      <c r="E34" s="50">
        <v>11</v>
      </c>
      <c r="F34" s="50">
        <v>65</v>
      </c>
      <c r="G34" s="50">
        <v>1</v>
      </c>
      <c r="H34" s="50">
        <v>0</v>
      </c>
      <c r="I34" s="50">
        <v>9</v>
      </c>
      <c r="J34" s="50">
        <v>4</v>
      </c>
      <c r="K34" s="50">
        <v>1</v>
      </c>
      <c r="L34" s="50">
        <v>2</v>
      </c>
      <c r="M34" s="50">
        <v>270</v>
      </c>
      <c r="N34" s="50">
        <v>0</v>
      </c>
      <c r="O34" s="15">
        <f t="shared" si="0"/>
        <v>173</v>
      </c>
      <c r="P34" s="15">
        <f t="shared" si="1"/>
        <v>443</v>
      </c>
    </row>
    <row r="35" spans="2:20" ht="23.1" customHeight="1" x14ac:dyDescent="0.25">
      <c r="B35" s="24" t="s">
        <v>62</v>
      </c>
      <c r="C35" s="50">
        <v>73</v>
      </c>
      <c r="D35" s="50">
        <v>22</v>
      </c>
      <c r="E35" s="50">
        <v>9</v>
      </c>
      <c r="F35" s="50">
        <v>55</v>
      </c>
      <c r="G35" s="50">
        <v>1</v>
      </c>
      <c r="H35" s="50">
        <v>1</v>
      </c>
      <c r="I35" s="50">
        <v>10</v>
      </c>
      <c r="J35" s="50">
        <v>7</v>
      </c>
      <c r="K35" s="50">
        <v>1</v>
      </c>
      <c r="L35" s="50">
        <v>6</v>
      </c>
      <c r="M35" s="50">
        <v>230</v>
      </c>
      <c r="N35" s="50">
        <v>0</v>
      </c>
      <c r="O35" s="15">
        <f t="shared" si="0"/>
        <v>185</v>
      </c>
      <c r="P35" s="15">
        <f t="shared" si="1"/>
        <v>415</v>
      </c>
    </row>
    <row r="36" spans="2:20" ht="23.1" customHeight="1" x14ac:dyDescent="0.25">
      <c r="B36" s="24" t="s">
        <v>63</v>
      </c>
      <c r="C36" s="50">
        <v>67</v>
      </c>
      <c r="D36" s="50">
        <v>28</v>
      </c>
      <c r="E36" s="50">
        <v>14</v>
      </c>
      <c r="F36" s="50">
        <v>73</v>
      </c>
      <c r="G36" s="50">
        <v>1</v>
      </c>
      <c r="H36" s="50">
        <v>1</v>
      </c>
      <c r="I36" s="50">
        <v>12</v>
      </c>
      <c r="J36" s="50">
        <v>4</v>
      </c>
      <c r="K36" s="50">
        <v>2</v>
      </c>
      <c r="L36" s="50">
        <v>2</v>
      </c>
      <c r="M36" s="50">
        <v>245</v>
      </c>
      <c r="N36" s="50">
        <v>0</v>
      </c>
      <c r="O36" s="15">
        <f t="shared" si="0"/>
        <v>204</v>
      </c>
      <c r="P36" s="15">
        <f t="shared" si="1"/>
        <v>449</v>
      </c>
    </row>
    <row r="37" spans="2:20" ht="23.1" customHeight="1" x14ac:dyDescent="0.25">
      <c r="B37" s="23" t="s">
        <v>64</v>
      </c>
      <c r="C37" s="50">
        <v>70</v>
      </c>
      <c r="D37" s="50">
        <v>35</v>
      </c>
      <c r="E37" s="50">
        <v>20</v>
      </c>
      <c r="F37" s="50">
        <v>68</v>
      </c>
      <c r="G37" s="50">
        <v>1</v>
      </c>
      <c r="H37" s="50">
        <v>0</v>
      </c>
      <c r="I37" s="50">
        <v>9</v>
      </c>
      <c r="J37" s="50">
        <v>0</v>
      </c>
      <c r="K37" s="50">
        <v>0</v>
      </c>
      <c r="L37" s="50">
        <v>6</v>
      </c>
      <c r="M37" s="50">
        <v>265</v>
      </c>
      <c r="N37" s="50">
        <v>0</v>
      </c>
      <c r="O37" s="15">
        <f t="shared" si="0"/>
        <v>209</v>
      </c>
      <c r="P37" s="15">
        <f t="shared" si="1"/>
        <v>474</v>
      </c>
    </row>
    <row r="38" spans="2:20" ht="23.1" customHeight="1" x14ac:dyDescent="0.25">
      <c r="B38" s="24" t="s">
        <v>65</v>
      </c>
      <c r="C38" s="50">
        <v>64</v>
      </c>
      <c r="D38" s="50">
        <v>28</v>
      </c>
      <c r="E38" s="50">
        <v>19</v>
      </c>
      <c r="F38" s="50">
        <v>75</v>
      </c>
      <c r="G38" s="50">
        <v>2</v>
      </c>
      <c r="H38" s="50">
        <v>0</v>
      </c>
      <c r="I38" s="50">
        <v>9</v>
      </c>
      <c r="J38" s="50">
        <v>4</v>
      </c>
      <c r="K38" s="50">
        <v>1</v>
      </c>
      <c r="L38" s="50">
        <v>12</v>
      </c>
      <c r="M38" s="50">
        <v>360</v>
      </c>
      <c r="N38" s="50">
        <v>0</v>
      </c>
      <c r="O38" s="15">
        <f t="shared" si="0"/>
        <v>214</v>
      </c>
      <c r="P38" s="15">
        <f t="shared" si="1"/>
        <v>574</v>
      </c>
    </row>
    <row r="39" spans="2:20" ht="23.1" customHeight="1" x14ac:dyDescent="0.25">
      <c r="B39" s="24" t="s">
        <v>66</v>
      </c>
      <c r="C39" s="50">
        <v>77</v>
      </c>
      <c r="D39" s="50">
        <v>24</v>
      </c>
      <c r="E39" s="50">
        <v>20</v>
      </c>
      <c r="F39" s="50">
        <v>60</v>
      </c>
      <c r="G39" s="50">
        <v>1</v>
      </c>
      <c r="H39" s="50">
        <v>1</v>
      </c>
      <c r="I39" s="50">
        <v>8</v>
      </c>
      <c r="J39" s="50">
        <v>2</v>
      </c>
      <c r="K39" s="50">
        <v>1</v>
      </c>
      <c r="L39" s="50">
        <v>5</v>
      </c>
      <c r="M39" s="50">
        <v>302</v>
      </c>
      <c r="N39" s="50">
        <v>0</v>
      </c>
      <c r="O39" s="15">
        <f t="shared" si="0"/>
        <v>199</v>
      </c>
      <c r="P39" s="15">
        <f t="shared" si="1"/>
        <v>501</v>
      </c>
    </row>
    <row r="40" spans="2:20" ht="23.1" customHeight="1" x14ac:dyDescent="0.25">
      <c r="B40" s="24" t="s">
        <v>67</v>
      </c>
      <c r="C40" s="50">
        <v>55</v>
      </c>
      <c r="D40" s="50">
        <v>3</v>
      </c>
      <c r="E40" s="50">
        <v>13</v>
      </c>
      <c r="F40" s="50">
        <v>51</v>
      </c>
      <c r="G40" s="50">
        <v>1</v>
      </c>
      <c r="H40" s="50">
        <v>1</v>
      </c>
      <c r="I40" s="50">
        <v>10</v>
      </c>
      <c r="J40" s="50">
        <v>8</v>
      </c>
      <c r="K40" s="50">
        <v>3</v>
      </c>
      <c r="L40" s="50">
        <v>8</v>
      </c>
      <c r="M40" s="50">
        <v>295</v>
      </c>
      <c r="N40" s="50">
        <v>0</v>
      </c>
      <c r="O40" s="15">
        <f t="shared" si="0"/>
        <v>153</v>
      </c>
      <c r="P40" s="15">
        <f t="shared" si="1"/>
        <v>448</v>
      </c>
    </row>
    <row r="41" spans="2:20" ht="23.1" customHeight="1" x14ac:dyDescent="0.25">
      <c r="B41" s="23" t="s">
        <v>68</v>
      </c>
      <c r="C41" s="50">
        <v>70</v>
      </c>
      <c r="D41" s="50">
        <v>19</v>
      </c>
      <c r="E41" s="50">
        <v>13</v>
      </c>
      <c r="F41" s="50">
        <v>70</v>
      </c>
      <c r="G41" s="50">
        <v>1</v>
      </c>
      <c r="H41" s="50">
        <v>0</v>
      </c>
      <c r="I41" s="50">
        <v>11</v>
      </c>
      <c r="J41" s="50">
        <v>5</v>
      </c>
      <c r="K41" s="50">
        <v>0</v>
      </c>
      <c r="L41" s="50">
        <v>4</v>
      </c>
      <c r="M41" s="50">
        <v>336</v>
      </c>
      <c r="N41" s="50">
        <v>0</v>
      </c>
      <c r="O41" s="15">
        <f t="shared" si="0"/>
        <v>193</v>
      </c>
      <c r="P41" s="15">
        <f t="shared" si="1"/>
        <v>529</v>
      </c>
    </row>
    <row r="42" spans="2:20" ht="23.1" customHeight="1" x14ac:dyDescent="0.25">
      <c r="B42" s="24" t="s">
        <v>69</v>
      </c>
      <c r="C42" s="50">
        <v>62</v>
      </c>
      <c r="D42" s="50">
        <v>18</v>
      </c>
      <c r="E42" s="50">
        <v>12</v>
      </c>
      <c r="F42" s="50">
        <v>63</v>
      </c>
      <c r="G42" s="50">
        <v>1</v>
      </c>
      <c r="H42" s="50">
        <v>1</v>
      </c>
      <c r="I42" s="50">
        <v>7</v>
      </c>
      <c r="J42" s="50">
        <v>1</v>
      </c>
      <c r="K42" s="50">
        <v>0</v>
      </c>
      <c r="L42" s="50">
        <v>9</v>
      </c>
      <c r="M42" s="50">
        <v>400</v>
      </c>
      <c r="N42" s="50">
        <v>0</v>
      </c>
      <c r="O42" s="15">
        <f t="shared" si="0"/>
        <v>174</v>
      </c>
      <c r="P42" s="15">
        <f t="shared" si="1"/>
        <v>574</v>
      </c>
    </row>
    <row r="43" spans="2:20" ht="23.1" customHeight="1" x14ac:dyDescent="0.25">
      <c r="B43" s="23" t="s">
        <v>70</v>
      </c>
      <c r="C43" s="50">
        <v>64</v>
      </c>
      <c r="D43" s="50">
        <v>21</v>
      </c>
      <c r="E43" s="50">
        <v>10</v>
      </c>
      <c r="F43" s="50">
        <v>60</v>
      </c>
      <c r="G43" s="50"/>
      <c r="H43" s="50">
        <v>1</v>
      </c>
      <c r="I43" s="50">
        <v>13</v>
      </c>
      <c r="J43" s="50">
        <v>7</v>
      </c>
      <c r="K43" s="50">
        <v>2</v>
      </c>
      <c r="L43" s="50">
        <v>3</v>
      </c>
      <c r="M43" s="50">
        <v>274</v>
      </c>
      <c r="N43" s="50">
        <v>0</v>
      </c>
      <c r="O43" s="15">
        <f t="shared" si="0"/>
        <v>181</v>
      </c>
      <c r="P43" s="15">
        <f t="shared" si="1"/>
        <v>455</v>
      </c>
    </row>
    <row r="44" spans="2:20" ht="23.1" customHeight="1" x14ac:dyDescent="0.25">
      <c r="B44" s="25" t="s">
        <v>71</v>
      </c>
      <c r="C44" s="50">
        <v>77</v>
      </c>
      <c r="D44" s="50">
        <v>26</v>
      </c>
      <c r="E44" s="50">
        <v>14</v>
      </c>
      <c r="F44" s="50">
        <v>59</v>
      </c>
      <c r="G44" s="50">
        <v>1</v>
      </c>
      <c r="H44" s="50"/>
      <c r="I44" s="50">
        <v>10</v>
      </c>
      <c r="J44" s="50">
        <v>6</v>
      </c>
      <c r="K44" s="50">
        <v>2</v>
      </c>
      <c r="L44" s="50">
        <v>6</v>
      </c>
      <c r="M44" s="50">
        <v>205</v>
      </c>
      <c r="N44" s="50">
        <v>0</v>
      </c>
      <c r="O44" s="15">
        <f t="shared" si="0"/>
        <v>201</v>
      </c>
      <c r="P44" s="15">
        <f t="shared" si="1"/>
        <v>406</v>
      </c>
    </row>
    <row r="45" spans="2:20" ht="23.1" customHeight="1" x14ac:dyDescent="0.25">
      <c r="B45" s="23" t="s">
        <v>72</v>
      </c>
      <c r="C45" s="50">
        <v>80</v>
      </c>
      <c r="D45" s="50">
        <v>33</v>
      </c>
      <c r="E45" s="50">
        <v>22</v>
      </c>
      <c r="F45" s="50">
        <v>61</v>
      </c>
      <c r="G45" s="50">
        <v>2</v>
      </c>
      <c r="H45" s="50">
        <v>0</v>
      </c>
      <c r="I45" s="50">
        <v>4</v>
      </c>
      <c r="J45" s="50">
        <v>5</v>
      </c>
      <c r="K45" s="50">
        <v>2</v>
      </c>
      <c r="L45" s="50">
        <v>14</v>
      </c>
      <c r="M45" s="50">
        <v>305</v>
      </c>
      <c r="N45" s="50">
        <v>0</v>
      </c>
      <c r="O45" s="15">
        <f t="shared" si="0"/>
        <v>223</v>
      </c>
      <c r="P45" s="15">
        <f t="shared" si="1"/>
        <v>528</v>
      </c>
    </row>
    <row r="46" spans="2:20" ht="23.1" customHeight="1" x14ac:dyDescent="0.25">
      <c r="B46" s="24" t="s">
        <v>73</v>
      </c>
      <c r="C46" s="50">
        <v>99</v>
      </c>
      <c r="D46" s="50">
        <v>38</v>
      </c>
      <c r="E46" s="50">
        <v>19</v>
      </c>
      <c r="F46" s="50">
        <v>58</v>
      </c>
      <c r="G46" s="50">
        <v>1</v>
      </c>
      <c r="H46" s="50">
        <v>0</v>
      </c>
      <c r="I46" s="50">
        <v>13</v>
      </c>
      <c r="J46" s="50">
        <v>4</v>
      </c>
      <c r="K46" s="50">
        <v>3</v>
      </c>
      <c r="L46" s="50">
        <v>10</v>
      </c>
      <c r="M46" s="50">
        <v>450</v>
      </c>
      <c r="N46" s="50">
        <v>0</v>
      </c>
      <c r="O46" s="15">
        <f t="shared" si="0"/>
        <v>245</v>
      </c>
      <c r="P46" s="15">
        <f t="shared" si="1"/>
        <v>695</v>
      </c>
      <c r="R46" s="8"/>
      <c r="T46"/>
    </row>
    <row r="47" spans="2:20" ht="23.1" customHeight="1" x14ac:dyDescent="0.25">
      <c r="B47" s="24" t="s">
        <v>74</v>
      </c>
      <c r="C47" s="50">
        <v>94</v>
      </c>
      <c r="D47" s="50">
        <v>34</v>
      </c>
      <c r="E47" s="50">
        <v>24</v>
      </c>
      <c r="F47" s="50">
        <v>55</v>
      </c>
      <c r="G47" s="50">
        <v>2</v>
      </c>
      <c r="H47" s="50">
        <v>0</v>
      </c>
      <c r="I47" s="50">
        <v>11</v>
      </c>
      <c r="J47" s="50">
        <v>6</v>
      </c>
      <c r="K47" s="50">
        <v>1</v>
      </c>
      <c r="L47" s="50">
        <v>13</v>
      </c>
      <c r="M47" s="50">
        <v>310</v>
      </c>
      <c r="N47" s="50">
        <v>0</v>
      </c>
      <c r="O47" s="15">
        <f t="shared" si="0"/>
        <v>240</v>
      </c>
      <c r="P47" s="15">
        <f t="shared" si="1"/>
        <v>550</v>
      </c>
      <c r="R47" s="8"/>
      <c r="T47"/>
    </row>
    <row r="48" spans="2:20" ht="23.1" customHeight="1" x14ac:dyDescent="0.25">
      <c r="B48" s="24" t="s">
        <v>75</v>
      </c>
      <c r="C48" s="50">
        <v>101</v>
      </c>
      <c r="D48" s="50">
        <v>34</v>
      </c>
      <c r="E48" s="50">
        <v>24</v>
      </c>
      <c r="F48" s="50">
        <v>83</v>
      </c>
      <c r="G48" s="50">
        <v>1</v>
      </c>
      <c r="H48" s="50">
        <v>1</v>
      </c>
      <c r="I48" s="50">
        <v>11</v>
      </c>
      <c r="J48" s="50">
        <v>8</v>
      </c>
      <c r="K48" s="50">
        <v>3</v>
      </c>
      <c r="L48" s="50">
        <v>6</v>
      </c>
      <c r="M48" s="50">
        <v>220</v>
      </c>
      <c r="N48" s="50">
        <v>0</v>
      </c>
      <c r="O48" s="15">
        <f t="shared" si="0"/>
        <v>272</v>
      </c>
      <c r="P48" s="15">
        <f t="shared" si="1"/>
        <v>492</v>
      </c>
      <c r="R48" s="8"/>
      <c r="T48"/>
    </row>
    <row r="49" spans="2:20" ht="23.1" customHeight="1" x14ac:dyDescent="0.25">
      <c r="B49" s="23" t="s">
        <v>76</v>
      </c>
      <c r="C49" s="50">
        <v>105</v>
      </c>
      <c r="D49" s="50">
        <v>41</v>
      </c>
      <c r="E49" s="50">
        <v>34</v>
      </c>
      <c r="F49" s="50">
        <v>42</v>
      </c>
      <c r="G49" s="50">
        <v>1</v>
      </c>
      <c r="H49" s="50">
        <v>0</v>
      </c>
      <c r="I49" s="50">
        <v>8</v>
      </c>
      <c r="J49" s="50">
        <v>9</v>
      </c>
      <c r="K49" s="50">
        <v>1</v>
      </c>
      <c r="L49" s="50">
        <v>11</v>
      </c>
      <c r="M49" s="50">
        <v>325</v>
      </c>
      <c r="N49" s="50">
        <v>0</v>
      </c>
      <c r="O49" s="15">
        <f t="shared" si="0"/>
        <v>252</v>
      </c>
      <c r="P49" s="15">
        <f t="shared" si="1"/>
        <v>577</v>
      </c>
      <c r="R49" s="8"/>
      <c r="T49"/>
    </row>
    <row r="50" spans="2:20" ht="23.1" customHeight="1" x14ac:dyDescent="0.25">
      <c r="B50" s="24" t="s">
        <v>77</v>
      </c>
      <c r="C50" s="50">
        <v>112</v>
      </c>
      <c r="D50" s="50">
        <v>50</v>
      </c>
      <c r="E50" s="50">
        <v>30</v>
      </c>
      <c r="F50" s="50">
        <v>53</v>
      </c>
      <c r="G50" s="50">
        <v>2</v>
      </c>
      <c r="H50" s="50">
        <v>1</v>
      </c>
      <c r="I50" s="50">
        <v>8</v>
      </c>
      <c r="J50" s="50">
        <v>7</v>
      </c>
      <c r="K50" s="50">
        <v>5</v>
      </c>
      <c r="L50" s="50">
        <v>5</v>
      </c>
      <c r="M50" s="50">
        <v>360</v>
      </c>
      <c r="N50" s="50">
        <v>0</v>
      </c>
      <c r="O50" s="15">
        <f t="shared" si="0"/>
        <v>273</v>
      </c>
      <c r="P50" s="15">
        <f t="shared" si="1"/>
        <v>633</v>
      </c>
      <c r="R50" s="8"/>
      <c r="T50"/>
    </row>
    <row r="51" spans="2:20" ht="23.1" customHeight="1" x14ac:dyDescent="0.25">
      <c r="B51" s="24" t="s">
        <v>78</v>
      </c>
      <c r="C51" s="50">
        <v>100</v>
      </c>
      <c r="D51" s="50">
        <v>44</v>
      </c>
      <c r="E51" s="50">
        <v>26</v>
      </c>
      <c r="F51" s="50">
        <v>39</v>
      </c>
      <c r="G51" s="50">
        <v>3</v>
      </c>
      <c r="H51" s="50">
        <v>0</v>
      </c>
      <c r="I51" s="50">
        <v>6</v>
      </c>
      <c r="J51" s="50">
        <v>5</v>
      </c>
      <c r="K51" s="50">
        <v>0</v>
      </c>
      <c r="L51" s="50">
        <v>1</v>
      </c>
      <c r="M51" s="50">
        <v>320</v>
      </c>
      <c r="N51" s="50">
        <v>0</v>
      </c>
      <c r="O51" s="15">
        <f t="shared" si="0"/>
        <v>224</v>
      </c>
      <c r="P51" s="15">
        <f t="shared" si="1"/>
        <v>544</v>
      </c>
      <c r="R51" s="8"/>
      <c r="T51"/>
    </row>
    <row r="52" spans="2:20" ht="23.1" customHeight="1" x14ac:dyDescent="0.25">
      <c r="B52" s="24" t="s">
        <v>79</v>
      </c>
      <c r="C52" s="50">
        <v>94</v>
      </c>
      <c r="D52" s="50">
        <v>45</v>
      </c>
      <c r="E52" s="50">
        <v>20</v>
      </c>
      <c r="F52" s="50">
        <v>42</v>
      </c>
      <c r="G52" s="50">
        <v>0</v>
      </c>
      <c r="H52" s="50">
        <v>0</v>
      </c>
      <c r="I52" s="50">
        <v>9</v>
      </c>
      <c r="J52" s="50">
        <v>6</v>
      </c>
      <c r="K52" s="50">
        <v>0</v>
      </c>
      <c r="L52" s="50">
        <v>8</v>
      </c>
      <c r="M52" s="50">
        <v>230</v>
      </c>
      <c r="N52" s="50">
        <v>0</v>
      </c>
      <c r="O52" s="15">
        <f t="shared" si="0"/>
        <v>224</v>
      </c>
      <c r="P52" s="15">
        <f t="shared" si="1"/>
        <v>454</v>
      </c>
      <c r="R52" s="8"/>
      <c r="T52"/>
    </row>
    <row r="53" spans="2:20" ht="23.1" customHeight="1" x14ac:dyDescent="0.25">
      <c r="B53" s="23" t="s">
        <v>80</v>
      </c>
      <c r="C53" s="50">
        <v>140</v>
      </c>
      <c r="D53" s="50">
        <v>55</v>
      </c>
      <c r="E53" s="50">
        <v>31</v>
      </c>
      <c r="F53" s="50">
        <v>50</v>
      </c>
      <c r="G53" s="50">
        <v>0</v>
      </c>
      <c r="H53" s="50">
        <v>0</v>
      </c>
      <c r="I53" s="50">
        <v>8</v>
      </c>
      <c r="J53" s="50">
        <v>2</v>
      </c>
      <c r="K53" s="50">
        <v>1</v>
      </c>
      <c r="L53" s="50">
        <v>6</v>
      </c>
      <c r="M53" s="50">
        <v>285</v>
      </c>
      <c r="N53" s="50">
        <v>0</v>
      </c>
      <c r="O53" s="15">
        <f t="shared" si="0"/>
        <v>293</v>
      </c>
      <c r="P53" s="15">
        <f t="shared" si="1"/>
        <v>578</v>
      </c>
      <c r="R53" s="8"/>
      <c r="T53"/>
    </row>
    <row r="54" spans="2:20" ht="23.1" customHeight="1" x14ac:dyDescent="0.25">
      <c r="B54" s="23" t="s">
        <v>81</v>
      </c>
      <c r="C54" s="50">
        <v>130</v>
      </c>
      <c r="D54" s="50">
        <v>64</v>
      </c>
      <c r="E54" s="50">
        <v>39</v>
      </c>
      <c r="F54" s="50">
        <v>41</v>
      </c>
      <c r="G54" s="50">
        <v>1</v>
      </c>
      <c r="H54" s="50">
        <v>2</v>
      </c>
      <c r="I54" s="50">
        <v>7</v>
      </c>
      <c r="J54" s="50">
        <v>4</v>
      </c>
      <c r="K54" s="50">
        <v>0</v>
      </c>
      <c r="L54" s="50">
        <v>1</v>
      </c>
      <c r="M54" s="50">
        <v>360</v>
      </c>
      <c r="N54" s="50">
        <v>0</v>
      </c>
      <c r="O54" s="15">
        <f t="shared" si="0"/>
        <v>289</v>
      </c>
      <c r="P54" s="15">
        <f t="shared" si="1"/>
        <v>649</v>
      </c>
      <c r="R54" s="8"/>
      <c r="T54"/>
    </row>
    <row r="55" spans="2:20" ht="23.1" customHeight="1" x14ac:dyDescent="0.25">
      <c r="B55" s="23" t="s">
        <v>82</v>
      </c>
      <c r="C55" s="50">
        <v>170</v>
      </c>
      <c r="D55" s="50">
        <v>79</v>
      </c>
      <c r="E55" s="50">
        <v>47</v>
      </c>
      <c r="F55" s="50">
        <v>52</v>
      </c>
      <c r="G55" s="50">
        <v>3</v>
      </c>
      <c r="H55" s="50">
        <v>0</v>
      </c>
      <c r="I55" s="50">
        <v>5</v>
      </c>
      <c r="J55" s="50">
        <v>7</v>
      </c>
      <c r="K55" s="50">
        <v>0</v>
      </c>
      <c r="L55" s="50">
        <v>1</v>
      </c>
      <c r="M55" s="50">
        <v>275</v>
      </c>
      <c r="N55" s="50">
        <v>0</v>
      </c>
      <c r="O55" s="15">
        <f t="shared" si="0"/>
        <v>364</v>
      </c>
      <c r="P55" s="15">
        <f t="shared" si="1"/>
        <v>639</v>
      </c>
      <c r="R55" s="8"/>
      <c r="T55"/>
    </row>
    <row r="56" spans="2:20" ht="23.1" customHeight="1" x14ac:dyDescent="0.25">
      <c r="B56" s="23" t="s">
        <v>83</v>
      </c>
      <c r="C56" s="50">
        <v>160</v>
      </c>
      <c r="D56" s="50">
        <v>83</v>
      </c>
      <c r="E56" s="50">
        <v>39</v>
      </c>
      <c r="F56" s="50">
        <v>54</v>
      </c>
      <c r="G56" s="50">
        <v>3</v>
      </c>
      <c r="H56" s="50">
        <v>0</v>
      </c>
      <c r="I56" s="50">
        <v>10</v>
      </c>
      <c r="J56" s="50">
        <v>10</v>
      </c>
      <c r="K56" s="50">
        <v>0</v>
      </c>
      <c r="L56" s="50">
        <v>2</v>
      </c>
      <c r="M56" s="50">
        <v>260</v>
      </c>
      <c r="N56" s="50">
        <v>0</v>
      </c>
      <c r="O56" s="15">
        <f t="shared" si="0"/>
        <v>361</v>
      </c>
      <c r="P56" s="15">
        <f t="shared" si="1"/>
        <v>621</v>
      </c>
      <c r="R56" s="8"/>
      <c r="T56"/>
    </row>
    <row r="57" spans="2:20" ht="23.1" customHeight="1" x14ac:dyDescent="0.25">
      <c r="B57" s="23" t="s">
        <v>84</v>
      </c>
      <c r="C57" s="50">
        <v>168</v>
      </c>
      <c r="D57" s="50">
        <v>88</v>
      </c>
      <c r="E57" s="50">
        <v>47</v>
      </c>
      <c r="F57" s="50">
        <v>65</v>
      </c>
      <c r="G57" s="50">
        <v>4</v>
      </c>
      <c r="H57" s="50">
        <v>0</v>
      </c>
      <c r="I57" s="50">
        <v>3</v>
      </c>
      <c r="J57" s="50">
        <v>3</v>
      </c>
      <c r="K57" s="50">
        <v>0</v>
      </c>
      <c r="L57" s="50">
        <v>3</v>
      </c>
      <c r="M57" s="50">
        <v>350</v>
      </c>
      <c r="N57" s="50">
        <v>0</v>
      </c>
      <c r="O57" s="15">
        <f t="shared" si="0"/>
        <v>381</v>
      </c>
      <c r="P57" s="15">
        <f t="shared" si="1"/>
        <v>731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3321</v>
      </c>
      <c r="D58" s="16">
        <f t="shared" si="21"/>
        <v>1362</v>
      </c>
      <c r="E58" s="16">
        <f t="shared" si="21"/>
        <v>786</v>
      </c>
      <c r="F58" s="16">
        <f t="shared" si="21"/>
        <v>2658</v>
      </c>
      <c r="G58" s="16">
        <f t="shared" si="21"/>
        <v>117</v>
      </c>
      <c r="H58" s="16">
        <f t="shared" si="21"/>
        <v>24</v>
      </c>
      <c r="I58" s="16">
        <f t="shared" si="21"/>
        <v>390</v>
      </c>
      <c r="J58" s="16">
        <f t="shared" si="21"/>
        <v>231</v>
      </c>
      <c r="K58" s="16">
        <f t="shared" si="21"/>
        <v>69</v>
      </c>
      <c r="L58" s="16">
        <f t="shared" si="21"/>
        <v>233</v>
      </c>
      <c r="M58" s="16">
        <f t="shared" si="21"/>
        <v>15372</v>
      </c>
      <c r="N58" s="16">
        <f t="shared" si="21"/>
        <v>0</v>
      </c>
      <c r="O58" s="16">
        <f t="shared" si="21"/>
        <v>9191</v>
      </c>
      <c r="P58" s="16">
        <f t="shared" si="21"/>
        <v>24563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0.13520335463909131</v>
      </c>
      <c r="D59" s="43">
        <f t="shared" si="22"/>
        <v>5.544925294141595E-2</v>
      </c>
      <c r="E59" s="43">
        <f t="shared" si="22"/>
        <v>3.1999348613768679E-2</v>
      </c>
      <c r="F59" s="43">
        <f t="shared" si="22"/>
        <v>0.10821153767862232</v>
      </c>
      <c r="G59" s="43">
        <f t="shared" si="22"/>
        <v>4.7632618165533522E-3</v>
      </c>
      <c r="H59" s="43">
        <f t="shared" si="22"/>
        <v>9.7707934698530318E-4</v>
      </c>
      <c r="I59" s="43">
        <f t="shared" si="22"/>
        <v>1.5877539388511174E-2</v>
      </c>
      <c r="J59" s="43">
        <f t="shared" si="22"/>
        <v>9.4043887147335428E-3</v>
      </c>
      <c r="K59" s="43">
        <f t="shared" si="22"/>
        <v>2.8091031225827463E-3</v>
      </c>
      <c r="L59" s="43">
        <f t="shared" si="22"/>
        <v>9.4858119936489845E-3</v>
      </c>
      <c r="M59" s="43">
        <f t="shared" si="22"/>
        <v>0.62581932174408661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0.36133173756936132</v>
      </c>
      <c r="D60" s="44">
        <f t="shared" ref="D60:N60" si="23">D58/$O$58</f>
        <v>0.1481884452181482</v>
      </c>
      <c r="E60" s="44">
        <f t="shared" si="23"/>
        <v>8.551844195408552E-2</v>
      </c>
      <c r="F60" s="44">
        <f t="shared" si="23"/>
        <v>0.28919595256228919</v>
      </c>
      <c r="G60" s="44">
        <f t="shared" si="23"/>
        <v>1.272984441301273E-2</v>
      </c>
      <c r="H60" s="44">
        <f t="shared" si="23"/>
        <v>2.6112501360026114E-3</v>
      </c>
      <c r="I60" s="44">
        <f t="shared" si="23"/>
        <v>4.2432814710042434E-2</v>
      </c>
      <c r="J60" s="44">
        <f t="shared" si="23"/>
        <v>2.5133282559025132E-2</v>
      </c>
      <c r="K60" s="44">
        <f t="shared" si="23"/>
        <v>7.5073441410075077E-3</v>
      </c>
      <c r="L60" s="44">
        <f t="shared" si="23"/>
        <v>2.535088673702535E-2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40" zoomScaleSheetLayoutView="40" workbookViewId="0">
      <selection activeCell="C50" sqref="C5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Kyambogo-Spear Motors'!C3:G3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Spear Motors-Kyambogo'!D5</f>
        <v>02.08.19</v>
      </c>
      <c r="E5" s="3"/>
      <c r="F5" s="41" t="s">
        <v>1</v>
      </c>
      <c r="G5" s="63" t="str">
        <f>'02.08 Spear Motors-Kyambogo'!G5:H5</f>
        <v>PEPSI UGANDA</v>
      </c>
      <c r="H5" s="64"/>
      <c r="I5" s="14"/>
      <c r="J5" s="2" t="s">
        <v>5</v>
      </c>
      <c r="K5" s="63" t="str">
        <f>'02.08 Spear Motors-Kyambogo'!K5:L5</f>
        <v>WACHOMI R/GALABUZI R./MBAHA J/ASHABA K/LUBEGA S/KIKUMBAD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Kyambogo-Spear Motors'!D6:E6</f>
        <v>KYAMBOGO</v>
      </c>
      <c r="E6" s="64"/>
      <c r="F6" s="2" t="s">
        <v>2</v>
      </c>
      <c r="G6" s="63" t="str">
        <f>'29.07 Kyambogo-Spear Motors'!G6:H6</f>
        <v>SPEAR MOTORS</v>
      </c>
      <c r="H6" s="64"/>
      <c r="J6" s="2" t="s">
        <v>21</v>
      </c>
      <c r="K6" s="63" t="str">
        <f>'02.08 Spear Motors-Kyambogo'!K6:L6</f>
        <v>ANDREW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114</v>
      </c>
      <c r="D10" s="50">
        <v>25</v>
      </c>
      <c r="E10" s="50">
        <v>11</v>
      </c>
      <c r="F10" s="50">
        <v>78</v>
      </c>
      <c r="G10" s="50">
        <v>6</v>
      </c>
      <c r="H10" s="50">
        <v>0</v>
      </c>
      <c r="I10" s="50">
        <v>5</v>
      </c>
      <c r="J10" s="50">
        <v>2</v>
      </c>
      <c r="K10" s="50">
        <v>1</v>
      </c>
      <c r="L10" s="50">
        <v>9</v>
      </c>
      <c r="M10" s="50">
        <v>265</v>
      </c>
      <c r="N10" s="50">
        <v>0</v>
      </c>
      <c r="O10" s="15">
        <f t="shared" ref="O10:O57" si="0">SUM(C10:L10,N10)</f>
        <v>251</v>
      </c>
      <c r="P10" s="15">
        <f t="shared" ref="P10:P57" si="1">SUM(C10:N10)</f>
        <v>516</v>
      </c>
      <c r="R10" s="1" t="s">
        <v>6</v>
      </c>
      <c r="S10" s="17">
        <f t="shared" ref="S10:AF10" si="2">SUM(C10:C13)</f>
        <v>727</v>
      </c>
      <c r="T10" s="17">
        <f t="shared" si="2"/>
        <v>78</v>
      </c>
      <c r="U10" s="17">
        <f t="shared" si="2"/>
        <v>60</v>
      </c>
      <c r="V10" s="17">
        <f t="shared" si="2"/>
        <v>264</v>
      </c>
      <c r="W10" s="17">
        <f t="shared" si="2"/>
        <v>22</v>
      </c>
      <c r="X10" s="17">
        <f t="shared" si="2"/>
        <v>1</v>
      </c>
      <c r="Y10" s="17">
        <f t="shared" si="2"/>
        <v>22</v>
      </c>
      <c r="Z10" s="17">
        <f t="shared" si="2"/>
        <v>5</v>
      </c>
      <c r="AA10" s="17">
        <f t="shared" si="2"/>
        <v>8</v>
      </c>
      <c r="AB10" s="17">
        <f t="shared" si="2"/>
        <v>13</v>
      </c>
      <c r="AC10" s="17">
        <f t="shared" si="2"/>
        <v>1768</v>
      </c>
      <c r="AD10" s="17">
        <f t="shared" si="2"/>
        <v>0</v>
      </c>
      <c r="AE10" s="31">
        <f t="shared" si="2"/>
        <v>1200</v>
      </c>
      <c r="AF10" s="31">
        <f t="shared" si="2"/>
        <v>2968</v>
      </c>
    </row>
    <row r="11" spans="2:32" s="6" customFormat="1" ht="23.1" customHeight="1" x14ac:dyDescent="0.25">
      <c r="B11" s="23" t="s">
        <v>38</v>
      </c>
      <c r="C11" s="50">
        <v>212</v>
      </c>
      <c r="D11" s="50">
        <v>16</v>
      </c>
      <c r="E11" s="50">
        <v>19</v>
      </c>
      <c r="F11" s="50">
        <v>73</v>
      </c>
      <c r="G11" s="50">
        <v>8</v>
      </c>
      <c r="H11" s="50">
        <v>1</v>
      </c>
      <c r="I11" s="50">
        <v>8</v>
      </c>
      <c r="J11" s="50">
        <v>0</v>
      </c>
      <c r="K11" s="50">
        <v>1</v>
      </c>
      <c r="L11" s="50">
        <v>3</v>
      </c>
      <c r="M11" s="50">
        <v>425</v>
      </c>
      <c r="N11" s="50">
        <v>0</v>
      </c>
      <c r="O11" s="15">
        <f t="shared" si="0"/>
        <v>341</v>
      </c>
      <c r="P11" s="15">
        <f t="shared" si="1"/>
        <v>766</v>
      </c>
      <c r="R11" s="1" t="s">
        <v>7</v>
      </c>
      <c r="S11" s="17">
        <f t="shared" ref="S11:AF11" si="3">SUM(C14:C17)</f>
        <v>523</v>
      </c>
      <c r="T11" s="17">
        <f t="shared" si="3"/>
        <v>181</v>
      </c>
      <c r="U11" s="17">
        <f t="shared" si="3"/>
        <v>240</v>
      </c>
      <c r="V11" s="17">
        <f t="shared" si="3"/>
        <v>288</v>
      </c>
      <c r="W11" s="17">
        <f t="shared" si="3"/>
        <v>8</v>
      </c>
      <c r="X11" s="17">
        <f t="shared" si="3"/>
        <v>0</v>
      </c>
      <c r="Y11" s="17">
        <f t="shared" si="3"/>
        <v>20</v>
      </c>
      <c r="Z11" s="17">
        <f t="shared" si="3"/>
        <v>5</v>
      </c>
      <c r="AA11" s="17">
        <f t="shared" si="3"/>
        <v>4</v>
      </c>
      <c r="AB11" s="17">
        <f t="shared" si="3"/>
        <v>7</v>
      </c>
      <c r="AC11" s="17">
        <f t="shared" si="3"/>
        <v>2090</v>
      </c>
      <c r="AD11" s="17">
        <f t="shared" si="3"/>
        <v>0</v>
      </c>
      <c r="AE11" s="31">
        <f t="shared" si="3"/>
        <v>1276</v>
      </c>
      <c r="AF11" s="31">
        <f t="shared" si="3"/>
        <v>3366</v>
      </c>
    </row>
    <row r="12" spans="2:32" ht="23.1" customHeight="1" x14ac:dyDescent="0.25">
      <c r="B12" s="23" t="s">
        <v>39</v>
      </c>
      <c r="C12" s="50">
        <v>201</v>
      </c>
      <c r="D12" s="50">
        <v>24</v>
      </c>
      <c r="E12" s="50">
        <v>13</v>
      </c>
      <c r="F12" s="50">
        <v>57</v>
      </c>
      <c r="G12" s="50">
        <v>6</v>
      </c>
      <c r="H12" s="50">
        <v>0</v>
      </c>
      <c r="I12" s="50">
        <v>7</v>
      </c>
      <c r="J12" s="50">
        <v>1</v>
      </c>
      <c r="K12" s="50">
        <v>1</v>
      </c>
      <c r="L12" s="50">
        <v>1</v>
      </c>
      <c r="M12" s="50">
        <v>510</v>
      </c>
      <c r="N12" s="50">
        <v>0</v>
      </c>
      <c r="O12" s="15">
        <f t="shared" si="0"/>
        <v>311</v>
      </c>
      <c r="P12" s="15">
        <f t="shared" si="1"/>
        <v>821</v>
      </c>
      <c r="R12" s="1" t="s">
        <v>8</v>
      </c>
      <c r="S12" s="17">
        <f t="shared" ref="S12:AF12" si="4">SUM(C18:C21)</f>
        <v>444</v>
      </c>
      <c r="T12" s="17">
        <f t="shared" si="4"/>
        <v>194</v>
      </c>
      <c r="U12" s="17">
        <f t="shared" si="4"/>
        <v>138</v>
      </c>
      <c r="V12" s="17">
        <f t="shared" si="4"/>
        <v>211</v>
      </c>
      <c r="W12" s="17">
        <f t="shared" si="4"/>
        <v>3</v>
      </c>
      <c r="X12" s="17">
        <f t="shared" si="4"/>
        <v>1</v>
      </c>
      <c r="Y12" s="17">
        <f t="shared" si="4"/>
        <v>23</v>
      </c>
      <c r="Z12" s="17">
        <f t="shared" si="4"/>
        <v>8</v>
      </c>
      <c r="AA12" s="17">
        <f t="shared" si="4"/>
        <v>6</v>
      </c>
      <c r="AB12" s="17">
        <f t="shared" si="4"/>
        <v>15</v>
      </c>
      <c r="AC12" s="17">
        <f t="shared" si="4"/>
        <v>1790</v>
      </c>
      <c r="AD12" s="17">
        <f t="shared" si="4"/>
        <v>0</v>
      </c>
      <c r="AE12" s="31">
        <f t="shared" si="4"/>
        <v>1043</v>
      </c>
      <c r="AF12" s="31">
        <f t="shared" si="4"/>
        <v>2833</v>
      </c>
    </row>
    <row r="13" spans="2:32" ht="23.1" customHeight="1" x14ac:dyDescent="0.25">
      <c r="B13" s="23" t="s">
        <v>40</v>
      </c>
      <c r="C13" s="50">
        <v>200</v>
      </c>
      <c r="D13" s="50">
        <v>13</v>
      </c>
      <c r="E13" s="50">
        <v>17</v>
      </c>
      <c r="F13" s="50">
        <v>56</v>
      </c>
      <c r="G13" s="50">
        <v>2</v>
      </c>
      <c r="H13" s="50">
        <v>0</v>
      </c>
      <c r="I13" s="50">
        <v>2</v>
      </c>
      <c r="J13" s="50">
        <v>2</v>
      </c>
      <c r="K13" s="50">
        <v>5</v>
      </c>
      <c r="L13" s="50">
        <v>0</v>
      </c>
      <c r="M13" s="50">
        <v>568</v>
      </c>
      <c r="N13" s="50">
        <v>0</v>
      </c>
      <c r="O13" s="15">
        <f t="shared" si="0"/>
        <v>297</v>
      </c>
      <c r="P13" s="15">
        <f t="shared" si="1"/>
        <v>865</v>
      </c>
      <c r="R13" s="1" t="s">
        <v>9</v>
      </c>
      <c r="S13" s="17">
        <f t="shared" ref="S13:AF13" si="5">SUM(C22:C25)</f>
        <v>326</v>
      </c>
      <c r="T13" s="17">
        <f t="shared" si="5"/>
        <v>146</v>
      </c>
      <c r="U13" s="17">
        <f t="shared" si="5"/>
        <v>150</v>
      </c>
      <c r="V13" s="17">
        <f t="shared" si="5"/>
        <v>195</v>
      </c>
      <c r="W13" s="17">
        <f t="shared" si="5"/>
        <v>7</v>
      </c>
      <c r="X13" s="17">
        <f t="shared" si="5"/>
        <v>1</v>
      </c>
      <c r="Y13" s="17">
        <f t="shared" si="5"/>
        <v>17</v>
      </c>
      <c r="Z13" s="17">
        <f t="shared" si="5"/>
        <v>10</v>
      </c>
      <c r="AA13" s="17">
        <f t="shared" si="5"/>
        <v>4</v>
      </c>
      <c r="AB13" s="17">
        <f t="shared" si="5"/>
        <v>13</v>
      </c>
      <c r="AC13" s="17">
        <f t="shared" si="5"/>
        <v>1315</v>
      </c>
      <c r="AD13" s="17">
        <f t="shared" si="5"/>
        <v>0</v>
      </c>
      <c r="AE13" s="31">
        <f t="shared" si="5"/>
        <v>869</v>
      </c>
      <c r="AF13" s="31">
        <f t="shared" si="5"/>
        <v>2184</v>
      </c>
    </row>
    <row r="14" spans="2:32" ht="23.1" customHeight="1" x14ac:dyDescent="0.25">
      <c r="B14" s="23" t="s">
        <v>41</v>
      </c>
      <c r="C14" s="50">
        <v>258</v>
      </c>
      <c r="D14" s="50">
        <v>31</v>
      </c>
      <c r="E14" s="50">
        <v>26</v>
      </c>
      <c r="F14" s="50">
        <v>120</v>
      </c>
      <c r="G14" s="50">
        <v>4</v>
      </c>
      <c r="H14" s="50">
        <v>0</v>
      </c>
      <c r="I14" s="50">
        <v>5</v>
      </c>
      <c r="J14" s="50">
        <v>1</v>
      </c>
      <c r="K14" s="50">
        <v>1</v>
      </c>
      <c r="L14" s="50">
        <v>1</v>
      </c>
      <c r="M14" s="50">
        <v>575</v>
      </c>
      <c r="N14" s="50">
        <v>0</v>
      </c>
      <c r="O14" s="15">
        <f t="shared" si="0"/>
        <v>447</v>
      </c>
      <c r="P14" s="15">
        <f t="shared" si="1"/>
        <v>1022</v>
      </c>
      <c r="R14" s="1" t="s">
        <v>10</v>
      </c>
      <c r="S14" s="17">
        <f t="shared" ref="S14:AF14" si="6">SUM(C26:C29)</f>
        <v>197</v>
      </c>
      <c r="T14" s="17">
        <f t="shared" si="6"/>
        <v>121</v>
      </c>
      <c r="U14" s="17">
        <f t="shared" si="6"/>
        <v>48</v>
      </c>
      <c r="V14" s="17">
        <f t="shared" si="6"/>
        <v>212</v>
      </c>
      <c r="W14" s="17">
        <f t="shared" si="6"/>
        <v>7</v>
      </c>
      <c r="X14" s="17">
        <f t="shared" si="6"/>
        <v>4</v>
      </c>
      <c r="Y14" s="17">
        <f t="shared" si="6"/>
        <v>31</v>
      </c>
      <c r="Z14" s="17">
        <f t="shared" si="6"/>
        <v>10</v>
      </c>
      <c r="AA14" s="17">
        <f t="shared" si="6"/>
        <v>8</v>
      </c>
      <c r="AB14" s="17">
        <f t="shared" si="6"/>
        <v>19</v>
      </c>
      <c r="AC14" s="17">
        <f t="shared" si="6"/>
        <v>1020</v>
      </c>
      <c r="AD14" s="17">
        <f t="shared" si="6"/>
        <v>0</v>
      </c>
      <c r="AE14" s="31">
        <f t="shared" si="6"/>
        <v>657</v>
      </c>
      <c r="AF14" s="31">
        <f t="shared" si="6"/>
        <v>1677</v>
      </c>
    </row>
    <row r="15" spans="2:32" ht="23.1" customHeight="1" x14ac:dyDescent="0.25">
      <c r="B15" s="23" t="s">
        <v>42</v>
      </c>
      <c r="C15" s="50">
        <v>100</v>
      </c>
      <c r="D15" s="50">
        <v>55</v>
      </c>
      <c r="E15" s="50">
        <v>45</v>
      </c>
      <c r="F15" s="50">
        <v>40</v>
      </c>
      <c r="G15" s="50">
        <v>1</v>
      </c>
      <c r="H15" s="50">
        <v>0</v>
      </c>
      <c r="I15" s="50">
        <v>2</v>
      </c>
      <c r="J15" s="50">
        <v>0</v>
      </c>
      <c r="K15" s="50"/>
      <c r="L15" s="50">
        <v>1</v>
      </c>
      <c r="M15" s="50">
        <v>510</v>
      </c>
      <c r="N15" s="50">
        <v>0</v>
      </c>
      <c r="O15" s="15">
        <f t="shared" si="0"/>
        <v>244</v>
      </c>
      <c r="P15" s="15">
        <f t="shared" si="1"/>
        <v>754</v>
      </c>
      <c r="R15" s="1" t="s">
        <v>11</v>
      </c>
      <c r="S15" s="17">
        <f t="shared" ref="S15:AF15" si="7">SUM(C30:C33)</f>
        <v>142</v>
      </c>
      <c r="T15" s="17">
        <f t="shared" si="7"/>
        <v>103</v>
      </c>
      <c r="U15" s="17">
        <f t="shared" si="7"/>
        <v>21</v>
      </c>
      <c r="V15" s="17">
        <f t="shared" si="7"/>
        <v>173</v>
      </c>
      <c r="W15" s="17">
        <f t="shared" si="7"/>
        <v>8</v>
      </c>
      <c r="X15" s="17">
        <f t="shared" si="7"/>
        <v>2</v>
      </c>
      <c r="Y15" s="17">
        <f t="shared" si="7"/>
        <v>25</v>
      </c>
      <c r="Z15" s="17">
        <f t="shared" si="7"/>
        <v>10</v>
      </c>
      <c r="AA15" s="17">
        <f t="shared" si="7"/>
        <v>11</v>
      </c>
      <c r="AB15" s="17">
        <f t="shared" si="7"/>
        <v>16</v>
      </c>
      <c r="AC15" s="17">
        <f t="shared" si="7"/>
        <v>1135</v>
      </c>
      <c r="AD15" s="17">
        <f t="shared" si="7"/>
        <v>0</v>
      </c>
      <c r="AE15" s="31">
        <f t="shared" si="7"/>
        <v>511</v>
      </c>
      <c r="AF15" s="31">
        <f t="shared" si="7"/>
        <v>1646</v>
      </c>
    </row>
    <row r="16" spans="2:32" ht="23.1" customHeight="1" x14ac:dyDescent="0.25">
      <c r="B16" s="23" t="s">
        <v>43</v>
      </c>
      <c r="C16" s="50">
        <v>120</v>
      </c>
      <c r="D16" s="50">
        <v>52</v>
      </c>
      <c r="E16" s="50">
        <v>46</v>
      </c>
      <c r="F16" s="50">
        <v>65</v>
      </c>
      <c r="G16" s="50">
        <v>1</v>
      </c>
      <c r="H16" s="50">
        <v>0</v>
      </c>
      <c r="I16" s="50">
        <v>6</v>
      </c>
      <c r="J16" s="50">
        <v>3</v>
      </c>
      <c r="K16" s="50">
        <v>1</v>
      </c>
      <c r="L16" s="50">
        <v>2</v>
      </c>
      <c r="M16" s="50">
        <v>530</v>
      </c>
      <c r="N16" s="50">
        <v>0</v>
      </c>
      <c r="O16" s="15">
        <f t="shared" si="0"/>
        <v>296</v>
      </c>
      <c r="P16" s="15">
        <f t="shared" si="1"/>
        <v>826</v>
      </c>
      <c r="R16" s="1" t="s">
        <v>12</v>
      </c>
      <c r="S16" s="17">
        <f t="shared" ref="S16:AF16" si="8">SUM(C34:C37)</f>
        <v>131</v>
      </c>
      <c r="T16" s="17">
        <f t="shared" si="8"/>
        <v>136</v>
      </c>
      <c r="U16" s="17">
        <f t="shared" si="8"/>
        <v>65</v>
      </c>
      <c r="V16" s="17">
        <f t="shared" si="8"/>
        <v>172</v>
      </c>
      <c r="W16" s="17">
        <f t="shared" si="8"/>
        <v>10</v>
      </c>
      <c r="X16" s="17">
        <f t="shared" si="8"/>
        <v>2</v>
      </c>
      <c r="Y16" s="17">
        <f t="shared" si="8"/>
        <v>29</v>
      </c>
      <c r="Z16" s="17">
        <f t="shared" si="8"/>
        <v>12</v>
      </c>
      <c r="AA16" s="17">
        <f t="shared" si="8"/>
        <v>5</v>
      </c>
      <c r="AB16" s="17">
        <f t="shared" si="8"/>
        <v>19</v>
      </c>
      <c r="AC16" s="17">
        <f t="shared" si="8"/>
        <v>825</v>
      </c>
      <c r="AD16" s="17">
        <f t="shared" si="8"/>
        <v>0</v>
      </c>
      <c r="AE16" s="31">
        <f t="shared" si="8"/>
        <v>581</v>
      </c>
      <c r="AF16" s="31">
        <f t="shared" si="8"/>
        <v>1406</v>
      </c>
    </row>
    <row r="17" spans="2:32" ht="23.1" customHeight="1" x14ac:dyDescent="0.25">
      <c r="B17" s="23" t="s">
        <v>44</v>
      </c>
      <c r="C17" s="50">
        <v>45</v>
      </c>
      <c r="D17" s="50">
        <v>43</v>
      </c>
      <c r="E17" s="50">
        <v>123</v>
      </c>
      <c r="F17" s="50">
        <v>63</v>
      </c>
      <c r="G17" s="50">
        <v>2</v>
      </c>
      <c r="H17" s="50">
        <v>0</v>
      </c>
      <c r="I17" s="50">
        <v>7</v>
      </c>
      <c r="J17" s="50">
        <v>1</v>
      </c>
      <c r="K17" s="50">
        <v>2</v>
      </c>
      <c r="L17" s="50">
        <v>3</v>
      </c>
      <c r="M17" s="50">
        <v>475</v>
      </c>
      <c r="N17" s="50">
        <v>0</v>
      </c>
      <c r="O17" s="15">
        <f t="shared" si="0"/>
        <v>289</v>
      </c>
      <c r="P17" s="15">
        <f t="shared" si="1"/>
        <v>764</v>
      </c>
      <c r="R17" s="1" t="s">
        <v>13</v>
      </c>
      <c r="S17" s="17">
        <f t="shared" ref="S17:AF17" si="9">SUM(C38:C41)</f>
        <v>152</v>
      </c>
      <c r="T17" s="17">
        <f t="shared" si="9"/>
        <v>129</v>
      </c>
      <c r="U17" s="17">
        <f t="shared" si="9"/>
        <v>92</v>
      </c>
      <c r="V17" s="17">
        <f t="shared" si="9"/>
        <v>158</v>
      </c>
      <c r="W17" s="17">
        <f t="shared" si="9"/>
        <v>6</v>
      </c>
      <c r="X17" s="17">
        <f t="shared" si="9"/>
        <v>1</v>
      </c>
      <c r="Y17" s="17">
        <f t="shared" si="9"/>
        <v>22</v>
      </c>
      <c r="Z17" s="17">
        <f t="shared" si="9"/>
        <v>11</v>
      </c>
      <c r="AA17" s="17">
        <f t="shared" si="9"/>
        <v>6</v>
      </c>
      <c r="AB17" s="17">
        <f t="shared" si="9"/>
        <v>22</v>
      </c>
      <c r="AC17" s="17">
        <f t="shared" si="9"/>
        <v>1125</v>
      </c>
      <c r="AD17" s="17">
        <f t="shared" si="9"/>
        <v>0</v>
      </c>
      <c r="AE17" s="31">
        <f t="shared" si="9"/>
        <v>599</v>
      </c>
      <c r="AF17" s="31">
        <f t="shared" si="9"/>
        <v>1724</v>
      </c>
    </row>
    <row r="18" spans="2:32" ht="23.1" customHeight="1" x14ac:dyDescent="0.25">
      <c r="B18" s="23" t="s">
        <v>45</v>
      </c>
      <c r="C18" s="50">
        <v>138</v>
      </c>
      <c r="D18" s="50">
        <v>50</v>
      </c>
      <c r="E18" s="50">
        <v>28</v>
      </c>
      <c r="F18" s="50">
        <v>50</v>
      </c>
      <c r="G18" s="50">
        <v>1</v>
      </c>
      <c r="H18" s="50">
        <v>1</v>
      </c>
      <c r="I18" s="50">
        <v>9</v>
      </c>
      <c r="J18" s="50">
        <v>2</v>
      </c>
      <c r="K18" s="50">
        <v>1</v>
      </c>
      <c r="L18" s="50">
        <v>3</v>
      </c>
      <c r="M18" s="50">
        <v>445</v>
      </c>
      <c r="N18" s="50">
        <v>0</v>
      </c>
      <c r="O18" s="15">
        <f t="shared" si="0"/>
        <v>283</v>
      </c>
      <c r="P18" s="15">
        <f t="shared" si="1"/>
        <v>728</v>
      </c>
      <c r="R18" s="1" t="s">
        <v>14</v>
      </c>
      <c r="S18" s="17">
        <f t="shared" ref="S18:AF18" si="10">SUM(C42:C45)</f>
        <v>206</v>
      </c>
      <c r="T18" s="17">
        <f t="shared" si="10"/>
        <v>153</v>
      </c>
      <c r="U18" s="17">
        <f t="shared" si="10"/>
        <v>107</v>
      </c>
      <c r="V18" s="17">
        <f t="shared" si="10"/>
        <v>212</v>
      </c>
      <c r="W18" s="17">
        <f t="shared" si="10"/>
        <v>7</v>
      </c>
      <c r="X18" s="17">
        <f t="shared" si="10"/>
        <v>0</v>
      </c>
      <c r="Y18" s="17">
        <f t="shared" si="10"/>
        <v>20</v>
      </c>
      <c r="Z18" s="17">
        <f t="shared" si="10"/>
        <v>10</v>
      </c>
      <c r="AA18" s="17">
        <f t="shared" si="10"/>
        <v>6</v>
      </c>
      <c r="AB18" s="17">
        <f t="shared" si="10"/>
        <v>12</v>
      </c>
      <c r="AC18" s="17">
        <f t="shared" si="10"/>
        <v>1075</v>
      </c>
      <c r="AD18" s="17">
        <f t="shared" si="10"/>
        <v>0</v>
      </c>
      <c r="AE18" s="31">
        <f t="shared" si="10"/>
        <v>733</v>
      </c>
      <c r="AF18" s="31">
        <f t="shared" si="10"/>
        <v>1808</v>
      </c>
    </row>
    <row r="19" spans="2:32" ht="23.1" customHeight="1" x14ac:dyDescent="0.25">
      <c r="B19" s="23" t="s">
        <v>46</v>
      </c>
      <c r="C19" s="50">
        <v>118</v>
      </c>
      <c r="D19" s="50">
        <v>47</v>
      </c>
      <c r="E19" s="50">
        <v>36</v>
      </c>
      <c r="F19" s="50">
        <v>46</v>
      </c>
      <c r="G19" s="50">
        <v>1</v>
      </c>
      <c r="H19" s="50">
        <v>0</v>
      </c>
      <c r="I19" s="50">
        <v>5</v>
      </c>
      <c r="J19" s="50">
        <v>3</v>
      </c>
      <c r="K19" s="50">
        <v>0</v>
      </c>
      <c r="L19" s="50">
        <v>4</v>
      </c>
      <c r="M19" s="50">
        <v>465</v>
      </c>
      <c r="N19" s="50">
        <v>0</v>
      </c>
      <c r="O19" s="15">
        <f t="shared" si="0"/>
        <v>260</v>
      </c>
      <c r="P19" s="15">
        <f t="shared" si="1"/>
        <v>725</v>
      </c>
      <c r="R19" s="1" t="s">
        <v>15</v>
      </c>
      <c r="S19" s="17">
        <f t="shared" ref="S19:AF19" si="11">SUM(C46:C49)</f>
        <v>157</v>
      </c>
      <c r="T19" s="17">
        <f t="shared" si="11"/>
        <v>108</v>
      </c>
      <c r="U19" s="17">
        <f t="shared" si="11"/>
        <v>33</v>
      </c>
      <c r="V19" s="17">
        <f t="shared" si="11"/>
        <v>170</v>
      </c>
      <c r="W19" s="17">
        <f t="shared" si="11"/>
        <v>8</v>
      </c>
      <c r="X19" s="17">
        <f t="shared" si="11"/>
        <v>2</v>
      </c>
      <c r="Y19" s="17">
        <f t="shared" si="11"/>
        <v>24</v>
      </c>
      <c r="Z19" s="17">
        <f t="shared" si="11"/>
        <v>8</v>
      </c>
      <c r="AA19" s="17">
        <f t="shared" si="11"/>
        <v>7</v>
      </c>
      <c r="AB19" s="17">
        <f t="shared" si="11"/>
        <v>21</v>
      </c>
      <c r="AC19" s="17">
        <f t="shared" si="11"/>
        <v>954</v>
      </c>
      <c r="AD19" s="17">
        <f t="shared" si="11"/>
        <v>0</v>
      </c>
      <c r="AE19" s="31">
        <f t="shared" si="11"/>
        <v>538</v>
      </c>
      <c r="AF19" s="31">
        <f t="shared" si="11"/>
        <v>1492</v>
      </c>
    </row>
    <row r="20" spans="2:32" ht="23.1" customHeight="1" x14ac:dyDescent="0.25">
      <c r="B20" s="23" t="s">
        <v>47</v>
      </c>
      <c r="C20" s="50">
        <v>93</v>
      </c>
      <c r="D20" s="50">
        <v>52</v>
      </c>
      <c r="E20" s="50">
        <v>38</v>
      </c>
      <c r="F20" s="50">
        <v>45</v>
      </c>
      <c r="G20" s="50">
        <v>0</v>
      </c>
      <c r="H20" s="50">
        <v>0</v>
      </c>
      <c r="I20" s="50">
        <v>3</v>
      </c>
      <c r="J20" s="50">
        <v>2</v>
      </c>
      <c r="K20" s="50">
        <v>2</v>
      </c>
      <c r="L20" s="50">
        <v>3</v>
      </c>
      <c r="M20" s="50">
        <v>360</v>
      </c>
      <c r="N20" s="50">
        <v>0</v>
      </c>
      <c r="O20" s="15">
        <f t="shared" si="0"/>
        <v>238</v>
      </c>
      <c r="P20" s="15">
        <f t="shared" si="1"/>
        <v>598</v>
      </c>
      <c r="R20" s="1" t="s">
        <v>16</v>
      </c>
      <c r="S20" s="17">
        <f t="shared" ref="S20:AF20" si="12">SUM(C50:C53)</f>
        <v>122</v>
      </c>
      <c r="T20" s="17">
        <f t="shared" si="12"/>
        <v>85</v>
      </c>
      <c r="U20" s="17">
        <f t="shared" si="12"/>
        <v>47</v>
      </c>
      <c r="V20" s="17">
        <f t="shared" si="12"/>
        <v>155</v>
      </c>
      <c r="W20" s="17">
        <f t="shared" si="12"/>
        <v>6</v>
      </c>
      <c r="X20" s="17">
        <f t="shared" si="12"/>
        <v>3</v>
      </c>
      <c r="Y20" s="17">
        <f t="shared" si="12"/>
        <v>16</v>
      </c>
      <c r="Z20" s="17">
        <f t="shared" si="12"/>
        <v>10</v>
      </c>
      <c r="AA20" s="17">
        <f t="shared" si="12"/>
        <v>8</v>
      </c>
      <c r="AB20" s="17">
        <f t="shared" si="12"/>
        <v>12</v>
      </c>
      <c r="AC20" s="17">
        <f t="shared" si="12"/>
        <v>1150</v>
      </c>
      <c r="AD20" s="17">
        <f t="shared" si="12"/>
        <v>0</v>
      </c>
      <c r="AE20" s="31">
        <f t="shared" si="12"/>
        <v>464</v>
      </c>
      <c r="AF20" s="31">
        <f t="shared" si="12"/>
        <v>1614</v>
      </c>
    </row>
    <row r="21" spans="2:32" ht="23.1" customHeight="1" x14ac:dyDescent="0.25">
      <c r="B21" s="23" t="s">
        <v>48</v>
      </c>
      <c r="C21" s="50">
        <v>95</v>
      </c>
      <c r="D21" s="50">
        <v>45</v>
      </c>
      <c r="E21" s="50">
        <v>36</v>
      </c>
      <c r="F21" s="50">
        <v>70</v>
      </c>
      <c r="G21" s="50">
        <v>1</v>
      </c>
      <c r="H21" s="50">
        <v>0</v>
      </c>
      <c r="I21" s="50">
        <v>6</v>
      </c>
      <c r="J21" s="50">
        <v>1</v>
      </c>
      <c r="K21" s="50">
        <v>3</v>
      </c>
      <c r="L21" s="50">
        <v>5</v>
      </c>
      <c r="M21" s="50">
        <v>520</v>
      </c>
      <c r="N21" s="50">
        <v>0</v>
      </c>
      <c r="O21" s="15">
        <f t="shared" si="0"/>
        <v>262</v>
      </c>
      <c r="P21" s="15">
        <f t="shared" si="1"/>
        <v>782</v>
      </c>
      <c r="R21" s="36" t="s">
        <v>20</v>
      </c>
      <c r="S21" s="34">
        <f t="shared" ref="S21:AF21" si="13">SUM(C54:C57)</f>
        <v>157</v>
      </c>
      <c r="T21" s="17">
        <f t="shared" si="13"/>
        <v>87</v>
      </c>
      <c r="U21" s="17">
        <f t="shared" si="13"/>
        <v>46</v>
      </c>
      <c r="V21" s="17">
        <f t="shared" si="13"/>
        <v>268</v>
      </c>
      <c r="W21" s="17">
        <f t="shared" si="13"/>
        <v>7</v>
      </c>
      <c r="X21" s="17">
        <f t="shared" si="13"/>
        <v>3</v>
      </c>
      <c r="Y21" s="17">
        <f t="shared" si="13"/>
        <v>19</v>
      </c>
      <c r="Z21" s="17">
        <f t="shared" si="13"/>
        <v>15</v>
      </c>
      <c r="AA21" s="17">
        <f t="shared" si="13"/>
        <v>13</v>
      </c>
      <c r="AB21" s="17">
        <f t="shared" si="13"/>
        <v>14</v>
      </c>
      <c r="AC21" s="17">
        <f t="shared" si="13"/>
        <v>1165</v>
      </c>
      <c r="AD21" s="17">
        <f t="shared" si="13"/>
        <v>0</v>
      </c>
      <c r="AE21" s="31">
        <f t="shared" si="13"/>
        <v>629</v>
      </c>
      <c r="AF21" s="31">
        <f t="shared" si="13"/>
        <v>1794</v>
      </c>
    </row>
    <row r="22" spans="2:32" ht="23.1" customHeight="1" x14ac:dyDescent="0.25">
      <c r="B22" s="23" t="s">
        <v>49</v>
      </c>
      <c r="C22" s="50">
        <v>88</v>
      </c>
      <c r="D22" s="50">
        <v>33</v>
      </c>
      <c r="E22" s="50">
        <v>22</v>
      </c>
      <c r="F22" s="50">
        <v>48</v>
      </c>
      <c r="G22" s="50">
        <v>3</v>
      </c>
      <c r="H22" s="50">
        <v>0</v>
      </c>
      <c r="I22" s="50">
        <v>6</v>
      </c>
      <c r="J22" s="50">
        <v>2</v>
      </c>
      <c r="K22" s="50">
        <v>1</v>
      </c>
      <c r="L22" s="50">
        <v>4</v>
      </c>
      <c r="M22" s="50">
        <v>285</v>
      </c>
      <c r="N22" s="50">
        <v>0</v>
      </c>
      <c r="O22" s="15">
        <f t="shared" si="0"/>
        <v>207</v>
      </c>
      <c r="P22" s="15">
        <f t="shared" si="1"/>
        <v>492</v>
      </c>
      <c r="R22" s="38" t="s">
        <v>90</v>
      </c>
      <c r="S22" s="39">
        <f>MAX(S10:S12)</f>
        <v>727</v>
      </c>
      <c r="T22" s="39">
        <f t="shared" ref="T22:AF22" si="14">MAX(T10:T12)</f>
        <v>194</v>
      </c>
      <c r="U22" s="39">
        <f t="shared" si="14"/>
        <v>240</v>
      </c>
      <c r="V22" s="39">
        <f t="shared" si="14"/>
        <v>288</v>
      </c>
      <c r="W22" s="39">
        <f t="shared" si="14"/>
        <v>22</v>
      </c>
      <c r="X22" s="39">
        <f t="shared" si="14"/>
        <v>1</v>
      </c>
      <c r="Y22" s="39">
        <f t="shared" si="14"/>
        <v>23</v>
      </c>
      <c r="Z22" s="39">
        <f t="shared" si="14"/>
        <v>8</v>
      </c>
      <c r="AA22" s="39">
        <f t="shared" si="14"/>
        <v>8</v>
      </c>
      <c r="AB22" s="39">
        <f t="shared" si="14"/>
        <v>15</v>
      </c>
      <c r="AC22" s="39">
        <f t="shared" si="14"/>
        <v>2090</v>
      </c>
      <c r="AD22" s="39">
        <f t="shared" si="14"/>
        <v>0</v>
      </c>
      <c r="AE22" s="40">
        <f t="shared" si="14"/>
        <v>1276</v>
      </c>
      <c r="AF22" s="40">
        <f t="shared" si="14"/>
        <v>3366</v>
      </c>
    </row>
    <row r="23" spans="2:32" ht="23.1" customHeight="1" x14ac:dyDescent="0.25">
      <c r="B23" s="23" t="s">
        <v>50</v>
      </c>
      <c r="C23" s="50">
        <v>91</v>
      </c>
      <c r="D23" s="50">
        <v>50</v>
      </c>
      <c r="E23" s="50">
        <v>45</v>
      </c>
      <c r="F23" s="50">
        <v>44</v>
      </c>
      <c r="G23" s="50">
        <v>1</v>
      </c>
      <c r="H23" s="50">
        <v>0</v>
      </c>
      <c r="I23" s="50">
        <v>4</v>
      </c>
      <c r="J23" s="50">
        <v>2</v>
      </c>
      <c r="K23" s="50">
        <v>2</v>
      </c>
      <c r="L23" s="50">
        <v>1</v>
      </c>
      <c r="M23" s="50">
        <v>315</v>
      </c>
      <c r="N23" s="50">
        <v>0</v>
      </c>
      <c r="O23" s="15">
        <f t="shared" si="0"/>
        <v>240</v>
      </c>
      <c r="P23" s="15">
        <f t="shared" si="1"/>
        <v>555</v>
      </c>
      <c r="R23" s="38" t="s">
        <v>91</v>
      </c>
      <c r="S23" s="39">
        <f>MAX(S13:S18)</f>
        <v>326</v>
      </c>
      <c r="T23" s="39">
        <f t="shared" ref="T23:AF23" si="15">MAX(T13:T18)</f>
        <v>153</v>
      </c>
      <c r="U23" s="39">
        <f t="shared" si="15"/>
        <v>150</v>
      </c>
      <c r="V23" s="39">
        <f t="shared" si="15"/>
        <v>212</v>
      </c>
      <c r="W23" s="39">
        <f t="shared" si="15"/>
        <v>10</v>
      </c>
      <c r="X23" s="39">
        <f t="shared" si="15"/>
        <v>4</v>
      </c>
      <c r="Y23" s="39">
        <f t="shared" si="15"/>
        <v>31</v>
      </c>
      <c r="Z23" s="39">
        <f t="shared" si="15"/>
        <v>12</v>
      </c>
      <c r="AA23" s="39">
        <f t="shared" si="15"/>
        <v>11</v>
      </c>
      <c r="AB23" s="39">
        <f t="shared" si="15"/>
        <v>22</v>
      </c>
      <c r="AC23" s="39">
        <f t="shared" si="15"/>
        <v>1315</v>
      </c>
      <c r="AD23" s="39">
        <f t="shared" si="15"/>
        <v>0</v>
      </c>
      <c r="AE23" s="40">
        <f t="shared" si="15"/>
        <v>869</v>
      </c>
      <c r="AF23" s="40">
        <f t="shared" si="15"/>
        <v>2184</v>
      </c>
    </row>
    <row r="24" spans="2:32" ht="23.1" customHeight="1" x14ac:dyDescent="0.25">
      <c r="B24" s="23" t="s">
        <v>51</v>
      </c>
      <c r="C24" s="50">
        <v>82</v>
      </c>
      <c r="D24" s="50">
        <v>37</v>
      </c>
      <c r="E24" s="50">
        <v>61</v>
      </c>
      <c r="F24" s="50">
        <v>50</v>
      </c>
      <c r="G24" s="50">
        <v>3</v>
      </c>
      <c r="H24" s="50">
        <v>1</v>
      </c>
      <c r="I24" s="50">
        <v>3</v>
      </c>
      <c r="J24" s="50">
        <v>1</v>
      </c>
      <c r="K24" s="50">
        <v>0</v>
      </c>
      <c r="L24" s="50">
        <v>4</v>
      </c>
      <c r="M24" s="50">
        <v>385</v>
      </c>
      <c r="N24" s="50">
        <v>0</v>
      </c>
      <c r="O24" s="15">
        <f t="shared" si="0"/>
        <v>242</v>
      </c>
      <c r="P24" s="15">
        <f t="shared" si="1"/>
        <v>627</v>
      </c>
      <c r="R24" s="38" t="s">
        <v>92</v>
      </c>
      <c r="S24" s="39">
        <f>MAX(S19:S21)</f>
        <v>157</v>
      </c>
      <c r="T24" s="39">
        <f t="shared" ref="T24:AF24" si="16">MAX(T19:T21)</f>
        <v>108</v>
      </c>
      <c r="U24" s="39">
        <f t="shared" si="16"/>
        <v>47</v>
      </c>
      <c r="V24" s="39">
        <f t="shared" si="16"/>
        <v>268</v>
      </c>
      <c r="W24" s="39">
        <f t="shared" si="16"/>
        <v>8</v>
      </c>
      <c r="X24" s="39">
        <f t="shared" si="16"/>
        <v>3</v>
      </c>
      <c r="Y24" s="39">
        <f t="shared" si="16"/>
        <v>24</v>
      </c>
      <c r="Z24" s="39">
        <f t="shared" si="16"/>
        <v>15</v>
      </c>
      <c r="AA24" s="39">
        <f t="shared" si="16"/>
        <v>13</v>
      </c>
      <c r="AB24" s="39">
        <f t="shared" si="16"/>
        <v>21</v>
      </c>
      <c r="AC24" s="39">
        <f t="shared" si="16"/>
        <v>1165</v>
      </c>
      <c r="AD24" s="39">
        <f t="shared" si="16"/>
        <v>0</v>
      </c>
      <c r="AE24" s="40">
        <f t="shared" si="16"/>
        <v>629</v>
      </c>
      <c r="AF24" s="40">
        <f t="shared" si="16"/>
        <v>1794</v>
      </c>
    </row>
    <row r="25" spans="2:32" ht="23.1" customHeight="1" x14ac:dyDescent="0.25">
      <c r="B25" s="23" t="s">
        <v>52</v>
      </c>
      <c r="C25" s="50">
        <v>65</v>
      </c>
      <c r="D25" s="50">
        <v>26</v>
      </c>
      <c r="E25" s="50">
        <v>22</v>
      </c>
      <c r="F25" s="50">
        <v>53</v>
      </c>
      <c r="G25" s="50">
        <v>0</v>
      </c>
      <c r="H25" s="50">
        <v>0</v>
      </c>
      <c r="I25" s="50">
        <v>4</v>
      </c>
      <c r="J25" s="50">
        <v>5</v>
      </c>
      <c r="K25" s="50">
        <v>1</v>
      </c>
      <c r="L25" s="50">
        <v>4</v>
      </c>
      <c r="M25" s="50">
        <v>330</v>
      </c>
      <c r="N25" s="50">
        <v>0</v>
      </c>
      <c r="O25" s="15">
        <f t="shared" si="0"/>
        <v>180</v>
      </c>
      <c r="P25" s="15">
        <f t="shared" si="1"/>
        <v>510</v>
      </c>
      <c r="R25" s="37" t="s">
        <v>85</v>
      </c>
      <c r="S25" s="35">
        <f t="shared" ref="S25:AF25" si="17">SUM(S10:S12)</f>
        <v>1694</v>
      </c>
      <c r="T25" s="16">
        <f t="shared" si="17"/>
        <v>453</v>
      </c>
      <c r="U25" s="16">
        <f t="shared" si="17"/>
        <v>438</v>
      </c>
      <c r="V25" s="16">
        <f t="shared" si="17"/>
        <v>763</v>
      </c>
      <c r="W25" s="16">
        <f t="shared" si="17"/>
        <v>33</v>
      </c>
      <c r="X25" s="16">
        <f t="shared" si="17"/>
        <v>2</v>
      </c>
      <c r="Y25" s="16">
        <f t="shared" si="17"/>
        <v>65</v>
      </c>
      <c r="Z25" s="16">
        <f t="shared" si="17"/>
        <v>18</v>
      </c>
      <c r="AA25" s="16">
        <f t="shared" si="17"/>
        <v>18</v>
      </c>
      <c r="AB25" s="16">
        <f t="shared" si="17"/>
        <v>35</v>
      </c>
      <c r="AC25" s="16">
        <f t="shared" si="17"/>
        <v>5648</v>
      </c>
      <c r="AD25" s="16">
        <f t="shared" si="17"/>
        <v>0</v>
      </c>
      <c r="AE25" s="32">
        <f t="shared" si="17"/>
        <v>3519</v>
      </c>
      <c r="AF25" s="32">
        <f t="shared" si="17"/>
        <v>9167</v>
      </c>
    </row>
    <row r="26" spans="2:32" ht="23.1" customHeight="1" x14ac:dyDescent="0.25">
      <c r="B26" s="23" t="s">
        <v>53</v>
      </c>
      <c r="C26" s="50">
        <v>98</v>
      </c>
      <c r="D26" s="50">
        <v>52</v>
      </c>
      <c r="E26" s="50">
        <v>28</v>
      </c>
      <c r="F26" s="50">
        <v>51</v>
      </c>
      <c r="G26" s="50">
        <v>2</v>
      </c>
      <c r="H26" s="50">
        <v>0</v>
      </c>
      <c r="I26" s="50">
        <v>7</v>
      </c>
      <c r="J26" s="50">
        <v>2</v>
      </c>
      <c r="K26" s="50">
        <v>4</v>
      </c>
      <c r="L26" s="50">
        <v>2</v>
      </c>
      <c r="M26" s="50">
        <v>370</v>
      </c>
      <c r="N26" s="50">
        <v>0</v>
      </c>
      <c r="O26" s="15">
        <f t="shared" si="0"/>
        <v>246</v>
      </c>
      <c r="P26" s="15">
        <f t="shared" si="1"/>
        <v>616</v>
      </c>
      <c r="R26" s="28" t="s">
        <v>86</v>
      </c>
      <c r="S26" s="16">
        <f t="shared" ref="S26:AF26" si="18">SUM(S13:S18)</f>
        <v>1154</v>
      </c>
      <c r="T26" s="16">
        <f t="shared" si="18"/>
        <v>788</v>
      </c>
      <c r="U26" s="16">
        <f t="shared" si="18"/>
        <v>483</v>
      </c>
      <c r="V26" s="16">
        <f t="shared" si="18"/>
        <v>1122</v>
      </c>
      <c r="W26" s="16">
        <f t="shared" si="18"/>
        <v>45</v>
      </c>
      <c r="X26" s="16">
        <f t="shared" si="18"/>
        <v>10</v>
      </c>
      <c r="Y26" s="16">
        <f t="shared" si="18"/>
        <v>144</v>
      </c>
      <c r="Z26" s="16">
        <f t="shared" si="18"/>
        <v>63</v>
      </c>
      <c r="AA26" s="16">
        <f t="shared" si="18"/>
        <v>40</v>
      </c>
      <c r="AB26" s="16">
        <f t="shared" si="18"/>
        <v>101</v>
      </c>
      <c r="AC26" s="16">
        <f t="shared" si="18"/>
        <v>6495</v>
      </c>
      <c r="AD26" s="16">
        <f t="shared" si="18"/>
        <v>0</v>
      </c>
      <c r="AE26" s="32">
        <f t="shared" si="18"/>
        <v>3950</v>
      </c>
      <c r="AF26" s="32">
        <f t="shared" si="18"/>
        <v>10445</v>
      </c>
    </row>
    <row r="27" spans="2:32" ht="23.1" customHeight="1" x14ac:dyDescent="0.25">
      <c r="B27" s="23" t="s">
        <v>54</v>
      </c>
      <c r="C27" s="50">
        <v>49</v>
      </c>
      <c r="D27" s="50">
        <v>24</v>
      </c>
      <c r="E27" s="50">
        <v>8</v>
      </c>
      <c r="F27" s="50">
        <v>53</v>
      </c>
      <c r="G27" s="50">
        <v>1</v>
      </c>
      <c r="H27" s="50">
        <v>2</v>
      </c>
      <c r="I27" s="50">
        <v>11</v>
      </c>
      <c r="J27" s="50">
        <v>2</v>
      </c>
      <c r="K27" s="50">
        <v>0</v>
      </c>
      <c r="L27" s="50">
        <v>4</v>
      </c>
      <c r="M27" s="50">
        <v>210</v>
      </c>
      <c r="N27" s="50">
        <v>0</v>
      </c>
      <c r="O27" s="15">
        <f t="shared" si="0"/>
        <v>154</v>
      </c>
      <c r="P27" s="15">
        <f t="shared" si="1"/>
        <v>364</v>
      </c>
      <c r="R27" s="29" t="s">
        <v>87</v>
      </c>
      <c r="S27" s="16">
        <f t="shared" ref="S27:AF27" si="19">SUM(S19:S21)</f>
        <v>436</v>
      </c>
      <c r="T27" s="16">
        <f t="shared" si="19"/>
        <v>280</v>
      </c>
      <c r="U27" s="16">
        <f t="shared" si="19"/>
        <v>126</v>
      </c>
      <c r="V27" s="16">
        <f t="shared" si="19"/>
        <v>593</v>
      </c>
      <c r="W27" s="16">
        <f t="shared" si="19"/>
        <v>21</v>
      </c>
      <c r="X27" s="16">
        <f t="shared" si="19"/>
        <v>8</v>
      </c>
      <c r="Y27" s="16">
        <f t="shared" si="19"/>
        <v>59</v>
      </c>
      <c r="Z27" s="16">
        <f t="shared" si="19"/>
        <v>33</v>
      </c>
      <c r="AA27" s="16">
        <f t="shared" si="19"/>
        <v>28</v>
      </c>
      <c r="AB27" s="16">
        <f t="shared" si="19"/>
        <v>47</v>
      </c>
      <c r="AC27" s="16">
        <f t="shared" si="19"/>
        <v>3269</v>
      </c>
      <c r="AD27" s="16">
        <f t="shared" si="19"/>
        <v>0</v>
      </c>
      <c r="AE27" s="32">
        <f t="shared" si="19"/>
        <v>1631</v>
      </c>
      <c r="AF27" s="32">
        <f t="shared" si="19"/>
        <v>4900</v>
      </c>
    </row>
    <row r="28" spans="2:32" ht="23.1" customHeight="1" x14ac:dyDescent="0.25">
      <c r="B28" s="23" t="s">
        <v>55</v>
      </c>
      <c r="C28" s="50">
        <v>37</v>
      </c>
      <c r="D28" s="50">
        <v>31</v>
      </c>
      <c r="E28" s="50">
        <v>9</v>
      </c>
      <c r="F28" s="50">
        <v>46</v>
      </c>
      <c r="G28" s="50">
        <v>1</v>
      </c>
      <c r="H28" s="50">
        <v>1</v>
      </c>
      <c r="I28" s="50">
        <v>8</v>
      </c>
      <c r="J28" s="50">
        <v>4</v>
      </c>
      <c r="K28" s="50">
        <v>3</v>
      </c>
      <c r="L28" s="50">
        <v>6</v>
      </c>
      <c r="M28" s="50">
        <v>215</v>
      </c>
      <c r="N28" s="50">
        <v>0</v>
      </c>
      <c r="O28" s="15">
        <f t="shared" si="0"/>
        <v>146</v>
      </c>
      <c r="P28" s="15">
        <f t="shared" si="1"/>
        <v>361</v>
      </c>
      <c r="R28" s="5" t="s">
        <v>17</v>
      </c>
      <c r="S28" s="16">
        <f t="shared" ref="S28:AF28" si="20">SUM(S10:S21)</f>
        <v>3284</v>
      </c>
      <c r="T28" s="16">
        <f t="shared" si="20"/>
        <v>1521</v>
      </c>
      <c r="U28" s="16">
        <f t="shared" si="20"/>
        <v>1047</v>
      </c>
      <c r="V28" s="16">
        <f t="shared" si="20"/>
        <v>2478</v>
      </c>
      <c r="W28" s="16">
        <f t="shared" si="20"/>
        <v>99</v>
      </c>
      <c r="X28" s="16">
        <f t="shared" si="20"/>
        <v>20</v>
      </c>
      <c r="Y28" s="16">
        <f t="shared" si="20"/>
        <v>268</v>
      </c>
      <c r="Z28" s="16">
        <f t="shared" si="20"/>
        <v>114</v>
      </c>
      <c r="AA28" s="16">
        <f t="shared" si="20"/>
        <v>86</v>
      </c>
      <c r="AB28" s="16">
        <f t="shared" si="20"/>
        <v>183</v>
      </c>
      <c r="AC28" s="16">
        <f t="shared" si="20"/>
        <v>15412</v>
      </c>
      <c r="AD28" s="16">
        <f t="shared" si="20"/>
        <v>0</v>
      </c>
      <c r="AE28" s="32">
        <f t="shared" si="20"/>
        <v>9100</v>
      </c>
      <c r="AF28" s="32">
        <f t="shared" si="20"/>
        <v>24512</v>
      </c>
    </row>
    <row r="29" spans="2:32" ht="23.1" customHeight="1" x14ac:dyDescent="0.25">
      <c r="B29" s="23" t="s">
        <v>56</v>
      </c>
      <c r="C29" s="50">
        <v>13</v>
      </c>
      <c r="D29" s="50">
        <v>14</v>
      </c>
      <c r="E29" s="50">
        <v>3</v>
      </c>
      <c r="F29" s="50">
        <v>62</v>
      </c>
      <c r="G29" s="50">
        <v>3</v>
      </c>
      <c r="H29" s="50">
        <v>1</v>
      </c>
      <c r="I29" s="50">
        <v>5</v>
      </c>
      <c r="J29" s="50">
        <v>2</v>
      </c>
      <c r="K29" s="50">
        <v>1</v>
      </c>
      <c r="L29" s="50">
        <v>7</v>
      </c>
      <c r="M29" s="50">
        <v>225</v>
      </c>
      <c r="N29" s="50">
        <v>0</v>
      </c>
      <c r="O29" s="15">
        <f t="shared" si="0"/>
        <v>111</v>
      </c>
      <c r="P29" s="15">
        <f t="shared" si="1"/>
        <v>336</v>
      </c>
      <c r="R29"/>
      <c r="S29" s="20"/>
      <c r="T29" s="19"/>
    </row>
    <row r="30" spans="2:32" ht="23.1" customHeight="1" x14ac:dyDescent="0.25">
      <c r="B30" s="23" t="s">
        <v>57</v>
      </c>
      <c r="C30" s="50">
        <v>55</v>
      </c>
      <c r="D30" s="50">
        <v>28</v>
      </c>
      <c r="E30" s="50">
        <v>10</v>
      </c>
      <c r="F30" s="50">
        <v>42</v>
      </c>
      <c r="G30" s="50">
        <v>4</v>
      </c>
      <c r="H30" s="50">
        <v>1</v>
      </c>
      <c r="I30" s="50">
        <v>7</v>
      </c>
      <c r="J30" s="50">
        <v>0</v>
      </c>
      <c r="K30" s="50">
        <v>1</v>
      </c>
      <c r="L30" s="50">
        <v>1</v>
      </c>
      <c r="M30" s="50">
        <v>240</v>
      </c>
      <c r="N30" s="50">
        <v>0</v>
      </c>
      <c r="O30" s="15">
        <f t="shared" si="0"/>
        <v>149</v>
      </c>
      <c r="P30" s="15">
        <f t="shared" si="1"/>
        <v>389</v>
      </c>
    </row>
    <row r="31" spans="2:32" ht="23.1" customHeight="1" x14ac:dyDescent="0.25">
      <c r="B31" s="24" t="s">
        <v>58</v>
      </c>
      <c r="C31" s="50">
        <v>22</v>
      </c>
      <c r="D31" s="50">
        <v>32</v>
      </c>
      <c r="E31" s="50">
        <v>6</v>
      </c>
      <c r="F31" s="50">
        <v>44</v>
      </c>
      <c r="G31" s="50">
        <v>2</v>
      </c>
      <c r="H31" s="50">
        <v>1</v>
      </c>
      <c r="I31" s="50">
        <v>10</v>
      </c>
      <c r="J31" s="50">
        <v>5</v>
      </c>
      <c r="K31" s="50">
        <v>2</v>
      </c>
      <c r="L31" s="50">
        <v>3</v>
      </c>
      <c r="M31" s="50">
        <v>265</v>
      </c>
      <c r="N31" s="50">
        <v>0</v>
      </c>
      <c r="O31" s="15">
        <f t="shared" si="0"/>
        <v>127</v>
      </c>
      <c r="P31" s="15">
        <f t="shared" si="1"/>
        <v>392</v>
      </c>
    </row>
    <row r="32" spans="2:32" ht="23.1" customHeight="1" x14ac:dyDescent="0.25">
      <c r="B32" s="24" t="s">
        <v>59</v>
      </c>
      <c r="C32" s="50">
        <v>20</v>
      </c>
      <c r="D32" s="50">
        <v>11</v>
      </c>
      <c r="E32" s="50">
        <v>3</v>
      </c>
      <c r="F32" s="50">
        <v>49</v>
      </c>
      <c r="G32" s="50">
        <v>2</v>
      </c>
      <c r="H32" s="50">
        <v>0</v>
      </c>
      <c r="I32" s="50">
        <v>3</v>
      </c>
      <c r="J32" s="50">
        <v>5</v>
      </c>
      <c r="K32" s="50">
        <v>6</v>
      </c>
      <c r="L32" s="50">
        <v>6</v>
      </c>
      <c r="M32" s="50">
        <v>375</v>
      </c>
      <c r="N32" s="50">
        <v>0</v>
      </c>
      <c r="O32" s="15">
        <f t="shared" si="0"/>
        <v>105</v>
      </c>
      <c r="P32" s="15">
        <f t="shared" si="1"/>
        <v>480</v>
      </c>
    </row>
    <row r="33" spans="2:20" ht="23.1" customHeight="1" x14ac:dyDescent="0.25">
      <c r="B33" s="23" t="s">
        <v>60</v>
      </c>
      <c r="C33" s="50">
        <v>45</v>
      </c>
      <c r="D33" s="50">
        <v>32</v>
      </c>
      <c r="E33" s="50">
        <v>2</v>
      </c>
      <c r="F33" s="50">
        <v>38</v>
      </c>
      <c r="G33" s="50">
        <v>0</v>
      </c>
      <c r="H33" s="50">
        <v>0</v>
      </c>
      <c r="I33" s="50">
        <v>5</v>
      </c>
      <c r="J33" s="50">
        <v>0</v>
      </c>
      <c r="K33" s="50">
        <v>2</v>
      </c>
      <c r="L33" s="50">
        <v>6</v>
      </c>
      <c r="M33" s="50">
        <v>255</v>
      </c>
      <c r="N33" s="50">
        <v>0</v>
      </c>
      <c r="O33" s="15">
        <f t="shared" si="0"/>
        <v>130</v>
      </c>
      <c r="P33" s="15">
        <f t="shared" si="1"/>
        <v>385</v>
      </c>
    </row>
    <row r="34" spans="2:20" ht="23.1" customHeight="1" x14ac:dyDescent="0.25">
      <c r="B34" s="24" t="s">
        <v>61</v>
      </c>
      <c r="C34" s="50">
        <v>30</v>
      </c>
      <c r="D34" s="50">
        <v>27</v>
      </c>
      <c r="E34" s="50">
        <v>11</v>
      </c>
      <c r="F34" s="50">
        <v>44</v>
      </c>
      <c r="G34" s="50">
        <v>1</v>
      </c>
      <c r="H34" s="50">
        <v>0</v>
      </c>
      <c r="I34" s="50">
        <v>3</v>
      </c>
      <c r="J34" s="50">
        <v>3</v>
      </c>
      <c r="K34" s="50">
        <v>0</v>
      </c>
      <c r="L34" s="50">
        <v>5</v>
      </c>
      <c r="M34" s="50">
        <v>265</v>
      </c>
      <c r="N34" s="50">
        <v>0</v>
      </c>
      <c r="O34" s="15">
        <f t="shared" si="0"/>
        <v>124</v>
      </c>
      <c r="P34" s="15">
        <f t="shared" si="1"/>
        <v>389</v>
      </c>
    </row>
    <row r="35" spans="2:20" ht="23.1" customHeight="1" x14ac:dyDescent="0.25">
      <c r="B35" s="24" t="s">
        <v>62</v>
      </c>
      <c r="C35" s="50">
        <v>28</v>
      </c>
      <c r="D35" s="50">
        <v>33</v>
      </c>
      <c r="E35" s="50">
        <v>14</v>
      </c>
      <c r="F35" s="50">
        <v>41</v>
      </c>
      <c r="G35" s="50">
        <v>4</v>
      </c>
      <c r="H35" s="50">
        <v>0</v>
      </c>
      <c r="I35" s="50">
        <v>10</v>
      </c>
      <c r="J35" s="50">
        <v>4</v>
      </c>
      <c r="K35" s="50">
        <v>0</v>
      </c>
      <c r="L35" s="50">
        <v>5</v>
      </c>
      <c r="M35" s="50">
        <v>230</v>
      </c>
      <c r="N35" s="50">
        <v>0</v>
      </c>
      <c r="O35" s="15">
        <f t="shared" si="0"/>
        <v>139</v>
      </c>
      <c r="P35" s="15">
        <f t="shared" si="1"/>
        <v>369</v>
      </c>
    </row>
    <row r="36" spans="2:20" ht="23.1" customHeight="1" x14ac:dyDescent="0.25">
      <c r="B36" s="24" t="s">
        <v>63</v>
      </c>
      <c r="C36" s="50">
        <v>35</v>
      </c>
      <c r="D36" s="50">
        <v>45</v>
      </c>
      <c r="E36" s="50">
        <v>20</v>
      </c>
      <c r="F36" s="50">
        <v>41</v>
      </c>
      <c r="G36" s="50">
        <v>4</v>
      </c>
      <c r="H36" s="50">
        <v>0</v>
      </c>
      <c r="I36" s="50">
        <v>10</v>
      </c>
      <c r="J36" s="50">
        <v>3</v>
      </c>
      <c r="K36" s="50">
        <v>3</v>
      </c>
      <c r="L36" s="50">
        <v>5</v>
      </c>
      <c r="M36" s="50">
        <v>180</v>
      </c>
      <c r="N36" s="50">
        <v>0</v>
      </c>
      <c r="O36" s="15">
        <f t="shared" si="0"/>
        <v>166</v>
      </c>
      <c r="P36" s="15">
        <f t="shared" si="1"/>
        <v>346</v>
      </c>
    </row>
    <row r="37" spans="2:20" ht="23.1" customHeight="1" x14ac:dyDescent="0.25">
      <c r="B37" s="23" t="s">
        <v>64</v>
      </c>
      <c r="C37" s="50">
        <v>38</v>
      </c>
      <c r="D37" s="50">
        <v>31</v>
      </c>
      <c r="E37" s="50">
        <v>20</v>
      </c>
      <c r="F37" s="50">
        <v>46</v>
      </c>
      <c r="G37" s="50">
        <v>1</v>
      </c>
      <c r="H37" s="50">
        <v>2</v>
      </c>
      <c r="I37" s="50">
        <v>6</v>
      </c>
      <c r="J37" s="50">
        <v>2</v>
      </c>
      <c r="K37" s="50">
        <v>2</v>
      </c>
      <c r="L37" s="50">
        <v>4</v>
      </c>
      <c r="M37" s="50">
        <v>150</v>
      </c>
      <c r="N37" s="50">
        <v>0</v>
      </c>
      <c r="O37" s="15">
        <f t="shared" si="0"/>
        <v>152</v>
      </c>
      <c r="P37" s="15">
        <f t="shared" si="1"/>
        <v>302</v>
      </c>
    </row>
    <row r="38" spans="2:20" ht="23.1" customHeight="1" x14ac:dyDescent="0.25">
      <c r="B38" s="24" t="s">
        <v>65</v>
      </c>
      <c r="C38" s="50">
        <v>31</v>
      </c>
      <c r="D38" s="50">
        <v>34</v>
      </c>
      <c r="E38" s="50">
        <v>17</v>
      </c>
      <c r="F38" s="50">
        <v>33</v>
      </c>
      <c r="G38" s="50">
        <v>2</v>
      </c>
      <c r="H38" s="50">
        <v>0</v>
      </c>
      <c r="I38" s="50">
        <v>5</v>
      </c>
      <c r="J38" s="50">
        <v>3</v>
      </c>
      <c r="K38" s="50">
        <v>3</v>
      </c>
      <c r="L38" s="50">
        <v>9</v>
      </c>
      <c r="M38" s="50">
        <v>245</v>
      </c>
      <c r="N38" s="50">
        <v>0</v>
      </c>
      <c r="O38" s="15">
        <f t="shared" si="0"/>
        <v>137</v>
      </c>
      <c r="P38" s="15">
        <f t="shared" si="1"/>
        <v>382</v>
      </c>
    </row>
    <row r="39" spans="2:20" ht="23.1" customHeight="1" x14ac:dyDescent="0.25">
      <c r="B39" s="24" t="s">
        <v>66</v>
      </c>
      <c r="C39" s="50">
        <v>34</v>
      </c>
      <c r="D39" s="50">
        <v>33</v>
      </c>
      <c r="E39" s="50">
        <v>22</v>
      </c>
      <c r="F39" s="50">
        <v>42</v>
      </c>
      <c r="G39" s="50">
        <v>1</v>
      </c>
      <c r="H39" s="50">
        <v>1</v>
      </c>
      <c r="I39" s="50">
        <v>7</v>
      </c>
      <c r="J39" s="50">
        <v>1</v>
      </c>
      <c r="K39" s="50">
        <v>0</v>
      </c>
      <c r="L39" s="50">
        <v>5</v>
      </c>
      <c r="M39" s="50">
        <v>230</v>
      </c>
      <c r="N39" s="50">
        <v>0</v>
      </c>
      <c r="O39" s="15">
        <f t="shared" si="0"/>
        <v>146</v>
      </c>
      <c r="P39" s="15">
        <f t="shared" si="1"/>
        <v>376</v>
      </c>
    </row>
    <row r="40" spans="2:20" ht="23.1" customHeight="1" x14ac:dyDescent="0.25">
      <c r="B40" s="24" t="s">
        <v>67</v>
      </c>
      <c r="C40" s="50">
        <v>40</v>
      </c>
      <c r="D40" s="50">
        <v>37</v>
      </c>
      <c r="E40" s="50">
        <v>34</v>
      </c>
      <c r="F40" s="50">
        <v>45</v>
      </c>
      <c r="G40" s="50">
        <v>3</v>
      </c>
      <c r="H40" s="50">
        <v>0</v>
      </c>
      <c r="I40" s="50">
        <v>6</v>
      </c>
      <c r="J40" s="50">
        <v>3</v>
      </c>
      <c r="K40" s="50">
        <v>0</v>
      </c>
      <c r="L40" s="50">
        <v>3</v>
      </c>
      <c r="M40" s="50">
        <v>315</v>
      </c>
      <c r="N40" s="50">
        <v>0</v>
      </c>
      <c r="O40" s="15">
        <f t="shared" si="0"/>
        <v>171</v>
      </c>
      <c r="P40" s="15">
        <f t="shared" si="1"/>
        <v>486</v>
      </c>
    </row>
    <row r="41" spans="2:20" ht="23.1" customHeight="1" x14ac:dyDescent="0.25">
      <c r="B41" s="23" t="s">
        <v>68</v>
      </c>
      <c r="C41" s="50">
        <v>47</v>
      </c>
      <c r="D41" s="50">
        <v>25</v>
      </c>
      <c r="E41" s="50">
        <v>19</v>
      </c>
      <c r="F41" s="50">
        <v>38</v>
      </c>
      <c r="G41" s="50">
        <v>0</v>
      </c>
      <c r="H41" s="50">
        <v>0</v>
      </c>
      <c r="I41" s="50">
        <v>4</v>
      </c>
      <c r="J41" s="50">
        <v>4</v>
      </c>
      <c r="K41" s="50">
        <v>3</v>
      </c>
      <c r="L41" s="50">
        <v>5</v>
      </c>
      <c r="M41" s="50">
        <v>335</v>
      </c>
      <c r="N41" s="50">
        <v>0</v>
      </c>
      <c r="O41" s="15">
        <f t="shared" si="0"/>
        <v>145</v>
      </c>
      <c r="P41" s="15">
        <f t="shared" si="1"/>
        <v>480</v>
      </c>
    </row>
    <row r="42" spans="2:20" ht="23.1" customHeight="1" x14ac:dyDescent="0.25">
      <c r="B42" s="24" t="s">
        <v>69</v>
      </c>
      <c r="C42" s="50">
        <v>48</v>
      </c>
      <c r="D42" s="50">
        <v>52</v>
      </c>
      <c r="E42" s="50">
        <v>30</v>
      </c>
      <c r="F42" s="50">
        <v>51</v>
      </c>
      <c r="G42" s="50">
        <v>1</v>
      </c>
      <c r="H42" s="50">
        <v>0</v>
      </c>
      <c r="I42" s="50">
        <v>1</v>
      </c>
      <c r="J42" s="50">
        <v>3</v>
      </c>
      <c r="K42" s="50">
        <v>3</v>
      </c>
      <c r="L42" s="50">
        <v>5</v>
      </c>
      <c r="M42" s="50">
        <v>275</v>
      </c>
      <c r="N42" s="50">
        <v>0</v>
      </c>
      <c r="O42" s="15">
        <f t="shared" si="0"/>
        <v>194</v>
      </c>
      <c r="P42" s="15">
        <f t="shared" si="1"/>
        <v>469</v>
      </c>
    </row>
    <row r="43" spans="2:20" ht="23.1" customHeight="1" x14ac:dyDescent="0.25">
      <c r="B43" s="23" t="s">
        <v>70</v>
      </c>
      <c r="C43" s="50">
        <v>73</v>
      </c>
      <c r="D43" s="50">
        <v>37</v>
      </c>
      <c r="E43" s="50">
        <v>35</v>
      </c>
      <c r="F43" s="50">
        <v>40</v>
      </c>
      <c r="G43" s="50">
        <v>3</v>
      </c>
      <c r="H43" s="50">
        <v>0</v>
      </c>
      <c r="I43" s="50">
        <v>9</v>
      </c>
      <c r="J43" s="50">
        <v>4</v>
      </c>
      <c r="K43" s="50">
        <v>1</v>
      </c>
      <c r="L43" s="50">
        <v>4</v>
      </c>
      <c r="M43" s="50">
        <v>255</v>
      </c>
      <c r="N43" s="50">
        <v>0</v>
      </c>
      <c r="O43" s="15">
        <f t="shared" si="0"/>
        <v>206</v>
      </c>
      <c r="P43" s="15">
        <f t="shared" si="1"/>
        <v>461</v>
      </c>
    </row>
    <row r="44" spans="2:20" ht="23.1" customHeight="1" x14ac:dyDescent="0.25">
      <c r="B44" s="25" t="s">
        <v>71</v>
      </c>
      <c r="C44" s="50">
        <v>54</v>
      </c>
      <c r="D44" s="50">
        <v>26</v>
      </c>
      <c r="E44" s="50">
        <v>24</v>
      </c>
      <c r="F44" s="50">
        <v>74</v>
      </c>
      <c r="G44" s="50">
        <v>1</v>
      </c>
      <c r="H44" s="50">
        <v>0</v>
      </c>
      <c r="I44" s="50">
        <v>5</v>
      </c>
      <c r="J44" s="50">
        <v>3</v>
      </c>
      <c r="K44" s="50">
        <v>0</v>
      </c>
      <c r="L44" s="50">
        <v>0</v>
      </c>
      <c r="M44" s="50">
        <v>335</v>
      </c>
      <c r="N44" s="50">
        <v>0</v>
      </c>
      <c r="O44" s="15">
        <f t="shared" si="0"/>
        <v>187</v>
      </c>
      <c r="P44" s="15">
        <f t="shared" si="1"/>
        <v>522</v>
      </c>
    </row>
    <row r="45" spans="2:20" ht="23.1" customHeight="1" x14ac:dyDescent="0.25">
      <c r="B45" s="23" t="s">
        <v>72</v>
      </c>
      <c r="C45" s="50">
        <v>31</v>
      </c>
      <c r="D45" s="50">
        <v>38</v>
      </c>
      <c r="E45" s="50">
        <v>18</v>
      </c>
      <c r="F45" s="50">
        <v>47</v>
      </c>
      <c r="G45" s="50">
        <v>2</v>
      </c>
      <c r="H45" s="50">
        <v>0</v>
      </c>
      <c r="I45" s="50">
        <v>5</v>
      </c>
      <c r="J45" s="50">
        <v>0</v>
      </c>
      <c r="K45" s="50">
        <v>2</v>
      </c>
      <c r="L45" s="50">
        <v>3</v>
      </c>
      <c r="M45" s="50">
        <v>210</v>
      </c>
      <c r="N45" s="50">
        <v>0</v>
      </c>
      <c r="O45" s="15">
        <f t="shared" si="0"/>
        <v>146</v>
      </c>
      <c r="P45" s="15">
        <f t="shared" si="1"/>
        <v>356</v>
      </c>
    </row>
    <row r="46" spans="2:20" ht="23.1" customHeight="1" x14ac:dyDescent="0.25">
      <c r="B46" s="24" t="s">
        <v>73</v>
      </c>
      <c r="C46" s="50">
        <v>46</v>
      </c>
      <c r="D46" s="50">
        <v>38</v>
      </c>
      <c r="E46" s="50">
        <v>24</v>
      </c>
      <c r="F46" s="50">
        <v>41</v>
      </c>
      <c r="G46" s="50">
        <v>1</v>
      </c>
      <c r="H46" s="50">
        <v>0</v>
      </c>
      <c r="I46" s="50">
        <v>7</v>
      </c>
      <c r="J46" s="50">
        <v>1</v>
      </c>
      <c r="K46" s="50">
        <v>0</v>
      </c>
      <c r="L46" s="50">
        <v>3</v>
      </c>
      <c r="M46" s="50">
        <v>215</v>
      </c>
      <c r="N46" s="50">
        <v>0</v>
      </c>
      <c r="O46" s="15">
        <f t="shared" si="0"/>
        <v>161</v>
      </c>
      <c r="P46" s="15">
        <f t="shared" si="1"/>
        <v>376</v>
      </c>
      <c r="R46" s="8"/>
      <c r="T46"/>
    </row>
    <row r="47" spans="2:20" ht="23.1" customHeight="1" x14ac:dyDescent="0.25">
      <c r="B47" s="24" t="s">
        <v>74</v>
      </c>
      <c r="C47" s="50">
        <v>37</v>
      </c>
      <c r="D47" s="50">
        <v>15</v>
      </c>
      <c r="E47" s="50">
        <v>2</v>
      </c>
      <c r="F47" s="50">
        <v>38</v>
      </c>
      <c r="G47" s="50">
        <v>2</v>
      </c>
      <c r="H47" s="50">
        <v>1</v>
      </c>
      <c r="I47" s="50">
        <v>4</v>
      </c>
      <c r="J47" s="50">
        <v>3</v>
      </c>
      <c r="K47" s="50">
        <v>1</v>
      </c>
      <c r="L47" s="50">
        <v>9</v>
      </c>
      <c r="M47" s="50">
        <v>260</v>
      </c>
      <c r="N47" s="50">
        <v>0</v>
      </c>
      <c r="O47" s="15">
        <f t="shared" si="0"/>
        <v>112</v>
      </c>
      <c r="P47" s="15">
        <f t="shared" si="1"/>
        <v>372</v>
      </c>
      <c r="R47" s="8"/>
      <c r="T47"/>
    </row>
    <row r="48" spans="2:20" ht="23.1" customHeight="1" x14ac:dyDescent="0.25">
      <c r="B48" s="24" t="s">
        <v>75</v>
      </c>
      <c r="C48" s="50">
        <v>53</v>
      </c>
      <c r="D48" s="50">
        <v>32</v>
      </c>
      <c r="E48" s="50">
        <v>4</v>
      </c>
      <c r="F48" s="50">
        <v>46</v>
      </c>
      <c r="G48" s="50">
        <v>1</v>
      </c>
      <c r="H48" s="50">
        <v>0</v>
      </c>
      <c r="I48" s="50">
        <v>3</v>
      </c>
      <c r="J48" s="50">
        <v>3</v>
      </c>
      <c r="K48" s="50">
        <v>3</v>
      </c>
      <c r="L48" s="50">
        <v>3</v>
      </c>
      <c r="M48" s="50">
        <v>199</v>
      </c>
      <c r="N48" s="50">
        <v>0</v>
      </c>
      <c r="O48" s="15">
        <f t="shared" si="0"/>
        <v>148</v>
      </c>
      <c r="P48" s="15">
        <f t="shared" si="1"/>
        <v>347</v>
      </c>
      <c r="R48" s="8"/>
      <c r="T48"/>
    </row>
    <row r="49" spans="2:20" ht="23.1" customHeight="1" x14ac:dyDescent="0.25">
      <c r="B49" s="23" t="s">
        <v>76</v>
      </c>
      <c r="C49" s="50">
        <v>21</v>
      </c>
      <c r="D49" s="50">
        <v>23</v>
      </c>
      <c r="E49" s="50">
        <v>3</v>
      </c>
      <c r="F49" s="50">
        <v>45</v>
      </c>
      <c r="G49" s="50">
        <v>4</v>
      </c>
      <c r="H49" s="50">
        <v>1</v>
      </c>
      <c r="I49" s="50">
        <v>10</v>
      </c>
      <c r="J49" s="50">
        <v>1</v>
      </c>
      <c r="K49" s="50">
        <v>3</v>
      </c>
      <c r="L49" s="50">
        <v>6</v>
      </c>
      <c r="M49" s="50">
        <v>280</v>
      </c>
      <c r="N49" s="50">
        <v>0</v>
      </c>
      <c r="O49" s="15">
        <f t="shared" si="0"/>
        <v>117</v>
      </c>
      <c r="P49" s="15">
        <f t="shared" si="1"/>
        <v>397</v>
      </c>
      <c r="R49" s="8"/>
      <c r="T49"/>
    </row>
    <row r="50" spans="2:20" ht="23.1" customHeight="1" x14ac:dyDescent="0.25">
      <c r="B50" s="24" t="s">
        <v>77</v>
      </c>
      <c r="C50" s="50">
        <v>32</v>
      </c>
      <c r="D50" s="50">
        <v>28</v>
      </c>
      <c r="E50" s="50">
        <v>12</v>
      </c>
      <c r="F50" s="50">
        <v>49</v>
      </c>
      <c r="G50" s="50">
        <v>0</v>
      </c>
      <c r="H50" s="50">
        <v>0</v>
      </c>
      <c r="I50" s="50">
        <v>7</v>
      </c>
      <c r="J50" s="50">
        <v>5</v>
      </c>
      <c r="K50" s="50">
        <v>3</v>
      </c>
      <c r="L50" s="50">
        <v>2</v>
      </c>
      <c r="M50" s="50">
        <v>280</v>
      </c>
      <c r="N50" s="50">
        <v>0</v>
      </c>
      <c r="O50" s="15">
        <f t="shared" si="0"/>
        <v>138</v>
      </c>
      <c r="P50" s="15">
        <f t="shared" si="1"/>
        <v>418</v>
      </c>
      <c r="R50" s="8"/>
      <c r="T50"/>
    </row>
    <row r="51" spans="2:20" ht="23.1" customHeight="1" x14ac:dyDescent="0.25">
      <c r="B51" s="24" t="s">
        <v>78</v>
      </c>
      <c r="C51" s="50">
        <v>35</v>
      </c>
      <c r="D51" s="50">
        <v>21</v>
      </c>
      <c r="E51" s="50">
        <v>11</v>
      </c>
      <c r="F51" s="50">
        <v>34</v>
      </c>
      <c r="G51" s="50">
        <v>1</v>
      </c>
      <c r="H51" s="50">
        <v>0</v>
      </c>
      <c r="I51" s="50">
        <v>3</v>
      </c>
      <c r="J51" s="50">
        <v>0</v>
      </c>
      <c r="K51" s="50">
        <v>2</v>
      </c>
      <c r="L51" s="50">
        <v>0</v>
      </c>
      <c r="M51" s="50">
        <v>320</v>
      </c>
      <c r="N51" s="50">
        <v>0</v>
      </c>
      <c r="O51" s="15">
        <f t="shared" si="0"/>
        <v>107</v>
      </c>
      <c r="P51" s="15">
        <f t="shared" si="1"/>
        <v>427</v>
      </c>
      <c r="R51" s="8"/>
      <c r="T51"/>
    </row>
    <row r="52" spans="2:20" ht="23.1" customHeight="1" x14ac:dyDescent="0.25">
      <c r="B52" s="24" t="s">
        <v>79</v>
      </c>
      <c r="C52" s="50">
        <v>32</v>
      </c>
      <c r="D52" s="50">
        <v>22</v>
      </c>
      <c r="E52" s="50">
        <v>13</v>
      </c>
      <c r="F52" s="50">
        <v>37</v>
      </c>
      <c r="G52" s="50">
        <v>2</v>
      </c>
      <c r="H52" s="50">
        <v>2</v>
      </c>
      <c r="I52" s="50">
        <v>2</v>
      </c>
      <c r="J52" s="50">
        <v>3</v>
      </c>
      <c r="K52" s="50">
        <v>1</v>
      </c>
      <c r="L52" s="50">
        <v>3</v>
      </c>
      <c r="M52" s="50">
        <v>345</v>
      </c>
      <c r="N52" s="50">
        <v>0</v>
      </c>
      <c r="O52" s="15">
        <f t="shared" si="0"/>
        <v>117</v>
      </c>
      <c r="P52" s="15">
        <f t="shared" si="1"/>
        <v>462</v>
      </c>
      <c r="R52" s="8"/>
      <c r="T52"/>
    </row>
    <row r="53" spans="2:20" ht="23.1" customHeight="1" x14ac:dyDescent="0.25">
      <c r="B53" s="23" t="s">
        <v>80</v>
      </c>
      <c r="C53" s="50">
        <v>23</v>
      </c>
      <c r="D53" s="50">
        <v>14</v>
      </c>
      <c r="E53" s="50">
        <v>11</v>
      </c>
      <c r="F53" s="50">
        <v>35</v>
      </c>
      <c r="G53" s="50">
        <v>3</v>
      </c>
      <c r="H53" s="50">
        <v>1</v>
      </c>
      <c r="I53" s="50">
        <v>4</v>
      </c>
      <c r="J53" s="50">
        <v>2</v>
      </c>
      <c r="K53" s="50">
        <v>2</v>
      </c>
      <c r="L53" s="50">
        <v>7</v>
      </c>
      <c r="M53" s="50">
        <v>205</v>
      </c>
      <c r="N53" s="50">
        <v>0</v>
      </c>
      <c r="O53" s="15">
        <f t="shared" si="0"/>
        <v>102</v>
      </c>
      <c r="P53" s="15">
        <f t="shared" si="1"/>
        <v>307</v>
      </c>
      <c r="R53" s="8"/>
      <c r="T53"/>
    </row>
    <row r="54" spans="2:20" ht="23.1" customHeight="1" x14ac:dyDescent="0.25">
      <c r="B54" s="23" t="s">
        <v>81</v>
      </c>
      <c r="C54" s="50">
        <v>23</v>
      </c>
      <c r="D54" s="50">
        <v>21</v>
      </c>
      <c r="E54" s="50">
        <v>12</v>
      </c>
      <c r="F54" s="50">
        <v>85</v>
      </c>
      <c r="G54" s="50">
        <v>1</v>
      </c>
      <c r="H54" s="50">
        <v>1</v>
      </c>
      <c r="I54" s="50">
        <v>8</v>
      </c>
      <c r="J54" s="50">
        <v>4</v>
      </c>
      <c r="K54" s="50">
        <v>2</v>
      </c>
      <c r="L54" s="50">
        <v>4</v>
      </c>
      <c r="M54" s="50">
        <v>250</v>
      </c>
      <c r="N54" s="50">
        <v>0</v>
      </c>
      <c r="O54" s="15">
        <f t="shared" si="0"/>
        <v>161</v>
      </c>
      <c r="P54" s="15">
        <f t="shared" si="1"/>
        <v>411</v>
      </c>
      <c r="R54" s="8"/>
      <c r="T54"/>
    </row>
    <row r="55" spans="2:20" ht="23.1" customHeight="1" x14ac:dyDescent="0.25">
      <c r="B55" s="23" t="s">
        <v>82</v>
      </c>
      <c r="C55" s="50">
        <v>50</v>
      </c>
      <c r="D55" s="50">
        <v>33</v>
      </c>
      <c r="E55" s="50">
        <v>20</v>
      </c>
      <c r="F55" s="50">
        <v>60</v>
      </c>
      <c r="G55" s="50">
        <v>1</v>
      </c>
      <c r="H55" s="50">
        <v>1</v>
      </c>
      <c r="I55" s="50">
        <v>8</v>
      </c>
      <c r="J55" s="50">
        <v>4</v>
      </c>
      <c r="K55" s="50">
        <v>2</v>
      </c>
      <c r="L55" s="50">
        <v>4</v>
      </c>
      <c r="M55" s="50">
        <v>205</v>
      </c>
      <c r="N55" s="50">
        <v>0</v>
      </c>
      <c r="O55" s="15">
        <f t="shared" si="0"/>
        <v>183</v>
      </c>
      <c r="P55" s="15">
        <f t="shared" si="1"/>
        <v>388</v>
      </c>
      <c r="R55" s="8"/>
      <c r="T55"/>
    </row>
    <row r="56" spans="2:20" ht="23.1" customHeight="1" x14ac:dyDescent="0.25">
      <c r="B56" s="23" t="s">
        <v>83</v>
      </c>
      <c r="C56" s="50">
        <v>35</v>
      </c>
      <c r="D56" s="50">
        <v>25</v>
      </c>
      <c r="E56" s="50">
        <v>10</v>
      </c>
      <c r="F56" s="50">
        <v>67</v>
      </c>
      <c r="G56" s="50">
        <v>3</v>
      </c>
      <c r="H56" s="50">
        <v>1</v>
      </c>
      <c r="I56" s="50">
        <v>3</v>
      </c>
      <c r="J56" s="50">
        <v>3</v>
      </c>
      <c r="K56" s="50">
        <v>2</v>
      </c>
      <c r="L56" s="50">
        <v>4</v>
      </c>
      <c r="M56" s="50">
        <v>345</v>
      </c>
      <c r="N56" s="50">
        <v>0</v>
      </c>
      <c r="O56" s="15">
        <f t="shared" si="0"/>
        <v>153</v>
      </c>
      <c r="P56" s="15">
        <f t="shared" si="1"/>
        <v>498</v>
      </c>
      <c r="R56" s="8"/>
      <c r="T56"/>
    </row>
    <row r="57" spans="2:20" ht="23.1" customHeight="1" x14ac:dyDescent="0.25">
      <c r="B57" s="23" t="s">
        <v>84</v>
      </c>
      <c r="C57" s="50">
        <v>49</v>
      </c>
      <c r="D57" s="50">
        <v>8</v>
      </c>
      <c r="E57" s="50">
        <v>4</v>
      </c>
      <c r="F57" s="50">
        <v>56</v>
      </c>
      <c r="G57" s="50">
        <v>2</v>
      </c>
      <c r="H57" s="50">
        <v>0</v>
      </c>
      <c r="I57" s="50">
        <v>0</v>
      </c>
      <c r="J57" s="50">
        <v>4</v>
      </c>
      <c r="K57" s="50">
        <v>7</v>
      </c>
      <c r="L57" s="50">
        <v>2</v>
      </c>
      <c r="M57" s="50">
        <v>365</v>
      </c>
      <c r="N57" s="50">
        <v>0</v>
      </c>
      <c r="O57" s="15">
        <f t="shared" si="0"/>
        <v>132</v>
      </c>
      <c r="P57" s="15">
        <f t="shared" si="1"/>
        <v>497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3284</v>
      </c>
      <c r="D58" s="16">
        <f t="shared" si="21"/>
        <v>1521</v>
      </c>
      <c r="E58" s="16">
        <f t="shared" si="21"/>
        <v>1047</v>
      </c>
      <c r="F58" s="16">
        <f t="shared" si="21"/>
        <v>2478</v>
      </c>
      <c r="G58" s="16">
        <f t="shared" si="21"/>
        <v>99</v>
      </c>
      <c r="H58" s="16">
        <f t="shared" si="21"/>
        <v>20</v>
      </c>
      <c r="I58" s="16">
        <f t="shared" si="21"/>
        <v>268</v>
      </c>
      <c r="J58" s="16">
        <f t="shared" si="21"/>
        <v>114</v>
      </c>
      <c r="K58" s="16">
        <f t="shared" si="21"/>
        <v>86</v>
      </c>
      <c r="L58" s="16">
        <f t="shared" si="21"/>
        <v>183</v>
      </c>
      <c r="M58" s="16">
        <f t="shared" si="21"/>
        <v>15412</v>
      </c>
      <c r="N58" s="16">
        <f t="shared" si="21"/>
        <v>0</v>
      </c>
      <c r="O58" s="16">
        <f t="shared" si="21"/>
        <v>9100</v>
      </c>
      <c r="P58" s="16">
        <f t="shared" si="21"/>
        <v>24512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0.13397519582245432</v>
      </c>
      <c r="D59" s="43">
        <f t="shared" si="22"/>
        <v>6.2051240208877284E-2</v>
      </c>
      <c r="E59" s="43">
        <f t="shared" si="22"/>
        <v>4.2713772845952999E-2</v>
      </c>
      <c r="F59" s="43">
        <f t="shared" si="22"/>
        <v>0.10109334203655353</v>
      </c>
      <c r="G59" s="43">
        <f t="shared" si="22"/>
        <v>4.0388381201044389E-3</v>
      </c>
      <c r="H59" s="43">
        <f t="shared" si="22"/>
        <v>8.159268929503916E-4</v>
      </c>
      <c r="I59" s="43">
        <f t="shared" si="22"/>
        <v>1.0933420365535249E-2</v>
      </c>
      <c r="J59" s="43">
        <f t="shared" si="22"/>
        <v>4.6507832898172322E-3</v>
      </c>
      <c r="K59" s="43">
        <f t="shared" si="22"/>
        <v>3.5084856396866843E-3</v>
      </c>
      <c r="L59" s="43">
        <f t="shared" si="22"/>
        <v>7.4657310704960836E-3</v>
      </c>
      <c r="M59" s="43">
        <f t="shared" si="22"/>
        <v>0.62875326370757179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0.36087912087912088</v>
      </c>
      <c r="D60" s="44">
        <f t="shared" ref="D60:N60" si="23">D58/$O$58</f>
        <v>0.16714285714285715</v>
      </c>
      <c r="E60" s="44">
        <f t="shared" si="23"/>
        <v>0.11505494505494505</v>
      </c>
      <c r="F60" s="44">
        <f t="shared" si="23"/>
        <v>0.27230769230769231</v>
      </c>
      <c r="G60" s="44">
        <f t="shared" si="23"/>
        <v>1.0879120879120879E-2</v>
      </c>
      <c r="H60" s="44">
        <f t="shared" si="23"/>
        <v>2.1978021978021978E-3</v>
      </c>
      <c r="I60" s="44">
        <f t="shared" si="23"/>
        <v>2.9450549450549451E-2</v>
      </c>
      <c r="J60" s="44">
        <f t="shared" si="23"/>
        <v>1.2527472527472527E-2</v>
      </c>
      <c r="K60" s="44">
        <f t="shared" si="23"/>
        <v>9.450549450549451E-3</v>
      </c>
      <c r="L60" s="44">
        <f t="shared" si="23"/>
        <v>2.0109890109890109E-2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3" zoomScale="66" zoomScaleSheetLayoutView="66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Motors-Kyambogo'!C3:G3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3" t="str">
        <f>'01.08 Kyambogo-Spear Motors'!G5:H5</f>
        <v>PEPSI UGANDA</v>
      </c>
      <c r="H5" s="64"/>
      <c r="I5" s="14"/>
      <c r="J5" s="2" t="s">
        <v>5</v>
      </c>
      <c r="K5" s="63" t="str">
        <f>'01.08 Kyambogo-Spear Motors'!K5:L5</f>
        <v>WACHOMI R/GALABUZI R./MBAHA J/ASHABA K/LUBEGA S/KIKUMBAD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Spear Motors-Kyambogo'!D6:E6</f>
        <v>SPEAR MOTORS</v>
      </c>
      <c r="E6" s="64"/>
      <c r="F6" s="2" t="s">
        <v>2</v>
      </c>
      <c r="G6" s="63" t="str">
        <f>'29.07 Spear Motors-Kyambogo'!G6:H6</f>
        <v>KYAMBOGO</v>
      </c>
      <c r="H6" s="64"/>
      <c r="J6" s="2" t="s">
        <v>21</v>
      </c>
      <c r="K6" s="63" t="str">
        <f>'01.08 Kyambogo-Spear Motors'!K6:L6</f>
        <v>ANDREW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15</v>
      </c>
      <c r="D10" s="50">
        <v>11</v>
      </c>
      <c r="E10" s="50">
        <v>11</v>
      </c>
      <c r="F10" s="50">
        <v>35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90</v>
      </c>
      <c r="N10" s="50">
        <v>0</v>
      </c>
      <c r="O10" s="15">
        <f t="shared" ref="O10:O41" si="0">SUM(C10:L10,N10)</f>
        <v>73</v>
      </c>
      <c r="P10" s="15">
        <f t="shared" ref="P10:P41" si="1">SUM(C10:N10)</f>
        <v>163</v>
      </c>
      <c r="R10" s="1" t="s">
        <v>6</v>
      </c>
      <c r="S10" s="17">
        <f t="shared" ref="S10:AC10" si="2">SUM(C10:C13)</f>
        <v>173</v>
      </c>
      <c r="T10" s="17">
        <f t="shared" si="2"/>
        <v>28</v>
      </c>
      <c r="U10" s="17">
        <f t="shared" si="2"/>
        <v>49</v>
      </c>
      <c r="V10" s="17">
        <f t="shared" si="2"/>
        <v>155</v>
      </c>
      <c r="W10" s="17">
        <f t="shared" si="2"/>
        <v>9</v>
      </c>
      <c r="X10" s="17">
        <f t="shared" si="2"/>
        <v>6</v>
      </c>
      <c r="Y10" s="17">
        <f t="shared" si="2"/>
        <v>13</v>
      </c>
      <c r="Z10" s="17">
        <f t="shared" si="2"/>
        <v>3</v>
      </c>
      <c r="AA10" s="17">
        <f t="shared" si="2"/>
        <v>1</v>
      </c>
      <c r="AB10" s="17">
        <f t="shared" si="2"/>
        <v>3</v>
      </c>
      <c r="AC10" s="17">
        <f t="shared" si="2"/>
        <v>455</v>
      </c>
      <c r="AD10" s="17">
        <f t="shared" ref="AD10:AF10" si="3">SUM(N10:N13)</f>
        <v>0</v>
      </c>
      <c r="AE10" s="31">
        <f t="shared" si="3"/>
        <v>440</v>
      </c>
      <c r="AF10" s="31">
        <f t="shared" si="3"/>
        <v>895</v>
      </c>
    </row>
    <row r="11" spans="2:32" s="6" customFormat="1" ht="23.1" customHeight="1" x14ac:dyDescent="0.25">
      <c r="B11" s="45" t="s">
        <v>38</v>
      </c>
      <c r="C11" s="50">
        <v>23</v>
      </c>
      <c r="D11" s="50">
        <v>7</v>
      </c>
      <c r="E11" s="50">
        <v>12</v>
      </c>
      <c r="F11" s="50">
        <v>30</v>
      </c>
      <c r="G11" s="50">
        <v>2</v>
      </c>
      <c r="H11" s="50">
        <v>2</v>
      </c>
      <c r="I11" s="50">
        <v>0</v>
      </c>
      <c r="J11" s="50">
        <v>0</v>
      </c>
      <c r="K11" s="50">
        <v>0</v>
      </c>
      <c r="L11" s="50">
        <v>0</v>
      </c>
      <c r="M11" s="50">
        <v>100</v>
      </c>
      <c r="N11" s="50">
        <v>0</v>
      </c>
      <c r="O11" s="15">
        <f t="shared" si="0"/>
        <v>76</v>
      </c>
      <c r="P11" s="15">
        <f t="shared" si="1"/>
        <v>176</v>
      </c>
      <c r="R11" s="1" t="s">
        <v>7</v>
      </c>
      <c r="S11" s="17">
        <f t="shared" ref="S11:AC11" si="4">SUM(C14:C17)</f>
        <v>229</v>
      </c>
      <c r="T11" s="17">
        <f t="shared" si="4"/>
        <v>44</v>
      </c>
      <c r="U11" s="17">
        <f t="shared" si="4"/>
        <v>26</v>
      </c>
      <c r="V11" s="17">
        <f t="shared" si="4"/>
        <v>235</v>
      </c>
      <c r="W11" s="17">
        <f t="shared" si="4"/>
        <v>12</v>
      </c>
      <c r="X11" s="17">
        <f t="shared" si="4"/>
        <v>4</v>
      </c>
      <c r="Y11" s="17">
        <f t="shared" si="4"/>
        <v>23</v>
      </c>
      <c r="Z11" s="17">
        <f t="shared" si="4"/>
        <v>12</v>
      </c>
      <c r="AA11" s="17">
        <f t="shared" si="4"/>
        <v>10</v>
      </c>
      <c r="AB11" s="17">
        <f t="shared" si="4"/>
        <v>8</v>
      </c>
      <c r="AC11" s="17">
        <f t="shared" si="4"/>
        <v>1115</v>
      </c>
      <c r="AD11" s="17">
        <f t="shared" ref="AD11:AF11" si="5">SUM(N14:N17)</f>
        <v>0</v>
      </c>
      <c r="AE11" s="31">
        <f t="shared" si="5"/>
        <v>603</v>
      </c>
      <c r="AF11" s="31">
        <f t="shared" si="5"/>
        <v>1718</v>
      </c>
    </row>
    <row r="12" spans="2:32" ht="23.1" customHeight="1" x14ac:dyDescent="0.25">
      <c r="B12" s="45" t="s">
        <v>39</v>
      </c>
      <c r="C12" s="50">
        <v>50</v>
      </c>
      <c r="D12" s="50">
        <v>4</v>
      </c>
      <c r="E12" s="50">
        <v>11</v>
      </c>
      <c r="F12" s="50">
        <v>37</v>
      </c>
      <c r="G12" s="50">
        <v>1</v>
      </c>
      <c r="H12" s="50">
        <v>2</v>
      </c>
      <c r="I12" s="50">
        <v>7</v>
      </c>
      <c r="J12" s="50">
        <v>1</v>
      </c>
      <c r="K12" s="50">
        <v>0</v>
      </c>
      <c r="L12" s="50">
        <v>1</v>
      </c>
      <c r="M12" s="50">
        <v>105</v>
      </c>
      <c r="N12" s="50">
        <v>0</v>
      </c>
      <c r="O12" s="15">
        <f t="shared" si="0"/>
        <v>114</v>
      </c>
      <c r="P12" s="15">
        <f t="shared" si="1"/>
        <v>219</v>
      </c>
      <c r="R12" s="1" t="s">
        <v>8</v>
      </c>
      <c r="S12" s="17">
        <f t="shared" ref="S12:AC12" si="6">SUM(C18:C21)</f>
        <v>231</v>
      </c>
      <c r="T12" s="17">
        <f t="shared" si="6"/>
        <v>42</v>
      </c>
      <c r="U12" s="17">
        <f t="shared" si="6"/>
        <v>30</v>
      </c>
      <c r="V12" s="17">
        <f t="shared" si="6"/>
        <v>259</v>
      </c>
      <c r="W12" s="17">
        <f t="shared" si="6"/>
        <v>8</v>
      </c>
      <c r="X12" s="17">
        <f t="shared" si="6"/>
        <v>4</v>
      </c>
      <c r="Y12" s="17">
        <f t="shared" si="6"/>
        <v>43</v>
      </c>
      <c r="Z12" s="17">
        <f t="shared" si="6"/>
        <v>21</v>
      </c>
      <c r="AA12" s="17">
        <f t="shared" si="6"/>
        <v>6</v>
      </c>
      <c r="AB12" s="17">
        <f t="shared" si="6"/>
        <v>12</v>
      </c>
      <c r="AC12" s="17">
        <f t="shared" si="6"/>
        <v>1425</v>
      </c>
      <c r="AD12" s="17">
        <f t="shared" ref="AD12:AF12" si="7">SUM(N18:N21)</f>
        <v>0</v>
      </c>
      <c r="AE12" s="31">
        <f t="shared" si="7"/>
        <v>656</v>
      </c>
      <c r="AF12" s="31">
        <f t="shared" si="7"/>
        <v>2081</v>
      </c>
    </row>
    <row r="13" spans="2:32" ht="23.1" customHeight="1" x14ac:dyDescent="0.25">
      <c r="B13" s="45" t="s">
        <v>40</v>
      </c>
      <c r="C13" s="50">
        <v>85</v>
      </c>
      <c r="D13" s="50">
        <v>6</v>
      </c>
      <c r="E13" s="50">
        <v>15</v>
      </c>
      <c r="F13" s="50">
        <v>53</v>
      </c>
      <c r="G13" s="50">
        <v>5</v>
      </c>
      <c r="H13" s="50">
        <v>2</v>
      </c>
      <c r="I13" s="50">
        <v>6</v>
      </c>
      <c r="J13" s="50">
        <v>2</v>
      </c>
      <c r="K13" s="50">
        <v>1</v>
      </c>
      <c r="L13" s="50">
        <v>2</v>
      </c>
      <c r="M13" s="50">
        <v>160</v>
      </c>
      <c r="N13" s="50">
        <v>0</v>
      </c>
      <c r="O13" s="15">
        <f t="shared" si="0"/>
        <v>177</v>
      </c>
      <c r="P13" s="15">
        <f t="shared" si="1"/>
        <v>337</v>
      </c>
      <c r="R13" s="1" t="s">
        <v>9</v>
      </c>
      <c r="S13" s="17">
        <f t="shared" ref="S13:AC13" si="8">SUM(C22:C25)</f>
        <v>240</v>
      </c>
      <c r="T13" s="17">
        <f t="shared" si="8"/>
        <v>53</v>
      </c>
      <c r="U13" s="17">
        <f t="shared" si="8"/>
        <v>38</v>
      </c>
      <c r="V13" s="17">
        <f t="shared" si="8"/>
        <v>238</v>
      </c>
      <c r="W13" s="17">
        <f t="shared" si="8"/>
        <v>5</v>
      </c>
      <c r="X13" s="17">
        <f t="shared" si="8"/>
        <v>2</v>
      </c>
      <c r="Y13" s="17">
        <f t="shared" si="8"/>
        <v>53</v>
      </c>
      <c r="Z13" s="17">
        <f t="shared" si="8"/>
        <v>17</v>
      </c>
      <c r="AA13" s="17">
        <f t="shared" si="8"/>
        <v>10</v>
      </c>
      <c r="AB13" s="17">
        <f t="shared" si="8"/>
        <v>23</v>
      </c>
      <c r="AC13" s="17">
        <f t="shared" si="8"/>
        <v>1070</v>
      </c>
      <c r="AD13" s="17">
        <f t="shared" ref="AD13:AF13" si="9">SUM(N22:N25)</f>
        <v>0</v>
      </c>
      <c r="AE13" s="31">
        <f t="shared" si="9"/>
        <v>679</v>
      </c>
      <c r="AF13" s="31">
        <f t="shared" si="9"/>
        <v>1749</v>
      </c>
    </row>
    <row r="14" spans="2:32" ht="23.1" customHeight="1" x14ac:dyDescent="0.25">
      <c r="B14" s="45" t="s">
        <v>41</v>
      </c>
      <c r="C14" s="50">
        <v>72</v>
      </c>
      <c r="D14" s="50">
        <v>16</v>
      </c>
      <c r="E14" s="50">
        <v>10</v>
      </c>
      <c r="F14" s="50">
        <v>63</v>
      </c>
      <c r="G14" s="50">
        <v>2</v>
      </c>
      <c r="H14" s="50">
        <v>0</v>
      </c>
      <c r="I14" s="50">
        <v>6</v>
      </c>
      <c r="J14" s="50">
        <v>2</v>
      </c>
      <c r="K14" s="50">
        <v>3</v>
      </c>
      <c r="L14" s="50">
        <v>1</v>
      </c>
      <c r="M14" s="50">
        <v>250</v>
      </c>
      <c r="N14" s="50">
        <v>0</v>
      </c>
      <c r="O14" s="15">
        <f t="shared" si="0"/>
        <v>175</v>
      </c>
      <c r="P14" s="15">
        <f t="shared" si="1"/>
        <v>425</v>
      </c>
      <c r="R14" s="1" t="s">
        <v>10</v>
      </c>
      <c r="S14" s="17">
        <f t="shared" ref="S14:AC14" si="10">SUM(C26:C29)</f>
        <v>217</v>
      </c>
      <c r="T14" s="17">
        <f t="shared" si="10"/>
        <v>48</v>
      </c>
      <c r="U14" s="17">
        <f t="shared" si="10"/>
        <v>31</v>
      </c>
      <c r="V14" s="17">
        <f t="shared" si="10"/>
        <v>252</v>
      </c>
      <c r="W14" s="17">
        <f t="shared" si="10"/>
        <v>7</v>
      </c>
      <c r="X14" s="17">
        <f t="shared" si="10"/>
        <v>3</v>
      </c>
      <c r="Y14" s="17">
        <f t="shared" si="10"/>
        <v>35</v>
      </c>
      <c r="Z14" s="17">
        <f t="shared" si="10"/>
        <v>38</v>
      </c>
      <c r="AA14" s="17">
        <f t="shared" si="10"/>
        <v>4</v>
      </c>
      <c r="AB14" s="17">
        <f t="shared" si="10"/>
        <v>13</v>
      </c>
      <c r="AC14" s="17">
        <f t="shared" si="10"/>
        <v>1170</v>
      </c>
      <c r="AD14" s="17">
        <f t="shared" ref="AD14:AF14" si="11">SUM(N26:N29)</f>
        <v>0</v>
      </c>
      <c r="AE14" s="31">
        <f t="shared" si="11"/>
        <v>648</v>
      </c>
      <c r="AF14" s="31">
        <f t="shared" si="11"/>
        <v>1818</v>
      </c>
    </row>
    <row r="15" spans="2:32" ht="23.1" customHeight="1" x14ac:dyDescent="0.25">
      <c r="B15" s="45" t="s">
        <v>42</v>
      </c>
      <c r="C15" s="50">
        <v>60</v>
      </c>
      <c r="D15" s="50">
        <v>12</v>
      </c>
      <c r="E15" s="50">
        <v>8</v>
      </c>
      <c r="F15" s="50">
        <v>65</v>
      </c>
      <c r="G15" s="50">
        <v>6</v>
      </c>
      <c r="H15" s="50">
        <v>2</v>
      </c>
      <c r="I15" s="50">
        <v>5</v>
      </c>
      <c r="J15" s="50">
        <v>3</v>
      </c>
      <c r="K15" s="50">
        <v>6</v>
      </c>
      <c r="L15" s="50">
        <v>3</v>
      </c>
      <c r="M15" s="50">
        <v>205</v>
      </c>
      <c r="N15" s="50">
        <v>0</v>
      </c>
      <c r="O15" s="15">
        <f t="shared" si="0"/>
        <v>170</v>
      </c>
      <c r="P15" s="15">
        <f t="shared" si="1"/>
        <v>375</v>
      </c>
      <c r="R15" s="1" t="s">
        <v>11</v>
      </c>
      <c r="S15" s="17">
        <f t="shared" ref="S15:AC15" si="12">SUM(C30:C33)</f>
        <v>310</v>
      </c>
      <c r="T15" s="17">
        <f t="shared" si="12"/>
        <v>88</v>
      </c>
      <c r="U15" s="17">
        <f t="shared" si="12"/>
        <v>49</v>
      </c>
      <c r="V15" s="17">
        <f t="shared" si="12"/>
        <v>265</v>
      </c>
      <c r="W15" s="17">
        <f t="shared" si="12"/>
        <v>5</v>
      </c>
      <c r="X15" s="17">
        <f t="shared" si="12"/>
        <v>2</v>
      </c>
      <c r="Y15" s="17">
        <f t="shared" si="12"/>
        <v>29</v>
      </c>
      <c r="Z15" s="17">
        <f t="shared" si="12"/>
        <v>19</v>
      </c>
      <c r="AA15" s="17">
        <f t="shared" si="12"/>
        <v>7</v>
      </c>
      <c r="AB15" s="17">
        <f t="shared" si="12"/>
        <v>19</v>
      </c>
      <c r="AC15" s="17">
        <f t="shared" si="12"/>
        <v>1150</v>
      </c>
      <c r="AD15" s="17">
        <f t="shared" ref="AD15:AF15" si="13">SUM(N30:N33)</f>
        <v>0</v>
      </c>
      <c r="AE15" s="31">
        <f t="shared" si="13"/>
        <v>793</v>
      </c>
      <c r="AF15" s="31">
        <f t="shared" si="13"/>
        <v>1943</v>
      </c>
    </row>
    <row r="16" spans="2:32" ht="23.1" customHeight="1" x14ac:dyDescent="0.25">
      <c r="B16" s="45" t="s">
        <v>43</v>
      </c>
      <c r="C16" s="50">
        <v>62</v>
      </c>
      <c r="D16" s="50">
        <v>6</v>
      </c>
      <c r="E16" s="50">
        <v>6</v>
      </c>
      <c r="F16" s="50">
        <v>46</v>
      </c>
      <c r="G16" s="50">
        <v>0</v>
      </c>
      <c r="H16" s="50">
        <v>2</v>
      </c>
      <c r="I16" s="50">
        <v>4</v>
      </c>
      <c r="J16" s="50">
        <v>3</v>
      </c>
      <c r="K16" s="50">
        <v>1</v>
      </c>
      <c r="L16" s="50">
        <v>3</v>
      </c>
      <c r="M16" s="50">
        <v>205</v>
      </c>
      <c r="N16" s="50">
        <v>0</v>
      </c>
      <c r="O16" s="15">
        <f t="shared" si="0"/>
        <v>133</v>
      </c>
      <c r="P16" s="15">
        <f t="shared" si="1"/>
        <v>338</v>
      </c>
      <c r="R16" s="1" t="s">
        <v>12</v>
      </c>
      <c r="S16" s="17">
        <f t="shared" ref="S16:AC16" si="14">SUM(C34:C37)</f>
        <v>310</v>
      </c>
      <c r="T16" s="17">
        <f t="shared" si="14"/>
        <v>100</v>
      </c>
      <c r="U16" s="17">
        <f t="shared" si="14"/>
        <v>40</v>
      </c>
      <c r="V16" s="17">
        <f t="shared" si="14"/>
        <v>257</v>
      </c>
      <c r="W16" s="17">
        <f t="shared" si="14"/>
        <v>2</v>
      </c>
      <c r="X16" s="17">
        <f t="shared" si="14"/>
        <v>3</v>
      </c>
      <c r="Y16" s="17">
        <f t="shared" si="14"/>
        <v>20</v>
      </c>
      <c r="Z16" s="17">
        <f t="shared" si="14"/>
        <v>26</v>
      </c>
      <c r="AA16" s="17">
        <f t="shared" si="14"/>
        <v>8</v>
      </c>
      <c r="AB16" s="17">
        <f t="shared" si="14"/>
        <v>37</v>
      </c>
      <c r="AC16" s="17">
        <f t="shared" si="14"/>
        <v>1205</v>
      </c>
      <c r="AD16" s="17">
        <f t="shared" ref="AD16:AF16" si="15">SUM(N34:N37)</f>
        <v>0</v>
      </c>
      <c r="AE16" s="31">
        <f t="shared" si="15"/>
        <v>803</v>
      </c>
      <c r="AF16" s="31">
        <f t="shared" si="15"/>
        <v>2008</v>
      </c>
    </row>
    <row r="17" spans="2:32" ht="23.1" customHeight="1" x14ac:dyDescent="0.25">
      <c r="B17" s="45" t="s">
        <v>44</v>
      </c>
      <c r="C17" s="50">
        <v>35</v>
      </c>
      <c r="D17" s="50">
        <v>10</v>
      </c>
      <c r="E17" s="50">
        <v>2</v>
      </c>
      <c r="F17" s="50">
        <v>61</v>
      </c>
      <c r="G17" s="50">
        <v>4</v>
      </c>
      <c r="H17" s="50">
        <v>0</v>
      </c>
      <c r="I17" s="50">
        <v>8</v>
      </c>
      <c r="J17" s="50">
        <v>4</v>
      </c>
      <c r="K17" s="50">
        <v>0</v>
      </c>
      <c r="L17" s="50">
        <v>1</v>
      </c>
      <c r="M17" s="50">
        <v>455</v>
      </c>
      <c r="N17" s="50">
        <v>0</v>
      </c>
      <c r="O17" s="15">
        <f t="shared" si="0"/>
        <v>125</v>
      </c>
      <c r="P17" s="15">
        <f t="shared" si="1"/>
        <v>580</v>
      </c>
      <c r="R17" s="1" t="s">
        <v>13</v>
      </c>
      <c r="S17" s="17">
        <f t="shared" ref="S17:AC17" si="16">SUM(C38:C41)</f>
        <v>243</v>
      </c>
      <c r="T17" s="17">
        <f t="shared" si="16"/>
        <v>54</v>
      </c>
      <c r="U17" s="17">
        <f t="shared" si="16"/>
        <v>27</v>
      </c>
      <c r="V17" s="17">
        <f t="shared" si="16"/>
        <v>211</v>
      </c>
      <c r="W17" s="17">
        <f t="shared" si="16"/>
        <v>10</v>
      </c>
      <c r="X17" s="17">
        <f t="shared" si="16"/>
        <v>2</v>
      </c>
      <c r="Y17" s="17">
        <f t="shared" si="16"/>
        <v>35</v>
      </c>
      <c r="Z17" s="17">
        <f t="shared" si="16"/>
        <v>21</v>
      </c>
      <c r="AA17" s="17">
        <f t="shared" si="16"/>
        <v>6</v>
      </c>
      <c r="AB17" s="17">
        <f t="shared" si="16"/>
        <v>26</v>
      </c>
      <c r="AC17" s="17">
        <f t="shared" si="16"/>
        <v>1250</v>
      </c>
      <c r="AD17" s="17">
        <f t="shared" ref="AD17:AF17" si="17">SUM(N38:N41)</f>
        <v>0</v>
      </c>
      <c r="AE17" s="31">
        <f t="shared" si="17"/>
        <v>635</v>
      </c>
      <c r="AF17" s="31">
        <f t="shared" si="17"/>
        <v>1885</v>
      </c>
    </row>
    <row r="18" spans="2:32" ht="23.1" customHeight="1" x14ac:dyDescent="0.25">
      <c r="B18" s="45" t="s">
        <v>45</v>
      </c>
      <c r="C18" s="50">
        <v>62</v>
      </c>
      <c r="D18" s="50">
        <v>13</v>
      </c>
      <c r="E18" s="50">
        <v>10</v>
      </c>
      <c r="F18" s="50">
        <v>58</v>
      </c>
      <c r="G18" s="50">
        <v>2</v>
      </c>
      <c r="H18" s="50">
        <v>1</v>
      </c>
      <c r="I18" s="50">
        <v>11</v>
      </c>
      <c r="J18" s="50">
        <v>9</v>
      </c>
      <c r="K18" s="50">
        <v>3</v>
      </c>
      <c r="L18" s="50">
        <v>5</v>
      </c>
      <c r="M18" s="50">
        <v>395</v>
      </c>
      <c r="N18" s="50">
        <v>0</v>
      </c>
      <c r="O18" s="15">
        <f t="shared" si="0"/>
        <v>174</v>
      </c>
      <c r="P18" s="15">
        <f t="shared" si="1"/>
        <v>569</v>
      </c>
      <c r="R18" s="1" t="s">
        <v>14</v>
      </c>
      <c r="S18" s="17">
        <f t="shared" ref="S18:AC18" si="18">SUM(C42:C45)</f>
        <v>302</v>
      </c>
      <c r="T18" s="17">
        <f t="shared" si="18"/>
        <v>85</v>
      </c>
      <c r="U18" s="17">
        <f t="shared" si="18"/>
        <v>54</v>
      </c>
      <c r="V18" s="17">
        <f t="shared" si="18"/>
        <v>239</v>
      </c>
      <c r="W18" s="17">
        <f t="shared" si="18"/>
        <v>8</v>
      </c>
      <c r="X18" s="17">
        <f t="shared" si="18"/>
        <v>3</v>
      </c>
      <c r="Y18" s="17">
        <f t="shared" si="18"/>
        <v>38</v>
      </c>
      <c r="Z18" s="17">
        <f t="shared" si="18"/>
        <v>35</v>
      </c>
      <c r="AA18" s="17">
        <f t="shared" si="18"/>
        <v>4</v>
      </c>
      <c r="AB18" s="17">
        <f t="shared" si="18"/>
        <v>36</v>
      </c>
      <c r="AC18" s="17">
        <f t="shared" si="18"/>
        <v>1400</v>
      </c>
      <c r="AD18" s="17">
        <f t="shared" ref="AD18:AF18" si="19">SUM(N42:N45)</f>
        <v>0</v>
      </c>
      <c r="AE18" s="31">
        <f t="shared" si="19"/>
        <v>804</v>
      </c>
      <c r="AF18" s="31">
        <f t="shared" si="19"/>
        <v>2204</v>
      </c>
    </row>
    <row r="19" spans="2:32" ht="23.1" customHeight="1" x14ac:dyDescent="0.25">
      <c r="B19" s="45" t="s">
        <v>46</v>
      </c>
      <c r="C19" s="50">
        <v>45</v>
      </c>
      <c r="D19" s="50">
        <v>9</v>
      </c>
      <c r="E19" s="50">
        <v>4</v>
      </c>
      <c r="F19" s="50">
        <v>67</v>
      </c>
      <c r="G19" s="50">
        <v>4</v>
      </c>
      <c r="H19" s="50">
        <v>1</v>
      </c>
      <c r="I19" s="50">
        <v>13</v>
      </c>
      <c r="J19" s="50">
        <v>3</v>
      </c>
      <c r="K19" s="50">
        <v>2</v>
      </c>
      <c r="L19" s="50">
        <v>1</v>
      </c>
      <c r="M19" s="50">
        <v>310</v>
      </c>
      <c r="N19" s="50">
        <v>0</v>
      </c>
      <c r="O19" s="15">
        <f t="shared" si="0"/>
        <v>149</v>
      </c>
      <c r="P19" s="15">
        <f t="shared" si="1"/>
        <v>459</v>
      </c>
      <c r="R19" s="1" t="s">
        <v>15</v>
      </c>
      <c r="S19" s="17">
        <f t="shared" ref="S19:AC19" si="20">SUM(C46:C49)</f>
        <v>464</v>
      </c>
      <c r="T19" s="17">
        <f t="shared" si="20"/>
        <v>132</v>
      </c>
      <c r="U19" s="17">
        <f t="shared" si="20"/>
        <v>49</v>
      </c>
      <c r="V19" s="17">
        <f t="shared" si="20"/>
        <v>220</v>
      </c>
      <c r="W19" s="17">
        <f t="shared" si="20"/>
        <v>3</v>
      </c>
      <c r="X19" s="17">
        <f t="shared" si="20"/>
        <v>1</v>
      </c>
      <c r="Y19" s="17">
        <f t="shared" si="20"/>
        <v>48</v>
      </c>
      <c r="Z19" s="17">
        <f t="shared" si="20"/>
        <v>35</v>
      </c>
      <c r="AA19" s="17">
        <f t="shared" si="20"/>
        <v>2</v>
      </c>
      <c r="AB19" s="17">
        <f t="shared" si="20"/>
        <v>17</v>
      </c>
      <c r="AC19" s="17">
        <f t="shared" si="20"/>
        <v>1225</v>
      </c>
      <c r="AD19" s="17">
        <f t="shared" ref="AD19:AF19" si="21">SUM(N46:N49)</f>
        <v>0</v>
      </c>
      <c r="AE19" s="31">
        <f t="shared" si="21"/>
        <v>971</v>
      </c>
      <c r="AF19" s="31">
        <f t="shared" si="21"/>
        <v>2196</v>
      </c>
    </row>
    <row r="20" spans="2:32" ht="23.1" customHeight="1" x14ac:dyDescent="0.25">
      <c r="B20" s="45" t="s">
        <v>47</v>
      </c>
      <c r="C20" s="50">
        <v>61</v>
      </c>
      <c r="D20" s="50">
        <v>13</v>
      </c>
      <c r="E20" s="50">
        <v>6</v>
      </c>
      <c r="F20" s="50">
        <v>62</v>
      </c>
      <c r="G20" s="50">
        <v>1</v>
      </c>
      <c r="H20" s="50">
        <v>2</v>
      </c>
      <c r="I20" s="50">
        <v>12</v>
      </c>
      <c r="J20" s="50">
        <v>4</v>
      </c>
      <c r="K20" s="50">
        <v>1</v>
      </c>
      <c r="L20" s="50">
        <v>1</v>
      </c>
      <c r="M20" s="50">
        <v>320</v>
      </c>
      <c r="N20" s="50">
        <v>0</v>
      </c>
      <c r="O20" s="15">
        <f t="shared" si="0"/>
        <v>163</v>
      </c>
      <c r="P20" s="15">
        <f t="shared" si="1"/>
        <v>483</v>
      </c>
      <c r="R20" s="1" t="s">
        <v>16</v>
      </c>
      <c r="S20" s="17">
        <f t="shared" ref="S20:AC20" si="22">SUM(C50:C53)</f>
        <v>461</v>
      </c>
      <c r="T20" s="17">
        <f t="shared" si="22"/>
        <v>133</v>
      </c>
      <c r="U20" s="17">
        <f t="shared" si="22"/>
        <v>68</v>
      </c>
      <c r="V20" s="17">
        <f t="shared" si="22"/>
        <v>247</v>
      </c>
      <c r="W20" s="17">
        <f t="shared" si="22"/>
        <v>9</v>
      </c>
      <c r="X20" s="17">
        <f t="shared" si="22"/>
        <v>1</v>
      </c>
      <c r="Y20" s="17">
        <f t="shared" si="22"/>
        <v>30</v>
      </c>
      <c r="Z20" s="17">
        <f t="shared" si="22"/>
        <v>29</v>
      </c>
      <c r="AA20" s="17">
        <f t="shared" si="22"/>
        <v>4</v>
      </c>
      <c r="AB20" s="17">
        <f t="shared" si="22"/>
        <v>11</v>
      </c>
      <c r="AC20" s="17">
        <f t="shared" si="22"/>
        <v>1230</v>
      </c>
      <c r="AD20" s="17">
        <f t="shared" ref="AD20:AF20" si="23">SUM(N50:N53)</f>
        <v>0</v>
      </c>
      <c r="AE20" s="31">
        <f t="shared" si="23"/>
        <v>993</v>
      </c>
      <c r="AF20" s="31">
        <f t="shared" si="23"/>
        <v>2223</v>
      </c>
    </row>
    <row r="21" spans="2:32" ht="23.1" customHeight="1" x14ac:dyDescent="0.25">
      <c r="B21" s="45" t="s">
        <v>48</v>
      </c>
      <c r="C21" s="50">
        <v>63</v>
      </c>
      <c r="D21" s="50">
        <v>7</v>
      </c>
      <c r="E21" s="50">
        <v>10</v>
      </c>
      <c r="F21" s="50">
        <v>72</v>
      </c>
      <c r="G21" s="50">
        <v>1</v>
      </c>
      <c r="H21" s="50">
        <v>0</v>
      </c>
      <c r="I21" s="50">
        <v>7</v>
      </c>
      <c r="J21" s="50">
        <v>5</v>
      </c>
      <c r="K21" s="50">
        <v>0</v>
      </c>
      <c r="L21" s="50">
        <v>5</v>
      </c>
      <c r="M21" s="50">
        <v>400</v>
      </c>
      <c r="N21" s="50">
        <v>0</v>
      </c>
      <c r="O21" s="15">
        <f t="shared" si="0"/>
        <v>170</v>
      </c>
      <c r="P21" s="15">
        <f t="shared" si="1"/>
        <v>570</v>
      </c>
      <c r="R21" s="36" t="s">
        <v>20</v>
      </c>
      <c r="S21" s="34">
        <f t="shared" ref="S21:AC21" si="24">SUM(C54:C57)</f>
        <v>608</v>
      </c>
      <c r="T21" s="17">
        <f t="shared" si="24"/>
        <v>212</v>
      </c>
      <c r="U21" s="17">
        <f t="shared" si="24"/>
        <v>114</v>
      </c>
      <c r="V21" s="17">
        <f t="shared" si="24"/>
        <v>273</v>
      </c>
      <c r="W21" s="17">
        <f t="shared" si="24"/>
        <v>6</v>
      </c>
      <c r="X21" s="17">
        <f t="shared" si="24"/>
        <v>4</v>
      </c>
      <c r="Y21" s="17">
        <f t="shared" si="24"/>
        <v>31</v>
      </c>
      <c r="Z21" s="17">
        <f t="shared" si="24"/>
        <v>17</v>
      </c>
      <c r="AA21" s="17">
        <f t="shared" si="24"/>
        <v>3</v>
      </c>
      <c r="AB21" s="17">
        <f t="shared" si="24"/>
        <v>5</v>
      </c>
      <c r="AC21" s="17">
        <f t="shared" si="24"/>
        <v>1265</v>
      </c>
      <c r="AD21" s="17">
        <f t="shared" ref="AD21:AF21" si="25">SUM(N54:N57)</f>
        <v>0</v>
      </c>
      <c r="AE21" s="31">
        <f t="shared" si="25"/>
        <v>1273</v>
      </c>
      <c r="AF21" s="31">
        <f t="shared" si="25"/>
        <v>2538</v>
      </c>
    </row>
    <row r="22" spans="2:32" ht="23.1" customHeight="1" x14ac:dyDescent="0.25">
      <c r="B22" s="45" t="s">
        <v>49</v>
      </c>
      <c r="C22" s="50">
        <v>58</v>
      </c>
      <c r="D22" s="50">
        <v>11</v>
      </c>
      <c r="E22" s="50">
        <v>7</v>
      </c>
      <c r="F22" s="50">
        <v>55</v>
      </c>
      <c r="G22" s="50">
        <v>0</v>
      </c>
      <c r="H22" s="50">
        <v>0</v>
      </c>
      <c r="I22" s="50">
        <v>7</v>
      </c>
      <c r="J22" s="50">
        <v>3</v>
      </c>
      <c r="K22" s="50">
        <v>3</v>
      </c>
      <c r="L22" s="50">
        <v>4</v>
      </c>
      <c r="M22" s="50">
        <v>245</v>
      </c>
      <c r="N22" s="50">
        <v>0</v>
      </c>
      <c r="O22" s="15">
        <f t="shared" si="0"/>
        <v>148</v>
      </c>
      <c r="P22" s="15">
        <f t="shared" si="1"/>
        <v>393</v>
      </c>
      <c r="R22" s="36" t="s">
        <v>146</v>
      </c>
      <c r="S22" s="34">
        <f t="shared" ref="S22:AC22" si="26">SUM(C58:C61)</f>
        <v>166</v>
      </c>
      <c r="T22" s="34">
        <f t="shared" si="26"/>
        <v>31</v>
      </c>
      <c r="U22" s="34">
        <f t="shared" si="26"/>
        <v>19</v>
      </c>
      <c r="V22" s="34">
        <f t="shared" si="26"/>
        <v>194</v>
      </c>
      <c r="W22" s="34">
        <f t="shared" si="26"/>
        <v>6</v>
      </c>
      <c r="X22" s="34">
        <f t="shared" si="26"/>
        <v>1</v>
      </c>
      <c r="Y22" s="34">
        <f t="shared" si="26"/>
        <v>18</v>
      </c>
      <c r="Z22" s="34">
        <f t="shared" si="26"/>
        <v>6</v>
      </c>
      <c r="AA22" s="34">
        <f t="shared" si="26"/>
        <v>2</v>
      </c>
      <c r="AB22" s="34">
        <f t="shared" si="26"/>
        <v>6</v>
      </c>
      <c r="AC22" s="34">
        <f t="shared" si="26"/>
        <v>1310</v>
      </c>
      <c r="AD22" s="34">
        <f t="shared" ref="AD22:AF22" si="27">SUM(N58:N61)</f>
        <v>0</v>
      </c>
      <c r="AE22" s="31">
        <f t="shared" si="27"/>
        <v>449</v>
      </c>
      <c r="AF22" s="31">
        <f t="shared" si="27"/>
        <v>1759</v>
      </c>
    </row>
    <row r="23" spans="2:32" ht="23.1" customHeight="1" x14ac:dyDescent="0.25">
      <c r="B23" s="45" t="s">
        <v>50</v>
      </c>
      <c r="C23" s="50">
        <v>54</v>
      </c>
      <c r="D23" s="50">
        <v>18</v>
      </c>
      <c r="E23" s="50">
        <v>9</v>
      </c>
      <c r="F23" s="50">
        <v>67</v>
      </c>
      <c r="G23" s="50">
        <v>1</v>
      </c>
      <c r="H23" s="50">
        <v>2</v>
      </c>
      <c r="I23" s="50">
        <v>20</v>
      </c>
      <c r="J23" s="50">
        <v>4</v>
      </c>
      <c r="K23" s="50">
        <v>3</v>
      </c>
      <c r="L23" s="50">
        <v>6</v>
      </c>
      <c r="M23" s="50">
        <v>270</v>
      </c>
      <c r="N23" s="50">
        <v>0</v>
      </c>
      <c r="O23" s="15">
        <f t="shared" si="0"/>
        <v>184</v>
      </c>
      <c r="P23" s="15">
        <f t="shared" si="1"/>
        <v>454</v>
      </c>
      <c r="R23" s="36" t="s">
        <v>147</v>
      </c>
      <c r="S23" s="34">
        <f t="shared" ref="S23:AC23" si="28">SUM(C62:C65)</f>
        <v>268</v>
      </c>
      <c r="T23" s="34">
        <f t="shared" si="28"/>
        <v>86</v>
      </c>
      <c r="U23" s="34">
        <f t="shared" si="28"/>
        <v>30</v>
      </c>
      <c r="V23" s="34">
        <f t="shared" si="28"/>
        <v>182</v>
      </c>
      <c r="W23" s="34">
        <f t="shared" si="28"/>
        <v>5</v>
      </c>
      <c r="X23" s="34">
        <f t="shared" si="28"/>
        <v>2</v>
      </c>
      <c r="Y23" s="34">
        <f t="shared" si="28"/>
        <v>9</v>
      </c>
      <c r="Z23" s="34">
        <f t="shared" si="28"/>
        <v>11</v>
      </c>
      <c r="AA23" s="34">
        <f t="shared" si="28"/>
        <v>3</v>
      </c>
      <c r="AB23" s="34">
        <f t="shared" si="28"/>
        <v>3</v>
      </c>
      <c r="AC23" s="34">
        <f t="shared" si="28"/>
        <v>1225</v>
      </c>
      <c r="AD23" s="34">
        <f t="shared" ref="AD23:AF23" si="29">SUM(N62:N65)</f>
        <v>0</v>
      </c>
      <c r="AE23" s="31">
        <f t="shared" si="29"/>
        <v>599</v>
      </c>
      <c r="AF23" s="31">
        <f t="shared" si="29"/>
        <v>1824</v>
      </c>
    </row>
    <row r="24" spans="2:32" ht="23.1" customHeight="1" x14ac:dyDescent="0.25">
      <c r="B24" s="45" t="s">
        <v>51</v>
      </c>
      <c r="C24" s="50">
        <v>61</v>
      </c>
      <c r="D24" s="50">
        <v>12</v>
      </c>
      <c r="E24" s="50">
        <v>8</v>
      </c>
      <c r="F24" s="50">
        <v>63</v>
      </c>
      <c r="G24" s="50">
        <v>2</v>
      </c>
      <c r="H24" s="50">
        <v>0</v>
      </c>
      <c r="I24" s="50">
        <v>13</v>
      </c>
      <c r="J24" s="50">
        <v>5</v>
      </c>
      <c r="K24" s="50">
        <v>3</v>
      </c>
      <c r="L24" s="50">
        <v>5</v>
      </c>
      <c r="M24" s="50">
        <v>220</v>
      </c>
      <c r="N24" s="50">
        <v>0</v>
      </c>
      <c r="O24" s="15">
        <f t="shared" si="0"/>
        <v>172</v>
      </c>
      <c r="P24" s="15">
        <f t="shared" si="1"/>
        <v>392</v>
      </c>
      <c r="R24" s="36" t="s">
        <v>148</v>
      </c>
      <c r="S24" s="34">
        <f t="shared" ref="S24:AC24" si="30">SUM(C66:C69)</f>
        <v>149</v>
      </c>
      <c r="T24" s="34">
        <f t="shared" si="30"/>
        <v>28</v>
      </c>
      <c r="U24" s="34">
        <f t="shared" si="30"/>
        <v>8</v>
      </c>
      <c r="V24" s="34">
        <f t="shared" si="30"/>
        <v>202</v>
      </c>
      <c r="W24" s="34">
        <f t="shared" si="30"/>
        <v>10</v>
      </c>
      <c r="X24" s="34">
        <f t="shared" si="30"/>
        <v>3</v>
      </c>
      <c r="Y24" s="34">
        <f t="shared" si="30"/>
        <v>9</v>
      </c>
      <c r="Z24" s="34">
        <f t="shared" si="30"/>
        <v>3</v>
      </c>
      <c r="AA24" s="34">
        <f t="shared" si="30"/>
        <v>4</v>
      </c>
      <c r="AB24" s="34">
        <f t="shared" si="30"/>
        <v>7</v>
      </c>
      <c r="AC24" s="34">
        <f t="shared" si="30"/>
        <v>936</v>
      </c>
      <c r="AD24" s="34">
        <f t="shared" ref="AD24:AF24" si="31">SUM(N66:N69)</f>
        <v>0</v>
      </c>
      <c r="AE24" s="31">
        <f t="shared" si="31"/>
        <v>423</v>
      </c>
      <c r="AF24" s="31">
        <f t="shared" si="31"/>
        <v>1359</v>
      </c>
    </row>
    <row r="25" spans="2:32" ht="23.1" customHeight="1" x14ac:dyDescent="0.25">
      <c r="B25" s="45" t="s">
        <v>52</v>
      </c>
      <c r="C25" s="50">
        <v>67</v>
      </c>
      <c r="D25" s="50">
        <v>12</v>
      </c>
      <c r="E25" s="50">
        <v>14</v>
      </c>
      <c r="F25" s="50">
        <v>53</v>
      </c>
      <c r="G25" s="50">
        <v>2</v>
      </c>
      <c r="H25" s="50">
        <v>0</v>
      </c>
      <c r="I25" s="50">
        <v>13</v>
      </c>
      <c r="J25" s="50">
        <v>5</v>
      </c>
      <c r="K25" s="50">
        <v>1</v>
      </c>
      <c r="L25" s="50">
        <v>8</v>
      </c>
      <c r="M25" s="50">
        <v>335</v>
      </c>
      <c r="N25" s="50">
        <v>0</v>
      </c>
      <c r="O25" s="15">
        <f t="shared" si="0"/>
        <v>175</v>
      </c>
      <c r="P25" s="15">
        <f t="shared" si="1"/>
        <v>510</v>
      </c>
      <c r="R25" s="36" t="s">
        <v>149</v>
      </c>
      <c r="S25" s="34">
        <f t="shared" ref="S25:AC25" si="32">SUM(C70:C73)</f>
        <v>123</v>
      </c>
      <c r="T25" s="34">
        <f t="shared" si="32"/>
        <v>37</v>
      </c>
      <c r="U25" s="34">
        <f t="shared" si="32"/>
        <v>15</v>
      </c>
      <c r="V25" s="34">
        <f t="shared" si="32"/>
        <v>86</v>
      </c>
      <c r="W25" s="34">
        <f t="shared" si="32"/>
        <v>6</v>
      </c>
      <c r="X25" s="34">
        <f t="shared" si="32"/>
        <v>1</v>
      </c>
      <c r="Y25" s="34">
        <f t="shared" si="32"/>
        <v>1</v>
      </c>
      <c r="Z25" s="34">
        <f t="shared" si="32"/>
        <v>4</v>
      </c>
      <c r="AA25" s="34">
        <f t="shared" si="32"/>
        <v>1</v>
      </c>
      <c r="AB25" s="34">
        <f t="shared" si="32"/>
        <v>8</v>
      </c>
      <c r="AC25" s="34">
        <f t="shared" si="32"/>
        <v>546</v>
      </c>
      <c r="AD25" s="34">
        <f t="shared" ref="AD25:AF25" si="33">SUM(N70:N73)</f>
        <v>0</v>
      </c>
      <c r="AE25" s="31">
        <f t="shared" si="33"/>
        <v>282</v>
      </c>
      <c r="AF25" s="31">
        <f t="shared" si="33"/>
        <v>828</v>
      </c>
    </row>
    <row r="26" spans="2:32" ht="23.1" customHeight="1" x14ac:dyDescent="0.25">
      <c r="B26" s="45" t="s">
        <v>53</v>
      </c>
      <c r="C26" s="50">
        <v>59</v>
      </c>
      <c r="D26" s="50">
        <v>17</v>
      </c>
      <c r="E26" s="50">
        <v>9</v>
      </c>
      <c r="F26" s="50">
        <v>55</v>
      </c>
      <c r="G26" s="50">
        <v>1</v>
      </c>
      <c r="H26" s="50">
        <v>0</v>
      </c>
      <c r="I26" s="50">
        <v>8</v>
      </c>
      <c r="J26" s="50">
        <v>11</v>
      </c>
      <c r="K26" s="50">
        <v>0</v>
      </c>
      <c r="L26" s="50">
        <v>6</v>
      </c>
      <c r="M26" s="50">
        <v>330</v>
      </c>
      <c r="N26" s="50">
        <v>0</v>
      </c>
      <c r="O26" s="15">
        <f t="shared" si="0"/>
        <v>166</v>
      </c>
      <c r="P26" s="15">
        <f t="shared" si="1"/>
        <v>496</v>
      </c>
      <c r="R26" s="36" t="s">
        <v>150</v>
      </c>
      <c r="S26" s="34">
        <f t="shared" ref="S26:AC26" si="34">SUM(C74:C77)</f>
        <v>140</v>
      </c>
      <c r="T26" s="34">
        <f t="shared" si="34"/>
        <v>32</v>
      </c>
      <c r="U26" s="34">
        <f t="shared" si="34"/>
        <v>25</v>
      </c>
      <c r="V26" s="34">
        <f t="shared" si="34"/>
        <v>89</v>
      </c>
      <c r="W26" s="34">
        <f t="shared" si="34"/>
        <v>2</v>
      </c>
      <c r="X26" s="34">
        <f t="shared" si="34"/>
        <v>3</v>
      </c>
      <c r="Y26" s="34">
        <f t="shared" si="34"/>
        <v>5</v>
      </c>
      <c r="Z26" s="34">
        <f t="shared" si="34"/>
        <v>6</v>
      </c>
      <c r="AA26" s="34">
        <f t="shared" si="34"/>
        <v>2</v>
      </c>
      <c r="AB26" s="34">
        <f t="shared" si="34"/>
        <v>4</v>
      </c>
      <c r="AC26" s="34">
        <f t="shared" si="34"/>
        <v>345</v>
      </c>
      <c r="AD26" s="34">
        <f t="shared" ref="AD26:AF26" si="35">SUM(N74:N77)</f>
        <v>0</v>
      </c>
      <c r="AE26" s="31">
        <f t="shared" si="35"/>
        <v>308</v>
      </c>
      <c r="AF26" s="31">
        <f t="shared" si="35"/>
        <v>653</v>
      </c>
    </row>
    <row r="27" spans="2:32" ht="23.1" customHeight="1" x14ac:dyDescent="0.25">
      <c r="B27" s="45" t="s">
        <v>54</v>
      </c>
      <c r="C27" s="50">
        <v>44</v>
      </c>
      <c r="D27" s="50">
        <v>7</v>
      </c>
      <c r="E27" s="50">
        <v>8</v>
      </c>
      <c r="F27" s="50">
        <v>63</v>
      </c>
      <c r="G27" s="50">
        <v>1</v>
      </c>
      <c r="H27" s="50">
        <v>1</v>
      </c>
      <c r="I27" s="50">
        <v>4</v>
      </c>
      <c r="J27" s="50">
        <v>10</v>
      </c>
      <c r="K27" s="50">
        <v>0</v>
      </c>
      <c r="L27" s="50">
        <v>2</v>
      </c>
      <c r="M27" s="50">
        <v>270</v>
      </c>
      <c r="N27" s="50">
        <v>0</v>
      </c>
      <c r="O27" s="15">
        <f t="shared" si="0"/>
        <v>140</v>
      </c>
      <c r="P27" s="15">
        <f t="shared" si="1"/>
        <v>410</v>
      </c>
      <c r="R27" s="36" t="s">
        <v>151</v>
      </c>
      <c r="S27" s="34">
        <f t="shared" ref="S27:AC27" si="36">SUM(C78:C81)</f>
        <v>154</v>
      </c>
      <c r="T27" s="34">
        <f t="shared" si="36"/>
        <v>34</v>
      </c>
      <c r="U27" s="34">
        <f t="shared" si="36"/>
        <v>11</v>
      </c>
      <c r="V27" s="34">
        <f t="shared" si="36"/>
        <v>54</v>
      </c>
      <c r="W27" s="34">
        <f t="shared" si="36"/>
        <v>3</v>
      </c>
      <c r="X27" s="34">
        <f t="shared" si="36"/>
        <v>0</v>
      </c>
      <c r="Y27" s="34">
        <f t="shared" si="36"/>
        <v>3</v>
      </c>
      <c r="Z27" s="34">
        <f t="shared" si="36"/>
        <v>6</v>
      </c>
      <c r="AA27" s="34">
        <f t="shared" si="36"/>
        <v>9</v>
      </c>
      <c r="AB27" s="34">
        <f t="shared" si="36"/>
        <v>8</v>
      </c>
      <c r="AC27" s="34">
        <f t="shared" si="36"/>
        <v>241</v>
      </c>
      <c r="AD27" s="34">
        <f t="shared" ref="AD27:AF27" si="37">SUM(N78:N81)</f>
        <v>0</v>
      </c>
      <c r="AE27" s="31">
        <f t="shared" si="37"/>
        <v>282</v>
      </c>
      <c r="AF27" s="31">
        <f t="shared" si="37"/>
        <v>523</v>
      </c>
    </row>
    <row r="28" spans="2:32" ht="23.1" customHeight="1" x14ac:dyDescent="0.25">
      <c r="B28" s="45" t="s">
        <v>55</v>
      </c>
      <c r="C28" s="50">
        <v>50</v>
      </c>
      <c r="D28" s="50">
        <v>13</v>
      </c>
      <c r="E28" s="50">
        <v>4</v>
      </c>
      <c r="F28" s="50">
        <v>63</v>
      </c>
      <c r="G28" s="50">
        <v>4</v>
      </c>
      <c r="H28" s="50">
        <v>2</v>
      </c>
      <c r="I28" s="50">
        <v>9</v>
      </c>
      <c r="J28" s="50">
        <v>9</v>
      </c>
      <c r="K28" s="50">
        <v>1</v>
      </c>
      <c r="L28" s="50">
        <v>3</v>
      </c>
      <c r="M28" s="50">
        <v>235</v>
      </c>
      <c r="N28" s="50">
        <v>0</v>
      </c>
      <c r="O28" s="15">
        <f t="shared" si="0"/>
        <v>158</v>
      </c>
      <c r="P28" s="15">
        <f t="shared" si="1"/>
        <v>393</v>
      </c>
      <c r="R28" s="36" t="s">
        <v>152</v>
      </c>
      <c r="S28" s="34">
        <f t="shared" ref="S28:AC28" si="38">SUM(C82:C85)</f>
        <v>103</v>
      </c>
      <c r="T28" s="34">
        <f t="shared" si="38"/>
        <v>41</v>
      </c>
      <c r="U28" s="34">
        <f t="shared" si="38"/>
        <v>13</v>
      </c>
      <c r="V28" s="34">
        <f t="shared" si="38"/>
        <v>33</v>
      </c>
      <c r="W28" s="34">
        <f t="shared" si="38"/>
        <v>1</v>
      </c>
      <c r="X28" s="34">
        <f t="shared" si="38"/>
        <v>5</v>
      </c>
      <c r="Y28" s="34">
        <f t="shared" si="38"/>
        <v>5</v>
      </c>
      <c r="Z28" s="34">
        <f t="shared" si="38"/>
        <v>5</v>
      </c>
      <c r="AA28" s="34">
        <f t="shared" si="38"/>
        <v>7</v>
      </c>
      <c r="AB28" s="34">
        <f t="shared" si="38"/>
        <v>7</v>
      </c>
      <c r="AC28" s="34">
        <f t="shared" si="38"/>
        <v>90</v>
      </c>
      <c r="AD28" s="34">
        <f t="shared" ref="AD28:AF28" si="39">SUM(N82:N85)</f>
        <v>0</v>
      </c>
      <c r="AE28" s="31">
        <f t="shared" si="39"/>
        <v>220</v>
      </c>
      <c r="AF28" s="31">
        <f t="shared" si="39"/>
        <v>310</v>
      </c>
    </row>
    <row r="29" spans="2:32" ht="23.1" customHeight="1" x14ac:dyDescent="0.25">
      <c r="B29" s="45" t="s">
        <v>56</v>
      </c>
      <c r="C29" s="50">
        <v>64</v>
      </c>
      <c r="D29" s="50">
        <v>11</v>
      </c>
      <c r="E29" s="50">
        <v>10</v>
      </c>
      <c r="F29" s="50">
        <v>71</v>
      </c>
      <c r="G29" s="50">
        <v>1</v>
      </c>
      <c r="H29" s="50">
        <v>0</v>
      </c>
      <c r="I29" s="50">
        <v>14</v>
      </c>
      <c r="J29" s="50">
        <v>8</v>
      </c>
      <c r="K29" s="50">
        <v>3</v>
      </c>
      <c r="L29" s="50">
        <v>2</v>
      </c>
      <c r="M29" s="50">
        <v>335</v>
      </c>
      <c r="N29" s="50">
        <v>0</v>
      </c>
      <c r="O29" s="15">
        <f t="shared" si="0"/>
        <v>184</v>
      </c>
      <c r="P29" s="15">
        <f t="shared" si="1"/>
        <v>519</v>
      </c>
      <c r="R29" s="36" t="s">
        <v>153</v>
      </c>
      <c r="S29" s="34">
        <f t="shared" ref="S29:AC29" si="40">SUM(C86:C89)</f>
        <v>108</v>
      </c>
      <c r="T29" s="34">
        <f t="shared" si="40"/>
        <v>12</v>
      </c>
      <c r="U29" s="34">
        <f t="shared" si="40"/>
        <v>7</v>
      </c>
      <c r="V29" s="34">
        <f t="shared" si="40"/>
        <v>26</v>
      </c>
      <c r="W29" s="34">
        <f t="shared" si="40"/>
        <v>1</v>
      </c>
      <c r="X29" s="34">
        <f t="shared" si="40"/>
        <v>3</v>
      </c>
      <c r="Y29" s="34">
        <f t="shared" si="40"/>
        <v>1</v>
      </c>
      <c r="Z29" s="34">
        <f t="shared" si="40"/>
        <v>7</v>
      </c>
      <c r="AA29" s="34">
        <f t="shared" si="40"/>
        <v>7</v>
      </c>
      <c r="AB29" s="34">
        <f t="shared" si="40"/>
        <v>6</v>
      </c>
      <c r="AC29" s="34">
        <f t="shared" si="40"/>
        <v>87</v>
      </c>
      <c r="AD29" s="34">
        <f t="shared" ref="AD29:AF29" si="41">SUM(N86:N89)</f>
        <v>0</v>
      </c>
      <c r="AE29" s="31">
        <f t="shared" si="41"/>
        <v>178</v>
      </c>
      <c r="AF29" s="31">
        <f t="shared" si="41"/>
        <v>265</v>
      </c>
    </row>
    <row r="30" spans="2:32" ht="23.1" customHeight="1" x14ac:dyDescent="0.25">
      <c r="B30" s="45" t="s">
        <v>57</v>
      </c>
      <c r="C30" s="50">
        <v>70</v>
      </c>
      <c r="D30" s="50">
        <v>22</v>
      </c>
      <c r="E30" s="50">
        <v>13</v>
      </c>
      <c r="F30" s="50">
        <v>65</v>
      </c>
      <c r="G30" s="50">
        <v>1</v>
      </c>
      <c r="H30" s="50">
        <v>0</v>
      </c>
      <c r="I30" s="50">
        <v>1</v>
      </c>
      <c r="J30" s="50">
        <v>3</v>
      </c>
      <c r="K30" s="50">
        <v>1</v>
      </c>
      <c r="L30" s="50">
        <v>3</v>
      </c>
      <c r="M30" s="50">
        <v>295</v>
      </c>
      <c r="N30" s="50">
        <v>0</v>
      </c>
      <c r="O30" s="15">
        <f t="shared" si="0"/>
        <v>179</v>
      </c>
      <c r="P30" s="15">
        <f t="shared" si="1"/>
        <v>474</v>
      </c>
      <c r="R30" s="36" t="s">
        <v>154</v>
      </c>
      <c r="S30" s="34">
        <f t="shared" ref="S30:AC30" si="42">SUM(C90:C93)</f>
        <v>64</v>
      </c>
      <c r="T30" s="34">
        <f t="shared" si="42"/>
        <v>15</v>
      </c>
      <c r="U30" s="34">
        <f t="shared" si="42"/>
        <v>3</v>
      </c>
      <c r="V30" s="34">
        <f t="shared" si="42"/>
        <v>17</v>
      </c>
      <c r="W30" s="34">
        <f t="shared" si="42"/>
        <v>0</v>
      </c>
      <c r="X30" s="34">
        <f t="shared" si="42"/>
        <v>1</v>
      </c>
      <c r="Y30" s="34">
        <f t="shared" si="42"/>
        <v>6</v>
      </c>
      <c r="Z30" s="34">
        <f t="shared" si="42"/>
        <v>2</v>
      </c>
      <c r="AA30" s="34">
        <f t="shared" si="42"/>
        <v>9</v>
      </c>
      <c r="AB30" s="34">
        <f t="shared" si="42"/>
        <v>4</v>
      </c>
      <c r="AC30" s="34">
        <f t="shared" si="42"/>
        <v>75</v>
      </c>
      <c r="AD30" s="34">
        <f t="shared" ref="AD30:AF30" si="43">SUM(N90:N93)</f>
        <v>0</v>
      </c>
      <c r="AE30" s="31">
        <f t="shared" si="43"/>
        <v>121</v>
      </c>
      <c r="AF30" s="31">
        <f t="shared" si="43"/>
        <v>196</v>
      </c>
    </row>
    <row r="31" spans="2:32" ht="23.1" customHeight="1" x14ac:dyDescent="0.25">
      <c r="B31" s="46" t="s">
        <v>58</v>
      </c>
      <c r="C31" s="50">
        <v>76</v>
      </c>
      <c r="D31" s="50">
        <v>19</v>
      </c>
      <c r="E31" s="50">
        <v>11</v>
      </c>
      <c r="F31" s="50">
        <v>81</v>
      </c>
      <c r="G31" s="50">
        <v>1</v>
      </c>
      <c r="H31" s="50">
        <v>1</v>
      </c>
      <c r="I31" s="50">
        <v>11</v>
      </c>
      <c r="J31" s="50">
        <v>5</v>
      </c>
      <c r="K31" s="50">
        <v>3</v>
      </c>
      <c r="L31" s="50">
        <v>3</v>
      </c>
      <c r="M31" s="50">
        <v>235</v>
      </c>
      <c r="N31" s="50">
        <v>0</v>
      </c>
      <c r="O31" s="15">
        <f t="shared" si="0"/>
        <v>211</v>
      </c>
      <c r="P31" s="15">
        <f t="shared" si="1"/>
        <v>446</v>
      </c>
      <c r="R31" s="36" t="s">
        <v>155</v>
      </c>
      <c r="S31" s="34">
        <f t="shared" ref="S31:AC31" si="44">SUM(C94:C97)</f>
        <v>53</v>
      </c>
      <c r="T31" s="34">
        <f t="shared" si="44"/>
        <v>5</v>
      </c>
      <c r="U31" s="34">
        <f t="shared" si="44"/>
        <v>0</v>
      </c>
      <c r="V31" s="34">
        <f t="shared" si="44"/>
        <v>15</v>
      </c>
      <c r="W31" s="34">
        <f t="shared" si="44"/>
        <v>0</v>
      </c>
      <c r="X31" s="34">
        <f t="shared" si="44"/>
        <v>0</v>
      </c>
      <c r="Y31" s="34">
        <f t="shared" si="44"/>
        <v>4</v>
      </c>
      <c r="Z31" s="34">
        <f t="shared" si="44"/>
        <v>6</v>
      </c>
      <c r="AA31" s="34">
        <f t="shared" si="44"/>
        <v>7</v>
      </c>
      <c r="AB31" s="34">
        <f t="shared" si="44"/>
        <v>5</v>
      </c>
      <c r="AC31" s="34">
        <f t="shared" si="44"/>
        <v>60</v>
      </c>
      <c r="AD31" s="34">
        <f t="shared" ref="AD31:AF31" si="45">SUM(N94:N97)</f>
        <v>0</v>
      </c>
      <c r="AE31" s="31">
        <f t="shared" si="45"/>
        <v>95</v>
      </c>
      <c r="AF31" s="31">
        <f t="shared" si="45"/>
        <v>155</v>
      </c>
    </row>
    <row r="32" spans="2:32" ht="23.1" customHeight="1" x14ac:dyDescent="0.25">
      <c r="B32" s="46" t="s">
        <v>59</v>
      </c>
      <c r="C32" s="50">
        <v>84</v>
      </c>
      <c r="D32" s="50">
        <v>22</v>
      </c>
      <c r="E32" s="50">
        <v>10</v>
      </c>
      <c r="F32" s="50">
        <v>65</v>
      </c>
      <c r="G32" s="50">
        <v>1</v>
      </c>
      <c r="H32" s="50">
        <v>0</v>
      </c>
      <c r="I32" s="50">
        <v>12</v>
      </c>
      <c r="J32" s="50">
        <v>4</v>
      </c>
      <c r="K32" s="50">
        <v>1</v>
      </c>
      <c r="L32" s="50">
        <v>7</v>
      </c>
      <c r="M32" s="50">
        <v>320</v>
      </c>
      <c r="N32" s="50">
        <v>0</v>
      </c>
      <c r="O32" s="15">
        <f t="shared" si="0"/>
        <v>206</v>
      </c>
      <c r="P32" s="15">
        <f t="shared" si="1"/>
        <v>526</v>
      </c>
      <c r="R32" s="33" t="s">
        <v>156</v>
      </c>
      <c r="S32" s="34">
        <f t="shared" ref="S32:AC32" si="46">SUM(C98:C101)</f>
        <v>43</v>
      </c>
      <c r="T32" s="34">
        <f t="shared" si="46"/>
        <v>6</v>
      </c>
      <c r="U32" s="34">
        <f t="shared" si="46"/>
        <v>3</v>
      </c>
      <c r="V32" s="34">
        <f t="shared" si="46"/>
        <v>48</v>
      </c>
      <c r="W32" s="34">
        <f t="shared" si="46"/>
        <v>11</v>
      </c>
      <c r="X32" s="34">
        <f t="shared" si="46"/>
        <v>0</v>
      </c>
      <c r="Y32" s="34">
        <f t="shared" si="46"/>
        <v>4</v>
      </c>
      <c r="Z32" s="34">
        <f t="shared" si="46"/>
        <v>3</v>
      </c>
      <c r="AA32" s="34">
        <f t="shared" si="46"/>
        <v>14</v>
      </c>
      <c r="AB32" s="34">
        <f t="shared" si="46"/>
        <v>5</v>
      </c>
      <c r="AC32" s="34">
        <f t="shared" si="46"/>
        <v>85</v>
      </c>
      <c r="AD32" s="34">
        <f t="shared" ref="AD32:AF32" si="47">SUM(N98:N101)</f>
        <v>0</v>
      </c>
      <c r="AE32" s="31">
        <f t="shared" si="47"/>
        <v>137</v>
      </c>
      <c r="AF32" s="31">
        <f t="shared" si="47"/>
        <v>222</v>
      </c>
    </row>
    <row r="33" spans="2:32" ht="23.1" customHeight="1" x14ac:dyDescent="0.25">
      <c r="B33" s="45" t="s">
        <v>60</v>
      </c>
      <c r="C33" s="50">
        <v>80</v>
      </c>
      <c r="D33" s="50">
        <v>25</v>
      </c>
      <c r="E33" s="50">
        <v>15</v>
      </c>
      <c r="F33" s="50">
        <v>54</v>
      </c>
      <c r="G33" s="50">
        <v>2</v>
      </c>
      <c r="H33" s="50">
        <v>1</v>
      </c>
      <c r="I33" s="50">
        <v>5</v>
      </c>
      <c r="J33" s="50">
        <v>7</v>
      </c>
      <c r="K33" s="50">
        <v>2</v>
      </c>
      <c r="L33" s="50">
        <v>6</v>
      </c>
      <c r="M33" s="50">
        <v>300</v>
      </c>
      <c r="N33" s="50">
        <v>0</v>
      </c>
      <c r="O33" s="15">
        <f t="shared" si="0"/>
        <v>197</v>
      </c>
      <c r="P33" s="15">
        <f t="shared" si="1"/>
        <v>497</v>
      </c>
      <c r="R33" s="33" t="s">
        <v>157</v>
      </c>
      <c r="S33" s="34">
        <f t="shared" ref="S33:AC33" si="48">SUM(C102:C105)</f>
        <v>49</v>
      </c>
      <c r="T33" s="34">
        <f t="shared" si="48"/>
        <v>6</v>
      </c>
      <c r="U33" s="34">
        <f t="shared" si="48"/>
        <v>7</v>
      </c>
      <c r="V33" s="34">
        <f t="shared" si="48"/>
        <v>80</v>
      </c>
      <c r="W33" s="34">
        <f t="shared" si="48"/>
        <v>5</v>
      </c>
      <c r="X33" s="34">
        <f t="shared" si="48"/>
        <v>1</v>
      </c>
      <c r="Y33" s="34">
        <f t="shared" si="48"/>
        <v>4</v>
      </c>
      <c r="Z33" s="34">
        <f t="shared" si="48"/>
        <v>2</v>
      </c>
      <c r="AA33" s="34">
        <f t="shared" si="48"/>
        <v>12</v>
      </c>
      <c r="AB33" s="34">
        <f t="shared" si="48"/>
        <v>10</v>
      </c>
      <c r="AC33" s="34">
        <f t="shared" si="48"/>
        <v>131</v>
      </c>
      <c r="AD33" s="34">
        <f t="shared" ref="AD33:AF33" si="49">SUM(N102:N105)</f>
        <v>0</v>
      </c>
      <c r="AE33" s="31">
        <f t="shared" si="49"/>
        <v>176</v>
      </c>
      <c r="AF33" s="31">
        <f t="shared" si="49"/>
        <v>307</v>
      </c>
    </row>
    <row r="34" spans="2:32" ht="23.1" customHeight="1" x14ac:dyDescent="0.25">
      <c r="B34" s="46" t="s">
        <v>61</v>
      </c>
      <c r="C34" s="50">
        <v>86</v>
      </c>
      <c r="D34" s="50">
        <v>29</v>
      </c>
      <c r="E34" s="50">
        <v>10</v>
      </c>
      <c r="F34" s="50">
        <v>70</v>
      </c>
      <c r="G34" s="50">
        <v>0</v>
      </c>
      <c r="H34" s="50">
        <v>0</v>
      </c>
      <c r="I34" s="50">
        <v>8</v>
      </c>
      <c r="J34" s="50">
        <v>10</v>
      </c>
      <c r="K34" s="50">
        <v>4</v>
      </c>
      <c r="L34" s="50">
        <v>13</v>
      </c>
      <c r="M34" s="50">
        <v>360</v>
      </c>
      <c r="N34" s="50">
        <v>0</v>
      </c>
      <c r="O34" s="15">
        <f t="shared" si="0"/>
        <v>230</v>
      </c>
      <c r="P34" s="15">
        <f t="shared" si="1"/>
        <v>590</v>
      </c>
      <c r="R34" s="38" t="s">
        <v>90</v>
      </c>
      <c r="S34" s="39">
        <f t="shared" ref="S34:AF34" si="50">MAX(S10:S12)</f>
        <v>231</v>
      </c>
      <c r="T34" s="39">
        <f t="shared" si="50"/>
        <v>44</v>
      </c>
      <c r="U34" s="39">
        <f t="shared" si="50"/>
        <v>49</v>
      </c>
      <c r="V34" s="39">
        <f t="shared" si="50"/>
        <v>259</v>
      </c>
      <c r="W34" s="39">
        <f t="shared" si="50"/>
        <v>12</v>
      </c>
      <c r="X34" s="39">
        <f t="shared" si="50"/>
        <v>6</v>
      </c>
      <c r="Y34" s="39">
        <f t="shared" si="50"/>
        <v>43</v>
      </c>
      <c r="Z34" s="39">
        <f t="shared" si="50"/>
        <v>21</v>
      </c>
      <c r="AA34" s="39">
        <f t="shared" si="50"/>
        <v>10</v>
      </c>
      <c r="AB34" s="39">
        <f t="shared" si="50"/>
        <v>12</v>
      </c>
      <c r="AC34" s="39">
        <f t="shared" si="50"/>
        <v>1425</v>
      </c>
      <c r="AD34" s="39">
        <f t="shared" si="50"/>
        <v>0</v>
      </c>
      <c r="AE34" s="40">
        <f t="shared" si="50"/>
        <v>656</v>
      </c>
      <c r="AF34" s="40">
        <f t="shared" si="50"/>
        <v>2081</v>
      </c>
    </row>
    <row r="35" spans="2:32" ht="23.1" customHeight="1" x14ac:dyDescent="0.25">
      <c r="B35" s="46" t="s">
        <v>62</v>
      </c>
      <c r="C35" s="50">
        <v>71</v>
      </c>
      <c r="D35" s="50">
        <v>16</v>
      </c>
      <c r="E35" s="50">
        <v>8</v>
      </c>
      <c r="F35" s="50">
        <v>75</v>
      </c>
      <c r="G35" s="50">
        <v>1</v>
      </c>
      <c r="H35" s="50">
        <v>0</v>
      </c>
      <c r="I35" s="50">
        <v>4</v>
      </c>
      <c r="J35" s="50">
        <v>7</v>
      </c>
      <c r="K35" s="50">
        <v>3</v>
      </c>
      <c r="L35" s="50">
        <v>5</v>
      </c>
      <c r="M35" s="50">
        <v>170</v>
      </c>
      <c r="N35" s="50">
        <v>0</v>
      </c>
      <c r="O35" s="15">
        <f t="shared" si="0"/>
        <v>190</v>
      </c>
      <c r="P35" s="15">
        <f t="shared" si="1"/>
        <v>360</v>
      </c>
      <c r="R35" s="38" t="s">
        <v>91</v>
      </c>
      <c r="S35" s="39">
        <f t="shared" ref="S35:AF35" si="51">MAX(S13:S18)</f>
        <v>310</v>
      </c>
      <c r="T35" s="39">
        <f t="shared" si="51"/>
        <v>100</v>
      </c>
      <c r="U35" s="39">
        <f t="shared" si="51"/>
        <v>54</v>
      </c>
      <c r="V35" s="39">
        <f t="shared" si="51"/>
        <v>265</v>
      </c>
      <c r="W35" s="39">
        <f t="shared" si="51"/>
        <v>10</v>
      </c>
      <c r="X35" s="39">
        <f t="shared" si="51"/>
        <v>3</v>
      </c>
      <c r="Y35" s="39">
        <f t="shared" si="51"/>
        <v>53</v>
      </c>
      <c r="Z35" s="39">
        <f t="shared" si="51"/>
        <v>38</v>
      </c>
      <c r="AA35" s="39">
        <f t="shared" si="51"/>
        <v>10</v>
      </c>
      <c r="AB35" s="39">
        <f t="shared" si="51"/>
        <v>37</v>
      </c>
      <c r="AC35" s="39">
        <f t="shared" si="51"/>
        <v>1400</v>
      </c>
      <c r="AD35" s="39">
        <f t="shared" si="51"/>
        <v>0</v>
      </c>
      <c r="AE35" s="40">
        <f t="shared" si="51"/>
        <v>804</v>
      </c>
      <c r="AF35" s="40">
        <f t="shared" si="51"/>
        <v>2204</v>
      </c>
    </row>
    <row r="36" spans="2:32" ht="23.1" customHeight="1" x14ac:dyDescent="0.25">
      <c r="B36" s="46" t="s">
        <v>63</v>
      </c>
      <c r="C36" s="50">
        <v>85</v>
      </c>
      <c r="D36" s="50">
        <v>30</v>
      </c>
      <c r="E36" s="50">
        <v>13</v>
      </c>
      <c r="F36" s="50">
        <v>51</v>
      </c>
      <c r="G36" s="50">
        <v>1</v>
      </c>
      <c r="H36" s="50">
        <v>1</v>
      </c>
      <c r="I36" s="50">
        <v>6</v>
      </c>
      <c r="J36" s="50">
        <v>7</v>
      </c>
      <c r="K36" s="50">
        <v>1</v>
      </c>
      <c r="L36" s="50">
        <v>12</v>
      </c>
      <c r="M36" s="50">
        <v>350</v>
      </c>
      <c r="N36" s="50">
        <v>0</v>
      </c>
      <c r="O36" s="15">
        <f t="shared" si="0"/>
        <v>207</v>
      </c>
      <c r="P36" s="15">
        <f t="shared" si="1"/>
        <v>557</v>
      </c>
      <c r="R36" s="38" t="s">
        <v>92</v>
      </c>
      <c r="S36" s="39">
        <f t="shared" ref="S36:AF36" si="52">MAX(S19:S21)</f>
        <v>608</v>
      </c>
      <c r="T36" s="39">
        <f t="shared" si="52"/>
        <v>212</v>
      </c>
      <c r="U36" s="39">
        <f t="shared" si="52"/>
        <v>114</v>
      </c>
      <c r="V36" s="39">
        <f t="shared" si="52"/>
        <v>273</v>
      </c>
      <c r="W36" s="39">
        <f t="shared" si="52"/>
        <v>9</v>
      </c>
      <c r="X36" s="39">
        <f t="shared" si="52"/>
        <v>4</v>
      </c>
      <c r="Y36" s="39">
        <f t="shared" si="52"/>
        <v>48</v>
      </c>
      <c r="Z36" s="39">
        <f t="shared" si="52"/>
        <v>35</v>
      </c>
      <c r="AA36" s="39">
        <f t="shared" si="52"/>
        <v>4</v>
      </c>
      <c r="AB36" s="39">
        <f t="shared" si="52"/>
        <v>17</v>
      </c>
      <c r="AC36" s="39">
        <f t="shared" si="52"/>
        <v>1265</v>
      </c>
      <c r="AD36" s="39">
        <f t="shared" si="52"/>
        <v>0</v>
      </c>
      <c r="AE36" s="40">
        <f t="shared" si="52"/>
        <v>1273</v>
      </c>
      <c r="AF36" s="40">
        <f t="shared" si="52"/>
        <v>2538</v>
      </c>
    </row>
    <row r="37" spans="2:32" ht="23.1" customHeight="1" x14ac:dyDescent="0.25">
      <c r="B37" s="45" t="s">
        <v>64</v>
      </c>
      <c r="C37" s="50">
        <v>68</v>
      </c>
      <c r="D37" s="50">
        <v>25</v>
      </c>
      <c r="E37" s="50">
        <v>9</v>
      </c>
      <c r="F37" s="50">
        <v>61</v>
      </c>
      <c r="G37" s="50">
        <v>0</v>
      </c>
      <c r="H37" s="50">
        <v>2</v>
      </c>
      <c r="I37" s="50">
        <v>2</v>
      </c>
      <c r="J37" s="50">
        <v>2</v>
      </c>
      <c r="K37" s="50">
        <v>0</v>
      </c>
      <c r="L37" s="50">
        <v>7</v>
      </c>
      <c r="M37" s="50">
        <v>325</v>
      </c>
      <c r="N37" s="50">
        <v>0</v>
      </c>
      <c r="O37" s="15">
        <f t="shared" si="0"/>
        <v>176</v>
      </c>
      <c r="P37" s="15">
        <f t="shared" si="1"/>
        <v>501</v>
      </c>
      <c r="R37" s="37" t="s">
        <v>85</v>
      </c>
      <c r="S37" s="35">
        <f t="shared" ref="S37:AF37" si="53">SUM(S10:S12)</f>
        <v>633</v>
      </c>
      <c r="T37" s="16">
        <f t="shared" si="53"/>
        <v>114</v>
      </c>
      <c r="U37" s="16">
        <f t="shared" si="53"/>
        <v>105</v>
      </c>
      <c r="V37" s="16">
        <f t="shared" si="53"/>
        <v>649</v>
      </c>
      <c r="W37" s="16">
        <f t="shared" si="53"/>
        <v>29</v>
      </c>
      <c r="X37" s="16">
        <f t="shared" si="53"/>
        <v>14</v>
      </c>
      <c r="Y37" s="16">
        <f t="shared" si="53"/>
        <v>79</v>
      </c>
      <c r="Z37" s="16">
        <f t="shared" si="53"/>
        <v>36</v>
      </c>
      <c r="AA37" s="16">
        <f t="shared" si="53"/>
        <v>17</v>
      </c>
      <c r="AB37" s="16">
        <f t="shared" si="53"/>
        <v>23</v>
      </c>
      <c r="AC37" s="16">
        <f t="shared" si="53"/>
        <v>2995</v>
      </c>
      <c r="AD37" s="16">
        <f t="shared" si="53"/>
        <v>0</v>
      </c>
      <c r="AE37" s="32">
        <f t="shared" si="53"/>
        <v>1699</v>
      </c>
      <c r="AF37" s="32">
        <f t="shared" si="53"/>
        <v>4694</v>
      </c>
    </row>
    <row r="38" spans="2:32" ht="23.1" customHeight="1" x14ac:dyDescent="0.25">
      <c r="B38" s="46" t="s">
        <v>65</v>
      </c>
      <c r="C38" s="50">
        <v>65</v>
      </c>
      <c r="D38" s="50">
        <v>13</v>
      </c>
      <c r="E38" s="50">
        <v>9</v>
      </c>
      <c r="F38" s="50">
        <v>45</v>
      </c>
      <c r="G38" s="50">
        <v>3</v>
      </c>
      <c r="H38" s="50">
        <v>0</v>
      </c>
      <c r="I38" s="50">
        <v>8</v>
      </c>
      <c r="J38" s="50">
        <v>7</v>
      </c>
      <c r="K38" s="50">
        <v>2</v>
      </c>
      <c r="L38" s="50">
        <v>7</v>
      </c>
      <c r="M38" s="50">
        <v>390</v>
      </c>
      <c r="N38" s="50">
        <v>0</v>
      </c>
      <c r="O38" s="15">
        <f t="shared" si="0"/>
        <v>159</v>
      </c>
      <c r="P38" s="15">
        <f t="shared" si="1"/>
        <v>549</v>
      </c>
      <c r="R38" s="28" t="s">
        <v>86</v>
      </c>
      <c r="S38" s="16">
        <f t="shared" ref="S38:AF38" si="54">SUM(S13:S18)</f>
        <v>1622</v>
      </c>
      <c r="T38" s="16">
        <f t="shared" si="54"/>
        <v>428</v>
      </c>
      <c r="U38" s="16">
        <f t="shared" si="54"/>
        <v>239</v>
      </c>
      <c r="V38" s="16">
        <f t="shared" si="54"/>
        <v>1462</v>
      </c>
      <c r="W38" s="16">
        <f t="shared" si="54"/>
        <v>37</v>
      </c>
      <c r="X38" s="16">
        <f t="shared" si="54"/>
        <v>15</v>
      </c>
      <c r="Y38" s="16">
        <f t="shared" si="54"/>
        <v>210</v>
      </c>
      <c r="Z38" s="16">
        <f t="shared" si="54"/>
        <v>156</v>
      </c>
      <c r="AA38" s="16">
        <f t="shared" si="54"/>
        <v>39</v>
      </c>
      <c r="AB38" s="16">
        <f t="shared" si="54"/>
        <v>154</v>
      </c>
      <c r="AC38" s="16">
        <f t="shared" si="54"/>
        <v>7245</v>
      </c>
      <c r="AD38" s="16">
        <f t="shared" si="54"/>
        <v>0</v>
      </c>
      <c r="AE38" s="32">
        <f t="shared" si="54"/>
        <v>4362</v>
      </c>
      <c r="AF38" s="32">
        <f t="shared" si="54"/>
        <v>11607</v>
      </c>
    </row>
    <row r="39" spans="2:32" ht="23.1" customHeight="1" x14ac:dyDescent="0.25">
      <c r="B39" s="46" t="s">
        <v>66</v>
      </c>
      <c r="C39" s="50">
        <v>59</v>
      </c>
      <c r="D39" s="50">
        <v>17</v>
      </c>
      <c r="E39" s="50">
        <v>3</v>
      </c>
      <c r="F39" s="50">
        <v>60</v>
      </c>
      <c r="G39" s="50">
        <v>2</v>
      </c>
      <c r="H39" s="50">
        <v>0</v>
      </c>
      <c r="I39" s="50">
        <v>9</v>
      </c>
      <c r="J39" s="50">
        <v>6</v>
      </c>
      <c r="K39" s="50">
        <v>0</v>
      </c>
      <c r="L39" s="50">
        <v>4</v>
      </c>
      <c r="M39" s="50">
        <v>255</v>
      </c>
      <c r="N39" s="50">
        <v>0</v>
      </c>
      <c r="O39" s="15">
        <f t="shared" si="0"/>
        <v>160</v>
      </c>
      <c r="P39" s="15">
        <f t="shared" si="1"/>
        <v>415</v>
      </c>
      <c r="R39" s="29" t="s">
        <v>87</v>
      </c>
      <c r="S39" s="16">
        <f t="shared" ref="S39:AF39" si="55">SUM(S19:S21)</f>
        <v>1533</v>
      </c>
      <c r="T39" s="16">
        <f t="shared" si="55"/>
        <v>477</v>
      </c>
      <c r="U39" s="16">
        <f t="shared" si="55"/>
        <v>231</v>
      </c>
      <c r="V39" s="16">
        <f t="shared" si="55"/>
        <v>740</v>
      </c>
      <c r="W39" s="16">
        <f t="shared" si="55"/>
        <v>18</v>
      </c>
      <c r="X39" s="16">
        <f t="shared" si="55"/>
        <v>6</v>
      </c>
      <c r="Y39" s="16">
        <f t="shared" si="55"/>
        <v>109</v>
      </c>
      <c r="Z39" s="16">
        <f t="shared" si="55"/>
        <v>81</v>
      </c>
      <c r="AA39" s="16">
        <f t="shared" si="55"/>
        <v>9</v>
      </c>
      <c r="AB39" s="16">
        <f t="shared" si="55"/>
        <v>33</v>
      </c>
      <c r="AC39" s="16">
        <f t="shared" si="55"/>
        <v>3720</v>
      </c>
      <c r="AD39" s="16">
        <f t="shared" si="55"/>
        <v>0</v>
      </c>
      <c r="AE39" s="32">
        <f t="shared" si="55"/>
        <v>3237</v>
      </c>
      <c r="AF39" s="32">
        <f t="shared" si="55"/>
        <v>6957</v>
      </c>
    </row>
    <row r="40" spans="2:32" ht="23.1" customHeight="1" x14ac:dyDescent="0.25">
      <c r="B40" s="46" t="s">
        <v>67</v>
      </c>
      <c r="C40" s="50">
        <v>71</v>
      </c>
      <c r="D40" s="50">
        <v>14</v>
      </c>
      <c r="E40" s="50">
        <v>10</v>
      </c>
      <c r="F40" s="50">
        <v>65</v>
      </c>
      <c r="G40" s="50">
        <v>3</v>
      </c>
      <c r="H40" s="50">
        <v>2</v>
      </c>
      <c r="I40" s="50">
        <v>6</v>
      </c>
      <c r="J40" s="50">
        <v>2</v>
      </c>
      <c r="K40" s="50">
        <v>2</v>
      </c>
      <c r="L40" s="50">
        <v>3</v>
      </c>
      <c r="M40" s="50">
        <v>285</v>
      </c>
      <c r="N40" s="50">
        <v>0</v>
      </c>
      <c r="O40" s="15">
        <f t="shared" si="0"/>
        <v>178</v>
      </c>
      <c r="P40" s="15">
        <f t="shared" si="1"/>
        <v>463</v>
      </c>
      <c r="R40" s="5" t="s">
        <v>17</v>
      </c>
      <c r="S40" s="16">
        <f t="shared" ref="S40:AF40" si="56">SUM(S10:S21)</f>
        <v>3788</v>
      </c>
      <c r="T40" s="16">
        <f t="shared" si="56"/>
        <v>1019</v>
      </c>
      <c r="U40" s="16">
        <f t="shared" si="56"/>
        <v>575</v>
      </c>
      <c r="V40" s="16">
        <f t="shared" si="56"/>
        <v>2851</v>
      </c>
      <c r="W40" s="16">
        <f t="shared" si="56"/>
        <v>84</v>
      </c>
      <c r="X40" s="16">
        <f t="shared" si="56"/>
        <v>35</v>
      </c>
      <c r="Y40" s="16">
        <f t="shared" si="56"/>
        <v>398</v>
      </c>
      <c r="Z40" s="16">
        <f t="shared" si="56"/>
        <v>273</v>
      </c>
      <c r="AA40" s="16">
        <f t="shared" si="56"/>
        <v>65</v>
      </c>
      <c r="AB40" s="16">
        <f t="shared" si="56"/>
        <v>210</v>
      </c>
      <c r="AC40" s="16">
        <f t="shared" si="56"/>
        <v>13960</v>
      </c>
      <c r="AD40" s="16">
        <f t="shared" si="56"/>
        <v>0</v>
      </c>
      <c r="AE40" s="32">
        <f t="shared" si="56"/>
        <v>9298</v>
      </c>
      <c r="AF40" s="32">
        <f t="shared" si="56"/>
        <v>23258</v>
      </c>
    </row>
    <row r="41" spans="2:32" ht="23.1" customHeight="1" x14ac:dyDescent="0.25">
      <c r="B41" s="45" t="s">
        <v>68</v>
      </c>
      <c r="C41" s="50">
        <v>48</v>
      </c>
      <c r="D41" s="50">
        <v>10</v>
      </c>
      <c r="E41" s="50">
        <v>5</v>
      </c>
      <c r="F41" s="50">
        <v>41</v>
      </c>
      <c r="G41" s="50">
        <v>2</v>
      </c>
      <c r="H41" s="50">
        <v>0</v>
      </c>
      <c r="I41" s="50">
        <v>12</v>
      </c>
      <c r="J41" s="50">
        <v>6</v>
      </c>
      <c r="K41" s="50">
        <v>2</v>
      </c>
      <c r="L41" s="50">
        <v>12</v>
      </c>
      <c r="M41" s="50">
        <v>320</v>
      </c>
      <c r="N41" s="50">
        <v>0</v>
      </c>
      <c r="O41" s="15">
        <f t="shared" si="0"/>
        <v>138</v>
      </c>
      <c r="P41" s="15">
        <f t="shared" si="1"/>
        <v>458</v>
      </c>
      <c r="R41" s="5" t="s">
        <v>159</v>
      </c>
      <c r="S41" s="16">
        <f>SUM(S10:S33)</f>
        <v>5208</v>
      </c>
      <c r="T41" s="16">
        <f t="shared" ref="T41:AF41" si="57">SUM(T10:T33)</f>
        <v>1352</v>
      </c>
      <c r="U41" s="16">
        <f t="shared" si="57"/>
        <v>716</v>
      </c>
      <c r="V41" s="16">
        <f t="shared" si="57"/>
        <v>3877</v>
      </c>
      <c r="W41" s="16">
        <f t="shared" si="57"/>
        <v>134</v>
      </c>
      <c r="X41" s="16">
        <f t="shared" si="57"/>
        <v>55</v>
      </c>
      <c r="Y41" s="16">
        <f t="shared" si="57"/>
        <v>467</v>
      </c>
      <c r="Z41" s="16">
        <f t="shared" si="57"/>
        <v>334</v>
      </c>
      <c r="AA41" s="16">
        <f t="shared" si="57"/>
        <v>142</v>
      </c>
      <c r="AB41" s="16">
        <f t="shared" si="57"/>
        <v>283</v>
      </c>
      <c r="AC41" s="16">
        <f t="shared" si="57"/>
        <v>19091</v>
      </c>
      <c r="AD41" s="16">
        <f t="shared" si="57"/>
        <v>0</v>
      </c>
      <c r="AE41" s="32">
        <f t="shared" si="57"/>
        <v>12568</v>
      </c>
      <c r="AF41" s="32">
        <f t="shared" si="57"/>
        <v>31659</v>
      </c>
    </row>
    <row r="42" spans="2:32" ht="23.1" customHeight="1" x14ac:dyDescent="0.25">
      <c r="B42" s="46" t="s">
        <v>69</v>
      </c>
      <c r="C42" s="50">
        <v>71</v>
      </c>
      <c r="D42" s="50">
        <v>21</v>
      </c>
      <c r="E42" s="50">
        <v>18</v>
      </c>
      <c r="F42" s="50">
        <v>74</v>
      </c>
      <c r="G42" s="50">
        <v>3</v>
      </c>
      <c r="H42" s="50">
        <v>2</v>
      </c>
      <c r="I42" s="50">
        <v>14</v>
      </c>
      <c r="J42" s="50">
        <v>8</v>
      </c>
      <c r="K42" s="50">
        <v>2</v>
      </c>
      <c r="L42" s="50">
        <v>7</v>
      </c>
      <c r="M42" s="50">
        <v>435</v>
      </c>
      <c r="N42" s="50">
        <v>0</v>
      </c>
      <c r="O42" s="15">
        <f t="shared" ref="O42:O73" si="58">SUM(C42:L42,N42)</f>
        <v>220</v>
      </c>
      <c r="P42" s="15">
        <f t="shared" ref="P42:P73" si="59">SUM(C42:N42)</f>
        <v>655</v>
      </c>
      <c r="R42" s="5" t="s">
        <v>160</v>
      </c>
      <c r="S42" s="48">
        <f>S41/S40</f>
        <v>1.3748680042238648</v>
      </c>
      <c r="T42" s="48">
        <f t="shared" ref="T42:AF42" si="60">T41/T40</f>
        <v>1.3267909715407262</v>
      </c>
      <c r="U42" s="48">
        <f t="shared" si="60"/>
        <v>1.2452173913043478</v>
      </c>
      <c r="V42" s="48">
        <f t="shared" si="60"/>
        <v>1.3598737285163101</v>
      </c>
      <c r="W42" s="48">
        <f t="shared" si="60"/>
        <v>1.5952380952380953</v>
      </c>
      <c r="X42" s="48">
        <f t="shared" si="60"/>
        <v>1.5714285714285714</v>
      </c>
      <c r="Y42" s="48">
        <f t="shared" si="60"/>
        <v>1.1733668341708543</v>
      </c>
      <c r="Z42" s="48">
        <f t="shared" si="60"/>
        <v>1.2234432234432235</v>
      </c>
      <c r="AA42" s="48">
        <f t="shared" si="60"/>
        <v>2.1846153846153844</v>
      </c>
      <c r="AB42" s="48">
        <f t="shared" si="60"/>
        <v>1.3476190476190477</v>
      </c>
      <c r="AC42" s="48">
        <f t="shared" si="60"/>
        <v>1.3675501432664756</v>
      </c>
      <c r="AD42" s="48" t="e">
        <f t="shared" si="60"/>
        <v>#DIV/0!</v>
      </c>
      <c r="AE42" s="48">
        <f t="shared" si="60"/>
        <v>1.3516885351688535</v>
      </c>
      <c r="AF42" s="48">
        <f t="shared" si="60"/>
        <v>1.3612090463496431</v>
      </c>
    </row>
    <row r="43" spans="2:32" ht="23.1" customHeight="1" x14ac:dyDescent="0.25">
      <c r="B43" s="45" t="s">
        <v>70</v>
      </c>
      <c r="C43" s="50">
        <v>74</v>
      </c>
      <c r="D43" s="50">
        <v>22</v>
      </c>
      <c r="E43" s="50">
        <v>7</v>
      </c>
      <c r="F43" s="50">
        <v>55</v>
      </c>
      <c r="G43" s="50">
        <v>0</v>
      </c>
      <c r="H43" s="50">
        <v>0</v>
      </c>
      <c r="I43" s="50">
        <v>6</v>
      </c>
      <c r="J43" s="50">
        <v>10</v>
      </c>
      <c r="K43" s="50"/>
      <c r="L43" s="50">
        <v>6</v>
      </c>
      <c r="M43" s="50">
        <v>265</v>
      </c>
      <c r="N43" s="50">
        <v>0</v>
      </c>
      <c r="O43" s="15">
        <f t="shared" si="58"/>
        <v>180</v>
      </c>
      <c r="P43" s="15">
        <f t="shared" si="59"/>
        <v>445</v>
      </c>
    </row>
    <row r="44" spans="2:32" ht="23.1" customHeight="1" x14ac:dyDescent="0.25">
      <c r="B44" s="47" t="s">
        <v>71</v>
      </c>
      <c r="C44" s="50">
        <v>49</v>
      </c>
      <c r="D44" s="50">
        <v>17</v>
      </c>
      <c r="E44" s="50">
        <v>16</v>
      </c>
      <c r="F44" s="50">
        <v>45</v>
      </c>
      <c r="G44" s="50">
        <v>1</v>
      </c>
      <c r="H44" s="50">
        <v>0</v>
      </c>
      <c r="I44" s="50">
        <v>8</v>
      </c>
      <c r="J44" s="50">
        <v>5</v>
      </c>
      <c r="K44" s="50">
        <v>2</v>
      </c>
      <c r="L44" s="50">
        <v>8</v>
      </c>
      <c r="M44" s="50">
        <v>380</v>
      </c>
      <c r="N44" s="50">
        <v>0</v>
      </c>
      <c r="O44" s="15">
        <f t="shared" si="58"/>
        <v>151</v>
      </c>
      <c r="P44" s="15">
        <f t="shared" si="59"/>
        <v>531</v>
      </c>
    </row>
    <row r="45" spans="2:32" ht="23.1" customHeight="1" x14ac:dyDescent="0.25">
      <c r="B45" s="45" t="s">
        <v>72</v>
      </c>
      <c r="C45" s="50">
        <v>108</v>
      </c>
      <c r="D45" s="50">
        <v>25</v>
      </c>
      <c r="E45" s="50">
        <v>13</v>
      </c>
      <c r="F45" s="50">
        <v>65</v>
      </c>
      <c r="G45" s="50">
        <v>4</v>
      </c>
      <c r="H45" s="50">
        <v>1</v>
      </c>
      <c r="I45" s="50">
        <v>10</v>
      </c>
      <c r="J45" s="50">
        <v>12</v>
      </c>
      <c r="K45" s="50">
        <v>0</v>
      </c>
      <c r="L45" s="50">
        <v>15</v>
      </c>
      <c r="M45" s="50">
        <v>320</v>
      </c>
      <c r="N45" s="50">
        <v>0</v>
      </c>
      <c r="O45" s="15">
        <f t="shared" si="58"/>
        <v>253</v>
      </c>
      <c r="P45" s="15">
        <f t="shared" si="59"/>
        <v>573</v>
      </c>
    </row>
    <row r="46" spans="2:32" ht="23.1" customHeight="1" x14ac:dyDescent="0.25">
      <c r="B46" s="46" t="s">
        <v>73</v>
      </c>
      <c r="C46" s="50">
        <v>113</v>
      </c>
      <c r="D46" s="50">
        <v>18</v>
      </c>
      <c r="E46" s="50">
        <v>8</v>
      </c>
      <c r="F46" s="50">
        <v>71</v>
      </c>
      <c r="G46" s="50">
        <v>2</v>
      </c>
      <c r="H46" s="50">
        <v>0</v>
      </c>
      <c r="I46" s="50">
        <v>4</v>
      </c>
      <c r="J46" s="50">
        <v>11</v>
      </c>
      <c r="K46" s="50">
        <v>0</v>
      </c>
      <c r="L46" s="50">
        <v>7</v>
      </c>
      <c r="M46" s="50">
        <v>445</v>
      </c>
      <c r="N46" s="50">
        <v>0</v>
      </c>
      <c r="O46" s="15">
        <f t="shared" si="58"/>
        <v>234</v>
      </c>
      <c r="P46" s="15">
        <f t="shared" si="59"/>
        <v>679</v>
      </c>
      <c r="R46" s="8"/>
      <c r="T46"/>
    </row>
    <row r="47" spans="2:32" ht="23.1" customHeight="1" x14ac:dyDescent="0.25">
      <c r="B47" s="46" t="s">
        <v>74</v>
      </c>
      <c r="C47" s="50">
        <v>100</v>
      </c>
      <c r="D47" s="50">
        <v>23</v>
      </c>
      <c r="E47" s="50">
        <v>4</v>
      </c>
      <c r="F47" s="50">
        <v>84</v>
      </c>
      <c r="G47" s="50">
        <v>0</v>
      </c>
      <c r="H47" s="50">
        <v>0</v>
      </c>
      <c r="I47" s="50">
        <v>15</v>
      </c>
      <c r="J47" s="50">
        <v>7</v>
      </c>
      <c r="K47" s="50">
        <v>1</v>
      </c>
      <c r="L47" s="50">
        <v>3</v>
      </c>
      <c r="M47" s="50">
        <v>240</v>
      </c>
      <c r="N47" s="50">
        <v>0</v>
      </c>
      <c r="O47" s="15">
        <f t="shared" si="58"/>
        <v>237</v>
      </c>
      <c r="P47" s="15">
        <f t="shared" si="59"/>
        <v>477</v>
      </c>
      <c r="R47" s="8"/>
      <c r="T47"/>
    </row>
    <row r="48" spans="2:32" ht="23.1" customHeight="1" x14ac:dyDescent="0.25">
      <c r="B48" s="46" t="s">
        <v>75</v>
      </c>
      <c r="C48" s="50">
        <v>119</v>
      </c>
      <c r="D48" s="50">
        <v>44</v>
      </c>
      <c r="E48" s="50">
        <v>14</v>
      </c>
      <c r="F48" s="50">
        <v>0</v>
      </c>
      <c r="G48" s="50">
        <v>0</v>
      </c>
      <c r="H48" s="50">
        <v>1</v>
      </c>
      <c r="I48" s="50">
        <v>21</v>
      </c>
      <c r="J48" s="50">
        <v>6</v>
      </c>
      <c r="K48" s="50">
        <v>0</v>
      </c>
      <c r="L48" s="50">
        <v>3</v>
      </c>
      <c r="M48" s="50">
        <v>260</v>
      </c>
      <c r="N48" s="50">
        <v>0</v>
      </c>
      <c r="O48" s="15">
        <f t="shared" si="58"/>
        <v>208</v>
      </c>
      <c r="P48" s="15">
        <f t="shared" si="59"/>
        <v>468</v>
      </c>
      <c r="R48" s="8"/>
      <c r="T48"/>
    </row>
    <row r="49" spans="2:20" ht="23.1" customHeight="1" x14ac:dyDescent="0.25">
      <c r="B49" s="45" t="s">
        <v>76</v>
      </c>
      <c r="C49" s="50">
        <v>132</v>
      </c>
      <c r="D49" s="50">
        <v>47</v>
      </c>
      <c r="E49" s="50">
        <v>23</v>
      </c>
      <c r="F49" s="50">
        <v>65</v>
      </c>
      <c r="G49" s="50">
        <v>1</v>
      </c>
      <c r="H49" s="50">
        <v>0</v>
      </c>
      <c r="I49" s="50">
        <v>8</v>
      </c>
      <c r="J49" s="50">
        <v>11</v>
      </c>
      <c r="K49" s="50">
        <v>1</v>
      </c>
      <c r="L49" s="50">
        <v>4</v>
      </c>
      <c r="M49" s="50">
        <v>280</v>
      </c>
      <c r="N49" s="50">
        <v>0</v>
      </c>
      <c r="O49" s="15">
        <f t="shared" si="58"/>
        <v>292</v>
      </c>
      <c r="P49" s="15">
        <f t="shared" si="59"/>
        <v>572</v>
      </c>
      <c r="R49" s="8"/>
      <c r="T49"/>
    </row>
    <row r="50" spans="2:20" ht="23.1" customHeight="1" x14ac:dyDescent="0.25">
      <c r="B50" s="46" t="s">
        <v>77</v>
      </c>
      <c r="C50" s="50">
        <v>108</v>
      </c>
      <c r="D50" s="50">
        <v>26</v>
      </c>
      <c r="E50" s="50">
        <v>9</v>
      </c>
      <c r="F50" s="50">
        <v>61</v>
      </c>
      <c r="G50" s="50">
        <v>1</v>
      </c>
      <c r="H50" s="50">
        <v>0</v>
      </c>
      <c r="I50" s="50">
        <v>7</v>
      </c>
      <c r="J50" s="50">
        <v>8</v>
      </c>
      <c r="K50" s="50">
        <v>1</v>
      </c>
      <c r="L50" s="50">
        <v>6</v>
      </c>
      <c r="M50" s="50">
        <v>425</v>
      </c>
      <c r="N50" s="50">
        <v>0</v>
      </c>
      <c r="O50" s="15">
        <f t="shared" si="58"/>
        <v>227</v>
      </c>
      <c r="P50" s="15">
        <f t="shared" si="59"/>
        <v>652</v>
      </c>
      <c r="R50" s="8"/>
      <c r="T50"/>
    </row>
    <row r="51" spans="2:20" ht="23.1" customHeight="1" x14ac:dyDescent="0.25">
      <c r="B51" s="46" t="s">
        <v>78</v>
      </c>
      <c r="C51" s="50">
        <v>120</v>
      </c>
      <c r="D51" s="50">
        <v>35</v>
      </c>
      <c r="E51" s="50">
        <v>17</v>
      </c>
      <c r="F51" s="50">
        <v>72</v>
      </c>
      <c r="G51" s="50">
        <v>2</v>
      </c>
      <c r="H51" s="50">
        <v>0</v>
      </c>
      <c r="I51" s="50">
        <v>10</v>
      </c>
      <c r="J51" s="50">
        <v>8</v>
      </c>
      <c r="K51" s="50">
        <v>0</v>
      </c>
      <c r="L51" s="50">
        <v>2</v>
      </c>
      <c r="M51" s="50">
        <v>235</v>
      </c>
      <c r="N51" s="50">
        <v>0</v>
      </c>
      <c r="O51" s="15">
        <f t="shared" si="58"/>
        <v>266</v>
      </c>
      <c r="P51" s="15">
        <f t="shared" si="59"/>
        <v>501</v>
      </c>
      <c r="R51" s="8"/>
      <c r="T51"/>
    </row>
    <row r="52" spans="2:20" ht="23.1" customHeight="1" x14ac:dyDescent="0.25">
      <c r="B52" s="46" t="s">
        <v>79</v>
      </c>
      <c r="C52" s="50">
        <v>126</v>
      </c>
      <c r="D52" s="50">
        <v>32</v>
      </c>
      <c r="E52" s="50">
        <v>19</v>
      </c>
      <c r="F52" s="50">
        <v>53</v>
      </c>
      <c r="G52" s="50">
        <v>3</v>
      </c>
      <c r="H52" s="50">
        <v>1</v>
      </c>
      <c r="I52" s="50">
        <v>8</v>
      </c>
      <c r="J52" s="50">
        <v>9</v>
      </c>
      <c r="K52" s="50">
        <v>2</v>
      </c>
      <c r="L52" s="50">
        <v>3</v>
      </c>
      <c r="M52" s="50">
        <v>260</v>
      </c>
      <c r="N52" s="50">
        <v>0</v>
      </c>
      <c r="O52" s="15">
        <f t="shared" si="58"/>
        <v>256</v>
      </c>
      <c r="P52" s="15">
        <f t="shared" si="59"/>
        <v>516</v>
      </c>
      <c r="R52" s="8"/>
      <c r="T52"/>
    </row>
    <row r="53" spans="2:20" ht="23.1" customHeight="1" x14ac:dyDescent="0.25">
      <c r="B53" s="45" t="s">
        <v>80</v>
      </c>
      <c r="C53" s="50">
        <v>107</v>
      </c>
      <c r="D53" s="50">
        <v>40</v>
      </c>
      <c r="E53" s="50">
        <v>23</v>
      </c>
      <c r="F53" s="50">
        <v>61</v>
      </c>
      <c r="G53" s="50">
        <v>3</v>
      </c>
      <c r="H53" s="50">
        <v>0</v>
      </c>
      <c r="I53" s="50">
        <v>5</v>
      </c>
      <c r="J53" s="50">
        <v>4</v>
      </c>
      <c r="K53" s="50">
        <v>1</v>
      </c>
      <c r="L53" s="50">
        <v>0</v>
      </c>
      <c r="M53" s="50">
        <v>310</v>
      </c>
      <c r="N53" s="50">
        <v>0</v>
      </c>
      <c r="O53" s="15">
        <f t="shared" si="58"/>
        <v>244</v>
      </c>
      <c r="P53" s="15">
        <f t="shared" si="59"/>
        <v>554</v>
      </c>
      <c r="R53" s="8"/>
      <c r="T53"/>
    </row>
    <row r="54" spans="2:20" ht="23.1" customHeight="1" x14ac:dyDescent="0.25">
      <c r="B54" s="45" t="s">
        <v>81</v>
      </c>
      <c r="C54" s="50">
        <v>139</v>
      </c>
      <c r="D54" s="50">
        <v>48</v>
      </c>
      <c r="E54" s="50">
        <v>24</v>
      </c>
      <c r="F54" s="50">
        <v>69</v>
      </c>
      <c r="G54" s="50">
        <v>0</v>
      </c>
      <c r="H54" s="50">
        <v>1</v>
      </c>
      <c r="I54" s="50">
        <v>10</v>
      </c>
      <c r="J54" s="50">
        <v>2</v>
      </c>
      <c r="K54" s="50">
        <v>1</v>
      </c>
      <c r="L54" s="50">
        <v>2</v>
      </c>
      <c r="M54" s="50">
        <v>365</v>
      </c>
      <c r="N54" s="50">
        <v>0</v>
      </c>
      <c r="O54" s="15">
        <f t="shared" si="58"/>
        <v>296</v>
      </c>
      <c r="P54" s="15">
        <f t="shared" si="59"/>
        <v>661</v>
      </c>
      <c r="R54" s="8"/>
      <c r="T54"/>
    </row>
    <row r="55" spans="2:20" ht="23.1" customHeight="1" x14ac:dyDescent="0.25">
      <c r="B55" s="45" t="s">
        <v>82</v>
      </c>
      <c r="C55" s="50">
        <v>140</v>
      </c>
      <c r="D55" s="50">
        <v>53</v>
      </c>
      <c r="E55" s="50">
        <v>36</v>
      </c>
      <c r="F55" s="50">
        <v>56</v>
      </c>
      <c r="G55" s="50">
        <v>0</v>
      </c>
      <c r="H55" s="50">
        <v>2</v>
      </c>
      <c r="I55" s="50">
        <v>6</v>
      </c>
      <c r="J55" s="50">
        <v>5</v>
      </c>
      <c r="K55" s="50">
        <v>0</v>
      </c>
      <c r="L55" s="50">
        <v>1</v>
      </c>
      <c r="M55" s="50">
        <v>255</v>
      </c>
      <c r="N55" s="50">
        <v>0</v>
      </c>
      <c r="O55" s="15">
        <f t="shared" si="58"/>
        <v>299</v>
      </c>
      <c r="P55" s="15">
        <f t="shared" si="59"/>
        <v>554</v>
      </c>
      <c r="R55" s="8"/>
      <c r="T55"/>
    </row>
    <row r="56" spans="2:20" ht="23.1" customHeight="1" x14ac:dyDescent="0.25">
      <c r="B56" s="45" t="s">
        <v>83</v>
      </c>
      <c r="C56" s="50">
        <v>160</v>
      </c>
      <c r="D56" s="50">
        <v>54</v>
      </c>
      <c r="E56" s="50">
        <v>25</v>
      </c>
      <c r="F56" s="50">
        <v>75</v>
      </c>
      <c r="G56" s="50">
        <v>1</v>
      </c>
      <c r="H56" s="50">
        <v>1</v>
      </c>
      <c r="I56" s="50">
        <v>10</v>
      </c>
      <c r="J56" s="50">
        <v>6</v>
      </c>
      <c r="K56" s="50">
        <v>2</v>
      </c>
      <c r="L56" s="50">
        <v>1</v>
      </c>
      <c r="M56" s="50">
        <v>245</v>
      </c>
      <c r="N56" s="50">
        <v>0</v>
      </c>
      <c r="O56" s="15">
        <f t="shared" si="58"/>
        <v>335</v>
      </c>
      <c r="P56" s="15">
        <f t="shared" si="59"/>
        <v>580</v>
      </c>
      <c r="R56" s="8"/>
      <c r="T56"/>
    </row>
    <row r="57" spans="2:20" ht="23.1" customHeight="1" x14ac:dyDescent="0.25">
      <c r="B57" s="45" t="s">
        <v>84</v>
      </c>
      <c r="C57" s="50">
        <v>169</v>
      </c>
      <c r="D57" s="50">
        <v>57</v>
      </c>
      <c r="E57" s="50">
        <v>29</v>
      </c>
      <c r="F57" s="50">
        <v>73</v>
      </c>
      <c r="G57" s="50">
        <v>5</v>
      </c>
      <c r="H57" s="50">
        <v>0</v>
      </c>
      <c r="I57" s="50">
        <v>5</v>
      </c>
      <c r="J57" s="50">
        <v>4</v>
      </c>
      <c r="K57" s="50">
        <v>0</v>
      </c>
      <c r="L57" s="50">
        <v>1</v>
      </c>
      <c r="M57" s="50">
        <v>400</v>
      </c>
      <c r="N57" s="50">
        <v>0</v>
      </c>
      <c r="O57" s="15">
        <f t="shared" si="58"/>
        <v>343</v>
      </c>
      <c r="P57" s="15">
        <f t="shared" si="59"/>
        <v>743</v>
      </c>
      <c r="R57" s="8"/>
      <c r="T57"/>
    </row>
    <row r="58" spans="2:20" ht="23.1" customHeight="1" x14ac:dyDescent="0.25">
      <c r="B58" s="45" t="s">
        <v>99</v>
      </c>
      <c r="C58" s="50">
        <v>63</v>
      </c>
      <c r="D58" s="50">
        <v>13</v>
      </c>
      <c r="E58" s="50">
        <v>7</v>
      </c>
      <c r="F58" s="50">
        <v>33</v>
      </c>
      <c r="G58" s="50">
        <v>0</v>
      </c>
      <c r="H58" s="50">
        <v>0</v>
      </c>
      <c r="I58" s="50">
        <v>6</v>
      </c>
      <c r="J58" s="50">
        <v>0</v>
      </c>
      <c r="K58" s="50">
        <v>1</v>
      </c>
      <c r="L58" s="50">
        <v>0</v>
      </c>
      <c r="M58" s="50">
        <v>352</v>
      </c>
      <c r="N58" s="50">
        <v>0</v>
      </c>
      <c r="O58" s="15">
        <f t="shared" si="58"/>
        <v>123</v>
      </c>
      <c r="P58" s="15">
        <f t="shared" si="59"/>
        <v>475</v>
      </c>
      <c r="R58" s="8"/>
      <c r="T58"/>
    </row>
    <row r="59" spans="2:20" ht="23.1" customHeight="1" x14ac:dyDescent="0.25">
      <c r="B59" s="45" t="s">
        <v>100</v>
      </c>
      <c r="C59" s="50">
        <v>48</v>
      </c>
      <c r="D59" s="50">
        <v>6</v>
      </c>
      <c r="E59" s="50">
        <v>0</v>
      </c>
      <c r="F59" s="50">
        <v>55</v>
      </c>
      <c r="G59" s="50">
        <v>2</v>
      </c>
      <c r="H59" s="50">
        <v>1</v>
      </c>
      <c r="I59" s="50">
        <v>4</v>
      </c>
      <c r="J59" s="50">
        <v>1</v>
      </c>
      <c r="K59" s="50">
        <v>0</v>
      </c>
      <c r="L59" s="50">
        <v>3</v>
      </c>
      <c r="M59" s="50">
        <v>313</v>
      </c>
      <c r="N59" s="50">
        <v>0</v>
      </c>
      <c r="O59" s="15">
        <f t="shared" si="58"/>
        <v>120</v>
      </c>
      <c r="P59" s="15">
        <f t="shared" si="59"/>
        <v>433</v>
      </c>
      <c r="R59" s="8"/>
      <c r="T59"/>
    </row>
    <row r="60" spans="2:20" ht="23.1" customHeight="1" x14ac:dyDescent="0.25">
      <c r="B60" s="45" t="s">
        <v>101</v>
      </c>
      <c r="C60" s="50">
        <v>13</v>
      </c>
      <c r="D60" s="50">
        <v>1</v>
      </c>
      <c r="E60" s="50">
        <v>3</v>
      </c>
      <c r="F60" s="50">
        <v>45</v>
      </c>
      <c r="G60" s="50">
        <v>3</v>
      </c>
      <c r="H60" s="50">
        <v>0</v>
      </c>
      <c r="I60" s="50">
        <v>3</v>
      </c>
      <c r="J60" s="50">
        <v>3</v>
      </c>
      <c r="K60" s="50">
        <v>0</v>
      </c>
      <c r="L60" s="50">
        <v>0</v>
      </c>
      <c r="M60" s="50">
        <v>305</v>
      </c>
      <c r="N60" s="50">
        <v>0</v>
      </c>
      <c r="O60" s="15">
        <f t="shared" si="58"/>
        <v>71</v>
      </c>
      <c r="P60" s="15">
        <f t="shared" si="59"/>
        <v>376</v>
      </c>
      <c r="R60" s="8"/>
      <c r="T60"/>
    </row>
    <row r="61" spans="2:20" ht="23.1" customHeight="1" x14ac:dyDescent="0.25">
      <c r="B61" s="45" t="s">
        <v>102</v>
      </c>
      <c r="C61" s="50">
        <v>42</v>
      </c>
      <c r="D61" s="50">
        <v>11</v>
      </c>
      <c r="E61" s="50">
        <v>9</v>
      </c>
      <c r="F61" s="50">
        <v>61</v>
      </c>
      <c r="G61" s="50">
        <v>1</v>
      </c>
      <c r="H61" s="50">
        <v>0</v>
      </c>
      <c r="I61" s="50">
        <v>5</v>
      </c>
      <c r="J61" s="50">
        <v>2</v>
      </c>
      <c r="K61" s="50">
        <v>1</v>
      </c>
      <c r="L61" s="50">
        <v>3</v>
      </c>
      <c r="M61" s="50">
        <v>340</v>
      </c>
      <c r="N61" s="50">
        <v>0</v>
      </c>
      <c r="O61" s="15">
        <f t="shared" si="58"/>
        <v>135</v>
      </c>
      <c r="P61" s="15">
        <f t="shared" si="59"/>
        <v>475</v>
      </c>
      <c r="R61" s="8"/>
      <c r="T61"/>
    </row>
    <row r="62" spans="2:20" ht="23.1" customHeight="1" x14ac:dyDescent="0.25">
      <c r="B62" s="45" t="s">
        <v>107</v>
      </c>
      <c r="C62" s="50">
        <v>38</v>
      </c>
      <c r="D62" s="50">
        <v>18</v>
      </c>
      <c r="E62" s="50">
        <v>2</v>
      </c>
      <c r="F62" s="50">
        <v>30</v>
      </c>
      <c r="G62" s="50">
        <v>3</v>
      </c>
      <c r="H62" s="50">
        <v>0</v>
      </c>
      <c r="I62" s="50">
        <v>3</v>
      </c>
      <c r="J62" s="50">
        <v>1</v>
      </c>
      <c r="K62" s="50">
        <v>1</v>
      </c>
      <c r="L62" s="50">
        <v>1</v>
      </c>
      <c r="M62" s="50">
        <v>298</v>
      </c>
      <c r="N62" s="50">
        <v>0</v>
      </c>
      <c r="O62" s="15">
        <f t="shared" si="58"/>
        <v>97</v>
      </c>
      <c r="P62" s="15">
        <f t="shared" si="59"/>
        <v>395</v>
      </c>
      <c r="R62" s="8"/>
      <c r="T62"/>
    </row>
    <row r="63" spans="2:20" ht="23.1" customHeight="1" x14ac:dyDescent="0.25">
      <c r="B63" s="45" t="s">
        <v>108</v>
      </c>
      <c r="C63" s="50">
        <v>72</v>
      </c>
      <c r="D63" s="50">
        <v>31</v>
      </c>
      <c r="E63" s="50">
        <v>8</v>
      </c>
      <c r="F63" s="50">
        <v>26</v>
      </c>
      <c r="G63" s="50">
        <v>1</v>
      </c>
      <c r="H63" s="50">
        <v>0</v>
      </c>
      <c r="I63" s="50">
        <v>1</v>
      </c>
      <c r="J63" s="50">
        <v>2</v>
      </c>
      <c r="K63" s="50">
        <v>1</v>
      </c>
      <c r="L63" s="50">
        <v>1</v>
      </c>
      <c r="M63" s="50">
        <v>314</v>
      </c>
      <c r="N63" s="50">
        <v>0</v>
      </c>
      <c r="O63" s="15">
        <f t="shared" si="58"/>
        <v>143</v>
      </c>
      <c r="P63" s="15">
        <f t="shared" si="59"/>
        <v>457</v>
      </c>
      <c r="R63" s="8"/>
      <c r="T63"/>
    </row>
    <row r="64" spans="2:20" ht="23.1" customHeight="1" x14ac:dyDescent="0.25">
      <c r="B64" s="45" t="s">
        <v>109</v>
      </c>
      <c r="C64" s="50">
        <v>84</v>
      </c>
      <c r="D64" s="50">
        <v>15</v>
      </c>
      <c r="E64" s="50">
        <v>6</v>
      </c>
      <c r="F64" s="50">
        <v>46</v>
      </c>
      <c r="G64" s="50">
        <v>0</v>
      </c>
      <c r="H64" s="50">
        <v>2</v>
      </c>
      <c r="I64" s="50">
        <v>4</v>
      </c>
      <c r="J64" s="50">
        <v>5</v>
      </c>
      <c r="K64" s="50">
        <v>1</v>
      </c>
      <c r="L64" s="50">
        <v>1</v>
      </c>
      <c r="M64" s="50">
        <v>309</v>
      </c>
      <c r="N64" s="50">
        <v>0</v>
      </c>
      <c r="O64" s="15">
        <f t="shared" si="58"/>
        <v>164</v>
      </c>
      <c r="P64" s="15">
        <f t="shared" si="59"/>
        <v>473</v>
      </c>
      <c r="R64" s="8"/>
      <c r="T64"/>
    </row>
    <row r="65" spans="2:20" ht="23.1" customHeight="1" x14ac:dyDescent="0.25">
      <c r="B65" s="45" t="s">
        <v>158</v>
      </c>
      <c r="C65" s="50">
        <v>74</v>
      </c>
      <c r="D65" s="50">
        <v>22</v>
      </c>
      <c r="E65" s="50">
        <v>14</v>
      </c>
      <c r="F65" s="50">
        <v>80</v>
      </c>
      <c r="G65" s="50">
        <v>1</v>
      </c>
      <c r="H65" s="50">
        <v>0</v>
      </c>
      <c r="I65" s="50">
        <v>1</v>
      </c>
      <c r="J65" s="50">
        <v>3</v>
      </c>
      <c r="K65" s="50">
        <v>0</v>
      </c>
      <c r="L65" s="50">
        <v>0</v>
      </c>
      <c r="M65" s="50">
        <v>304</v>
      </c>
      <c r="N65" s="50">
        <v>0</v>
      </c>
      <c r="O65" s="15">
        <f t="shared" si="58"/>
        <v>195</v>
      </c>
      <c r="P65" s="15">
        <f t="shared" si="59"/>
        <v>499</v>
      </c>
      <c r="R65" s="8"/>
      <c r="T65"/>
    </row>
    <row r="66" spans="2:20" ht="23.1" customHeight="1" x14ac:dyDescent="0.25">
      <c r="B66" s="45" t="s">
        <v>103</v>
      </c>
      <c r="C66" s="50">
        <v>42</v>
      </c>
      <c r="D66" s="50">
        <v>8</v>
      </c>
      <c r="E66" s="50">
        <v>4</v>
      </c>
      <c r="F66" s="50">
        <v>70</v>
      </c>
      <c r="G66" s="50">
        <v>2</v>
      </c>
      <c r="H66" s="50">
        <v>1</v>
      </c>
      <c r="I66" s="50">
        <v>5</v>
      </c>
      <c r="J66" s="50">
        <v>1</v>
      </c>
      <c r="K66" s="50">
        <v>0</v>
      </c>
      <c r="L66" s="50">
        <v>0</v>
      </c>
      <c r="M66" s="50">
        <v>269</v>
      </c>
      <c r="N66" s="50">
        <v>0</v>
      </c>
      <c r="O66" s="15">
        <f t="shared" si="58"/>
        <v>133</v>
      </c>
      <c r="P66" s="15">
        <f t="shared" si="59"/>
        <v>402</v>
      </c>
      <c r="R66" s="8"/>
      <c r="T66"/>
    </row>
    <row r="67" spans="2:20" ht="23.1" customHeight="1" x14ac:dyDescent="0.25">
      <c r="B67" s="45" t="s">
        <v>104</v>
      </c>
      <c r="C67" s="50">
        <v>44</v>
      </c>
      <c r="D67" s="50">
        <v>8</v>
      </c>
      <c r="E67" s="50">
        <v>1</v>
      </c>
      <c r="F67" s="50">
        <v>56</v>
      </c>
      <c r="G67" s="50">
        <v>2</v>
      </c>
      <c r="H67" s="50">
        <v>1</v>
      </c>
      <c r="I67" s="50">
        <v>3</v>
      </c>
      <c r="J67" s="50">
        <v>1</v>
      </c>
      <c r="K67" s="50">
        <v>0</v>
      </c>
      <c r="L67" s="50">
        <v>2</v>
      </c>
      <c r="M67" s="50">
        <v>276</v>
      </c>
      <c r="N67" s="50">
        <v>0</v>
      </c>
      <c r="O67" s="15">
        <f t="shared" si="58"/>
        <v>118</v>
      </c>
      <c r="P67" s="15">
        <f t="shared" si="59"/>
        <v>394</v>
      </c>
      <c r="R67" s="8"/>
      <c r="T67"/>
    </row>
    <row r="68" spans="2:20" ht="23.1" customHeight="1" x14ac:dyDescent="0.25">
      <c r="B68" s="45" t="s">
        <v>105</v>
      </c>
      <c r="C68" s="50">
        <v>38</v>
      </c>
      <c r="D68" s="50">
        <v>6</v>
      </c>
      <c r="E68" s="50">
        <v>1</v>
      </c>
      <c r="F68" s="50">
        <v>31</v>
      </c>
      <c r="G68" s="50">
        <v>5</v>
      </c>
      <c r="H68" s="50">
        <v>1</v>
      </c>
      <c r="I68" s="50">
        <v>1</v>
      </c>
      <c r="J68" s="50">
        <v>1</v>
      </c>
      <c r="K68" s="50">
        <v>4</v>
      </c>
      <c r="L68" s="50">
        <v>0</v>
      </c>
      <c r="M68" s="50">
        <v>238</v>
      </c>
      <c r="N68" s="50">
        <v>0</v>
      </c>
      <c r="O68" s="15">
        <f t="shared" si="58"/>
        <v>88</v>
      </c>
      <c r="P68" s="15">
        <f t="shared" si="59"/>
        <v>326</v>
      </c>
      <c r="R68" s="8"/>
      <c r="T68"/>
    </row>
    <row r="69" spans="2:20" ht="23.1" customHeight="1" x14ac:dyDescent="0.25">
      <c r="B69" s="45" t="s">
        <v>106</v>
      </c>
      <c r="C69" s="50">
        <v>25</v>
      </c>
      <c r="D69" s="50">
        <v>6</v>
      </c>
      <c r="E69" s="50">
        <v>2</v>
      </c>
      <c r="F69" s="50">
        <v>45</v>
      </c>
      <c r="G69" s="50">
        <v>1</v>
      </c>
      <c r="H69" s="50">
        <v>0</v>
      </c>
      <c r="I69" s="50">
        <v>0</v>
      </c>
      <c r="J69" s="50">
        <v>0</v>
      </c>
      <c r="K69" s="50">
        <v>0</v>
      </c>
      <c r="L69" s="50">
        <v>5</v>
      </c>
      <c r="M69" s="50">
        <v>153</v>
      </c>
      <c r="N69" s="50">
        <v>0</v>
      </c>
      <c r="O69" s="15">
        <f t="shared" si="58"/>
        <v>84</v>
      </c>
      <c r="P69" s="15">
        <f t="shared" si="59"/>
        <v>237</v>
      </c>
      <c r="R69" s="8"/>
      <c r="T69"/>
    </row>
    <row r="70" spans="2:20" ht="23.1" customHeight="1" x14ac:dyDescent="0.25">
      <c r="B70" s="45" t="s">
        <v>110</v>
      </c>
      <c r="C70" s="50">
        <v>31</v>
      </c>
      <c r="D70" s="50">
        <v>15</v>
      </c>
      <c r="E70" s="50">
        <v>5</v>
      </c>
      <c r="F70" s="50">
        <v>10</v>
      </c>
      <c r="G70" s="50">
        <v>2</v>
      </c>
      <c r="H70" s="50">
        <v>0</v>
      </c>
      <c r="I70" s="50">
        <v>0</v>
      </c>
      <c r="J70" s="50">
        <v>2</v>
      </c>
      <c r="K70" s="50">
        <v>0</v>
      </c>
      <c r="L70" s="50">
        <v>2</v>
      </c>
      <c r="M70" s="50">
        <v>169</v>
      </c>
      <c r="N70" s="50">
        <v>0</v>
      </c>
      <c r="O70" s="15">
        <f t="shared" si="58"/>
        <v>67</v>
      </c>
      <c r="P70" s="15">
        <f t="shared" si="59"/>
        <v>236</v>
      </c>
      <c r="R70" s="8"/>
      <c r="T70"/>
    </row>
    <row r="71" spans="2:20" ht="23.1" customHeight="1" x14ac:dyDescent="0.25">
      <c r="B71" s="45" t="s">
        <v>111</v>
      </c>
      <c r="C71" s="50">
        <v>37</v>
      </c>
      <c r="D71" s="50">
        <v>9</v>
      </c>
      <c r="E71" s="50">
        <v>3</v>
      </c>
      <c r="F71" s="50">
        <v>28</v>
      </c>
      <c r="G71" s="50">
        <v>1</v>
      </c>
      <c r="H71" s="50">
        <v>0</v>
      </c>
      <c r="I71" s="50">
        <v>0</v>
      </c>
      <c r="J71" s="50">
        <v>1</v>
      </c>
      <c r="K71" s="50">
        <v>0</v>
      </c>
      <c r="L71" s="50">
        <v>5</v>
      </c>
      <c r="M71" s="50">
        <v>133</v>
      </c>
      <c r="N71" s="50">
        <v>0</v>
      </c>
      <c r="O71" s="15">
        <f t="shared" si="58"/>
        <v>84</v>
      </c>
      <c r="P71" s="15">
        <f t="shared" si="59"/>
        <v>217</v>
      </c>
      <c r="R71" s="8"/>
      <c r="T71"/>
    </row>
    <row r="72" spans="2:20" ht="23.1" customHeight="1" x14ac:dyDescent="0.25">
      <c r="B72" s="45" t="s">
        <v>112</v>
      </c>
      <c r="C72" s="50">
        <v>30</v>
      </c>
      <c r="D72" s="50">
        <v>3</v>
      </c>
      <c r="E72" s="50">
        <v>4</v>
      </c>
      <c r="F72" s="50">
        <v>25</v>
      </c>
      <c r="G72" s="50">
        <v>1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119</v>
      </c>
      <c r="N72" s="50">
        <v>0</v>
      </c>
      <c r="O72" s="15">
        <f t="shared" si="58"/>
        <v>63</v>
      </c>
      <c r="P72" s="15">
        <f t="shared" si="59"/>
        <v>182</v>
      </c>
      <c r="R72" s="8"/>
      <c r="T72"/>
    </row>
    <row r="73" spans="2:20" ht="23.1" customHeight="1" x14ac:dyDescent="0.25">
      <c r="B73" s="45" t="s">
        <v>113</v>
      </c>
      <c r="C73" s="50">
        <v>25</v>
      </c>
      <c r="D73" s="50">
        <v>10</v>
      </c>
      <c r="E73" s="50">
        <v>3</v>
      </c>
      <c r="F73" s="50">
        <v>23</v>
      </c>
      <c r="G73" s="50">
        <v>2</v>
      </c>
      <c r="H73" s="50">
        <v>1</v>
      </c>
      <c r="I73" s="50">
        <v>1</v>
      </c>
      <c r="J73" s="50">
        <v>1</v>
      </c>
      <c r="K73" s="50">
        <v>1</v>
      </c>
      <c r="L73" s="50">
        <v>1</v>
      </c>
      <c r="M73" s="50">
        <v>125</v>
      </c>
      <c r="N73" s="50">
        <v>0</v>
      </c>
      <c r="O73" s="15">
        <f t="shared" si="58"/>
        <v>68</v>
      </c>
      <c r="P73" s="15">
        <f t="shared" si="59"/>
        <v>193</v>
      </c>
      <c r="R73" s="8"/>
      <c r="T73"/>
    </row>
    <row r="74" spans="2:20" ht="23.1" customHeight="1" x14ac:dyDescent="0.25">
      <c r="B74" s="45" t="s">
        <v>114</v>
      </c>
      <c r="C74" s="50">
        <v>17</v>
      </c>
      <c r="D74" s="50">
        <v>2</v>
      </c>
      <c r="E74" s="50">
        <v>0</v>
      </c>
      <c r="F74" s="50">
        <v>26</v>
      </c>
      <c r="G74" s="50">
        <v>0</v>
      </c>
      <c r="H74" s="50">
        <v>0</v>
      </c>
      <c r="I74" s="50">
        <v>0</v>
      </c>
      <c r="J74" s="50">
        <v>3</v>
      </c>
      <c r="K74" s="50">
        <v>1</v>
      </c>
      <c r="L74" s="50">
        <v>1</v>
      </c>
      <c r="M74" s="50">
        <v>94</v>
      </c>
      <c r="N74" s="50">
        <v>0</v>
      </c>
      <c r="O74" s="15">
        <f t="shared" ref="O74:O105" si="61">SUM(C74:L74,N74)</f>
        <v>50</v>
      </c>
      <c r="P74" s="15">
        <f t="shared" ref="P74:P105" si="62">SUM(C74:N74)</f>
        <v>144</v>
      </c>
      <c r="R74" s="8"/>
      <c r="T74"/>
    </row>
    <row r="75" spans="2:20" ht="23.1" customHeight="1" x14ac:dyDescent="0.25">
      <c r="B75" s="45" t="s">
        <v>115</v>
      </c>
      <c r="C75" s="50">
        <v>28</v>
      </c>
      <c r="D75" s="50">
        <v>3</v>
      </c>
      <c r="E75" s="50">
        <v>2</v>
      </c>
      <c r="F75" s="50">
        <v>23</v>
      </c>
      <c r="G75" s="50">
        <v>1</v>
      </c>
      <c r="H75" s="50">
        <v>1</v>
      </c>
      <c r="I75" s="50">
        <v>0</v>
      </c>
      <c r="J75" s="50">
        <v>0</v>
      </c>
      <c r="K75" s="50">
        <v>1</v>
      </c>
      <c r="L75" s="50">
        <v>1</v>
      </c>
      <c r="M75" s="50">
        <v>78</v>
      </c>
      <c r="N75" s="50">
        <v>0</v>
      </c>
      <c r="O75" s="15">
        <f t="shared" si="61"/>
        <v>60</v>
      </c>
      <c r="P75" s="15">
        <f t="shared" si="62"/>
        <v>138</v>
      </c>
      <c r="R75" s="8"/>
      <c r="T75"/>
    </row>
    <row r="76" spans="2:20" ht="23.1" customHeight="1" x14ac:dyDescent="0.25">
      <c r="B76" s="45" t="s">
        <v>116</v>
      </c>
      <c r="C76" s="50">
        <v>68</v>
      </c>
      <c r="D76" s="50">
        <v>15</v>
      </c>
      <c r="E76" s="50">
        <v>0</v>
      </c>
      <c r="F76" s="50">
        <v>19</v>
      </c>
      <c r="G76" s="50">
        <v>0</v>
      </c>
      <c r="H76" s="50">
        <v>1</v>
      </c>
      <c r="I76" s="50">
        <v>2</v>
      </c>
      <c r="J76" s="50">
        <v>1</v>
      </c>
      <c r="K76" s="50">
        <v>0</v>
      </c>
      <c r="L76" s="50">
        <v>0</v>
      </c>
      <c r="M76" s="50">
        <v>80</v>
      </c>
      <c r="N76" s="50">
        <v>0</v>
      </c>
      <c r="O76" s="15">
        <f t="shared" si="61"/>
        <v>106</v>
      </c>
      <c r="P76" s="15">
        <f t="shared" si="62"/>
        <v>186</v>
      </c>
      <c r="R76" s="8"/>
      <c r="T76"/>
    </row>
    <row r="77" spans="2:20" ht="23.1" customHeight="1" x14ac:dyDescent="0.25">
      <c r="B77" s="45" t="s">
        <v>117</v>
      </c>
      <c r="C77" s="50">
        <v>27</v>
      </c>
      <c r="D77" s="50">
        <v>12</v>
      </c>
      <c r="E77" s="50">
        <v>23</v>
      </c>
      <c r="F77" s="50">
        <v>21</v>
      </c>
      <c r="G77" s="50">
        <v>1</v>
      </c>
      <c r="H77" s="50">
        <v>1</v>
      </c>
      <c r="I77" s="50">
        <v>3</v>
      </c>
      <c r="J77" s="50">
        <v>2</v>
      </c>
      <c r="K77" s="50">
        <v>0</v>
      </c>
      <c r="L77" s="50">
        <v>2</v>
      </c>
      <c r="M77" s="50">
        <v>93</v>
      </c>
      <c r="N77" s="50">
        <v>0</v>
      </c>
      <c r="O77" s="15">
        <f t="shared" si="61"/>
        <v>92</v>
      </c>
      <c r="P77" s="15">
        <f t="shared" si="62"/>
        <v>185</v>
      </c>
      <c r="R77" s="8"/>
      <c r="T77"/>
    </row>
    <row r="78" spans="2:20" ht="23.1" customHeight="1" x14ac:dyDescent="0.25">
      <c r="B78" s="46" t="s">
        <v>118</v>
      </c>
      <c r="C78" s="50">
        <v>20</v>
      </c>
      <c r="D78" s="50">
        <v>2</v>
      </c>
      <c r="E78" s="50">
        <v>3</v>
      </c>
      <c r="F78" s="50">
        <v>21</v>
      </c>
      <c r="G78" s="50">
        <v>1</v>
      </c>
      <c r="H78" s="50">
        <v>0</v>
      </c>
      <c r="I78" s="50">
        <v>1</v>
      </c>
      <c r="J78" s="50">
        <v>1</v>
      </c>
      <c r="K78" s="50">
        <v>1</v>
      </c>
      <c r="L78" s="50">
        <v>3</v>
      </c>
      <c r="M78" s="50">
        <v>81</v>
      </c>
      <c r="N78" s="50">
        <v>0</v>
      </c>
      <c r="O78" s="15">
        <f t="shared" si="61"/>
        <v>53</v>
      </c>
      <c r="P78" s="15">
        <f t="shared" si="62"/>
        <v>134</v>
      </c>
      <c r="R78" s="8"/>
      <c r="T78"/>
    </row>
    <row r="79" spans="2:20" ht="23.1" customHeight="1" x14ac:dyDescent="0.25">
      <c r="B79" s="45" t="s">
        <v>119</v>
      </c>
      <c r="C79" s="50">
        <v>15</v>
      </c>
      <c r="D79" s="50">
        <v>0</v>
      </c>
      <c r="E79" s="50">
        <v>0</v>
      </c>
      <c r="F79" s="50">
        <v>16</v>
      </c>
      <c r="G79" s="50">
        <v>1</v>
      </c>
      <c r="H79" s="50">
        <v>0</v>
      </c>
      <c r="I79" s="50">
        <v>1</v>
      </c>
      <c r="J79" s="50">
        <v>2</v>
      </c>
      <c r="K79" s="50">
        <v>3</v>
      </c>
      <c r="L79" s="50">
        <v>2</v>
      </c>
      <c r="M79" s="50">
        <v>54</v>
      </c>
      <c r="N79" s="50">
        <v>0</v>
      </c>
      <c r="O79" s="15">
        <f t="shared" si="61"/>
        <v>40</v>
      </c>
      <c r="P79" s="15">
        <f t="shared" si="62"/>
        <v>94</v>
      </c>
      <c r="R79" s="8"/>
      <c r="T79"/>
    </row>
    <row r="80" spans="2:20" ht="23.1" customHeight="1" x14ac:dyDescent="0.25">
      <c r="B80" s="47" t="s">
        <v>120</v>
      </c>
      <c r="C80" s="50">
        <v>75</v>
      </c>
      <c r="D80" s="50">
        <v>15</v>
      </c>
      <c r="E80" s="50">
        <v>7</v>
      </c>
      <c r="F80" s="50">
        <v>10</v>
      </c>
      <c r="G80" s="50">
        <v>1</v>
      </c>
      <c r="H80" s="50">
        <v>0</v>
      </c>
      <c r="I80" s="50">
        <v>1</v>
      </c>
      <c r="J80" s="50">
        <v>2</v>
      </c>
      <c r="K80" s="50">
        <v>3</v>
      </c>
      <c r="L80" s="50">
        <v>2</v>
      </c>
      <c r="M80" s="50">
        <v>63</v>
      </c>
      <c r="N80" s="50">
        <v>0</v>
      </c>
      <c r="O80" s="15">
        <f t="shared" si="61"/>
        <v>116</v>
      </c>
      <c r="P80" s="15">
        <f t="shared" si="62"/>
        <v>179</v>
      </c>
      <c r="R80" s="8"/>
      <c r="T80"/>
    </row>
    <row r="81" spans="2:20" ht="23.1" customHeight="1" x14ac:dyDescent="0.25">
      <c r="B81" s="45" t="s">
        <v>121</v>
      </c>
      <c r="C81" s="50">
        <v>44</v>
      </c>
      <c r="D81" s="50">
        <v>17</v>
      </c>
      <c r="E81" s="50">
        <v>1</v>
      </c>
      <c r="F81" s="50">
        <v>7</v>
      </c>
      <c r="G81" s="50">
        <v>0</v>
      </c>
      <c r="H81" s="50">
        <v>0</v>
      </c>
      <c r="I81" s="50">
        <v>0</v>
      </c>
      <c r="J81" s="50">
        <v>1</v>
      </c>
      <c r="K81" s="50">
        <v>2</v>
      </c>
      <c r="L81" s="50">
        <v>1</v>
      </c>
      <c r="M81" s="50">
        <v>43</v>
      </c>
      <c r="N81" s="50">
        <v>0</v>
      </c>
      <c r="O81" s="15">
        <f t="shared" si="61"/>
        <v>73</v>
      </c>
      <c r="P81" s="15">
        <f t="shared" si="62"/>
        <v>116</v>
      </c>
      <c r="R81" s="8"/>
      <c r="T81"/>
    </row>
    <row r="82" spans="2:20" ht="23.1" customHeight="1" x14ac:dyDescent="0.25">
      <c r="B82" s="46" t="s">
        <v>122</v>
      </c>
      <c r="C82" s="50">
        <v>31</v>
      </c>
      <c r="D82" s="50">
        <v>7</v>
      </c>
      <c r="E82" s="50">
        <v>6</v>
      </c>
      <c r="F82" s="50">
        <v>9</v>
      </c>
      <c r="G82" s="50">
        <v>0</v>
      </c>
      <c r="H82" s="50">
        <v>1</v>
      </c>
      <c r="I82" s="50">
        <v>3</v>
      </c>
      <c r="J82" s="50">
        <v>0</v>
      </c>
      <c r="K82" s="50">
        <v>2</v>
      </c>
      <c r="L82" s="50">
        <v>1</v>
      </c>
      <c r="M82" s="50">
        <v>33</v>
      </c>
      <c r="N82" s="50">
        <v>0</v>
      </c>
      <c r="O82" s="15">
        <f t="shared" si="61"/>
        <v>60</v>
      </c>
      <c r="P82" s="15">
        <f t="shared" si="62"/>
        <v>93</v>
      </c>
      <c r="R82" s="8"/>
      <c r="T82"/>
    </row>
    <row r="83" spans="2:20" ht="23.1" customHeight="1" x14ac:dyDescent="0.25">
      <c r="B83" s="45" t="s">
        <v>123</v>
      </c>
      <c r="C83" s="50">
        <v>32</v>
      </c>
      <c r="D83" s="50">
        <v>14</v>
      </c>
      <c r="E83" s="50">
        <v>4</v>
      </c>
      <c r="F83" s="50">
        <v>8</v>
      </c>
      <c r="G83" s="50">
        <v>0</v>
      </c>
      <c r="H83" s="50">
        <v>1</v>
      </c>
      <c r="I83" s="50">
        <v>1</v>
      </c>
      <c r="J83" s="50">
        <v>3</v>
      </c>
      <c r="K83" s="50">
        <v>1</v>
      </c>
      <c r="L83" s="50">
        <v>2</v>
      </c>
      <c r="M83" s="50">
        <v>21</v>
      </c>
      <c r="N83" s="50">
        <v>0</v>
      </c>
      <c r="O83" s="15">
        <f t="shared" si="61"/>
        <v>66</v>
      </c>
      <c r="P83" s="15">
        <f t="shared" si="62"/>
        <v>87</v>
      </c>
      <c r="R83" s="8"/>
      <c r="T83"/>
    </row>
    <row r="84" spans="2:20" ht="23.1" customHeight="1" x14ac:dyDescent="0.25">
      <c r="B84" s="47" t="s">
        <v>124</v>
      </c>
      <c r="C84" s="50">
        <v>25</v>
      </c>
      <c r="D84" s="50">
        <v>8</v>
      </c>
      <c r="E84" s="50">
        <v>1</v>
      </c>
      <c r="F84" s="50">
        <v>5</v>
      </c>
      <c r="G84" s="50">
        <v>0</v>
      </c>
      <c r="H84" s="50">
        <v>1</v>
      </c>
      <c r="I84" s="50">
        <v>0</v>
      </c>
      <c r="J84" s="50">
        <v>2</v>
      </c>
      <c r="K84" s="50">
        <v>4</v>
      </c>
      <c r="L84" s="50">
        <v>2</v>
      </c>
      <c r="M84" s="50">
        <v>20</v>
      </c>
      <c r="N84" s="50">
        <v>0</v>
      </c>
      <c r="O84" s="15">
        <f t="shared" si="61"/>
        <v>48</v>
      </c>
      <c r="P84" s="15">
        <f t="shared" si="62"/>
        <v>68</v>
      </c>
      <c r="R84" s="8"/>
      <c r="T84"/>
    </row>
    <row r="85" spans="2:20" ht="23.1" customHeight="1" x14ac:dyDescent="0.25">
      <c r="B85" s="45" t="s">
        <v>125</v>
      </c>
      <c r="C85" s="50">
        <v>15</v>
      </c>
      <c r="D85" s="50">
        <v>12</v>
      </c>
      <c r="E85" s="50">
        <v>2</v>
      </c>
      <c r="F85" s="50">
        <v>11</v>
      </c>
      <c r="G85" s="50">
        <v>1</v>
      </c>
      <c r="H85" s="50">
        <v>2</v>
      </c>
      <c r="I85" s="50">
        <v>1</v>
      </c>
      <c r="J85" s="50">
        <v>0</v>
      </c>
      <c r="K85" s="50">
        <v>0</v>
      </c>
      <c r="L85" s="50">
        <v>2</v>
      </c>
      <c r="M85" s="50">
        <v>16</v>
      </c>
      <c r="N85" s="50">
        <v>0</v>
      </c>
      <c r="O85" s="15">
        <f t="shared" si="61"/>
        <v>46</v>
      </c>
      <c r="P85" s="15">
        <f t="shared" si="62"/>
        <v>62</v>
      </c>
      <c r="R85" s="8"/>
      <c r="T85"/>
    </row>
    <row r="86" spans="2:20" ht="23.1" customHeight="1" x14ac:dyDescent="0.25">
      <c r="B86" s="46" t="s">
        <v>126</v>
      </c>
      <c r="C86" s="50">
        <v>17</v>
      </c>
      <c r="D86" s="50">
        <v>4</v>
      </c>
      <c r="E86" s="50">
        <v>2</v>
      </c>
      <c r="F86" s="50">
        <v>6</v>
      </c>
      <c r="G86" s="50">
        <v>0</v>
      </c>
      <c r="H86" s="50">
        <v>1</v>
      </c>
      <c r="I86" s="50">
        <v>0</v>
      </c>
      <c r="J86" s="50">
        <v>2</v>
      </c>
      <c r="K86" s="50">
        <v>1</v>
      </c>
      <c r="L86" s="50">
        <v>2</v>
      </c>
      <c r="M86" s="50">
        <v>21</v>
      </c>
      <c r="N86" s="50">
        <v>0</v>
      </c>
      <c r="O86" s="15">
        <f t="shared" si="61"/>
        <v>35</v>
      </c>
      <c r="P86" s="15">
        <f t="shared" si="62"/>
        <v>56</v>
      </c>
      <c r="R86" s="8"/>
      <c r="T86"/>
    </row>
    <row r="87" spans="2:20" ht="23.1" customHeight="1" x14ac:dyDescent="0.25">
      <c r="B87" s="45" t="s">
        <v>127</v>
      </c>
      <c r="C87" s="50">
        <v>25</v>
      </c>
      <c r="D87" s="50">
        <v>3</v>
      </c>
      <c r="E87" s="50">
        <v>1</v>
      </c>
      <c r="F87" s="50">
        <v>3</v>
      </c>
      <c r="G87" s="50">
        <v>1</v>
      </c>
      <c r="H87" s="50">
        <v>1</v>
      </c>
      <c r="I87" s="50">
        <v>0</v>
      </c>
      <c r="J87" s="50">
        <v>2</v>
      </c>
      <c r="K87" s="50">
        <v>3</v>
      </c>
      <c r="L87" s="50">
        <v>1</v>
      </c>
      <c r="M87" s="50">
        <v>24</v>
      </c>
      <c r="N87" s="50">
        <v>0</v>
      </c>
      <c r="O87" s="15">
        <f t="shared" si="61"/>
        <v>40</v>
      </c>
      <c r="P87" s="15">
        <f t="shared" si="62"/>
        <v>64</v>
      </c>
      <c r="R87" s="8"/>
      <c r="T87"/>
    </row>
    <row r="88" spans="2:20" ht="23.1" customHeight="1" x14ac:dyDescent="0.25">
      <c r="B88" s="47" t="s">
        <v>128</v>
      </c>
      <c r="C88" s="50">
        <v>37</v>
      </c>
      <c r="D88" s="50">
        <v>3</v>
      </c>
      <c r="E88" s="50">
        <v>2</v>
      </c>
      <c r="F88" s="50">
        <v>9</v>
      </c>
      <c r="G88" s="50">
        <v>0</v>
      </c>
      <c r="H88" s="50">
        <v>0</v>
      </c>
      <c r="I88" s="50">
        <v>0</v>
      </c>
      <c r="J88" s="50">
        <v>2</v>
      </c>
      <c r="K88" s="50">
        <v>1</v>
      </c>
      <c r="L88" s="50">
        <v>0</v>
      </c>
      <c r="M88" s="50">
        <v>22</v>
      </c>
      <c r="N88" s="50">
        <v>0</v>
      </c>
      <c r="O88" s="15">
        <f t="shared" si="61"/>
        <v>54</v>
      </c>
      <c r="P88" s="15">
        <f t="shared" si="62"/>
        <v>76</v>
      </c>
      <c r="R88" s="8"/>
      <c r="T88"/>
    </row>
    <row r="89" spans="2:20" ht="23.1" customHeight="1" x14ac:dyDescent="0.25">
      <c r="B89" s="45" t="s">
        <v>129</v>
      </c>
      <c r="C89" s="50">
        <v>29</v>
      </c>
      <c r="D89" s="50">
        <v>2</v>
      </c>
      <c r="E89" s="50">
        <v>2</v>
      </c>
      <c r="F89" s="50">
        <v>8</v>
      </c>
      <c r="G89" s="50">
        <v>0</v>
      </c>
      <c r="H89" s="50">
        <v>1</v>
      </c>
      <c r="I89" s="50">
        <v>1</v>
      </c>
      <c r="J89" s="50">
        <v>1</v>
      </c>
      <c r="K89" s="50">
        <v>2</v>
      </c>
      <c r="L89" s="50">
        <v>3</v>
      </c>
      <c r="M89" s="50">
        <v>20</v>
      </c>
      <c r="N89" s="50">
        <v>0</v>
      </c>
      <c r="O89" s="15">
        <f t="shared" si="61"/>
        <v>49</v>
      </c>
      <c r="P89" s="15">
        <f t="shared" si="62"/>
        <v>69</v>
      </c>
      <c r="R89" s="8"/>
      <c r="T89"/>
    </row>
    <row r="90" spans="2:20" ht="23.1" customHeight="1" x14ac:dyDescent="0.25">
      <c r="B90" s="46" t="s">
        <v>130</v>
      </c>
      <c r="C90" s="50">
        <v>20</v>
      </c>
      <c r="D90" s="50">
        <v>3</v>
      </c>
      <c r="E90" s="50">
        <v>0</v>
      </c>
      <c r="F90" s="50">
        <v>3</v>
      </c>
      <c r="G90" s="50">
        <v>0</v>
      </c>
      <c r="H90" s="50">
        <v>1</v>
      </c>
      <c r="I90" s="50">
        <v>1</v>
      </c>
      <c r="J90" s="50">
        <v>1</v>
      </c>
      <c r="K90" s="50">
        <v>2</v>
      </c>
      <c r="L90" s="50">
        <v>2</v>
      </c>
      <c r="M90" s="50">
        <v>19</v>
      </c>
      <c r="N90" s="50">
        <v>0</v>
      </c>
      <c r="O90" s="15">
        <f t="shared" si="61"/>
        <v>33</v>
      </c>
      <c r="P90" s="15">
        <f t="shared" si="62"/>
        <v>52</v>
      </c>
      <c r="R90" s="8"/>
      <c r="T90"/>
    </row>
    <row r="91" spans="2:20" ht="23.1" customHeight="1" x14ac:dyDescent="0.25">
      <c r="B91" s="45" t="s">
        <v>131</v>
      </c>
      <c r="C91" s="50">
        <v>15</v>
      </c>
      <c r="D91" s="50">
        <v>6</v>
      </c>
      <c r="E91" s="50">
        <v>1</v>
      </c>
      <c r="F91" s="50">
        <v>2</v>
      </c>
      <c r="G91" s="50">
        <v>0</v>
      </c>
      <c r="H91" s="50">
        <v>0</v>
      </c>
      <c r="I91" s="50">
        <v>1</v>
      </c>
      <c r="J91" s="50">
        <v>1</v>
      </c>
      <c r="K91" s="50">
        <v>2</v>
      </c>
      <c r="L91" s="50">
        <v>1</v>
      </c>
      <c r="M91" s="50">
        <v>15</v>
      </c>
      <c r="N91" s="50">
        <v>0</v>
      </c>
      <c r="O91" s="15">
        <f t="shared" si="61"/>
        <v>29</v>
      </c>
      <c r="P91" s="15">
        <f t="shared" si="62"/>
        <v>44</v>
      </c>
      <c r="R91" s="8"/>
      <c r="T91"/>
    </row>
    <row r="92" spans="2:20" ht="23.1" customHeight="1" x14ac:dyDescent="0.25">
      <c r="B92" s="47" t="s">
        <v>132</v>
      </c>
      <c r="C92" s="50">
        <v>17</v>
      </c>
      <c r="D92" s="50">
        <v>3</v>
      </c>
      <c r="E92" s="50">
        <v>0</v>
      </c>
      <c r="F92" s="50">
        <v>6</v>
      </c>
      <c r="G92" s="50">
        <v>0</v>
      </c>
      <c r="H92" s="50">
        <v>0</v>
      </c>
      <c r="I92" s="50">
        <v>1</v>
      </c>
      <c r="J92" s="50">
        <v>0</v>
      </c>
      <c r="K92" s="50">
        <v>3</v>
      </c>
      <c r="L92" s="50">
        <v>0</v>
      </c>
      <c r="M92" s="50">
        <v>16</v>
      </c>
      <c r="N92" s="50">
        <v>0</v>
      </c>
      <c r="O92" s="15">
        <f t="shared" si="61"/>
        <v>30</v>
      </c>
      <c r="P92" s="15">
        <f t="shared" si="62"/>
        <v>46</v>
      </c>
      <c r="R92" s="8"/>
      <c r="T92"/>
    </row>
    <row r="93" spans="2:20" ht="23.1" customHeight="1" x14ac:dyDescent="0.25">
      <c r="B93" s="45" t="s">
        <v>133</v>
      </c>
      <c r="C93" s="50">
        <v>12</v>
      </c>
      <c r="D93" s="50">
        <v>3</v>
      </c>
      <c r="E93" s="50">
        <v>2</v>
      </c>
      <c r="F93" s="50">
        <v>6</v>
      </c>
      <c r="G93" s="50">
        <v>0</v>
      </c>
      <c r="H93" s="50">
        <v>0</v>
      </c>
      <c r="I93" s="50">
        <v>3</v>
      </c>
      <c r="J93" s="50">
        <v>0</v>
      </c>
      <c r="K93" s="50">
        <v>2</v>
      </c>
      <c r="L93" s="50">
        <v>1</v>
      </c>
      <c r="M93" s="50">
        <v>25</v>
      </c>
      <c r="N93" s="50">
        <v>0</v>
      </c>
      <c r="O93" s="15">
        <f t="shared" si="61"/>
        <v>29</v>
      </c>
      <c r="P93" s="15">
        <f t="shared" si="62"/>
        <v>54</v>
      </c>
      <c r="R93" s="8"/>
      <c r="T93"/>
    </row>
    <row r="94" spans="2:20" ht="23.1" customHeight="1" x14ac:dyDescent="0.25">
      <c r="B94" s="46" t="s">
        <v>134</v>
      </c>
      <c r="C94" s="50">
        <v>19</v>
      </c>
      <c r="D94" s="50">
        <v>4</v>
      </c>
      <c r="E94" s="50">
        <v>0</v>
      </c>
      <c r="F94" s="50">
        <v>5</v>
      </c>
      <c r="G94" s="50">
        <v>0</v>
      </c>
      <c r="H94" s="50">
        <v>0</v>
      </c>
      <c r="I94" s="50">
        <v>2</v>
      </c>
      <c r="J94" s="50">
        <v>1</v>
      </c>
      <c r="K94" s="50">
        <v>1</v>
      </c>
      <c r="L94" s="50">
        <v>1</v>
      </c>
      <c r="M94" s="50">
        <v>12</v>
      </c>
      <c r="N94" s="50">
        <v>0</v>
      </c>
      <c r="O94" s="15">
        <f t="shared" si="61"/>
        <v>33</v>
      </c>
      <c r="P94" s="15">
        <f t="shared" si="62"/>
        <v>45</v>
      </c>
      <c r="R94" s="8"/>
      <c r="T94"/>
    </row>
    <row r="95" spans="2:20" ht="23.1" customHeight="1" x14ac:dyDescent="0.25">
      <c r="B95" s="45" t="s">
        <v>135</v>
      </c>
      <c r="C95" s="50">
        <v>8</v>
      </c>
      <c r="D95" s="50">
        <v>1</v>
      </c>
      <c r="E95" s="50">
        <v>0</v>
      </c>
      <c r="F95" s="50">
        <v>1</v>
      </c>
      <c r="G95" s="50">
        <v>0</v>
      </c>
      <c r="H95" s="50">
        <v>0</v>
      </c>
      <c r="I95" s="50">
        <v>0</v>
      </c>
      <c r="J95" s="50">
        <v>2</v>
      </c>
      <c r="K95" s="50">
        <v>3</v>
      </c>
      <c r="L95" s="50">
        <v>2</v>
      </c>
      <c r="M95" s="50">
        <v>17</v>
      </c>
      <c r="N95" s="50">
        <v>0</v>
      </c>
      <c r="O95" s="15">
        <f t="shared" si="61"/>
        <v>17</v>
      </c>
      <c r="P95" s="15">
        <f t="shared" si="62"/>
        <v>34</v>
      </c>
      <c r="R95" s="8"/>
      <c r="T95"/>
    </row>
    <row r="96" spans="2:20" ht="23.1" customHeight="1" x14ac:dyDescent="0.25">
      <c r="B96" s="47" t="s">
        <v>136</v>
      </c>
      <c r="C96" s="50">
        <v>14</v>
      </c>
      <c r="D96" s="50">
        <v>0</v>
      </c>
      <c r="E96" s="50">
        <v>0</v>
      </c>
      <c r="F96" s="50">
        <v>4</v>
      </c>
      <c r="G96" s="50">
        <v>0</v>
      </c>
      <c r="H96" s="50">
        <v>0</v>
      </c>
      <c r="I96" s="50">
        <v>1</v>
      </c>
      <c r="J96" s="50">
        <v>1</v>
      </c>
      <c r="K96" s="50">
        <v>1</v>
      </c>
      <c r="L96" s="50">
        <v>2</v>
      </c>
      <c r="M96" s="50">
        <v>19</v>
      </c>
      <c r="N96" s="50">
        <v>0</v>
      </c>
      <c r="O96" s="15">
        <f t="shared" si="61"/>
        <v>23</v>
      </c>
      <c r="P96" s="15">
        <f t="shared" si="62"/>
        <v>42</v>
      </c>
      <c r="R96" s="8"/>
      <c r="T96"/>
    </row>
    <row r="97" spans="2:20" ht="23.1" customHeight="1" x14ac:dyDescent="0.25">
      <c r="B97" s="45" t="s">
        <v>137</v>
      </c>
      <c r="C97" s="50">
        <v>12</v>
      </c>
      <c r="D97" s="50">
        <v>0</v>
      </c>
      <c r="E97" s="50">
        <v>0</v>
      </c>
      <c r="F97" s="50">
        <v>5</v>
      </c>
      <c r="G97" s="50">
        <v>0</v>
      </c>
      <c r="H97" s="50">
        <v>0</v>
      </c>
      <c r="I97" s="50">
        <v>1</v>
      </c>
      <c r="J97" s="50">
        <v>2</v>
      </c>
      <c r="K97" s="50">
        <v>2</v>
      </c>
      <c r="L97" s="50">
        <v>0</v>
      </c>
      <c r="M97" s="50">
        <v>12</v>
      </c>
      <c r="N97" s="50">
        <v>0</v>
      </c>
      <c r="O97" s="15">
        <f t="shared" si="61"/>
        <v>22</v>
      </c>
      <c r="P97" s="15">
        <f t="shared" si="62"/>
        <v>34</v>
      </c>
      <c r="R97" s="8"/>
      <c r="T97"/>
    </row>
    <row r="98" spans="2:20" ht="23.1" customHeight="1" x14ac:dyDescent="0.25">
      <c r="B98" s="46" t="s">
        <v>138</v>
      </c>
      <c r="C98" s="50">
        <v>16</v>
      </c>
      <c r="D98" s="50">
        <v>2</v>
      </c>
      <c r="E98" s="50">
        <v>1</v>
      </c>
      <c r="F98" s="50">
        <v>8</v>
      </c>
      <c r="G98" s="50">
        <v>8</v>
      </c>
      <c r="H98" s="50">
        <v>0</v>
      </c>
      <c r="I98" s="50">
        <v>0</v>
      </c>
      <c r="J98" s="50">
        <v>1</v>
      </c>
      <c r="K98" s="50">
        <v>2</v>
      </c>
      <c r="L98" s="50">
        <v>0</v>
      </c>
      <c r="M98" s="50">
        <v>30</v>
      </c>
      <c r="N98" s="50">
        <v>0</v>
      </c>
      <c r="O98" s="15">
        <f t="shared" si="61"/>
        <v>38</v>
      </c>
      <c r="P98" s="15">
        <f t="shared" si="62"/>
        <v>68</v>
      </c>
      <c r="R98" s="8"/>
      <c r="T98"/>
    </row>
    <row r="99" spans="2:20" ht="23.1" customHeight="1" x14ac:dyDescent="0.25">
      <c r="B99" s="45" t="s">
        <v>139</v>
      </c>
      <c r="C99" s="50">
        <v>9</v>
      </c>
      <c r="D99" s="50">
        <v>0</v>
      </c>
      <c r="E99" s="50">
        <v>1</v>
      </c>
      <c r="F99" s="50">
        <v>8</v>
      </c>
      <c r="G99" s="50">
        <v>3</v>
      </c>
      <c r="H99" s="50">
        <v>0</v>
      </c>
      <c r="I99" s="50">
        <v>0</v>
      </c>
      <c r="J99" s="50">
        <v>1</v>
      </c>
      <c r="K99" s="50">
        <v>2</v>
      </c>
      <c r="L99" s="50">
        <v>2</v>
      </c>
      <c r="M99" s="50">
        <v>13</v>
      </c>
      <c r="N99" s="50">
        <v>0</v>
      </c>
      <c r="O99" s="15">
        <f t="shared" si="61"/>
        <v>26</v>
      </c>
      <c r="P99" s="15">
        <f t="shared" si="62"/>
        <v>39</v>
      </c>
      <c r="R99" s="8"/>
      <c r="T99"/>
    </row>
    <row r="100" spans="2:20" ht="23.1" customHeight="1" x14ac:dyDescent="0.25">
      <c r="B100" s="47" t="s">
        <v>140</v>
      </c>
      <c r="C100" s="50">
        <v>9</v>
      </c>
      <c r="D100" s="50">
        <v>2</v>
      </c>
      <c r="E100" s="50">
        <v>1</v>
      </c>
      <c r="F100" s="50">
        <v>21</v>
      </c>
      <c r="G100" s="50">
        <v>0</v>
      </c>
      <c r="H100" s="50">
        <v>0</v>
      </c>
      <c r="I100" s="50">
        <v>3</v>
      </c>
      <c r="J100" s="50">
        <v>1</v>
      </c>
      <c r="K100" s="50">
        <v>9</v>
      </c>
      <c r="L100" s="50">
        <v>0</v>
      </c>
      <c r="M100" s="50">
        <v>24</v>
      </c>
      <c r="N100" s="50">
        <v>0</v>
      </c>
      <c r="O100" s="15">
        <f t="shared" si="61"/>
        <v>46</v>
      </c>
      <c r="P100" s="15">
        <f t="shared" si="62"/>
        <v>70</v>
      </c>
      <c r="R100" s="8"/>
      <c r="T100"/>
    </row>
    <row r="101" spans="2:20" ht="23.1" customHeight="1" x14ac:dyDescent="0.25">
      <c r="B101" s="45" t="s">
        <v>141</v>
      </c>
      <c r="C101" s="50">
        <v>9</v>
      </c>
      <c r="D101" s="50">
        <v>2</v>
      </c>
      <c r="E101" s="50">
        <v>0</v>
      </c>
      <c r="F101" s="50">
        <v>11</v>
      </c>
      <c r="G101" s="50">
        <v>0</v>
      </c>
      <c r="H101" s="50">
        <v>0</v>
      </c>
      <c r="I101" s="50">
        <v>1</v>
      </c>
      <c r="J101" s="50">
        <v>0</v>
      </c>
      <c r="K101" s="50">
        <v>1</v>
      </c>
      <c r="L101" s="50">
        <v>3</v>
      </c>
      <c r="M101" s="50">
        <v>18</v>
      </c>
      <c r="N101" s="50">
        <v>0</v>
      </c>
      <c r="O101" s="15">
        <f t="shared" si="61"/>
        <v>27</v>
      </c>
      <c r="P101" s="15">
        <f t="shared" si="62"/>
        <v>45</v>
      </c>
      <c r="R101" s="8"/>
      <c r="T101"/>
    </row>
    <row r="102" spans="2:20" ht="23.1" customHeight="1" x14ac:dyDescent="0.25">
      <c r="B102" s="46" t="s">
        <v>142</v>
      </c>
      <c r="C102" s="50">
        <v>14</v>
      </c>
      <c r="D102" s="50">
        <v>1</v>
      </c>
      <c r="E102" s="50">
        <v>1</v>
      </c>
      <c r="F102" s="50">
        <v>16</v>
      </c>
      <c r="G102" s="50">
        <v>1</v>
      </c>
      <c r="H102" s="50">
        <v>1</v>
      </c>
      <c r="I102" s="50">
        <v>0</v>
      </c>
      <c r="J102" s="50">
        <v>1</v>
      </c>
      <c r="K102" s="50">
        <v>4</v>
      </c>
      <c r="L102" s="50">
        <v>2</v>
      </c>
      <c r="M102" s="50">
        <v>32</v>
      </c>
      <c r="N102" s="50">
        <v>0</v>
      </c>
      <c r="O102" s="15">
        <f t="shared" si="61"/>
        <v>41</v>
      </c>
      <c r="P102" s="15">
        <f t="shared" si="62"/>
        <v>73</v>
      </c>
      <c r="R102" s="8"/>
      <c r="T102"/>
    </row>
    <row r="103" spans="2:20" ht="23.1" customHeight="1" x14ac:dyDescent="0.25">
      <c r="B103" s="45" t="s">
        <v>143</v>
      </c>
      <c r="C103" s="50">
        <v>19</v>
      </c>
      <c r="D103" s="50">
        <v>2</v>
      </c>
      <c r="E103" s="50">
        <v>2</v>
      </c>
      <c r="F103" s="50">
        <v>25</v>
      </c>
      <c r="G103" s="50">
        <v>1</v>
      </c>
      <c r="H103" s="50">
        <v>0</v>
      </c>
      <c r="I103" s="50">
        <v>0</v>
      </c>
      <c r="J103" s="50">
        <v>0</v>
      </c>
      <c r="K103" s="50">
        <v>1</v>
      </c>
      <c r="L103" s="50">
        <v>3</v>
      </c>
      <c r="M103" s="50">
        <v>35</v>
      </c>
      <c r="N103" s="50">
        <v>0</v>
      </c>
      <c r="O103" s="15">
        <f t="shared" si="61"/>
        <v>53</v>
      </c>
      <c r="P103" s="15">
        <f t="shared" si="62"/>
        <v>88</v>
      </c>
      <c r="R103" s="8"/>
      <c r="T103"/>
    </row>
    <row r="104" spans="2:20" ht="23.1" customHeight="1" x14ac:dyDescent="0.25">
      <c r="B104" s="47" t="s">
        <v>144</v>
      </c>
      <c r="C104" s="50">
        <v>10</v>
      </c>
      <c r="D104" s="50">
        <v>2</v>
      </c>
      <c r="E104" s="50">
        <v>3</v>
      </c>
      <c r="F104" s="50">
        <v>22</v>
      </c>
      <c r="G104" s="50">
        <v>0</v>
      </c>
      <c r="H104" s="50">
        <v>0</v>
      </c>
      <c r="I104" s="50">
        <v>2</v>
      </c>
      <c r="J104" s="50">
        <v>0</v>
      </c>
      <c r="K104" s="50">
        <v>3</v>
      </c>
      <c r="L104" s="50">
        <v>5</v>
      </c>
      <c r="M104" s="50">
        <v>30</v>
      </c>
      <c r="N104" s="50">
        <v>0</v>
      </c>
      <c r="O104" s="15">
        <f t="shared" si="61"/>
        <v>47</v>
      </c>
      <c r="P104" s="15">
        <f t="shared" si="62"/>
        <v>77</v>
      </c>
      <c r="R104" s="8"/>
      <c r="T104"/>
    </row>
    <row r="105" spans="2:20" ht="23.1" customHeight="1" x14ac:dyDescent="0.25">
      <c r="B105" s="45" t="s">
        <v>145</v>
      </c>
      <c r="C105" s="50">
        <v>6</v>
      </c>
      <c r="D105" s="50">
        <v>1</v>
      </c>
      <c r="E105" s="50">
        <v>1</v>
      </c>
      <c r="F105" s="50">
        <v>17</v>
      </c>
      <c r="G105" s="50">
        <v>3</v>
      </c>
      <c r="H105" s="50"/>
      <c r="I105" s="50">
        <v>2</v>
      </c>
      <c r="J105" s="50">
        <v>1</v>
      </c>
      <c r="K105" s="50">
        <v>4</v>
      </c>
      <c r="L105" s="50">
        <v>0</v>
      </c>
      <c r="M105" s="50">
        <v>34</v>
      </c>
      <c r="N105" s="50">
        <v>0</v>
      </c>
      <c r="O105" s="15">
        <f t="shared" si="61"/>
        <v>35</v>
      </c>
      <c r="P105" s="15">
        <f t="shared" si="62"/>
        <v>69</v>
      </c>
      <c r="R105" s="8"/>
      <c r="T105"/>
    </row>
    <row r="106" spans="2:20" ht="23.1" customHeight="1" x14ac:dyDescent="0.25">
      <c r="B106" s="26" t="s">
        <v>18</v>
      </c>
      <c r="C106" s="16">
        <f t="shared" ref="C106:M106" si="63">SUM(C10:C105)</f>
        <v>5208</v>
      </c>
      <c r="D106" s="16">
        <f t="shared" si="63"/>
        <v>1352</v>
      </c>
      <c r="E106" s="16">
        <f t="shared" si="63"/>
        <v>716</v>
      </c>
      <c r="F106" s="16">
        <f t="shared" si="63"/>
        <v>3877</v>
      </c>
      <c r="G106" s="16">
        <f t="shared" si="63"/>
        <v>134</v>
      </c>
      <c r="H106" s="16">
        <f t="shared" si="63"/>
        <v>55</v>
      </c>
      <c r="I106" s="16">
        <f t="shared" si="63"/>
        <v>467</v>
      </c>
      <c r="J106" s="16">
        <f t="shared" si="63"/>
        <v>334</v>
      </c>
      <c r="K106" s="16">
        <f t="shared" si="63"/>
        <v>142</v>
      </c>
      <c r="L106" s="16">
        <f t="shared" si="63"/>
        <v>283</v>
      </c>
      <c r="M106" s="16">
        <f t="shared" si="63"/>
        <v>19091</v>
      </c>
      <c r="N106" s="16">
        <f t="shared" ref="N106:P106" si="64">SUM(N10:N105)</f>
        <v>0</v>
      </c>
      <c r="O106" s="16">
        <f t="shared" si="64"/>
        <v>12568</v>
      </c>
      <c r="P106" s="16">
        <f t="shared" si="64"/>
        <v>31659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65">C106/$P$106</f>
        <v>0.16450298493319435</v>
      </c>
      <c r="D107" s="43">
        <f t="shared" si="65"/>
        <v>4.2705075965760134E-2</v>
      </c>
      <c r="E107" s="43">
        <f t="shared" si="65"/>
        <v>2.26160017688493E-2</v>
      </c>
      <c r="F107" s="43">
        <f t="shared" si="65"/>
        <v>0.12246122745506807</v>
      </c>
      <c r="G107" s="43">
        <f t="shared" si="65"/>
        <v>4.2326036829969365E-3</v>
      </c>
      <c r="H107" s="43">
        <f t="shared" si="65"/>
        <v>1.7372627057076976E-3</v>
      </c>
      <c r="I107" s="43">
        <f t="shared" si="65"/>
        <v>1.4750939701190815E-2</v>
      </c>
      <c r="J107" s="43">
        <f t="shared" si="65"/>
        <v>1.0549922612843109E-2</v>
      </c>
      <c r="K107" s="43">
        <f t="shared" si="65"/>
        <v>4.4852964401907829E-3</v>
      </c>
      <c r="L107" s="43">
        <f t="shared" si="65"/>
        <v>8.9390062857323347E-3</v>
      </c>
      <c r="M107" s="43">
        <f t="shared" si="65"/>
        <v>0.60301967844846649</v>
      </c>
      <c r="N107" s="43">
        <f t="shared" si="65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0.41438574156588159</v>
      </c>
      <c r="D108" s="44">
        <f t="shared" ref="D108:N108" si="66">D106/$O$106</f>
        <v>0.10757479312539783</v>
      </c>
      <c r="E108" s="44">
        <f t="shared" si="66"/>
        <v>5.6970082749840868E-2</v>
      </c>
      <c r="F108" s="44">
        <f t="shared" si="66"/>
        <v>0.30848185868873329</v>
      </c>
      <c r="G108" s="44">
        <f t="shared" si="66"/>
        <v>1.0661998726925526E-2</v>
      </c>
      <c r="H108" s="44">
        <f t="shared" si="66"/>
        <v>4.3761935073201785E-3</v>
      </c>
      <c r="I108" s="44">
        <f t="shared" si="66"/>
        <v>3.7157861234882239E-2</v>
      </c>
      <c r="J108" s="44">
        <f t="shared" si="66"/>
        <v>2.6575429662635264E-2</v>
      </c>
      <c r="K108" s="44">
        <f t="shared" si="66"/>
        <v>1.1298535964353915E-2</v>
      </c>
      <c r="L108" s="44">
        <f t="shared" si="66"/>
        <v>2.2517504774029282E-2</v>
      </c>
      <c r="M108" s="44"/>
      <c r="N108" s="44">
        <f t="shared" si="66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6" zoomScale="70" zoomScaleSheetLayoutView="70" workbookViewId="0">
      <selection activeCell="F17" sqref="F1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Motors-Kyambogo'!C3:G3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'03.08 Spear Motors-Kyambogo'!D5</f>
        <v>03.08.19</v>
      </c>
      <c r="E5" s="3"/>
      <c r="F5" s="41" t="s">
        <v>1</v>
      </c>
      <c r="G5" s="63" t="str">
        <f>'03.08 Spear Motors-Kyambogo'!G5:H5</f>
        <v>PEPSI UGANDA</v>
      </c>
      <c r="H5" s="64"/>
      <c r="I5" s="14"/>
      <c r="J5" s="2" t="s">
        <v>5</v>
      </c>
      <c r="K5" s="63" t="str">
        <f>'03.08 Spear Motors-Kyambogo'!K5:L5</f>
        <v>WACHOMI R/GALABUZI R./MBAHA J/ASHABA K/LUBEGA S/KIKUMBAD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Kyambogo-Spear Motors'!D6:E6</f>
        <v>KYAMBOGO</v>
      </c>
      <c r="E6" s="64"/>
      <c r="F6" s="2" t="s">
        <v>2</v>
      </c>
      <c r="G6" s="63" t="str">
        <f>'29.07 Kyambogo-Spear Motors'!G6:H6</f>
        <v>SPEAR MOTORS</v>
      </c>
      <c r="H6" s="64"/>
      <c r="J6" s="2" t="s">
        <v>21</v>
      </c>
      <c r="K6" s="63" t="str">
        <f>'03.08 Spear Motors-Kyambogo'!K6:L6</f>
        <v>ANDREW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53</v>
      </c>
      <c r="D10" s="50">
        <v>39</v>
      </c>
      <c r="E10" s="50">
        <v>27</v>
      </c>
      <c r="F10" s="50">
        <v>35</v>
      </c>
      <c r="G10" s="50">
        <v>20</v>
      </c>
      <c r="H10" s="50">
        <v>0</v>
      </c>
      <c r="I10" s="50">
        <v>5</v>
      </c>
      <c r="J10" s="50">
        <v>0</v>
      </c>
      <c r="K10" s="50">
        <v>3</v>
      </c>
      <c r="L10" s="50">
        <v>7</v>
      </c>
      <c r="M10" s="50">
        <v>100</v>
      </c>
      <c r="N10" s="50">
        <v>0</v>
      </c>
      <c r="O10" s="15">
        <f t="shared" ref="O10:O73" si="0">SUM(C10:L10,N10)</f>
        <v>189</v>
      </c>
      <c r="P10" s="15">
        <f t="shared" ref="P10:P73" si="1">SUM(C10:N10)</f>
        <v>289</v>
      </c>
      <c r="R10" s="1" t="s">
        <v>6</v>
      </c>
      <c r="S10" s="17">
        <f t="shared" ref="S10:AF10" si="2">SUM(C10:C13)</f>
        <v>455</v>
      </c>
      <c r="T10" s="17">
        <f t="shared" si="2"/>
        <v>208</v>
      </c>
      <c r="U10" s="17">
        <f t="shared" si="2"/>
        <v>197</v>
      </c>
      <c r="V10" s="17">
        <f t="shared" si="2"/>
        <v>281</v>
      </c>
      <c r="W10" s="17">
        <f t="shared" si="2"/>
        <v>134</v>
      </c>
      <c r="X10" s="17">
        <f t="shared" si="2"/>
        <v>61</v>
      </c>
      <c r="Y10" s="17">
        <f t="shared" si="2"/>
        <v>51</v>
      </c>
      <c r="Z10" s="17">
        <f t="shared" si="2"/>
        <v>50</v>
      </c>
      <c r="AA10" s="17">
        <f t="shared" si="2"/>
        <v>56</v>
      </c>
      <c r="AB10" s="17">
        <f t="shared" si="2"/>
        <v>69</v>
      </c>
      <c r="AC10" s="17">
        <f t="shared" si="2"/>
        <v>502</v>
      </c>
      <c r="AD10" s="17">
        <f t="shared" si="2"/>
        <v>0</v>
      </c>
      <c r="AE10" s="31">
        <f t="shared" si="2"/>
        <v>1562</v>
      </c>
      <c r="AF10" s="31">
        <f t="shared" si="2"/>
        <v>2064</v>
      </c>
    </row>
    <row r="11" spans="2:32" s="6" customFormat="1" ht="23.1" customHeight="1" x14ac:dyDescent="0.25">
      <c r="B11" s="45" t="s">
        <v>38</v>
      </c>
      <c r="C11" s="50">
        <v>103</v>
      </c>
      <c r="D11" s="50">
        <v>44</v>
      </c>
      <c r="E11" s="50">
        <v>35</v>
      </c>
      <c r="F11" s="50">
        <v>58</v>
      </c>
      <c r="G11" s="50">
        <v>35</v>
      </c>
      <c r="H11" s="50">
        <v>25</v>
      </c>
      <c r="I11" s="50">
        <v>15</v>
      </c>
      <c r="J11" s="50">
        <v>19</v>
      </c>
      <c r="K11" s="50">
        <v>15</v>
      </c>
      <c r="L11" s="50">
        <v>13</v>
      </c>
      <c r="M11" s="50">
        <v>90</v>
      </c>
      <c r="N11" s="50">
        <v>0</v>
      </c>
      <c r="O11" s="15">
        <f t="shared" si="0"/>
        <v>362</v>
      </c>
      <c r="P11" s="15">
        <f t="shared" si="1"/>
        <v>452</v>
      </c>
      <c r="R11" s="1" t="s">
        <v>7</v>
      </c>
      <c r="S11" s="17">
        <f t="shared" ref="S11:AF11" si="3">SUM(C14:C17)</f>
        <v>549</v>
      </c>
      <c r="T11" s="17">
        <f t="shared" si="3"/>
        <v>267</v>
      </c>
      <c r="U11" s="17">
        <f t="shared" si="3"/>
        <v>256</v>
      </c>
      <c r="V11" s="17">
        <f t="shared" si="3"/>
        <v>238</v>
      </c>
      <c r="W11" s="17">
        <f t="shared" si="3"/>
        <v>11</v>
      </c>
      <c r="X11" s="17">
        <f t="shared" si="3"/>
        <v>3</v>
      </c>
      <c r="Y11" s="17">
        <f t="shared" si="3"/>
        <v>24</v>
      </c>
      <c r="Z11" s="17">
        <f t="shared" si="3"/>
        <v>3</v>
      </c>
      <c r="AA11" s="17">
        <f t="shared" si="3"/>
        <v>3</v>
      </c>
      <c r="AB11" s="17">
        <f t="shared" si="3"/>
        <v>14</v>
      </c>
      <c r="AC11" s="17">
        <f t="shared" si="3"/>
        <v>1255</v>
      </c>
      <c r="AD11" s="17">
        <f t="shared" si="3"/>
        <v>0</v>
      </c>
      <c r="AE11" s="31">
        <f t="shared" si="3"/>
        <v>1368</v>
      </c>
      <c r="AF11" s="31">
        <f t="shared" si="3"/>
        <v>2623</v>
      </c>
    </row>
    <row r="12" spans="2:32" ht="23.1" customHeight="1" x14ac:dyDescent="0.25">
      <c r="B12" s="45" t="s">
        <v>39</v>
      </c>
      <c r="C12" s="50">
        <v>128</v>
      </c>
      <c r="D12" s="50">
        <v>57</v>
      </c>
      <c r="E12" s="50">
        <v>66</v>
      </c>
      <c r="F12" s="50">
        <v>60</v>
      </c>
      <c r="G12" s="50">
        <v>19</v>
      </c>
      <c r="H12" s="50">
        <v>13</v>
      </c>
      <c r="I12" s="50">
        <v>21</v>
      </c>
      <c r="J12" s="50">
        <v>16</v>
      </c>
      <c r="K12" s="50">
        <v>20</v>
      </c>
      <c r="L12" s="50">
        <v>37</v>
      </c>
      <c r="M12" s="50">
        <v>125</v>
      </c>
      <c r="N12" s="50">
        <v>0</v>
      </c>
      <c r="O12" s="15">
        <f t="shared" si="0"/>
        <v>437</v>
      </c>
      <c r="P12" s="15">
        <f t="shared" si="1"/>
        <v>562</v>
      </c>
      <c r="R12" s="1" t="s">
        <v>8</v>
      </c>
      <c r="S12" s="17">
        <f t="shared" ref="S12:AF12" si="4">SUM(C18:C21)</f>
        <v>426</v>
      </c>
      <c r="T12" s="17">
        <f t="shared" si="4"/>
        <v>133</v>
      </c>
      <c r="U12" s="17">
        <f t="shared" si="4"/>
        <v>145</v>
      </c>
      <c r="V12" s="17">
        <f t="shared" si="4"/>
        <v>261</v>
      </c>
      <c r="W12" s="17">
        <f t="shared" si="4"/>
        <v>6</v>
      </c>
      <c r="X12" s="17">
        <f t="shared" si="4"/>
        <v>3</v>
      </c>
      <c r="Y12" s="17">
        <f t="shared" si="4"/>
        <v>20</v>
      </c>
      <c r="Z12" s="17">
        <f t="shared" si="4"/>
        <v>10</v>
      </c>
      <c r="AA12" s="17">
        <f t="shared" si="4"/>
        <v>12</v>
      </c>
      <c r="AB12" s="17">
        <f t="shared" si="4"/>
        <v>30</v>
      </c>
      <c r="AC12" s="17">
        <f t="shared" si="4"/>
        <v>1255</v>
      </c>
      <c r="AD12" s="17">
        <f t="shared" si="4"/>
        <v>0</v>
      </c>
      <c r="AE12" s="31">
        <f t="shared" si="4"/>
        <v>1046</v>
      </c>
      <c r="AF12" s="31">
        <f t="shared" si="4"/>
        <v>2301</v>
      </c>
    </row>
    <row r="13" spans="2:32" ht="23.1" customHeight="1" x14ac:dyDescent="0.25">
      <c r="B13" s="45" t="s">
        <v>40</v>
      </c>
      <c r="C13" s="50">
        <v>171</v>
      </c>
      <c r="D13" s="50">
        <v>68</v>
      </c>
      <c r="E13" s="50">
        <v>69</v>
      </c>
      <c r="F13" s="50">
        <v>128</v>
      </c>
      <c r="G13" s="50">
        <v>60</v>
      </c>
      <c r="H13" s="50">
        <v>23</v>
      </c>
      <c r="I13" s="50">
        <v>10</v>
      </c>
      <c r="J13" s="50">
        <v>15</v>
      </c>
      <c r="K13" s="50">
        <v>18</v>
      </c>
      <c r="L13" s="50">
        <v>12</v>
      </c>
      <c r="M13" s="50">
        <v>187</v>
      </c>
      <c r="N13" s="50">
        <v>0</v>
      </c>
      <c r="O13" s="15">
        <f t="shared" si="0"/>
        <v>574</v>
      </c>
      <c r="P13" s="15">
        <f t="shared" si="1"/>
        <v>761</v>
      </c>
      <c r="R13" s="1" t="s">
        <v>9</v>
      </c>
      <c r="S13" s="17">
        <f t="shared" ref="S13:AF13" si="5">SUM(C22:C25)</f>
        <v>435</v>
      </c>
      <c r="T13" s="17">
        <f t="shared" si="5"/>
        <v>162</v>
      </c>
      <c r="U13" s="17">
        <f t="shared" si="5"/>
        <v>164</v>
      </c>
      <c r="V13" s="17">
        <f t="shared" si="5"/>
        <v>220</v>
      </c>
      <c r="W13" s="17">
        <f t="shared" si="5"/>
        <v>11</v>
      </c>
      <c r="X13" s="17">
        <f t="shared" si="5"/>
        <v>0</v>
      </c>
      <c r="Y13" s="17">
        <f t="shared" si="5"/>
        <v>20</v>
      </c>
      <c r="Z13" s="17">
        <f t="shared" si="5"/>
        <v>3</v>
      </c>
      <c r="AA13" s="17">
        <f t="shared" si="5"/>
        <v>4</v>
      </c>
      <c r="AB13" s="17">
        <f t="shared" si="5"/>
        <v>9</v>
      </c>
      <c r="AC13" s="17">
        <f t="shared" si="5"/>
        <v>1295</v>
      </c>
      <c r="AD13" s="17">
        <f t="shared" si="5"/>
        <v>0</v>
      </c>
      <c r="AE13" s="31">
        <f t="shared" si="5"/>
        <v>1028</v>
      </c>
      <c r="AF13" s="31">
        <f t="shared" si="5"/>
        <v>2323</v>
      </c>
    </row>
    <row r="14" spans="2:32" ht="23.1" customHeight="1" x14ac:dyDescent="0.25">
      <c r="B14" s="45" t="s">
        <v>41</v>
      </c>
      <c r="C14" s="50">
        <v>172</v>
      </c>
      <c r="D14" s="50">
        <v>77</v>
      </c>
      <c r="E14" s="50">
        <v>71</v>
      </c>
      <c r="F14" s="50">
        <v>42</v>
      </c>
      <c r="G14" s="50">
        <v>0</v>
      </c>
      <c r="H14" s="50">
        <v>0</v>
      </c>
      <c r="I14" s="50">
        <v>8</v>
      </c>
      <c r="J14" s="50">
        <v>0</v>
      </c>
      <c r="K14" s="50">
        <v>1</v>
      </c>
      <c r="L14" s="50">
        <v>3</v>
      </c>
      <c r="M14" s="50">
        <v>335</v>
      </c>
      <c r="N14" s="50">
        <v>0</v>
      </c>
      <c r="O14" s="15">
        <f t="shared" si="0"/>
        <v>374</v>
      </c>
      <c r="P14" s="15">
        <f t="shared" si="1"/>
        <v>709</v>
      </c>
      <c r="R14" s="1" t="s">
        <v>10</v>
      </c>
      <c r="S14" s="17">
        <f t="shared" ref="S14:AF14" si="6">SUM(C26:C29)</f>
        <v>333</v>
      </c>
      <c r="T14" s="17">
        <f t="shared" si="6"/>
        <v>157</v>
      </c>
      <c r="U14" s="17">
        <f t="shared" si="6"/>
        <v>111</v>
      </c>
      <c r="V14" s="17">
        <f t="shared" si="6"/>
        <v>231</v>
      </c>
      <c r="W14" s="17">
        <f t="shared" si="6"/>
        <v>9</v>
      </c>
      <c r="X14" s="17">
        <f t="shared" si="6"/>
        <v>0</v>
      </c>
      <c r="Y14" s="17">
        <f t="shared" si="6"/>
        <v>26</v>
      </c>
      <c r="Z14" s="17">
        <f t="shared" si="6"/>
        <v>6</v>
      </c>
      <c r="AA14" s="17">
        <f t="shared" si="6"/>
        <v>3</v>
      </c>
      <c r="AB14" s="17">
        <f t="shared" si="6"/>
        <v>18</v>
      </c>
      <c r="AC14" s="17">
        <f t="shared" si="6"/>
        <v>1090</v>
      </c>
      <c r="AD14" s="17">
        <f t="shared" si="6"/>
        <v>0</v>
      </c>
      <c r="AE14" s="31">
        <f t="shared" si="6"/>
        <v>894</v>
      </c>
      <c r="AF14" s="31">
        <f t="shared" si="6"/>
        <v>1984</v>
      </c>
    </row>
    <row r="15" spans="2:32" ht="23.1" customHeight="1" x14ac:dyDescent="0.25">
      <c r="B15" s="45" t="s">
        <v>42</v>
      </c>
      <c r="C15" s="50">
        <v>119</v>
      </c>
      <c r="D15" s="50">
        <v>65</v>
      </c>
      <c r="E15" s="50">
        <v>67</v>
      </c>
      <c r="F15" s="50">
        <v>55</v>
      </c>
      <c r="G15" s="50">
        <v>3</v>
      </c>
      <c r="H15" s="50">
        <v>1</v>
      </c>
      <c r="I15" s="50">
        <v>5</v>
      </c>
      <c r="J15" s="50">
        <v>0</v>
      </c>
      <c r="K15" s="50">
        <v>1</v>
      </c>
      <c r="L15" s="50">
        <v>2</v>
      </c>
      <c r="M15" s="50">
        <v>290</v>
      </c>
      <c r="N15" s="50">
        <v>0</v>
      </c>
      <c r="O15" s="15">
        <f t="shared" si="0"/>
        <v>318</v>
      </c>
      <c r="P15" s="15">
        <f t="shared" si="1"/>
        <v>608</v>
      </c>
      <c r="R15" s="1" t="s">
        <v>11</v>
      </c>
      <c r="S15" s="17">
        <f t="shared" ref="S15:AF15" si="7">SUM(C30:C33)</f>
        <v>463</v>
      </c>
      <c r="T15" s="17">
        <f t="shared" si="7"/>
        <v>249</v>
      </c>
      <c r="U15" s="17">
        <f t="shared" si="7"/>
        <v>221</v>
      </c>
      <c r="V15" s="17">
        <f t="shared" si="7"/>
        <v>233</v>
      </c>
      <c r="W15" s="17">
        <f t="shared" si="7"/>
        <v>7</v>
      </c>
      <c r="X15" s="17">
        <f t="shared" si="7"/>
        <v>1</v>
      </c>
      <c r="Y15" s="17">
        <f t="shared" si="7"/>
        <v>19</v>
      </c>
      <c r="Z15" s="17">
        <f t="shared" si="7"/>
        <v>9</v>
      </c>
      <c r="AA15" s="17">
        <f t="shared" si="7"/>
        <v>7</v>
      </c>
      <c r="AB15" s="17">
        <f t="shared" si="7"/>
        <v>15</v>
      </c>
      <c r="AC15" s="17">
        <f t="shared" si="7"/>
        <v>1025</v>
      </c>
      <c r="AD15" s="17">
        <f t="shared" si="7"/>
        <v>0</v>
      </c>
      <c r="AE15" s="31">
        <f t="shared" si="7"/>
        <v>1224</v>
      </c>
      <c r="AF15" s="31">
        <f t="shared" si="7"/>
        <v>2249</v>
      </c>
    </row>
    <row r="16" spans="2:32" ht="23.1" customHeight="1" x14ac:dyDescent="0.25">
      <c r="B16" s="45" t="s">
        <v>43</v>
      </c>
      <c r="C16" s="50">
        <v>110</v>
      </c>
      <c r="D16" s="50">
        <v>59</v>
      </c>
      <c r="E16" s="50">
        <v>55</v>
      </c>
      <c r="F16" s="50">
        <v>77</v>
      </c>
      <c r="G16" s="50">
        <v>3</v>
      </c>
      <c r="H16" s="50">
        <v>1</v>
      </c>
      <c r="I16" s="50">
        <v>5</v>
      </c>
      <c r="J16" s="50">
        <v>0</v>
      </c>
      <c r="K16" s="50">
        <v>0</v>
      </c>
      <c r="L16" s="50">
        <v>7</v>
      </c>
      <c r="M16" s="50">
        <v>280</v>
      </c>
      <c r="N16" s="50">
        <v>0</v>
      </c>
      <c r="O16" s="15">
        <f t="shared" si="0"/>
        <v>317</v>
      </c>
      <c r="P16" s="15">
        <f t="shared" si="1"/>
        <v>597</v>
      </c>
      <c r="R16" s="1" t="s">
        <v>12</v>
      </c>
      <c r="S16" s="17">
        <f t="shared" ref="S16:AF16" si="8">SUM(C34:C37)</f>
        <v>476</v>
      </c>
      <c r="T16" s="17">
        <f t="shared" si="8"/>
        <v>237</v>
      </c>
      <c r="U16" s="17">
        <f t="shared" si="8"/>
        <v>233</v>
      </c>
      <c r="V16" s="17">
        <f t="shared" si="8"/>
        <v>200</v>
      </c>
      <c r="W16" s="17">
        <f t="shared" si="8"/>
        <v>4</v>
      </c>
      <c r="X16" s="17">
        <f t="shared" si="8"/>
        <v>1</v>
      </c>
      <c r="Y16" s="17">
        <f t="shared" si="8"/>
        <v>23</v>
      </c>
      <c r="Z16" s="17">
        <f t="shared" si="8"/>
        <v>4</v>
      </c>
      <c r="AA16" s="17">
        <f t="shared" si="8"/>
        <v>10</v>
      </c>
      <c r="AB16" s="17">
        <f t="shared" si="8"/>
        <v>13</v>
      </c>
      <c r="AC16" s="17">
        <f t="shared" si="8"/>
        <v>1008</v>
      </c>
      <c r="AD16" s="17">
        <f t="shared" si="8"/>
        <v>0</v>
      </c>
      <c r="AE16" s="31">
        <f t="shared" si="8"/>
        <v>1201</v>
      </c>
      <c r="AF16" s="31">
        <f t="shared" si="8"/>
        <v>2209</v>
      </c>
    </row>
    <row r="17" spans="2:32" ht="23.1" customHeight="1" x14ac:dyDescent="0.25">
      <c r="B17" s="45" t="s">
        <v>44</v>
      </c>
      <c r="C17" s="50">
        <v>148</v>
      </c>
      <c r="D17" s="50">
        <v>66</v>
      </c>
      <c r="E17" s="50">
        <v>63</v>
      </c>
      <c r="F17" s="50">
        <v>64</v>
      </c>
      <c r="G17" s="50">
        <v>5</v>
      </c>
      <c r="H17" s="50">
        <v>1</v>
      </c>
      <c r="I17" s="50">
        <v>6</v>
      </c>
      <c r="J17" s="50">
        <v>3</v>
      </c>
      <c r="K17" s="50">
        <v>1</v>
      </c>
      <c r="L17" s="50">
        <v>2</v>
      </c>
      <c r="M17" s="50">
        <v>350</v>
      </c>
      <c r="N17" s="50">
        <v>0</v>
      </c>
      <c r="O17" s="15">
        <f t="shared" si="0"/>
        <v>359</v>
      </c>
      <c r="P17" s="15">
        <f t="shared" si="1"/>
        <v>709</v>
      </c>
      <c r="R17" s="1" t="s">
        <v>13</v>
      </c>
      <c r="S17" s="17">
        <f t="shared" ref="S17:AF17" si="9">SUM(C38:C41)</f>
        <v>360</v>
      </c>
      <c r="T17" s="17">
        <f t="shared" si="9"/>
        <v>296</v>
      </c>
      <c r="U17" s="17">
        <f t="shared" si="9"/>
        <v>191</v>
      </c>
      <c r="V17" s="17">
        <f t="shared" si="9"/>
        <v>195</v>
      </c>
      <c r="W17" s="17">
        <f t="shared" si="9"/>
        <v>10</v>
      </c>
      <c r="X17" s="17">
        <f t="shared" si="9"/>
        <v>3</v>
      </c>
      <c r="Y17" s="17">
        <f t="shared" si="9"/>
        <v>22</v>
      </c>
      <c r="Z17" s="17">
        <f t="shared" si="9"/>
        <v>9</v>
      </c>
      <c r="AA17" s="17">
        <f t="shared" si="9"/>
        <v>6</v>
      </c>
      <c r="AB17" s="17">
        <f t="shared" si="9"/>
        <v>16</v>
      </c>
      <c r="AC17" s="17">
        <f t="shared" si="9"/>
        <v>813</v>
      </c>
      <c r="AD17" s="17">
        <f t="shared" si="9"/>
        <v>0</v>
      </c>
      <c r="AE17" s="31">
        <f t="shared" si="9"/>
        <v>1108</v>
      </c>
      <c r="AF17" s="31">
        <f t="shared" si="9"/>
        <v>1921</v>
      </c>
    </row>
    <row r="18" spans="2:32" ht="23.1" customHeight="1" x14ac:dyDescent="0.25">
      <c r="B18" s="45" t="s">
        <v>45</v>
      </c>
      <c r="C18" s="50">
        <v>143</v>
      </c>
      <c r="D18" s="50">
        <v>51</v>
      </c>
      <c r="E18" s="50">
        <v>45</v>
      </c>
      <c r="F18" s="50">
        <v>65</v>
      </c>
      <c r="G18" s="50">
        <v>1</v>
      </c>
      <c r="H18" s="50">
        <v>0</v>
      </c>
      <c r="I18" s="50">
        <v>0</v>
      </c>
      <c r="J18" s="50">
        <v>1</v>
      </c>
      <c r="K18" s="50">
        <v>3</v>
      </c>
      <c r="L18" s="50">
        <v>1</v>
      </c>
      <c r="M18" s="50">
        <v>345</v>
      </c>
      <c r="N18" s="50">
        <v>0</v>
      </c>
      <c r="O18" s="15">
        <f t="shared" si="0"/>
        <v>310</v>
      </c>
      <c r="P18" s="15">
        <f t="shared" si="1"/>
        <v>655</v>
      </c>
      <c r="R18" s="1" t="s">
        <v>14</v>
      </c>
      <c r="S18" s="17">
        <f t="shared" ref="S18:AF18" si="10">SUM(C42:C45)</f>
        <v>426</v>
      </c>
      <c r="T18" s="17">
        <f t="shared" si="10"/>
        <v>230</v>
      </c>
      <c r="U18" s="17">
        <f t="shared" si="10"/>
        <v>226</v>
      </c>
      <c r="V18" s="17">
        <f t="shared" si="10"/>
        <v>234</v>
      </c>
      <c r="W18" s="17">
        <f t="shared" si="10"/>
        <v>9</v>
      </c>
      <c r="X18" s="17">
        <f t="shared" si="10"/>
        <v>1</v>
      </c>
      <c r="Y18" s="17">
        <f t="shared" si="10"/>
        <v>30</v>
      </c>
      <c r="Z18" s="17">
        <f t="shared" si="10"/>
        <v>9</v>
      </c>
      <c r="AA18" s="17">
        <f t="shared" si="10"/>
        <v>9</v>
      </c>
      <c r="AB18" s="17">
        <f t="shared" si="10"/>
        <v>17</v>
      </c>
      <c r="AC18" s="17">
        <f t="shared" si="10"/>
        <v>1104</v>
      </c>
      <c r="AD18" s="17">
        <f t="shared" si="10"/>
        <v>0</v>
      </c>
      <c r="AE18" s="31">
        <f t="shared" si="10"/>
        <v>1191</v>
      </c>
      <c r="AF18" s="31">
        <f t="shared" si="10"/>
        <v>2295</v>
      </c>
    </row>
    <row r="19" spans="2:32" ht="23.1" customHeight="1" x14ac:dyDescent="0.25">
      <c r="B19" s="45" t="s">
        <v>46</v>
      </c>
      <c r="C19" s="50">
        <v>89</v>
      </c>
      <c r="D19" s="50">
        <v>31</v>
      </c>
      <c r="E19" s="50">
        <v>32</v>
      </c>
      <c r="F19" s="50">
        <v>68</v>
      </c>
      <c r="G19" s="50">
        <v>2</v>
      </c>
      <c r="H19" s="50">
        <v>0</v>
      </c>
      <c r="I19" s="50">
        <v>6</v>
      </c>
      <c r="J19" s="50">
        <v>3</v>
      </c>
      <c r="K19" s="50">
        <v>5</v>
      </c>
      <c r="L19" s="50">
        <v>8</v>
      </c>
      <c r="M19" s="50">
        <v>335</v>
      </c>
      <c r="N19" s="50">
        <v>0</v>
      </c>
      <c r="O19" s="15">
        <f t="shared" si="0"/>
        <v>244</v>
      </c>
      <c r="P19" s="15">
        <f t="shared" si="1"/>
        <v>579</v>
      </c>
      <c r="R19" s="1" t="s">
        <v>15</v>
      </c>
      <c r="S19" s="17">
        <f t="shared" ref="S19:AF19" si="11">SUM(C46:C49)</f>
        <v>379</v>
      </c>
      <c r="T19" s="17">
        <f t="shared" si="11"/>
        <v>165</v>
      </c>
      <c r="U19" s="17">
        <f t="shared" si="11"/>
        <v>198</v>
      </c>
      <c r="V19" s="17">
        <f t="shared" si="11"/>
        <v>176</v>
      </c>
      <c r="W19" s="17">
        <f t="shared" si="11"/>
        <v>15</v>
      </c>
      <c r="X19" s="17">
        <f t="shared" si="11"/>
        <v>4</v>
      </c>
      <c r="Y19" s="17">
        <f t="shared" si="11"/>
        <v>19</v>
      </c>
      <c r="Z19" s="17">
        <f t="shared" si="11"/>
        <v>6</v>
      </c>
      <c r="AA19" s="17">
        <f t="shared" si="11"/>
        <v>3</v>
      </c>
      <c r="AB19" s="17">
        <f t="shared" si="11"/>
        <v>8</v>
      </c>
      <c r="AC19" s="17">
        <f t="shared" si="11"/>
        <v>1019</v>
      </c>
      <c r="AD19" s="17">
        <f t="shared" si="11"/>
        <v>0</v>
      </c>
      <c r="AE19" s="31">
        <f t="shared" si="11"/>
        <v>973</v>
      </c>
      <c r="AF19" s="31">
        <f t="shared" si="11"/>
        <v>1992</v>
      </c>
    </row>
    <row r="20" spans="2:32" ht="23.1" customHeight="1" x14ac:dyDescent="0.25">
      <c r="B20" s="45" t="s">
        <v>47</v>
      </c>
      <c r="C20" s="50">
        <v>91</v>
      </c>
      <c r="D20" s="50">
        <v>26</v>
      </c>
      <c r="E20" s="50">
        <v>29</v>
      </c>
      <c r="F20" s="50">
        <v>70</v>
      </c>
      <c r="G20" s="50">
        <v>2</v>
      </c>
      <c r="H20" s="50">
        <v>1</v>
      </c>
      <c r="I20" s="50">
        <v>6</v>
      </c>
      <c r="J20" s="50">
        <v>2</v>
      </c>
      <c r="K20" s="50">
        <v>3</v>
      </c>
      <c r="L20" s="50">
        <v>12</v>
      </c>
      <c r="M20" s="50">
        <v>310</v>
      </c>
      <c r="N20" s="50">
        <v>0</v>
      </c>
      <c r="O20" s="15">
        <f t="shared" si="0"/>
        <v>242</v>
      </c>
      <c r="P20" s="15">
        <f t="shared" si="1"/>
        <v>552</v>
      </c>
      <c r="R20" s="1" t="s">
        <v>16</v>
      </c>
      <c r="S20" s="17">
        <f t="shared" ref="S20:AF20" si="12">SUM(C50:C53)</f>
        <v>337</v>
      </c>
      <c r="T20" s="17">
        <f t="shared" si="12"/>
        <v>140</v>
      </c>
      <c r="U20" s="17">
        <f t="shared" si="12"/>
        <v>110</v>
      </c>
      <c r="V20" s="17">
        <f t="shared" si="12"/>
        <v>177</v>
      </c>
      <c r="W20" s="17">
        <f t="shared" si="12"/>
        <v>12</v>
      </c>
      <c r="X20" s="17">
        <f t="shared" si="12"/>
        <v>2</v>
      </c>
      <c r="Y20" s="17">
        <f t="shared" si="12"/>
        <v>20</v>
      </c>
      <c r="Z20" s="17">
        <f t="shared" si="12"/>
        <v>5</v>
      </c>
      <c r="AA20" s="17">
        <f t="shared" si="12"/>
        <v>3</v>
      </c>
      <c r="AB20" s="17">
        <f t="shared" si="12"/>
        <v>18</v>
      </c>
      <c r="AC20" s="17">
        <f t="shared" si="12"/>
        <v>1217</v>
      </c>
      <c r="AD20" s="17">
        <f t="shared" si="12"/>
        <v>0</v>
      </c>
      <c r="AE20" s="31">
        <f t="shared" si="12"/>
        <v>824</v>
      </c>
      <c r="AF20" s="31">
        <f t="shared" si="12"/>
        <v>2041</v>
      </c>
    </row>
    <row r="21" spans="2:32" ht="23.1" customHeight="1" x14ac:dyDescent="0.25">
      <c r="B21" s="45" t="s">
        <v>48</v>
      </c>
      <c r="C21" s="50">
        <v>103</v>
      </c>
      <c r="D21" s="50">
        <v>25</v>
      </c>
      <c r="E21" s="50">
        <v>39</v>
      </c>
      <c r="F21" s="50">
        <v>58</v>
      </c>
      <c r="G21" s="50">
        <v>1</v>
      </c>
      <c r="H21" s="50">
        <v>2</v>
      </c>
      <c r="I21" s="50">
        <v>8</v>
      </c>
      <c r="J21" s="50">
        <v>4</v>
      </c>
      <c r="K21" s="50">
        <v>1</v>
      </c>
      <c r="L21" s="50">
        <v>9</v>
      </c>
      <c r="M21" s="50">
        <v>265</v>
      </c>
      <c r="N21" s="50">
        <v>0</v>
      </c>
      <c r="O21" s="15">
        <f t="shared" si="0"/>
        <v>250</v>
      </c>
      <c r="P21" s="15">
        <f t="shared" si="1"/>
        <v>515</v>
      </c>
      <c r="R21" s="36" t="s">
        <v>20</v>
      </c>
      <c r="S21" s="34">
        <f t="shared" ref="S21:AF21" si="13">SUM(C54:C57)</f>
        <v>266</v>
      </c>
      <c r="T21" s="17">
        <f t="shared" si="13"/>
        <v>78</v>
      </c>
      <c r="U21" s="17">
        <f t="shared" si="13"/>
        <v>82</v>
      </c>
      <c r="V21" s="17">
        <f t="shared" si="13"/>
        <v>280</v>
      </c>
      <c r="W21" s="17">
        <f t="shared" si="13"/>
        <v>19</v>
      </c>
      <c r="X21" s="17">
        <f t="shared" si="13"/>
        <v>2</v>
      </c>
      <c r="Y21" s="17">
        <f t="shared" si="13"/>
        <v>32</v>
      </c>
      <c r="Z21" s="17">
        <f t="shared" si="13"/>
        <v>2</v>
      </c>
      <c r="AA21" s="17">
        <f t="shared" si="13"/>
        <v>4</v>
      </c>
      <c r="AB21" s="17">
        <f t="shared" si="13"/>
        <v>13</v>
      </c>
      <c r="AC21" s="17">
        <f t="shared" si="13"/>
        <v>1096</v>
      </c>
      <c r="AD21" s="17">
        <f t="shared" si="13"/>
        <v>0</v>
      </c>
      <c r="AE21" s="31">
        <f t="shared" si="13"/>
        <v>778</v>
      </c>
      <c r="AF21" s="31">
        <f t="shared" si="13"/>
        <v>1874</v>
      </c>
    </row>
    <row r="22" spans="2:32" ht="23.1" customHeight="1" x14ac:dyDescent="0.25">
      <c r="B22" s="45" t="s">
        <v>49</v>
      </c>
      <c r="C22" s="50">
        <v>113</v>
      </c>
      <c r="D22" s="50">
        <v>35</v>
      </c>
      <c r="E22" s="50">
        <v>46</v>
      </c>
      <c r="F22" s="50">
        <v>70</v>
      </c>
      <c r="G22" s="50">
        <v>0</v>
      </c>
      <c r="H22" s="50">
        <v>0</v>
      </c>
      <c r="I22" s="50">
        <v>4</v>
      </c>
      <c r="J22" s="50">
        <v>1</v>
      </c>
      <c r="K22" s="50">
        <v>1</v>
      </c>
      <c r="L22" s="50">
        <v>2</v>
      </c>
      <c r="M22" s="50">
        <v>360</v>
      </c>
      <c r="N22" s="50">
        <v>0</v>
      </c>
      <c r="O22" s="15">
        <f t="shared" si="0"/>
        <v>272</v>
      </c>
      <c r="P22" s="15">
        <f t="shared" si="1"/>
        <v>632</v>
      </c>
      <c r="R22" s="36" t="s">
        <v>146</v>
      </c>
      <c r="S22" s="34">
        <f>SUM(C58:C61)</f>
        <v>176</v>
      </c>
      <c r="T22" s="34">
        <f t="shared" ref="T22:AF22" si="14">SUM(D58:D61)</f>
        <v>19</v>
      </c>
      <c r="U22" s="34">
        <f t="shared" si="14"/>
        <v>24</v>
      </c>
      <c r="V22" s="34">
        <f t="shared" si="14"/>
        <v>222</v>
      </c>
      <c r="W22" s="34">
        <f t="shared" si="14"/>
        <v>10</v>
      </c>
      <c r="X22" s="34">
        <f t="shared" si="14"/>
        <v>1</v>
      </c>
      <c r="Y22" s="34">
        <f t="shared" si="14"/>
        <v>26</v>
      </c>
      <c r="Z22" s="34">
        <f t="shared" si="14"/>
        <v>16</v>
      </c>
      <c r="AA22" s="34">
        <f t="shared" si="14"/>
        <v>13</v>
      </c>
      <c r="AB22" s="34">
        <f t="shared" si="14"/>
        <v>5</v>
      </c>
      <c r="AC22" s="34">
        <f t="shared" si="14"/>
        <v>730</v>
      </c>
      <c r="AD22" s="34">
        <f t="shared" si="14"/>
        <v>0</v>
      </c>
      <c r="AE22" s="31">
        <f t="shared" si="14"/>
        <v>512</v>
      </c>
      <c r="AF22" s="31">
        <f t="shared" si="14"/>
        <v>1242</v>
      </c>
    </row>
    <row r="23" spans="2:32" ht="23.1" customHeight="1" x14ac:dyDescent="0.25">
      <c r="B23" s="45" t="s">
        <v>50</v>
      </c>
      <c r="C23" s="50">
        <v>117</v>
      </c>
      <c r="D23" s="50">
        <v>45</v>
      </c>
      <c r="E23" s="50">
        <v>48</v>
      </c>
      <c r="F23" s="50">
        <v>55</v>
      </c>
      <c r="G23" s="50">
        <v>2</v>
      </c>
      <c r="H23" s="50">
        <v>0</v>
      </c>
      <c r="I23" s="50">
        <v>4</v>
      </c>
      <c r="J23" s="50">
        <v>1</v>
      </c>
      <c r="K23" s="50">
        <v>1</v>
      </c>
      <c r="L23" s="50">
        <v>3</v>
      </c>
      <c r="M23" s="50">
        <v>315</v>
      </c>
      <c r="N23" s="50">
        <v>0</v>
      </c>
      <c r="O23" s="15">
        <f t="shared" si="0"/>
        <v>276</v>
      </c>
      <c r="P23" s="15">
        <f t="shared" si="1"/>
        <v>591</v>
      </c>
      <c r="R23" s="36" t="s">
        <v>147</v>
      </c>
      <c r="S23" s="34">
        <f>SUM(C62:C65)</f>
        <v>211</v>
      </c>
      <c r="T23" s="34">
        <f t="shared" ref="T23:AF23" si="15">SUM(D62:D65)</f>
        <v>13</v>
      </c>
      <c r="U23" s="34">
        <f t="shared" si="15"/>
        <v>23</v>
      </c>
      <c r="V23" s="34">
        <f t="shared" si="15"/>
        <v>225</v>
      </c>
      <c r="W23" s="34">
        <f t="shared" si="15"/>
        <v>14</v>
      </c>
      <c r="X23" s="34">
        <f t="shared" si="15"/>
        <v>6</v>
      </c>
      <c r="Y23" s="34">
        <f t="shared" si="15"/>
        <v>20</v>
      </c>
      <c r="Z23" s="34">
        <f t="shared" si="15"/>
        <v>18</v>
      </c>
      <c r="AA23" s="34">
        <f t="shared" si="15"/>
        <v>29</v>
      </c>
      <c r="AB23" s="34">
        <f t="shared" si="15"/>
        <v>3</v>
      </c>
      <c r="AC23" s="34">
        <f t="shared" si="15"/>
        <v>685</v>
      </c>
      <c r="AD23" s="34">
        <f t="shared" si="15"/>
        <v>0</v>
      </c>
      <c r="AE23" s="31">
        <f t="shared" si="15"/>
        <v>562</v>
      </c>
      <c r="AF23" s="31">
        <f t="shared" si="15"/>
        <v>1247</v>
      </c>
    </row>
    <row r="24" spans="2:32" ht="23.1" customHeight="1" x14ac:dyDescent="0.25">
      <c r="B24" s="45" t="s">
        <v>51</v>
      </c>
      <c r="C24" s="50">
        <v>103</v>
      </c>
      <c r="D24" s="50">
        <v>53</v>
      </c>
      <c r="E24" s="50">
        <v>33</v>
      </c>
      <c r="F24" s="50">
        <v>52</v>
      </c>
      <c r="G24" s="50">
        <v>6</v>
      </c>
      <c r="H24" s="50">
        <v>0</v>
      </c>
      <c r="I24" s="50">
        <v>2</v>
      </c>
      <c r="J24" s="50">
        <v>1</v>
      </c>
      <c r="K24" s="50">
        <v>0</v>
      </c>
      <c r="L24" s="50">
        <v>2</v>
      </c>
      <c r="M24" s="50">
        <v>270</v>
      </c>
      <c r="N24" s="50">
        <v>0</v>
      </c>
      <c r="O24" s="15">
        <f t="shared" si="0"/>
        <v>252</v>
      </c>
      <c r="P24" s="15">
        <f t="shared" si="1"/>
        <v>522</v>
      </c>
      <c r="R24" s="36" t="s">
        <v>148</v>
      </c>
      <c r="S24" s="34">
        <f>SUM(C66:C69)</f>
        <v>147</v>
      </c>
      <c r="T24" s="34">
        <f t="shared" ref="T24:AF24" si="16">SUM(D66:D69)</f>
        <v>14</v>
      </c>
      <c r="U24" s="34">
        <f t="shared" si="16"/>
        <v>14</v>
      </c>
      <c r="V24" s="34">
        <f t="shared" si="16"/>
        <v>218</v>
      </c>
      <c r="W24" s="34">
        <f t="shared" si="16"/>
        <v>6</v>
      </c>
      <c r="X24" s="34">
        <f t="shared" si="16"/>
        <v>2</v>
      </c>
      <c r="Y24" s="34">
        <f t="shared" si="16"/>
        <v>8</v>
      </c>
      <c r="Z24" s="34">
        <f t="shared" si="16"/>
        <v>11</v>
      </c>
      <c r="AA24" s="34">
        <f t="shared" si="16"/>
        <v>7</v>
      </c>
      <c r="AB24" s="34">
        <f t="shared" si="16"/>
        <v>3</v>
      </c>
      <c r="AC24" s="34">
        <f t="shared" si="16"/>
        <v>640</v>
      </c>
      <c r="AD24" s="34">
        <f t="shared" si="16"/>
        <v>0</v>
      </c>
      <c r="AE24" s="31">
        <f t="shared" si="16"/>
        <v>430</v>
      </c>
      <c r="AF24" s="31">
        <f t="shared" si="16"/>
        <v>1070</v>
      </c>
    </row>
    <row r="25" spans="2:32" ht="23.1" customHeight="1" x14ac:dyDescent="0.25">
      <c r="B25" s="45" t="s">
        <v>52</v>
      </c>
      <c r="C25" s="50">
        <v>102</v>
      </c>
      <c r="D25" s="50">
        <v>29</v>
      </c>
      <c r="E25" s="50">
        <v>37</v>
      </c>
      <c r="F25" s="50">
        <v>43</v>
      </c>
      <c r="G25" s="50">
        <v>3</v>
      </c>
      <c r="H25" s="50">
        <v>0</v>
      </c>
      <c r="I25" s="50">
        <v>10</v>
      </c>
      <c r="J25" s="50">
        <v>0</v>
      </c>
      <c r="K25" s="50">
        <v>2</v>
      </c>
      <c r="L25" s="50">
        <v>2</v>
      </c>
      <c r="M25" s="50">
        <v>350</v>
      </c>
      <c r="N25" s="50">
        <v>0</v>
      </c>
      <c r="O25" s="15">
        <f t="shared" si="0"/>
        <v>228</v>
      </c>
      <c r="P25" s="15">
        <f t="shared" si="1"/>
        <v>578</v>
      </c>
      <c r="R25" s="36" t="s">
        <v>149</v>
      </c>
      <c r="S25" s="34">
        <f>SUM(C70:C73)</f>
        <v>190</v>
      </c>
      <c r="T25" s="34">
        <f t="shared" ref="T25:AF25" si="17">SUM(D70:D73)</f>
        <v>13</v>
      </c>
      <c r="U25" s="34">
        <f t="shared" si="17"/>
        <v>15</v>
      </c>
      <c r="V25" s="34">
        <f t="shared" si="17"/>
        <v>155</v>
      </c>
      <c r="W25" s="34">
        <f t="shared" si="17"/>
        <v>4</v>
      </c>
      <c r="X25" s="34">
        <f t="shared" si="17"/>
        <v>2</v>
      </c>
      <c r="Y25" s="34">
        <f t="shared" si="17"/>
        <v>13</v>
      </c>
      <c r="Z25" s="34">
        <f t="shared" si="17"/>
        <v>4</v>
      </c>
      <c r="AA25" s="34">
        <f t="shared" si="17"/>
        <v>7</v>
      </c>
      <c r="AB25" s="34">
        <f t="shared" si="17"/>
        <v>8</v>
      </c>
      <c r="AC25" s="34">
        <f t="shared" si="17"/>
        <v>325</v>
      </c>
      <c r="AD25" s="34">
        <f t="shared" si="17"/>
        <v>0</v>
      </c>
      <c r="AE25" s="31">
        <f t="shared" si="17"/>
        <v>411</v>
      </c>
      <c r="AF25" s="31">
        <f t="shared" si="17"/>
        <v>736</v>
      </c>
    </row>
    <row r="26" spans="2:32" ht="23.1" customHeight="1" x14ac:dyDescent="0.25">
      <c r="B26" s="45" t="s">
        <v>53</v>
      </c>
      <c r="C26" s="50">
        <v>118</v>
      </c>
      <c r="D26" s="50">
        <v>47</v>
      </c>
      <c r="E26" s="50">
        <v>38</v>
      </c>
      <c r="F26" s="50">
        <v>67</v>
      </c>
      <c r="G26" s="50">
        <v>2</v>
      </c>
      <c r="H26" s="50">
        <v>0</v>
      </c>
      <c r="I26" s="50">
        <v>5</v>
      </c>
      <c r="J26" s="50">
        <v>1</v>
      </c>
      <c r="K26" s="50">
        <v>0</v>
      </c>
      <c r="L26" s="50">
        <v>2</v>
      </c>
      <c r="M26" s="50">
        <v>320</v>
      </c>
      <c r="N26" s="50">
        <v>0</v>
      </c>
      <c r="O26" s="15">
        <f t="shared" si="0"/>
        <v>280</v>
      </c>
      <c r="P26" s="15">
        <f t="shared" si="1"/>
        <v>600</v>
      </c>
      <c r="R26" s="36" t="s">
        <v>150</v>
      </c>
      <c r="S26" s="34">
        <f>SUM(C74:C77)</f>
        <v>225</v>
      </c>
      <c r="T26" s="34">
        <f t="shared" ref="T26:AF26" si="18">SUM(D74:D77)</f>
        <v>10</v>
      </c>
      <c r="U26" s="34">
        <f t="shared" si="18"/>
        <v>19</v>
      </c>
      <c r="V26" s="34">
        <f t="shared" si="18"/>
        <v>152</v>
      </c>
      <c r="W26" s="34">
        <f t="shared" si="18"/>
        <v>6</v>
      </c>
      <c r="X26" s="34">
        <f t="shared" si="18"/>
        <v>5</v>
      </c>
      <c r="Y26" s="34">
        <f t="shared" si="18"/>
        <v>6</v>
      </c>
      <c r="Z26" s="34">
        <f t="shared" si="18"/>
        <v>11</v>
      </c>
      <c r="AA26" s="34">
        <f t="shared" si="18"/>
        <v>2</v>
      </c>
      <c r="AB26" s="34">
        <f t="shared" si="18"/>
        <v>8</v>
      </c>
      <c r="AC26" s="34">
        <f t="shared" si="18"/>
        <v>320</v>
      </c>
      <c r="AD26" s="34">
        <f t="shared" si="18"/>
        <v>0</v>
      </c>
      <c r="AE26" s="31">
        <f t="shared" si="18"/>
        <v>444</v>
      </c>
      <c r="AF26" s="31">
        <f t="shared" si="18"/>
        <v>764</v>
      </c>
    </row>
    <row r="27" spans="2:32" ht="23.1" customHeight="1" x14ac:dyDescent="0.25">
      <c r="B27" s="45" t="s">
        <v>54</v>
      </c>
      <c r="C27" s="50">
        <v>75</v>
      </c>
      <c r="D27" s="50">
        <v>43</v>
      </c>
      <c r="E27" s="50">
        <v>23</v>
      </c>
      <c r="F27" s="50">
        <v>50</v>
      </c>
      <c r="G27" s="50">
        <v>3</v>
      </c>
      <c r="H27" s="50">
        <v>0</v>
      </c>
      <c r="I27" s="50">
        <v>2</v>
      </c>
      <c r="J27" s="50">
        <v>0</v>
      </c>
      <c r="K27" s="50">
        <v>0</v>
      </c>
      <c r="L27" s="50">
        <v>6</v>
      </c>
      <c r="M27" s="50">
        <v>270</v>
      </c>
      <c r="N27" s="50">
        <v>0</v>
      </c>
      <c r="O27" s="15">
        <f t="shared" si="0"/>
        <v>202</v>
      </c>
      <c r="P27" s="15">
        <f t="shared" si="1"/>
        <v>472</v>
      </c>
      <c r="R27" s="36" t="s">
        <v>151</v>
      </c>
      <c r="S27" s="34">
        <f>SUM(C78:C81)</f>
        <v>259</v>
      </c>
      <c r="T27" s="34">
        <f t="shared" ref="T27:AF27" si="19">SUM(D78:D81)</f>
        <v>11</v>
      </c>
      <c r="U27" s="34">
        <f t="shared" si="19"/>
        <v>11</v>
      </c>
      <c r="V27" s="34">
        <f t="shared" si="19"/>
        <v>103</v>
      </c>
      <c r="W27" s="34">
        <f t="shared" si="19"/>
        <v>5</v>
      </c>
      <c r="X27" s="34">
        <f t="shared" si="19"/>
        <v>2</v>
      </c>
      <c r="Y27" s="34">
        <f t="shared" si="19"/>
        <v>32</v>
      </c>
      <c r="Z27" s="34">
        <f t="shared" si="19"/>
        <v>10</v>
      </c>
      <c r="AA27" s="34">
        <f t="shared" si="19"/>
        <v>0</v>
      </c>
      <c r="AB27" s="34">
        <f t="shared" si="19"/>
        <v>6</v>
      </c>
      <c r="AC27" s="34">
        <f t="shared" si="19"/>
        <v>269</v>
      </c>
      <c r="AD27" s="34">
        <f t="shared" si="19"/>
        <v>0</v>
      </c>
      <c r="AE27" s="31">
        <f t="shared" si="19"/>
        <v>439</v>
      </c>
      <c r="AF27" s="31">
        <f t="shared" si="19"/>
        <v>708</v>
      </c>
    </row>
    <row r="28" spans="2:32" ht="23.1" customHeight="1" x14ac:dyDescent="0.25">
      <c r="B28" s="45" t="s">
        <v>55</v>
      </c>
      <c r="C28" s="50">
        <v>67</v>
      </c>
      <c r="D28" s="50">
        <v>32</v>
      </c>
      <c r="E28" s="50">
        <v>17</v>
      </c>
      <c r="F28" s="50">
        <v>62</v>
      </c>
      <c r="G28" s="50">
        <v>2</v>
      </c>
      <c r="H28" s="50">
        <v>0</v>
      </c>
      <c r="I28" s="50">
        <v>9</v>
      </c>
      <c r="J28" s="50">
        <v>3</v>
      </c>
      <c r="K28" s="50">
        <v>0</v>
      </c>
      <c r="L28" s="50">
        <v>2</v>
      </c>
      <c r="M28" s="50">
        <v>260</v>
      </c>
      <c r="N28" s="50">
        <v>0</v>
      </c>
      <c r="O28" s="15">
        <f t="shared" si="0"/>
        <v>194</v>
      </c>
      <c r="P28" s="15">
        <f t="shared" si="1"/>
        <v>454</v>
      </c>
      <c r="R28" s="36" t="s">
        <v>152</v>
      </c>
      <c r="S28" s="34">
        <f>SUM(C82:C85)</f>
        <v>125</v>
      </c>
      <c r="T28" s="34">
        <f t="shared" ref="T28:AF28" si="20">SUM(D82:D85)</f>
        <v>9</v>
      </c>
      <c r="U28" s="34">
        <f t="shared" si="20"/>
        <v>13</v>
      </c>
      <c r="V28" s="34">
        <f t="shared" si="20"/>
        <v>32</v>
      </c>
      <c r="W28" s="34">
        <f t="shared" si="20"/>
        <v>2</v>
      </c>
      <c r="X28" s="34">
        <f t="shared" si="20"/>
        <v>0</v>
      </c>
      <c r="Y28" s="34">
        <f t="shared" si="20"/>
        <v>14</v>
      </c>
      <c r="Z28" s="34">
        <f t="shared" si="20"/>
        <v>9</v>
      </c>
      <c r="AA28" s="34">
        <f t="shared" si="20"/>
        <v>0</v>
      </c>
      <c r="AB28" s="34">
        <f t="shared" si="20"/>
        <v>8</v>
      </c>
      <c r="AC28" s="34">
        <f t="shared" si="20"/>
        <v>158</v>
      </c>
      <c r="AD28" s="34">
        <f t="shared" si="20"/>
        <v>0</v>
      </c>
      <c r="AE28" s="31">
        <f t="shared" si="20"/>
        <v>212</v>
      </c>
      <c r="AF28" s="31">
        <f t="shared" si="20"/>
        <v>370</v>
      </c>
    </row>
    <row r="29" spans="2:32" ht="23.1" customHeight="1" x14ac:dyDescent="0.25">
      <c r="B29" s="45" t="s">
        <v>56</v>
      </c>
      <c r="C29" s="50">
        <v>73</v>
      </c>
      <c r="D29" s="50">
        <v>35</v>
      </c>
      <c r="E29" s="50">
        <v>33</v>
      </c>
      <c r="F29" s="50">
        <v>52</v>
      </c>
      <c r="G29" s="50">
        <v>2</v>
      </c>
      <c r="H29" s="50">
        <v>0</v>
      </c>
      <c r="I29" s="50">
        <v>10</v>
      </c>
      <c r="J29" s="50">
        <v>2</v>
      </c>
      <c r="K29" s="50">
        <v>3</v>
      </c>
      <c r="L29" s="50">
        <v>8</v>
      </c>
      <c r="M29" s="50">
        <v>240</v>
      </c>
      <c r="N29" s="50">
        <v>0</v>
      </c>
      <c r="O29" s="15">
        <f t="shared" si="0"/>
        <v>218</v>
      </c>
      <c r="P29" s="15">
        <f t="shared" si="1"/>
        <v>458</v>
      </c>
      <c r="R29" s="36" t="s">
        <v>153</v>
      </c>
      <c r="S29" s="34">
        <f>SUM(C86:C89)</f>
        <v>86</v>
      </c>
      <c r="T29" s="34">
        <f t="shared" ref="T29:AF29" si="21">SUM(D86:D89)</f>
        <v>16</v>
      </c>
      <c r="U29" s="34">
        <f t="shared" si="21"/>
        <v>10</v>
      </c>
      <c r="V29" s="34">
        <f t="shared" si="21"/>
        <v>82</v>
      </c>
      <c r="W29" s="34">
        <f t="shared" si="21"/>
        <v>0</v>
      </c>
      <c r="X29" s="34">
        <f t="shared" si="21"/>
        <v>2</v>
      </c>
      <c r="Y29" s="34">
        <f t="shared" si="21"/>
        <v>9</v>
      </c>
      <c r="Z29" s="34">
        <f t="shared" si="21"/>
        <v>11</v>
      </c>
      <c r="AA29" s="34">
        <f t="shared" si="21"/>
        <v>0</v>
      </c>
      <c r="AB29" s="34">
        <f t="shared" si="21"/>
        <v>4</v>
      </c>
      <c r="AC29" s="34">
        <f t="shared" si="21"/>
        <v>124</v>
      </c>
      <c r="AD29" s="34">
        <f t="shared" si="21"/>
        <v>0</v>
      </c>
      <c r="AE29" s="31">
        <f t="shared" si="21"/>
        <v>220</v>
      </c>
      <c r="AF29" s="31">
        <f t="shared" si="21"/>
        <v>344</v>
      </c>
    </row>
    <row r="30" spans="2:32" ht="23.1" customHeight="1" x14ac:dyDescent="0.25">
      <c r="B30" s="45" t="s">
        <v>57</v>
      </c>
      <c r="C30" s="50">
        <v>118</v>
      </c>
      <c r="D30" s="50">
        <v>67</v>
      </c>
      <c r="E30" s="50">
        <v>62</v>
      </c>
      <c r="F30" s="50">
        <v>56</v>
      </c>
      <c r="G30" s="50">
        <v>2</v>
      </c>
      <c r="H30" s="50">
        <v>1</v>
      </c>
      <c r="I30" s="50">
        <v>6</v>
      </c>
      <c r="J30" s="50">
        <v>3</v>
      </c>
      <c r="K30" s="50">
        <v>0</v>
      </c>
      <c r="L30" s="50">
        <v>6</v>
      </c>
      <c r="M30" s="50">
        <v>230</v>
      </c>
      <c r="N30" s="50">
        <v>0</v>
      </c>
      <c r="O30" s="15">
        <f t="shared" si="0"/>
        <v>321</v>
      </c>
      <c r="P30" s="15">
        <f t="shared" si="1"/>
        <v>551</v>
      </c>
      <c r="R30" s="36" t="s">
        <v>154</v>
      </c>
      <c r="S30" s="34">
        <f>SUM(C90:C93)</f>
        <v>65</v>
      </c>
      <c r="T30" s="34">
        <f t="shared" ref="T30:AF30" si="22">SUM(D90:D93)</f>
        <v>5</v>
      </c>
      <c r="U30" s="34">
        <f t="shared" si="22"/>
        <v>5</v>
      </c>
      <c r="V30" s="34">
        <f t="shared" si="22"/>
        <v>19</v>
      </c>
      <c r="W30" s="34">
        <f t="shared" si="22"/>
        <v>0</v>
      </c>
      <c r="X30" s="34">
        <f t="shared" si="22"/>
        <v>3</v>
      </c>
      <c r="Y30" s="34">
        <f t="shared" si="22"/>
        <v>7</v>
      </c>
      <c r="Z30" s="34">
        <f t="shared" si="22"/>
        <v>8</v>
      </c>
      <c r="AA30" s="34">
        <f t="shared" si="22"/>
        <v>2</v>
      </c>
      <c r="AB30" s="34">
        <f t="shared" si="22"/>
        <v>11</v>
      </c>
      <c r="AC30" s="34">
        <f t="shared" si="22"/>
        <v>72</v>
      </c>
      <c r="AD30" s="34">
        <f t="shared" si="22"/>
        <v>0</v>
      </c>
      <c r="AE30" s="31">
        <f t="shared" si="22"/>
        <v>125</v>
      </c>
      <c r="AF30" s="31">
        <f t="shared" si="22"/>
        <v>197</v>
      </c>
    </row>
    <row r="31" spans="2:32" ht="23.1" customHeight="1" x14ac:dyDescent="0.25">
      <c r="B31" s="46" t="s">
        <v>58</v>
      </c>
      <c r="C31" s="50">
        <v>110</v>
      </c>
      <c r="D31" s="50">
        <v>50</v>
      </c>
      <c r="E31" s="50">
        <v>32</v>
      </c>
      <c r="F31" s="50">
        <v>66</v>
      </c>
      <c r="G31" s="50">
        <v>0</v>
      </c>
      <c r="H31" s="50">
        <v>0</v>
      </c>
      <c r="I31" s="50">
        <v>5</v>
      </c>
      <c r="J31" s="50">
        <v>1</v>
      </c>
      <c r="K31" s="50">
        <v>4</v>
      </c>
      <c r="L31" s="50">
        <v>6</v>
      </c>
      <c r="M31" s="50">
        <v>285</v>
      </c>
      <c r="N31" s="50">
        <v>0</v>
      </c>
      <c r="O31" s="15">
        <f t="shared" si="0"/>
        <v>274</v>
      </c>
      <c r="P31" s="15">
        <f t="shared" si="1"/>
        <v>559</v>
      </c>
      <c r="R31" s="36" t="s">
        <v>155</v>
      </c>
      <c r="S31" s="34">
        <f>SUM(C94:C97)</f>
        <v>50</v>
      </c>
      <c r="T31" s="34">
        <f t="shared" ref="T31:AF31" si="23">SUM(D94:D97)</f>
        <v>7</v>
      </c>
      <c r="U31" s="34">
        <f t="shared" si="23"/>
        <v>6</v>
      </c>
      <c r="V31" s="34">
        <f t="shared" si="23"/>
        <v>33</v>
      </c>
      <c r="W31" s="34">
        <f t="shared" si="23"/>
        <v>8</v>
      </c>
      <c r="X31" s="34">
        <f t="shared" si="23"/>
        <v>4</v>
      </c>
      <c r="Y31" s="34">
        <f t="shared" si="23"/>
        <v>12</v>
      </c>
      <c r="Z31" s="34">
        <f t="shared" si="23"/>
        <v>10</v>
      </c>
      <c r="AA31" s="34">
        <f t="shared" si="23"/>
        <v>0</v>
      </c>
      <c r="AB31" s="34">
        <f t="shared" si="23"/>
        <v>1</v>
      </c>
      <c r="AC31" s="34">
        <f t="shared" si="23"/>
        <v>38</v>
      </c>
      <c r="AD31" s="34">
        <f t="shared" si="23"/>
        <v>0</v>
      </c>
      <c r="AE31" s="31">
        <f t="shared" si="23"/>
        <v>131</v>
      </c>
      <c r="AF31" s="31">
        <f t="shared" si="23"/>
        <v>169</v>
      </c>
    </row>
    <row r="32" spans="2:32" ht="23.1" customHeight="1" x14ac:dyDescent="0.25">
      <c r="B32" s="46" t="s">
        <v>59</v>
      </c>
      <c r="C32" s="50">
        <v>103</v>
      </c>
      <c r="D32" s="50">
        <v>64</v>
      </c>
      <c r="E32" s="50">
        <v>44</v>
      </c>
      <c r="F32" s="50">
        <v>45</v>
      </c>
      <c r="G32" s="50">
        <v>0</v>
      </c>
      <c r="H32" s="50">
        <v>0</v>
      </c>
      <c r="I32" s="50">
        <v>3</v>
      </c>
      <c r="J32" s="50">
        <v>2</v>
      </c>
      <c r="K32" s="50">
        <v>1</v>
      </c>
      <c r="L32" s="50">
        <v>1</v>
      </c>
      <c r="M32" s="50">
        <v>280</v>
      </c>
      <c r="N32" s="50">
        <v>0</v>
      </c>
      <c r="O32" s="15">
        <f t="shared" si="0"/>
        <v>263</v>
      </c>
      <c r="P32" s="15">
        <f t="shared" si="1"/>
        <v>543</v>
      </c>
      <c r="R32" s="33" t="s">
        <v>156</v>
      </c>
      <c r="S32" s="34">
        <f>SUM(C98:C101)</f>
        <v>42</v>
      </c>
      <c r="T32" s="34">
        <f t="shared" ref="T32:AF32" si="24">SUM(D98:D101)</f>
        <v>3</v>
      </c>
      <c r="U32" s="34">
        <f t="shared" si="24"/>
        <v>9</v>
      </c>
      <c r="V32" s="34">
        <f t="shared" si="24"/>
        <v>57</v>
      </c>
      <c r="W32" s="34">
        <f t="shared" si="24"/>
        <v>5</v>
      </c>
      <c r="X32" s="34">
        <f t="shared" si="24"/>
        <v>6</v>
      </c>
      <c r="Y32" s="34">
        <f t="shared" si="24"/>
        <v>3</v>
      </c>
      <c r="Z32" s="34">
        <f t="shared" si="24"/>
        <v>11</v>
      </c>
      <c r="AA32" s="34">
        <f t="shared" si="24"/>
        <v>1</v>
      </c>
      <c r="AB32" s="34">
        <f t="shared" si="24"/>
        <v>6</v>
      </c>
      <c r="AC32" s="34">
        <f t="shared" si="24"/>
        <v>56</v>
      </c>
      <c r="AD32" s="34">
        <f t="shared" si="24"/>
        <v>0</v>
      </c>
      <c r="AE32" s="31">
        <f t="shared" si="24"/>
        <v>143</v>
      </c>
      <c r="AF32" s="31">
        <f t="shared" si="24"/>
        <v>199</v>
      </c>
    </row>
    <row r="33" spans="2:32" ht="23.1" customHeight="1" x14ac:dyDescent="0.25">
      <c r="B33" s="45" t="s">
        <v>60</v>
      </c>
      <c r="C33" s="50">
        <v>132</v>
      </c>
      <c r="D33" s="50">
        <v>68</v>
      </c>
      <c r="E33" s="50">
        <v>83</v>
      </c>
      <c r="F33" s="50">
        <v>66</v>
      </c>
      <c r="G33" s="50">
        <v>5</v>
      </c>
      <c r="H33" s="50">
        <v>0</v>
      </c>
      <c r="I33" s="50">
        <v>5</v>
      </c>
      <c r="J33" s="50">
        <v>3</v>
      </c>
      <c r="K33" s="50">
        <v>2</v>
      </c>
      <c r="L33" s="50">
        <v>2</v>
      </c>
      <c r="M33" s="50">
        <v>230</v>
      </c>
      <c r="N33" s="50">
        <v>0</v>
      </c>
      <c r="O33" s="15">
        <f t="shared" si="0"/>
        <v>366</v>
      </c>
      <c r="P33" s="15">
        <f t="shared" si="1"/>
        <v>596</v>
      </c>
      <c r="R33" s="33" t="s">
        <v>157</v>
      </c>
      <c r="S33" s="34">
        <f>SUM(C102:C105)</f>
        <v>87</v>
      </c>
      <c r="T33" s="34">
        <f t="shared" ref="T33:AF33" si="25">SUM(D102:D105)</f>
        <v>8</v>
      </c>
      <c r="U33" s="34">
        <f t="shared" si="25"/>
        <v>15</v>
      </c>
      <c r="V33" s="34">
        <f t="shared" si="25"/>
        <v>71</v>
      </c>
      <c r="W33" s="34">
        <f t="shared" si="25"/>
        <v>5</v>
      </c>
      <c r="X33" s="34">
        <f t="shared" si="25"/>
        <v>1</v>
      </c>
      <c r="Y33" s="34">
        <f t="shared" si="25"/>
        <v>0</v>
      </c>
      <c r="Z33" s="34">
        <f t="shared" si="25"/>
        <v>5</v>
      </c>
      <c r="AA33" s="34">
        <f t="shared" si="25"/>
        <v>0</v>
      </c>
      <c r="AB33" s="34">
        <f t="shared" si="25"/>
        <v>1</v>
      </c>
      <c r="AC33" s="34">
        <f t="shared" si="25"/>
        <v>203</v>
      </c>
      <c r="AD33" s="34">
        <f t="shared" si="25"/>
        <v>0</v>
      </c>
      <c r="AE33" s="31">
        <f t="shared" si="25"/>
        <v>193</v>
      </c>
      <c r="AF33" s="31">
        <f t="shared" si="25"/>
        <v>396</v>
      </c>
    </row>
    <row r="34" spans="2:32" ht="23.1" customHeight="1" x14ac:dyDescent="0.25">
      <c r="B34" s="46" t="s">
        <v>61</v>
      </c>
      <c r="C34" s="50">
        <v>122</v>
      </c>
      <c r="D34" s="50">
        <v>56</v>
      </c>
      <c r="E34" s="50">
        <v>45</v>
      </c>
      <c r="F34" s="50">
        <v>58</v>
      </c>
      <c r="G34" s="50">
        <v>1</v>
      </c>
      <c r="H34" s="50">
        <v>0</v>
      </c>
      <c r="I34" s="50">
        <v>5</v>
      </c>
      <c r="J34" s="50">
        <v>3</v>
      </c>
      <c r="K34" s="50">
        <v>2</v>
      </c>
      <c r="L34" s="50">
        <v>8</v>
      </c>
      <c r="M34" s="50">
        <v>230</v>
      </c>
      <c r="N34" s="50">
        <v>0</v>
      </c>
      <c r="O34" s="15">
        <f t="shared" si="0"/>
        <v>300</v>
      </c>
      <c r="P34" s="15">
        <f t="shared" si="1"/>
        <v>530</v>
      </c>
      <c r="R34" s="38" t="s">
        <v>90</v>
      </c>
      <c r="S34" s="39">
        <f t="shared" ref="S34:AF34" si="26">MAX(S10:S12)</f>
        <v>549</v>
      </c>
      <c r="T34" s="39">
        <f t="shared" si="26"/>
        <v>267</v>
      </c>
      <c r="U34" s="39">
        <f t="shared" si="26"/>
        <v>256</v>
      </c>
      <c r="V34" s="39">
        <f t="shared" si="26"/>
        <v>281</v>
      </c>
      <c r="W34" s="39">
        <f t="shared" si="26"/>
        <v>134</v>
      </c>
      <c r="X34" s="39">
        <f t="shared" si="26"/>
        <v>61</v>
      </c>
      <c r="Y34" s="39">
        <f t="shared" si="26"/>
        <v>51</v>
      </c>
      <c r="Z34" s="39">
        <f t="shared" si="26"/>
        <v>50</v>
      </c>
      <c r="AA34" s="39">
        <f t="shared" si="26"/>
        <v>56</v>
      </c>
      <c r="AB34" s="39">
        <f t="shared" si="26"/>
        <v>69</v>
      </c>
      <c r="AC34" s="39">
        <f t="shared" si="26"/>
        <v>1255</v>
      </c>
      <c r="AD34" s="39">
        <f t="shared" si="26"/>
        <v>0</v>
      </c>
      <c r="AE34" s="40">
        <f t="shared" si="26"/>
        <v>1562</v>
      </c>
      <c r="AF34" s="40">
        <f t="shared" si="26"/>
        <v>2623</v>
      </c>
    </row>
    <row r="35" spans="2:32" ht="23.1" customHeight="1" x14ac:dyDescent="0.25">
      <c r="B35" s="46" t="s">
        <v>62</v>
      </c>
      <c r="C35" s="50">
        <v>120</v>
      </c>
      <c r="D35" s="50">
        <v>78</v>
      </c>
      <c r="E35" s="50">
        <v>70</v>
      </c>
      <c r="F35" s="50">
        <v>57</v>
      </c>
      <c r="G35" s="50">
        <v>0</v>
      </c>
      <c r="H35" s="50">
        <v>1</v>
      </c>
      <c r="I35" s="50">
        <v>3</v>
      </c>
      <c r="J35" s="50">
        <v>1</v>
      </c>
      <c r="K35" s="50">
        <v>0</v>
      </c>
      <c r="L35" s="50">
        <v>0</v>
      </c>
      <c r="M35" s="50">
        <v>283</v>
      </c>
      <c r="N35" s="50">
        <v>0</v>
      </c>
      <c r="O35" s="15">
        <f t="shared" si="0"/>
        <v>330</v>
      </c>
      <c r="P35" s="15">
        <f t="shared" si="1"/>
        <v>613</v>
      </c>
      <c r="R35" s="38" t="s">
        <v>91</v>
      </c>
      <c r="S35" s="39">
        <f t="shared" ref="S35:AF35" si="27">MAX(S13:S18)</f>
        <v>476</v>
      </c>
      <c r="T35" s="39">
        <f t="shared" si="27"/>
        <v>296</v>
      </c>
      <c r="U35" s="39">
        <f t="shared" si="27"/>
        <v>233</v>
      </c>
      <c r="V35" s="39">
        <f t="shared" si="27"/>
        <v>234</v>
      </c>
      <c r="W35" s="39">
        <f t="shared" si="27"/>
        <v>11</v>
      </c>
      <c r="X35" s="39">
        <f t="shared" si="27"/>
        <v>3</v>
      </c>
      <c r="Y35" s="39">
        <f t="shared" si="27"/>
        <v>30</v>
      </c>
      <c r="Z35" s="39">
        <f t="shared" si="27"/>
        <v>9</v>
      </c>
      <c r="AA35" s="39">
        <f t="shared" si="27"/>
        <v>10</v>
      </c>
      <c r="AB35" s="39">
        <f t="shared" si="27"/>
        <v>18</v>
      </c>
      <c r="AC35" s="39">
        <f t="shared" si="27"/>
        <v>1295</v>
      </c>
      <c r="AD35" s="39">
        <f t="shared" si="27"/>
        <v>0</v>
      </c>
      <c r="AE35" s="40">
        <f t="shared" si="27"/>
        <v>1224</v>
      </c>
      <c r="AF35" s="40">
        <f t="shared" si="27"/>
        <v>2323</v>
      </c>
    </row>
    <row r="36" spans="2:32" ht="23.1" customHeight="1" x14ac:dyDescent="0.25">
      <c r="B36" s="46" t="s">
        <v>63</v>
      </c>
      <c r="C36" s="50">
        <v>110</v>
      </c>
      <c r="D36" s="50">
        <v>60</v>
      </c>
      <c r="E36" s="50">
        <v>55</v>
      </c>
      <c r="F36" s="50">
        <v>46</v>
      </c>
      <c r="G36" s="50">
        <v>3</v>
      </c>
      <c r="H36" s="50">
        <v>0</v>
      </c>
      <c r="I36" s="50">
        <v>12</v>
      </c>
      <c r="J36" s="50">
        <v>0</v>
      </c>
      <c r="K36" s="50">
        <v>4</v>
      </c>
      <c r="L36" s="50">
        <v>0</v>
      </c>
      <c r="M36" s="50">
        <v>275</v>
      </c>
      <c r="N36" s="50">
        <v>0</v>
      </c>
      <c r="O36" s="15">
        <f t="shared" si="0"/>
        <v>290</v>
      </c>
      <c r="P36" s="15">
        <f t="shared" si="1"/>
        <v>565</v>
      </c>
      <c r="R36" s="38" t="s">
        <v>92</v>
      </c>
      <c r="S36" s="39">
        <f t="shared" ref="S36:AF36" si="28">MAX(S19:S21)</f>
        <v>379</v>
      </c>
      <c r="T36" s="39">
        <f t="shared" si="28"/>
        <v>165</v>
      </c>
      <c r="U36" s="39">
        <f t="shared" si="28"/>
        <v>198</v>
      </c>
      <c r="V36" s="39">
        <f t="shared" si="28"/>
        <v>280</v>
      </c>
      <c r="W36" s="39">
        <f t="shared" si="28"/>
        <v>19</v>
      </c>
      <c r="X36" s="39">
        <f t="shared" si="28"/>
        <v>4</v>
      </c>
      <c r="Y36" s="39">
        <f t="shared" si="28"/>
        <v>32</v>
      </c>
      <c r="Z36" s="39">
        <f t="shared" si="28"/>
        <v>6</v>
      </c>
      <c r="AA36" s="39">
        <f t="shared" si="28"/>
        <v>4</v>
      </c>
      <c r="AB36" s="39">
        <f t="shared" si="28"/>
        <v>18</v>
      </c>
      <c r="AC36" s="39">
        <f t="shared" si="28"/>
        <v>1217</v>
      </c>
      <c r="AD36" s="39">
        <f t="shared" si="28"/>
        <v>0</v>
      </c>
      <c r="AE36" s="40">
        <f t="shared" si="28"/>
        <v>973</v>
      </c>
      <c r="AF36" s="40">
        <f t="shared" si="28"/>
        <v>2041</v>
      </c>
    </row>
    <row r="37" spans="2:32" ht="23.1" customHeight="1" x14ac:dyDescent="0.25">
      <c r="B37" s="45" t="s">
        <v>64</v>
      </c>
      <c r="C37" s="50">
        <v>124</v>
      </c>
      <c r="D37" s="50">
        <v>43</v>
      </c>
      <c r="E37" s="50">
        <v>63</v>
      </c>
      <c r="F37" s="50">
        <v>39</v>
      </c>
      <c r="G37" s="50">
        <v>0</v>
      </c>
      <c r="H37" s="50">
        <v>0</v>
      </c>
      <c r="I37" s="50">
        <v>3</v>
      </c>
      <c r="J37" s="50">
        <v>0</v>
      </c>
      <c r="K37" s="50">
        <v>4</v>
      </c>
      <c r="L37" s="50">
        <v>5</v>
      </c>
      <c r="M37" s="50">
        <v>220</v>
      </c>
      <c r="N37" s="50">
        <v>0</v>
      </c>
      <c r="O37" s="15">
        <f t="shared" si="0"/>
        <v>281</v>
      </c>
      <c r="P37" s="15">
        <f t="shared" si="1"/>
        <v>501</v>
      </c>
      <c r="R37" s="37" t="s">
        <v>85</v>
      </c>
      <c r="S37" s="35">
        <f t="shared" ref="S37:AF37" si="29">SUM(S10:S12)</f>
        <v>1430</v>
      </c>
      <c r="T37" s="16">
        <f t="shared" si="29"/>
        <v>608</v>
      </c>
      <c r="U37" s="16">
        <f t="shared" si="29"/>
        <v>598</v>
      </c>
      <c r="V37" s="16">
        <f t="shared" si="29"/>
        <v>780</v>
      </c>
      <c r="W37" s="16">
        <f t="shared" si="29"/>
        <v>151</v>
      </c>
      <c r="X37" s="16">
        <f t="shared" si="29"/>
        <v>67</v>
      </c>
      <c r="Y37" s="16">
        <f t="shared" si="29"/>
        <v>95</v>
      </c>
      <c r="Z37" s="16">
        <f t="shared" si="29"/>
        <v>63</v>
      </c>
      <c r="AA37" s="16">
        <f t="shared" si="29"/>
        <v>71</v>
      </c>
      <c r="AB37" s="16">
        <f t="shared" si="29"/>
        <v>113</v>
      </c>
      <c r="AC37" s="16">
        <f t="shared" si="29"/>
        <v>3012</v>
      </c>
      <c r="AD37" s="16">
        <f t="shared" si="29"/>
        <v>0</v>
      </c>
      <c r="AE37" s="32">
        <f t="shared" si="29"/>
        <v>3976</v>
      </c>
      <c r="AF37" s="32">
        <f t="shared" si="29"/>
        <v>6988</v>
      </c>
    </row>
    <row r="38" spans="2:32" ht="23.1" customHeight="1" x14ac:dyDescent="0.25">
      <c r="B38" s="46" t="s">
        <v>65</v>
      </c>
      <c r="C38" s="50">
        <v>123</v>
      </c>
      <c r="D38" s="50">
        <v>63</v>
      </c>
      <c r="E38" s="50">
        <v>41</v>
      </c>
      <c r="F38" s="50">
        <v>45</v>
      </c>
      <c r="G38" s="50">
        <v>1</v>
      </c>
      <c r="H38" s="50">
        <v>1</v>
      </c>
      <c r="I38" s="50">
        <v>9</v>
      </c>
      <c r="J38" s="50">
        <v>3</v>
      </c>
      <c r="K38" s="50">
        <v>3</v>
      </c>
      <c r="L38" s="50">
        <v>6</v>
      </c>
      <c r="M38" s="50">
        <v>215</v>
      </c>
      <c r="N38" s="50">
        <v>0</v>
      </c>
      <c r="O38" s="15">
        <f t="shared" si="0"/>
        <v>295</v>
      </c>
      <c r="P38" s="15">
        <f t="shared" si="1"/>
        <v>510</v>
      </c>
      <c r="R38" s="28" t="s">
        <v>86</v>
      </c>
      <c r="S38" s="16">
        <f t="shared" ref="S38:AF38" si="30">SUM(S13:S18)</f>
        <v>2493</v>
      </c>
      <c r="T38" s="16">
        <f t="shared" si="30"/>
        <v>1331</v>
      </c>
      <c r="U38" s="16">
        <f t="shared" si="30"/>
        <v>1146</v>
      </c>
      <c r="V38" s="16">
        <f t="shared" si="30"/>
        <v>1313</v>
      </c>
      <c r="W38" s="16">
        <f t="shared" si="30"/>
        <v>50</v>
      </c>
      <c r="X38" s="16">
        <f t="shared" si="30"/>
        <v>6</v>
      </c>
      <c r="Y38" s="16">
        <f t="shared" si="30"/>
        <v>140</v>
      </c>
      <c r="Z38" s="16">
        <f t="shared" si="30"/>
        <v>40</v>
      </c>
      <c r="AA38" s="16">
        <f t="shared" si="30"/>
        <v>39</v>
      </c>
      <c r="AB38" s="16">
        <f t="shared" si="30"/>
        <v>88</v>
      </c>
      <c r="AC38" s="16">
        <f t="shared" si="30"/>
        <v>6335</v>
      </c>
      <c r="AD38" s="16">
        <f t="shared" si="30"/>
        <v>0</v>
      </c>
      <c r="AE38" s="32">
        <f t="shared" si="30"/>
        <v>6646</v>
      </c>
      <c r="AF38" s="32">
        <f t="shared" si="30"/>
        <v>12981</v>
      </c>
    </row>
    <row r="39" spans="2:32" ht="23.1" customHeight="1" x14ac:dyDescent="0.25">
      <c r="B39" s="46" t="s">
        <v>66</v>
      </c>
      <c r="C39" s="50">
        <v>0</v>
      </c>
      <c r="D39" s="50">
        <v>120</v>
      </c>
      <c r="E39" s="50">
        <v>53</v>
      </c>
      <c r="F39" s="50">
        <v>66</v>
      </c>
      <c r="G39" s="50">
        <v>4</v>
      </c>
      <c r="H39" s="50">
        <v>1</v>
      </c>
      <c r="I39" s="50">
        <v>7</v>
      </c>
      <c r="J39" s="50">
        <v>1</v>
      </c>
      <c r="K39" s="50">
        <v>1</v>
      </c>
      <c r="L39" s="50">
        <v>3</v>
      </c>
      <c r="M39" s="50">
        <v>205</v>
      </c>
      <c r="N39" s="50">
        <v>0</v>
      </c>
      <c r="O39" s="15">
        <f t="shared" si="0"/>
        <v>256</v>
      </c>
      <c r="P39" s="15">
        <f t="shared" si="1"/>
        <v>461</v>
      </c>
      <c r="R39" s="29" t="s">
        <v>87</v>
      </c>
      <c r="S39" s="16">
        <f t="shared" ref="S39:AF39" si="31">SUM(S19:S21)</f>
        <v>982</v>
      </c>
      <c r="T39" s="16">
        <f t="shared" si="31"/>
        <v>383</v>
      </c>
      <c r="U39" s="16">
        <f t="shared" si="31"/>
        <v>390</v>
      </c>
      <c r="V39" s="16">
        <f t="shared" si="31"/>
        <v>633</v>
      </c>
      <c r="W39" s="16">
        <f t="shared" si="31"/>
        <v>46</v>
      </c>
      <c r="X39" s="16">
        <f t="shared" si="31"/>
        <v>8</v>
      </c>
      <c r="Y39" s="16">
        <f t="shared" si="31"/>
        <v>71</v>
      </c>
      <c r="Z39" s="16">
        <f t="shared" si="31"/>
        <v>13</v>
      </c>
      <c r="AA39" s="16">
        <f t="shared" si="31"/>
        <v>10</v>
      </c>
      <c r="AB39" s="16">
        <f t="shared" si="31"/>
        <v>39</v>
      </c>
      <c r="AC39" s="16">
        <f t="shared" si="31"/>
        <v>3332</v>
      </c>
      <c r="AD39" s="16">
        <f t="shared" si="31"/>
        <v>0</v>
      </c>
      <c r="AE39" s="32">
        <f t="shared" si="31"/>
        <v>2575</v>
      </c>
      <c r="AF39" s="32">
        <f t="shared" si="31"/>
        <v>5907</v>
      </c>
    </row>
    <row r="40" spans="2:32" ht="23.1" customHeight="1" x14ac:dyDescent="0.25">
      <c r="B40" s="46" t="s">
        <v>67</v>
      </c>
      <c r="C40" s="50">
        <v>128</v>
      </c>
      <c r="D40" s="50">
        <v>73</v>
      </c>
      <c r="E40" s="50">
        <v>50</v>
      </c>
      <c r="F40" s="50">
        <v>54</v>
      </c>
      <c r="G40" s="50">
        <v>0</v>
      </c>
      <c r="H40" s="50">
        <v>1</v>
      </c>
      <c r="I40" s="50">
        <v>2</v>
      </c>
      <c r="J40" s="50">
        <v>0</v>
      </c>
      <c r="K40" s="50">
        <v>1</v>
      </c>
      <c r="L40" s="50">
        <v>1</v>
      </c>
      <c r="M40" s="50">
        <v>183</v>
      </c>
      <c r="N40" s="50">
        <v>0</v>
      </c>
      <c r="O40" s="15">
        <f t="shared" si="0"/>
        <v>310</v>
      </c>
      <c r="P40" s="15">
        <f t="shared" si="1"/>
        <v>493</v>
      </c>
      <c r="R40" s="5" t="s">
        <v>17</v>
      </c>
      <c r="S40" s="16">
        <f t="shared" ref="S40:AF40" si="32">SUM(S10:S21)</f>
        <v>4905</v>
      </c>
      <c r="T40" s="16">
        <f t="shared" si="32"/>
        <v>2322</v>
      </c>
      <c r="U40" s="16">
        <f t="shared" si="32"/>
        <v>2134</v>
      </c>
      <c r="V40" s="16">
        <f t="shared" si="32"/>
        <v>2726</v>
      </c>
      <c r="W40" s="16">
        <f t="shared" si="32"/>
        <v>247</v>
      </c>
      <c r="X40" s="16">
        <f t="shared" si="32"/>
        <v>81</v>
      </c>
      <c r="Y40" s="16">
        <f t="shared" si="32"/>
        <v>306</v>
      </c>
      <c r="Z40" s="16">
        <f t="shared" si="32"/>
        <v>116</v>
      </c>
      <c r="AA40" s="16">
        <f t="shared" si="32"/>
        <v>120</v>
      </c>
      <c r="AB40" s="16">
        <f t="shared" si="32"/>
        <v>240</v>
      </c>
      <c r="AC40" s="16">
        <f t="shared" si="32"/>
        <v>12679</v>
      </c>
      <c r="AD40" s="16">
        <f t="shared" si="32"/>
        <v>0</v>
      </c>
      <c r="AE40" s="32">
        <f t="shared" si="32"/>
        <v>13197</v>
      </c>
      <c r="AF40" s="32">
        <f t="shared" si="32"/>
        <v>25876</v>
      </c>
    </row>
    <row r="41" spans="2:32" ht="23.1" customHeight="1" x14ac:dyDescent="0.25">
      <c r="B41" s="45" t="s">
        <v>68</v>
      </c>
      <c r="C41" s="50">
        <v>109</v>
      </c>
      <c r="D41" s="50">
        <v>40</v>
      </c>
      <c r="E41" s="50">
        <v>47</v>
      </c>
      <c r="F41" s="50">
        <v>30</v>
      </c>
      <c r="G41" s="50">
        <v>5</v>
      </c>
      <c r="H41" s="50">
        <v>0</v>
      </c>
      <c r="I41" s="50">
        <v>4</v>
      </c>
      <c r="J41" s="50">
        <v>5</v>
      </c>
      <c r="K41" s="50">
        <v>1</v>
      </c>
      <c r="L41" s="50">
        <v>6</v>
      </c>
      <c r="M41" s="50">
        <v>210</v>
      </c>
      <c r="N41" s="50">
        <v>0</v>
      </c>
      <c r="O41" s="15">
        <f t="shared" si="0"/>
        <v>247</v>
      </c>
      <c r="P41" s="15">
        <f t="shared" si="1"/>
        <v>457</v>
      </c>
      <c r="R41" s="5" t="s">
        <v>159</v>
      </c>
      <c r="S41" s="16">
        <f>SUM(S10:S33)</f>
        <v>6568</v>
      </c>
      <c r="T41" s="16">
        <f t="shared" ref="T41:AF41" si="33">SUM(T10:T33)</f>
        <v>2450</v>
      </c>
      <c r="U41" s="16">
        <f t="shared" si="33"/>
        <v>2298</v>
      </c>
      <c r="V41" s="16">
        <f t="shared" si="33"/>
        <v>4095</v>
      </c>
      <c r="W41" s="16">
        <f t="shared" si="33"/>
        <v>312</v>
      </c>
      <c r="X41" s="16">
        <f t="shared" si="33"/>
        <v>115</v>
      </c>
      <c r="Y41" s="16">
        <f t="shared" si="33"/>
        <v>456</v>
      </c>
      <c r="Z41" s="16">
        <f t="shared" si="33"/>
        <v>240</v>
      </c>
      <c r="AA41" s="16">
        <f t="shared" si="33"/>
        <v>181</v>
      </c>
      <c r="AB41" s="16">
        <f t="shared" si="33"/>
        <v>304</v>
      </c>
      <c r="AC41" s="16">
        <f t="shared" si="33"/>
        <v>16299</v>
      </c>
      <c r="AD41" s="16">
        <f t="shared" si="33"/>
        <v>0</v>
      </c>
      <c r="AE41" s="32">
        <f t="shared" si="33"/>
        <v>17019</v>
      </c>
      <c r="AF41" s="32">
        <f t="shared" si="33"/>
        <v>33318</v>
      </c>
    </row>
    <row r="42" spans="2:32" ht="23.1" customHeight="1" x14ac:dyDescent="0.25">
      <c r="B42" s="46" t="s">
        <v>69</v>
      </c>
      <c r="C42" s="50">
        <v>118</v>
      </c>
      <c r="D42" s="50">
        <v>71</v>
      </c>
      <c r="E42" s="50">
        <v>62</v>
      </c>
      <c r="F42" s="50">
        <v>51</v>
      </c>
      <c r="G42" s="50">
        <v>2</v>
      </c>
      <c r="H42" s="50">
        <v>0</v>
      </c>
      <c r="I42" s="50">
        <v>4</v>
      </c>
      <c r="J42" s="50">
        <v>0</v>
      </c>
      <c r="K42" s="50">
        <v>2</v>
      </c>
      <c r="L42" s="50">
        <v>6</v>
      </c>
      <c r="M42" s="50">
        <v>184</v>
      </c>
      <c r="N42" s="50">
        <v>0</v>
      </c>
      <c r="O42" s="15">
        <f t="shared" si="0"/>
        <v>316</v>
      </c>
      <c r="P42" s="15">
        <f t="shared" si="1"/>
        <v>500</v>
      </c>
      <c r="R42" s="5" t="s">
        <v>160</v>
      </c>
      <c r="S42" s="48">
        <f>S41/S40</f>
        <v>1.3390417940876655</v>
      </c>
      <c r="T42" s="48">
        <f t="shared" ref="T42:AF42" si="34">T41/T40</f>
        <v>1.0551248923341947</v>
      </c>
      <c r="U42" s="48">
        <f t="shared" si="34"/>
        <v>1.0768509840674789</v>
      </c>
      <c r="V42" s="48">
        <f t="shared" si="34"/>
        <v>1.5022010271460016</v>
      </c>
      <c r="W42" s="48">
        <f t="shared" si="34"/>
        <v>1.263157894736842</v>
      </c>
      <c r="X42" s="48">
        <f t="shared" si="34"/>
        <v>1.4197530864197532</v>
      </c>
      <c r="Y42" s="48">
        <f t="shared" si="34"/>
        <v>1.4901960784313726</v>
      </c>
      <c r="Z42" s="48">
        <f t="shared" si="34"/>
        <v>2.0689655172413794</v>
      </c>
      <c r="AA42" s="48">
        <f t="shared" si="34"/>
        <v>1.5083333333333333</v>
      </c>
      <c r="AB42" s="48">
        <f t="shared" si="34"/>
        <v>1.2666666666666666</v>
      </c>
      <c r="AC42" s="48">
        <f t="shared" si="34"/>
        <v>1.285511475668428</v>
      </c>
      <c r="AD42" s="48" t="e">
        <f t="shared" si="34"/>
        <v>#DIV/0!</v>
      </c>
      <c r="AE42" s="48">
        <f t="shared" si="34"/>
        <v>1.2896112752898385</v>
      </c>
      <c r="AF42" s="48">
        <f t="shared" si="34"/>
        <v>1.2876024115010047</v>
      </c>
    </row>
    <row r="43" spans="2:32" ht="23.1" customHeight="1" x14ac:dyDescent="0.25">
      <c r="B43" s="45" t="s">
        <v>70</v>
      </c>
      <c r="C43" s="50">
        <v>95</v>
      </c>
      <c r="D43" s="50">
        <v>52</v>
      </c>
      <c r="E43" s="50">
        <v>45</v>
      </c>
      <c r="F43" s="50">
        <v>66</v>
      </c>
      <c r="G43" s="50">
        <v>2</v>
      </c>
      <c r="H43" s="50">
        <v>1</v>
      </c>
      <c r="I43" s="50">
        <v>10</v>
      </c>
      <c r="J43" s="50">
        <v>1</v>
      </c>
      <c r="K43" s="50">
        <v>2</v>
      </c>
      <c r="L43" s="50">
        <v>1</v>
      </c>
      <c r="M43" s="50">
        <v>280</v>
      </c>
      <c r="N43" s="50">
        <v>0</v>
      </c>
      <c r="O43" s="15">
        <f t="shared" si="0"/>
        <v>275</v>
      </c>
      <c r="P43" s="15">
        <f t="shared" si="1"/>
        <v>555</v>
      </c>
    </row>
    <row r="44" spans="2:32" ht="23.1" customHeight="1" x14ac:dyDescent="0.25">
      <c r="B44" s="47" t="s">
        <v>71</v>
      </c>
      <c r="C44" s="50">
        <v>92</v>
      </c>
      <c r="D44" s="50">
        <v>42</v>
      </c>
      <c r="E44" s="50">
        <v>63</v>
      </c>
      <c r="F44" s="50">
        <v>60</v>
      </c>
      <c r="G44" s="50">
        <v>4</v>
      </c>
      <c r="H44" s="50">
        <v>0</v>
      </c>
      <c r="I44" s="50">
        <v>9</v>
      </c>
      <c r="J44" s="50">
        <v>5</v>
      </c>
      <c r="K44" s="50">
        <v>5</v>
      </c>
      <c r="L44" s="50">
        <v>7</v>
      </c>
      <c r="M44" s="50">
        <v>300</v>
      </c>
      <c r="N44" s="50">
        <v>0</v>
      </c>
      <c r="O44" s="15">
        <f t="shared" si="0"/>
        <v>287</v>
      </c>
      <c r="P44" s="15">
        <f t="shared" si="1"/>
        <v>587</v>
      </c>
    </row>
    <row r="45" spans="2:32" ht="23.1" customHeight="1" x14ac:dyDescent="0.25">
      <c r="B45" s="45" t="s">
        <v>72</v>
      </c>
      <c r="C45" s="50">
        <v>121</v>
      </c>
      <c r="D45" s="50">
        <v>65</v>
      </c>
      <c r="E45" s="50">
        <v>56</v>
      </c>
      <c r="F45" s="50">
        <v>57</v>
      </c>
      <c r="G45" s="50">
        <v>1</v>
      </c>
      <c r="H45" s="50">
        <v>0</v>
      </c>
      <c r="I45" s="50">
        <v>7</v>
      </c>
      <c r="J45" s="50">
        <v>3</v>
      </c>
      <c r="K45" s="50">
        <v>0</v>
      </c>
      <c r="L45" s="50">
        <v>3</v>
      </c>
      <c r="M45" s="50">
        <v>340</v>
      </c>
      <c r="N45" s="50">
        <v>0</v>
      </c>
      <c r="O45" s="15">
        <f t="shared" si="0"/>
        <v>313</v>
      </c>
      <c r="P45" s="15">
        <f t="shared" si="1"/>
        <v>653</v>
      </c>
    </row>
    <row r="46" spans="2:32" ht="23.1" customHeight="1" x14ac:dyDescent="0.25">
      <c r="B46" s="46" t="s">
        <v>73</v>
      </c>
      <c r="C46" s="50">
        <v>105</v>
      </c>
      <c r="D46" s="50">
        <v>40</v>
      </c>
      <c r="E46" s="50">
        <v>58</v>
      </c>
      <c r="F46" s="50">
        <v>53</v>
      </c>
      <c r="G46" s="50">
        <v>6</v>
      </c>
      <c r="H46" s="50">
        <v>1</v>
      </c>
      <c r="I46" s="50">
        <v>11</v>
      </c>
      <c r="J46" s="50">
        <v>1</v>
      </c>
      <c r="K46" s="50">
        <v>0</v>
      </c>
      <c r="L46" s="50">
        <v>0</v>
      </c>
      <c r="M46" s="50">
        <v>287</v>
      </c>
      <c r="N46" s="50">
        <v>0</v>
      </c>
      <c r="O46" s="15">
        <f t="shared" si="0"/>
        <v>275</v>
      </c>
      <c r="P46" s="15">
        <f t="shared" si="1"/>
        <v>562</v>
      </c>
      <c r="R46" s="8"/>
      <c r="T46"/>
    </row>
    <row r="47" spans="2:32" ht="23.1" customHeight="1" x14ac:dyDescent="0.25">
      <c r="B47" s="46" t="s">
        <v>74</v>
      </c>
      <c r="C47" s="50">
        <v>93</v>
      </c>
      <c r="D47" s="50">
        <v>60</v>
      </c>
      <c r="E47" s="50">
        <v>45</v>
      </c>
      <c r="F47" s="50">
        <v>35</v>
      </c>
      <c r="G47" s="50">
        <v>1</v>
      </c>
      <c r="H47" s="50">
        <v>0</v>
      </c>
      <c r="I47" s="50">
        <v>3</v>
      </c>
      <c r="J47" s="50">
        <v>0</v>
      </c>
      <c r="K47" s="50">
        <v>0</v>
      </c>
      <c r="L47" s="50">
        <v>4</v>
      </c>
      <c r="M47" s="50">
        <v>250</v>
      </c>
      <c r="N47" s="50">
        <v>0</v>
      </c>
      <c r="O47" s="15">
        <f t="shared" si="0"/>
        <v>241</v>
      </c>
      <c r="P47" s="15">
        <f t="shared" si="1"/>
        <v>491</v>
      </c>
      <c r="R47" s="8"/>
      <c r="T47"/>
    </row>
    <row r="48" spans="2:32" ht="23.1" customHeight="1" x14ac:dyDescent="0.25">
      <c r="B48" s="46" t="s">
        <v>75</v>
      </c>
      <c r="C48" s="50">
        <v>118</v>
      </c>
      <c r="D48" s="50">
        <v>45</v>
      </c>
      <c r="E48" s="50">
        <v>60</v>
      </c>
      <c r="F48" s="50">
        <v>53</v>
      </c>
      <c r="G48" s="50">
        <v>5</v>
      </c>
      <c r="H48" s="50">
        <v>1</v>
      </c>
      <c r="I48" s="50">
        <v>3</v>
      </c>
      <c r="J48" s="50">
        <v>4</v>
      </c>
      <c r="K48" s="50">
        <v>1</v>
      </c>
      <c r="L48" s="50">
        <v>1</v>
      </c>
      <c r="M48" s="50">
        <v>147</v>
      </c>
      <c r="N48" s="50">
        <v>0</v>
      </c>
      <c r="O48" s="15">
        <f t="shared" si="0"/>
        <v>291</v>
      </c>
      <c r="P48" s="15">
        <f t="shared" si="1"/>
        <v>438</v>
      </c>
      <c r="R48" s="8"/>
      <c r="T48"/>
    </row>
    <row r="49" spans="2:20" ht="23.1" customHeight="1" x14ac:dyDescent="0.25">
      <c r="B49" s="45" t="s">
        <v>76</v>
      </c>
      <c r="C49" s="50">
        <v>63</v>
      </c>
      <c r="D49" s="50">
        <v>20</v>
      </c>
      <c r="E49" s="50">
        <v>35</v>
      </c>
      <c r="F49" s="50">
        <v>35</v>
      </c>
      <c r="G49" s="50">
        <v>3</v>
      </c>
      <c r="H49" s="50">
        <v>2</v>
      </c>
      <c r="I49" s="50">
        <v>2</v>
      </c>
      <c r="J49" s="50">
        <v>1</v>
      </c>
      <c r="K49" s="50">
        <v>2</v>
      </c>
      <c r="L49" s="50">
        <v>3</v>
      </c>
      <c r="M49" s="50">
        <v>335</v>
      </c>
      <c r="N49" s="50">
        <v>0</v>
      </c>
      <c r="O49" s="15">
        <f t="shared" si="0"/>
        <v>166</v>
      </c>
      <c r="P49" s="15">
        <f t="shared" si="1"/>
        <v>501</v>
      </c>
      <c r="R49" s="8"/>
      <c r="T49"/>
    </row>
    <row r="50" spans="2:20" ht="23.1" customHeight="1" x14ac:dyDescent="0.25">
      <c r="B50" s="46" t="s">
        <v>77</v>
      </c>
      <c r="C50" s="50">
        <v>100</v>
      </c>
      <c r="D50" s="50">
        <v>44</v>
      </c>
      <c r="E50" s="50">
        <v>42</v>
      </c>
      <c r="F50" s="50">
        <v>36</v>
      </c>
      <c r="G50" s="50">
        <v>3</v>
      </c>
      <c r="H50" s="50">
        <v>1</v>
      </c>
      <c r="I50" s="50">
        <v>3</v>
      </c>
      <c r="J50" s="50">
        <v>2</v>
      </c>
      <c r="K50" s="50">
        <v>1</v>
      </c>
      <c r="L50" s="50">
        <v>3</v>
      </c>
      <c r="M50" s="50">
        <v>320</v>
      </c>
      <c r="N50" s="50">
        <v>0</v>
      </c>
      <c r="O50" s="15">
        <f t="shared" si="0"/>
        <v>235</v>
      </c>
      <c r="P50" s="15">
        <f t="shared" si="1"/>
        <v>555</v>
      </c>
      <c r="R50" s="8"/>
      <c r="T50"/>
    </row>
    <row r="51" spans="2:20" ht="23.1" customHeight="1" x14ac:dyDescent="0.25">
      <c r="B51" s="46" t="s">
        <v>78</v>
      </c>
      <c r="C51" s="50">
        <v>78</v>
      </c>
      <c r="D51" s="50">
        <v>32</v>
      </c>
      <c r="E51" s="50">
        <v>21</v>
      </c>
      <c r="F51" s="50">
        <v>44</v>
      </c>
      <c r="G51" s="50">
        <v>4</v>
      </c>
      <c r="H51" s="50">
        <v>1</v>
      </c>
      <c r="I51" s="50">
        <v>7</v>
      </c>
      <c r="J51" s="50">
        <v>0</v>
      </c>
      <c r="K51" s="50">
        <v>0</v>
      </c>
      <c r="L51" s="50">
        <v>5</v>
      </c>
      <c r="M51" s="50">
        <v>310</v>
      </c>
      <c r="N51" s="50">
        <v>0</v>
      </c>
      <c r="O51" s="15">
        <f t="shared" si="0"/>
        <v>192</v>
      </c>
      <c r="P51" s="15">
        <f t="shared" si="1"/>
        <v>502</v>
      </c>
      <c r="R51" s="8"/>
      <c r="T51"/>
    </row>
    <row r="52" spans="2:20" ht="23.1" customHeight="1" x14ac:dyDescent="0.25">
      <c r="B52" s="46" t="s">
        <v>79</v>
      </c>
      <c r="C52" s="50">
        <v>91</v>
      </c>
      <c r="D52" s="50">
        <v>42</v>
      </c>
      <c r="E52" s="50">
        <v>30</v>
      </c>
      <c r="F52" s="50">
        <v>35</v>
      </c>
      <c r="G52" s="50">
        <v>2</v>
      </c>
      <c r="H52" s="50">
        <v>0</v>
      </c>
      <c r="I52" s="50">
        <v>4</v>
      </c>
      <c r="J52" s="50">
        <v>3</v>
      </c>
      <c r="K52" s="50">
        <v>0</v>
      </c>
      <c r="L52" s="50">
        <v>6</v>
      </c>
      <c r="M52" s="50">
        <v>277</v>
      </c>
      <c r="N52" s="50">
        <v>0</v>
      </c>
      <c r="O52" s="15">
        <f t="shared" si="0"/>
        <v>213</v>
      </c>
      <c r="P52" s="15">
        <f t="shared" si="1"/>
        <v>490</v>
      </c>
      <c r="R52" s="8"/>
      <c r="T52"/>
    </row>
    <row r="53" spans="2:20" ht="23.1" customHeight="1" x14ac:dyDescent="0.25">
      <c r="B53" s="45" t="s">
        <v>80</v>
      </c>
      <c r="C53" s="50">
        <v>68</v>
      </c>
      <c r="D53" s="50">
        <v>22</v>
      </c>
      <c r="E53" s="50">
        <v>17</v>
      </c>
      <c r="F53" s="50">
        <v>62</v>
      </c>
      <c r="G53" s="50">
        <v>3</v>
      </c>
      <c r="H53" s="50">
        <v>0</v>
      </c>
      <c r="I53" s="50">
        <v>6</v>
      </c>
      <c r="J53" s="50">
        <v>0</v>
      </c>
      <c r="K53" s="50">
        <v>2</v>
      </c>
      <c r="L53" s="50">
        <v>4</v>
      </c>
      <c r="M53" s="50">
        <v>310</v>
      </c>
      <c r="N53" s="50">
        <v>0</v>
      </c>
      <c r="O53" s="15">
        <f t="shared" si="0"/>
        <v>184</v>
      </c>
      <c r="P53" s="15">
        <f t="shared" si="1"/>
        <v>494</v>
      </c>
      <c r="R53" s="8"/>
      <c r="T53"/>
    </row>
    <row r="54" spans="2:20" ht="23.1" customHeight="1" x14ac:dyDescent="0.25">
      <c r="B54" s="45" t="s">
        <v>81</v>
      </c>
      <c r="C54" s="50">
        <v>93</v>
      </c>
      <c r="D54" s="50">
        <v>31</v>
      </c>
      <c r="E54" s="50">
        <v>35</v>
      </c>
      <c r="F54" s="50">
        <v>64</v>
      </c>
      <c r="G54" s="50">
        <v>2</v>
      </c>
      <c r="H54" s="50">
        <v>1</v>
      </c>
      <c r="I54" s="50">
        <v>11</v>
      </c>
      <c r="J54" s="50">
        <v>0</v>
      </c>
      <c r="K54" s="50">
        <v>2</v>
      </c>
      <c r="L54" s="50">
        <v>3</v>
      </c>
      <c r="M54" s="50">
        <v>275</v>
      </c>
      <c r="N54" s="50">
        <v>0</v>
      </c>
      <c r="O54" s="15">
        <f t="shared" si="0"/>
        <v>242</v>
      </c>
      <c r="P54" s="15">
        <f t="shared" si="1"/>
        <v>517</v>
      </c>
      <c r="R54" s="8"/>
      <c r="T54"/>
    </row>
    <row r="55" spans="2:20" ht="23.1" customHeight="1" x14ac:dyDescent="0.25">
      <c r="B55" s="45" t="s">
        <v>82</v>
      </c>
      <c r="C55" s="50">
        <v>70</v>
      </c>
      <c r="D55" s="50">
        <v>12</v>
      </c>
      <c r="E55" s="50">
        <v>18</v>
      </c>
      <c r="F55" s="50">
        <v>66</v>
      </c>
      <c r="G55" s="50">
        <v>5</v>
      </c>
      <c r="H55" s="50">
        <v>1</v>
      </c>
      <c r="I55" s="50">
        <v>5</v>
      </c>
      <c r="J55" s="50">
        <v>0</v>
      </c>
      <c r="K55" s="50">
        <v>1</v>
      </c>
      <c r="L55" s="50">
        <v>3</v>
      </c>
      <c r="M55" s="50">
        <v>240</v>
      </c>
      <c r="N55" s="50">
        <v>0</v>
      </c>
      <c r="O55" s="15">
        <f t="shared" si="0"/>
        <v>181</v>
      </c>
      <c r="P55" s="15">
        <f t="shared" si="1"/>
        <v>421</v>
      </c>
      <c r="R55" s="8"/>
      <c r="T55"/>
    </row>
    <row r="56" spans="2:20" ht="23.1" customHeight="1" x14ac:dyDescent="0.25">
      <c r="B56" s="45" t="s">
        <v>83</v>
      </c>
      <c r="C56" s="50">
        <v>35</v>
      </c>
      <c r="D56" s="50">
        <v>18</v>
      </c>
      <c r="E56" s="50">
        <v>23</v>
      </c>
      <c r="F56" s="50">
        <v>76</v>
      </c>
      <c r="G56" s="50">
        <v>5</v>
      </c>
      <c r="H56" s="50">
        <v>0</v>
      </c>
      <c r="I56" s="50">
        <v>8</v>
      </c>
      <c r="J56" s="50">
        <v>2</v>
      </c>
      <c r="K56" s="50">
        <v>0</v>
      </c>
      <c r="L56" s="50">
        <v>5</v>
      </c>
      <c r="M56" s="50">
        <v>262</v>
      </c>
      <c r="N56" s="50">
        <v>0</v>
      </c>
      <c r="O56" s="15">
        <f t="shared" si="0"/>
        <v>172</v>
      </c>
      <c r="P56" s="15">
        <f t="shared" si="1"/>
        <v>434</v>
      </c>
      <c r="R56" s="8"/>
      <c r="T56"/>
    </row>
    <row r="57" spans="2:20" ht="23.1" customHeight="1" x14ac:dyDescent="0.25">
      <c r="B57" s="45" t="s">
        <v>84</v>
      </c>
      <c r="C57" s="50">
        <v>68</v>
      </c>
      <c r="D57" s="50">
        <v>17</v>
      </c>
      <c r="E57" s="50">
        <v>6</v>
      </c>
      <c r="F57" s="50">
        <v>74</v>
      </c>
      <c r="G57" s="50">
        <v>7</v>
      </c>
      <c r="H57" s="50">
        <v>0</v>
      </c>
      <c r="I57" s="50">
        <v>8</v>
      </c>
      <c r="J57" s="50">
        <v>0</v>
      </c>
      <c r="K57" s="50">
        <v>1</v>
      </c>
      <c r="L57" s="50">
        <v>2</v>
      </c>
      <c r="M57" s="50">
        <v>319</v>
      </c>
      <c r="N57" s="50">
        <v>0</v>
      </c>
      <c r="O57" s="15">
        <f t="shared" si="0"/>
        <v>183</v>
      </c>
      <c r="P57" s="15">
        <f t="shared" si="1"/>
        <v>502</v>
      </c>
      <c r="R57" s="8"/>
      <c r="T57"/>
    </row>
    <row r="58" spans="2:20" ht="23.1" customHeight="1" x14ac:dyDescent="0.25">
      <c r="B58" s="45" t="s">
        <v>99</v>
      </c>
      <c r="C58" s="50">
        <v>50</v>
      </c>
      <c r="D58" s="50">
        <v>5</v>
      </c>
      <c r="E58" s="50">
        <v>3</v>
      </c>
      <c r="F58" s="50">
        <v>86</v>
      </c>
      <c r="G58" s="50">
        <v>3</v>
      </c>
      <c r="H58" s="50">
        <v>1</v>
      </c>
      <c r="I58" s="50">
        <v>14</v>
      </c>
      <c r="J58" s="50">
        <v>9</v>
      </c>
      <c r="K58" s="50">
        <v>4</v>
      </c>
      <c r="L58" s="50">
        <v>1</v>
      </c>
      <c r="M58" s="50">
        <v>210</v>
      </c>
      <c r="N58" s="50">
        <v>0</v>
      </c>
      <c r="O58" s="15">
        <f t="shared" si="0"/>
        <v>176</v>
      </c>
      <c r="P58" s="15">
        <f t="shared" si="1"/>
        <v>386</v>
      </c>
      <c r="R58" s="8"/>
      <c r="T58"/>
    </row>
    <row r="59" spans="2:20" ht="23.1" customHeight="1" x14ac:dyDescent="0.25">
      <c r="B59" s="45" t="s">
        <v>100</v>
      </c>
      <c r="C59" s="50">
        <v>45</v>
      </c>
      <c r="D59" s="50">
        <v>6</v>
      </c>
      <c r="E59" s="50">
        <v>4</v>
      </c>
      <c r="F59" s="50">
        <v>37</v>
      </c>
      <c r="G59" s="50">
        <v>0</v>
      </c>
      <c r="H59" s="50">
        <v>0</v>
      </c>
      <c r="I59" s="50">
        <v>4</v>
      </c>
      <c r="J59" s="50">
        <v>1</v>
      </c>
      <c r="K59" s="50">
        <v>0</v>
      </c>
      <c r="L59" s="50">
        <v>0</v>
      </c>
      <c r="M59" s="50">
        <v>195</v>
      </c>
      <c r="N59" s="50">
        <v>0</v>
      </c>
      <c r="O59" s="15">
        <f t="shared" si="0"/>
        <v>97</v>
      </c>
      <c r="P59" s="15">
        <f t="shared" si="1"/>
        <v>292</v>
      </c>
      <c r="R59" s="8"/>
      <c r="T59"/>
    </row>
    <row r="60" spans="2:20" ht="23.1" customHeight="1" x14ac:dyDescent="0.25">
      <c r="B60" s="45" t="s">
        <v>101</v>
      </c>
      <c r="C60" s="50">
        <v>35</v>
      </c>
      <c r="D60" s="50">
        <v>3</v>
      </c>
      <c r="E60" s="50">
        <v>5</v>
      </c>
      <c r="F60" s="50">
        <v>27</v>
      </c>
      <c r="G60" s="50">
        <v>1</v>
      </c>
      <c r="H60" s="50">
        <v>0</v>
      </c>
      <c r="I60" s="50">
        <v>6</v>
      </c>
      <c r="J60" s="50">
        <v>3</v>
      </c>
      <c r="K60" s="50">
        <v>3</v>
      </c>
      <c r="L60" s="50">
        <v>2</v>
      </c>
      <c r="M60" s="50">
        <v>175</v>
      </c>
      <c r="N60" s="50">
        <v>0</v>
      </c>
      <c r="O60" s="15">
        <f t="shared" si="0"/>
        <v>85</v>
      </c>
      <c r="P60" s="15">
        <f t="shared" si="1"/>
        <v>260</v>
      </c>
      <c r="R60" s="8"/>
      <c r="T60"/>
    </row>
    <row r="61" spans="2:20" ht="23.1" customHeight="1" x14ac:dyDescent="0.25">
      <c r="B61" s="45" t="s">
        <v>102</v>
      </c>
      <c r="C61" s="50">
        <v>46</v>
      </c>
      <c r="D61" s="50">
        <v>5</v>
      </c>
      <c r="E61" s="50">
        <v>12</v>
      </c>
      <c r="F61" s="50">
        <v>72</v>
      </c>
      <c r="G61" s="50">
        <v>6</v>
      </c>
      <c r="H61" s="50">
        <v>0</v>
      </c>
      <c r="I61" s="50">
        <v>2</v>
      </c>
      <c r="J61" s="50">
        <v>3</v>
      </c>
      <c r="K61" s="50">
        <v>6</v>
      </c>
      <c r="L61" s="50">
        <v>2</v>
      </c>
      <c r="M61" s="50">
        <v>150</v>
      </c>
      <c r="N61" s="50">
        <v>0</v>
      </c>
      <c r="O61" s="15">
        <f t="shared" si="0"/>
        <v>154</v>
      </c>
      <c r="P61" s="15">
        <f t="shared" si="1"/>
        <v>304</v>
      </c>
      <c r="R61" s="8"/>
      <c r="T61"/>
    </row>
    <row r="62" spans="2:20" ht="23.1" customHeight="1" x14ac:dyDescent="0.25">
      <c r="B62" s="45" t="s">
        <v>107</v>
      </c>
      <c r="C62" s="50">
        <v>51</v>
      </c>
      <c r="D62" s="50">
        <v>2</v>
      </c>
      <c r="E62" s="50">
        <v>6</v>
      </c>
      <c r="F62" s="50">
        <v>45</v>
      </c>
      <c r="G62" s="50">
        <v>8</v>
      </c>
      <c r="H62" s="50">
        <v>1</v>
      </c>
      <c r="I62" s="50">
        <v>15</v>
      </c>
      <c r="J62" s="50">
        <v>15</v>
      </c>
      <c r="K62" s="50">
        <v>20</v>
      </c>
      <c r="L62" s="50">
        <v>3</v>
      </c>
      <c r="M62" s="50">
        <v>200</v>
      </c>
      <c r="N62" s="50">
        <v>0</v>
      </c>
      <c r="O62" s="15">
        <f t="shared" si="0"/>
        <v>166</v>
      </c>
      <c r="P62" s="15">
        <f t="shared" si="1"/>
        <v>366</v>
      </c>
      <c r="R62" s="8"/>
      <c r="T62"/>
    </row>
    <row r="63" spans="2:20" ht="23.1" customHeight="1" x14ac:dyDescent="0.25">
      <c r="B63" s="45" t="s">
        <v>108</v>
      </c>
      <c r="C63" s="50">
        <v>53</v>
      </c>
      <c r="D63" s="50">
        <v>5</v>
      </c>
      <c r="E63" s="50">
        <v>5</v>
      </c>
      <c r="F63" s="50">
        <v>63</v>
      </c>
      <c r="G63" s="50">
        <v>3</v>
      </c>
      <c r="H63" s="50">
        <v>2</v>
      </c>
      <c r="I63" s="50">
        <v>1</v>
      </c>
      <c r="J63" s="50">
        <v>1</v>
      </c>
      <c r="K63" s="50">
        <v>7</v>
      </c>
      <c r="L63" s="50">
        <v>0</v>
      </c>
      <c r="M63" s="50">
        <v>185</v>
      </c>
      <c r="N63" s="50">
        <v>0</v>
      </c>
      <c r="O63" s="15">
        <f t="shared" si="0"/>
        <v>140</v>
      </c>
      <c r="P63" s="15">
        <f t="shared" si="1"/>
        <v>325</v>
      </c>
      <c r="R63" s="8"/>
      <c r="T63"/>
    </row>
    <row r="64" spans="2:20" ht="23.1" customHeight="1" x14ac:dyDescent="0.25">
      <c r="B64" s="45" t="s">
        <v>109</v>
      </c>
      <c r="C64" s="50">
        <v>67</v>
      </c>
      <c r="D64" s="50">
        <v>3</v>
      </c>
      <c r="E64" s="50">
        <v>8</v>
      </c>
      <c r="F64" s="50">
        <v>50</v>
      </c>
      <c r="G64" s="50">
        <v>1</v>
      </c>
      <c r="H64" s="50">
        <v>2</v>
      </c>
      <c r="I64" s="50">
        <v>3</v>
      </c>
      <c r="J64" s="50">
        <v>2</v>
      </c>
      <c r="K64" s="50">
        <v>2</v>
      </c>
      <c r="L64" s="50">
        <v>0</v>
      </c>
      <c r="M64" s="50">
        <v>165</v>
      </c>
      <c r="N64" s="50">
        <v>0</v>
      </c>
      <c r="O64" s="15">
        <f t="shared" si="0"/>
        <v>138</v>
      </c>
      <c r="P64" s="15">
        <f t="shared" si="1"/>
        <v>303</v>
      </c>
      <c r="R64" s="8"/>
      <c r="T64"/>
    </row>
    <row r="65" spans="2:20" ht="23.1" customHeight="1" x14ac:dyDescent="0.25">
      <c r="B65" s="45" t="s">
        <v>158</v>
      </c>
      <c r="C65" s="50">
        <v>40</v>
      </c>
      <c r="D65" s="50">
        <v>3</v>
      </c>
      <c r="E65" s="50">
        <v>4</v>
      </c>
      <c r="F65" s="50">
        <v>67</v>
      </c>
      <c r="G65" s="50">
        <v>2</v>
      </c>
      <c r="H65" s="50">
        <v>1</v>
      </c>
      <c r="I65" s="50">
        <v>1</v>
      </c>
      <c r="J65" s="50">
        <v>0</v>
      </c>
      <c r="K65" s="50">
        <v>0</v>
      </c>
      <c r="L65" s="50">
        <v>0</v>
      </c>
      <c r="M65" s="50">
        <v>135</v>
      </c>
      <c r="N65" s="50">
        <v>0</v>
      </c>
      <c r="O65" s="15">
        <f t="shared" si="0"/>
        <v>118</v>
      </c>
      <c r="P65" s="15">
        <f t="shared" si="1"/>
        <v>253</v>
      </c>
      <c r="R65" s="8"/>
      <c r="T65"/>
    </row>
    <row r="66" spans="2:20" ht="23.1" customHeight="1" x14ac:dyDescent="0.25">
      <c r="B66" s="45" t="s">
        <v>103</v>
      </c>
      <c r="C66" s="50">
        <v>33</v>
      </c>
      <c r="D66" s="50">
        <v>2</v>
      </c>
      <c r="E66" s="50">
        <v>1</v>
      </c>
      <c r="F66" s="50">
        <v>63</v>
      </c>
      <c r="G66" s="50">
        <v>1</v>
      </c>
      <c r="H66" s="50">
        <v>0</v>
      </c>
      <c r="I66" s="50">
        <v>4</v>
      </c>
      <c r="J66" s="50">
        <v>6</v>
      </c>
      <c r="K66" s="50">
        <v>5</v>
      </c>
      <c r="L66" s="50">
        <v>0</v>
      </c>
      <c r="M66" s="50">
        <v>170</v>
      </c>
      <c r="N66" s="50">
        <v>0</v>
      </c>
      <c r="O66" s="15">
        <f t="shared" si="0"/>
        <v>115</v>
      </c>
      <c r="P66" s="15">
        <f t="shared" si="1"/>
        <v>285</v>
      </c>
      <c r="R66" s="8"/>
      <c r="T66"/>
    </row>
    <row r="67" spans="2:20" ht="23.1" customHeight="1" x14ac:dyDescent="0.25">
      <c r="B67" s="45" t="s">
        <v>104</v>
      </c>
      <c r="C67" s="50">
        <v>27</v>
      </c>
      <c r="D67" s="50">
        <v>4</v>
      </c>
      <c r="E67" s="50">
        <v>5</v>
      </c>
      <c r="F67" s="50">
        <v>57</v>
      </c>
      <c r="G67" s="50">
        <v>4</v>
      </c>
      <c r="H67" s="50">
        <v>1</v>
      </c>
      <c r="I67" s="50">
        <v>2</v>
      </c>
      <c r="J67" s="50">
        <v>1</v>
      </c>
      <c r="K67" s="50">
        <v>0</v>
      </c>
      <c r="L67" s="50">
        <v>0</v>
      </c>
      <c r="M67" s="50">
        <v>190</v>
      </c>
      <c r="N67" s="50">
        <v>0</v>
      </c>
      <c r="O67" s="15">
        <f t="shared" si="0"/>
        <v>101</v>
      </c>
      <c r="P67" s="15">
        <f t="shared" si="1"/>
        <v>291</v>
      </c>
      <c r="R67" s="8"/>
      <c r="T67"/>
    </row>
    <row r="68" spans="2:20" ht="23.1" customHeight="1" x14ac:dyDescent="0.25">
      <c r="B68" s="45" t="s">
        <v>105</v>
      </c>
      <c r="C68" s="50">
        <v>48</v>
      </c>
      <c r="D68" s="50">
        <v>2</v>
      </c>
      <c r="E68" s="50">
        <v>6</v>
      </c>
      <c r="F68" s="50">
        <v>57</v>
      </c>
      <c r="G68" s="50">
        <v>1</v>
      </c>
      <c r="H68" s="50">
        <v>1</v>
      </c>
      <c r="I68" s="50">
        <v>1</v>
      </c>
      <c r="J68" s="50">
        <v>2</v>
      </c>
      <c r="K68" s="50">
        <v>0</v>
      </c>
      <c r="L68" s="50">
        <v>0</v>
      </c>
      <c r="M68" s="50">
        <v>250</v>
      </c>
      <c r="N68" s="50">
        <v>0</v>
      </c>
      <c r="O68" s="15">
        <f t="shared" si="0"/>
        <v>118</v>
      </c>
      <c r="P68" s="15">
        <f t="shared" si="1"/>
        <v>368</v>
      </c>
      <c r="R68" s="8"/>
      <c r="T68"/>
    </row>
    <row r="69" spans="2:20" ht="23.1" customHeight="1" x14ac:dyDescent="0.25">
      <c r="B69" s="45" t="s">
        <v>106</v>
      </c>
      <c r="C69" s="50">
        <v>39</v>
      </c>
      <c r="D69" s="50">
        <v>6</v>
      </c>
      <c r="E69" s="50">
        <v>2</v>
      </c>
      <c r="F69" s="50">
        <v>41</v>
      </c>
      <c r="G69" s="50">
        <v>0</v>
      </c>
      <c r="H69" s="50">
        <v>0</v>
      </c>
      <c r="I69" s="50">
        <v>1</v>
      </c>
      <c r="J69" s="50">
        <v>2</v>
      </c>
      <c r="K69" s="50">
        <v>2</v>
      </c>
      <c r="L69" s="50">
        <v>3</v>
      </c>
      <c r="M69" s="50">
        <v>30</v>
      </c>
      <c r="N69" s="50">
        <v>0</v>
      </c>
      <c r="O69" s="15">
        <f t="shared" si="0"/>
        <v>96</v>
      </c>
      <c r="P69" s="15">
        <f t="shared" si="1"/>
        <v>126</v>
      </c>
      <c r="R69" s="8"/>
      <c r="T69"/>
    </row>
    <row r="70" spans="2:20" ht="23.1" customHeight="1" x14ac:dyDescent="0.25">
      <c r="B70" s="45" t="s">
        <v>110</v>
      </c>
      <c r="C70" s="50">
        <v>57</v>
      </c>
      <c r="D70" s="50">
        <v>4</v>
      </c>
      <c r="E70" s="50">
        <v>3</v>
      </c>
      <c r="F70" s="50">
        <v>55</v>
      </c>
      <c r="G70" s="50">
        <v>1</v>
      </c>
      <c r="H70" s="50">
        <v>1</v>
      </c>
      <c r="I70" s="50">
        <v>1</v>
      </c>
      <c r="J70" s="50">
        <v>2</v>
      </c>
      <c r="K70" s="50">
        <v>2</v>
      </c>
      <c r="L70" s="50">
        <v>1</v>
      </c>
      <c r="M70" s="50">
        <v>120</v>
      </c>
      <c r="N70" s="50">
        <v>0</v>
      </c>
      <c r="O70" s="15">
        <f t="shared" si="0"/>
        <v>127</v>
      </c>
      <c r="P70" s="15">
        <f t="shared" si="1"/>
        <v>247</v>
      </c>
      <c r="R70" s="8"/>
      <c r="T70"/>
    </row>
    <row r="71" spans="2:20" ht="23.1" customHeight="1" x14ac:dyDescent="0.25">
      <c r="B71" s="45" t="s">
        <v>111</v>
      </c>
      <c r="C71" s="50">
        <v>59</v>
      </c>
      <c r="D71" s="50">
        <v>3</v>
      </c>
      <c r="E71" s="50">
        <v>5</v>
      </c>
      <c r="F71" s="50">
        <v>63</v>
      </c>
      <c r="G71" s="50">
        <v>1</v>
      </c>
      <c r="H71" s="50">
        <v>0</v>
      </c>
      <c r="I71" s="50">
        <v>4</v>
      </c>
      <c r="J71" s="50">
        <v>1</v>
      </c>
      <c r="K71" s="50">
        <v>4</v>
      </c>
      <c r="L71" s="50">
        <v>4</v>
      </c>
      <c r="M71" s="50">
        <v>90</v>
      </c>
      <c r="N71" s="50">
        <v>0</v>
      </c>
      <c r="O71" s="15">
        <f t="shared" si="0"/>
        <v>144</v>
      </c>
      <c r="P71" s="15">
        <f t="shared" si="1"/>
        <v>234</v>
      </c>
      <c r="R71" s="8"/>
      <c r="T71"/>
    </row>
    <row r="72" spans="2:20" ht="23.1" customHeight="1" x14ac:dyDescent="0.25">
      <c r="B72" s="45" t="s">
        <v>112</v>
      </c>
      <c r="C72" s="50">
        <v>31</v>
      </c>
      <c r="D72" s="50">
        <v>3</v>
      </c>
      <c r="E72" s="50">
        <v>4</v>
      </c>
      <c r="F72" s="50">
        <v>15</v>
      </c>
      <c r="G72" s="50">
        <v>0</v>
      </c>
      <c r="H72" s="50">
        <v>0</v>
      </c>
      <c r="I72" s="50">
        <v>3</v>
      </c>
      <c r="J72" s="50">
        <v>0</v>
      </c>
      <c r="K72" s="50">
        <v>0</v>
      </c>
      <c r="L72" s="50">
        <v>1</v>
      </c>
      <c r="M72" s="50">
        <v>55</v>
      </c>
      <c r="N72" s="50">
        <v>0</v>
      </c>
      <c r="O72" s="15">
        <f t="shared" si="0"/>
        <v>57</v>
      </c>
      <c r="P72" s="15">
        <f t="shared" si="1"/>
        <v>112</v>
      </c>
      <c r="R72" s="8"/>
      <c r="T72"/>
    </row>
    <row r="73" spans="2:20" ht="23.1" customHeight="1" x14ac:dyDescent="0.25">
      <c r="B73" s="45" t="s">
        <v>113</v>
      </c>
      <c r="C73" s="50">
        <v>43</v>
      </c>
      <c r="D73" s="50">
        <v>3</v>
      </c>
      <c r="E73" s="50">
        <v>3</v>
      </c>
      <c r="F73" s="50">
        <v>22</v>
      </c>
      <c r="G73" s="50">
        <v>2</v>
      </c>
      <c r="H73" s="50">
        <v>1</v>
      </c>
      <c r="I73" s="50">
        <v>5</v>
      </c>
      <c r="J73" s="50">
        <v>1</v>
      </c>
      <c r="K73" s="50">
        <v>1</v>
      </c>
      <c r="L73" s="50">
        <v>2</v>
      </c>
      <c r="M73" s="50">
        <v>60</v>
      </c>
      <c r="N73" s="50">
        <v>0</v>
      </c>
      <c r="O73" s="15">
        <f t="shared" si="0"/>
        <v>83</v>
      </c>
      <c r="P73" s="15">
        <f t="shared" si="1"/>
        <v>143</v>
      </c>
      <c r="R73" s="8"/>
      <c r="T73"/>
    </row>
    <row r="74" spans="2:20" ht="23.1" customHeight="1" x14ac:dyDescent="0.25">
      <c r="B74" s="45" t="s">
        <v>114</v>
      </c>
      <c r="C74" s="50">
        <v>46</v>
      </c>
      <c r="D74" s="50">
        <v>4</v>
      </c>
      <c r="E74" s="50">
        <v>3</v>
      </c>
      <c r="F74" s="50">
        <v>43</v>
      </c>
      <c r="G74" s="50">
        <v>2</v>
      </c>
      <c r="H74" s="50">
        <v>1</v>
      </c>
      <c r="I74" s="50">
        <v>1</v>
      </c>
      <c r="J74" s="50">
        <v>2</v>
      </c>
      <c r="K74" s="50">
        <v>1</v>
      </c>
      <c r="L74" s="50">
        <v>2</v>
      </c>
      <c r="M74" s="50">
        <v>80</v>
      </c>
      <c r="N74" s="50">
        <v>0</v>
      </c>
      <c r="O74" s="15">
        <f t="shared" ref="O74:O105" si="35">SUM(C74:L74,N74)</f>
        <v>105</v>
      </c>
      <c r="P74" s="15">
        <f t="shared" ref="P74:P105" si="36">SUM(C74:N74)</f>
        <v>185</v>
      </c>
      <c r="R74" s="8"/>
      <c r="T74"/>
    </row>
    <row r="75" spans="2:20" ht="23.1" customHeight="1" x14ac:dyDescent="0.25">
      <c r="B75" s="45" t="s">
        <v>115</v>
      </c>
      <c r="C75" s="50">
        <v>65</v>
      </c>
      <c r="D75" s="50">
        <v>3</v>
      </c>
      <c r="E75" s="50">
        <v>6</v>
      </c>
      <c r="F75" s="50">
        <v>25</v>
      </c>
      <c r="G75" s="50">
        <v>1</v>
      </c>
      <c r="H75" s="50">
        <v>2</v>
      </c>
      <c r="I75" s="50">
        <v>3</v>
      </c>
      <c r="J75" s="50">
        <v>2</v>
      </c>
      <c r="K75" s="50"/>
      <c r="L75" s="50">
        <v>3</v>
      </c>
      <c r="M75" s="50">
        <v>75</v>
      </c>
      <c r="N75" s="50">
        <v>0</v>
      </c>
      <c r="O75" s="15">
        <f t="shared" si="35"/>
        <v>110</v>
      </c>
      <c r="P75" s="15">
        <f t="shared" si="36"/>
        <v>185</v>
      </c>
      <c r="R75" s="8"/>
      <c r="T75"/>
    </row>
    <row r="76" spans="2:20" ht="23.1" customHeight="1" x14ac:dyDescent="0.25">
      <c r="B76" s="45" t="s">
        <v>116</v>
      </c>
      <c r="C76" s="50">
        <v>62</v>
      </c>
      <c r="D76" s="50">
        <v>2</v>
      </c>
      <c r="E76" s="50">
        <v>5</v>
      </c>
      <c r="F76" s="50">
        <v>41</v>
      </c>
      <c r="G76" s="50">
        <v>1</v>
      </c>
      <c r="H76" s="50">
        <v>1</v>
      </c>
      <c r="I76" s="50">
        <v>1</v>
      </c>
      <c r="J76" s="50">
        <v>5</v>
      </c>
      <c r="K76" s="50">
        <v>0</v>
      </c>
      <c r="L76" s="50">
        <v>1</v>
      </c>
      <c r="M76" s="50">
        <v>95</v>
      </c>
      <c r="N76" s="50">
        <v>0</v>
      </c>
      <c r="O76" s="15">
        <f t="shared" si="35"/>
        <v>119</v>
      </c>
      <c r="P76" s="15">
        <f t="shared" si="36"/>
        <v>214</v>
      </c>
      <c r="R76" s="8"/>
      <c r="T76"/>
    </row>
    <row r="77" spans="2:20" ht="23.1" customHeight="1" x14ac:dyDescent="0.25">
      <c r="B77" s="45" t="s">
        <v>117</v>
      </c>
      <c r="C77" s="50">
        <v>52</v>
      </c>
      <c r="D77" s="50">
        <v>1</v>
      </c>
      <c r="E77" s="50">
        <v>5</v>
      </c>
      <c r="F77" s="50">
        <v>43</v>
      </c>
      <c r="G77" s="50">
        <v>2</v>
      </c>
      <c r="H77" s="50">
        <v>1</v>
      </c>
      <c r="I77" s="50">
        <v>1</v>
      </c>
      <c r="J77" s="50">
        <v>2</v>
      </c>
      <c r="K77" s="50">
        <v>1</v>
      </c>
      <c r="L77" s="50">
        <v>2</v>
      </c>
      <c r="M77" s="50">
        <v>70</v>
      </c>
      <c r="N77" s="50">
        <v>0</v>
      </c>
      <c r="O77" s="15">
        <f t="shared" si="35"/>
        <v>110</v>
      </c>
      <c r="P77" s="15">
        <f t="shared" si="36"/>
        <v>180</v>
      </c>
      <c r="R77" s="8"/>
      <c r="T77"/>
    </row>
    <row r="78" spans="2:20" ht="23.1" customHeight="1" x14ac:dyDescent="0.25">
      <c r="B78" s="46" t="s">
        <v>118</v>
      </c>
      <c r="C78" s="50">
        <v>68</v>
      </c>
      <c r="D78" s="50">
        <v>2</v>
      </c>
      <c r="E78" s="50">
        <v>1</v>
      </c>
      <c r="F78" s="50">
        <v>32</v>
      </c>
      <c r="G78" s="50">
        <v>2</v>
      </c>
      <c r="H78" s="50">
        <v>0</v>
      </c>
      <c r="I78" s="50">
        <v>1</v>
      </c>
      <c r="J78" s="50">
        <v>3</v>
      </c>
      <c r="K78" s="50">
        <v>0</v>
      </c>
      <c r="L78" s="50">
        <v>1</v>
      </c>
      <c r="M78" s="50">
        <v>42</v>
      </c>
      <c r="N78" s="50">
        <v>0</v>
      </c>
      <c r="O78" s="15">
        <f t="shared" si="35"/>
        <v>110</v>
      </c>
      <c r="P78" s="15">
        <f t="shared" si="36"/>
        <v>152</v>
      </c>
      <c r="R78" s="8"/>
      <c r="T78"/>
    </row>
    <row r="79" spans="2:20" ht="23.1" customHeight="1" x14ac:dyDescent="0.25">
      <c r="B79" s="45" t="s">
        <v>119</v>
      </c>
      <c r="C79" s="50">
        <v>73</v>
      </c>
      <c r="D79" s="50">
        <v>2</v>
      </c>
      <c r="E79" s="50">
        <v>4</v>
      </c>
      <c r="F79" s="50">
        <v>38</v>
      </c>
      <c r="G79" s="50">
        <v>2</v>
      </c>
      <c r="H79" s="50">
        <v>1</v>
      </c>
      <c r="I79" s="50">
        <v>20</v>
      </c>
      <c r="J79" s="50">
        <v>3</v>
      </c>
      <c r="K79" s="50">
        <v>0</v>
      </c>
      <c r="L79" s="50">
        <v>2</v>
      </c>
      <c r="M79" s="50">
        <v>90</v>
      </c>
      <c r="N79" s="50">
        <v>0</v>
      </c>
      <c r="O79" s="15">
        <f t="shared" si="35"/>
        <v>145</v>
      </c>
      <c r="P79" s="15">
        <f t="shared" si="36"/>
        <v>235</v>
      </c>
      <c r="R79" s="8"/>
      <c r="T79"/>
    </row>
    <row r="80" spans="2:20" ht="23.1" customHeight="1" x14ac:dyDescent="0.25">
      <c r="B80" s="47" t="s">
        <v>120</v>
      </c>
      <c r="C80" s="50">
        <v>70</v>
      </c>
      <c r="D80" s="50">
        <v>5</v>
      </c>
      <c r="E80" s="50">
        <v>2</v>
      </c>
      <c r="F80" s="50">
        <v>16</v>
      </c>
      <c r="G80" s="50">
        <v>0</v>
      </c>
      <c r="H80" s="50">
        <v>0</v>
      </c>
      <c r="I80" s="50">
        <v>5</v>
      </c>
      <c r="J80" s="50">
        <v>1</v>
      </c>
      <c r="K80" s="50">
        <v>0</v>
      </c>
      <c r="L80" s="50">
        <v>0</v>
      </c>
      <c r="M80" s="50">
        <v>70</v>
      </c>
      <c r="N80" s="50">
        <v>0</v>
      </c>
      <c r="O80" s="15">
        <f t="shared" si="35"/>
        <v>99</v>
      </c>
      <c r="P80" s="15">
        <f t="shared" si="36"/>
        <v>169</v>
      </c>
      <c r="R80" s="8"/>
      <c r="T80"/>
    </row>
    <row r="81" spans="2:20" ht="23.1" customHeight="1" x14ac:dyDescent="0.25">
      <c r="B81" s="45" t="s">
        <v>121</v>
      </c>
      <c r="C81" s="50">
        <v>48</v>
      </c>
      <c r="D81" s="50">
        <v>2</v>
      </c>
      <c r="E81" s="50">
        <v>4</v>
      </c>
      <c r="F81" s="50">
        <v>17</v>
      </c>
      <c r="G81" s="50">
        <v>1</v>
      </c>
      <c r="H81" s="50">
        <v>1</v>
      </c>
      <c r="I81" s="50">
        <v>6</v>
      </c>
      <c r="J81" s="50">
        <v>3</v>
      </c>
      <c r="K81" s="50">
        <v>0</v>
      </c>
      <c r="L81" s="50">
        <v>3</v>
      </c>
      <c r="M81" s="50">
        <v>67</v>
      </c>
      <c r="N81" s="50">
        <v>0</v>
      </c>
      <c r="O81" s="15">
        <f t="shared" si="35"/>
        <v>85</v>
      </c>
      <c r="P81" s="15">
        <f t="shared" si="36"/>
        <v>152</v>
      </c>
      <c r="R81" s="8"/>
      <c r="T81"/>
    </row>
    <row r="82" spans="2:20" ht="23.1" customHeight="1" x14ac:dyDescent="0.25">
      <c r="B82" s="46" t="s">
        <v>122</v>
      </c>
      <c r="C82" s="50">
        <v>32</v>
      </c>
      <c r="D82" s="50">
        <v>3</v>
      </c>
      <c r="E82" s="50">
        <v>6</v>
      </c>
      <c r="F82" s="50">
        <v>7</v>
      </c>
      <c r="G82" s="50">
        <v>0</v>
      </c>
      <c r="H82" s="50">
        <v>0</v>
      </c>
      <c r="I82" s="50">
        <v>4</v>
      </c>
      <c r="J82" s="50">
        <v>1</v>
      </c>
      <c r="K82" s="50">
        <v>0</v>
      </c>
      <c r="L82" s="50">
        <v>0</v>
      </c>
      <c r="M82" s="50">
        <v>52</v>
      </c>
      <c r="N82" s="50">
        <v>0</v>
      </c>
      <c r="O82" s="15">
        <f t="shared" si="35"/>
        <v>53</v>
      </c>
      <c r="P82" s="15">
        <f t="shared" si="36"/>
        <v>105</v>
      </c>
      <c r="R82" s="8"/>
      <c r="T82"/>
    </row>
    <row r="83" spans="2:20" ht="23.1" customHeight="1" x14ac:dyDescent="0.25">
      <c r="B83" s="45" t="s">
        <v>123</v>
      </c>
      <c r="C83" s="50">
        <v>40</v>
      </c>
      <c r="D83" s="50">
        <v>2</v>
      </c>
      <c r="E83" s="50">
        <v>3</v>
      </c>
      <c r="F83" s="50">
        <v>13</v>
      </c>
      <c r="G83" s="50">
        <v>0</v>
      </c>
      <c r="H83" s="50">
        <v>0</v>
      </c>
      <c r="I83" s="50">
        <v>7</v>
      </c>
      <c r="J83" s="50">
        <v>2</v>
      </c>
      <c r="K83" s="50">
        <v>0</v>
      </c>
      <c r="L83" s="50">
        <v>5</v>
      </c>
      <c r="M83" s="50">
        <v>38</v>
      </c>
      <c r="N83" s="50">
        <v>0</v>
      </c>
      <c r="O83" s="15">
        <f t="shared" si="35"/>
        <v>72</v>
      </c>
      <c r="P83" s="15">
        <f t="shared" si="36"/>
        <v>110</v>
      </c>
      <c r="R83" s="8"/>
      <c r="T83"/>
    </row>
    <row r="84" spans="2:20" ht="23.1" customHeight="1" x14ac:dyDescent="0.25">
      <c r="B84" s="47" t="s">
        <v>124</v>
      </c>
      <c r="C84" s="50">
        <v>23</v>
      </c>
      <c r="D84" s="50">
        <v>1</v>
      </c>
      <c r="E84" s="50">
        <v>2</v>
      </c>
      <c r="F84" s="50">
        <v>7</v>
      </c>
      <c r="G84" s="50">
        <v>0</v>
      </c>
      <c r="H84" s="50">
        <v>0</v>
      </c>
      <c r="I84" s="50">
        <v>0</v>
      </c>
      <c r="J84" s="50">
        <v>2</v>
      </c>
      <c r="K84" s="50">
        <v>0</v>
      </c>
      <c r="L84" s="50">
        <v>0</v>
      </c>
      <c r="M84" s="50">
        <v>37</v>
      </c>
      <c r="N84" s="50">
        <v>0</v>
      </c>
      <c r="O84" s="15">
        <f t="shared" si="35"/>
        <v>35</v>
      </c>
      <c r="P84" s="15">
        <f t="shared" si="36"/>
        <v>72</v>
      </c>
      <c r="R84" s="8"/>
      <c r="T84"/>
    </row>
    <row r="85" spans="2:20" ht="23.1" customHeight="1" x14ac:dyDescent="0.25">
      <c r="B85" s="45" t="s">
        <v>125</v>
      </c>
      <c r="C85" s="50">
        <v>30</v>
      </c>
      <c r="D85" s="50">
        <v>3</v>
      </c>
      <c r="E85" s="50">
        <v>2</v>
      </c>
      <c r="F85" s="50">
        <v>5</v>
      </c>
      <c r="G85" s="50">
        <v>2</v>
      </c>
      <c r="H85" s="50">
        <v>0</v>
      </c>
      <c r="I85" s="50">
        <v>3</v>
      </c>
      <c r="J85" s="50">
        <v>4</v>
      </c>
      <c r="K85" s="50">
        <v>0</v>
      </c>
      <c r="L85" s="50">
        <v>3</v>
      </c>
      <c r="M85" s="50">
        <v>31</v>
      </c>
      <c r="N85" s="50">
        <v>0</v>
      </c>
      <c r="O85" s="15">
        <f t="shared" si="35"/>
        <v>52</v>
      </c>
      <c r="P85" s="15">
        <f t="shared" si="36"/>
        <v>83</v>
      </c>
      <c r="R85" s="8"/>
      <c r="T85"/>
    </row>
    <row r="86" spans="2:20" ht="23.1" customHeight="1" x14ac:dyDescent="0.25">
      <c r="B86" s="46" t="s">
        <v>126</v>
      </c>
      <c r="C86" s="50">
        <v>22</v>
      </c>
      <c r="D86" s="50">
        <v>2</v>
      </c>
      <c r="E86" s="50">
        <v>3</v>
      </c>
      <c r="F86" s="50">
        <v>4</v>
      </c>
      <c r="G86" s="50">
        <v>0</v>
      </c>
      <c r="H86" s="50">
        <v>0</v>
      </c>
      <c r="I86" s="50">
        <v>4</v>
      </c>
      <c r="J86" s="50">
        <v>3</v>
      </c>
      <c r="K86" s="50">
        <v>0</v>
      </c>
      <c r="L86" s="50">
        <v>1</v>
      </c>
      <c r="M86" s="50">
        <v>32</v>
      </c>
      <c r="N86" s="50">
        <v>0</v>
      </c>
      <c r="O86" s="15">
        <f t="shared" si="35"/>
        <v>39</v>
      </c>
      <c r="P86" s="15">
        <f t="shared" si="36"/>
        <v>71</v>
      </c>
      <c r="R86" s="8"/>
      <c r="T86"/>
    </row>
    <row r="87" spans="2:20" ht="23.1" customHeight="1" x14ac:dyDescent="0.25">
      <c r="B87" s="45" t="s">
        <v>127</v>
      </c>
      <c r="C87" s="50">
        <v>36</v>
      </c>
      <c r="D87" s="50">
        <v>7</v>
      </c>
      <c r="E87" s="50">
        <v>5</v>
      </c>
      <c r="F87" s="50">
        <v>70</v>
      </c>
      <c r="G87" s="50">
        <v>0</v>
      </c>
      <c r="H87" s="50">
        <v>2</v>
      </c>
      <c r="I87" s="50">
        <v>2</v>
      </c>
      <c r="J87" s="50">
        <v>3</v>
      </c>
      <c r="K87" s="50">
        <v>0</v>
      </c>
      <c r="L87" s="50">
        <v>2</v>
      </c>
      <c r="M87" s="50">
        <v>49</v>
      </c>
      <c r="N87" s="50">
        <v>0</v>
      </c>
      <c r="O87" s="15">
        <f t="shared" si="35"/>
        <v>127</v>
      </c>
      <c r="P87" s="15">
        <f t="shared" si="36"/>
        <v>176</v>
      </c>
      <c r="R87" s="8"/>
      <c r="T87"/>
    </row>
    <row r="88" spans="2:20" ht="23.1" customHeight="1" x14ac:dyDescent="0.25">
      <c r="B88" s="47" t="s">
        <v>128</v>
      </c>
      <c r="C88" s="50">
        <v>12</v>
      </c>
      <c r="D88" s="50">
        <v>3</v>
      </c>
      <c r="E88" s="50">
        <v>0</v>
      </c>
      <c r="F88" s="50">
        <v>4</v>
      </c>
      <c r="G88" s="50">
        <v>0</v>
      </c>
      <c r="H88" s="50">
        <v>0</v>
      </c>
      <c r="I88" s="50">
        <v>1</v>
      </c>
      <c r="J88" s="50">
        <v>2</v>
      </c>
      <c r="K88" s="50">
        <v>0</v>
      </c>
      <c r="L88" s="50">
        <v>1</v>
      </c>
      <c r="M88" s="50">
        <v>12</v>
      </c>
      <c r="N88" s="50">
        <v>0</v>
      </c>
      <c r="O88" s="15">
        <f t="shared" si="35"/>
        <v>23</v>
      </c>
      <c r="P88" s="15">
        <f t="shared" si="36"/>
        <v>35</v>
      </c>
      <c r="R88" s="8"/>
      <c r="T88"/>
    </row>
    <row r="89" spans="2:20" ht="23.1" customHeight="1" x14ac:dyDescent="0.25">
      <c r="B89" s="45" t="s">
        <v>129</v>
      </c>
      <c r="C89" s="50">
        <v>16</v>
      </c>
      <c r="D89" s="50">
        <v>4</v>
      </c>
      <c r="E89" s="50">
        <v>2</v>
      </c>
      <c r="F89" s="50">
        <v>4</v>
      </c>
      <c r="G89" s="50">
        <v>0</v>
      </c>
      <c r="H89" s="50">
        <v>0</v>
      </c>
      <c r="I89" s="50">
        <v>2</v>
      </c>
      <c r="J89" s="50">
        <v>3</v>
      </c>
      <c r="K89" s="50">
        <v>0</v>
      </c>
      <c r="L89" s="50">
        <v>0</v>
      </c>
      <c r="M89" s="50">
        <v>31</v>
      </c>
      <c r="N89" s="50">
        <v>0</v>
      </c>
      <c r="O89" s="15">
        <f t="shared" si="35"/>
        <v>31</v>
      </c>
      <c r="P89" s="15">
        <f t="shared" si="36"/>
        <v>62</v>
      </c>
      <c r="R89" s="8"/>
      <c r="T89"/>
    </row>
    <row r="90" spans="2:20" ht="23.1" customHeight="1" x14ac:dyDescent="0.25">
      <c r="B90" s="46" t="s">
        <v>130</v>
      </c>
      <c r="C90" s="50">
        <v>15</v>
      </c>
      <c r="D90" s="50">
        <v>3</v>
      </c>
      <c r="E90" s="50">
        <v>4</v>
      </c>
      <c r="F90" s="50">
        <v>4</v>
      </c>
      <c r="G90" s="50">
        <v>0</v>
      </c>
      <c r="H90" s="50">
        <v>0</v>
      </c>
      <c r="I90" s="50">
        <v>0</v>
      </c>
      <c r="J90" s="50">
        <v>2</v>
      </c>
      <c r="K90" s="50">
        <v>0</v>
      </c>
      <c r="L90" s="50">
        <v>2</v>
      </c>
      <c r="M90" s="50">
        <v>30</v>
      </c>
      <c r="N90" s="50">
        <v>0</v>
      </c>
      <c r="O90" s="15">
        <f t="shared" si="35"/>
        <v>30</v>
      </c>
      <c r="P90" s="15">
        <f t="shared" si="36"/>
        <v>60</v>
      </c>
      <c r="R90" s="8"/>
      <c r="T90"/>
    </row>
    <row r="91" spans="2:20" ht="23.1" customHeight="1" x14ac:dyDescent="0.25">
      <c r="B91" s="45" t="s">
        <v>131</v>
      </c>
      <c r="C91" s="50">
        <v>22</v>
      </c>
      <c r="D91" s="50">
        <v>1</v>
      </c>
      <c r="E91" s="50">
        <v>1</v>
      </c>
      <c r="F91" s="50">
        <v>4</v>
      </c>
      <c r="G91" s="50">
        <v>0</v>
      </c>
      <c r="H91" s="50">
        <v>3</v>
      </c>
      <c r="I91" s="50">
        <v>2</v>
      </c>
      <c r="J91" s="50">
        <v>0</v>
      </c>
      <c r="K91" s="50">
        <v>0</v>
      </c>
      <c r="L91" s="50">
        <v>3</v>
      </c>
      <c r="M91" s="50">
        <v>15</v>
      </c>
      <c r="N91" s="50">
        <v>0</v>
      </c>
      <c r="O91" s="15">
        <f t="shared" si="35"/>
        <v>36</v>
      </c>
      <c r="P91" s="15">
        <f t="shared" si="36"/>
        <v>51</v>
      </c>
      <c r="R91" s="8"/>
      <c r="T91"/>
    </row>
    <row r="92" spans="2:20" ht="23.1" customHeight="1" x14ac:dyDescent="0.25">
      <c r="B92" s="47" t="s">
        <v>132</v>
      </c>
      <c r="C92" s="50">
        <v>21</v>
      </c>
      <c r="D92" s="50">
        <v>1</v>
      </c>
      <c r="E92" s="50">
        <v>0</v>
      </c>
      <c r="F92" s="50">
        <v>4</v>
      </c>
      <c r="G92" s="50">
        <v>0</v>
      </c>
      <c r="H92" s="50">
        <v>0</v>
      </c>
      <c r="I92" s="50">
        <v>2</v>
      </c>
      <c r="J92" s="50">
        <v>3</v>
      </c>
      <c r="K92" s="50">
        <v>1</v>
      </c>
      <c r="L92" s="50">
        <v>3</v>
      </c>
      <c r="M92" s="50">
        <v>12</v>
      </c>
      <c r="N92" s="50">
        <v>0</v>
      </c>
      <c r="O92" s="15">
        <f t="shared" si="35"/>
        <v>35</v>
      </c>
      <c r="P92" s="15">
        <f t="shared" si="36"/>
        <v>47</v>
      </c>
      <c r="R92" s="8"/>
      <c r="T92"/>
    </row>
    <row r="93" spans="2:20" ht="23.1" customHeight="1" x14ac:dyDescent="0.25">
      <c r="B93" s="45" t="s">
        <v>133</v>
      </c>
      <c r="C93" s="50">
        <v>7</v>
      </c>
      <c r="D93" s="50">
        <v>0</v>
      </c>
      <c r="E93" s="50">
        <v>0</v>
      </c>
      <c r="F93" s="50">
        <v>7</v>
      </c>
      <c r="G93" s="50">
        <v>0</v>
      </c>
      <c r="H93" s="50">
        <v>0</v>
      </c>
      <c r="I93" s="50">
        <v>3</v>
      </c>
      <c r="J93" s="50">
        <v>3</v>
      </c>
      <c r="K93" s="50">
        <v>1</v>
      </c>
      <c r="L93" s="50">
        <v>3</v>
      </c>
      <c r="M93" s="50">
        <v>15</v>
      </c>
      <c r="N93" s="50">
        <v>0</v>
      </c>
      <c r="O93" s="15">
        <f t="shared" si="35"/>
        <v>24</v>
      </c>
      <c r="P93" s="15">
        <f t="shared" si="36"/>
        <v>39</v>
      </c>
      <c r="R93" s="8"/>
      <c r="T93"/>
    </row>
    <row r="94" spans="2:20" ht="23.1" customHeight="1" x14ac:dyDescent="0.25">
      <c r="B94" s="46" t="s">
        <v>134</v>
      </c>
      <c r="C94" s="50">
        <v>12</v>
      </c>
      <c r="D94" s="50">
        <v>3</v>
      </c>
      <c r="E94" s="50">
        <v>2</v>
      </c>
      <c r="F94" s="50">
        <v>7</v>
      </c>
      <c r="G94" s="50">
        <v>0</v>
      </c>
      <c r="H94" s="50">
        <v>1</v>
      </c>
      <c r="I94" s="50">
        <v>4</v>
      </c>
      <c r="J94" s="50">
        <v>1</v>
      </c>
      <c r="K94" s="50">
        <v>0</v>
      </c>
      <c r="L94" s="50">
        <v>1</v>
      </c>
      <c r="M94" s="50">
        <v>8</v>
      </c>
      <c r="N94" s="50">
        <v>0</v>
      </c>
      <c r="O94" s="15">
        <f t="shared" si="35"/>
        <v>31</v>
      </c>
      <c r="P94" s="15">
        <f t="shared" si="36"/>
        <v>39</v>
      </c>
      <c r="R94" s="8"/>
      <c r="T94"/>
    </row>
    <row r="95" spans="2:20" ht="23.1" customHeight="1" x14ac:dyDescent="0.25">
      <c r="B95" s="45" t="s">
        <v>135</v>
      </c>
      <c r="C95" s="50">
        <v>12</v>
      </c>
      <c r="D95" s="50">
        <v>1</v>
      </c>
      <c r="E95" s="50">
        <v>2</v>
      </c>
      <c r="F95" s="50">
        <v>6</v>
      </c>
      <c r="G95" s="50">
        <v>2</v>
      </c>
      <c r="H95" s="50">
        <v>1</v>
      </c>
      <c r="I95" s="50">
        <v>3</v>
      </c>
      <c r="J95" s="50">
        <v>6</v>
      </c>
      <c r="K95" s="50">
        <v>0</v>
      </c>
      <c r="L95" s="50">
        <v>0</v>
      </c>
      <c r="M95" s="50">
        <v>4</v>
      </c>
      <c r="N95" s="50">
        <v>0</v>
      </c>
      <c r="O95" s="15">
        <f t="shared" si="35"/>
        <v>33</v>
      </c>
      <c r="P95" s="15">
        <f t="shared" si="36"/>
        <v>37</v>
      </c>
      <c r="R95" s="8"/>
      <c r="T95"/>
    </row>
    <row r="96" spans="2:20" ht="23.1" customHeight="1" x14ac:dyDescent="0.25">
      <c r="B96" s="47" t="s">
        <v>136</v>
      </c>
      <c r="C96" s="50">
        <v>14</v>
      </c>
      <c r="D96" s="50">
        <v>2</v>
      </c>
      <c r="E96" s="50">
        <v>1</v>
      </c>
      <c r="F96" s="50">
        <v>9</v>
      </c>
      <c r="G96" s="50">
        <v>3</v>
      </c>
      <c r="H96" s="50">
        <v>2</v>
      </c>
      <c r="I96" s="50">
        <v>4</v>
      </c>
      <c r="J96" s="50">
        <v>2</v>
      </c>
      <c r="K96" s="50">
        <v>0</v>
      </c>
      <c r="L96" s="50">
        <v>0</v>
      </c>
      <c r="M96" s="50">
        <v>12</v>
      </c>
      <c r="N96" s="50">
        <v>0</v>
      </c>
      <c r="O96" s="15">
        <f t="shared" si="35"/>
        <v>37</v>
      </c>
      <c r="P96" s="15">
        <f t="shared" si="36"/>
        <v>49</v>
      </c>
      <c r="R96" s="8"/>
      <c r="T96"/>
    </row>
    <row r="97" spans="2:20" ht="23.1" customHeight="1" x14ac:dyDescent="0.25">
      <c r="B97" s="45" t="s">
        <v>137</v>
      </c>
      <c r="C97" s="50">
        <v>12</v>
      </c>
      <c r="D97" s="50">
        <v>1</v>
      </c>
      <c r="E97" s="50">
        <v>1</v>
      </c>
      <c r="F97" s="50">
        <v>11</v>
      </c>
      <c r="G97" s="50">
        <v>3</v>
      </c>
      <c r="H97" s="50">
        <v>0</v>
      </c>
      <c r="I97" s="50">
        <v>1</v>
      </c>
      <c r="J97" s="50">
        <v>1</v>
      </c>
      <c r="K97" s="50">
        <v>0</v>
      </c>
      <c r="L97" s="50">
        <v>0</v>
      </c>
      <c r="M97" s="50">
        <v>14</v>
      </c>
      <c r="N97" s="50">
        <v>0</v>
      </c>
      <c r="O97" s="15">
        <f t="shared" si="35"/>
        <v>30</v>
      </c>
      <c r="P97" s="15">
        <f t="shared" si="36"/>
        <v>44</v>
      </c>
      <c r="R97" s="8"/>
      <c r="T97"/>
    </row>
    <row r="98" spans="2:20" ht="23.1" customHeight="1" x14ac:dyDescent="0.25">
      <c r="B98" s="46" t="s">
        <v>138</v>
      </c>
      <c r="C98" s="50">
        <v>9</v>
      </c>
      <c r="D98" s="50">
        <v>3</v>
      </c>
      <c r="E98" s="50">
        <v>2</v>
      </c>
      <c r="F98" s="50">
        <v>10</v>
      </c>
      <c r="G98" s="50">
        <v>1</v>
      </c>
      <c r="H98" s="50">
        <v>1</v>
      </c>
      <c r="I98" s="50">
        <v>1</v>
      </c>
      <c r="J98" s="50">
        <v>1</v>
      </c>
      <c r="K98" s="50">
        <v>0</v>
      </c>
      <c r="L98" s="50">
        <v>3</v>
      </c>
      <c r="M98" s="50">
        <v>12</v>
      </c>
      <c r="N98" s="50">
        <v>0</v>
      </c>
      <c r="O98" s="15">
        <f t="shared" si="35"/>
        <v>31</v>
      </c>
      <c r="P98" s="15">
        <f t="shared" si="36"/>
        <v>43</v>
      </c>
      <c r="R98" s="8"/>
      <c r="T98"/>
    </row>
    <row r="99" spans="2:20" ht="23.1" customHeight="1" x14ac:dyDescent="0.25">
      <c r="B99" s="45" t="s">
        <v>139</v>
      </c>
      <c r="C99" s="50">
        <v>13</v>
      </c>
      <c r="D99" s="50">
        <v>0</v>
      </c>
      <c r="E99" s="50">
        <v>2</v>
      </c>
      <c r="F99" s="50">
        <v>11</v>
      </c>
      <c r="G99" s="50">
        <v>2</v>
      </c>
      <c r="H99" s="50">
        <v>2</v>
      </c>
      <c r="I99" s="50">
        <v>0</v>
      </c>
      <c r="J99" s="50">
        <v>3</v>
      </c>
      <c r="K99" s="50">
        <v>1</v>
      </c>
      <c r="L99" s="50">
        <v>2</v>
      </c>
      <c r="M99" s="50">
        <v>9</v>
      </c>
      <c r="N99" s="50">
        <v>0</v>
      </c>
      <c r="O99" s="15">
        <f t="shared" si="35"/>
        <v>36</v>
      </c>
      <c r="P99" s="15">
        <f t="shared" si="36"/>
        <v>45</v>
      </c>
      <c r="R99" s="8"/>
      <c r="T99"/>
    </row>
    <row r="100" spans="2:20" ht="23.1" customHeight="1" x14ac:dyDescent="0.25">
      <c r="B100" s="47" t="s">
        <v>140</v>
      </c>
      <c r="C100" s="50">
        <v>15</v>
      </c>
      <c r="D100" s="50">
        <v>0</v>
      </c>
      <c r="E100" s="50">
        <v>2</v>
      </c>
      <c r="F100" s="50">
        <v>15</v>
      </c>
      <c r="G100" s="50">
        <v>1</v>
      </c>
      <c r="H100" s="50">
        <v>3</v>
      </c>
      <c r="I100" s="50">
        <v>2</v>
      </c>
      <c r="J100" s="50">
        <v>3</v>
      </c>
      <c r="K100" s="50">
        <v>0</v>
      </c>
      <c r="L100" s="50">
        <v>0</v>
      </c>
      <c r="M100" s="50">
        <v>13</v>
      </c>
      <c r="N100" s="50">
        <v>0</v>
      </c>
      <c r="O100" s="15">
        <f t="shared" si="35"/>
        <v>41</v>
      </c>
      <c r="P100" s="15">
        <f t="shared" si="36"/>
        <v>54</v>
      </c>
      <c r="R100" s="8"/>
      <c r="T100"/>
    </row>
    <row r="101" spans="2:20" ht="23.1" customHeight="1" x14ac:dyDescent="0.25">
      <c r="B101" s="45" t="s">
        <v>141</v>
      </c>
      <c r="C101" s="50">
        <v>5</v>
      </c>
      <c r="D101" s="50">
        <v>0</v>
      </c>
      <c r="E101" s="50">
        <v>3</v>
      </c>
      <c r="F101" s="50">
        <v>21</v>
      </c>
      <c r="G101" s="50">
        <v>1</v>
      </c>
      <c r="H101" s="50">
        <v>0</v>
      </c>
      <c r="I101" s="50">
        <v>0</v>
      </c>
      <c r="J101" s="50">
        <v>4</v>
      </c>
      <c r="K101" s="50">
        <v>0</v>
      </c>
      <c r="L101" s="50">
        <v>1</v>
      </c>
      <c r="M101" s="50">
        <v>22</v>
      </c>
      <c r="N101" s="50">
        <v>0</v>
      </c>
      <c r="O101" s="15">
        <f t="shared" si="35"/>
        <v>35</v>
      </c>
      <c r="P101" s="15">
        <f t="shared" si="36"/>
        <v>57</v>
      </c>
      <c r="R101" s="8"/>
      <c r="T101"/>
    </row>
    <row r="102" spans="2:20" ht="23.1" customHeight="1" x14ac:dyDescent="0.25">
      <c r="B102" s="46" t="s">
        <v>142</v>
      </c>
      <c r="C102" s="50">
        <v>10</v>
      </c>
      <c r="D102" s="50">
        <v>3</v>
      </c>
      <c r="E102" s="50">
        <v>1</v>
      </c>
      <c r="F102" s="50">
        <v>23</v>
      </c>
      <c r="G102" s="50">
        <v>2</v>
      </c>
      <c r="H102" s="50">
        <v>1</v>
      </c>
      <c r="I102" s="50">
        <v>0</v>
      </c>
      <c r="J102" s="50">
        <v>1</v>
      </c>
      <c r="K102" s="50">
        <v>0</v>
      </c>
      <c r="L102" s="50">
        <v>0</v>
      </c>
      <c r="M102" s="50">
        <v>31</v>
      </c>
      <c r="N102" s="50">
        <v>0</v>
      </c>
      <c r="O102" s="15">
        <f t="shared" si="35"/>
        <v>41</v>
      </c>
      <c r="P102" s="15">
        <f t="shared" si="36"/>
        <v>72</v>
      </c>
      <c r="R102" s="8"/>
      <c r="T102"/>
    </row>
    <row r="103" spans="2:20" ht="23.1" customHeight="1" x14ac:dyDescent="0.25">
      <c r="B103" s="45" t="s">
        <v>143</v>
      </c>
      <c r="C103" s="50">
        <v>15</v>
      </c>
      <c r="D103" s="50">
        <v>2</v>
      </c>
      <c r="E103" s="50">
        <v>4</v>
      </c>
      <c r="F103" s="50">
        <v>26</v>
      </c>
      <c r="G103" s="50">
        <v>3</v>
      </c>
      <c r="H103" s="50">
        <v>0</v>
      </c>
      <c r="I103" s="50">
        <v>0</v>
      </c>
      <c r="J103" s="50">
        <v>4</v>
      </c>
      <c r="K103" s="50">
        <v>0</v>
      </c>
      <c r="L103" s="50">
        <v>1</v>
      </c>
      <c r="M103" s="50">
        <v>52</v>
      </c>
      <c r="N103" s="50">
        <v>0</v>
      </c>
      <c r="O103" s="15">
        <f t="shared" si="35"/>
        <v>55</v>
      </c>
      <c r="P103" s="15">
        <f t="shared" si="36"/>
        <v>107</v>
      </c>
      <c r="R103" s="8"/>
      <c r="T103"/>
    </row>
    <row r="104" spans="2:20" ht="23.1" customHeight="1" x14ac:dyDescent="0.25">
      <c r="B104" s="47" t="s">
        <v>144</v>
      </c>
      <c r="C104" s="50">
        <v>32</v>
      </c>
      <c r="D104" s="50">
        <v>1</v>
      </c>
      <c r="E104" s="50">
        <v>4</v>
      </c>
      <c r="F104" s="50">
        <v>14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55</v>
      </c>
      <c r="N104" s="50">
        <v>0</v>
      </c>
      <c r="O104" s="15">
        <f t="shared" si="35"/>
        <v>51</v>
      </c>
      <c r="P104" s="15">
        <f t="shared" si="36"/>
        <v>106</v>
      </c>
      <c r="R104" s="8"/>
      <c r="T104"/>
    </row>
    <row r="105" spans="2:20" ht="23.1" customHeight="1" x14ac:dyDescent="0.25">
      <c r="B105" s="45" t="s">
        <v>145</v>
      </c>
      <c r="C105" s="50">
        <v>30</v>
      </c>
      <c r="D105" s="50">
        <v>2</v>
      </c>
      <c r="E105" s="50">
        <v>6</v>
      </c>
      <c r="F105" s="50">
        <v>8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65</v>
      </c>
      <c r="N105" s="50">
        <v>0</v>
      </c>
      <c r="O105" s="15">
        <f t="shared" si="35"/>
        <v>46</v>
      </c>
      <c r="P105" s="15">
        <f t="shared" si="36"/>
        <v>111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6568</v>
      </c>
      <c r="D106" s="16">
        <f t="shared" ref="D106:P106" si="37">SUM(D10:D105)</f>
        <v>2450</v>
      </c>
      <c r="E106" s="16">
        <f t="shared" si="37"/>
        <v>2298</v>
      </c>
      <c r="F106" s="16">
        <f t="shared" si="37"/>
        <v>4095</v>
      </c>
      <c r="G106" s="16">
        <f t="shared" si="37"/>
        <v>312</v>
      </c>
      <c r="H106" s="16">
        <f t="shared" si="37"/>
        <v>115</v>
      </c>
      <c r="I106" s="16">
        <f t="shared" si="37"/>
        <v>456</v>
      </c>
      <c r="J106" s="16">
        <f t="shared" si="37"/>
        <v>240</v>
      </c>
      <c r="K106" s="16">
        <f t="shared" si="37"/>
        <v>181</v>
      </c>
      <c r="L106" s="16">
        <f t="shared" si="37"/>
        <v>304</v>
      </c>
      <c r="M106" s="16">
        <f t="shared" si="37"/>
        <v>16299</v>
      </c>
      <c r="N106" s="16">
        <f t="shared" si="37"/>
        <v>0</v>
      </c>
      <c r="O106" s="16">
        <f t="shared" si="37"/>
        <v>17019</v>
      </c>
      <c r="P106" s="16">
        <f t="shared" si="37"/>
        <v>33318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0.19713068011285192</v>
      </c>
      <c r="D107" s="43">
        <f t="shared" si="38"/>
        <v>7.3533825559757487E-2</v>
      </c>
      <c r="E107" s="43">
        <f t="shared" si="38"/>
        <v>6.8971726994417434E-2</v>
      </c>
      <c r="F107" s="43">
        <f t="shared" si="38"/>
        <v>0.12290653700702323</v>
      </c>
      <c r="G107" s="43">
        <f t="shared" si="38"/>
        <v>9.3643075814874837E-3</v>
      </c>
      <c r="H107" s="43">
        <f t="shared" si="38"/>
        <v>3.451587730355964E-3</v>
      </c>
      <c r="I107" s="43">
        <f t="shared" si="38"/>
        <v>1.368629569602017E-2</v>
      </c>
      <c r="J107" s="43">
        <f t="shared" si="38"/>
        <v>7.2033135242211416E-3</v>
      </c>
      <c r="K107" s="43">
        <f t="shared" si="38"/>
        <v>5.4324989495167777E-3</v>
      </c>
      <c r="L107" s="43">
        <f t="shared" si="38"/>
        <v>9.1241971306801131E-3</v>
      </c>
      <c r="M107" s="43">
        <f t="shared" si="38"/>
        <v>0.48919502971366829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0.38592161701627592</v>
      </c>
      <c r="D108" s="44">
        <f t="shared" ref="D108:N108" si="39">D106/$O$106</f>
        <v>0.14395675421587636</v>
      </c>
      <c r="E108" s="44">
        <f t="shared" si="39"/>
        <v>0.13502555966860569</v>
      </c>
      <c r="F108" s="44">
        <f t="shared" si="39"/>
        <v>0.24061343204653624</v>
      </c>
      <c r="G108" s="44">
        <f t="shared" si="39"/>
        <v>1.8332451965450379E-2</v>
      </c>
      <c r="H108" s="44">
        <f t="shared" si="39"/>
        <v>6.7571537693166461E-3</v>
      </c>
      <c r="I108" s="44">
        <f t="shared" si="39"/>
        <v>2.6793583641812092E-2</v>
      </c>
      <c r="J108" s="44">
        <f t="shared" si="39"/>
        <v>1.4101886127269522E-2</v>
      </c>
      <c r="K108" s="44">
        <f t="shared" si="39"/>
        <v>1.0635172454315766E-2</v>
      </c>
      <c r="L108" s="44">
        <f t="shared" si="39"/>
        <v>1.7862389094541395E-2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40" zoomScaleSheetLayoutView="40" workbookViewId="0">
      <selection activeCell="M58" sqref="M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Spear Motors-Kyambogo'!C3:G3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3" t="str">
        <f>'03.08 Kyambogo-Spear Motors'!G5:H5</f>
        <v>PEPSI UGANDA</v>
      </c>
      <c r="H5" s="64"/>
      <c r="I5" s="14"/>
      <c r="J5" s="2" t="s">
        <v>5</v>
      </c>
      <c r="K5" s="63" t="str">
        <f>'03.08 Kyambogo-Spear Motors'!K5:L5</f>
        <v>WACHOMI R/GALABUZI R./MBAHA J/ASHABA K/LUBEGA S/KIKUMBAD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Spear Motors-Kyambogo'!D6:E6</f>
        <v>SPEAR MOTORS</v>
      </c>
      <c r="E6" s="64"/>
      <c r="F6" s="2" t="s">
        <v>2</v>
      </c>
      <c r="G6" s="63" t="str">
        <f>'29.07 Spear Motors-Kyambogo'!G6:H6</f>
        <v>KYAMBOGO</v>
      </c>
      <c r="H6" s="64"/>
      <c r="J6" s="2" t="s">
        <v>21</v>
      </c>
      <c r="K6" s="63" t="str">
        <f>'03.08 Kyambogo-Spear Motors'!K6:L6</f>
        <v>ANDREW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20</v>
      </c>
      <c r="D10" s="50">
        <v>5</v>
      </c>
      <c r="E10" s="50">
        <v>6</v>
      </c>
      <c r="F10" s="50">
        <v>31</v>
      </c>
      <c r="G10" s="50">
        <v>2</v>
      </c>
      <c r="H10" s="50">
        <v>0</v>
      </c>
      <c r="I10" s="50">
        <v>2</v>
      </c>
      <c r="J10" s="50">
        <v>0</v>
      </c>
      <c r="K10" s="50">
        <v>0</v>
      </c>
      <c r="L10" s="50">
        <v>1</v>
      </c>
      <c r="M10" s="50">
        <v>46</v>
      </c>
      <c r="N10" s="50">
        <v>0</v>
      </c>
      <c r="O10" s="15">
        <f t="shared" ref="O10:O57" si="0">SUM(C10:L10,N10)</f>
        <v>67</v>
      </c>
      <c r="P10" s="15">
        <f t="shared" ref="P10:P57" si="1">SUM(C10:N10)</f>
        <v>113</v>
      </c>
      <c r="R10" s="1" t="s">
        <v>6</v>
      </c>
      <c r="S10" s="17">
        <f t="shared" ref="S10:AF10" si="2">SUM(C10:C13)</f>
        <v>83</v>
      </c>
      <c r="T10" s="17">
        <f t="shared" si="2"/>
        <v>27</v>
      </c>
      <c r="U10" s="17">
        <f t="shared" si="2"/>
        <v>17</v>
      </c>
      <c r="V10" s="17">
        <f t="shared" si="2"/>
        <v>157</v>
      </c>
      <c r="W10" s="17">
        <f t="shared" si="2"/>
        <v>9</v>
      </c>
      <c r="X10" s="17">
        <f t="shared" si="2"/>
        <v>3</v>
      </c>
      <c r="Y10" s="17">
        <f t="shared" si="2"/>
        <v>15</v>
      </c>
      <c r="Z10" s="17">
        <f t="shared" si="2"/>
        <v>10</v>
      </c>
      <c r="AA10" s="17">
        <f t="shared" si="2"/>
        <v>2</v>
      </c>
      <c r="AB10" s="17">
        <f t="shared" si="2"/>
        <v>5</v>
      </c>
      <c r="AC10" s="17">
        <f t="shared" si="2"/>
        <v>230</v>
      </c>
      <c r="AD10" s="17">
        <f t="shared" si="2"/>
        <v>0</v>
      </c>
      <c r="AE10" s="31">
        <f t="shared" si="2"/>
        <v>328</v>
      </c>
      <c r="AF10" s="31">
        <f t="shared" si="2"/>
        <v>558</v>
      </c>
    </row>
    <row r="11" spans="2:32" s="6" customFormat="1" ht="23.1" customHeight="1" x14ac:dyDescent="0.25">
      <c r="B11" s="23" t="s">
        <v>38</v>
      </c>
      <c r="C11" s="50">
        <v>10</v>
      </c>
      <c r="D11" s="50">
        <v>3</v>
      </c>
      <c r="E11" s="50">
        <v>6</v>
      </c>
      <c r="F11" s="50">
        <v>37</v>
      </c>
      <c r="G11" s="50">
        <v>2</v>
      </c>
      <c r="H11" s="50">
        <v>0</v>
      </c>
      <c r="I11" s="50">
        <v>5</v>
      </c>
      <c r="J11" s="50">
        <v>4</v>
      </c>
      <c r="K11" s="50">
        <v>0</v>
      </c>
      <c r="L11" s="50">
        <v>2</v>
      </c>
      <c r="M11" s="50">
        <v>53</v>
      </c>
      <c r="N11" s="50">
        <v>0</v>
      </c>
      <c r="O11" s="15">
        <f t="shared" si="0"/>
        <v>69</v>
      </c>
      <c r="P11" s="15">
        <f t="shared" si="1"/>
        <v>122</v>
      </c>
      <c r="R11" s="1" t="s">
        <v>7</v>
      </c>
      <c r="S11" s="17">
        <f t="shared" ref="S11:AF11" si="3">SUM(C14:C17)</f>
        <v>81</v>
      </c>
      <c r="T11" s="17">
        <f t="shared" si="3"/>
        <v>37</v>
      </c>
      <c r="U11" s="17">
        <f t="shared" si="3"/>
        <v>9</v>
      </c>
      <c r="V11" s="17">
        <f t="shared" si="3"/>
        <v>200</v>
      </c>
      <c r="W11" s="17">
        <f t="shared" si="3"/>
        <v>3</v>
      </c>
      <c r="X11" s="17">
        <f t="shared" si="3"/>
        <v>1</v>
      </c>
      <c r="Y11" s="17">
        <f t="shared" si="3"/>
        <v>24</v>
      </c>
      <c r="Z11" s="17">
        <f t="shared" si="3"/>
        <v>10</v>
      </c>
      <c r="AA11" s="17">
        <f t="shared" si="3"/>
        <v>4</v>
      </c>
      <c r="AB11" s="17">
        <f t="shared" si="3"/>
        <v>7</v>
      </c>
      <c r="AC11" s="17">
        <f t="shared" si="3"/>
        <v>388</v>
      </c>
      <c r="AD11" s="17">
        <f t="shared" si="3"/>
        <v>0</v>
      </c>
      <c r="AE11" s="31">
        <f t="shared" si="3"/>
        <v>376</v>
      </c>
      <c r="AF11" s="31">
        <f t="shared" si="3"/>
        <v>764</v>
      </c>
    </row>
    <row r="12" spans="2:32" ht="23.1" customHeight="1" x14ac:dyDescent="0.25">
      <c r="B12" s="23" t="s">
        <v>39</v>
      </c>
      <c r="C12" s="50">
        <v>23</v>
      </c>
      <c r="D12" s="50">
        <v>9</v>
      </c>
      <c r="E12" s="50">
        <v>2</v>
      </c>
      <c r="F12" s="50">
        <v>46</v>
      </c>
      <c r="G12" s="50">
        <v>2</v>
      </c>
      <c r="H12" s="50">
        <v>3</v>
      </c>
      <c r="I12" s="50">
        <v>4</v>
      </c>
      <c r="J12" s="50">
        <v>3</v>
      </c>
      <c r="K12" s="50">
        <v>2</v>
      </c>
      <c r="L12" s="50">
        <v>1</v>
      </c>
      <c r="M12" s="50">
        <v>69</v>
      </c>
      <c r="N12" s="50">
        <v>0</v>
      </c>
      <c r="O12" s="15">
        <f t="shared" si="0"/>
        <v>95</v>
      </c>
      <c r="P12" s="15">
        <f t="shared" si="1"/>
        <v>164</v>
      </c>
      <c r="R12" s="1" t="s">
        <v>8</v>
      </c>
      <c r="S12" s="17">
        <f t="shared" ref="S12:AF12" si="4">SUM(C18:C21)</f>
        <v>202</v>
      </c>
      <c r="T12" s="17">
        <f t="shared" si="4"/>
        <v>40</v>
      </c>
      <c r="U12" s="17">
        <f t="shared" si="4"/>
        <v>29</v>
      </c>
      <c r="V12" s="17">
        <f t="shared" si="4"/>
        <v>241</v>
      </c>
      <c r="W12" s="17">
        <f t="shared" si="4"/>
        <v>9</v>
      </c>
      <c r="X12" s="17">
        <f t="shared" si="4"/>
        <v>2</v>
      </c>
      <c r="Y12" s="17">
        <f t="shared" si="4"/>
        <v>15</v>
      </c>
      <c r="Z12" s="17">
        <f t="shared" si="4"/>
        <v>9</v>
      </c>
      <c r="AA12" s="17">
        <f t="shared" si="4"/>
        <v>3</v>
      </c>
      <c r="AB12" s="17">
        <f t="shared" si="4"/>
        <v>10</v>
      </c>
      <c r="AC12" s="17">
        <f t="shared" si="4"/>
        <v>501</v>
      </c>
      <c r="AD12" s="17">
        <f t="shared" si="4"/>
        <v>0</v>
      </c>
      <c r="AE12" s="31">
        <f t="shared" si="4"/>
        <v>560</v>
      </c>
      <c r="AF12" s="31">
        <f t="shared" si="4"/>
        <v>1061</v>
      </c>
    </row>
    <row r="13" spans="2:32" ht="23.1" customHeight="1" x14ac:dyDescent="0.25">
      <c r="B13" s="23" t="s">
        <v>40</v>
      </c>
      <c r="C13" s="50">
        <v>30</v>
      </c>
      <c r="D13" s="50">
        <v>10</v>
      </c>
      <c r="E13" s="50">
        <v>3</v>
      </c>
      <c r="F13" s="50">
        <v>43</v>
      </c>
      <c r="G13" s="50">
        <v>3</v>
      </c>
      <c r="H13" s="50">
        <v>0</v>
      </c>
      <c r="I13" s="50">
        <v>4</v>
      </c>
      <c r="J13" s="50">
        <v>3</v>
      </c>
      <c r="K13" s="50">
        <v>0</v>
      </c>
      <c r="L13" s="50">
        <v>1</v>
      </c>
      <c r="M13" s="50">
        <v>62</v>
      </c>
      <c r="N13" s="50">
        <v>0</v>
      </c>
      <c r="O13" s="15">
        <f t="shared" si="0"/>
        <v>97</v>
      </c>
      <c r="P13" s="15">
        <f t="shared" si="1"/>
        <v>159</v>
      </c>
      <c r="R13" s="1" t="s">
        <v>9</v>
      </c>
      <c r="S13" s="17">
        <f t="shared" ref="S13:AF13" si="5">SUM(C22:C25)</f>
        <v>314</v>
      </c>
      <c r="T13" s="17">
        <f t="shared" si="5"/>
        <v>30</v>
      </c>
      <c r="U13" s="17">
        <f t="shared" si="5"/>
        <v>32</v>
      </c>
      <c r="V13" s="17">
        <f t="shared" si="5"/>
        <v>252</v>
      </c>
      <c r="W13" s="17">
        <f t="shared" si="5"/>
        <v>5</v>
      </c>
      <c r="X13" s="17">
        <f t="shared" si="5"/>
        <v>1</v>
      </c>
      <c r="Y13" s="17">
        <f t="shared" si="5"/>
        <v>22</v>
      </c>
      <c r="Z13" s="17">
        <f t="shared" si="5"/>
        <v>14</v>
      </c>
      <c r="AA13" s="17">
        <f t="shared" si="5"/>
        <v>3</v>
      </c>
      <c r="AB13" s="17">
        <f t="shared" si="5"/>
        <v>5</v>
      </c>
      <c r="AC13" s="17">
        <f t="shared" si="5"/>
        <v>566</v>
      </c>
      <c r="AD13" s="17">
        <f t="shared" si="5"/>
        <v>0</v>
      </c>
      <c r="AE13" s="31">
        <f t="shared" si="5"/>
        <v>678</v>
      </c>
      <c r="AF13" s="31">
        <f t="shared" si="5"/>
        <v>1244</v>
      </c>
    </row>
    <row r="14" spans="2:32" ht="23.1" customHeight="1" x14ac:dyDescent="0.25">
      <c r="B14" s="23" t="s">
        <v>41</v>
      </c>
      <c r="C14" s="50">
        <v>0</v>
      </c>
      <c r="D14" s="50">
        <v>11</v>
      </c>
      <c r="E14" s="50">
        <v>0</v>
      </c>
      <c r="F14" s="50">
        <v>50</v>
      </c>
      <c r="G14" s="50">
        <v>0</v>
      </c>
      <c r="H14" s="50">
        <v>0</v>
      </c>
      <c r="I14" s="50">
        <v>7</v>
      </c>
      <c r="J14" s="50">
        <v>2</v>
      </c>
      <c r="K14" s="50">
        <v>1</v>
      </c>
      <c r="L14" s="50">
        <v>1</v>
      </c>
      <c r="M14" s="50">
        <v>81</v>
      </c>
      <c r="N14" s="50">
        <v>0</v>
      </c>
      <c r="O14" s="15">
        <f t="shared" si="0"/>
        <v>72</v>
      </c>
      <c r="P14" s="15">
        <f t="shared" si="1"/>
        <v>153</v>
      </c>
      <c r="R14" s="1" t="s">
        <v>10</v>
      </c>
      <c r="S14" s="17">
        <f t="shared" ref="S14:AF14" si="6">SUM(C26:C29)</f>
        <v>226</v>
      </c>
      <c r="T14" s="17">
        <f t="shared" si="6"/>
        <v>81</v>
      </c>
      <c r="U14" s="17">
        <f t="shared" si="6"/>
        <v>33</v>
      </c>
      <c r="V14" s="17">
        <f t="shared" si="6"/>
        <v>268</v>
      </c>
      <c r="W14" s="17">
        <f t="shared" si="6"/>
        <v>3</v>
      </c>
      <c r="X14" s="17">
        <f t="shared" si="6"/>
        <v>4</v>
      </c>
      <c r="Y14" s="17">
        <f t="shared" si="6"/>
        <v>24</v>
      </c>
      <c r="Z14" s="17">
        <f t="shared" si="6"/>
        <v>10</v>
      </c>
      <c r="AA14" s="17">
        <f t="shared" si="6"/>
        <v>0</v>
      </c>
      <c r="AB14" s="17">
        <f t="shared" si="6"/>
        <v>11</v>
      </c>
      <c r="AC14" s="17">
        <f t="shared" si="6"/>
        <v>658</v>
      </c>
      <c r="AD14" s="17">
        <f t="shared" si="6"/>
        <v>0</v>
      </c>
      <c r="AE14" s="31">
        <f t="shared" si="6"/>
        <v>660</v>
      </c>
      <c r="AF14" s="31">
        <f t="shared" si="6"/>
        <v>1318</v>
      </c>
    </row>
    <row r="15" spans="2:32" ht="23.1" customHeight="1" x14ac:dyDescent="0.25">
      <c r="B15" s="23" t="s">
        <v>42</v>
      </c>
      <c r="C15" s="50">
        <v>23</v>
      </c>
      <c r="D15" s="50">
        <v>7</v>
      </c>
      <c r="E15" s="50">
        <v>2</v>
      </c>
      <c r="F15" s="50">
        <v>59</v>
      </c>
      <c r="G15" s="50">
        <v>0</v>
      </c>
      <c r="H15" s="50">
        <v>1</v>
      </c>
      <c r="I15" s="50">
        <v>6</v>
      </c>
      <c r="J15" s="50">
        <v>2</v>
      </c>
      <c r="K15" s="50">
        <v>1</v>
      </c>
      <c r="L15" s="50">
        <v>4</v>
      </c>
      <c r="M15" s="50">
        <v>93</v>
      </c>
      <c r="N15" s="50">
        <v>0</v>
      </c>
      <c r="O15" s="15">
        <f t="shared" si="0"/>
        <v>105</v>
      </c>
      <c r="P15" s="15">
        <f t="shared" si="1"/>
        <v>198</v>
      </c>
      <c r="R15" s="1" t="s">
        <v>11</v>
      </c>
      <c r="S15" s="17">
        <f t="shared" ref="S15:AF15" si="7">SUM(C30:C33)</f>
        <v>293</v>
      </c>
      <c r="T15" s="17">
        <f t="shared" si="7"/>
        <v>90</v>
      </c>
      <c r="U15" s="17">
        <f t="shared" si="7"/>
        <v>36</v>
      </c>
      <c r="V15" s="17">
        <f t="shared" si="7"/>
        <v>230</v>
      </c>
      <c r="W15" s="17">
        <f t="shared" si="7"/>
        <v>8</v>
      </c>
      <c r="X15" s="17">
        <f t="shared" si="7"/>
        <v>3</v>
      </c>
      <c r="Y15" s="17">
        <f t="shared" si="7"/>
        <v>33</v>
      </c>
      <c r="Z15" s="17">
        <f t="shared" si="7"/>
        <v>13</v>
      </c>
      <c r="AA15" s="17">
        <f t="shared" si="7"/>
        <v>0</v>
      </c>
      <c r="AB15" s="17">
        <f t="shared" si="7"/>
        <v>20</v>
      </c>
      <c r="AC15" s="17">
        <f t="shared" si="7"/>
        <v>583</v>
      </c>
      <c r="AD15" s="17">
        <f t="shared" si="7"/>
        <v>0</v>
      </c>
      <c r="AE15" s="31">
        <f t="shared" si="7"/>
        <v>726</v>
      </c>
      <c r="AF15" s="31">
        <f t="shared" si="7"/>
        <v>1309</v>
      </c>
    </row>
    <row r="16" spans="2:32" ht="23.1" customHeight="1" x14ac:dyDescent="0.25">
      <c r="B16" s="23" t="s">
        <v>43</v>
      </c>
      <c r="C16" s="50">
        <v>31</v>
      </c>
      <c r="D16" s="50">
        <v>8</v>
      </c>
      <c r="E16" s="50">
        <v>5</v>
      </c>
      <c r="F16" s="50">
        <v>40</v>
      </c>
      <c r="G16" s="50">
        <v>3</v>
      </c>
      <c r="H16" s="50">
        <v>0</v>
      </c>
      <c r="I16" s="50">
        <v>7</v>
      </c>
      <c r="J16" s="50">
        <v>1</v>
      </c>
      <c r="K16" s="50">
        <v>1</v>
      </c>
      <c r="L16" s="50">
        <v>2</v>
      </c>
      <c r="M16" s="50">
        <v>97</v>
      </c>
      <c r="N16" s="50">
        <v>0</v>
      </c>
      <c r="O16" s="15">
        <f t="shared" si="0"/>
        <v>98</v>
      </c>
      <c r="P16" s="15">
        <f t="shared" si="1"/>
        <v>195</v>
      </c>
      <c r="R16" s="1" t="s">
        <v>12</v>
      </c>
      <c r="S16" s="17">
        <f t="shared" ref="S16:AF16" si="8">SUM(C34:C37)</f>
        <v>372</v>
      </c>
      <c r="T16" s="17">
        <f t="shared" si="8"/>
        <v>110</v>
      </c>
      <c r="U16" s="17">
        <f t="shared" si="8"/>
        <v>41</v>
      </c>
      <c r="V16" s="17">
        <f t="shared" si="8"/>
        <v>254</v>
      </c>
      <c r="W16" s="17">
        <f t="shared" si="8"/>
        <v>5</v>
      </c>
      <c r="X16" s="17">
        <f t="shared" si="8"/>
        <v>0</v>
      </c>
      <c r="Y16" s="17">
        <f t="shared" si="8"/>
        <v>17</v>
      </c>
      <c r="Z16" s="17">
        <f t="shared" si="8"/>
        <v>17</v>
      </c>
      <c r="AA16" s="17">
        <f t="shared" si="8"/>
        <v>2</v>
      </c>
      <c r="AB16" s="17">
        <f t="shared" si="8"/>
        <v>6</v>
      </c>
      <c r="AC16" s="17">
        <f t="shared" si="8"/>
        <v>563</v>
      </c>
      <c r="AD16" s="17">
        <f t="shared" si="8"/>
        <v>0</v>
      </c>
      <c r="AE16" s="31">
        <f t="shared" si="8"/>
        <v>824</v>
      </c>
      <c r="AF16" s="31">
        <f t="shared" si="8"/>
        <v>1387</v>
      </c>
    </row>
    <row r="17" spans="2:32" ht="23.1" customHeight="1" x14ac:dyDescent="0.25">
      <c r="B17" s="23" t="s">
        <v>44</v>
      </c>
      <c r="C17" s="50">
        <v>27</v>
      </c>
      <c r="D17" s="50">
        <v>11</v>
      </c>
      <c r="E17" s="50">
        <v>2</v>
      </c>
      <c r="F17" s="50">
        <v>51</v>
      </c>
      <c r="G17" s="50">
        <v>0</v>
      </c>
      <c r="H17" s="50">
        <v>0</v>
      </c>
      <c r="I17" s="50">
        <v>4</v>
      </c>
      <c r="J17" s="50">
        <v>5</v>
      </c>
      <c r="K17" s="50">
        <v>1</v>
      </c>
      <c r="L17" s="50">
        <v>0</v>
      </c>
      <c r="M17" s="50">
        <v>117</v>
      </c>
      <c r="N17" s="50">
        <v>0</v>
      </c>
      <c r="O17" s="15">
        <f t="shared" si="0"/>
        <v>101</v>
      </c>
      <c r="P17" s="15">
        <f t="shared" si="1"/>
        <v>218</v>
      </c>
      <c r="R17" s="1" t="s">
        <v>13</v>
      </c>
      <c r="S17" s="17">
        <f t="shared" ref="S17:AF17" si="9">SUM(C38:C41)</f>
        <v>355</v>
      </c>
      <c r="T17" s="17">
        <f t="shared" si="9"/>
        <v>125</v>
      </c>
      <c r="U17" s="17">
        <f t="shared" si="9"/>
        <v>20</v>
      </c>
      <c r="V17" s="17">
        <f t="shared" si="9"/>
        <v>222</v>
      </c>
      <c r="W17" s="17">
        <f t="shared" si="9"/>
        <v>3</v>
      </c>
      <c r="X17" s="17">
        <f t="shared" si="9"/>
        <v>5</v>
      </c>
      <c r="Y17" s="17">
        <f t="shared" si="9"/>
        <v>26</v>
      </c>
      <c r="Z17" s="17">
        <f t="shared" si="9"/>
        <v>8</v>
      </c>
      <c r="AA17" s="17">
        <f t="shared" si="9"/>
        <v>5</v>
      </c>
      <c r="AB17" s="17">
        <f t="shared" si="9"/>
        <v>9</v>
      </c>
      <c r="AC17" s="17">
        <f t="shared" si="9"/>
        <v>770</v>
      </c>
      <c r="AD17" s="17">
        <f t="shared" si="9"/>
        <v>0</v>
      </c>
      <c r="AE17" s="31">
        <f t="shared" si="9"/>
        <v>778</v>
      </c>
      <c r="AF17" s="31">
        <f t="shared" si="9"/>
        <v>1548</v>
      </c>
    </row>
    <row r="18" spans="2:32" ht="23.1" customHeight="1" x14ac:dyDescent="0.25">
      <c r="B18" s="23" t="s">
        <v>45</v>
      </c>
      <c r="C18" s="50">
        <v>25</v>
      </c>
      <c r="D18" s="50">
        <v>12</v>
      </c>
      <c r="E18" s="50">
        <v>7</v>
      </c>
      <c r="F18" s="50">
        <v>60</v>
      </c>
      <c r="G18" s="50">
        <v>1</v>
      </c>
      <c r="H18" s="50">
        <v>0</v>
      </c>
      <c r="I18" s="50">
        <v>6</v>
      </c>
      <c r="J18" s="50">
        <v>3</v>
      </c>
      <c r="K18" s="50">
        <v>1</v>
      </c>
      <c r="L18" s="50">
        <v>1</v>
      </c>
      <c r="M18" s="50">
        <v>113</v>
      </c>
      <c r="N18" s="50">
        <v>0</v>
      </c>
      <c r="O18" s="15">
        <f t="shared" si="0"/>
        <v>116</v>
      </c>
      <c r="P18" s="15">
        <f t="shared" si="1"/>
        <v>229</v>
      </c>
      <c r="R18" s="1" t="s">
        <v>14</v>
      </c>
      <c r="S18" s="17">
        <f t="shared" ref="S18:AF18" si="10">SUM(C42:C45)</f>
        <v>378</v>
      </c>
      <c r="T18" s="17">
        <f t="shared" si="10"/>
        <v>97</v>
      </c>
      <c r="U18" s="17">
        <f t="shared" si="10"/>
        <v>44</v>
      </c>
      <c r="V18" s="17">
        <f t="shared" si="10"/>
        <v>238</v>
      </c>
      <c r="W18" s="17">
        <f t="shared" si="10"/>
        <v>6</v>
      </c>
      <c r="X18" s="17">
        <f t="shared" si="10"/>
        <v>1</v>
      </c>
      <c r="Y18" s="17">
        <f t="shared" si="10"/>
        <v>22</v>
      </c>
      <c r="Z18" s="17">
        <f t="shared" si="10"/>
        <v>2</v>
      </c>
      <c r="AA18" s="17">
        <f t="shared" si="10"/>
        <v>0</v>
      </c>
      <c r="AB18" s="17">
        <f t="shared" si="10"/>
        <v>4</v>
      </c>
      <c r="AC18" s="17">
        <f t="shared" si="10"/>
        <v>899</v>
      </c>
      <c r="AD18" s="17">
        <f t="shared" si="10"/>
        <v>0</v>
      </c>
      <c r="AE18" s="31">
        <f t="shared" si="10"/>
        <v>792</v>
      </c>
      <c r="AF18" s="31">
        <f t="shared" si="10"/>
        <v>1691</v>
      </c>
    </row>
    <row r="19" spans="2:32" ht="23.1" customHeight="1" x14ac:dyDescent="0.25">
      <c r="B19" s="23" t="s">
        <v>46</v>
      </c>
      <c r="C19" s="50">
        <v>43</v>
      </c>
      <c r="D19" s="50">
        <v>9</v>
      </c>
      <c r="E19" s="50">
        <v>6</v>
      </c>
      <c r="F19" s="50">
        <v>52</v>
      </c>
      <c r="G19" s="50">
        <v>4</v>
      </c>
      <c r="H19" s="50">
        <v>0</v>
      </c>
      <c r="I19" s="50">
        <v>4</v>
      </c>
      <c r="J19" s="50">
        <v>1</v>
      </c>
      <c r="K19" s="50">
        <v>0</v>
      </c>
      <c r="L19" s="50">
        <v>3</v>
      </c>
      <c r="M19" s="50">
        <v>134</v>
      </c>
      <c r="N19" s="50">
        <v>0</v>
      </c>
      <c r="O19" s="15">
        <f t="shared" si="0"/>
        <v>122</v>
      </c>
      <c r="P19" s="15">
        <f t="shared" si="1"/>
        <v>256</v>
      </c>
      <c r="R19" s="1" t="s">
        <v>15</v>
      </c>
      <c r="S19" s="17">
        <f t="shared" ref="S19:AF19" si="11">SUM(C46:C49)</f>
        <v>340</v>
      </c>
      <c r="T19" s="17">
        <f t="shared" si="11"/>
        <v>103</v>
      </c>
      <c r="U19" s="17">
        <f t="shared" si="11"/>
        <v>19</v>
      </c>
      <c r="V19" s="17">
        <f t="shared" si="11"/>
        <v>264</v>
      </c>
      <c r="W19" s="17">
        <f t="shared" si="11"/>
        <v>7</v>
      </c>
      <c r="X19" s="17">
        <f t="shared" si="11"/>
        <v>1</v>
      </c>
      <c r="Y19" s="17">
        <f t="shared" si="11"/>
        <v>27</v>
      </c>
      <c r="Z19" s="17">
        <f t="shared" si="11"/>
        <v>5</v>
      </c>
      <c r="AA19" s="17">
        <f t="shared" si="11"/>
        <v>3</v>
      </c>
      <c r="AB19" s="17">
        <f t="shared" si="11"/>
        <v>5</v>
      </c>
      <c r="AC19" s="17">
        <f t="shared" si="11"/>
        <v>662</v>
      </c>
      <c r="AD19" s="17">
        <f t="shared" si="11"/>
        <v>0</v>
      </c>
      <c r="AE19" s="31">
        <f t="shared" si="11"/>
        <v>774</v>
      </c>
      <c r="AF19" s="31">
        <f t="shared" si="11"/>
        <v>1436</v>
      </c>
    </row>
    <row r="20" spans="2:32" ht="23.1" customHeight="1" x14ac:dyDescent="0.25">
      <c r="B20" s="23" t="s">
        <v>47</v>
      </c>
      <c r="C20" s="50">
        <v>72</v>
      </c>
      <c r="D20" s="50">
        <v>7</v>
      </c>
      <c r="E20" s="50">
        <v>8</v>
      </c>
      <c r="F20" s="50">
        <v>63</v>
      </c>
      <c r="G20" s="50">
        <v>2</v>
      </c>
      <c r="H20" s="50">
        <v>0</v>
      </c>
      <c r="I20" s="50">
        <v>1</v>
      </c>
      <c r="J20" s="50">
        <v>0</v>
      </c>
      <c r="K20" s="50">
        <v>0</v>
      </c>
      <c r="L20" s="50">
        <v>2</v>
      </c>
      <c r="M20" s="50">
        <v>139</v>
      </c>
      <c r="N20" s="50">
        <v>0</v>
      </c>
      <c r="O20" s="15">
        <f t="shared" si="0"/>
        <v>155</v>
      </c>
      <c r="P20" s="15">
        <f t="shared" si="1"/>
        <v>294</v>
      </c>
      <c r="R20" s="1" t="s">
        <v>16</v>
      </c>
      <c r="S20" s="17">
        <f t="shared" ref="S20:AF20" si="12">SUM(C50:C53)</f>
        <v>307</v>
      </c>
      <c r="T20" s="17">
        <f t="shared" si="12"/>
        <v>69</v>
      </c>
      <c r="U20" s="17">
        <f t="shared" si="12"/>
        <v>23</v>
      </c>
      <c r="V20" s="17">
        <f t="shared" si="12"/>
        <v>278</v>
      </c>
      <c r="W20" s="17">
        <f t="shared" si="12"/>
        <v>5</v>
      </c>
      <c r="X20" s="17">
        <f t="shared" si="12"/>
        <v>1</v>
      </c>
      <c r="Y20" s="17">
        <f t="shared" si="12"/>
        <v>19</v>
      </c>
      <c r="Z20" s="17">
        <f t="shared" si="12"/>
        <v>3</v>
      </c>
      <c r="AA20" s="17">
        <f t="shared" si="12"/>
        <v>3</v>
      </c>
      <c r="AB20" s="17">
        <f t="shared" si="12"/>
        <v>4</v>
      </c>
      <c r="AC20" s="17">
        <f t="shared" si="12"/>
        <v>663</v>
      </c>
      <c r="AD20" s="17">
        <f t="shared" si="12"/>
        <v>0</v>
      </c>
      <c r="AE20" s="31">
        <f t="shared" si="12"/>
        <v>712</v>
      </c>
      <c r="AF20" s="31">
        <f t="shared" si="12"/>
        <v>1375</v>
      </c>
    </row>
    <row r="21" spans="2:32" ht="23.1" customHeight="1" x14ac:dyDescent="0.25">
      <c r="B21" s="23" t="s">
        <v>48</v>
      </c>
      <c r="C21" s="50">
        <v>62</v>
      </c>
      <c r="D21" s="50">
        <v>12</v>
      </c>
      <c r="E21" s="50">
        <v>8</v>
      </c>
      <c r="F21" s="50">
        <v>66</v>
      </c>
      <c r="G21" s="50">
        <v>2</v>
      </c>
      <c r="H21" s="50">
        <v>2</v>
      </c>
      <c r="I21" s="50">
        <v>4</v>
      </c>
      <c r="J21" s="50">
        <v>5</v>
      </c>
      <c r="K21" s="50">
        <v>2</v>
      </c>
      <c r="L21" s="50">
        <v>4</v>
      </c>
      <c r="M21" s="50">
        <v>115</v>
      </c>
      <c r="N21" s="50">
        <v>0</v>
      </c>
      <c r="O21" s="15">
        <f t="shared" si="0"/>
        <v>167</v>
      </c>
      <c r="P21" s="15">
        <f t="shared" si="1"/>
        <v>282</v>
      </c>
      <c r="R21" s="36" t="s">
        <v>20</v>
      </c>
      <c r="S21" s="34">
        <f t="shared" ref="S21:AF21" si="13">SUM(C54:C57)</f>
        <v>300</v>
      </c>
      <c r="T21" s="17">
        <f t="shared" si="13"/>
        <v>39</v>
      </c>
      <c r="U21" s="17">
        <f t="shared" si="13"/>
        <v>23</v>
      </c>
      <c r="V21" s="17">
        <f t="shared" si="13"/>
        <v>231</v>
      </c>
      <c r="W21" s="17">
        <f t="shared" si="13"/>
        <v>5</v>
      </c>
      <c r="X21" s="17">
        <f t="shared" si="13"/>
        <v>2</v>
      </c>
      <c r="Y21" s="17">
        <f t="shared" si="13"/>
        <v>11</v>
      </c>
      <c r="Z21" s="17">
        <f t="shared" si="13"/>
        <v>7</v>
      </c>
      <c r="AA21" s="17">
        <f t="shared" si="13"/>
        <v>1</v>
      </c>
      <c r="AB21" s="17">
        <f t="shared" si="13"/>
        <v>1</v>
      </c>
      <c r="AC21" s="17">
        <f t="shared" si="13"/>
        <v>675</v>
      </c>
      <c r="AD21" s="17">
        <f t="shared" si="13"/>
        <v>0</v>
      </c>
      <c r="AE21" s="31">
        <f t="shared" si="13"/>
        <v>620</v>
      </c>
      <c r="AF21" s="31">
        <f t="shared" si="13"/>
        <v>1295</v>
      </c>
    </row>
    <row r="22" spans="2:32" ht="23.1" customHeight="1" x14ac:dyDescent="0.25">
      <c r="B22" s="23" t="s">
        <v>49</v>
      </c>
      <c r="C22" s="50">
        <v>69</v>
      </c>
      <c r="D22" s="50">
        <v>8</v>
      </c>
      <c r="E22" s="50">
        <v>10</v>
      </c>
      <c r="F22" s="50">
        <v>63</v>
      </c>
      <c r="G22" s="50">
        <v>1</v>
      </c>
      <c r="H22" s="50">
        <v>1</v>
      </c>
      <c r="I22" s="50">
        <v>3</v>
      </c>
      <c r="J22" s="50">
        <v>3</v>
      </c>
      <c r="K22" s="50">
        <v>2</v>
      </c>
      <c r="L22" s="50">
        <v>0</v>
      </c>
      <c r="M22" s="50">
        <v>143</v>
      </c>
      <c r="N22" s="50">
        <v>0</v>
      </c>
      <c r="O22" s="15">
        <f t="shared" si="0"/>
        <v>160</v>
      </c>
      <c r="P22" s="15">
        <f t="shared" si="1"/>
        <v>303</v>
      </c>
      <c r="R22" s="38" t="s">
        <v>90</v>
      </c>
      <c r="S22" s="39">
        <f>MAX(S10:S12)</f>
        <v>202</v>
      </c>
      <c r="T22" s="39">
        <f t="shared" ref="T22:AF22" si="14">MAX(T10:T12)</f>
        <v>40</v>
      </c>
      <c r="U22" s="39">
        <f t="shared" si="14"/>
        <v>29</v>
      </c>
      <c r="V22" s="39">
        <f t="shared" si="14"/>
        <v>241</v>
      </c>
      <c r="W22" s="39">
        <f t="shared" si="14"/>
        <v>9</v>
      </c>
      <c r="X22" s="39">
        <f t="shared" si="14"/>
        <v>3</v>
      </c>
      <c r="Y22" s="39">
        <f t="shared" si="14"/>
        <v>24</v>
      </c>
      <c r="Z22" s="39">
        <f t="shared" si="14"/>
        <v>10</v>
      </c>
      <c r="AA22" s="39">
        <f t="shared" si="14"/>
        <v>4</v>
      </c>
      <c r="AB22" s="39">
        <f t="shared" si="14"/>
        <v>10</v>
      </c>
      <c r="AC22" s="39">
        <f t="shared" si="14"/>
        <v>501</v>
      </c>
      <c r="AD22" s="39">
        <f t="shared" si="14"/>
        <v>0</v>
      </c>
      <c r="AE22" s="40">
        <f t="shared" si="14"/>
        <v>560</v>
      </c>
      <c r="AF22" s="40">
        <f t="shared" si="14"/>
        <v>1061</v>
      </c>
    </row>
    <row r="23" spans="2:32" ht="23.1" customHeight="1" x14ac:dyDescent="0.25">
      <c r="B23" s="23" t="s">
        <v>50</v>
      </c>
      <c r="C23" s="50">
        <v>88</v>
      </c>
      <c r="D23" s="50">
        <v>6</v>
      </c>
      <c r="E23" s="50">
        <v>7</v>
      </c>
      <c r="F23" s="50">
        <v>64</v>
      </c>
      <c r="G23" s="50">
        <v>1</v>
      </c>
      <c r="H23" s="50">
        <v>0</v>
      </c>
      <c r="I23" s="50">
        <v>4</v>
      </c>
      <c r="J23" s="50">
        <v>1</v>
      </c>
      <c r="K23" s="50">
        <v>0</v>
      </c>
      <c r="L23" s="50">
        <v>2</v>
      </c>
      <c r="M23" s="50">
        <v>137</v>
      </c>
      <c r="N23" s="50">
        <v>0</v>
      </c>
      <c r="O23" s="15">
        <f t="shared" si="0"/>
        <v>173</v>
      </c>
      <c r="P23" s="15">
        <f t="shared" si="1"/>
        <v>310</v>
      </c>
      <c r="R23" s="38" t="s">
        <v>91</v>
      </c>
      <c r="S23" s="39">
        <f>MAX(S13:S18)</f>
        <v>378</v>
      </c>
      <c r="T23" s="39">
        <f t="shared" ref="T23:AF23" si="15">MAX(T13:T18)</f>
        <v>125</v>
      </c>
      <c r="U23" s="39">
        <f t="shared" si="15"/>
        <v>44</v>
      </c>
      <c r="V23" s="39">
        <f t="shared" si="15"/>
        <v>268</v>
      </c>
      <c r="W23" s="39">
        <f t="shared" si="15"/>
        <v>8</v>
      </c>
      <c r="X23" s="39">
        <f t="shared" si="15"/>
        <v>5</v>
      </c>
      <c r="Y23" s="39">
        <f t="shared" si="15"/>
        <v>33</v>
      </c>
      <c r="Z23" s="39">
        <f t="shared" si="15"/>
        <v>17</v>
      </c>
      <c r="AA23" s="39">
        <f t="shared" si="15"/>
        <v>5</v>
      </c>
      <c r="AB23" s="39">
        <f t="shared" si="15"/>
        <v>20</v>
      </c>
      <c r="AC23" s="39">
        <f t="shared" si="15"/>
        <v>899</v>
      </c>
      <c r="AD23" s="39">
        <f t="shared" si="15"/>
        <v>0</v>
      </c>
      <c r="AE23" s="40">
        <f t="shared" si="15"/>
        <v>824</v>
      </c>
      <c r="AF23" s="40">
        <f t="shared" si="15"/>
        <v>1691</v>
      </c>
    </row>
    <row r="24" spans="2:32" ht="23.1" customHeight="1" x14ac:dyDescent="0.25">
      <c r="B24" s="23" t="s">
        <v>51</v>
      </c>
      <c r="C24" s="50">
        <v>83</v>
      </c>
      <c r="D24" s="50">
        <v>10</v>
      </c>
      <c r="E24" s="50">
        <v>8</v>
      </c>
      <c r="F24" s="50">
        <v>72</v>
      </c>
      <c r="G24" s="50">
        <v>2</v>
      </c>
      <c r="H24" s="50">
        <v>0</v>
      </c>
      <c r="I24" s="50">
        <v>7</v>
      </c>
      <c r="J24" s="50">
        <v>3</v>
      </c>
      <c r="K24" s="50">
        <v>0</v>
      </c>
      <c r="L24" s="50">
        <v>1</v>
      </c>
      <c r="M24" s="50">
        <v>132</v>
      </c>
      <c r="N24" s="50">
        <v>0</v>
      </c>
      <c r="O24" s="15">
        <f t="shared" si="0"/>
        <v>186</v>
      </c>
      <c r="P24" s="15">
        <f t="shared" si="1"/>
        <v>318</v>
      </c>
      <c r="R24" s="38" t="s">
        <v>92</v>
      </c>
      <c r="S24" s="39">
        <f>MAX(S19:S21)</f>
        <v>340</v>
      </c>
      <c r="T24" s="39">
        <f t="shared" ref="T24:AF24" si="16">MAX(T19:T21)</f>
        <v>103</v>
      </c>
      <c r="U24" s="39">
        <f t="shared" si="16"/>
        <v>23</v>
      </c>
      <c r="V24" s="39">
        <f t="shared" si="16"/>
        <v>278</v>
      </c>
      <c r="W24" s="39">
        <f t="shared" si="16"/>
        <v>7</v>
      </c>
      <c r="X24" s="39">
        <f t="shared" si="16"/>
        <v>2</v>
      </c>
      <c r="Y24" s="39">
        <f t="shared" si="16"/>
        <v>27</v>
      </c>
      <c r="Z24" s="39">
        <f t="shared" si="16"/>
        <v>7</v>
      </c>
      <c r="AA24" s="39">
        <f t="shared" si="16"/>
        <v>3</v>
      </c>
      <c r="AB24" s="39">
        <f t="shared" si="16"/>
        <v>5</v>
      </c>
      <c r="AC24" s="39">
        <f t="shared" si="16"/>
        <v>675</v>
      </c>
      <c r="AD24" s="39">
        <f t="shared" si="16"/>
        <v>0</v>
      </c>
      <c r="AE24" s="40">
        <f t="shared" si="16"/>
        <v>774</v>
      </c>
      <c r="AF24" s="40">
        <f t="shared" si="16"/>
        <v>1436</v>
      </c>
    </row>
    <row r="25" spans="2:32" ht="23.1" customHeight="1" x14ac:dyDescent="0.25">
      <c r="B25" s="23" t="s">
        <v>52</v>
      </c>
      <c r="C25" s="50">
        <v>74</v>
      </c>
      <c r="D25" s="50">
        <v>6</v>
      </c>
      <c r="E25" s="50">
        <v>7</v>
      </c>
      <c r="F25" s="50">
        <v>53</v>
      </c>
      <c r="G25" s="50">
        <v>1</v>
      </c>
      <c r="H25" s="50">
        <v>0</v>
      </c>
      <c r="I25" s="50">
        <v>8</v>
      </c>
      <c r="J25" s="50">
        <v>7</v>
      </c>
      <c r="K25" s="50">
        <v>1</v>
      </c>
      <c r="L25" s="50">
        <v>2</v>
      </c>
      <c r="M25" s="50">
        <v>154</v>
      </c>
      <c r="N25" s="50">
        <v>0</v>
      </c>
      <c r="O25" s="15">
        <f t="shared" si="0"/>
        <v>159</v>
      </c>
      <c r="P25" s="15">
        <f t="shared" si="1"/>
        <v>313</v>
      </c>
      <c r="R25" s="37" t="s">
        <v>85</v>
      </c>
      <c r="S25" s="35">
        <f t="shared" ref="S25:AF25" si="17">SUM(S10:S12)</f>
        <v>366</v>
      </c>
      <c r="T25" s="16">
        <f t="shared" si="17"/>
        <v>104</v>
      </c>
      <c r="U25" s="16">
        <f t="shared" si="17"/>
        <v>55</v>
      </c>
      <c r="V25" s="16">
        <f t="shared" si="17"/>
        <v>598</v>
      </c>
      <c r="W25" s="16">
        <f t="shared" si="17"/>
        <v>21</v>
      </c>
      <c r="X25" s="16">
        <f t="shared" si="17"/>
        <v>6</v>
      </c>
      <c r="Y25" s="16">
        <f t="shared" si="17"/>
        <v>54</v>
      </c>
      <c r="Z25" s="16">
        <f t="shared" si="17"/>
        <v>29</v>
      </c>
      <c r="AA25" s="16">
        <f t="shared" si="17"/>
        <v>9</v>
      </c>
      <c r="AB25" s="16">
        <f t="shared" si="17"/>
        <v>22</v>
      </c>
      <c r="AC25" s="16">
        <f t="shared" si="17"/>
        <v>1119</v>
      </c>
      <c r="AD25" s="16">
        <f t="shared" si="17"/>
        <v>0</v>
      </c>
      <c r="AE25" s="32">
        <f t="shared" si="17"/>
        <v>1264</v>
      </c>
      <c r="AF25" s="32">
        <f t="shared" si="17"/>
        <v>2383</v>
      </c>
    </row>
    <row r="26" spans="2:32" ht="23.1" customHeight="1" x14ac:dyDescent="0.25">
      <c r="B26" s="23" t="s">
        <v>53</v>
      </c>
      <c r="C26" s="50">
        <v>55</v>
      </c>
      <c r="D26" s="50">
        <v>28</v>
      </c>
      <c r="E26" s="50">
        <v>16</v>
      </c>
      <c r="F26" s="50">
        <v>70</v>
      </c>
      <c r="G26" s="50">
        <v>1</v>
      </c>
      <c r="H26" s="50">
        <v>1</v>
      </c>
      <c r="I26" s="50">
        <v>4</v>
      </c>
      <c r="J26" s="50">
        <v>5</v>
      </c>
      <c r="K26" s="50">
        <v>0</v>
      </c>
      <c r="L26" s="50">
        <v>1</v>
      </c>
      <c r="M26" s="50">
        <v>148</v>
      </c>
      <c r="N26" s="50">
        <v>0</v>
      </c>
      <c r="O26" s="15">
        <f t="shared" si="0"/>
        <v>181</v>
      </c>
      <c r="P26" s="15">
        <f t="shared" si="1"/>
        <v>329</v>
      </c>
      <c r="R26" s="28" t="s">
        <v>86</v>
      </c>
      <c r="S26" s="16">
        <f t="shared" ref="S26:AF26" si="18">SUM(S13:S18)</f>
        <v>1938</v>
      </c>
      <c r="T26" s="16">
        <f t="shared" si="18"/>
        <v>533</v>
      </c>
      <c r="U26" s="16">
        <f t="shared" si="18"/>
        <v>206</v>
      </c>
      <c r="V26" s="16">
        <f t="shared" si="18"/>
        <v>1464</v>
      </c>
      <c r="W26" s="16">
        <f t="shared" si="18"/>
        <v>30</v>
      </c>
      <c r="X26" s="16">
        <f t="shared" si="18"/>
        <v>14</v>
      </c>
      <c r="Y26" s="16">
        <f t="shared" si="18"/>
        <v>144</v>
      </c>
      <c r="Z26" s="16">
        <f t="shared" si="18"/>
        <v>64</v>
      </c>
      <c r="AA26" s="16">
        <f t="shared" si="18"/>
        <v>10</v>
      </c>
      <c r="AB26" s="16">
        <f t="shared" si="18"/>
        <v>55</v>
      </c>
      <c r="AC26" s="16">
        <f t="shared" si="18"/>
        <v>4039</v>
      </c>
      <c r="AD26" s="16">
        <f t="shared" si="18"/>
        <v>0</v>
      </c>
      <c r="AE26" s="32">
        <f t="shared" si="18"/>
        <v>4458</v>
      </c>
      <c r="AF26" s="32">
        <f t="shared" si="18"/>
        <v>8497</v>
      </c>
    </row>
    <row r="27" spans="2:32" ht="23.1" customHeight="1" x14ac:dyDescent="0.25">
      <c r="B27" s="23" t="s">
        <v>54</v>
      </c>
      <c r="C27" s="50">
        <v>61</v>
      </c>
      <c r="D27" s="50">
        <v>15</v>
      </c>
      <c r="E27" s="50">
        <v>7</v>
      </c>
      <c r="F27" s="50">
        <v>65</v>
      </c>
      <c r="G27" s="50">
        <v>1</v>
      </c>
      <c r="H27" s="50">
        <v>2</v>
      </c>
      <c r="I27" s="50">
        <v>2</v>
      </c>
      <c r="J27" s="50">
        <v>0</v>
      </c>
      <c r="K27" s="50">
        <v>0</v>
      </c>
      <c r="L27" s="50">
        <v>2</v>
      </c>
      <c r="M27" s="50">
        <v>159</v>
      </c>
      <c r="N27" s="50">
        <v>0</v>
      </c>
      <c r="O27" s="15">
        <f t="shared" si="0"/>
        <v>155</v>
      </c>
      <c r="P27" s="15">
        <f t="shared" si="1"/>
        <v>314</v>
      </c>
      <c r="R27" s="29" t="s">
        <v>87</v>
      </c>
      <c r="S27" s="16">
        <f t="shared" ref="S27:AF27" si="19">SUM(S19:S21)</f>
        <v>947</v>
      </c>
      <c r="T27" s="16">
        <f t="shared" si="19"/>
        <v>211</v>
      </c>
      <c r="U27" s="16">
        <f t="shared" si="19"/>
        <v>65</v>
      </c>
      <c r="V27" s="16">
        <f t="shared" si="19"/>
        <v>773</v>
      </c>
      <c r="W27" s="16">
        <f t="shared" si="19"/>
        <v>17</v>
      </c>
      <c r="X27" s="16">
        <f t="shared" si="19"/>
        <v>4</v>
      </c>
      <c r="Y27" s="16">
        <f t="shared" si="19"/>
        <v>57</v>
      </c>
      <c r="Z27" s="16">
        <f t="shared" si="19"/>
        <v>15</v>
      </c>
      <c r="AA27" s="16">
        <f t="shared" si="19"/>
        <v>7</v>
      </c>
      <c r="AB27" s="16">
        <f t="shared" si="19"/>
        <v>10</v>
      </c>
      <c r="AC27" s="16">
        <f t="shared" si="19"/>
        <v>2000</v>
      </c>
      <c r="AD27" s="16">
        <f t="shared" si="19"/>
        <v>0</v>
      </c>
      <c r="AE27" s="32">
        <f t="shared" si="19"/>
        <v>2106</v>
      </c>
      <c r="AF27" s="32">
        <f t="shared" si="19"/>
        <v>4106</v>
      </c>
    </row>
    <row r="28" spans="2:32" ht="23.1" customHeight="1" x14ac:dyDescent="0.25">
      <c r="B28" s="23" t="s">
        <v>55</v>
      </c>
      <c r="C28" s="50">
        <v>55</v>
      </c>
      <c r="D28" s="50">
        <v>8</v>
      </c>
      <c r="E28" s="50">
        <v>5</v>
      </c>
      <c r="F28" s="50">
        <v>68</v>
      </c>
      <c r="G28" s="50">
        <v>0</v>
      </c>
      <c r="H28" s="50">
        <v>1</v>
      </c>
      <c r="I28" s="50">
        <v>6</v>
      </c>
      <c r="J28" s="50">
        <v>2</v>
      </c>
      <c r="K28" s="50">
        <v>0</v>
      </c>
      <c r="L28" s="50">
        <v>5</v>
      </c>
      <c r="M28" s="50">
        <v>168</v>
      </c>
      <c r="N28" s="50">
        <v>0</v>
      </c>
      <c r="O28" s="15">
        <f t="shared" si="0"/>
        <v>150</v>
      </c>
      <c r="P28" s="15">
        <f t="shared" si="1"/>
        <v>318</v>
      </c>
      <c r="R28" s="5" t="s">
        <v>17</v>
      </c>
      <c r="S28" s="16">
        <f t="shared" ref="S28:AF28" si="20">SUM(S10:S21)</f>
        <v>3251</v>
      </c>
      <c r="T28" s="16">
        <f t="shared" si="20"/>
        <v>848</v>
      </c>
      <c r="U28" s="16">
        <f t="shared" si="20"/>
        <v>326</v>
      </c>
      <c r="V28" s="16">
        <f t="shared" si="20"/>
        <v>2835</v>
      </c>
      <c r="W28" s="16">
        <f t="shared" si="20"/>
        <v>68</v>
      </c>
      <c r="X28" s="16">
        <f t="shared" si="20"/>
        <v>24</v>
      </c>
      <c r="Y28" s="16">
        <f t="shared" si="20"/>
        <v>255</v>
      </c>
      <c r="Z28" s="16">
        <f t="shared" si="20"/>
        <v>108</v>
      </c>
      <c r="AA28" s="16">
        <f t="shared" si="20"/>
        <v>26</v>
      </c>
      <c r="AB28" s="16">
        <f t="shared" si="20"/>
        <v>87</v>
      </c>
      <c r="AC28" s="16">
        <f t="shared" si="20"/>
        <v>7158</v>
      </c>
      <c r="AD28" s="16">
        <f t="shared" si="20"/>
        <v>0</v>
      </c>
      <c r="AE28" s="32">
        <f t="shared" si="20"/>
        <v>7828</v>
      </c>
      <c r="AF28" s="32">
        <f t="shared" si="20"/>
        <v>14986</v>
      </c>
    </row>
    <row r="29" spans="2:32" ht="23.1" customHeight="1" x14ac:dyDescent="0.25">
      <c r="B29" s="23" t="s">
        <v>56</v>
      </c>
      <c r="C29" s="50">
        <v>55</v>
      </c>
      <c r="D29" s="50">
        <v>30</v>
      </c>
      <c r="E29" s="50">
        <v>5</v>
      </c>
      <c r="F29" s="50">
        <v>65</v>
      </c>
      <c r="G29" s="50">
        <v>1</v>
      </c>
      <c r="H29" s="50">
        <v>0</v>
      </c>
      <c r="I29" s="50">
        <v>12</v>
      </c>
      <c r="J29" s="50">
        <v>3</v>
      </c>
      <c r="K29" s="50">
        <v>0</v>
      </c>
      <c r="L29" s="50">
        <v>3</v>
      </c>
      <c r="M29" s="50">
        <v>183</v>
      </c>
      <c r="N29" s="50">
        <v>0</v>
      </c>
      <c r="O29" s="15">
        <f t="shared" si="0"/>
        <v>174</v>
      </c>
      <c r="P29" s="15">
        <f t="shared" si="1"/>
        <v>357</v>
      </c>
      <c r="R29"/>
      <c r="S29" s="20"/>
      <c r="T29" s="19"/>
    </row>
    <row r="30" spans="2:32" ht="23.1" customHeight="1" x14ac:dyDescent="0.25">
      <c r="B30" s="23" t="s">
        <v>57</v>
      </c>
      <c r="C30" s="50">
        <v>78</v>
      </c>
      <c r="D30" s="50">
        <v>15</v>
      </c>
      <c r="E30" s="50">
        <v>8</v>
      </c>
      <c r="F30" s="50">
        <v>67</v>
      </c>
      <c r="G30" s="50">
        <v>2</v>
      </c>
      <c r="H30" s="50">
        <v>0</v>
      </c>
      <c r="I30" s="50">
        <v>7</v>
      </c>
      <c r="J30" s="50">
        <v>4</v>
      </c>
      <c r="K30" s="50">
        <v>0</v>
      </c>
      <c r="L30" s="50">
        <v>5</v>
      </c>
      <c r="M30" s="50">
        <v>138</v>
      </c>
      <c r="N30" s="50">
        <v>0</v>
      </c>
      <c r="O30" s="15">
        <f t="shared" si="0"/>
        <v>186</v>
      </c>
      <c r="P30" s="15">
        <f t="shared" si="1"/>
        <v>324</v>
      </c>
    </row>
    <row r="31" spans="2:32" ht="23.1" customHeight="1" x14ac:dyDescent="0.25">
      <c r="B31" s="24" t="s">
        <v>58</v>
      </c>
      <c r="C31" s="50">
        <v>90</v>
      </c>
      <c r="D31" s="50">
        <v>30</v>
      </c>
      <c r="E31" s="50">
        <v>5</v>
      </c>
      <c r="F31" s="50">
        <v>65</v>
      </c>
      <c r="G31" s="50">
        <v>2</v>
      </c>
      <c r="H31" s="50">
        <v>2</v>
      </c>
      <c r="I31" s="50">
        <v>9</v>
      </c>
      <c r="J31" s="50">
        <v>3</v>
      </c>
      <c r="K31" s="50">
        <v>0</v>
      </c>
      <c r="L31" s="50">
        <v>7</v>
      </c>
      <c r="M31" s="50">
        <v>147</v>
      </c>
      <c r="N31" s="50">
        <v>0</v>
      </c>
      <c r="O31" s="15">
        <f t="shared" si="0"/>
        <v>213</v>
      </c>
      <c r="P31" s="15">
        <f t="shared" si="1"/>
        <v>360</v>
      </c>
    </row>
    <row r="32" spans="2:32" ht="23.1" customHeight="1" x14ac:dyDescent="0.25">
      <c r="B32" s="24" t="s">
        <v>59</v>
      </c>
      <c r="C32" s="50">
        <v>62</v>
      </c>
      <c r="D32" s="50">
        <v>22</v>
      </c>
      <c r="E32" s="50">
        <v>13</v>
      </c>
      <c r="F32" s="50">
        <v>45</v>
      </c>
      <c r="G32" s="50">
        <v>2</v>
      </c>
      <c r="H32" s="50">
        <v>0</v>
      </c>
      <c r="I32" s="50">
        <v>10</v>
      </c>
      <c r="J32" s="50">
        <v>6</v>
      </c>
      <c r="K32" s="50">
        <v>0</v>
      </c>
      <c r="L32" s="50">
        <v>6</v>
      </c>
      <c r="M32" s="50">
        <v>144</v>
      </c>
      <c r="N32" s="50">
        <v>0</v>
      </c>
      <c r="O32" s="15">
        <f t="shared" si="0"/>
        <v>166</v>
      </c>
      <c r="P32" s="15">
        <f t="shared" si="1"/>
        <v>310</v>
      </c>
    </row>
    <row r="33" spans="2:20" ht="23.1" customHeight="1" x14ac:dyDescent="0.25">
      <c r="B33" s="23" t="s">
        <v>60</v>
      </c>
      <c r="C33" s="50">
        <v>63</v>
      </c>
      <c r="D33" s="50">
        <v>23</v>
      </c>
      <c r="E33" s="50">
        <v>10</v>
      </c>
      <c r="F33" s="50">
        <v>53</v>
      </c>
      <c r="G33" s="50">
        <v>2</v>
      </c>
      <c r="H33" s="50">
        <v>1</v>
      </c>
      <c r="I33" s="50">
        <v>7</v>
      </c>
      <c r="J33" s="50">
        <v>0</v>
      </c>
      <c r="K33" s="50">
        <v>0</v>
      </c>
      <c r="L33" s="50">
        <v>2</v>
      </c>
      <c r="M33" s="50">
        <v>154</v>
      </c>
      <c r="N33" s="50">
        <v>0</v>
      </c>
      <c r="O33" s="15">
        <f t="shared" si="0"/>
        <v>161</v>
      </c>
      <c r="P33" s="15">
        <f t="shared" si="1"/>
        <v>315</v>
      </c>
    </row>
    <row r="34" spans="2:20" ht="23.1" customHeight="1" x14ac:dyDescent="0.25">
      <c r="B34" s="24" t="s">
        <v>61</v>
      </c>
      <c r="C34" s="50">
        <v>92</v>
      </c>
      <c r="D34" s="50">
        <v>23</v>
      </c>
      <c r="E34" s="50">
        <v>8</v>
      </c>
      <c r="F34" s="50">
        <v>65</v>
      </c>
      <c r="G34" s="50">
        <v>2</v>
      </c>
      <c r="H34" s="50">
        <v>0</v>
      </c>
      <c r="I34" s="50">
        <v>4</v>
      </c>
      <c r="J34" s="50">
        <v>5</v>
      </c>
      <c r="K34" s="50">
        <v>0</v>
      </c>
      <c r="L34" s="50">
        <v>2</v>
      </c>
      <c r="M34" s="50">
        <v>143</v>
      </c>
      <c r="N34" s="50">
        <v>0</v>
      </c>
      <c r="O34" s="15">
        <f t="shared" si="0"/>
        <v>201</v>
      </c>
      <c r="P34" s="15">
        <f t="shared" si="1"/>
        <v>344</v>
      </c>
    </row>
    <row r="35" spans="2:20" ht="23.1" customHeight="1" x14ac:dyDescent="0.25">
      <c r="B35" s="24" t="s">
        <v>62</v>
      </c>
      <c r="C35" s="50">
        <v>120</v>
      </c>
      <c r="D35" s="50">
        <v>29</v>
      </c>
      <c r="E35" s="50">
        <v>9</v>
      </c>
      <c r="F35" s="50">
        <v>55</v>
      </c>
      <c r="G35" s="50">
        <v>0</v>
      </c>
      <c r="H35" s="50">
        <v>0</v>
      </c>
      <c r="I35" s="50">
        <v>5</v>
      </c>
      <c r="J35" s="50">
        <v>9</v>
      </c>
      <c r="K35" s="50">
        <v>2</v>
      </c>
      <c r="L35" s="50">
        <v>2</v>
      </c>
      <c r="M35" s="50">
        <v>144</v>
      </c>
      <c r="N35" s="50">
        <v>0</v>
      </c>
      <c r="O35" s="15">
        <f t="shared" si="0"/>
        <v>231</v>
      </c>
      <c r="P35" s="15">
        <f t="shared" si="1"/>
        <v>375</v>
      </c>
    </row>
    <row r="36" spans="2:20" ht="23.1" customHeight="1" x14ac:dyDescent="0.25">
      <c r="B36" s="24" t="s">
        <v>63</v>
      </c>
      <c r="C36" s="50">
        <v>105</v>
      </c>
      <c r="D36" s="50">
        <v>40</v>
      </c>
      <c r="E36" s="50">
        <v>22</v>
      </c>
      <c r="F36" s="50">
        <v>66</v>
      </c>
      <c r="G36" s="50">
        <v>1</v>
      </c>
      <c r="H36" s="50">
        <v>0</v>
      </c>
      <c r="I36" s="50">
        <v>2</v>
      </c>
      <c r="J36" s="50">
        <v>1</v>
      </c>
      <c r="K36" s="50">
        <v>0</v>
      </c>
      <c r="L36" s="50">
        <v>1</v>
      </c>
      <c r="M36" s="50">
        <v>134</v>
      </c>
      <c r="N36" s="50">
        <v>0</v>
      </c>
      <c r="O36" s="15">
        <f t="shared" si="0"/>
        <v>238</v>
      </c>
      <c r="P36" s="15">
        <f t="shared" si="1"/>
        <v>372</v>
      </c>
    </row>
    <row r="37" spans="2:20" ht="23.1" customHeight="1" x14ac:dyDescent="0.25">
      <c r="B37" s="23" t="s">
        <v>64</v>
      </c>
      <c r="C37" s="50">
        <v>55</v>
      </c>
      <c r="D37" s="50">
        <v>18</v>
      </c>
      <c r="E37" s="50">
        <v>2</v>
      </c>
      <c r="F37" s="50">
        <v>68</v>
      </c>
      <c r="G37" s="50">
        <v>2</v>
      </c>
      <c r="H37" s="50">
        <v>0</v>
      </c>
      <c r="I37" s="50">
        <v>6</v>
      </c>
      <c r="J37" s="50">
        <v>2</v>
      </c>
      <c r="K37" s="50">
        <v>0</v>
      </c>
      <c r="L37" s="50">
        <v>1</v>
      </c>
      <c r="M37" s="50">
        <v>142</v>
      </c>
      <c r="N37" s="50">
        <v>0</v>
      </c>
      <c r="O37" s="15">
        <f t="shared" si="0"/>
        <v>154</v>
      </c>
      <c r="P37" s="15">
        <f t="shared" si="1"/>
        <v>296</v>
      </c>
    </row>
    <row r="38" spans="2:20" ht="23.1" customHeight="1" x14ac:dyDescent="0.25">
      <c r="B38" s="24" t="s">
        <v>65</v>
      </c>
      <c r="C38" s="50">
        <v>70</v>
      </c>
      <c r="D38" s="50">
        <v>45</v>
      </c>
      <c r="E38" s="50">
        <v>2</v>
      </c>
      <c r="F38" s="50">
        <v>55</v>
      </c>
      <c r="G38" s="50">
        <v>0</v>
      </c>
      <c r="H38" s="50">
        <v>3</v>
      </c>
      <c r="I38" s="50">
        <v>11</v>
      </c>
      <c r="J38" s="50">
        <v>4</v>
      </c>
      <c r="K38" s="50">
        <v>0</v>
      </c>
      <c r="L38" s="50">
        <v>3</v>
      </c>
      <c r="M38" s="50">
        <v>188</v>
      </c>
      <c r="N38" s="50">
        <v>0</v>
      </c>
      <c r="O38" s="15">
        <f t="shared" si="0"/>
        <v>193</v>
      </c>
      <c r="P38" s="15">
        <f t="shared" si="1"/>
        <v>381</v>
      </c>
    </row>
    <row r="39" spans="2:20" ht="23.1" customHeight="1" x14ac:dyDescent="0.25">
      <c r="B39" s="24" t="s">
        <v>66</v>
      </c>
      <c r="C39" s="50">
        <v>55</v>
      </c>
      <c r="D39" s="50">
        <v>18</v>
      </c>
      <c r="E39" s="50">
        <v>8</v>
      </c>
      <c r="F39" s="50">
        <v>68</v>
      </c>
      <c r="G39" s="50">
        <v>2</v>
      </c>
      <c r="H39" s="50">
        <v>0</v>
      </c>
      <c r="I39" s="50">
        <v>5</v>
      </c>
      <c r="J39" s="50">
        <v>2</v>
      </c>
      <c r="K39" s="50">
        <v>1</v>
      </c>
      <c r="L39" s="50">
        <v>1</v>
      </c>
      <c r="M39" s="50">
        <v>198</v>
      </c>
      <c r="N39" s="50">
        <v>0</v>
      </c>
      <c r="O39" s="15">
        <f t="shared" si="0"/>
        <v>160</v>
      </c>
      <c r="P39" s="15">
        <f t="shared" si="1"/>
        <v>358</v>
      </c>
    </row>
    <row r="40" spans="2:20" ht="23.1" customHeight="1" x14ac:dyDescent="0.25">
      <c r="B40" s="24" t="s">
        <v>67</v>
      </c>
      <c r="C40" s="50">
        <v>105</v>
      </c>
      <c r="D40" s="50">
        <v>33</v>
      </c>
      <c r="E40" s="50">
        <v>8</v>
      </c>
      <c r="F40" s="50">
        <v>51</v>
      </c>
      <c r="G40" s="50">
        <v>1</v>
      </c>
      <c r="H40" s="50">
        <v>1</v>
      </c>
      <c r="I40" s="50">
        <v>5</v>
      </c>
      <c r="J40" s="50">
        <v>1</v>
      </c>
      <c r="K40" s="50">
        <v>1</v>
      </c>
      <c r="L40" s="50">
        <v>3</v>
      </c>
      <c r="M40" s="50">
        <v>193</v>
      </c>
      <c r="N40" s="50">
        <v>0</v>
      </c>
      <c r="O40" s="15">
        <f t="shared" si="0"/>
        <v>209</v>
      </c>
      <c r="P40" s="15">
        <f t="shared" si="1"/>
        <v>402</v>
      </c>
    </row>
    <row r="41" spans="2:20" ht="23.1" customHeight="1" x14ac:dyDescent="0.25">
      <c r="B41" s="23" t="s">
        <v>68</v>
      </c>
      <c r="C41" s="50">
        <v>125</v>
      </c>
      <c r="D41" s="50">
        <v>29</v>
      </c>
      <c r="E41" s="50">
        <v>2</v>
      </c>
      <c r="F41" s="50">
        <v>48</v>
      </c>
      <c r="G41" s="50">
        <v>0</v>
      </c>
      <c r="H41" s="50">
        <v>1</v>
      </c>
      <c r="I41" s="50">
        <v>5</v>
      </c>
      <c r="J41" s="50">
        <v>1</v>
      </c>
      <c r="K41" s="50">
        <v>3</v>
      </c>
      <c r="L41" s="50">
        <v>2</v>
      </c>
      <c r="M41" s="50">
        <v>191</v>
      </c>
      <c r="N41" s="50">
        <v>0</v>
      </c>
      <c r="O41" s="15">
        <f t="shared" si="0"/>
        <v>216</v>
      </c>
      <c r="P41" s="15">
        <f t="shared" si="1"/>
        <v>407</v>
      </c>
    </row>
    <row r="42" spans="2:20" ht="23.1" customHeight="1" x14ac:dyDescent="0.25">
      <c r="B42" s="24" t="s">
        <v>69</v>
      </c>
      <c r="C42" s="50">
        <v>83</v>
      </c>
      <c r="D42" s="50">
        <v>33</v>
      </c>
      <c r="E42" s="50">
        <v>13</v>
      </c>
      <c r="F42" s="50">
        <v>57</v>
      </c>
      <c r="G42" s="50">
        <v>1</v>
      </c>
      <c r="H42" s="50">
        <v>0</v>
      </c>
      <c r="I42" s="50">
        <v>8</v>
      </c>
      <c r="J42" s="50">
        <v>0</v>
      </c>
      <c r="K42" s="50">
        <v>0</v>
      </c>
      <c r="L42" s="50">
        <v>1</v>
      </c>
      <c r="M42" s="50">
        <v>220</v>
      </c>
      <c r="N42" s="50">
        <v>0</v>
      </c>
      <c r="O42" s="15">
        <f t="shared" si="0"/>
        <v>196</v>
      </c>
      <c r="P42" s="15">
        <f t="shared" si="1"/>
        <v>416</v>
      </c>
    </row>
    <row r="43" spans="2:20" ht="23.1" customHeight="1" x14ac:dyDescent="0.25">
      <c r="B43" s="23" t="s">
        <v>70</v>
      </c>
      <c r="C43" s="50">
        <v>81</v>
      </c>
      <c r="D43" s="50">
        <v>32</v>
      </c>
      <c r="E43" s="50">
        <v>8</v>
      </c>
      <c r="F43" s="50">
        <v>61</v>
      </c>
      <c r="G43" s="50">
        <v>2</v>
      </c>
      <c r="H43" s="50">
        <v>1</v>
      </c>
      <c r="I43" s="50">
        <v>6</v>
      </c>
      <c r="J43" s="50">
        <v>0</v>
      </c>
      <c r="K43" s="50">
        <v>0</v>
      </c>
      <c r="L43" s="50">
        <v>2</v>
      </c>
      <c r="M43" s="50">
        <v>257</v>
      </c>
      <c r="N43" s="50">
        <v>0</v>
      </c>
      <c r="O43" s="15">
        <f t="shared" si="0"/>
        <v>193</v>
      </c>
      <c r="P43" s="15">
        <f t="shared" si="1"/>
        <v>450</v>
      </c>
    </row>
    <row r="44" spans="2:20" ht="23.1" customHeight="1" x14ac:dyDescent="0.25">
      <c r="B44" s="25" t="s">
        <v>71</v>
      </c>
      <c r="C44" s="50">
        <v>120</v>
      </c>
      <c r="D44" s="50">
        <v>17</v>
      </c>
      <c r="E44" s="50">
        <v>14</v>
      </c>
      <c r="F44" s="50">
        <v>69</v>
      </c>
      <c r="G44" s="50">
        <v>3</v>
      </c>
      <c r="H44" s="50">
        <v>0</v>
      </c>
      <c r="I44" s="50">
        <v>4</v>
      </c>
      <c r="J44" s="50">
        <v>1</v>
      </c>
      <c r="K44" s="50">
        <v>0</v>
      </c>
      <c r="L44" s="50">
        <v>0</v>
      </c>
      <c r="M44" s="50">
        <v>204</v>
      </c>
      <c r="N44" s="50">
        <v>0</v>
      </c>
      <c r="O44" s="15">
        <f t="shared" si="0"/>
        <v>228</v>
      </c>
      <c r="P44" s="15">
        <f t="shared" si="1"/>
        <v>432</v>
      </c>
    </row>
    <row r="45" spans="2:20" ht="23.1" customHeight="1" x14ac:dyDescent="0.25">
      <c r="B45" s="23" t="s">
        <v>72</v>
      </c>
      <c r="C45" s="50">
        <v>94</v>
      </c>
      <c r="D45" s="50">
        <v>15</v>
      </c>
      <c r="E45" s="50">
        <v>9</v>
      </c>
      <c r="F45" s="50">
        <v>51</v>
      </c>
      <c r="G45" s="50">
        <v>0</v>
      </c>
      <c r="H45" s="50">
        <v>0</v>
      </c>
      <c r="I45" s="50">
        <v>4</v>
      </c>
      <c r="J45" s="50">
        <v>1</v>
      </c>
      <c r="K45" s="50">
        <v>0</v>
      </c>
      <c r="L45" s="50">
        <v>1</v>
      </c>
      <c r="M45" s="50">
        <v>218</v>
      </c>
      <c r="N45" s="50">
        <v>0</v>
      </c>
      <c r="O45" s="15">
        <f t="shared" si="0"/>
        <v>175</v>
      </c>
      <c r="P45" s="15">
        <f t="shared" si="1"/>
        <v>393</v>
      </c>
    </row>
    <row r="46" spans="2:20" ht="23.1" customHeight="1" x14ac:dyDescent="0.25">
      <c r="B46" s="24" t="s">
        <v>73</v>
      </c>
      <c r="C46" s="50">
        <v>53</v>
      </c>
      <c r="D46" s="50">
        <v>25</v>
      </c>
      <c r="E46" s="50">
        <v>3</v>
      </c>
      <c r="F46" s="50">
        <v>70</v>
      </c>
      <c r="G46" s="50">
        <v>2</v>
      </c>
      <c r="H46" s="50">
        <v>0</v>
      </c>
      <c r="I46" s="50">
        <v>7</v>
      </c>
      <c r="J46" s="50">
        <v>1</v>
      </c>
      <c r="K46" s="50">
        <v>2</v>
      </c>
      <c r="L46" s="50">
        <v>1</v>
      </c>
      <c r="M46" s="50">
        <v>148</v>
      </c>
      <c r="N46" s="50">
        <v>0</v>
      </c>
      <c r="O46" s="15">
        <f t="shared" si="0"/>
        <v>164</v>
      </c>
      <c r="P46" s="15">
        <f t="shared" si="1"/>
        <v>312</v>
      </c>
      <c r="R46" s="8"/>
      <c r="T46"/>
    </row>
    <row r="47" spans="2:20" ht="23.1" customHeight="1" x14ac:dyDescent="0.25">
      <c r="B47" s="24" t="s">
        <v>74</v>
      </c>
      <c r="C47" s="50">
        <v>105</v>
      </c>
      <c r="D47" s="50">
        <v>46</v>
      </c>
      <c r="E47" s="50">
        <v>8</v>
      </c>
      <c r="F47" s="50">
        <v>62</v>
      </c>
      <c r="G47" s="50">
        <v>2</v>
      </c>
      <c r="H47" s="50">
        <v>1</v>
      </c>
      <c r="I47" s="50">
        <v>6</v>
      </c>
      <c r="J47" s="50">
        <v>4</v>
      </c>
      <c r="K47" s="50">
        <v>0</v>
      </c>
      <c r="L47" s="50">
        <v>2</v>
      </c>
      <c r="M47" s="50">
        <v>157</v>
      </c>
      <c r="N47" s="50">
        <v>0</v>
      </c>
      <c r="O47" s="15">
        <f t="shared" si="0"/>
        <v>236</v>
      </c>
      <c r="P47" s="15">
        <f t="shared" si="1"/>
        <v>393</v>
      </c>
      <c r="R47" s="8"/>
      <c r="T47"/>
    </row>
    <row r="48" spans="2:20" ht="23.1" customHeight="1" x14ac:dyDescent="0.25">
      <c r="B48" s="24" t="s">
        <v>75</v>
      </c>
      <c r="C48" s="50">
        <v>95</v>
      </c>
      <c r="D48" s="50">
        <v>17</v>
      </c>
      <c r="E48" s="50">
        <v>5</v>
      </c>
      <c r="F48" s="50">
        <v>64</v>
      </c>
      <c r="G48" s="50">
        <v>2</v>
      </c>
      <c r="H48" s="50">
        <v>0</v>
      </c>
      <c r="I48" s="50">
        <v>9</v>
      </c>
      <c r="J48" s="50">
        <v>0</v>
      </c>
      <c r="K48" s="50">
        <v>0</v>
      </c>
      <c r="L48" s="50">
        <v>1</v>
      </c>
      <c r="M48" s="50">
        <v>174</v>
      </c>
      <c r="N48" s="50">
        <v>0</v>
      </c>
      <c r="O48" s="15">
        <f t="shared" si="0"/>
        <v>193</v>
      </c>
      <c r="P48" s="15">
        <f t="shared" si="1"/>
        <v>367</v>
      </c>
      <c r="R48" s="8"/>
      <c r="T48"/>
    </row>
    <row r="49" spans="2:20" ht="23.1" customHeight="1" x14ac:dyDescent="0.25">
      <c r="B49" s="23" t="s">
        <v>76</v>
      </c>
      <c r="C49" s="50">
        <v>87</v>
      </c>
      <c r="D49" s="50">
        <v>15</v>
      </c>
      <c r="E49" s="50">
        <v>3</v>
      </c>
      <c r="F49" s="50">
        <v>68</v>
      </c>
      <c r="G49" s="50">
        <v>1</v>
      </c>
      <c r="H49" s="50">
        <v>0</v>
      </c>
      <c r="I49" s="50">
        <v>5</v>
      </c>
      <c r="J49" s="50">
        <v>0</v>
      </c>
      <c r="K49" s="50">
        <v>1</v>
      </c>
      <c r="L49" s="50">
        <v>1</v>
      </c>
      <c r="M49" s="50">
        <v>183</v>
      </c>
      <c r="N49" s="50">
        <v>0</v>
      </c>
      <c r="O49" s="15">
        <f t="shared" si="0"/>
        <v>181</v>
      </c>
      <c r="P49" s="15">
        <f t="shared" si="1"/>
        <v>364</v>
      </c>
      <c r="R49" s="8"/>
      <c r="T49"/>
    </row>
    <row r="50" spans="2:20" ht="23.1" customHeight="1" x14ac:dyDescent="0.25">
      <c r="B50" s="24" t="s">
        <v>77</v>
      </c>
      <c r="C50" s="50">
        <v>80</v>
      </c>
      <c r="D50" s="50">
        <v>31</v>
      </c>
      <c r="E50" s="50">
        <v>2</v>
      </c>
      <c r="F50" s="50">
        <v>71</v>
      </c>
      <c r="G50" s="50">
        <v>1</v>
      </c>
      <c r="H50" s="50">
        <v>0</v>
      </c>
      <c r="I50" s="50">
        <v>8</v>
      </c>
      <c r="J50" s="50">
        <v>2</v>
      </c>
      <c r="K50" s="50">
        <v>0</v>
      </c>
      <c r="L50" s="50">
        <v>3</v>
      </c>
      <c r="M50" s="50">
        <v>148</v>
      </c>
      <c r="N50" s="50">
        <v>0</v>
      </c>
      <c r="O50" s="15">
        <f t="shared" si="0"/>
        <v>198</v>
      </c>
      <c r="P50" s="15">
        <f t="shared" si="1"/>
        <v>346</v>
      </c>
      <c r="R50" s="8"/>
      <c r="T50"/>
    </row>
    <row r="51" spans="2:20" ht="23.1" customHeight="1" x14ac:dyDescent="0.25">
      <c r="B51" s="24" t="s">
        <v>78</v>
      </c>
      <c r="C51" s="50">
        <v>68</v>
      </c>
      <c r="D51" s="50">
        <v>8</v>
      </c>
      <c r="E51" s="50">
        <v>7</v>
      </c>
      <c r="F51" s="50">
        <v>86</v>
      </c>
      <c r="G51" s="50">
        <v>1</v>
      </c>
      <c r="H51" s="50">
        <v>0</v>
      </c>
      <c r="I51" s="50">
        <v>1</v>
      </c>
      <c r="J51" s="50">
        <v>1</v>
      </c>
      <c r="K51" s="50">
        <v>1</v>
      </c>
      <c r="L51" s="50">
        <v>1</v>
      </c>
      <c r="M51" s="50">
        <v>191</v>
      </c>
      <c r="N51" s="50">
        <v>0</v>
      </c>
      <c r="O51" s="15">
        <f t="shared" si="0"/>
        <v>174</v>
      </c>
      <c r="P51" s="15">
        <f t="shared" si="1"/>
        <v>365</v>
      </c>
      <c r="R51" s="8"/>
      <c r="T51"/>
    </row>
    <row r="52" spans="2:20" ht="23.1" customHeight="1" x14ac:dyDescent="0.25">
      <c r="B52" s="24" t="s">
        <v>79</v>
      </c>
      <c r="C52" s="50">
        <v>69</v>
      </c>
      <c r="D52" s="50">
        <v>14</v>
      </c>
      <c r="E52" s="50">
        <v>10</v>
      </c>
      <c r="F52" s="50">
        <v>65</v>
      </c>
      <c r="G52" s="50">
        <v>2</v>
      </c>
      <c r="H52" s="50">
        <v>0</v>
      </c>
      <c r="I52" s="50">
        <v>4</v>
      </c>
      <c r="J52" s="50">
        <v>0</v>
      </c>
      <c r="K52" s="50">
        <v>1</v>
      </c>
      <c r="L52" s="50">
        <v>0</v>
      </c>
      <c r="M52" s="50">
        <v>195</v>
      </c>
      <c r="N52" s="50">
        <v>0</v>
      </c>
      <c r="O52" s="15">
        <f t="shared" si="0"/>
        <v>165</v>
      </c>
      <c r="P52" s="15">
        <f t="shared" si="1"/>
        <v>360</v>
      </c>
      <c r="R52" s="8"/>
      <c r="T52"/>
    </row>
    <row r="53" spans="2:20" ht="23.1" customHeight="1" x14ac:dyDescent="0.25">
      <c r="B53" s="23" t="s">
        <v>80</v>
      </c>
      <c r="C53" s="50">
        <v>90</v>
      </c>
      <c r="D53" s="50">
        <v>16</v>
      </c>
      <c r="E53" s="50">
        <v>4</v>
      </c>
      <c r="F53" s="50">
        <v>56</v>
      </c>
      <c r="G53" s="50">
        <v>1</v>
      </c>
      <c r="H53" s="50">
        <v>1</v>
      </c>
      <c r="I53" s="50">
        <v>6</v>
      </c>
      <c r="J53" s="50">
        <v>0</v>
      </c>
      <c r="K53" s="50">
        <v>1</v>
      </c>
      <c r="L53" s="50">
        <v>0</v>
      </c>
      <c r="M53" s="50">
        <v>129</v>
      </c>
      <c r="N53" s="50">
        <v>0</v>
      </c>
      <c r="O53" s="15">
        <f t="shared" si="0"/>
        <v>175</v>
      </c>
      <c r="P53" s="15">
        <f t="shared" si="1"/>
        <v>304</v>
      </c>
      <c r="R53" s="8"/>
      <c r="T53"/>
    </row>
    <row r="54" spans="2:20" ht="23.1" customHeight="1" x14ac:dyDescent="0.25">
      <c r="B54" s="23" t="s">
        <v>81</v>
      </c>
      <c r="C54" s="50">
        <v>72</v>
      </c>
      <c r="D54" s="50">
        <v>15</v>
      </c>
      <c r="E54" s="50">
        <v>7</v>
      </c>
      <c r="F54" s="50">
        <v>61</v>
      </c>
      <c r="G54" s="50">
        <v>2</v>
      </c>
      <c r="H54" s="50">
        <v>2</v>
      </c>
      <c r="I54" s="50">
        <v>3</v>
      </c>
      <c r="J54" s="50">
        <v>1</v>
      </c>
      <c r="K54" s="50">
        <v>0</v>
      </c>
      <c r="L54" s="50">
        <v>0</v>
      </c>
      <c r="M54" s="50">
        <v>116</v>
      </c>
      <c r="N54" s="50">
        <v>0</v>
      </c>
      <c r="O54" s="15">
        <f t="shared" si="0"/>
        <v>163</v>
      </c>
      <c r="P54" s="15">
        <f t="shared" si="1"/>
        <v>279</v>
      </c>
      <c r="R54" s="8"/>
      <c r="T54"/>
    </row>
    <row r="55" spans="2:20" ht="23.1" customHeight="1" x14ac:dyDescent="0.25">
      <c r="B55" s="23" t="s">
        <v>82</v>
      </c>
      <c r="C55" s="50">
        <v>70</v>
      </c>
      <c r="D55" s="50">
        <v>7</v>
      </c>
      <c r="E55" s="50">
        <v>3</v>
      </c>
      <c r="F55" s="50">
        <v>58</v>
      </c>
      <c r="G55" s="50">
        <v>1</v>
      </c>
      <c r="H55" s="50">
        <v>0</v>
      </c>
      <c r="I55" s="50">
        <v>0</v>
      </c>
      <c r="J55" s="50">
        <v>0</v>
      </c>
      <c r="K55" s="50">
        <v>0</v>
      </c>
      <c r="L55" s="50">
        <v>1</v>
      </c>
      <c r="M55" s="50">
        <v>161</v>
      </c>
      <c r="N55" s="50">
        <v>0</v>
      </c>
      <c r="O55" s="15">
        <f t="shared" si="0"/>
        <v>140</v>
      </c>
      <c r="P55" s="15">
        <f t="shared" si="1"/>
        <v>301</v>
      </c>
      <c r="R55" s="8"/>
      <c r="T55"/>
    </row>
    <row r="56" spans="2:20" ht="23.1" customHeight="1" x14ac:dyDescent="0.25">
      <c r="B56" s="23" t="s">
        <v>83</v>
      </c>
      <c r="C56" s="50">
        <v>73</v>
      </c>
      <c r="D56" s="50">
        <v>6</v>
      </c>
      <c r="E56" s="50">
        <v>8</v>
      </c>
      <c r="F56" s="50">
        <v>48</v>
      </c>
      <c r="G56" s="50">
        <v>1</v>
      </c>
      <c r="H56" s="50">
        <v>0</v>
      </c>
      <c r="I56" s="50">
        <v>4</v>
      </c>
      <c r="J56" s="50">
        <v>4</v>
      </c>
      <c r="K56" s="50">
        <v>0</v>
      </c>
      <c r="L56" s="50">
        <v>0</v>
      </c>
      <c r="M56" s="50">
        <v>204</v>
      </c>
      <c r="N56" s="50">
        <v>0</v>
      </c>
      <c r="O56" s="15">
        <f t="shared" si="0"/>
        <v>144</v>
      </c>
      <c r="P56" s="15">
        <f t="shared" si="1"/>
        <v>348</v>
      </c>
      <c r="R56" s="8"/>
      <c r="T56"/>
    </row>
    <row r="57" spans="2:20" ht="23.1" customHeight="1" x14ac:dyDescent="0.25">
      <c r="B57" s="23" t="s">
        <v>84</v>
      </c>
      <c r="C57" s="50">
        <v>85</v>
      </c>
      <c r="D57" s="50">
        <v>11</v>
      </c>
      <c r="E57" s="50">
        <v>5</v>
      </c>
      <c r="F57" s="50">
        <v>64</v>
      </c>
      <c r="G57" s="50">
        <v>1</v>
      </c>
      <c r="H57" s="50">
        <v>0</v>
      </c>
      <c r="I57" s="50">
        <v>4</v>
      </c>
      <c r="J57" s="50">
        <v>2</v>
      </c>
      <c r="K57" s="50">
        <v>1</v>
      </c>
      <c r="L57" s="50">
        <v>0</v>
      </c>
      <c r="M57" s="50">
        <v>194</v>
      </c>
      <c r="N57" s="50">
        <v>0</v>
      </c>
      <c r="O57" s="15">
        <f t="shared" si="0"/>
        <v>173</v>
      </c>
      <c r="P57" s="15">
        <f t="shared" si="1"/>
        <v>367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3251</v>
      </c>
      <c r="D58" s="16">
        <f t="shared" si="21"/>
        <v>848</v>
      </c>
      <c r="E58" s="16">
        <f t="shared" si="21"/>
        <v>326</v>
      </c>
      <c r="F58" s="16">
        <f t="shared" si="21"/>
        <v>2835</v>
      </c>
      <c r="G58" s="16">
        <f t="shared" si="21"/>
        <v>68</v>
      </c>
      <c r="H58" s="16">
        <f t="shared" si="21"/>
        <v>24</v>
      </c>
      <c r="I58" s="16">
        <f t="shared" si="21"/>
        <v>255</v>
      </c>
      <c r="J58" s="16">
        <f t="shared" si="21"/>
        <v>108</v>
      </c>
      <c r="K58" s="16">
        <f t="shared" si="21"/>
        <v>26</v>
      </c>
      <c r="L58" s="16">
        <f t="shared" si="21"/>
        <v>87</v>
      </c>
      <c r="M58" s="16">
        <f t="shared" si="21"/>
        <v>7158</v>
      </c>
      <c r="N58" s="16">
        <f t="shared" si="21"/>
        <v>0</v>
      </c>
      <c r="O58" s="16">
        <f t="shared" si="21"/>
        <v>7828</v>
      </c>
      <c r="P58" s="16">
        <f t="shared" si="21"/>
        <v>14986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0.21693580675296945</v>
      </c>
      <c r="D59" s="43">
        <f t="shared" si="22"/>
        <v>5.6586147070599224E-2</v>
      </c>
      <c r="E59" s="43">
        <f t="shared" si="22"/>
        <v>2.1753636727612439E-2</v>
      </c>
      <c r="F59" s="43">
        <f t="shared" si="22"/>
        <v>0.18917656479380757</v>
      </c>
      <c r="G59" s="43">
        <f t="shared" si="22"/>
        <v>4.5375683971706927E-3</v>
      </c>
      <c r="H59" s="43">
        <f t="shared" si="22"/>
        <v>1.6014947284131856E-3</v>
      </c>
      <c r="I59" s="43">
        <f t="shared" si="22"/>
        <v>1.7015881489390098E-2</v>
      </c>
      <c r="J59" s="43">
        <f t="shared" si="22"/>
        <v>7.2067262778593355E-3</v>
      </c>
      <c r="K59" s="43">
        <f t="shared" si="22"/>
        <v>1.7349526224476179E-3</v>
      </c>
      <c r="L59" s="43">
        <f t="shared" si="22"/>
        <v>5.8054183904977978E-3</v>
      </c>
      <c r="M59" s="43">
        <f t="shared" si="22"/>
        <v>0.47764580274923263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0.41530403679100664</v>
      </c>
      <c r="D60" s="44">
        <f t="shared" ref="D60:N60" si="23">D58/$O$58</f>
        <v>0.10832907511497189</v>
      </c>
      <c r="E60" s="44">
        <f t="shared" si="23"/>
        <v>4.1645375574859478E-2</v>
      </c>
      <c r="F60" s="44">
        <f t="shared" si="23"/>
        <v>0.36216147164026569</v>
      </c>
      <c r="G60" s="44">
        <f t="shared" si="23"/>
        <v>8.6867654573326517E-3</v>
      </c>
      <c r="H60" s="44">
        <f t="shared" si="23"/>
        <v>3.0659172202350538E-3</v>
      </c>
      <c r="I60" s="44">
        <f t="shared" si="23"/>
        <v>3.2575370464997443E-2</v>
      </c>
      <c r="J60" s="44">
        <f t="shared" si="23"/>
        <v>1.3796627491057742E-2</v>
      </c>
      <c r="K60" s="44">
        <f t="shared" si="23"/>
        <v>3.3214103219213081E-3</v>
      </c>
      <c r="L60" s="44">
        <f t="shared" si="23"/>
        <v>1.111394992335207E-2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40" zoomScaleSheetLayoutView="4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Kyambogo-Spear Motors'!C3:G3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'04.08 Spear Motors-Kyambogo'!D5</f>
        <v>04.08.19</v>
      </c>
      <c r="E5" s="3"/>
      <c r="F5" s="41" t="s">
        <v>1</v>
      </c>
      <c r="G5" s="63" t="str">
        <f>'04.08 Spear Motors-Kyambogo'!G5:H5</f>
        <v>PEPSI UGANDA</v>
      </c>
      <c r="H5" s="64"/>
      <c r="I5" s="14"/>
      <c r="J5" s="2" t="s">
        <v>5</v>
      </c>
      <c r="K5" s="63" t="str">
        <f>'04.08 Spear Motors-Kyambogo'!K5:L5</f>
        <v>WACHOMI R/GALABUZI R./MBAHA J/ASHABA K/LUBEGA S/KIKUMBAD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Kyambogo-Spear Motors'!D6:E6</f>
        <v>KYAMBOGO</v>
      </c>
      <c r="E6" s="64"/>
      <c r="F6" s="2" t="s">
        <v>2</v>
      </c>
      <c r="G6" s="63" t="str">
        <f>'29.07 Kyambogo-Spear Motors'!G6:H6</f>
        <v>SPEAR MOTORS</v>
      </c>
      <c r="H6" s="64"/>
      <c r="J6" s="2" t="s">
        <v>21</v>
      </c>
      <c r="K6" s="63" t="str">
        <f>'04.08 Spear Motors-Kyambogo'!K6:L6</f>
        <v>ANDREW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17</v>
      </c>
      <c r="D10" s="50">
        <v>8</v>
      </c>
      <c r="E10" s="50">
        <v>3</v>
      </c>
      <c r="F10" s="50">
        <v>9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1</v>
      </c>
      <c r="M10" s="50">
        <v>47</v>
      </c>
      <c r="N10" s="50">
        <v>0</v>
      </c>
      <c r="O10" s="15">
        <f t="shared" ref="O10:O57" si="0">SUM(C10:L10,N10)</f>
        <v>40</v>
      </c>
      <c r="P10" s="15">
        <f t="shared" ref="P10:P57" si="1">SUM(C10:N10)</f>
        <v>87</v>
      </c>
      <c r="R10" s="1" t="s">
        <v>6</v>
      </c>
      <c r="S10" s="17">
        <f t="shared" ref="S10:AF10" si="2">SUM(C10:C13)</f>
        <v>160</v>
      </c>
      <c r="T10" s="17">
        <f t="shared" si="2"/>
        <v>30</v>
      </c>
      <c r="U10" s="17">
        <f t="shared" si="2"/>
        <v>19</v>
      </c>
      <c r="V10" s="17">
        <f t="shared" si="2"/>
        <v>158</v>
      </c>
      <c r="W10" s="17">
        <f t="shared" si="2"/>
        <v>9</v>
      </c>
      <c r="X10" s="17">
        <f t="shared" si="2"/>
        <v>0</v>
      </c>
      <c r="Y10" s="17">
        <f t="shared" si="2"/>
        <v>15</v>
      </c>
      <c r="Z10" s="17">
        <f t="shared" si="2"/>
        <v>8</v>
      </c>
      <c r="AA10" s="17">
        <f t="shared" si="2"/>
        <v>0</v>
      </c>
      <c r="AB10" s="17">
        <f t="shared" si="2"/>
        <v>12</v>
      </c>
      <c r="AC10" s="17">
        <f t="shared" si="2"/>
        <v>394</v>
      </c>
      <c r="AD10" s="17">
        <f t="shared" si="2"/>
        <v>0</v>
      </c>
      <c r="AE10" s="31">
        <f t="shared" si="2"/>
        <v>411</v>
      </c>
      <c r="AF10" s="31">
        <f t="shared" si="2"/>
        <v>805</v>
      </c>
    </row>
    <row r="11" spans="2:32" s="6" customFormat="1" ht="23.1" customHeight="1" x14ac:dyDescent="0.25">
      <c r="B11" s="23" t="s">
        <v>38</v>
      </c>
      <c r="C11" s="50">
        <v>33</v>
      </c>
      <c r="D11" s="50">
        <v>9</v>
      </c>
      <c r="E11" s="50">
        <v>5</v>
      </c>
      <c r="F11" s="50">
        <v>40</v>
      </c>
      <c r="G11" s="50">
        <v>2</v>
      </c>
      <c r="H11" s="50">
        <v>0</v>
      </c>
      <c r="I11" s="50">
        <v>5</v>
      </c>
      <c r="J11" s="50">
        <v>2</v>
      </c>
      <c r="K11" s="50">
        <v>0</v>
      </c>
      <c r="L11" s="50">
        <v>5</v>
      </c>
      <c r="M11" s="50">
        <v>84</v>
      </c>
      <c r="N11" s="50">
        <v>0</v>
      </c>
      <c r="O11" s="15">
        <f t="shared" si="0"/>
        <v>101</v>
      </c>
      <c r="P11" s="15">
        <f t="shared" si="1"/>
        <v>185</v>
      </c>
      <c r="R11" s="1" t="s">
        <v>7</v>
      </c>
      <c r="S11" s="17">
        <f t="shared" ref="S11:AF11" si="3">SUM(C14:C17)</f>
        <v>285</v>
      </c>
      <c r="T11" s="17">
        <f t="shared" si="3"/>
        <v>26</v>
      </c>
      <c r="U11" s="17">
        <f t="shared" si="3"/>
        <v>39</v>
      </c>
      <c r="V11" s="17">
        <f t="shared" si="3"/>
        <v>195</v>
      </c>
      <c r="W11" s="17">
        <f t="shared" si="3"/>
        <v>6</v>
      </c>
      <c r="X11" s="17">
        <f t="shared" si="3"/>
        <v>3</v>
      </c>
      <c r="Y11" s="17">
        <f t="shared" si="3"/>
        <v>10</v>
      </c>
      <c r="Z11" s="17">
        <f t="shared" si="3"/>
        <v>7</v>
      </c>
      <c r="AA11" s="17">
        <f t="shared" si="3"/>
        <v>6</v>
      </c>
      <c r="AB11" s="17">
        <f t="shared" si="3"/>
        <v>9</v>
      </c>
      <c r="AC11" s="17">
        <f t="shared" si="3"/>
        <v>650</v>
      </c>
      <c r="AD11" s="17">
        <f t="shared" si="3"/>
        <v>0</v>
      </c>
      <c r="AE11" s="31">
        <f t="shared" si="3"/>
        <v>586</v>
      </c>
      <c r="AF11" s="31">
        <f t="shared" si="3"/>
        <v>1236</v>
      </c>
    </row>
    <row r="12" spans="2:32" ht="23.1" customHeight="1" x14ac:dyDescent="0.25">
      <c r="B12" s="23" t="s">
        <v>39</v>
      </c>
      <c r="C12" s="50">
        <v>48</v>
      </c>
      <c r="D12" s="50">
        <v>5</v>
      </c>
      <c r="E12" s="50">
        <v>5</v>
      </c>
      <c r="F12" s="50">
        <v>64</v>
      </c>
      <c r="G12" s="50">
        <v>7</v>
      </c>
      <c r="H12" s="50">
        <v>0</v>
      </c>
      <c r="I12" s="50">
        <v>6</v>
      </c>
      <c r="J12" s="50">
        <v>5</v>
      </c>
      <c r="K12" s="50">
        <v>0</v>
      </c>
      <c r="L12" s="50">
        <v>5</v>
      </c>
      <c r="M12" s="50">
        <v>125</v>
      </c>
      <c r="N12" s="50">
        <v>0</v>
      </c>
      <c r="O12" s="15">
        <f t="shared" si="0"/>
        <v>145</v>
      </c>
      <c r="P12" s="15">
        <f t="shared" si="1"/>
        <v>270</v>
      </c>
      <c r="R12" s="1" t="s">
        <v>8</v>
      </c>
      <c r="S12" s="17">
        <f t="shared" ref="S12:AF12" si="4">SUM(C18:C21)</f>
        <v>330</v>
      </c>
      <c r="T12" s="17">
        <f t="shared" si="4"/>
        <v>25</v>
      </c>
      <c r="U12" s="17">
        <f t="shared" si="4"/>
        <v>23</v>
      </c>
      <c r="V12" s="17">
        <f t="shared" si="4"/>
        <v>162</v>
      </c>
      <c r="W12" s="17">
        <f t="shared" si="4"/>
        <v>9</v>
      </c>
      <c r="X12" s="17">
        <f t="shared" si="4"/>
        <v>1</v>
      </c>
      <c r="Y12" s="17">
        <f t="shared" si="4"/>
        <v>18</v>
      </c>
      <c r="Z12" s="17">
        <f t="shared" si="4"/>
        <v>8</v>
      </c>
      <c r="AA12" s="17">
        <f t="shared" si="4"/>
        <v>1</v>
      </c>
      <c r="AB12" s="17">
        <f t="shared" si="4"/>
        <v>13</v>
      </c>
      <c r="AC12" s="17">
        <f t="shared" si="4"/>
        <v>589</v>
      </c>
      <c r="AD12" s="17">
        <f t="shared" si="4"/>
        <v>0</v>
      </c>
      <c r="AE12" s="31">
        <f t="shared" si="4"/>
        <v>590</v>
      </c>
      <c r="AF12" s="31">
        <f t="shared" si="4"/>
        <v>1179</v>
      </c>
    </row>
    <row r="13" spans="2:32" ht="23.1" customHeight="1" x14ac:dyDescent="0.25">
      <c r="B13" s="23" t="s">
        <v>40</v>
      </c>
      <c r="C13" s="50">
        <v>62</v>
      </c>
      <c r="D13" s="50">
        <v>8</v>
      </c>
      <c r="E13" s="50">
        <v>6</v>
      </c>
      <c r="F13" s="50">
        <v>45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1</v>
      </c>
      <c r="M13" s="50">
        <v>138</v>
      </c>
      <c r="N13" s="50">
        <v>0</v>
      </c>
      <c r="O13" s="15">
        <f t="shared" si="0"/>
        <v>125</v>
      </c>
      <c r="P13" s="15">
        <f t="shared" si="1"/>
        <v>263</v>
      </c>
      <c r="R13" s="1" t="s">
        <v>9</v>
      </c>
      <c r="S13" s="17">
        <f t="shared" ref="S13:AF13" si="5">SUM(C22:C25)</f>
        <v>328</v>
      </c>
      <c r="T13" s="17">
        <f t="shared" si="5"/>
        <v>22</v>
      </c>
      <c r="U13" s="17">
        <f t="shared" si="5"/>
        <v>103</v>
      </c>
      <c r="V13" s="17">
        <f t="shared" si="5"/>
        <v>169</v>
      </c>
      <c r="W13" s="17">
        <f t="shared" si="5"/>
        <v>6</v>
      </c>
      <c r="X13" s="17">
        <f t="shared" si="5"/>
        <v>2</v>
      </c>
      <c r="Y13" s="17">
        <f t="shared" si="5"/>
        <v>25</v>
      </c>
      <c r="Z13" s="17">
        <f t="shared" si="5"/>
        <v>4</v>
      </c>
      <c r="AA13" s="17">
        <f t="shared" si="5"/>
        <v>3</v>
      </c>
      <c r="AB13" s="17">
        <f t="shared" si="5"/>
        <v>16</v>
      </c>
      <c r="AC13" s="17">
        <f t="shared" si="5"/>
        <v>687</v>
      </c>
      <c r="AD13" s="17">
        <f t="shared" si="5"/>
        <v>0</v>
      </c>
      <c r="AE13" s="31">
        <f t="shared" si="5"/>
        <v>678</v>
      </c>
      <c r="AF13" s="31">
        <f t="shared" si="5"/>
        <v>1365</v>
      </c>
    </row>
    <row r="14" spans="2:32" ht="23.1" customHeight="1" x14ac:dyDescent="0.25">
      <c r="B14" s="23" t="s">
        <v>41</v>
      </c>
      <c r="C14" s="50">
        <v>50</v>
      </c>
      <c r="D14" s="50">
        <v>6</v>
      </c>
      <c r="E14" s="50">
        <v>8</v>
      </c>
      <c r="F14" s="50">
        <v>48</v>
      </c>
      <c r="G14" s="50">
        <v>3</v>
      </c>
      <c r="H14" s="50">
        <v>0</v>
      </c>
      <c r="I14" s="50">
        <v>4</v>
      </c>
      <c r="J14" s="50">
        <v>1</v>
      </c>
      <c r="K14" s="50">
        <v>2</v>
      </c>
      <c r="L14" s="50">
        <v>1</v>
      </c>
      <c r="M14" s="50">
        <v>170</v>
      </c>
      <c r="N14" s="50">
        <v>0</v>
      </c>
      <c r="O14" s="15">
        <f t="shared" si="0"/>
        <v>123</v>
      </c>
      <c r="P14" s="15">
        <f t="shared" si="1"/>
        <v>293</v>
      </c>
      <c r="R14" s="1" t="s">
        <v>10</v>
      </c>
      <c r="S14" s="17">
        <f t="shared" ref="S14:AF14" si="6">SUM(C26:C29)</f>
        <v>320</v>
      </c>
      <c r="T14" s="17">
        <f t="shared" si="6"/>
        <v>34</v>
      </c>
      <c r="U14" s="17">
        <f t="shared" si="6"/>
        <v>34</v>
      </c>
      <c r="V14" s="17">
        <f t="shared" si="6"/>
        <v>219</v>
      </c>
      <c r="W14" s="17">
        <f t="shared" si="6"/>
        <v>9</v>
      </c>
      <c r="X14" s="17">
        <f t="shared" si="6"/>
        <v>1</v>
      </c>
      <c r="Y14" s="17">
        <f t="shared" si="6"/>
        <v>34</v>
      </c>
      <c r="Z14" s="17">
        <f t="shared" si="6"/>
        <v>16</v>
      </c>
      <c r="AA14" s="17">
        <f t="shared" si="6"/>
        <v>5</v>
      </c>
      <c r="AB14" s="17">
        <f t="shared" si="6"/>
        <v>14</v>
      </c>
      <c r="AC14" s="17">
        <f t="shared" si="6"/>
        <v>527</v>
      </c>
      <c r="AD14" s="17">
        <f t="shared" si="6"/>
        <v>0</v>
      </c>
      <c r="AE14" s="31">
        <f t="shared" si="6"/>
        <v>686</v>
      </c>
      <c r="AF14" s="31">
        <f t="shared" si="6"/>
        <v>1213</v>
      </c>
    </row>
    <row r="15" spans="2:32" ht="23.1" customHeight="1" x14ac:dyDescent="0.25">
      <c r="B15" s="23" t="s">
        <v>42</v>
      </c>
      <c r="C15" s="50">
        <v>58</v>
      </c>
      <c r="D15" s="50">
        <v>8</v>
      </c>
      <c r="E15" s="50">
        <v>14</v>
      </c>
      <c r="F15" s="50">
        <v>42</v>
      </c>
      <c r="G15" s="50">
        <v>1</v>
      </c>
      <c r="H15" s="50">
        <v>2</v>
      </c>
      <c r="I15" s="50">
        <v>1</v>
      </c>
      <c r="J15" s="50">
        <v>3</v>
      </c>
      <c r="K15" s="50">
        <v>0</v>
      </c>
      <c r="L15" s="50">
        <v>3</v>
      </c>
      <c r="M15" s="50">
        <v>113</v>
      </c>
      <c r="N15" s="50">
        <v>0</v>
      </c>
      <c r="O15" s="15">
        <f t="shared" si="0"/>
        <v>132</v>
      </c>
      <c r="P15" s="15">
        <f t="shared" si="1"/>
        <v>245</v>
      </c>
      <c r="R15" s="1" t="s">
        <v>11</v>
      </c>
      <c r="S15" s="17">
        <f t="shared" ref="S15:AF15" si="7">SUM(C30:C33)</f>
        <v>323</v>
      </c>
      <c r="T15" s="17">
        <f t="shared" si="7"/>
        <v>25</v>
      </c>
      <c r="U15" s="17">
        <f t="shared" si="7"/>
        <v>28</v>
      </c>
      <c r="V15" s="17">
        <f t="shared" si="7"/>
        <v>217</v>
      </c>
      <c r="W15" s="17">
        <f t="shared" si="7"/>
        <v>9</v>
      </c>
      <c r="X15" s="17">
        <f t="shared" si="7"/>
        <v>1</v>
      </c>
      <c r="Y15" s="17">
        <f t="shared" si="7"/>
        <v>28</v>
      </c>
      <c r="Z15" s="17">
        <f t="shared" si="7"/>
        <v>7</v>
      </c>
      <c r="AA15" s="17">
        <f t="shared" si="7"/>
        <v>0</v>
      </c>
      <c r="AB15" s="17">
        <f t="shared" si="7"/>
        <v>12</v>
      </c>
      <c r="AC15" s="17">
        <f t="shared" si="7"/>
        <v>548</v>
      </c>
      <c r="AD15" s="17">
        <f t="shared" si="7"/>
        <v>0</v>
      </c>
      <c r="AE15" s="31">
        <f t="shared" si="7"/>
        <v>650</v>
      </c>
      <c r="AF15" s="31">
        <f t="shared" si="7"/>
        <v>1198</v>
      </c>
    </row>
    <row r="16" spans="2:32" ht="23.1" customHeight="1" x14ac:dyDescent="0.25">
      <c r="B16" s="23" t="s">
        <v>43</v>
      </c>
      <c r="C16" s="50">
        <v>105</v>
      </c>
      <c r="D16" s="50">
        <v>7</v>
      </c>
      <c r="E16" s="50">
        <v>9</v>
      </c>
      <c r="F16" s="50">
        <v>56</v>
      </c>
      <c r="G16" s="50">
        <v>2</v>
      </c>
      <c r="H16" s="50">
        <v>0</v>
      </c>
      <c r="I16" s="50">
        <v>1</v>
      </c>
      <c r="J16" s="50">
        <v>1</v>
      </c>
      <c r="K16" s="50">
        <v>4</v>
      </c>
      <c r="L16" s="50">
        <v>4</v>
      </c>
      <c r="M16" s="50">
        <v>192</v>
      </c>
      <c r="N16" s="50">
        <v>0</v>
      </c>
      <c r="O16" s="15">
        <f t="shared" si="0"/>
        <v>189</v>
      </c>
      <c r="P16" s="15">
        <f t="shared" si="1"/>
        <v>381</v>
      </c>
      <c r="R16" s="1" t="s">
        <v>12</v>
      </c>
      <c r="S16" s="17">
        <f t="shared" ref="S16:AF16" si="8">SUM(C34:C37)</f>
        <v>280</v>
      </c>
      <c r="T16" s="17">
        <f t="shared" si="8"/>
        <v>30</v>
      </c>
      <c r="U16" s="17">
        <f t="shared" si="8"/>
        <v>25</v>
      </c>
      <c r="V16" s="17">
        <f t="shared" si="8"/>
        <v>207</v>
      </c>
      <c r="W16" s="17">
        <f t="shared" si="8"/>
        <v>5</v>
      </c>
      <c r="X16" s="17">
        <f t="shared" si="8"/>
        <v>3</v>
      </c>
      <c r="Y16" s="17">
        <f t="shared" si="8"/>
        <v>13</v>
      </c>
      <c r="Z16" s="17">
        <f t="shared" si="8"/>
        <v>3</v>
      </c>
      <c r="AA16" s="17">
        <f t="shared" si="8"/>
        <v>0</v>
      </c>
      <c r="AB16" s="17">
        <f t="shared" si="8"/>
        <v>3</v>
      </c>
      <c r="AC16" s="17">
        <f t="shared" si="8"/>
        <v>544</v>
      </c>
      <c r="AD16" s="17">
        <f t="shared" si="8"/>
        <v>0</v>
      </c>
      <c r="AE16" s="31">
        <f t="shared" si="8"/>
        <v>569</v>
      </c>
      <c r="AF16" s="31">
        <f t="shared" si="8"/>
        <v>1113</v>
      </c>
    </row>
    <row r="17" spans="2:32" ht="23.1" customHeight="1" x14ac:dyDescent="0.25">
      <c r="B17" s="23" t="s">
        <v>44</v>
      </c>
      <c r="C17" s="50">
        <v>72</v>
      </c>
      <c r="D17" s="50">
        <v>5</v>
      </c>
      <c r="E17" s="50">
        <v>8</v>
      </c>
      <c r="F17" s="50">
        <v>49</v>
      </c>
      <c r="G17" s="50">
        <v>0</v>
      </c>
      <c r="H17" s="50">
        <v>1</v>
      </c>
      <c r="I17" s="50">
        <v>4</v>
      </c>
      <c r="J17" s="50">
        <v>2</v>
      </c>
      <c r="K17" s="50">
        <v>0</v>
      </c>
      <c r="L17" s="50">
        <v>1</v>
      </c>
      <c r="M17" s="50">
        <v>175</v>
      </c>
      <c r="N17" s="50">
        <v>0</v>
      </c>
      <c r="O17" s="15">
        <f t="shared" si="0"/>
        <v>142</v>
      </c>
      <c r="P17" s="15">
        <f t="shared" si="1"/>
        <v>317</v>
      </c>
      <c r="R17" s="1" t="s">
        <v>13</v>
      </c>
      <c r="S17" s="17">
        <f t="shared" ref="S17:AF17" si="9">SUM(C38:C41)</f>
        <v>356</v>
      </c>
      <c r="T17" s="17">
        <f t="shared" si="9"/>
        <v>22</v>
      </c>
      <c r="U17" s="17">
        <f t="shared" si="9"/>
        <v>28</v>
      </c>
      <c r="V17" s="17">
        <f t="shared" si="9"/>
        <v>224</v>
      </c>
      <c r="W17" s="17">
        <f t="shared" si="9"/>
        <v>11</v>
      </c>
      <c r="X17" s="17">
        <f t="shared" si="9"/>
        <v>4</v>
      </c>
      <c r="Y17" s="17">
        <f t="shared" si="9"/>
        <v>28</v>
      </c>
      <c r="Z17" s="17">
        <f t="shared" si="9"/>
        <v>9</v>
      </c>
      <c r="AA17" s="17">
        <f t="shared" si="9"/>
        <v>5</v>
      </c>
      <c r="AB17" s="17">
        <f t="shared" si="9"/>
        <v>14</v>
      </c>
      <c r="AC17" s="17">
        <f t="shared" si="9"/>
        <v>671</v>
      </c>
      <c r="AD17" s="17">
        <f t="shared" si="9"/>
        <v>0</v>
      </c>
      <c r="AE17" s="31">
        <f t="shared" si="9"/>
        <v>701</v>
      </c>
      <c r="AF17" s="31">
        <f t="shared" si="9"/>
        <v>1372</v>
      </c>
    </row>
    <row r="18" spans="2:32" ht="23.1" customHeight="1" x14ac:dyDescent="0.25">
      <c r="B18" s="23" t="s">
        <v>45</v>
      </c>
      <c r="C18" s="50">
        <v>57</v>
      </c>
      <c r="D18" s="50">
        <v>5</v>
      </c>
      <c r="E18" s="50">
        <v>5</v>
      </c>
      <c r="F18" s="50">
        <v>42</v>
      </c>
      <c r="G18" s="50">
        <v>2</v>
      </c>
      <c r="H18" s="50">
        <v>0</v>
      </c>
      <c r="I18" s="50">
        <v>2</v>
      </c>
      <c r="J18" s="50">
        <v>1</v>
      </c>
      <c r="K18" s="50">
        <v>1</v>
      </c>
      <c r="L18" s="50">
        <v>5</v>
      </c>
      <c r="M18" s="50">
        <v>160</v>
      </c>
      <c r="N18" s="50">
        <v>0</v>
      </c>
      <c r="O18" s="15">
        <f t="shared" si="0"/>
        <v>120</v>
      </c>
      <c r="P18" s="15">
        <f t="shared" si="1"/>
        <v>280</v>
      </c>
      <c r="R18" s="1" t="s">
        <v>14</v>
      </c>
      <c r="S18" s="17">
        <f t="shared" ref="S18:AF18" si="10">SUM(C42:C45)</f>
        <v>487</v>
      </c>
      <c r="T18" s="17">
        <f t="shared" si="10"/>
        <v>38</v>
      </c>
      <c r="U18" s="17">
        <f t="shared" si="10"/>
        <v>24</v>
      </c>
      <c r="V18" s="17">
        <f t="shared" si="10"/>
        <v>205</v>
      </c>
      <c r="W18" s="17">
        <f t="shared" si="10"/>
        <v>2</v>
      </c>
      <c r="X18" s="17">
        <f t="shared" si="10"/>
        <v>4</v>
      </c>
      <c r="Y18" s="17">
        <f t="shared" si="10"/>
        <v>27</v>
      </c>
      <c r="Z18" s="17">
        <f t="shared" si="10"/>
        <v>8</v>
      </c>
      <c r="AA18" s="17">
        <f t="shared" si="10"/>
        <v>6</v>
      </c>
      <c r="AB18" s="17">
        <f t="shared" si="10"/>
        <v>16</v>
      </c>
      <c r="AC18" s="17">
        <f t="shared" si="10"/>
        <v>690</v>
      </c>
      <c r="AD18" s="17">
        <f t="shared" si="10"/>
        <v>0</v>
      </c>
      <c r="AE18" s="31">
        <f t="shared" si="10"/>
        <v>817</v>
      </c>
      <c r="AF18" s="31">
        <f t="shared" si="10"/>
        <v>1507</v>
      </c>
    </row>
    <row r="19" spans="2:32" ht="23.1" customHeight="1" x14ac:dyDescent="0.25">
      <c r="B19" s="23" t="s">
        <v>46</v>
      </c>
      <c r="C19" s="50">
        <v>85</v>
      </c>
      <c r="D19" s="50">
        <v>9</v>
      </c>
      <c r="E19" s="50">
        <v>8</v>
      </c>
      <c r="F19" s="50">
        <v>50</v>
      </c>
      <c r="G19" s="50">
        <v>2</v>
      </c>
      <c r="H19" s="50">
        <v>1</v>
      </c>
      <c r="I19" s="50">
        <v>4</v>
      </c>
      <c r="J19" s="50">
        <v>1</v>
      </c>
      <c r="K19" s="50">
        <v>0</v>
      </c>
      <c r="L19" s="50">
        <v>4</v>
      </c>
      <c r="M19" s="50">
        <v>137</v>
      </c>
      <c r="N19" s="50">
        <v>0</v>
      </c>
      <c r="O19" s="15">
        <f t="shared" si="0"/>
        <v>164</v>
      </c>
      <c r="P19" s="15">
        <f t="shared" si="1"/>
        <v>301</v>
      </c>
      <c r="R19" s="1" t="s">
        <v>15</v>
      </c>
      <c r="S19" s="17">
        <f t="shared" ref="S19:AF19" si="11">SUM(C46:C49)</f>
        <v>392</v>
      </c>
      <c r="T19" s="17">
        <f t="shared" si="11"/>
        <v>32</v>
      </c>
      <c r="U19" s="17">
        <f t="shared" si="11"/>
        <v>28</v>
      </c>
      <c r="V19" s="17">
        <f t="shared" si="11"/>
        <v>228</v>
      </c>
      <c r="W19" s="17">
        <f t="shared" si="11"/>
        <v>7</v>
      </c>
      <c r="X19" s="17">
        <f t="shared" si="11"/>
        <v>4</v>
      </c>
      <c r="Y19" s="17">
        <f t="shared" si="11"/>
        <v>14</v>
      </c>
      <c r="Z19" s="17">
        <f t="shared" si="11"/>
        <v>9</v>
      </c>
      <c r="AA19" s="17">
        <f t="shared" si="11"/>
        <v>5</v>
      </c>
      <c r="AB19" s="17">
        <f t="shared" si="11"/>
        <v>13</v>
      </c>
      <c r="AC19" s="17">
        <f t="shared" si="11"/>
        <v>736</v>
      </c>
      <c r="AD19" s="17">
        <f t="shared" si="11"/>
        <v>0</v>
      </c>
      <c r="AE19" s="31">
        <f t="shared" si="11"/>
        <v>732</v>
      </c>
      <c r="AF19" s="31">
        <f t="shared" si="11"/>
        <v>1468</v>
      </c>
    </row>
    <row r="20" spans="2:32" ht="23.1" customHeight="1" x14ac:dyDescent="0.25">
      <c r="B20" s="23" t="s">
        <v>47</v>
      </c>
      <c r="C20" s="50">
        <v>88</v>
      </c>
      <c r="D20" s="50">
        <v>4</v>
      </c>
      <c r="E20" s="50">
        <v>6</v>
      </c>
      <c r="F20" s="50">
        <v>29</v>
      </c>
      <c r="G20" s="50">
        <v>1</v>
      </c>
      <c r="H20" s="50">
        <v>0</v>
      </c>
      <c r="I20" s="50">
        <v>3</v>
      </c>
      <c r="J20" s="50">
        <v>0</v>
      </c>
      <c r="K20" s="50">
        <v>0</v>
      </c>
      <c r="L20" s="50">
        <v>2</v>
      </c>
      <c r="M20" s="50">
        <v>125</v>
      </c>
      <c r="N20" s="50">
        <v>0</v>
      </c>
      <c r="O20" s="15">
        <f t="shared" si="0"/>
        <v>133</v>
      </c>
      <c r="P20" s="15">
        <f t="shared" si="1"/>
        <v>258</v>
      </c>
      <c r="R20" s="1" t="s">
        <v>16</v>
      </c>
      <c r="S20" s="17">
        <f t="shared" ref="S20:AF20" si="12">SUM(C50:C53)</f>
        <v>355</v>
      </c>
      <c r="T20" s="17">
        <f t="shared" si="12"/>
        <v>21</v>
      </c>
      <c r="U20" s="17">
        <f t="shared" si="12"/>
        <v>28</v>
      </c>
      <c r="V20" s="17">
        <f t="shared" si="12"/>
        <v>220</v>
      </c>
      <c r="W20" s="17">
        <f t="shared" si="12"/>
        <v>11</v>
      </c>
      <c r="X20" s="17">
        <f t="shared" si="12"/>
        <v>6</v>
      </c>
      <c r="Y20" s="17">
        <f t="shared" si="12"/>
        <v>16</v>
      </c>
      <c r="Z20" s="17">
        <f t="shared" si="12"/>
        <v>1</v>
      </c>
      <c r="AA20" s="17">
        <f t="shared" si="12"/>
        <v>0</v>
      </c>
      <c r="AB20" s="17">
        <f t="shared" si="12"/>
        <v>10</v>
      </c>
      <c r="AC20" s="17">
        <f t="shared" si="12"/>
        <v>650</v>
      </c>
      <c r="AD20" s="17">
        <f t="shared" si="12"/>
        <v>0</v>
      </c>
      <c r="AE20" s="31">
        <f t="shared" si="12"/>
        <v>668</v>
      </c>
      <c r="AF20" s="31">
        <f t="shared" si="12"/>
        <v>1318</v>
      </c>
    </row>
    <row r="21" spans="2:32" ht="23.1" customHeight="1" x14ac:dyDescent="0.25">
      <c r="B21" s="23" t="s">
        <v>48</v>
      </c>
      <c r="C21" s="50">
        <v>100</v>
      </c>
      <c r="D21" s="50">
        <v>7</v>
      </c>
      <c r="E21" s="50">
        <v>4</v>
      </c>
      <c r="F21" s="50">
        <v>41</v>
      </c>
      <c r="G21" s="50">
        <v>4</v>
      </c>
      <c r="H21" s="50">
        <v>0</v>
      </c>
      <c r="I21" s="50">
        <v>9</v>
      </c>
      <c r="J21" s="50">
        <v>6</v>
      </c>
      <c r="K21" s="50">
        <v>0</v>
      </c>
      <c r="L21" s="50">
        <v>2</v>
      </c>
      <c r="M21" s="50">
        <v>167</v>
      </c>
      <c r="N21" s="50">
        <v>0</v>
      </c>
      <c r="O21" s="15">
        <f t="shared" si="0"/>
        <v>173</v>
      </c>
      <c r="P21" s="15">
        <f t="shared" si="1"/>
        <v>340</v>
      </c>
      <c r="R21" s="36" t="s">
        <v>20</v>
      </c>
      <c r="S21" s="34">
        <f t="shared" ref="S21:AF21" si="13">SUM(C54:C57)</f>
        <v>476</v>
      </c>
      <c r="T21" s="17">
        <f t="shared" si="13"/>
        <v>29</v>
      </c>
      <c r="U21" s="17">
        <f t="shared" si="13"/>
        <v>23</v>
      </c>
      <c r="V21" s="17">
        <f t="shared" si="13"/>
        <v>210</v>
      </c>
      <c r="W21" s="17">
        <f t="shared" si="13"/>
        <v>8</v>
      </c>
      <c r="X21" s="17">
        <f t="shared" si="13"/>
        <v>1</v>
      </c>
      <c r="Y21" s="17">
        <f t="shared" si="13"/>
        <v>19</v>
      </c>
      <c r="Z21" s="17">
        <f t="shared" si="13"/>
        <v>12</v>
      </c>
      <c r="AA21" s="17">
        <f t="shared" si="13"/>
        <v>4</v>
      </c>
      <c r="AB21" s="17">
        <f t="shared" si="13"/>
        <v>11</v>
      </c>
      <c r="AC21" s="17">
        <f t="shared" si="13"/>
        <v>577</v>
      </c>
      <c r="AD21" s="17">
        <f t="shared" si="13"/>
        <v>0</v>
      </c>
      <c r="AE21" s="31">
        <f t="shared" si="13"/>
        <v>793</v>
      </c>
      <c r="AF21" s="31">
        <f t="shared" si="13"/>
        <v>1370</v>
      </c>
    </row>
    <row r="22" spans="2:32" ht="23.1" customHeight="1" x14ac:dyDescent="0.25">
      <c r="B22" s="23" t="s">
        <v>49</v>
      </c>
      <c r="C22" s="50">
        <v>75</v>
      </c>
      <c r="D22" s="50">
        <v>5</v>
      </c>
      <c r="E22" s="50">
        <v>88</v>
      </c>
      <c r="F22" s="50">
        <v>43</v>
      </c>
      <c r="G22" s="50">
        <v>1</v>
      </c>
      <c r="H22" s="50">
        <v>1</v>
      </c>
      <c r="I22" s="50">
        <v>7</v>
      </c>
      <c r="J22" s="50">
        <v>0</v>
      </c>
      <c r="K22" s="50">
        <v>2</v>
      </c>
      <c r="L22" s="50">
        <v>4</v>
      </c>
      <c r="M22" s="50">
        <v>232</v>
      </c>
      <c r="N22" s="50">
        <v>0</v>
      </c>
      <c r="O22" s="15">
        <f t="shared" si="0"/>
        <v>226</v>
      </c>
      <c r="P22" s="15">
        <f t="shared" si="1"/>
        <v>458</v>
      </c>
      <c r="R22" s="38" t="s">
        <v>90</v>
      </c>
      <c r="S22" s="39">
        <f>MAX(S10:S12)</f>
        <v>330</v>
      </c>
      <c r="T22" s="39">
        <f t="shared" ref="T22:AF22" si="14">MAX(T10:T12)</f>
        <v>30</v>
      </c>
      <c r="U22" s="39">
        <f t="shared" si="14"/>
        <v>39</v>
      </c>
      <c r="V22" s="39">
        <f t="shared" si="14"/>
        <v>195</v>
      </c>
      <c r="W22" s="39">
        <f t="shared" si="14"/>
        <v>9</v>
      </c>
      <c r="X22" s="39">
        <f t="shared" si="14"/>
        <v>3</v>
      </c>
      <c r="Y22" s="39">
        <f t="shared" si="14"/>
        <v>18</v>
      </c>
      <c r="Z22" s="39">
        <f t="shared" si="14"/>
        <v>8</v>
      </c>
      <c r="AA22" s="39">
        <f t="shared" si="14"/>
        <v>6</v>
      </c>
      <c r="AB22" s="39">
        <f t="shared" si="14"/>
        <v>13</v>
      </c>
      <c r="AC22" s="39">
        <f t="shared" si="14"/>
        <v>650</v>
      </c>
      <c r="AD22" s="39">
        <f t="shared" si="14"/>
        <v>0</v>
      </c>
      <c r="AE22" s="40">
        <f t="shared" si="14"/>
        <v>590</v>
      </c>
      <c r="AF22" s="40">
        <f t="shared" si="14"/>
        <v>1236</v>
      </c>
    </row>
    <row r="23" spans="2:32" ht="23.1" customHeight="1" x14ac:dyDescent="0.25">
      <c r="B23" s="23" t="s">
        <v>50</v>
      </c>
      <c r="C23" s="50">
        <v>88</v>
      </c>
      <c r="D23" s="50">
        <v>4</v>
      </c>
      <c r="E23" s="50">
        <v>6</v>
      </c>
      <c r="F23" s="50">
        <v>43</v>
      </c>
      <c r="G23" s="50">
        <v>0</v>
      </c>
      <c r="H23" s="50">
        <v>0</v>
      </c>
      <c r="I23" s="50">
        <v>6</v>
      </c>
      <c r="J23" s="50">
        <v>2</v>
      </c>
      <c r="K23" s="50">
        <v>0</v>
      </c>
      <c r="L23" s="50">
        <v>6</v>
      </c>
      <c r="M23" s="50">
        <v>175</v>
      </c>
      <c r="N23" s="50">
        <v>0</v>
      </c>
      <c r="O23" s="15">
        <f t="shared" si="0"/>
        <v>155</v>
      </c>
      <c r="P23" s="15">
        <f t="shared" si="1"/>
        <v>330</v>
      </c>
      <c r="R23" s="38" t="s">
        <v>91</v>
      </c>
      <c r="S23" s="39">
        <f>MAX(S13:S18)</f>
        <v>487</v>
      </c>
      <c r="T23" s="39">
        <f t="shared" ref="T23:AF23" si="15">MAX(T13:T18)</f>
        <v>38</v>
      </c>
      <c r="U23" s="39">
        <f t="shared" si="15"/>
        <v>103</v>
      </c>
      <c r="V23" s="39">
        <f t="shared" si="15"/>
        <v>224</v>
      </c>
      <c r="W23" s="39">
        <f t="shared" si="15"/>
        <v>11</v>
      </c>
      <c r="X23" s="39">
        <f t="shared" si="15"/>
        <v>4</v>
      </c>
      <c r="Y23" s="39">
        <f t="shared" si="15"/>
        <v>34</v>
      </c>
      <c r="Z23" s="39">
        <f t="shared" si="15"/>
        <v>16</v>
      </c>
      <c r="AA23" s="39">
        <f t="shared" si="15"/>
        <v>6</v>
      </c>
      <c r="AB23" s="39">
        <f t="shared" si="15"/>
        <v>16</v>
      </c>
      <c r="AC23" s="39">
        <f t="shared" si="15"/>
        <v>690</v>
      </c>
      <c r="AD23" s="39">
        <f t="shared" si="15"/>
        <v>0</v>
      </c>
      <c r="AE23" s="40">
        <f t="shared" si="15"/>
        <v>817</v>
      </c>
      <c r="AF23" s="40">
        <f t="shared" si="15"/>
        <v>1507</v>
      </c>
    </row>
    <row r="24" spans="2:32" ht="23.1" customHeight="1" x14ac:dyDescent="0.25">
      <c r="B24" s="23" t="s">
        <v>51</v>
      </c>
      <c r="C24" s="50">
        <v>90</v>
      </c>
      <c r="D24" s="50">
        <v>6</v>
      </c>
      <c r="E24" s="50">
        <v>5</v>
      </c>
      <c r="F24" s="50">
        <v>41</v>
      </c>
      <c r="G24" s="50">
        <v>3</v>
      </c>
      <c r="H24" s="50">
        <v>0</v>
      </c>
      <c r="I24" s="50">
        <v>10</v>
      </c>
      <c r="J24" s="50">
        <v>1</v>
      </c>
      <c r="K24" s="50">
        <v>0</v>
      </c>
      <c r="L24" s="50">
        <v>3</v>
      </c>
      <c r="M24" s="50">
        <v>88</v>
      </c>
      <c r="N24" s="50">
        <v>0</v>
      </c>
      <c r="O24" s="15">
        <f t="shared" si="0"/>
        <v>159</v>
      </c>
      <c r="P24" s="15">
        <f t="shared" si="1"/>
        <v>247</v>
      </c>
      <c r="R24" s="38" t="s">
        <v>92</v>
      </c>
      <c r="S24" s="39">
        <f>MAX(S19:S21)</f>
        <v>476</v>
      </c>
      <c r="T24" s="39">
        <f t="shared" ref="T24:AF24" si="16">MAX(T19:T21)</f>
        <v>32</v>
      </c>
      <c r="U24" s="39">
        <f t="shared" si="16"/>
        <v>28</v>
      </c>
      <c r="V24" s="39">
        <f t="shared" si="16"/>
        <v>228</v>
      </c>
      <c r="W24" s="39">
        <f t="shared" si="16"/>
        <v>11</v>
      </c>
      <c r="X24" s="39">
        <f t="shared" si="16"/>
        <v>6</v>
      </c>
      <c r="Y24" s="39">
        <f t="shared" si="16"/>
        <v>19</v>
      </c>
      <c r="Z24" s="39">
        <f t="shared" si="16"/>
        <v>12</v>
      </c>
      <c r="AA24" s="39">
        <f t="shared" si="16"/>
        <v>5</v>
      </c>
      <c r="AB24" s="39">
        <f t="shared" si="16"/>
        <v>13</v>
      </c>
      <c r="AC24" s="39">
        <f t="shared" si="16"/>
        <v>736</v>
      </c>
      <c r="AD24" s="39">
        <f t="shared" si="16"/>
        <v>0</v>
      </c>
      <c r="AE24" s="40">
        <f t="shared" si="16"/>
        <v>793</v>
      </c>
      <c r="AF24" s="40">
        <f t="shared" si="16"/>
        <v>1468</v>
      </c>
    </row>
    <row r="25" spans="2:32" ht="23.1" customHeight="1" x14ac:dyDescent="0.25">
      <c r="B25" s="23" t="s">
        <v>52</v>
      </c>
      <c r="C25" s="50">
        <v>75</v>
      </c>
      <c r="D25" s="50">
        <v>7</v>
      </c>
      <c r="E25" s="50">
        <v>4</v>
      </c>
      <c r="F25" s="50">
        <v>42</v>
      </c>
      <c r="G25" s="50">
        <v>2</v>
      </c>
      <c r="H25" s="50">
        <v>1</v>
      </c>
      <c r="I25" s="50">
        <v>2</v>
      </c>
      <c r="J25" s="50">
        <v>1</v>
      </c>
      <c r="K25" s="50">
        <v>1</v>
      </c>
      <c r="L25" s="50">
        <v>3</v>
      </c>
      <c r="M25" s="50">
        <v>192</v>
      </c>
      <c r="N25" s="50">
        <v>0</v>
      </c>
      <c r="O25" s="15">
        <f t="shared" si="0"/>
        <v>138</v>
      </c>
      <c r="P25" s="15">
        <f t="shared" si="1"/>
        <v>330</v>
      </c>
      <c r="R25" s="37" t="s">
        <v>85</v>
      </c>
      <c r="S25" s="35">
        <f t="shared" ref="S25:AF25" si="17">SUM(S10:S12)</f>
        <v>775</v>
      </c>
      <c r="T25" s="16">
        <f t="shared" si="17"/>
        <v>81</v>
      </c>
      <c r="U25" s="16">
        <f t="shared" si="17"/>
        <v>81</v>
      </c>
      <c r="V25" s="16">
        <f t="shared" si="17"/>
        <v>515</v>
      </c>
      <c r="W25" s="16">
        <f t="shared" si="17"/>
        <v>24</v>
      </c>
      <c r="X25" s="16">
        <f t="shared" si="17"/>
        <v>4</v>
      </c>
      <c r="Y25" s="16">
        <f t="shared" si="17"/>
        <v>43</v>
      </c>
      <c r="Z25" s="16">
        <f t="shared" si="17"/>
        <v>23</v>
      </c>
      <c r="AA25" s="16">
        <f t="shared" si="17"/>
        <v>7</v>
      </c>
      <c r="AB25" s="16">
        <f t="shared" si="17"/>
        <v>34</v>
      </c>
      <c r="AC25" s="16">
        <f t="shared" si="17"/>
        <v>1633</v>
      </c>
      <c r="AD25" s="16">
        <f t="shared" si="17"/>
        <v>0</v>
      </c>
      <c r="AE25" s="32">
        <f t="shared" si="17"/>
        <v>1587</v>
      </c>
      <c r="AF25" s="32">
        <f t="shared" si="17"/>
        <v>3220</v>
      </c>
    </row>
    <row r="26" spans="2:32" ht="23.1" customHeight="1" x14ac:dyDescent="0.25">
      <c r="B26" s="23" t="s">
        <v>53</v>
      </c>
      <c r="C26" s="50">
        <v>70</v>
      </c>
      <c r="D26" s="50">
        <v>4</v>
      </c>
      <c r="E26" s="50">
        <v>8</v>
      </c>
      <c r="F26" s="50">
        <v>54</v>
      </c>
      <c r="G26" s="50">
        <v>3</v>
      </c>
      <c r="H26" s="50">
        <v>1</v>
      </c>
      <c r="I26" s="50">
        <v>7</v>
      </c>
      <c r="J26" s="50">
        <v>3</v>
      </c>
      <c r="K26" s="50">
        <v>0</v>
      </c>
      <c r="L26" s="50">
        <v>5</v>
      </c>
      <c r="M26" s="50">
        <v>145</v>
      </c>
      <c r="N26" s="50">
        <v>0</v>
      </c>
      <c r="O26" s="15">
        <f t="shared" si="0"/>
        <v>155</v>
      </c>
      <c r="P26" s="15">
        <f t="shared" si="1"/>
        <v>300</v>
      </c>
      <c r="R26" s="28" t="s">
        <v>86</v>
      </c>
      <c r="S26" s="16">
        <f t="shared" ref="S26:AF26" si="18">SUM(S13:S18)</f>
        <v>2094</v>
      </c>
      <c r="T26" s="16">
        <f t="shared" si="18"/>
        <v>171</v>
      </c>
      <c r="U26" s="16">
        <f t="shared" si="18"/>
        <v>242</v>
      </c>
      <c r="V26" s="16">
        <f t="shared" si="18"/>
        <v>1241</v>
      </c>
      <c r="W26" s="16">
        <f t="shared" si="18"/>
        <v>42</v>
      </c>
      <c r="X26" s="16">
        <f t="shared" si="18"/>
        <v>15</v>
      </c>
      <c r="Y26" s="16">
        <f t="shared" si="18"/>
        <v>155</v>
      </c>
      <c r="Z26" s="16">
        <f t="shared" si="18"/>
        <v>47</v>
      </c>
      <c r="AA26" s="16">
        <f t="shared" si="18"/>
        <v>19</v>
      </c>
      <c r="AB26" s="16">
        <f t="shared" si="18"/>
        <v>75</v>
      </c>
      <c r="AC26" s="16">
        <f t="shared" si="18"/>
        <v>3667</v>
      </c>
      <c r="AD26" s="16">
        <f t="shared" si="18"/>
        <v>0</v>
      </c>
      <c r="AE26" s="32">
        <f t="shared" si="18"/>
        <v>4101</v>
      </c>
      <c r="AF26" s="32">
        <f t="shared" si="18"/>
        <v>7768</v>
      </c>
    </row>
    <row r="27" spans="2:32" ht="23.1" customHeight="1" x14ac:dyDescent="0.25">
      <c r="B27" s="23" t="s">
        <v>54</v>
      </c>
      <c r="C27" s="50">
        <v>75</v>
      </c>
      <c r="D27" s="50">
        <v>5</v>
      </c>
      <c r="E27" s="50">
        <v>9</v>
      </c>
      <c r="F27" s="50">
        <v>59</v>
      </c>
      <c r="G27" s="50">
        <v>2</v>
      </c>
      <c r="H27" s="50">
        <v>0</v>
      </c>
      <c r="I27" s="50">
        <v>5</v>
      </c>
      <c r="J27" s="50">
        <v>5</v>
      </c>
      <c r="K27" s="50">
        <v>2</v>
      </c>
      <c r="L27" s="50">
        <v>1</v>
      </c>
      <c r="M27" s="50">
        <v>127</v>
      </c>
      <c r="N27" s="50">
        <v>0</v>
      </c>
      <c r="O27" s="15">
        <f t="shared" si="0"/>
        <v>163</v>
      </c>
      <c r="P27" s="15">
        <f t="shared" si="1"/>
        <v>290</v>
      </c>
      <c r="R27" s="29" t="s">
        <v>87</v>
      </c>
      <c r="S27" s="16">
        <f t="shared" ref="S27:AF27" si="19">SUM(S19:S21)</f>
        <v>1223</v>
      </c>
      <c r="T27" s="16">
        <f t="shared" si="19"/>
        <v>82</v>
      </c>
      <c r="U27" s="16">
        <f t="shared" si="19"/>
        <v>79</v>
      </c>
      <c r="V27" s="16">
        <f t="shared" si="19"/>
        <v>658</v>
      </c>
      <c r="W27" s="16">
        <f t="shared" si="19"/>
        <v>26</v>
      </c>
      <c r="X27" s="16">
        <f t="shared" si="19"/>
        <v>11</v>
      </c>
      <c r="Y27" s="16">
        <f t="shared" si="19"/>
        <v>49</v>
      </c>
      <c r="Z27" s="16">
        <f t="shared" si="19"/>
        <v>22</v>
      </c>
      <c r="AA27" s="16">
        <f t="shared" si="19"/>
        <v>9</v>
      </c>
      <c r="AB27" s="16">
        <f t="shared" si="19"/>
        <v>34</v>
      </c>
      <c r="AC27" s="16">
        <f t="shared" si="19"/>
        <v>1963</v>
      </c>
      <c r="AD27" s="16">
        <f t="shared" si="19"/>
        <v>0</v>
      </c>
      <c r="AE27" s="32">
        <f t="shared" si="19"/>
        <v>2193</v>
      </c>
      <c r="AF27" s="32">
        <f t="shared" si="19"/>
        <v>4156</v>
      </c>
    </row>
    <row r="28" spans="2:32" ht="23.1" customHeight="1" x14ac:dyDescent="0.25">
      <c r="B28" s="23" t="s">
        <v>55</v>
      </c>
      <c r="C28" s="50">
        <v>95</v>
      </c>
      <c r="D28" s="50">
        <v>12</v>
      </c>
      <c r="E28" s="50">
        <v>8</v>
      </c>
      <c r="F28" s="50">
        <v>49</v>
      </c>
      <c r="G28" s="50">
        <v>0</v>
      </c>
      <c r="H28" s="50">
        <v>0</v>
      </c>
      <c r="I28" s="50">
        <v>9</v>
      </c>
      <c r="J28" s="50">
        <v>6</v>
      </c>
      <c r="K28" s="50">
        <v>2</v>
      </c>
      <c r="L28" s="50">
        <v>6</v>
      </c>
      <c r="M28" s="50">
        <v>122</v>
      </c>
      <c r="N28" s="50">
        <v>0</v>
      </c>
      <c r="O28" s="15">
        <f t="shared" si="0"/>
        <v>187</v>
      </c>
      <c r="P28" s="15">
        <f t="shared" si="1"/>
        <v>309</v>
      </c>
      <c r="R28" s="5" t="s">
        <v>17</v>
      </c>
      <c r="S28" s="16">
        <f t="shared" ref="S28:AF28" si="20">SUM(S10:S21)</f>
        <v>4092</v>
      </c>
      <c r="T28" s="16">
        <f t="shared" si="20"/>
        <v>334</v>
      </c>
      <c r="U28" s="16">
        <f t="shared" si="20"/>
        <v>402</v>
      </c>
      <c r="V28" s="16">
        <f t="shared" si="20"/>
        <v>2414</v>
      </c>
      <c r="W28" s="16">
        <f t="shared" si="20"/>
        <v>92</v>
      </c>
      <c r="X28" s="16">
        <f t="shared" si="20"/>
        <v>30</v>
      </c>
      <c r="Y28" s="16">
        <f t="shared" si="20"/>
        <v>247</v>
      </c>
      <c r="Z28" s="16">
        <f t="shared" si="20"/>
        <v>92</v>
      </c>
      <c r="AA28" s="16">
        <f t="shared" si="20"/>
        <v>35</v>
      </c>
      <c r="AB28" s="16">
        <f t="shared" si="20"/>
        <v>143</v>
      </c>
      <c r="AC28" s="16">
        <f t="shared" si="20"/>
        <v>7263</v>
      </c>
      <c r="AD28" s="16">
        <f t="shared" si="20"/>
        <v>0</v>
      </c>
      <c r="AE28" s="32">
        <f t="shared" si="20"/>
        <v>7881</v>
      </c>
      <c r="AF28" s="32">
        <f t="shared" si="20"/>
        <v>15144</v>
      </c>
    </row>
    <row r="29" spans="2:32" ht="23.1" customHeight="1" x14ac:dyDescent="0.25">
      <c r="B29" s="23" t="s">
        <v>56</v>
      </c>
      <c r="C29" s="50">
        <v>80</v>
      </c>
      <c r="D29" s="50">
        <v>13</v>
      </c>
      <c r="E29" s="50">
        <v>9</v>
      </c>
      <c r="F29" s="50">
        <v>57</v>
      </c>
      <c r="G29" s="50">
        <v>4</v>
      </c>
      <c r="H29" s="50">
        <v>0</v>
      </c>
      <c r="I29" s="50">
        <v>13</v>
      </c>
      <c r="J29" s="50">
        <v>2</v>
      </c>
      <c r="K29" s="50">
        <v>1</v>
      </c>
      <c r="L29" s="50">
        <v>2</v>
      </c>
      <c r="M29" s="50">
        <v>133</v>
      </c>
      <c r="N29" s="50">
        <v>0</v>
      </c>
      <c r="O29" s="15">
        <f t="shared" si="0"/>
        <v>181</v>
      </c>
      <c r="P29" s="15">
        <f t="shared" si="1"/>
        <v>314</v>
      </c>
      <c r="R29"/>
      <c r="S29" s="20"/>
      <c r="T29" s="19"/>
    </row>
    <row r="30" spans="2:32" ht="23.1" customHeight="1" x14ac:dyDescent="0.25">
      <c r="B30" s="23" t="s">
        <v>57</v>
      </c>
      <c r="C30" s="50">
        <v>78</v>
      </c>
      <c r="D30" s="50">
        <v>7</v>
      </c>
      <c r="E30" s="50">
        <v>8</v>
      </c>
      <c r="F30" s="50">
        <v>55</v>
      </c>
      <c r="G30" s="50">
        <v>2</v>
      </c>
      <c r="H30" s="50">
        <v>0</v>
      </c>
      <c r="I30" s="50">
        <v>10</v>
      </c>
      <c r="J30" s="50">
        <v>2</v>
      </c>
      <c r="K30" s="50">
        <v>0</v>
      </c>
      <c r="L30" s="50">
        <v>2</v>
      </c>
      <c r="M30" s="50">
        <v>132</v>
      </c>
      <c r="N30" s="50">
        <v>0</v>
      </c>
      <c r="O30" s="15">
        <f t="shared" si="0"/>
        <v>164</v>
      </c>
      <c r="P30" s="15">
        <f t="shared" si="1"/>
        <v>296</v>
      </c>
    </row>
    <row r="31" spans="2:32" ht="23.1" customHeight="1" x14ac:dyDescent="0.25">
      <c r="B31" s="24" t="s">
        <v>58</v>
      </c>
      <c r="C31" s="50">
        <v>90</v>
      </c>
      <c r="D31" s="50">
        <v>6</v>
      </c>
      <c r="E31" s="50">
        <v>5</v>
      </c>
      <c r="F31" s="50">
        <v>46</v>
      </c>
      <c r="G31" s="50">
        <v>3</v>
      </c>
      <c r="H31" s="50">
        <v>0</v>
      </c>
      <c r="I31" s="50">
        <v>6</v>
      </c>
      <c r="J31" s="50">
        <v>2</v>
      </c>
      <c r="K31" s="50">
        <v>0</v>
      </c>
      <c r="L31" s="50">
        <v>2</v>
      </c>
      <c r="M31" s="50">
        <v>155</v>
      </c>
      <c r="N31" s="50">
        <v>0</v>
      </c>
      <c r="O31" s="15">
        <f t="shared" si="0"/>
        <v>160</v>
      </c>
      <c r="P31" s="15">
        <f t="shared" si="1"/>
        <v>315</v>
      </c>
    </row>
    <row r="32" spans="2:32" ht="23.1" customHeight="1" x14ac:dyDescent="0.25">
      <c r="B32" s="24" t="s">
        <v>59</v>
      </c>
      <c r="C32" s="50">
        <v>70</v>
      </c>
      <c r="D32" s="50">
        <v>3</v>
      </c>
      <c r="E32" s="50">
        <v>9</v>
      </c>
      <c r="F32" s="50">
        <v>45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5</v>
      </c>
      <c r="M32" s="50">
        <v>152</v>
      </c>
      <c r="N32" s="50">
        <v>0</v>
      </c>
      <c r="O32" s="15">
        <f t="shared" si="0"/>
        <v>135</v>
      </c>
      <c r="P32" s="15">
        <f t="shared" si="1"/>
        <v>287</v>
      </c>
    </row>
    <row r="33" spans="2:20" ht="23.1" customHeight="1" x14ac:dyDescent="0.25">
      <c r="B33" s="23" t="s">
        <v>60</v>
      </c>
      <c r="C33" s="50">
        <v>85</v>
      </c>
      <c r="D33" s="50">
        <v>9</v>
      </c>
      <c r="E33" s="50">
        <v>6</v>
      </c>
      <c r="F33" s="50">
        <v>71</v>
      </c>
      <c r="G33" s="50">
        <v>4</v>
      </c>
      <c r="H33" s="50">
        <v>1</v>
      </c>
      <c r="I33" s="50">
        <v>10</v>
      </c>
      <c r="J33" s="50">
        <v>2</v>
      </c>
      <c r="K33" s="50">
        <v>0</v>
      </c>
      <c r="L33" s="50">
        <v>3</v>
      </c>
      <c r="M33" s="50">
        <v>109</v>
      </c>
      <c r="N33" s="50">
        <v>0</v>
      </c>
      <c r="O33" s="15">
        <f t="shared" si="0"/>
        <v>191</v>
      </c>
      <c r="P33" s="15">
        <f t="shared" si="1"/>
        <v>300</v>
      </c>
    </row>
    <row r="34" spans="2:20" ht="23.1" customHeight="1" x14ac:dyDescent="0.25">
      <c r="B34" s="24" t="s">
        <v>61</v>
      </c>
      <c r="C34" s="50">
        <v>73</v>
      </c>
      <c r="D34" s="50">
        <v>13</v>
      </c>
      <c r="E34" s="50">
        <v>6</v>
      </c>
      <c r="F34" s="50">
        <v>50</v>
      </c>
      <c r="G34" s="50">
        <v>3</v>
      </c>
      <c r="H34" s="50">
        <v>1</v>
      </c>
      <c r="I34" s="50">
        <v>4</v>
      </c>
      <c r="J34" s="50">
        <v>0</v>
      </c>
      <c r="K34" s="50">
        <v>0</v>
      </c>
      <c r="L34" s="50">
        <v>2</v>
      </c>
      <c r="M34" s="50">
        <v>133</v>
      </c>
      <c r="N34" s="50">
        <v>0</v>
      </c>
      <c r="O34" s="15">
        <f t="shared" si="0"/>
        <v>152</v>
      </c>
      <c r="P34" s="15">
        <f t="shared" si="1"/>
        <v>285</v>
      </c>
    </row>
    <row r="35" spans="2:20" ht="23.1" customHeight="1" x14ac:dyDescent="0.25">
      <c r="B35" s="24" t="s">
        <v>62</v>
      </c>
      <c r="C35" s="50">
        <v>60</v>
      </c>
      <c r="D35" s="50">
        <v>7</v>
      </c>
      <c r="E35" s="50">
        <v>7</v>
      </c>
      <c r="F35" s="50">
        <v>59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137</v>
      </c>
      <c r="N35" s="50">
        <v>0</v>
      </c>
      <c r="O35" s="15">
        <f t="shared" si="0"/>
        <v>136</v>
      </c>
      <c r="P35" s="15">
        <f t="shared" si="1"/>
        <v>273</v>
      </c>
    </row>
    <row r="36" spans="2:20" ht="23.1" customHeight="1" x14ac:dyDescent="0.25">
      <c r="B36" s="24" t="s">
        <v>63</v>
      </c>
      <c r="C36" s="50">
        <v>64</v>
      </c>
      <c r="D36" s="50">
        <v>6</v>
      </c>
      <c r="E36" s="50">
        <v>4</v>
      </c>
      <c r="F36" s="50">
        <v>42</v>
      </c>
      <c r="G36" s="50">
        <v>0</v>
      </c>
      <c r="H36" s="50">
        <v>2</v>
      </c>
      <c r="I36" s="50">
        <v>0</v>
      </c>
      <c r="J36" s="50">
        <v>3</v>
      </c>
      <c r="K36" s="50">
        <v>0</v>
      </c>
      <c r="L36" s="50">
        <v>1</v>
      </c>
      <c r="M36" s="50">
        <v>134</v>
      </c>
      <c r="N36" s="50">
        <v>0</v>
      </c>
      <c r="O36" s="15">
        <f t="shared" si="0"/>
        <v>122</v>
      </c>
      <c r="P36" s="15">
        <f t="shared" si="1"/>
        <v>256</v>
      </c>
    </row>
    <row r="37" spans="2:20" ht="23.1" customHeight="1" x14ac:dyDescent="0.25">
      <c r="B37" s="23" t="s">
        <v>64</v>
      </c>
      <c r="C37" s="50">
        <v>83</v>
      </c>
      <c r="D37" s="50">
        <v>4</v>
      </c>
      <c r="E37" s="50">
        <v>8</v>
      </c>
      <c r="F37" s="50">
        <v>56</v>
      </c>
      <c r="G37" s="50">
        <v>2</v>
      </c>
      <c r="H37" s="50">
        <v>0</v>
      </c>
      <c r="I37" s="50">
        <v>6</v>
      </c>
      <c r="J37" s="50">
        <v>0</v>
      </c>
      <c r="K37" s="50">
        <v>0</v>
      </c>
      <c r="L37" s="50">
        <v>0</v>
      </c>
      <c r="M37" s="50">
        <v>140</v>
      </c>
      <c r="N37" s="50">
        <v>0</v>
      </c>
      <c r="O37" s="15">
        <f t="shared" si="0"/>
        <v>159</v>
      </c>
      <c r="P37" s="15">
        <f t="shared" si="1"/>
        <v>299</v>
      </c>
    </row>
    <row r="38" spans="2:20" ht="23.1" customHeight="1" x14ac:dyDescent="0.25">
      <c r="B38" s="24" t="s">
        <v>65</v>
      </c>
      <c r="C38" s="50">
        <v>72</v>
      </c>
      <c r="D38" s="50">
        <v>5</v>
      </c>
      <c r="E38" s="50">
        <v>4</v>
      </c>
      <c r="F38" s="50">
        <v>51</v>
      </c>
      <c r="G38" s="50">
        <v>2</v>
      </c>
      <c r="H38" s="50">
        <v>1</v>
      </c>
      <c r="I38" s="50">
        <v>8</v>
      </c>
      <c r="J38" s="50">
        <v>2</v>
      </c>
      <c r="K38" s="50">
        <v>0</v>
      </c>
      <c r="L38" s="50">
        <v>1</v>
      </c>
      <c r="M38" s="50">
        <v>156</v>
      </c>
      <c r="N38" s="50">
        <v>0</v>
      </c>
      <c r="O38" s="15">
        <f t="shared" si="0"/>
        <v>146</v>
      </c>
      <c r="P38" s="15">
        <f t="shared" si="1"/>
        <v>302</v>
      </c>
    </row>
    <row r="39" spans="2:20" ht="23.1" customHeight="1" x14ac:dyDescent="0.25">
      <c r="B39" s="24" t="s">
        <v>66</v>
      </c>
      <c r="C39" s="50">
        <v>78</v>
      </c>
      <c r="D39" s="50">
        <v>4</v>
      </c>
      <c r="E39" s="50">
        <v>3</v>
      </c>
      <c r="F39" s="50">
        <v>45</v>
      </c>
      <c r="G39" s="50">
        <v>2</v>
      </c>
      <c r="H39" s="50">
        <v>0</v>
      </c>
      <c r="I39" s="50">
        <v>6</v>
      </c>
      <c r="J39" s="50">
        <v>0</v>
      </c>
      <c r="K39" s="50">
        <v>2</v>
      </c>
      <c r="L39" s="50">
        <v>8</v>
      </c>
      <c r="M39" s="50">
        <v>128</v>
      </c>
      <c r="N39" s="50">
        <v>0</v>
      </c>
      <c r="O39" s="15">
        <f t="shared" si="0"/>
        <v>148</v>
      </c>
      <c r="P39" s="15">
        <f t="shared" si="1"/>
        <v>276</v>
      </c>
    </row>
    <row r="40" spans="2:20" ht="23.1" customHeight="1" x14ac:dyDescent="0.25">
      <c r="B40" s="24" t="s">
        <v>67</v>
      </c>
      <c r="C40" s="50">
        <v>123</v>
      </c>
      <c r="D40" s="50">
        <v>9</v>
      </c>
      <c r="E40" s="50">
        <v>10</v>
      </c>
      <c r="F40" s="50">
        <v>58</v>
      </c>
      <c r="G40" s="50">
        <v>5</v>
      </c>
      <c r="H40" s="50">
        <v>2</v>
      </c>
      <c r="I40" s="50">
        <v>5</v>
      </c>
      <c r="J40" s="50">
        <v>1</v>
      </c>
      <c r="K40" s="50">
        <v>1</v>
      </c>
      <c r="L40" s="50">
        <v>4</v>
      </c>
      <c r="M40" s="50">
        <v>210</v>
      </c>
      <c r="N40" s="50">
        <v>0</v>
      </c>
      <c r="O40" s="15">
        <f t="shared" si="0"/>
        <v>218</v>
      </c>
      <c r="P40" s="15">
        <f t="shared" si="1"/>
        <v>428</v>
      </c>
    </row>
    <row r="41" spans="2:20" ht="23.1" customHeight="1" x14ac:dyDescent="0.25">
      <c r="B41" s="23" t="s">
        <v>68</v>
      </c>
      <c r="C41" s="50">
        <v>83</v>
      </c>
      <c r="D41" s="50">
        <v>4</v>
      </c>
      <c r="E41" s="50">
        <v>11</v>
      </c>
      <c r="F41" s="50">
        <v>70</v>
      </c>
      <c r="G41" s="50">
        <v>2</v>
      </c>
      <c r="H41" s="50">
        <v>1</v>
      </c>
      <c r="I41" s="50">
        <v>9</v>
      </c>
      <c r="J41" s="50">
        <v>6</v>
      </c>
      <c r="K41" s="50">
        <v>2</v>
      </c>
      <c r="L41" s="50">
        <v>1</v>
      </c>
      <c r="M41" s="50">
        <v>177</v>
      </c>
      <c r="N41" s="50">
        <v>0</v>
      </c>
      <c r="O41" s="15">
        <f t="shared" si="0"/>
        <v>189</v>
      </c>
      <c r="P41" s="15">
        <f t="shared" si="1"/>
        <v>366</v>
      </c>
    </row>
    <row r="42" spans="2:20" ht="23.1" customHeight="1" x14ac:dyDescent="0.25">
      <c r="B42" s="24" t="s">
        <v>69</v>
      </c>
      <c r="C42" s="50">
        <v>105</v>
      </c>
      <c r="D42" s="50">
        <v>7</v>
      </c>
      <c r="E42" s="50">
        <v>6</v>
      </c>
      <c r="F42" s="50">
        <v>59</v>
      </c>
      <c r="G42" s="50">
        <v>0</v>
      </c>
      <c r="H42" s="50">
        <v>0</v>
      </c>
      <c r="I42" s="50">
        <v>7</v>
      </c>
      <c r="J42" s="50">
        <v>1</v>
      </c>
      <c r="K42" s="50">
        <v>4</v>
      </c>
      <c r="L42" s="50">
        <v>2</v>
      </c>
      <c r="M42" s="50">
        <v>220</v>
      </c>
      <c r="N42" s="50">
        <v>0</v>
      </c>
      <c r="O42" s="15">
        <f t="shared" si="0"/>
        <v>191</v>
      </c>
      <c r="P42" s="15">
        <f t="shared" si="1"/>
        <v>411</v>
      </c>
    </row>
    <row r="43" spans="2:20" ht="23.1" customHeight="1" x14ac:dyDescent="0.25">
      <c r="B43" s="23" t="s">
        <v>70</v>
      </c>
      <c r="C43" s="50">
        <v>125</v>
      </c>
      <c r="D43" s="50">
        <v>12</v>
      </c>
      <c r="E43" s="50">
        <v>7</v>
      </c>
      <c r="F43" s="50">
        <v>42</v>
      </c>
      <c r="G43" s="50">
        <v>1</v>
      </c>
      <c r="H43" s="50">
        <v>0</v>
      </c>
      <c r="I43" s="50">
        <v>5</v>
      </c>
      <c r="J43" s="50">
        <v>6</v>
      </c>
      <c r="K43" s="50">
        <v>1</v>
      </c>
      <c r="L43" s="50">
        <v>5</v>
      </c>
      <c r="M43" s="50">
        <v>152</v>
      </c>
      <c r="N43" s="50">
        <v>0</v>
      </c>
      <c r="O43" s="15">
        <f t="shared" si="0"/>
        <v>204</v>
      </c>
      <c r="P43" s="15">
        <f t="shared" si="1"/>
        <v>356</v>
      </c>
    </row>
    <row r="44" spans="2:20" ht="23.1" customHeight="1" x14ac:dyDescent="0.25">
      <c r="B44" s="25" t="s">
        <v>71</v>
      </c>
      <c r="C44" s="50">
        <v>142</v>
      </c>
      <c r="D44" s="50">
        <v>7</v>
      </c>
      <c r="E44" s="50">
        <v>5</v>
      </c>
      <c r="F44" s="50">
        <v>53</v>
      </c>
      <c r="G44" s="50">
        <v>1</v>
      </c>
      <c r="H44" s="50">
        <v>3</v>
      </c>
      <c r="I44" s="50">
        <v>12</v>
      </c>
      <c r="J44" s="50">
        <v>1</v>
      </c>
      <c r="K44" s="50">
        <v>1</v>
      </c>
      <c r="L44" s="50">
        <v>6</v>
      </c>
      <c r="M44" s="50">
        <v>155</v>
      </c>
      <c r="N44" s="50">
        <v>0</v>
      </c>
      <c r="O44" s="15">
        <f t="shared" si="0"/>
        <v>231</v>
      </c>
      <c r="P44" s="15">
        <f t="shared" si="1"/>
        <v>386</v>
      </c>
    </row>
    <row r="45" spans="2:20" ht="23.1" customHeight="1" x14ac:dyDescent="0.25">
      <c r="B45" s="23" t="s">
        <v>72</v>
      </c>
      <c r="C45" s="50">
        <v>115</v>
      </c>
      <c r="D45" s="50">
        <v>12</v>
      </c>
      <c r="E45" s="50">
        <v>6</v>
      </c>
      <c r="F45" s="50">
        <v>51</v>
      </c>
      <c r="G45" s="50">
        <v>0</v>
      </c>
      <c r="H45" s="50">
        <v>1</v>
      </c>
      <c r="I45" s="50">
        <v>3</v>
      </c>
      <c r="J45" s="50">
        <v>0</v>
      </c>
      <c r="K45" s="50">
        <v>0</v>
      </c>
      <c r="L45" s="50">
        <v>3</v>
      </c>
      <c r="M45" s="50">
        <v>163</v>
      </c>
      <c r="N45" s="50">
        <v>0</v>
      </c>
      <c r="O45" s="15">
        <f t="shared" si="0"/>
        <v>191</v>
      </c>
      <c r="P45" s="15">
        <f t="shared" si="1"/>
        <v>354</v>
      </c>
    </row>
    <row r="46" spans="2:20" ht="23.1" customHeight="1" x14ac:dyDescent="0.25">
      <c r="B46" s="24" t="s">
        <v>73</v>
      </c>
      <c r="C46" s="50">
        <v>105</v>
      </c>
      <c r="D46" s="50">
        <v>13</v>
      </c>
      <c r="E46" s="50">
        <v>9</v>
      </c>
      <c r="F46" s="50">
        <v>59</v>
      </c>
      <c r="G46" s="50">
        <v>2</v>
      </c>
      <c r="H46" s="50">
        <v>2</v>
      </c>
      <c r="I46" s="50">
        <v>5</v>
      </c>
      <c r="J46" s="50">
        <v>1</v>
      </c>
      <c r="K46" s="50">
        <v>1</v>
      </c>
      <c r="L46" s="50">
        <v>5</v>
      </c>
      <c r="M46" s="50">
        <v>172</v>
      </c>
      <c r="N46" s="50">
        <v>0</v>
      </c>
      <c r="O46" s="15">
        <f t="shared" si="0"/>
        <v>202</v>
      </c>
      <c r="P46" s="15">
        <f t="shared" si="1"/>
        <v>374</v>
      </c>
      <c r="R46" s="8"/>
      <c r="T46"/>
    </row>
    <row r="47" spans="2:20" ht="23.1" customHeight="1" x14ac:dyDescent="0.25">
      <c r="B47" s="24" t="s">
        <v>74</v>
      </c>
      <c r="C47" s="50">
        <v>82</v>
      </c>
      <c r="D47" s="50">
        <v>8</v>
      </c>
      <c r="E47" s="50">
        <v>7</v>
      </c>
      <c r="F47" s="50">
        <v>49</v>
      </c>
      <c r="G47" s="50">
        <v>0</v>
      </c>
      <c r="H47" s="50">
        <v>0</v>
      </c>
      <c r="I47" s="50">
        <v>4</v>
      </c>
      <c r="J47" s="50">
        <v>2</v>
      </c>
      <c r="K47" s="50">
        <v>1</v>
      </c>
      <c r="L47" s="50">
        <v>2</v>
      </c>
      <c r="M47" s="50">
        <v>217</v>
      </c>
      <c r="N47" s="50">
        <v>0</v>
      </c>
      <c r="O47" s="15">
        <f t="shared" si="0"/>
        <v>155</v>
      </c>
      <c r="P47" s="15">
        <f t="shared" si="1"/>
        <v>372</v>
      </c>
      <c r="R47" s="8"/>
      <c r="T47"/>
    </row>
    <row r="48" spans="2:20" ht="23.1" customHeight="1" x14ac:dyDescent="0.25">
      <c r="B48" s="24" t="s">
        <v>75</v>
      </c>
      <c r="C48" s="50">
        <v>90</v>
      </c>
      <c r="D48" s="50">
        <v>6</v>
      </c>
      <c r="E48" s="50">
        <v>7</v>
      </c>
      <c r="F48" s="50">
        <v>55</v>
      </c>
      <c r="G48" s="50">
        <v>3</v>
      </c>
      <c r="H48" s="50">
        <v>2</v>
      </c>
      <c r="I48" s="50">
        <v>1</v>
      </c>
      <c r="J48" s="50">
        <v>5</v>
      </c>
      <c r="K48" s="50">
        <v>2</v>
      </c>
      <c r="L48" s="50">
        <v>3</v>
      </c>
      <c r="M48" s="50">
        <v>187</v>
      </c>
      <c r="N48" s="50">
        <v>0</v>
      </c>
      <c r="O48" s="15">
        <f t="shared" si="0"/>
        <v>174</v>
      </c>
      <c r="P48" s="15">
        <f t="shared" si="1"/>
        <v>361</v>
      </c>
      <c r="R48" s="8"/>
      <c r="T48"/>
    </row>
    <row r="49" spans="2:20" ht="23.1" customHeight="1" x14ac:dyDescent="0.25">
      <c r="B49" s="23" t="s">
        <v>76</v>
      </c>
      <c r="C49" s="50">
        <v>115</v>
      </c>
      <c r="D49" s="50">
        <v>5</v>
      </c>
      <c r="E49" s="50">
        <v>5</v>
      </c>
      <c r="F49" s="50">
        <v>65</v>
      </c>
      <c r="G49" s="50">
        <v>2</v>
      </c>
      <c r="H49" s="50">
        <v>0</v>
      </c>
      <c r="I49" s="50">
        <v>4</v>
      </c>
      <c r="J49" s="50">
        <v>1</v>
      </c>
      <c r="K49" s="50">
        <v>1</v>
      </c>
      <c r="L49" s="50">
        <v>3</v>
      </c>
      <c r="M49" s="50">
        <v>160</v>
      </c>
      <c r="N49" s="50">
        <v>0</v>
      </c>
      <c r="O49" s="15">
        <f t="shared" si="0"/>
        <v>201</v>
      </c>
      <c r="P49" s="15">
        <f t="shared" si="1"/>
        <v>361</v>
      </c>
      <c r="R49" s="8"/>
      <c r="T49"/>
    </row>
    <row r="50" spans="2:20" ht="23.1" customHeight="1" x14ac:dyDescent="0.25">
      <c r="B50" s="24" t="s">
        <v>77</v>
      </c>
      <c r="C50" s="50">
        <v>85</v>
      </c>
      <c r="D50" s="50">
        <v>5</v>
      </c>
      <c r="E50" s="50">
        <v>11</v>
      </c>
      <c r="F50" s="50">
        <v>58</v>
      </c>
      <c r="G50" s="50">
        <v>5</v>
      </c>
      <c r="H50" s="50">
        <v>1</v>
      </c>
      <c r="I50" s="50">
        <v>4</v>
      </c>
      <c r="J50" s="50">
        <v>0</v>
      </c>
      <c r="K50" s="50">
        <v>0</v>
      </c>
      <c r="L50" s="50">
        <v>5</v>
      </c>
      <c r="M50" s="50">
        <v>148</v>
      </c>
      <c r="N50" s="50">
        <v>0</v>
      </c>
      <c r="O50" s="15">
        <f t="shared" si="0"/>
        <v>174</v>
      </c>
      <c r="P50" s="15">
        <f t="shared" si="1"/>
        <v>322</v>
      </c>
      <c r="R50" s="8"/>
      <c r="T50"/>
    </row>
    <row r="51" spans="2:20" ht="23.1" customHeight="1" x14ac:dyDescent="0.25">
      <c r="B51" s="24" t="s">
        <v>78</v>
      </c>
      <c r="C51" s="50">
        <v>75</v>
      </c>
      <c r="D51" s="50">
        <v>3</v>
      </c>
      <c r="E51" s="50">
        <v>6</v>
      </c>
      <c r="F51" s="50">
        <v>44</v>
      </c>
      <c r="G51" s="50">
        <v>1</v>
      </c>
      <c r="H51" s="50">
        <v>2</v>
      </c>
      <c r="I51" s="50">
        <v>2</v>
      </c>
      <c r="J51" s="50">
        <v>0</v>
      </c>
      <c r="K51" s="50">
        <v>0</v>
      </c>
      <c r="L51" s="50">
        <v>1</v>
      </c>
      <c r="M51" s="50">
        <v>179</v>
      </c>
      <c r="N51" s="50">
        <v>0</v>
      </c>
      <c r="O51" s="15">
        <f t="shared" si="0"/>
        <v>134</v>
      </c>
      <c r="P51" s="15">
        <f t="shared" si="1"/>
        <v>313</v>
      </c>
      <c r="R51" s="8"/>
      <c r="T51"/>
    </row>
    <row r="52" spans="2:20" ht="23.1" customHeight="1" x14ac:dyDescent="0.25">
      <c r="B52" s="24" t="s">
        <v>79</v>
      </c>
      <c r="C52" s="50">
        <v>90</v>
      </c>
      <c r="D52" s="50">
        <v>5</v>
      </c>
      <c r="E52" s="50">
        <v>6</v>
      </c>
      <c r="F52" s="50">
        <v>62</v>
      </c>
      <c r="G52" s="50">
        <v>3</v>
      </c>
      <c r="H52" s="50">
        <v>2</v>
      </c>
      <c r="I52" s="50">
        <v>4</v>
      </c>
      <c r="J52" s="50">
        <v>1</v>
      </c>
      <c r="K52" s="50">
        <v>0</v>
      </c>
      <c r="L52" s="50">
        <v>2</v>
      </c>
      <c r="M52" s="50">
        <v>162</v>
      </c>
      <c r="N52" s="50">
        <v>0</v>
      </c>
      <c r="O52" s="15">
        <f t="shared" si="0"/>
        <v>175</v>
      </c>
      <c r="P52" s="15">
        <f t="shared" si="1"/>
        <v>337</v>
      </c>
      <c r="R52" s="8"/>
      <c r="T52"/>
    </row>
    <row r="53" spans="2:20" ht="23.1" customHeight="1" x14ac:dyDescent="0.25">
      <c r="B53" s="23" t="s">
        <v>80</v>
      </c>
      <c r="C53" s="50">
        <v>105</v>
      </c>
      <c r="D53" s="50">
        <v>8</v>
      </c>
      <c r="E53" s="50">
        <v>5</v>
      </c>
      <c r="F53" s="50">
        <v>56</v>
      </c>
      <c r="G53" s="50">
        <v>2</v>
      </c>
      <c r="H53" s="50">
        <v>1</v>
      </c>
      <c r="I53" s="50">
        <v>6</v>
      </c>
      <c r="J53" s="50">
        <v>0</v>
      </c>
      <c r="K53" s="50">
        <v>0</v>
      </c>
      <c r="L53" s="50">
        <v>2</v>
      </c>
      <c r="M53" s="50">
        <v>161</v>
      </c>
      <c r="N53" s="50">
        <v>0</v>
      </c>
      <c r="O53" s="15">
        <f t="shared" si="0"/>
        <v>185</v>
      </c>
      <c r="P53" s="15">
        <f t="shared" si="1"/>
        <v>346</v>
      </c>
      <c r="R53" s="8"/>
      <c r="T53"/>
    </row>
    <row r="54" spans="2:20" ht="23.1" customHeight="1" x14ac:dyDescent="0.25">
      <c r="B54" s="23" t="s">
        <v>81</v>
      </c>
      <c r="C54" s="50">
        <v>85</v>
      </c>
      <c r="D54" s="50">
        <v>9</v>
      </c>
      <c r="E54" s="50">
        <v>7</v>
      </c>
      <c r="F54" s="50">
        <v>60</v>
      </c>
      <c r="G54" s="50">
        <v>1</v>
      </c>
      <c r="H54" s="50">
        <v>1</v>
      </c>
      <c r="I54" s="50">
        <v>7</v>
      </c>
      <c r="J54" s="50">
        <v>4</v>
      </c>
      <c r="K54" s="50">
        <v>0</v>
      </c>
      <c r="L54" s="50">
        <v>4</v>
      </c>
      <c r="M54" s="50">
        <v>160</v>
      </c>
      <c r="N54" s="50">
        <v>0</v>
      </c>
      <c r="O54" s="15">
        <f t="shared" si="0"/>
        <v>178</v>
      </c>
      <c r="P54" s="15">
        <f t="shared" si="1"/>
        <v>338</v>
      </c>
      <c r="R54" s="8"/>
      <c r="T54"/>
    </row>
    <row r="55" spans="2:20" ht="23.1" customHeight="1" x14ac:dyDescent="0.25">
      <c r="B55" s="23" t="s">
        <v>82</v>
      </c>
      <c r="C55" s="50">
        <v>120</v>
      </c>
      <c r="D55" s="50">
        <v>4</v>
      </c>
      <c r="E55" s="50">
        <v>6</v>
      </c>
      <c r="F55" s="50">
        <v>47</v>
      </c>
      <c r="G55" s="50">
        <v>4</v>
      </c>
      <c r="H55" s="50">
        <v>0</v>
      </c>
      <c r="I55" s="50">
        <v>4</v>
      </c>
      <c r="J55" s="50">
        <v>5</v>
      </c>
      <c r="K55" s="50">
        <v>3</v>
      </c>
      <c r="L55" s="50">
        <v>4</v>
      </c>
      <c r="M55" s="50">
        <v>106</v>
      </c>
      <c r="N55" s="50">
        <v>0</v>
      </c>
      <c r="O55" s="15">
        <f t="shared" si="0"/>
        <v>197</v>
      </c>
      <c r="P55" s="15">
        <f t="shared" si="1"/>
        <v>303</v>
      </c>
      <c r="R55" s="8"/>
      <c r="T55"/>
    </row>
    <row r="56" spans="2:20" ht="23.1" customHeight="1" x14ac:dyDescent="0.25">
      <c r="B56" s="23" t="s">
        <v>83</v>
      </c>
      <c r="C56" s="50">
        <v>133</v>
      </c>
      <c r="D56" s="50">
        <v>6</v>
      </c>
      <c r="E56" s="50">
        <v>4</v>
      </c>
      <c r="F56" s="50">
        <v>53</v>
      </c>
      <c r="G56" s="50">
        <v>3</v>
      </c>
      <c r="H56" s="50">
        <v>0</v>
      </c>
      <c r="I56" s="50">
        <v>1</v>
      </c>
      <c r="J56" s="50">
        <v>2</v>
      </c>
      <c r="K56" s="50">
        <v>1</v>
      </c>
      <c r="L56" s="50">
        <v>0</v>
      </c>
      <c r="M56" s="50">
        <v>162</v>
      </c>
      <c r="N56" s="50">
        <v>0</v>
      </c>
      <c r="O56" s="15">
        <f t="shared" si="0"/>
        <v>203</v>
      </c>
      <c r="P56" s="15">
        <f t="shared" si="1"/>
        <v>365</v>
      </c>
      <c r="R56" s="8"/>
      <c r="T56"/>
    </row>
    <row r="57" spans="2:20" ht="23.1" customHeight="1" x14ac:dyDescent="0.25">
      <c r="B57" s="23" t="s">
        <v>84</v>
      </c>
      <c r="C57" s="50">
        <v>138</v>
      </c>
      <c r="D57" s="50">
        <v>10</v>
      </c>
      <c r="E57" s="50">
        <v>6</v>
      </c>
      <c r="F57" s="50">
        <v>50</v>
      </c>
      <c r="G57" s="50">
        <v>0</v>
      </c>
      <c r="H57" s="50">
        <v>0</v>
      </c>
      <c r="I57" s="50">
        <v>7</v>
      </c>
      <c r="J57" s="50">
        <v>1</v>
      </c>
      <c r="K57" s="50">
        <v>0</v>
      </c>
      <c r="L57" s="50">
        <v>3</v>
      </c>
      <c r="M57" s="50">
        <v>149</v>
      </c>
      <c r="N57" s="50">
        <v>0</v>
      </c>
      <c r="O57" s="15">
        <f t="shared" si="0"/>
        <v>215</v>
      </c>
      <c r="P57" s="15">
        <f t="shared" si="1"/>
        <v>364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4092</v>
      </c>
      <c r="D58" s="16">
        <f t="shared" si="21"/>
        <v>334</v>
      </c>
      <c r="E58" s="16">
        <f t="shared" si="21"/>
        <v>402</v>
      </c>
      <c r="F58" s="16">
        <f t="shared" si="21"/>
        <v>2414</v>
      </c>
      <c r="G58" s="16">
        <f t="shared" si="21"/>
        <v>92</v>
      </c>
      <c r="H58" s="16">
        <f t="shared" si="21"/>
        <v>30</v>
      </c>
      <c r="I58" s="16">
        <f t="shared" si="21"/>
        <v>247</v>
      </c>
      <c r="J58" s="16">
        <f t="shared" si="21"/>
        <v>92</v>
      </c>
      <c r="K58" s="16">
        <f t="shared" si="21"/>
        <v>35</v>
      </c>
      <c r="L58" s="16">
        <f t="shared" si="21"/>
        <v>143</v>
      </c>
      <c r="M58" s="16">
        <f t="shared" si="21"/>
        <v>7263</v>
      </c>
      <c r="N58" s="16">
        <f t="shared" si="21"/>
        <v>0</v>
      </c>
      <c r="O58" s="16">
        <f t="shared" si="21"/>
        <v>7881</v>
      </c>
      <c r="P58" s="16">
        <f t="shared" si="21"/>
        <v>15144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0.27020602218700474</v>
      </c>
      <c r="D59" s="43">
        <f t="shared" si="22"/>
        <v>2.2054939249867934E-2</v>
      </c>
      <c r="E59" s="43">
        <f t="shared" si="22"/>
        <v>2.6545166402535656E-2</v>
      </c>
      <c r="F59" s="43">
        <f t="shared" si="22"/>
        <v>0.15940306391970419</v>
      </c>
      <c r="G59" s="43">
        <f t="shared" si="22"/>
        <v>6.0750132065504493E-3</v>
      </c>
      <c r="H59" s="43">
        <f t="shared" si="22"/>
        <v>1.9809825673534074E-3</v>
      </c>
      <c r="I59" s="43">
        <f t="shared" si="22"/>
        <v>1.6310089804543054E-2</v>
      </c>
      <c r="J59" s="43">
        <f t="shared" si="22"/>
        <v>6.0750132065504493E-3</v>
      </c>
      <c r="K59" s="43">
        <f t="shared" si="22"/>
        <v>2.3111463285789753E-3</v>
      </c>
      <c r="L59" s="43">
        <f t="shared" si="22"/>
        <v>9.4426835710512413E-3</v>
      </c>
      <c r="M59" s="43">
        <f t="shared" si="22"/>
        <v>0.47959587955625993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0.51922344880091365</v>
      </c>
      <c r="D60" s="44">
        <f t="shared" ref="D60:N60" si="23">D58/$O$58</f>
        <v>4.2380408577591677E-2</v>
      </c>
      <c r="E60" s="44">
        <f t="shared" si="23"/>
        <v>5.1008755234107347E-2</v>
      </c>
      <c r="F60" s="44">
        <f t="shared" si="23"/>
        <v>0.30630630630630629</v>
      </c>
      <c r="G60" s="44">
        <f t="shared" si="23"/>
        <v>1.1673645476462378E-2</v>
      </c>
      <c r="H60" s="44">
        <f t="shared" si="23"/>
        <v>3.806623524933384E-3</v>
      </c>
      <c r="I60" s="44">
        <f t="shared" si="23"/>
        <v>3.1341200355284864E-2</v>
      </c>
      <c r="J60" s="44">
        <f t="shared" si="23"/>
        <v>1.1673645476462378E-2</v>
      </c>
      <c r="K60" s="44">
        <f t="shared" si="23"/>
        <v>4.441060779088948E-3</v>
      </c>
      <c r="L60" s="44">
        <f t="shared" si="23"/>
        <v>1.8144905468849132E-2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F85" zoomScale="60" workbookViewId="0">
      <selection activeCell="AC54" sqref="AC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Kyambogo-Spear Motors'!C3:G3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'04.08 Spear Motors-Kyambogo'!G5:H5</f>
        <v>PEPSI UGANDA</v>
      </c>
      <c r="H5" s="64"/>
      <c r="I5" s="14"/>
      <c r="J5" s="2" t="s">
        <v>5</v>
      </c>
      <c r="K5" s="63" t="str">
        <f>'04.08 Spear Motors-Kyambogo'!K5:L5</f>
        <v>WACHOMI R/GALABUZI R./MBAHA J/ASHABA K/LUBEGA S/KIKUMBAD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Spear Motors-Kyambogo'!D6:E6</f>
        <v>SPEAR MOTORS</v>
      </c>
      <c r="E6" s="64"/>
      <c r="F6" s="2" t="s">
        <v>2</v>
      </c>
      <c r="G6" s="63" t="str">
        <f>'04.08 Spear Motors-Kyambogo'!G6:H6</f>
        <v>KYAMBOGO</v>
      </c>
      <c r="H6" s="64"/>
      <c r="J6" s="2" t="s">
        <v>21</v>
      </c>
      <c r="K6" s="63" t="str">
        <f>'04.08 Spear Motors-Kyambogo'!K6:L6</f>
        <v>ANDREW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Spear Motors-Kyambogo'!C10,'30.07 Spear Motors-Kyambogo'!C10,'31.07 Spear Motors-Kyambogo'!C10,'02.08 Spear Motors-Kyambogo'!C10,'01.08 Spear Motors-Kyambogo'!C10,'03.08 Spear Motors-Kyambogo'!C10,'04.08 Spear Motors-Kyambogo'!C10)</f>
        <v>25.428571428571427</v>
      </c>
      <c r="D10" s="49">
        <f>AVERAGE('29.07 Spear Motors-Kyambogo'!D10,'30.07 Spear Motors-Kyambogo'!D10,'31.07 Spear Motors-Kyambogo'!D10,'02.08 Spear Motors-Kyambogo'!D10,'01.08 Spear Motors-Kyambogo'!D10,'03.08 Spear Motors-Kyambogo'!D10,'04.08 Spear Motors-Kyambogo'!D10)</f>
        <v>9.7142857142857135</v>
      </c>
      <c r="E10" s="49">
        <f>AVERAGE('29.07 Spear Motors-Kyambogo'!E10,'30.07 Spear Motors-Kyambogo'!E10,'31.07 Spear Motors-Kyambogo'!E10,'02.08 Spear Motors-Kyambogo'!E10,'01.08 Spear Motors-Kyambogo'!E10,'03.08 Spear Motors-Kyambogo'!E10,'04.08 Spear Motors-Kyambogo'!E10)</f>
        <v>5.7142857142857144</v>
      </c>
      <c r="F10" s="49">
        <f>AVERAGE('29.07 Spear Motors-Kyambogo'!F10,'30.07 Spear Motors-Kyambogo'!F10,'31.07 Spear Motors-Kyambogo'!F10,'02.08 Spear Motors-Kyambogo'!F10,'01.08 Spear Motors-Kyambogo'!F10,'03.08 Spear Motors-Kyambogo'!F10,'04.08 Spear Motors-Kyambogo'!F10)</f>
        <v>29.428571428571427</v>
      </c>
      <c r="G10" s="49">
        <f>AVERAGE('29.07 Spear Motors-Kyambogo'!G10,'30.07 Spear Motors-Kyambogo'!G10,'31.07 Spear Motors-Kyambogo'!G10,'02.08 Spear Motors-Kyambogo'!G10,'01.08 Spear Motors-Kyambogo'!G10,'03.08 Spear Motors-Kyambogo'!G10,'04.08 Spear Motors-Kyambogo'!G10)</f>
        <v>0.8571428571428571</v>
      </c>
      <c r="H10" s="49">
        <f>AVERAGE('29.07 Spear Motors-Kyambogo'!H10,'30.07 Spear Motors-Kyambogo'!H10,'31.07 Spear Motors-Kyambogo'!H10,'02.08 Spear Motors-Kyambogo'!H10,'01.08 Spear Motors-Kyambogo'!H10,'03.08 Spear Motors-Kyambogo'!H10,'04.08 Spear Motors-Kyambogo'!H10)</f>
        <v>0</v>
      </c>
      <c r="I10" s="49">
        <f>AVERAGE('29.07 Spear Motors-Kyambogo'!I10,'30.07 Spear Motors-Kyambogo'!I10,'31.07 Spear Motors-Kyambogo'!I10,'02.08 Spear Motors-Kyambogo'!I10,'01.08 Spear Motors-Kyambogo'!I10,'03.08 Spear Motors-Kyambogo'!I10,'04.08 Spear Motors-Kyambogo'!I10)</f>
        <v>1.5714285714285714</v>
      </c>
      <c r="J10" s="49">
        <f>AVERAGE('29.07 Spear Motors-Kyambogo'!J10,'30.07 Spear Motors-Kyambogo'!J10,'31.07 Spear Motors-Kyambogo'!J10,'02.08 Spear Motors-Kyambogo'!J10,'01.08 Spear Motors-Kyambogo'!J10,'03.08 Spear Motors-Kyambogo'!J10,'04.08 Spear Motors-Kyambogo'!J10)</f>
        <v>0.5714285714285714</v>
      </c>
      <c r="K10" s="49">
        <f>AVERAGE('29.07 Spear Motors-Kyambogo'!K10,'30.07 Spear Motors-Kyambogo'!K10,'31.07 Spear Motors-Kyambogo'!K10,'02.08 Spear Motors-Kyambogo'!K10,'01.08 Spear Motors-Kyambogo'!K10,'03.08 Spear Motors-Kyambogo'!K10,'04.08 Spear Motors-Kyambogo'!K10)</f>
        <v>0.5714285714285714</v>
      </c>
      <c r="L10" s="49">
        <f>AVERAGE('29.07 Spear Motors-Kyambogo'!L10,'30.07 Spear Motors-Kyambogo'!L10,'31.07 Spear Motors-Kyambogo'!L10,'02.08 Spear Motors-Kyambogo'!L10,'01.08 Spear Motors-Kyambogo'!L10,'03.08 Spear Motors-Kyambogo'!L10,'04.08 Spear Motors-Kyambogo'!L10)</f>
        <v>1.1428571428571428</v>
      </c>
      <c r="M10" s="49">
        <f>AVERAGE('29.07 Spear Motors-Kyambogo'!M10,'30.07 Spear Motors-Kyambogo'!M10,'31.07 Spear Motors-Kyambogo'!M10,'02.08 Spear Motors-Kyambogo'!M10,'01.08 Spear Motors-Kyambogo'!M10,'03.08 Spear Motors-Kyambogo'!M10,'04.08 Spear Motors-Kyambogo'!M10)</f>
        <v>236.57142857142858</v>
      </c>
      <c r="N10" s="49">
        <f>AVERAGE('29.07 Spear Motors-Kyambogo'!N10,'30.07 Spear Motors-Kyambogo'!N10,'31.07 Spear Motors-Kyambogo'!N10,'02.08 Spear Motors-Kyambogo'!N10,'01.08 Spear Motors-Kyambogo'!N10,'03.08 Spear Motors-Kyambogo'!N10,'04.08 Spear Motors-Kyambogo'!N10)</f>
        <v>0</v>
      </c>
      <c r="O10" s="15">
        <f t="shared" ref="O10:O57" si="0">SUM(C10:L10,N10)</f>
        <v>74.999999999999986</v>
      </c>
      <c r="P10" s="15">
        <f t="shared" ref="P10:P57" si="1">SUM(C10:N10)</f>
        <v>311.57142857142856</v>
      </c>
      <c r="R10" s="1" t="s">
        <v>6</v>
      </c>
      <c r="S10" s="17">
        <f t="shared" ref="S10:AF10" si="2">SUM(C10:C13)</f>
        <v>118.28571428571428</v>
      </c>
      <c r="T10" s="17">
        <f t="shared" si="2"/>
        <v>35.571428571428569</v>
      </c>
      <c r="U10" s="17">
        <f t="shared" si="2"/>
        <v>25</v>
      </c>
      <c r="V10" s="17">
        <f t="shared" si="2"/>
        <v>130.85714285714286</v>
      </c>
      <c r="W10" s="17">
        <f t="shared" si="2"/>
        <v>12.714285714285714</v>
      </c>
      <c r="X10" s="17">
        <f t="shared" si="2"/>
        <v>2.1428571428571428</v>
      </c>
      <c r="Y10" s="17">
        <f t="shared" si="2"/>
        <v>11.285714285714285</v>
      </c>
      <c r="Z10" s="17">
        <f t="shared" si="2"/>
        <v>4</v>
      </c>
      <c r="AA10" s="17">
        <f t="shared" si="2"/>
        <v>2.5714285714285716</v>
      </c>
      <c r="AB10" s="17">
        <f t="shared" si="2"/>
        <v>6.4285714285714288</v>
      </c>
      <c r="AC10" s="17">
        <f t="shared" si="2"/>
        <v>891.42857142857144</v>
      </c>
      <c r="AD10" s="17">
        <f t="shared" si="2"/>
        <v>0</v>
      </c>
      <c r="AE10" s="31">
        <f t="shared" si="2"/>
        <v>348.85714285714278</v>
      </c>
      <c r="AF10" s="31">
        <f t="shared" si="2"/>
        <v>1240.2857142857142</v>
      </c>
    </row>
    <row r="11" spans="2:32" s="6" customFormat="1" ht="23.1" customHeight="1" x14ac:dyDescent="0.25">
      <c r="B11" s="23" t="s">
        <v>38</v>
      </c>
      <c r="C11" s="49">
        <f>AVERAGE('29.07 Spear Motors-Kyambogo'!C11,'30.07 Spear Motors-Kyambogo'!C11,'31.07 Spear Motors-Kyambogo'!C11,'02.08 Spear Motors-Kyambogo'!C11,'01.08 Spear Motors-Kyambogo'!C11,'03.08 Spear Motors-Kyambogo'!C11,'04.08 Spear Motors-Kyambogo'!C11)</f>
        <v>21.857142857142858</v>
      </c>
      <c r="D11" s="49">
        <f>AVERAGE('29.07 Spear Motors-Kyambogo'!D11,'30.07 Spear Motors-Kyambogo'!D11,'31.07 Spear Motors-Kyambogo'!D11,'02.08 Spear Motors-Kyambogo'!D11,'01.08 Spear Motors-Kyambogo'!D11,'03.08 Spear Motors-Kyambogo'!D11,'04.08 Spear Motors-Kyambogo'!D11)</f>
        <v>8.7142857142857135</v>
      </c>
      <c r="E11" s="49">
        <f>AVERAGE('29.07 Spear Motors-Kyambogo'!E11,'30.07 Spear Motors-Kyambogo'!E11,'31.07 Spear Motors-Kyambogo'!E11,'02.08 Spear Motors-Kyambogo'!E11,'01.08 Spear Motors-Kyambogo'!E11,'03.08 Spear Motors-Kyambogo'!E11,'04.08 Spear Motors-Kyambogo'!E11)</f>
        <v>5.7142857142857144</v>
      </c>
      <c r="F11" s="49">
        <f>AVERAGE('29.07 Spear Motors-Kyambogo'!F11,'30.07 Spear Motors-Kyambogo'!F11,'31.07 Spear Motors-Kyambogo'!F11,'02.08 Spear Motors-Kyambogo'!F11,'01.08 Spear Motors-Kyambogo'!F11,'03.08 Spear Motors-Kyambogo'!F11,'04.08 Spear Motors-Kyambogo'!F11)</f>
        <v>34</v>
      </c>
      <c r="G11" s="49">
        <f>AVERAGE('29.07 Spear Motors-Kyambogo'!G11,'30.07 Spear Motors-Kyambogo'!G11,'31.07 Spear Motors-Kyambogo'!G11,'02.08 Spear Motors-Kyambogo'!G11,'01.08 Spear Motors-Kyambogo'!G11,'03.08 Spear Motors-Kyambogo'!G11,'04.08 Spear Motors-Kyambogo'!G11)</f>
        <v>1.8571428571428572</v>
      </c>
      <c r="H11" s="49">
        <f>AVERAGE('29.07 Spear Motors-Kyambogo'!H11,'30.07 Spear Motors-Kyambogo'!H11,'31.07 Spear Motors-Kyambogo'!H11,'02.08 Spear Motors-Kyambogo'!H11,'01.08 Spear Motors-Kyambogo'!H11,'03.08 Spear Motors-Kyambogo'!H11,'04.08 Spear Motors-Kyambogo'!H11)</f>
        <v>0.7142857142857143</v>
      </c>
      <c r="I11" s="49">
        <f>AVERAGE('29.07 Spear Motors-Kyambogo'!I11,'30.07 Spear Motors-Kyambogo'!I11,'31.07 Spear Motors-Kyambogo'!I11,'02.08 Spear Motors-Kyambogo'!I11,'01.08 Spear Motors-Kyambogo'!I11,'03.08 Spear Motors-Kyambogo'!I11,'04.08 Spear Motors-Kyambogo'!I11)</f>
        <v>1.8571428571428572</v>
      </c>
      <c r="J11" s="49">
        <f>AVERAGE('29.07 Spear Motors-Kyambogo'!J11,'30.07 Spear Motors-Kyambogo'!J11,'31.07 Spear Motors-Kyambogo'!J11,'02.08 Spear Motors-Kyambogo'!J11,'01.08 Spear Motors-Kyambogo'!J11,'03.08 Spear Motors-Kyambogo'!J11,'04.08 Spear Motors-Kyambogo'!J11)</f>
        <v>0.7142857142857143</v>
      </c>
      <c r="K11" s="49">
        <f>AVERAGE('29.07 Spear Motors-Kyambogo'!K11,'30.07 Spear Motors-Kyambogo'!K11,'31.07 Spear Motors-Kyambogo'!K11,'02.08 Spear Motors-Kyambogo'!K11,'01.08 Spear Motors-Kyambogo'!K11,'03.08 Spear Motors-Kyambogo'!K11,'04.08 Spear Motors-Kyambogo'!K11)</f>
        <v>0.5714285714285714</v>
      </c>
      <c r="L11" s="49">
        <f>AVERAGE('29.07 Spear Motors-Kyambogo'!L11,'30.07 Spear Motors-Kyambogo'!L11,'31.07 Spear Motors-Kyambogo'!L11,'02.08 Spear Motors-Kyambogo'!L11,'01.08 Spear Motors-Kyambogo'!L11,'03.08 Spear Motors-Kyambogo'!L11,'04.08 Spear Motors-Kyambogo'!L11)</f>
        <v>1.8571428571428572</v>
      </c>
      <c r="M11" s="49">
        <f>AVERAGE('29.07 Spear Motors-Kyambogo'!M11,'30.07 Spear Motors-Kyambogo'!M11,'31.07 Spear Motors-Kyambogo'!M11,'02.08 Spear Motors-Kyambogo'!M11,'01.08 Spear Motors-Kyambogo'!M11,'03.08 Spear Motors-Kyambogo'!M11,'04.08 Spear Motors-Kyambogo'!M11)</f>
        <v>196.85714285714286</v>
      </c>
      <c r="N11" s="49">
        <f>AVERAGE('29.07 Spear Motors-Kyambogo'!N11,'30.07 Spear Motors-Kyambogo'!N11,'31.07 Spear Motors-Kyambogo'!N11,'02.08 Spear Motors-Kyambogo'!N11,'01.08 Spear Motors-Kyambogo'!N11,'03.08 Spear Motors-Kyambogo'!N11,'04.08 Spear Motors-Kyambogo'!N11)</f>
        <v>0</v>
      </c>
      <c r="O11" s="15">
        <f t="shared" si="0"/>
        <v>77.857142857142847</v>
      </c>
      <c r="P11" s="15">
        <f t="shared" si="1"/>
        <v>274.71428571428572</v>
      </c>
      <c r="R11" s="1" t="s">
        <v>7</v>
      </c>
      <c r="S11" s="17">
        <f t="shared" ref="S11:AF11" si="3">SUM(C14:C17)</f>
        <v>156.28571428571428</v>
      </c>
      <c r="T11" s="17">
        <f t="shared" si="3"/>
        <v>69.428571428571431</v>
      </c>
      <c r="U11" s="17">
        <f t="shared" si="3"/>
        <v>34.142857142857139</v>
      </c>
      <c r="V11" s="17">
        <f t="shared" si="3"/>
        <v>215.14285714285714</v>
      </c>
      <c r="W11" s="17">
        <f t="shared" si="3"/>
        <v>55.571428571428569</v>
      </c>
      <c r="X11" s="17">
        <f t="shared" si="3"/>
        <v>1.8571428571428572</v>
      </c>
      <c r="Y11" s="17">
        <f t="shared" si="3"/>
        <v>18.857142857142854</v>
      </c>
      <c r="Z11" s="17">
        <f t="shared" si="3"/>
        <v>9.4285714285714288</v>
      </c>
      <c r="AA11" s="17">
        <f t="shared" si="3"/>
        <v>11.142857142857144</v>
      </c>
      <c r="AB11" s="17">
        <f t="shared" si="3"/>
        <v>10.857142857142858</v>
      </c>
      <c r="AC11" s="17">
        <f t="shared" si="3"/>
        <v>1156.2857142857142</v>
      </c>
      <c r="AD11" s="17">
        <f t="shared" si="3"/>
        <v>0</v>
      </c>
      <c r="AE11" s="31">
        <f t="shared" si="3"/>
        <v>582.71428571428578</v>
      </c>
      <c r="AF11" s="31">
        <f t="shared" si="3"/>
        <v>1738.9999999999998</v>
      </c>
    </row>
    <row r="12" spans="2:32" ht="23.1" customHeight="1" x14ac:dyDescent="0.25">
      <c r="B12" s="23" t="s">
        <v>39</v>
      </c>
      <c r="C12" s="49">
        <f>AVERAGE('29.07 Spear Motors-Kyambogo'!C12,'30.07 Spear Motors-Kyambogo'!C12,'31.07 Spear Motors-Kyambogo'!C12,'02.08 Spear Motors-Kyambogo'!C12,'01.08 Spear Motors-Kyambogo'!C12,'03.08 Spear Motors-Kyambogo'!C12,'04.08 Spear Motors-Kyambogo'!C12)</f>
        <v>31.428571428571427</v>
      </c>
      <c r="D12" s="49">
        <f>AVERAGE('29.07 Spear Motors-Kyambogo'!D12,'30.07 Spear Motors-Kyambogo'!D12,'31.07 Spear Motors-Kyambogo'!D12,'02.08 Spear Motors-Kyambogo'!D12,'01.08 Spear Motors-Kyambogo'!D12,'03.08 Spear Motors-Kyambogo'!D12,'04.08 Spear Motors-Kyambogo'!D12)</f>
        <v>7.2857142857142856</v>
      </c>
      <c r="E12" s="49">
        <f>AVERAGE('29.07 Spear Motors-Kyambogo'!E12,'30.07 Spear Motors-Kyambogo'!E12,'31.07 Spear Motors-Kyambogo'!E12,'02.08 Spear Motors-Kyambogo'!E12,'01.08 Spear Motors-Kyambogo'!E12,'03.08 Spear Motors-Kyambogo'!E12,'04.08 Spear Motors-Kyambogo'!E12)</f>
        <v>5.5714285714285712</v>
      </c>
      <c r="F12" s="49">
        <f>AVERAGE('29.07 Spear Motors-Kyambogo'!F12,'30.07 Spear Motors-Kyambogo'!F12,'31.07 Spear Motors-Kyambogo'!F12,'02.08 Spear Motors-Kyambogo'!F12,'01.08 Spear Motors-Kyambogo'!F12,'03.08 Spear Motors-Kyambogo'!F12,'04.08 Spear Motors-Kyambogo'!F12)</f>
        <v>31.285714285714285</v>
      </c>
      <c r="G12" s="49">
        <f>AVERAGE('29.07 Spear Motors-Kyambogo'!G12,'30.07 Spear Motors-Kyambogo'!G12,'31.07 Spear Motors-Kyambogo'!G12,'02.08 Spear Motors-Kyambogo'!G12,'01.08 Spear Motors-Kyambogo'!G12,'03.08 Spear Motors-Kyambogo'!G12,'04.08 Spear Motors-Kyambogo'!G12)</f>
        <v>0.8571428571428571</v>
      </c>
      <c r="H12" s="49">
        <f>AVERAGE('29.07 Spear Motors-Kyambogo'!H12,'30.07 Spear Motors-Kyambogo'!H12,'31.07 Spear Motors-Kyambogo'!H12,'02.08 Spear Motors-Kyambogo'!H12,'01.08 Spear Motors-Kyambogo'!H12,'03.08 Spear Motors-Kyambogo'!H12,'04.08 Spear Motors-Kyambogo'!H12)</f>
        <v>0.7142857142857143</v>
      </c>
      <c r="I12" s="49">
        <f>AVERAGE('29.07 Spear Motors-Kyambogo'!I12,'30.07 Spear Motors-Kyambogo'!I12,'31.07 Spear Motors-Kyambogo'!I12,'02.08 Spear Motors-Kyambogo'!I12,'01.08 Spear Motors-Kyambogo'!I12,'03.08 Spear Motors-Kyambogo'!I12,'04.08 Spear Motors-Kyambogo'!I12)</f>
        <v>3.5714285714285716</v>
      </c>
      <c r="J12" s="49">
        <f>AVERAGE('29.07 Spear Motors-Kyambogo'!J12,'30.07 Spear Motors-Kyambogo'!J12,'31.07 Spear Motors-Kyambogo'!J12,'02.08 Spear Motors-Kyambogo'!J12,'01.08 Spear Motors-Kyambogo'!J12,'03.08 Spear Motors-Kyambogo'!J12,'04.08 Spear Motors-Kyambogo'!J12)</f>
        <v>1</v>
      </c>
      <c r="K12" s="49">
        <f>AVERAGE('29.07 Spear Motors-Kyambogo'!K12,'30.07 Spear Motors-Kyambogo'!K12,'31.07 Spear Motors-Kyambogo'!K12,'02.08 Spear Motors-Kyambogo'!K12,'01.08 Spear Motors-Kyambogo'!K12,'03.08 Spear Motors-Kyambogo'!K12,'04.08 Spear Motors-Kyambogo'!K12)</f>
        <v>0.7142857142857143</v>
      </c>
      <c r="L12" s="49">
        <f>AVERAGE('29.07 Spear Motors-Kyambogo'!L12,'30.07 Spear Motors-Kyambogo'!L12,'31.07 Spear Motors-Kyambogo'!L12,'02.08 Spear Motors-Kyambogo'!L12,'01.08 Spear Motors-Kyambogo'!L12,'03.08 Spear Motors-Kyambogo'!L12,'04.08 Spear Motors-Kyambogo'!L12)</f>
        <v>1.7142857142857142</v>
      </c>
      <c r="M12" s="49">
        <f>AVERAGE('29.07 Spear Motors-Kyambogo'!M12,'30.07 Spear Motors-Kyambogo'!M12,'31.07 Spear Motors-Kyambogo'!M12,'02.08 Spear Motors-Kyambogo'!M12,'01.08 Spear Motors-Kyambogo'!M12,'03.08 Spear Motors-Kyambogo'!M12,'04.08 Spear Motors-Kyambogo'!M12)</f>
        <v>217</v>
      </c>
      <c r="N12" s="49">
        <f>AVERAGE('29.07 Spear Motors-Kyambogo'!N12,'30.07 Spear Motors-Kyambogo'!N12,'31.07 Spear Motors-Kyambogo'!N12,'02.08 Spear Motors-Kyambogo'!N12,'01.08 Spear Motors-Kyambogo'!N12,'03.08 Spear Motors-Kyambogo'!N12,'04.08 Spear Motors-Kyambogo'!N12)</f>
        <v>0</v>
      </c>
      <c r="O12" s="15">
        <f t="shared" si="0"/>
        <v>84.142857142857125</v>
      </c>
      <c r="P12" s="15">
        <f t="shared" si="1"/>
        <v>301.14285714285711</v>
      </c>
      <c r="R12" s="1" t="s">
        <v>8</v>
      </c>
      <c r="S12" s="17">
        <f t="shared" ref="S12:AF12" si="4">SUM(C18:C21)</f>
        <v>185.71428571428569</v>
      </c>
      <c r="T12" s="17">
        <f t="shared" si="4"/>
        <v>66</v>
      </c>
      <c r="U12" s="17">
        <f t="shared" si="4"/>
        <v>34.285714285714285</v>
      </c>
      <c r="V12" s="17">
        <f t="shared" si="4"/>
        <v>277.57142857142856</v>
      </c>
      <c r="W12" s="17">
        <f t="shared" si="4"/>
        <v>6.7142857142857144</v>
      </c>
      <c r="X12" s="17">
        <f t="shared" si="4"/>
        <v>3.1428571428571423</v>
      </c>
      <c r="Y12" s="17">
        <f t="shared" si="4"/>
        <v>24.142857142857142</v>
      </c>
      <c r="Z12" s="17">
        <f t="shared" si="4"/>
        <v>17.285714285714285</v>
      </c>
      <c r="AA12" s="17">
        <f t="shared" si="4"/>
        <v>9.2857142857142847</v>
      </c>
      <c r="AB12" s="17">
        <f t="shared" si="4"/>
        <v>13</v>
      </c>
      <c r="AC12" s="17">
        <f t="shared" si="4"/>
        <v>1300.4285714285716</v>
      </c>
      <c r="AD12" s="17">
        <f t="shared" si="4"/>
        <v>0</v>
      </c>
      <c r="AE12" s="31">
        <f t="shared" si="4"/>
        <v>637.14285714285711</v>
      </c>
      <c r="AF12" s="31">
        <f t="shared" si="4"/>
        <v>1937.5714285714287</v>
      </c>
    </row>
    <row r="13" spans="2:32" ht="23.1" customHeight="1" x14ac:dyDescent="0.25">
      <c r="B13" s="23" t="s">
        <v>40</v>
      </c>
      <c r="C13" s="49">
        <f>AVERAGE('29.07 Spear Motors-Kyambogo'!C13,'30.07 Spear Motors-Kyambogo'!C13,'31.07 Spear Motors-Kyambogo'!C13,'02.08 Spear Motors-Kyambogo'!C13,'01.08 Spear Motors-Kyambogo'!C13,'03.08 Spear Motors-Kyambogo'!C13,'04.08 Spear Motors-Kyambogo'!C13)</f>
        <v>39.571428571428569</v>
      </c>
      <c r="D13" s="49">
        <f>AVERAGE('29.07 Spear Motors-Kyambogo'!D13,'30.07 Spear Motors-Kyambogo'!D13,'31.07 Spear Motors-Kyambogo'!D13,'02.08 Spear Motors-Kyambogo'!D13,'01.08 Spear Motors-Kyambogo'!D13,'03.08 Spear Motors-Kyambogo'!D13,'04.08 Spear Motors-Kyambogo'!D13)</f>
        <v>9.8571428571428577</v>
      </c>
      <c r="E13" s="49">
        <f>AVERAGE('29.07 Spear Motors-Kyambogo'!E13,'30.07 Spear Motors-Kyambogo'!E13,'31.07 Spear Motors-Kyambogo'!E13,'02.08 Spear Motors-Kyambogo'!E13,'01.08 Spear Motors-Kyambogo'!E13,'03.08 Spear Motors-Kyambogo'!E13,'04.08 Spear Motors-Kyambogo'!E13)</f>
        <v>8</v>
      </c>
      <c r="F13" s="49">
        <f>AVERAGE('29.07 Spear Motors-Kyambogo'!F13,'30.07 Spear Motors-Kyambogo'!F13,'31.07 Spear Motors-Kyambogo'!F13,'02.08 Spear Motors-Kyambogo'!F13,'01.08 Spear Motors-Kyambogo'!F13,'03.08 Spear Motors-Kyambogo'!F13,'04.08 Spear Motors-Kyambogo'!F13)</f>
        <v>36.142857142857146</v>
      </c>
      <c r="G13" s="49">
        <f>AVERAGE('29.07 Spear Motors-Kyambogo'!G13,'30.07 Spear Motors-Kyambogo'!G13,'31.07 Spear Motors-Kyambogo'!G13,'02.08 Spear Motors-Kyambogo'!G13,'01.08 Spear Motors-Kyambogo'!G13,'03.08 Spear Motors-Kyambogo'!G13,'04.08 Spear Motors-Kyambogo'!G13)</f>
        <v>9.1428571428571423</v>
      </c>
      <c r="H13" s="49">
        <f>AVERAGE('29.07 Spear Motors-Kyambogo'!H13,'30.07 Spear Motors-Kyambogo'!H13,'31.07 Spear Motors-Kyambogo'!H13,'02.08 Spear Motors-Kyambogo'!H13,'01.08 Spear Motors-Kyambogo'!H13,'03.08 Spear Motors-Kyambogo'!H13,'04.08 Spear Motors-Kyambogo'!H13)</f>
        <v>0.7142857142857143</v>
      </c>
      <c r="I13" s="49">
        <f>AVERAGE('29.07 Spear Motors-Kyambogo'!I13,'30.07 Spear Motors-Kyambogo'!I13,'31.07 Spear Motors-Kyambogo'!I13,'02.08 Spear Motors-Kyambogo'!I13,'01.08 Spear Motors-Kyambogo'!I13,'03.08 Spear Motors-Kyambogo'!I13,'04.08 Spear Motors-Kyambogo'!I13)</f>
        <v>4.2857142857142856</v>
      </c>
      <c r="J13" s="49">
        <f>AVERAGE('29.07 Spear Motors-Kyambogo'!J13,'30.07 Spear Motors-Kyambogo'!J13,'31.07 Spear Motors-Kyambogo'!J13,'02.08 Spear Motors-Kyambogo'!J13,'01.08 Spear Motors-Kyambogo'!J13,'03.08 Spear Motors-Kyambogo'!J13,'04.08 Spear Motors-Kyambogo'!J13)</f>
        <v>1.7142857142857142</v>
      </c>
      <c r="K13" s="49">
        <f>AVERAGE('29.07 Spear Motors-Kyambogo'!K13,'30.07 Spear Motors-Kyambogo'!K13,'31.07 Spear Motors-Kyambogo'!K13,'02.08 Spear Motors-Kyambogo'!K13,'01.08 Spear Motors-Kyambogo'!K13,'03.08 Spear Motors-Kyambogo'!K13,'04.08 Spear Motors-Kyambogo'!K13)</f>
        <v>0.7142857142857143</v>
      </c>
      <c r="L13" s="49">
        <f>AVERAGE('29.07 Spear Motors-Kyambogo'!L13,'30.07 Spear Motors-Kyambogo'!L13,'31.07 Spear Motors-Kyambogo'!L13,'02.08 Spear Motors-Kyambogo'!L13,'01.08 Spear Motors-Kyambogo'!L13,'03.08 Spear Motors-Kyambogo'!L13,'04.08 Spear Motors-Kyambogo'!L13)</f>
        <v>1.7142857142857142</v>
      </c>
      <c r="M13" s="49">
        <f>AVERAGE('29.07 Spear Motors-Kyambogo'!M13,'30.07 Spear Motors-Kyambogo'!M13,'31.07 Spear Motors-Kyambogo'!M13,'02.08 Spear Motors-Kyambogo'!M13,'01.08 Spear Motors-Kyambogo'!M13,'03.08 Spear Motors-Kyambogo'!M13,'04.08 Spear Motors-Kyambogo'!M13)</f>
        <v>241</v>
      </c>
      <c r="N13" s="49">
        <f>AVERAGE('29.07 Spear Motors-Kyambogo'!N13,'30.07 Spear Motors-Kyambogo'!N13,'31.07 Spear Motors-Kyambogo'!N13,'02.08 Spear Motors-Kyambogo'!N13,'01.08 Spear Motors-Kyambogo'!N13,'03.08 Spear Motors-Kyambogo'!N13,'04.08 Spear Motors-Kyambogo'!N13)</f>
        <v>0</v>
      </c>
      <c r="O13" s="15">
        <f t="shared" si="0"/>
        <v>111.85714285714285</v>
      </c>
      <c r="P13" s="15">
        <f t="shared" si="1"/>
        <v>352.85714285714283</v>
      </c>
      <c r="R13" s="1" t="s">
        <v>9</v>
      </c>
      <c r="S13" s="17">
        <f t="shared" ref="S13:AF13" si="5">SUM(C22:C25)</f>
        <v>213.42857142857144</v>
      </c>
      <c r="T13" s="17">
        <f t="shared" si="5"/>
        <v>68.142857142857139</v>
      </c>
      <c r="U13" s="17">
        <f t="shared" si="5"/>
        <v>44.285714285714285</v>
      </c>
      <c r="V13" s="17">
        <f t="shared" si="5"/>
        <v>261.71428571428567</v>
      </c>
      <c r="W13" s="17">
        <f t="shared" si="5"/>
        <v>6.2857142857142847</v>
      </c>
      <c r="X13" s="17">
        <f t="shared" si="5"/>
        <v>2.5714285714285712</v>
      </c>
      <c r="Y13" s="17">
        <f t="shared" si="5"/>
        <v>33</v>
      </c>
      <c r="Z13" s="17">
        <f t="shared" si="5"/>
        <v>18.857142857142861</v>
      </c>
      <c r="AA13" s="17">
        <f t="shared" si="5"/>
        <v>10</v>
      </c>
      <c r="AB13" s="17">
        <f t="shared" si="5"/>
        <v>15.571428571428573</v>
      </c>
      <c r="AC13" s="17">
        <f t="shared" si="5"/>
        <v>1209.8571428571429</v>
      </c>
      <c r="AD13" s="17">
        <f t="shared" si="5"/>
        <v>0</v>
      </c>
      <c r="AE13" s="31">
        <f t="shared" si="5"/>
        <v>673.85714285714289</v>
      </c>
      <c r="AF13" s="31">
        <f t="shared" si="5"/>
        <v>1883.7142857142856</v>
      </c>
    </row>
    <row r="14" spans="2:32" ht="23.1" customHeight="1" x14ac:dyDescent="0.25">
      <c r="B14" s="23" t="s">
        <v>41</v>
      </c>
      <c r="C14" s="49">
        <f>AVERAGE('29.07 Spear Motors-Kyambogo'!C14,'30.07 Spear Motors-Kyambogo'!C14,'31.07 Spear Motors-Kyambogo'!C14,'02.08 Spear Motors-Kyambogo'!C14,'01.08 Spear Motors-Kyambogo'!C14,'03.08 Spear Motors-Kyambogo'!C14,'04.08 Spear Motors-Kyambogo'!C14)</f>
        <v>32.285714285714285</v>
      </c>
      <c r="D14" s="49">
        <f>AVERAGE('29.07 Spear Motors-Kyambogo'!D14,'30.07 Spear Motors-Kyambogo'!D14,'31.07 Spear Motors-Kyambogo'!D14,'02.08 Spear Motors-Kyambogo'!D14,'01.08 Spear Motors-Kyambogo'!D14,'03.08 Spear Motors-Kyambogo'!D14,'04.08 Spear Motors-Kyambogo'!D14)</f>
        <v>18.285714285714285</v>
      </c>
      <c r="E14" s="49">
        <f>AVERAGE('29.07 Spear Motors-Kyambogo'!E14,'30.07 Spear Motors-Kyambogo'!E14,'31.07 Spear Motors-Kyambogo'!E14,'02.08 Spear Motors-Kyambogo'!E14,'01.08 Spear Motors-Kyambogo'!E14,'03.08 Spear Motors-Kyambogo'!E14,'04.08 Spear Motors-Kyambogo'!E14)</f>
        <v>6</v>
      </c>
      <c r="F14" s="49">
        <f>AVERAGE('29.07 Spear Motors-Kyambogo'!F14,'30.07 Spear Motors-Kyambogo'!F14,'31.07 Spear Motors-Kyambogo'!F14,'02.08 Spear Motors-Kyambogo'!F14,'01.08 Spear Motors-Kyambogo'!F14,'03.08 Spear Motors-Kyambogo'!F14,'04.08 Spear Motors-Kyambogo'!F14)</f>
        <v>55.428571428571431</v>
      </c>
      <c r="G14" s="49">
        <f>AVERAGE('29.07 Spear Motors-Kyambogo'!G14,'30.07 Spear Motors-Kyambogo'!G14,'31.07 Spear Motors-Kyambogo'!G14,'02.08 Spear Motors-Kyambogo'!G14,'01.08 Spear Motors-Kyambogo'!G14,'03.08 Spear Motors-Kyambogo'!G14,'04.08 Spear Motors-Kyambogo'!G14)</f>
        <v>5.4285714285714288</v>
      </c>
      <c r="H14" s="49">
        <f>AVERAGE('29.07 Spear Motors-Kyambogo'!H14,'30.07 Spear Motors-Kyambogo'!H14,'31.07 Spear Motors-Kyambogo'!H14,'02.08 Spear Motors-Kyambogo'!H14,'01.08 Spear Motors-Kyambogo'!H14,'03.08 Spear Motors-Kyambogo'!H14,'04.08 Spear Motors-Kyambogo'!H14)</f>
        <v>0</v>
      </c>
      <c r="I14" s="49">
        <f>AVERAGE('29.07 Spear Motors-Kyambogo'!I14,'30.07 Spear Motors-Kyambogo'!I14,'31.07 Spear Motors-Kyambogo'!I14,'02.08 Spear Motors-Kyambogo'!I14,'01.08 Spear Motors-Kyambogo'!I14,'03.08 Spear Motors-Kyambogo'!I14,'04.08 Spear Motors-Kyambogo'!I14)</f>
        <v>4.4285714285714288</v>
      </c>
      <c r="J14" s="49">
        <f>AVERAGE('29.07 Spear Motors-Kyambogo'!J14,'30.07 Spear Motors-Kyambogo'!J14,'31.07 Spear Motors-Kyambogo'!J14,'02.08 Spear Motors-Kyambogo'!J14,'01.08 Spear Motors-Kyambogo'!J14,'03.08 Spear Motors-Kyambogo'!J14,'04.08 Spear Motors-Kyambogo'!J14)</f>
        <v>2.2857142857142856</v>
      </c>
      <c r="K14" s="49">
        <f>AVERAGE('29.07 Spear Motors-Kyambogo'!K14,'30.07 Spear Motors-Kyambogo'!K14,'31.07 Spear Motors-Kyambogo'!K14,'02.08 Spear Motors-Kyambogo'!K14,'01.08 Spear Motors-Kyambogo'!K14,'03.08 Spear Motors-Kyambogo'!K14,'04.08 Spear Motors-Kyambogo'!K14)</f>
        <v>1.1428571428571428</v>
      </c>
      <c r="L14" s="49">
        <f>AVERAGE('29.07 Spear Motors-Kyambogo'!L14,'30.07 Spear Motors-Kyambogo'!L14,'31.07 Spear Motors-Kyambogo'!L14,'02.08 Spear Motors-Kyambogo'!L14,'01.08 Spear Motors-Kyambogo'!L14,'03.08 Spear Motors-Kyambogo'!L14,'04.08 Spear Motors-Kyambogo'!L14)</f>
        <v>1.4285714285714286</v>
      </c>
      <c r="M14" s="49">
        <f>AVERAGE('29.07 Spear Motors-Kyambogo'!M14,'30.07 Spear Motors-Kyambogo'!M14,'31.07 Spear Motors-Kyambogo'!M14,'02.08 Spear Motors-Kyambogo'!M14,'01.08 Spear Motors-Kyambogo'!M14,'03.08 Spear Motors-Kyambogo'!M14,'04.08 Spear Motors-Kyambogo'!M14)</f>
        <v>286.57142857142856</v>
      </c>
      <c r="N14" s="49">
        <f>AVERAGE('29.07 Spear Motors-Kyambogo'!N14,'30.07 Spear Motors-Kyambogo'!N14,'31.07 Spear Motors-Kyambogo'!N14,'02.08 Spear Motors-Kyambogo'!N14,'01.08 Spear Motors-Kyambogo'!N14,'03.08 Spear Motors-Kyambogo'!N14,'04.08 Spear Motors-Kyambogo'!N14)</f>
        <v>0</v>
      </c>
      <c r="O14" s="15">
        <f t="shared" si="0"/>
        <v>126.71428571428572</v>
      </c>
      <c r="P14" s="15">
        <f t="shared" si="1"/>
        <v>413.28571428571428</v>
      </c>
      <c r="R14" s="1" t="s">
        <v>10</v>
      </c>
      <c r="S14" s="17">
        <f t="shared" ref="S14:AF14" si="6">SUM(C26:C29)</f>
        <v>211.85714285714286</v>
      </c>
      <c r="T14" s="17">
        <f t="shared" si="6"/>
        <v>76</v>
      </c>
      <c r="U14" s="17">
        <f t="shared" si="6"/>
        <v>47.857142857142861</v>
      </c>
      <c r="V14" s="17">
        <f t="shared" si="6"/>
        <v>290.85714285714283</v>
      </c>
      <c r="W14" s="17">
        <f t="shared" si="6"/>
        <v>6.7142857142857144</v>
      </c>
      <c r="X14" s="17">
        <f t="shared" si="6"/>
        <v>2.4285714285714288</v>
      </c>
      <c r="Y14" s="17">
        <f t="shared" si="6"/>
        <v>30.285714285714285</v>
      </c>
      <c r="Z14" s="17">
        <f t="shared" si="6"/>
        <v>21.571428571428573</v>
      </c>
      <c r="AA14" s="17">
        <f t="shared" si="6"/>
        <v>6.1428571428571423</v>
      </c>
      <c r="AB14" s="17">
        <f t="shared" si="6"/>
        <v>17.714285714285715</v>
      </c>
      <c r="AC14" s="17">
        <f t="shared" si="6"/>
        <v>1150.2857142857142</v>
      </c>
      <c r="AD14" s="17">
        <f t="shared" si="6"/>
        <v>0</v>
      </c>
      <c r="AE14" s="31">
        <f t="shared" si="6"/>
        <v>711.42857142857144</v>
      </c>
      <c r="AF14" s="31">
        <f t="shared" si="6"/>
        <v>1861.7142857142858</v>
      </c>
    </row>
    <row r="15" spans="2:32" ht="23.1" customHeight="1" x14ac:dyDescent="0.25">
      <c r="B15" s="23" t="s">
        <v>42</v>
      </c>
      <c r="C15" s="49">
        <f>AVERAGE('29.07 Spear Motors-Kyambogo'!C15,'30.07 Spear Motors-Kyambogo'!C15,'31.07 Spear Motors-Kyambogo'!C15,'02.08 Spear Motors-Kyambogo'!C15,'01.08 Spear Motors-Kyambogo'!C15,'03.08 Spear Motors-Kyambogo'!C15,'04.08 Spear Motors-Kyambogo'!C15)</f>
        <v>41.714285714285715</v>
      </c>
      <c r="D15" s="49">
        <f>AVERAGE('29.07 Spear Motors-Kyambogo'!D15,'30.07 Spear Motors-Kyambogo'!D15,'31.07 Spear Motors-Kyambogo'!D15,'02.08 Spear Motors-Kyambogo'!D15,'01.08 Spear Motors-Kyambogo'!D15,'03.08 Spear Motors-Kyambogo'!D15,'04.08 Spear Motors-Kyambogo'!D15)</f>
        <v>16.571428571428573</v>
      </c>
      <c r="E15" s="49">
        <f>AVERAGE('29.07 Spear Motors-Kyambogo'!E15,'30.07 Spear Motors-Kyambogo'!E15,'31.07 Spear Motors-Kyambogo'!E15,'02.08 Spear Motors-Kyambogo'!E15,'01.08 Spear Motors-Kyambogo'!E15,'03.08 Spear Motors-Kyambogo'!E15,'04.08 Spear Motors-Kyambogo'!E15)</f>
        <v>9.2857142857142865</v>
      </c>
      <c r="F15" s="49">
        <f>AVERAGE('29.07 Spear Motors-Kyambogo'!F15,'30.07 Spear Motors-Kyambogo'!F15,'31.07 Spear Motors-Kyambogo'!F15,'02.08 Spear Motors-Kyambogo'!F15,'01.08 Spear Motors-Kyambogo'!F15,'03.08 Spear Motors-Kyambogo'!F15,'04.08 Spear Motors-Kyambogo'!F15)</f>
        <v>59.571428571428569</v>
      </c>
      <c r="G15" s="49">
        <f>AVERAGE('29.07 Spear Motors-Kyambogo'!G15,'30.07 Spear Motors-Kyambogo'!G15,'31.07 Spear Motors-Kyambogo'!G15,'02.08 Spear Motors-Kyambogo'!G15,'01.08 Spear Motors-Kyambogo'!G15,'03.08 Spear Motors-Kyambogo'!G15,'04.08 Spear Motors-Kyambogo'!G15)</f>
        <v>6.5714285714285712</v>
      </c>
      <c r="H15" s="49">
        <f>AVERAGE('29.07 Spear Motors-Kyambogo'!H15,'30.07 Spear Motors-Kyambogo'!H15,'31.07 Spear Motors-Kyambogo'!H15,'02.08 Spear Motors-Kyambogo'!H15,'01.08 Spear Motors-Kyambogo'!H15,'03.08 Spear Motors-Kyambogo'!H15,'04.08 Spear Motors-Kyambogo'!H15)</f>
        <v>0.5714285714285714</v>
      </c>
      <c r="I15" s="49">
        <f>AVERAGE('29.07 Spear Motors-Kyambogo'!I15,'30.07 Spear Motors-Kyambogo'!I15,'31.07 Spear Motors-Kyambogo'!I15,'02.08 Spear Motors-Kyambogo'!I15,'01.08 Spear Motors-Kyambogo'!I15,'03.08 Spear Motors-Kyambogo'!I15,'04.08 Spear Motors-Kyambogo'!I15)</f>
        <v>4</v>
      </c>
      <c r="J15" s="49">
        <f>AVERAGE('29.07 Spear Motors-Kyambogo'!J15,'30.07 Spear Motors-Kyambogo'!J15,'31.07 Spear Motors-Kyambogo'!J15,'02.08 Spear Motors-Kyambogo'!J15,'01.08 Spear Motors-Kyambogo'!J15,'03.08 Spear Motors-Kyambogo'!J15,'04.08 Spear Motors-Kyambogo'!J15)</f>
        <v>2.5714285714285716</v>
      </c>
      <c r="K15" s="49">
        <f>AVERAGE('29.07 Spear Motors-Kyambogo'!K15,'30.07 Spear Motors-Kyambogo'!K15,'31.07 Spear Motors-Kyambogo'!K15,'02.08 Spear Motors-Kyambogo'!K15,'01.08 Spear Motors-Kyambogo'!K15,'03.08 Spear Motors-Kyambogo'!K15,'04.08 Spear Motors-Kyambogo'!K15)</f>
        <v>4.2857142857142856</v>
      </c>
      <c r="L15" s="49">
        <f>AVERAGE('29.07 Spear Motors-Kyambogo'!L15,'30.07 Spear Motors-Kyambogo'!L15,'31.07 Spear Motors-Kyambogo'!L15,'02.08 Spear Motors-Kyambogo'!L15,'01.08 Spear Motors-Kyambogo'!L15,'03.08 Spear Motors-Kyambogo'!L15,'04.08 Spear Motors-Kyambogo'!L15)</f>
        <v>1.4285714285714286</v>
      </c>
      <c r="M15" s="49">
        <f>AVERAGE('29.07 Spear Motors-Kyambogo'!M15,'30.07 Spear Motors-Kyambogo'!M15,'31.07 Spear Motors-Kyambogo'!M15,'02.08 Spear Motors-Kyambogo'!M15,'01.08 Spear Motors-Kyambogo'!M15,'03.08 Spear Motors-Kyambogo'!M15,'04.08 Spear Motors-Kyambogo'!M15)</f>
        <v>250.14285714285714</v>
      </c>
      <c r="N15" s="49">
        <f>AVERAGE('29.07 Spear Motors-Kyambogo'!N15,'30.07 Spear Motors-Kyambogo'!N15,'31.07 Spear Motors-Kyambogo'!N15,'02.08 Spear Motors-Kyambogo'!N15,'01.08 Spear Motors-Kyambogo'!N15,'03.08 Spear Motors-Kyambogo'!N15,'04.08 Spear Motors-Kyambogo'!N15)</f>
        <v>0</v>
      </c>
      <c r="O15" s="15">
        <f t="shared" si="0"/>
        <v>146.57142857142858</v>
      </c>
      <c r="P15" s="15">
        <f t="shared" si="1"/>
        <v>396.71428571428572</v>
      </c>
      <c r="R15" s="1" t="s">
        <v>11</v>
      </c>
      <c r="S15" s="17">
        <f t="shared" ref="S15:AF15" si="7">SUM(C30:C33)</f>
        <v>244</v>
      </c>
      <c r="T15" s="17">
        <f t="shared" si="7"/>
        <v>91.428571428571416</v>
      </c>
      <c r="U15" s="17">
        <f t="shared" si="7"/>
        <v>47</v>
      </c>
      <c r="V15" s="17">
        <f t="shared" si="7"/>
        <v>264.42857142857144</v>
      </c>
      <c r="W15" s="17">
        <f t="shared" si="7"/>
        <v>6.5714285714285721</v>
      </c>
      <c r="X15" s="17">
        <f t="shared" si="7"/>
        <v>2.8571428571428572</v>
      </c>
      <c r="Y15" s="17">
        <f t="shared" si="7"/>
        <v>29.714285714285715</v>
      </c>
      <c r="Z15" s="17">
        <f t="shared" si="7"/>
        <v>20.285714285714285</v>
      </c>
      <c r="AA15" s="17">
        <f t="shared" si="7"/>
        <v>8.1428571428571423</v>
      </c>
      <c r="AB15" s="17">
        <f t="shared" si="7"/>
        <v>20.285714285714285</v>
      </c>
      <c r="AC15" s="17">
        <f t="shared" si="7"/>
        <v>1101.7142857142858</v>
      </c>
      <c r="AD15" s="17">
        <f t="shared" si="7"/>
        <v>0</v>
      </c>
      <c r="AE15" s="31">
        <f t="shared" si="7"/>
        <v>734.71428571428578</v>
      </c>
      <c r="AF15" s="31">
        <f t="shared" si="7"/>
        <v>1836.4285714285713</v>
      </c>
    </row>
    <row r="16" spans="2:32" ht="23.1" customHeight="1" x14ac:dyDescent="0.25">
      <c r="B16" s="23" t="s">
        <v>43</v>
      </c>
      <c r="C16" s="49">
        <f>AVERAGE('29.07 Spear Motors-Kyambogo'!C16,'30.07 Spear Motors-Kyambogo'!C16,'31.07 Spear Motors-Kyambogo'!C16,'02.08 Spear Motors-Kyambogo'!C16,'01.08 Spear Motors-Kyambogo'!C16,'03.08 Spear Motors-Kyambogo'!C16,'04.08 Spear Motors-Kyambogo'!C16)</f>
        <v>45</v>
      </c>
      <c r="D16" s="49">
        <f>AVERAGE('29.07 Spear Motors-Kyambogo'!D16,'30.07 Spear Motors-Kyambogo'!D16,'31.07 Spear Motors-Kyambogo'!D16,'02.08 Spear Motors-Kyambogo'!D16,'01.08 Spear Motors-Kyambogo'!D16,'03.08 Spear Motors-Kyambogo'!D16,'04.08 Spear Motors-Kyambogo'!D16)</f>
        <v>17.142857142857142</v>
      </c>
      <c r="E16" s="49">
        <f>AVERAGE('29.07 Spear Motors-Kyambogo'!E16,'30.07 Spear Motors-Kyambogo'!E16,'31.07 Spear Motors-Kyambogo'!E16,'02.08 Spear Motors-Kyambogo'!E16,'01.08 Spear Motors-Kyambogo'!E16,'03.08 Spear Motors-Kyambogo'!E16,'04.08 Spear Motors-Kyambogo'!E16)</f>
        <v>10</v>
      </c>
      <c r="F16" s="49">
        <f>AVERAGE('29.07 Spear Motors-Kyambogo'!F16,'30.07 Spear Motors-Kyambogo'!F16,'31.07 Spear Motors-Kyambogo'!F16,'02.08 Spear Motors-Kyambogo'!F16,'01.08 Spear Motors-Kyambogo'!F16,'03.08 Spear Motors-Kyambogo'!F16,'04.08 Spear Motors-Kyambogo'!F16)</f>
        <v>48</v>
      </c>
      <c r="G16" s="49">
        <f>AVERAGE('29.07 Spear Motors-Kyambogo'!G16,'30.07 Spear Motors-Kyambogo'!G16,'31.07 Spear Motors-Kyambogo'!G16,'02.08 Spear Motors-Kyambogo'!G16,'01.08 Spear Motors-Kyambogo'!G16,'03.08 Spear Motors-Kyambogo'!G16,'04.08 Spear Motors-Kyambogo'!G16)</f>
        <v>24.428571428571427</v>
      </c>
      <c r="H16" s="49">
        <f>AVERAGE('29.07 Spear Motors-Kyambogo'!H16,'30.07 Spear Motors-Kyambogo'!H16,'31.07 Spear Motors-Kyambogo'!H16,'02.08 Spear Motors-Kyambogo'!H16,'01.08 Spear Motors-Kyambogo'!H16,'03.08 Spear Motors-Kyambogo'!H16,'04.08 Spear Motors-Kyambogo'!H16)</f>
        <v>0.42857142857142855</v>
      </c>
      <c r="I16" s="49">
        <f>AVERAGE('29.07 Spear Motors-Kyambogo'!I16,'30.07 Spear Motors-Kyambogo'!I16,'31.07 Spear Motors-Kyambogo'!I16,'02.08 Spear Motors-Kyambogo'!I16,'01.08 Spear Motors-Kyambogo'!I16,'03.08 Spear Motors-Kyambogo'!I16,'04.08 Spear Motors-Kyambogo'!I16)</f>
        <v>5.8571428571428568</v>
      </c>
      <c r="J16" s="49">
        <f>AVERAGE('29.07 Spear Motors-Kyambogo'!J16,'30.07 Spear Motors-Kyambogo'!J16,'31.07 Spear Motors-Kyambogo'!J16,'02.08 Spear Motors-Kyambogo'!J16,'01.08 Spear Motors-Kyambogo'!J16,'03.08 Spear Motors-Kyambogo'!J16,'04.08 Spear Motors-Kyambogo'!J16)</f>
        <v>2.2857142857142856</v>
      </c>
      <c r="K16" s="49">
        <f>AVERAGE('29.07 Spear Motors-Kyambogo'!K16,'30.07 Spear Motors-Kyambogo'!K16,'31.07 Spear Motors-Kyambogo'!K16,'02.08 Spear Motors-Kyambogo'!K16,'01.08 Spear Motors-Kyambogo'!K16,'03.08 Spear Motors-Kyambogo'!K16,'04.08 Spear Motors-Kyambogo'!K16)</f>
        <v>3.8571428571428572</v>
      </c>
      <c r="L16" s="49">
        <f>AVERAGE('29.07 Spear Motors-Kyambogo'!L16,'30.07 Spear Motors-Kyambogo'!L16,'31.07 Spear Motors-Kyambogo'!L16,'02.08 Spear Motors-Kyambogo'!L16,'01.08 Spear Motors-Kyambogo'!L16,'03.08 Spear Motors-Kyambogo'!L16,'04.08 Spear Motors-Kyambogo'!L16)</f>
        <v>4.2857142857142856</v>
      </c>
      <c r="M16" s="49">
        <f>AVERAGE('29.07 Spear Motors-Kyambogo'!M16,'30.07 Spear Motors-Kyambogo'!M16,'31.07 Spear Motors-Kyambogo'!M16,'02.08 Spear Motors-Kyambogo'!M16,'01.08 Spear Motors-Kyambogo'!M16,'03.08 Spear Motors-Kyambogo'!M16,'04.08 Spear Motors-Kyambogo'!M16)</f>
        <v>278.57142857142856</v>
      </c>
      <c r="N16" s="49">
        <f>AVERAGE('29.07 Spear Motors-Kyambogo'!N16,'30.07 Spear Motors-Kyambogo'!N16,'31.07 Spear Motors-Kyambogo'!N16,'02.08 Spear Motors-Kyambogo'!N16,'01.08 Spear Motors-Kyambogo'!N16,'03.08 Spear Motors-Kyambogo'!N16,'04.08 Spear Motors-Kyambogo'!N16)</f>
        <v>0</v>
      </c>
      <c r="O16" s="15">
        <f t="shared" si="0"/>
        <v>161.28571428571425</v>
      </c>
      <c r="P16" s="15">
        <f t="shared" si="1"/>
        <v>439.85714285714278</v>
      </c>
      <c r="R16" s="1" t="s">
        <v>12</v>
      </c>
      <c r="S16" s="17">
        <f t="shared" ref="S16:AF16" si="8">SUM(C34:C37)</f>
        <v>236.71428571428569</v>
      </c>
      <c r="T16" s="17">
        <f t="shared" si="8"/>
        <v>92.285714285714292</v>
      </c>
      <c r="U16" s="17">
        <f t="shared" si="8"/>
        <v>47.428571428571431</v>
      </c>
      <c r="V16" s="17">
        <f t="shared" si="8"/>
        <v>254</v>
      </c>
      <c r="W16" s="17">
        <f t="shared" si="8"/>
        <v>6.1428571428571423</v>
      </c>
      <c r="X16" s="17">
        <f t="shared" si="8"/>
        <v>2.4285714285714284</v>
      </c>
      <c r="Y16" s="17">
        <f t="shared" si="8"/>
        <v>33</v>
      </c>
      <c r="Z16" s="17">
        <f t="shared" si="8"/>
        <v>16.714285714285712</v>
      </c>
      <c r="AA16" s="17">
        <f t="shared" si="8"/>
        <v>10.571428571428571</v>
      </c>
      <c r="AB16" s="17">
        <f t="shared" si="8"/>
        <v>18.428571428571427</v>
      </c>
      <c r="AC16" s="17">
        <f t="shared" si="8"/>
        <v>1118.2857142857142</v>
      </c>
      <c r="AD16" s="17">
        <f t="shared" si="8"/>
        <v>0</v>
      </c>
      <c r="AE16" s="31">
        <f t="shared" si="8"/>
        <v>717.71428571428567</v>
      </c>
      <c r="AF16" s="31">
        <f t="shared" si="8"/>
        <v>1835.9999999999998</v>
      </c>
    </row>
    <row r="17" spans="2:32" ht="23.1" customHeight="1" x14ac:dyDescent="0.25">
      <c r="B17" s="23" t="s">
        <v>44</v>
      </c>
      <c r="C17" s="49">
        <f>AVERAGE('29.07 Spear Motors-Kyambogo'!C17,'30.07 Spear Motors-Kyambogo'!C17,'31.07 Spear Motors-Kyambogo'!C17,'02.08 Spear Motors-Kyambogo'!C17,'01.08 Spear Motors-Kyambogo'!C17,'03.08 Spear Motors-Kyambogo'!C17,'04.08 Spear Motors-Kyambogo'!C17)</f>
        <v>37.285714285714285</v>
      </c>
      <c r="D17" s="49">
        <f>AVERAGE('29.07 Spear Motors-Kyambogo'!D17,'30.07 Spear Motors-Kyambogo'!D17,'31.07 Spear Motors-Kyambogo'!D17,'02.08 Spear Motors-Kyambogo'!D17,'01.08 Spear Motors-Kyambogo'!D17,'03.08 Spear Motors-Kyambogo'!D17,'04.08 Spear Motors-Kyambogo'!D17)</f>
        <v>17.428571428571427</v>
      </c>
      <c r="E17" s="49">
        <f>AVERAGE('29.07 Spear Motors-Kyambogo'!E17,'30.07 Spear Motors-Kyambogo'!E17,'31.07 Spear Motors-Kyambogo'!E17,'02.08 Spear Motors-Kyambogo'!E17,'01.08 Spear Motors-Kyambogo'!E17,'03.08 Spear Motors-Kyambogo'!E17,'04.08 Spear Motors-Kyambogo'!E17)</f>
        <v>8.8571428571428577</v>
      </c>
      <c r="F17" s="49">
        <f>AVERAGE('29.07 Spear Motors-Kyambogo'!F17,'30.07 Spear Motors-Kyambogo'!F17,'31.07 Spear Motors-Kyambogo'!F17,'02.08 Spear Motors-Kyambogo'!F17,'01.08 Spear Motors-Kyambogo'!F17,'03.08 Spear Motors-Kyambogo'!F17,'04.08 Spear Motors-Kyambogo'!F17)</f>
        <v>52.142857142857146</v>
      </c>
      <c r="G17" s="49">
        <f>AVERAGE('29.07 Spear Motors-Kyambogo'!G17,'30.07 Spear Motors-Kyambogo'!G17,'31.07 Spear Motors-Kyambogo'!G17,'02.08 Spear Motors-Kyambogo'!G17,'01.08 Spear Motors-Kyambogo'!G17,'03.08 Spear Motors-Kyambogo'!G17,'04.08 Spear Motors-Kyambogo'!G17)</f>
        <v>19.142857142857142</v>
      </c>
      <c r="H17" s="49">
        <f>AVERAGE('29.07 Spear Motors-Kyambogo'!H17,'30.07 Spear Motors-Kyambogo'!H17,'31.07 Spear Motors-Kyambogo'!H17,'02.08 Spear Motors-Kyambogo'!H17,'01.08 Spear Motors-Kyambogo'!H17,'03.08 Spear Motors-Kyambogo'!H17,'04.08 Spear Motors-Kyambogo'!H17)</f>
        <v>0.8571428571428571</v>
      </c>
      <c r="I17" s="49">
        <f>AVERAGE('29.07 Spear Motors-Kyambogo'!I17,'30.07 Spear Motors-Kyambogo'!I17,'31.07 Spear Motors-Kyambogo'!I17,'02.08 Spear Motors-Kyambogo'!I17,'01.08 Spear Motors-Kyambogo'!I17,'03.08 Spear Motors-Kyambogo'!I17,'04.08 Spear Motors-Kyambogo'!I17)</f>
        <v>4.5714285714285712</v>
      </c>
      <c r="J17" s="49">
        <f>AVERAGE('29.07 Spear Motors-Kyambogo'!J17,'30.07 Spear Motors-Kyambogo'!J17,'31.07 Spear Motors-Kyambogo'!J17,'02.08 Spear Motors-Kyambogo'!J17,'01.08 Spear Motors-Kyambogo'!J17,'03.08 Spear Motors-Kyambogo'!J17,'04.08 Spear Motors-Kyambogo'!J17)</f>
        <v>2.2857142857142856</v>
      </c>
      <c r="K17" s="49">
        <f>AVERAGE('29.07 Spear Motors-Kyambogo'!K17,'30.07 Spear Motors-Kyambogo'!K17,'31.07 Spear Motors-Kyambogo'!K17,'02.08 Spear Motors-Kyambogo'!K17,'01.08 Spear Motors-Kyambogo'!K17,'03.08 Spear Motors-Kyambogo'!K17,'04.08 Spear Motors-Kyambogo'!K17)</f>
        <v>1.8571428571428572</v>
      </c>
      <c r="L17" s="49">
        <f>AVERAGE('29.07 Spear Motors-Kyambogo'!L17,'30.07 Spear Motors-Kyambogo'!L17,'31.07 Spear Motors-Kyambogo'!L17,'02.08 Spear Motors-Kyambogo'!L17,'01.08 Spear Motors-Kyambogo'!L17,'03.08 Spear Motors-Kyambogo'!L17,'04.08 Spear Motors-Kyambogo'!L17)</f>
        <v>3.7142857142857144</v>
      </c>
      <c r="M17" s="49">
        <f>AVERAGE('29.07 Spear Motors-Kyambogo'!M17,'30.07 Spear Motors-Kyambogo'!M17,'31.07 Spear Motors-Kyambogo'!M17,'02.08 Spear Motors-Kyambogo'!M17,'01.08 Spear Motors-Kyambogo'!M17,'03.08 Spear Motors-Kyambogo'!M17,'04.08 Spear Motors-Kyambogo'!M17)</f>
        <v>341</v>
      </c>
      <c r="N17" s="49">
        <f>AVERAGE('29.07 Spear Motors-Kyambogo'!N17,'30.07 Spear Motors-Kyambogo'!N17,'31.07 Spear Motors-Kyambogo'!N17,'02.08 Spear Motors-Kyambogo'!N17,'01.08 Spear Motors-Kyambogo'!N17,'03.08 Spear Motors-Kyambogo'!N17,'04.08 Spear Motors-Kyambogo'!N17)</f>
        <v>0</v>
      </c>
      <c r="O17" s="15">
        <f t="shared" si="0"/>
        <v>148.14285714285717</v>
      </c>
      <c r="P17" s="15">
        <f t="shared" si="1"/>
        <v>489.14285714285717</v>
      </c>
      <c r="R17" s="1" t="s">
        <v>13</v>
      </c>
      <c r="S17" s="17">
        <f t="shared" ref="S17:AF17" si="9">SUM(C38:C41)</f>
        <v>237.57142857142856</v>
      </c>
      <c r="T17" s="17">
        <f t="shared" si="9"/>
        <v>92.142857142857139</v>
      </c>
      <c r="U17" s="17">
        <f t="shared" si="9"/>
        <v>41.714285714285715</v>
      </c>
      <c r="V17" s="17">
        <f t="shared" si="9"/>
        <v>226.85714285714289</v>
      </c>
      <c r="W17" s="17">
        <f t="shared" si="9"/>
        <v>6.4285714285714288</v>
      </c>
      <c r="X17" s="17">
        <f t="shared" si="9"/>
        <v>3</v>
      </c>
      <c r="Y17" s="17">
        <f t="shared" si="9"/>
        <v>39.142857142857139</v>
      </c>
      <c r="Z17" s="17">
        <f t="shared" si="9"/>
        <v>14.714285714285715</v>
      </c>
      <c r="AA17" s="17">
        <f t="shared" si="9"/>
        <v>9.4285714285714288</v>
      </c>
      <c r="AB17" s="17">
        <f t="shared" si="9"/>
        <v>20.714285714285715</v>
      </c>
      <c r="AC17" s="17">
        <f t="shared" si="9"/>
        <v>1134.4285714285716</v>
      </c>
      <c r="AD17" s="17">
        <f t="shared" si="9"/>
        <v>0</v>
      </c>
      <c r="AE17" s="31">
        <f t="shared" si="9"/>
        <v>691.71428571428578</v>
      </c>
      <c r="AF17" s="31">
        <f t="shared" si="9"/>
        <v>1826.1428571428569</v>
      </c>
    </row>
    <row r="18" spans="2:32" ht="23.1" customHeight="1" x14ac:dyDescent="0.25">
      <c r="B18" s="23" t="s">
        <v>45</v>
      </c>
      <c r="C18" s="49">
        <f>AVERAGE('29.07 Spear Motors-Kyambogo'!C18,'30.07 Spear Motors-Kyambogo'!C18,'31.07 Spear Motors-Kyambogo'!C18,'02.08 Spear Motors-Kyambogo'!C18,'01.08 Spear Motors-Kyambogo'!C18,'03.08 Spear Motors-Kyambogo'!C18,'04.08 Spear Motors-Kyambogo'!C18)</f>
        <v>44.142857142857146</v>
      </c>
      <c r="D18" s="49">
        <f>AVERAGE('29.07 Spear Motors-Kyambogo'!D18,'30.07 Spear Motors-Kyambogo'!D18,'31.07 Spear Motors-Kyambogo'!D18,'02.08 Spear Motors-Kyambogo'!D18,'01.08 Spear Motors-Kyambogo'!D18,'03.08 Spear Motors-Kyambogo'!D18,'04.08 Spear Motors-Kyambogo'!D18)</f>
        <v>14.428571428571429</v>
      </c>
      <c r="E18" s="49">
        <f>AVERAGE('29.07 Spear Motors-Kyambogo'!E18,'30.07 Spear Motors-Kyambogo'!E18,'31.07 Spear Motors-Kyambogo'!E18,'02.08 Spear Motors-Kyambogo'!E18,'01.08 Spear Motors-Kyambogo'!E18,'03.08 Spear Motors-Kyambogo'!E18,'04.08 Spear Motors-Kyambogo'!E18)</f>
        <v>9.4285714285714288</v>
      </c>
      <c r="F18" s="49">
        <f>AVERAGE('29.07 Spear Motors-Kyambogo'!F18,'30.07 Spear Motors-Kyambogo'!F18,'31.07 Spear Motors-Kyambogo'!F18,'02.08 Spear Motors-Kyambogo'!F18,'01.08 Spear Motors-Kyambogo'!F18,'03.08 Spear Motors-Kyambogo'!F18,'04.08 Spear Motors-Kyambogo'!F18)</f>
        <v>59</v>
      </c>
      <c r="G18" s="49">
        <f>AVERAGE('29.07 Spear Motors-Kyambogo'!G18,'30.07 Spear Motors-Kyambogo'!G18,'31.07 Spear Motors-Kyambogo'!G18,'02.08 Spear Motors-Kyambogo'!G18,'01.08 Spear Motors-Kyambogo'!G18,'03.08 Spear Motors-Kyambogo'!G18,'04.08 Spear Motors-Kyambogo'!G18)</f>
        <v>1.2857142857142858</v>
      </c>
      <c r="H18" s="49">
        <f>AVERAGE('29.07 Spear Motors-Kyambogo'!H18,'30.07 Spear Motors-Kyambogo'!H18,'31.07 Spear Motors-Kyambogo'!H18,'02.08 Spear Motors-Kyambogo'!H18,'01.08 Spear Motors-Kyambogo'!H18,'03.08 Spear Motors-Kyambogo'!H18,'04.08 Spear Motors-Kyambogo'!H18)</f>
        <v>1.1428571428571428</v>
      </c>
      <c r="I18" s="49">
        <f>AVERAGE('29.07 Spear Motors-Kyambogo'!I18,'30.07 Spear Motors-Kyambogo'!I18,'31.07 Spear Motors-Kyambogo'!I18,'02.08 Spear Motors-Kyambogo'!I18,'01.08 Spear Motors-Kyambogo'!I18,'03.08 Spear Motors-Kyambogo'!I18,'04.08 Spear Motors-Kyambogo'!I18)</f>
        <v>4.7142857142857144</v>
      </c>
      <c r="J18" s="49">
        <f>AVERAGE('29.07 Spear Motors-Kyambogo'!J18,'30.07 Spear Motors-Kyambogo'!J18,'31.07 Spear Motors-Kyambogo'!J18,'02.08 Spear Motors-Kyambogo'!J18,'01.08 Spear Motors-Kyambogo'!J18,'03.08 Spear Motors-Kyambogo'!J18,'04.08 Spear Motors-Kyambogo'!J18)</f>
        <v>3.7142857142857144</v>
      </c>
      <c r="K18" s="49">
        <f>AVERAGE('29.07 Spear Motors-Kyambogo'!K18,'30.07 Spear Motors-Kyambogo'!K18,'31.07 Spear Motors-Kyambogo'!K18,'02.08 Spear Motors-Kyambogo'!K18,'01.08 Spear Motors-Kyambogo'!K18,'03.08 Spear Motors-Kyambogo'!K18,'04.08 Spear Motors-Kyambogo'!K18)</f>
        <v>2.4285714285714284</v>
      </c>
      <c r="L18" s="49">
        <f>AVERAGE('29.07 Spear Motors-Kyambogo'!L18,'30.07 Spear Motors-Kyambogo'!L18,'31.07 Spear Motors-Kyambogo'!L18,'02.08 Spear Motors-Kyambogo'!L18,'01.08 Spear Motors-Kyambogo'!L18,'03.08 Spear Motors-Kyambogo'!L18,'04.08 Spear Motors-Kyambogo'!L18)</f>
        <v>2.1428571428571428</v>
      </c>
      <c r="M18" s="49">
        <f>AVERAGE('29.07 Spear Motors-Kyambogo'!M18,'30.07 Spear Motors-Kyambogo'!M18,'31.07 Spear Motors-Kyambogo'!M18,'02.08 Spear Motors-Kyambogo'!M18,'01.08 Spear Motors-Kyambogo'!M18,'03.08 Spear Motors-Kyambogo'!M18,'04.08 Spear Motors-Kyambogo'!M18)</f>
        <v>369</v>
      </c>
      <c r="N18" s="49">
        <f>AVERAGE('29.07 Spear Motors-Kyambogo'!N18,'30.07 Spear Motors-Kyambogo'!N18,'31.07 Spear Motors-Kyambogo'!N18,'02.08 Spear Motors-Kyambogo'!N18,'01.08 Spear Motors-Kyambogo'!N18,'03.08 Spear Motors-Kyambogo'!N18,'04.08 Spear Motors-Kyambogo'!N18)</f>
        <v>0</v>
      </c>
      <c r="O18" s="15">
        <f t="shared" si="0"/>
        <v>142.42857142857142</v>
      </c>
      <c r="P18" s="15">
        <f t="shared" si="1"/>
        <v>511.42857142857144</v>
      </c>
      <c r="R18" s="1" t="s">
        <v>14</v>
      </c>
      <c r="S18" s="17">
        <f t="shared" ref="S18:AF18" si="10">SUM(C42:C45)</f>
        <v>264</v>
      </c>
      <c r="T18" s="17">
        <f t="shared" si="10"/>
        <v>98.285714285714292</v>
      </c>
      <c r="U18" s="17">
        <f t="shared" si="10"/>
        <v>48.428571428571431</v>
      </c>
      <c r="V18" s="17">
        <f t="shared" si="10"/>
        <v>245.14285714285717</v>
      </c>
      <c r="W18" s="17">
        <f t="shared" si="10"/>
        <v>6.9523809523809526</v>
      </c>
      <c r="X18" s="17">
        <f t="shared" si="10"/>
        <v>2.6904761904761907</v>
      </c>
      <c r="Y18" s="17">
        <f t="shared" si="10"/>
        <v>39.428571428571431</v>
      </c>
      <c r="Z18" s="17">
        <f t="shared" si="10"/>
        <v>16.285714285714285</v>
      </c>
      <c r="AA18" s="17">
        <f t="shared" si="10"/>
        <v>8.0238095238095237</v>
      </c>
      <c r="AB18" s="17">
        <f t="shared" si="10"/>
        <v>22.285714285714285</v>
      </c>
      <c r="AC18" s="17">
        <f t="shared" si="10"/>
        <v>1206.8571428571429</v>
      </c>
      <c r="AD18" s="17">
        <f t="shared" si="10"/>
        <v>0</v>
      </c>
      <c r="AE18" s="31">
        <f t="shared" si="10"/>
        <v>751.52380952380952</v>
      </c>
      <c r="AF18" s="31">
        <f t="shared" si="10"/>
        <v>1958.3809523809523</v>
      </c>
    </row>
    <row r="19" spans="2:32" ht="23.1" customHeight="1" x14ac:dyDescent="0.25">
      <c r="B19" s="23" t="s">
        <v>46</v>
      </c>
      <c r="C19" s="49">
        <f>AVERAGE('29.07 Spear Motors-Kyambogo'!C19,'30.07 Spear Motors-Kyambogo'!C19,'31.07 Spear Motors-Kyambogo'!C19,'02.08 Spear Motors-Kyambogo'!C19,'01.08 Spear Motors-Kyambogo'!C19,'03.08 Spear Motors-Kyambogo'!C19,'04.08 Spear Motors-Kyambogo'!C19)</f>
        <v>42.857142857142854</v>
      </c>
      <c r="D19" s="49">
        <f>AVERAGE('29.07 Spear Motors-Kyambogo'!D19,'30.07 Spear Motors-Kyambogo'!D19,'31.07 Spear Motors-Kyambogo'!D19,'02.08 Spear Motors-Kyambogo'!D19,'01.08 Spear Motors-Kyambogo'!D19,'03.08 Spear Motors-Kyambogo'!D19,'04.08 Spear Motors-Kyambogo'!D19)</f>
        <v>19.142857142857142</v>
      </c>
      <c r="E19" s="49">
        <f>AVERAGE('29.07 Spear Motors-Kyambogo'!E19,'30.07 Spear Motors-Kyambogo'!E19,'31.07 Spear Motors-Kyambogo'!E19,'02.08 Spear Motors-Kyambogo'!E19,'01.08 Spear Motors-Kyambogo'!E19,'03.08 Spear Motors-Kyambogo'!E19,'04.08 Spear Motors-Kyambogo'!E19)</f>
        <v>6.5714285714285712</v>
      </c>
      <c r="F19" s="49">
        <f>AVERAGE('29.07 Spear Motors-Kyambogo'!F19,'30.07 Spear Motors-Kyambogo'!F19,'31.07 Spear Motors-Kyambogo'!F19,'02.08 Spear Motors-Kyambogo'!F19,'01.08 Spear Motors-Kyambogo'!F19,'03.08 Spear Motors-Kyambogo'!F19,'04.08 Spear Motors-Kyambogo'!F19)</f>
        <v>68</v>
      </c>
      <c r="G19" s="49">
        <f>AVERAGE('29.07 Spear Motors-Kyambogo'!G19,'30.07 Spear Motors-Kyambogo'!G19,'31.07 Spear Motors-Kyambogo'!G19,'02.08 Spear Motors-Kyambogo'!G19,'01.08 Spear Motors-Kyambogo'!G19,'03.08 Spear Motors-Kyambogo'!G19,'04.08 Spear Motors-Kyambogo'!G19)</f>
        <v>1.7142857142857142</v>
      </c>
      <c r="H19" s="49">
        <f>AVERAGE('29.07 Spear Motors-Kyambogo'!H19,'30.07 Spear Motors-Kyambogo'!H19,'31.07 Spear Motors-Kyambogo'!H19,'02.08 Spear Motors-Kyambogo'!H19,'01.08 Spear Motors-Kyambogo'!H19,'03.08 Spear Motors-Kyambogo'!H19,'04.08 Spear Motors-Kyambogo'!H19)</f>
        <v>0.5714285714285714</v>
      </c>
      <c r="I19" s="49">
        <f>AVERAGE('29.07 Spear Motors-Kyambogo'!I19,'30.07 Spear Motors-Kyambogo'!I19,'31.07 Spear Motors-Kyambogo'!I19,'02.08 Spear Motors-Kyambogo'!I19,'01.08 Spear Motors-Kyambogo'!I19,'03.08 Spear Motors-Kyambogo'!I19,'04.08 Spear Motors-Kyambogo'!I19)</f>
        <v>6.4285714285714288</v>
      </c>
      <c r="J19" s="49">
        <f>AVERAGE('29.07 Spear Motors-Kyambogo'!J19,'30.07 Spear Motors-Kyambogo'!J19,'31.07 Spear Motors-Kyambogo'!J19,'02.08 Spear Motors-Kyambogo'!J19,'01.08 Spear Motors-Kyambogo'!J19,'03.08 Spear Motors-Kyambogo'!J19,'04.08 Spear Motors-Kyambogo'!J19)</f>
        <v>4.4285714285714288</v>
      </c>
      <c r="K19" s="49">
        <f>AVERAGE('29.07 Spear Motors-Kyambogo'!K19,'30.07 Spear Motors-Kyambogo'!K19,'31.07 Spear Motors-Kyambogo'!K19,'02.08 Spear Motors-Kyambogo'!K19,'01.08 Spear Motors-Kyambogo'!K19,'03.08 Spear Motors-Kyambogo'!K19,'04.08 Spear Motors-Kyambogo'!K19)</f>
        <v>1.7142857142857142</v>
      </c>
      <c r="L19" s="49">
        <f>AVERAGE('29.07 Spear Motors-Kyambogo'!L19,'30.07 Spear Motors-Kyambogo'!L19,'31.07 Spear Motors-Kyambogo'!L19,'02.08 Spear Motors-Kyambogo'!L19,'01.08 Spear Motors-Kyambogo'!L19,'03.08 Spear Motors-Kyambogo'!L19,'04.08 Spear Motors-Kyambogo'!L19)</f>
        <v>3.4285714285714284</v>
      </c>
      <c r="M19" s="49">
        <f>AVERAGE('29.07 Spear Motors-Kyambogo'!M19,'30.07 Spear Motors-Kyambogo'!M19,'31.07 Spear Motors-Kyambogo'!M19,'02.08 Spear Motors-Kyambogo'!M19,'01.08 Spear Motors-Kyambogo'!M19,'03.08 Spear Motors-Kyambogo'!M19,'04.08 Spear Motors-Kyambogo'!M19)</f>
        <v>278.42857142857144</v>
      </c>
      <c r="N19" s="49">
        <f>AVERAGE('29.07 Spear Motors-Kyambogo'!N19,'30.07 Spear Motors-Kyambogo'!N19,'31.07 Spear Motors-Kyambogo'!N19,'02.08 Spear Motors-Kyambogo'!N19,'01.08 Spear Motors-Kyambogo'!N19,'03.08 Spear Motors-Kyambogo'!N19,'04.08 Spear Motors-Kyambogo'!N19)</f>
        <v>0</v>
      </c>
      <c r="O19" s="15">
        <f t="shared" si="0"/>
        <v>154.85714285714283</v>
      </c>
      <c r="P19" s="15">
        <f t="shared" si="1"/>
        <v>433.28571428571428</v>
      </c>
      <c r="R19" s="1" t="s">
        <v>15</v>
      </c>
      <c r="S19" s="17">
        <f t="shared" ref="S19:AF19" si="11">SUM(C46:C49)</f>
        <v>338.42857142857144</v>
      </c>
      <c r="T19" s="17">
        <f t="shared" si="11"/>
        <v>124.99999999999999</v>
      </c>
      <c r="U19" s="17">
        <f t="shared" si="11"/>
        <v>55.428571428571431</v>
      </c>
      <c r="V19" s="17">
        <f t="shared" si="11"/>
        <v>235.85714285714289</v>
      </c>
      <c r="W19" s="17">
        <f t="shared" si="11"/>
        <v>6.1428571428571423</v>
      </c>
      <c r="X19" s="17">
        <f t="shared" si="11"/>
        <v>1.1428571428571428</v>
      </c>
      <c r="Y19" s="17">
        <f t="shared" si="11"/>
        <v>38.285714285714285</v>
      </c>
      <c r="Z19" s="17">
        <f t="shared" si="11"/>
        <v>14.714285714285714</v>
      </c>
      <c r="AA19" s="17">
        <f t="shared" si="11"/>
        <v>6.8571428571428568</v>
      </c>
      <c r="AB19" s="17">
        <f t="shared" si="11"/>
        <v>16.142857142857142</v>
      </c>
      <c r="AC19" s="17">
        <f t="shared" si="11"/>
        <v>1189.4285714285716</v>
      </c>
      <c r="AD19" s="17">
        <f t="shared" si="11"/>
        <v>0</v>
      </c>
      <c r="AE19" s="31">
        <f t="shared" si="11"/>
        <v>838</v>
      </c>
      <c r="AF19" s="31">
        <f t="shared" si="11"/>
        <v>2027.4285714285716</v>
      </c>
    </row>
    <row r="20" spans="2:32" ht="23.1" customHeight="1" x14ac:dyDescent="0.25">
      <c r="B20" s="23" t="s">
        <v>47</v>
      </c>
      <c r="C20" s="49">
        <f>AVERAGE('29.07 Spear Motors-Kyambogo'!C20,'30.07 Spear Motors-Kyambogo'!C20,'31.07 Spear Motors-Kyambogo'!C20,'02.08 Spear Motors-Kyambogo'!C20,'01.08 Spear Motors-Kyambogo'!C20,'03.08 Spear Motors-Kyambogo'!C20,'04.08 Spear Motors-Kyambogo'!C20)</f>
        <v>50.571428571428569</v>
      </c>
      <c r="D20" s="49">
        <f>AVERAGE('29.07 Spear Motors-Kyambogo'!D20,'30.07 Spear Motors-Kyambogo'!D20,'31.07 Spear Motors-Kyambogo'!D20,'02.08 Spear Motors-Kyambogo'!D20,'01.08 Spear Motors-Kyambogo'!D20,'03.08 Spear Motors-Kyambogo'!D20,'04.08 Spear Motors-Kyambogo'!D20)</f>
        <v>16.142857142857142</v>
      </c>
      <c r="E20" s="49">
        <f>AVERAGE('29.07 Spear Motors-Kyambogo'!E20,'30.07 Spear Motors-Kyambogo'!E20,'31.07 Spear Motors-Kyambogo'!E20,'02.08 Spear Motors-Kyambogo'!E20,'01.08 Spear Motors-Kyambogo'!E20,'03.08 Spear Motors-Kyambogo'!E20,'04.08 Spear Motors-Kyambogo'!E20)</f>
        <v>9.1428571428571423</v>
      </c>
      <c r="F20" s="49">
        <f>AVERAGE('29.07 Spear Motors-Kyambogo'!F20,'30.07 Spear Motors-Kyambogo'!F20,'31.07 Spear Motors-Kyambogo'!F20,'02.08 Spear Motors-Kyambogo'!F20,'01.08 Spear Motors-Kyambogo'!F20,'03.08 Spear Motors-Kyambogo'!F20,'04.08 Spear Motors-Kyambogo'!F20)</f>
        <v>73.285714285714292</v>
      </c>
      <c r="G20" s="49">
        <f>AVERAGE('29.07 Spear Motors-Kyambogo'!G20,'30.07 Spear Motors-Kyambogo'!G20,'31.07 Spear Motors-Kyambogo'!G20,'02.08 Spear Motors-Kyambogo'!G20,'01.08 Spear Motors-Kyambogo'!G20,'03.08 Spear Motors-Kyambogo'!G20,'04.08 Spear Motors-Kyambogo'!G20)</f>
        <v>2</v>
      </c>
      <c r="H20" s="49">
        <f>AVERAGE('29.07 Spear Motors-Kyambogo'!H20,'30.07 Spear Motors-Kyambogo'!H20,'31.07 Spear Motors-Kyambogo'!H20,'02.08 Spear Motors-Kyambogo'!H20,'01.08 Spear Motors-Kyambogo'!H20,'03.08 Spear Motors-Kyambogo'!H20,'04.08 Spear Motors-Kyambogo'!H20)</f>
        <v>0.8571428571428571</v>
      </c>
      <c r="I20" s="49">
        <f>AVERAGE('29.07 Spear Motors-Kyambogo'!I20,'30.07 Spear Motors-Kyambogo'!I20,'31.07 Spear Motors-Kyambogo'!I20,'02.08 Spear Motors-Kyambogo'!I20,'01.08 Spear Motors-Kyambogo'!I20,'03.08 Spear Motors-Kyambogo'!I20,'04.08 Spear Motors-Kyambogo'!I20)</f>
        <v>7</v>
      </c>
      <c r="J20" s="49">
        <f>AVERAGE('29.07 Spear Motors-Kyambogo'!J20,'30.07 Spear Motors-Kyambogo'!J20,'31.07 Spear Motors-Kyambogo'!J20,'02.08 Spear Motors-Kyambogo'!J20,'01.08 Spear Motors-Kyambogo'!J20,'03.08 Spear Motors-Kyambogo'!J20,'04.08 Spear Motors-Kyambogo'!J20)</f>
        <v>4.7142857142857144</v>
      </c>
      <c r="K20" s="49">
        <f>AVERAGE('29.07 Spear Motors-Kyambogo'!K20,'30.07 Spear Motors-Kyambogo'!K20,'31.07 Spear Motors-Kyambogo'!K20,'02.08 Spear Motors-Kyambogo'!K20,'01.08 Spear Motors-Kyambogo'!K20,'03.08 Spear Motors-Kyambogo'!K20,'04.08 Spear Motors-Kyambogo'!K20)</f>
        <v>3</v>
      </c>
      <c r="L20" s="49">
        <f>AVERAGE('29.07 Spear Motors-Kyambogo'!L20,'30.07 Spear Motors-Kyambogo'!L20,'31.07 Spear Motors-Kyambogo'!L20,'02.08 Spear Motors-Kyambogo'!L20,'01.08 Spear Motors-Kyambogo'!L20,'03.08 Spear Motors-Kyambogo'!L20,'04.08 Spear Motors-Kyambogo'!L20)</f>
        <v>3.1428571428571428</v>
      </c>
      <c r="M20" s="49">
        <f>AVERAGE('29.07 Spear Motors-Kyambogo'!M20,'30.07 Spear Motors-Kyambogo'!M20,'31.07 Spear Motors-Kyambogo'!M20,'02.08 Spear Motors-Kyambogo'!M20,'01.08 Spear Motors-Kyambogo'!M20,'03.08 Spear Motors-Kyambogo'!M20,'04.08 Spear Motors-Kyambogo'!M20)</f>
        <v>325.14285714285717</v>
      </c>
      <c r="N20" s="49">
        <f>AVERAGE('29.07 Spear Motors-Kyambogo'!N20,'30.07 Spear Motors-Kyambogo'!N20,'31.07 Spear Motors-Kyambogo'!N20,'02.08 Spear Motors-Kyambogo'!N20,'01.08 Spear Motors-Kyambogo'!N20,'03.08 Spear Motors-Kyambogo'!N20,'04.08 Spear Motors-Kyambogo'!N20)</f>
        <v>0</v>
      </c>
      <c r="O20" s="15">
        <f t="shared" si="0"/>
        <v>169.85714285714286</v>
      </c>
      <c r="P20" s="15">
        <f t="shared" si="1"/>
        <v>495</v>
      </c>
      <c r="R20" s="1" t="s">
        <v>16</v>
      </c>
      <c r="S20" s="17">
        <f t="shared" ref="S20:AF20" si="12">SUM(C50:C53)</f>
        <v>452</v>
      </c>
      <c r="T20" s="17">
        <f t="shared" si="12"/>
        <v>194.71428571428572</v>
      </c>
      <c r="U20" s="17">
        <f t="shared" si="12"/>
        <v>94</v>
      </c>
      <c r="V20" s="17">
        <f t="shared" si="12"/>
        <v>214.71428571428572</v>
      </c>
      <c r="W20" s="17">
        <f t="shared" si="12"/>
        <v>4.5714285714285712</v>
      </c>
      <c r="X20" s="17">
        <f t="shared" si="12"/>
        <v>0.85714285714285698</v>
      </c>
      <c r="Y20" s="17">
        <f t="shared" si="12"/>
        <v>27.571428571428569</v>
      </c>
      <c r="Z20" s="17">
        <f t="shared" si="12"/>
        <v>15.714285714285714</v>
      </c>
      <c r="AA20" s="17">
        <f t="shared" si="12"/>
        <v>5.1428571428571423</v>
      </c>
      <c r="AB20" s="17">
        <f t="shared" si="12"/>
        <v>11.142857142857142</v>
      </c>
      <c r="AC20" s="17">
        <f t="shared" si="12"/>
        <v>1303.2857142857144</v>
      </c>
      <c r="AD20" s="17">
        <f t="shared" si="12"/>
        <v>0</v>
      </c>
      <c r="AE20" s="31">
        <f t="shared" si="12"/>
        <v>1020.4285714285714</v>
      </c>
      <c r="AF20" s="31">
        <f t="shared" si="12"/>
        <v>2323.7142857142853</v>
      </c>
    </row>
    <row r="21" spans="2:32" ht="23.1" customHeight="1" x14ac:dyDescent="0.25">
      <c r="B21" s="23" t="s">
        <v>48</v>
      </c>
      <c r="C21" s="49">
        <f>AVERAGE('29.07 Spear Motors-Kyambogo'!C21,'30.07 Spear Motors-Kyambogo'!C21,'31.07 Spear Motors-Kyambogo'!C21,'02.08 Spear Motors-Kyambogo'!C21,'01.08 Spear Motors-Kyambogo'!C21,'03.08 Spear Motors-Kyambogo'!C21,'04.08 Spear Motors-Kyambogo'!C21)</f>
        <v>48.142857142857146</v>
      </c>
      <c r="D21" s="49">
        <f>AVERAGE('29.07 Spear Motors-Kyambogo'!D21,'30.07 Spear Motors-Kyambogo'!D21,'31.07 Spear Motors-Kyambogo'!D21,'02.08 Spear Motors-Kyambogo'!D21,'01.08 Spear Motors-Kyambogo'!D21,'03.08 Spear Motors-Kyambogo'!D21,'04.08 Spear Motors-Kyambogo'!D21)</f>
        <v>16.285714285714285</v>
      </c>
      <c r="E21" s="49">
        <f>AVERAGE('29.07 Spear Motors-Kyambogo'!E21,'30.07 Spear Motors-Kyambogo'!E21,'31.07 Spear Motors-Kyambogo'!E21,'02.08 Spear Motors-Kyambogo'!E21,'01.08 Spear Motors-Kyambogo'!E21,'03.08 Spear Motors-Kyambogo'!E21,'04.08 Spear Motors-Kyambogo'!E21)</f>
        <v>9.1428571428571423</v>
      </c>
      <c r="F21" s="49">
        <f>AVERAGE('29.07 Spear Motors-Kyambogo'!F21,'30.07 Spear Motors-Kyambogo'!F21,'31.07 Spear Motors-Kyambogo'!F21,'02.08 Spear Motors-Kyambogo'!F21,'01.08 Spear Motors-Kyambogo'!F21,'03.08 Spear Motors-Kyambogo'!F21,'04.08 Spear Motors-Kyambogo'!F21)</f>
        <v>77.285714285714292</v>
      </c>
      <c r="G21" s="49">
        <f>AVERAGE('29.07 Spear Motors-Kyambogo'!G21,'30.07 Spear Motors-Kyambogo'!G21,'31.07 Spear Motors-Kyambogo'!G21,'02.08 Spear Motors-Kyambogo'!G21,'01.08 Spear Motors-Kyambogo'!G21,'03.08 Spear Motors-Kyambogo'!G21,'04.08 Spear Motors-Kyambogo'!G21)</f>
        <v>1.7142857142857142</v>
      </c>
      <c r="H21" s="49">
        <f>AVERAGE('29.07 Spear Motors-Kyambogo'!H21,'30.07 Spear Motors-Kyambogo'!H21,'31.07 Spear Motors-Kyambogo'!H21,'02.08 Spear Motors-Kyambogo'!H21,'01.08 Spear Motors-Kyambogo'!H21,'03.08 Spear Motors-Kyambogo'!H21,'04.08 Spear Motors-Kyambogo'!H21)</f>
        <v>0.5714285714285714</v>
      </c>
      <c r="I21" s="49">
        <f>AVERAGE('29.07 Spear Motors-Kyambogo'!I21,'30.07 Spear Motors-Kyambogo'!I21,'31.07 Spear Motors-Kyambogo'!I21,'02.08 Spear Motors-Kyambogo'!I21,'01.08 Spear Motors-Kyambogo'!I21,'03.08 Spear Motors-Kyambogo'!I21,'04.08 Spear Motors-Kyambogo'!I21)</f>
        <v>6</v>
      </c>
      <c r="J21" s="49">
        <f>AVERAGE('29.07 Spear Motors-Kyambogo'!J21,'30.07 Spear Motors-Kyambogo'!J21,'31.07 Spear Motors-Kyambogo'!J21,'02.08 Spear Motors-Kyambogo'!J21,'01.08 Spear Motors-Kyambogo'!J21,'03.08 Spear Motors-Kyambogo'!J21,'04.08 Spear Motors-Kyambogo'!J21)</f>
        <v>4.4285714285714288</v>
      </c>
      <c r="K21" s="49">
        <f>AVERAGE('29.07 Spear Motors-Kyambogo'!K21,'30.07 Spear Motors-Kyambogo'!K21,'31.07 Spear Motors-Kyambogo'!K21,'02.08 Spear Motors-Kyambogo'!K21,'01.08 Spear Motors-Kyambogo'!K21,'03.08 Spear Motors-Kyambogo'!K21,'04.08 Spear Motors-Kyambogo'!K21)</f>
        <v>2.1428571428571428</v>
      </c>
      <c r="L21" s="49">
        <f>AVERAGE('29.07 Spear Motors-Kyambogo'!L21,'30.07 Spear Motors-Kyambogo'!L21,'31.07 Spear Motors-Kyambogo'!L21,'02.08 Spear Motors-Kyambogo'!L21,'01.08 Spear Motors-Kyambogo'!L21,'03.08 Spear Motors-Kyambogo'!L21,'04.08 Spear Motors-Kyambogo'!L21)</f>
        <v>4.2857142857142856</v>
      </c>
      <c r="M21" s="49">
        <f>AVERAGE('29.07 Spear Motors-Kyambogo'!M21,'30.07 Spear Motors-Kyambogo'!M21,'31.07 Spear Motors-Kyambogo'!M21,'02.08 Spear Motors-Kyambogo'!M21,'01.08 Spear Motors-Kyambogo'!M21,'03.08 Spear Motors-Kyambogo'!M21,'04.08 Spear Motors-Kyambogo'!M21)</f>
        <v>327.85714285714283</v>
      </c>
      <c r="N21" s="49">
        <f>AVERAGE('29.07 Spear Motors-Kyambogo'!N21,'30.07 Spear Motors-Kyambogo'!N21,'31.07 Spear Motors-Kyambogo'!N21,'02.08 Spear Motors-Kyambogo'!N21,'01.08 Spear Motors-Kyambogo'!N21,'03.08 Spear Motors-Kyambogo'!N21,'04.08 Spear Motors-Kyambogo'!N21)</f>
        <v>0</v>
      </c>
      <c r="O21" s="15">
        <f t="shared" si="0"/>
        <v>170</v>
      </c>
      <c r="P21" s="15">
        <f t="shared" si="1"/>
        <v>497.85714285714283</v>
      </c>
      <c r="R21" s="36" t="s">
        <v>20</v>
      </c>
      <c r="S21" s="34">
        <f t="shared" ref="S21:AF21" si="13">SUM(C54:C57)</f>
        <v>510.14285714285717</v>
      </c>
      <c r="T21" s="17">
        <f t="shared" si="13"/>
        <v>214.71428571428572</v>
      </c>
      <c r="U21" s="17">
        <f t="shared" si="13"/>
        <v>104.85714285714286</v>
      </c>
      <c r="V21" s="17">
        <f t="shared" si="13"/>
        <v>217.85714285714286</v>
      </c>
      <c r="W21" s="17">
        <f t="shared" si="13"/>
        <v>8</v>
      </c>
      <c r="X21" s="17">
        <f t="shared" si="13"/>
        <v>2.7142857142857144</v>
      </c>
      <c r="Y21" s="17">
        <f t="shared" si="13"/>
        <v>21.285714285714288</v>
      </c>
      <c r="Z21" s="17">
        <f t="shared" si="13"/>
        <v>12.142857142857142</v>
      </c>
      <c r="AA21" s="17">
        <f t="shared" si="13"/>
        <v>1.8571428571428572</v>
      </c>
      <c r="AB21" s="17">
        <f t="shared" si="13"/>
        <v>5</v>
      </c>
      <c r="AC21" s="17">
        <f t="shared" si="13"/>
        <v>1283.8571428571427</v>
      </c>
      <c r="AD21" s="17">
        <f t="shared" si="13"/>
        <v>0</v>
      </c>
      <c r="AE21" s="31">
        <f t="shared" si="13"/>
        <v>1098.5714285714284</v>
      </c>
      <c r="AF21" s="31">
        <f t="shared" si="13"/>
        <v>2382.4285714285716</v>
      </c>
    </row>
    <row r="22" spans="2:32" ht="23.1" customHeight="1" x14ac:dyDescent="0.25">
      <c r="B22" s="23" t="s">
        <v>49</v>
      </c>
      <c r="C22" s="49">
        <f>AVERAGE('29.07 Spear Motors-Kyambogo'!C22,'30.07 Spear Motors-Kyambogo'!C22,'31.07 Spear Motors-Kyambogo'!C22,'02.08 Spear Motors-Kyambogo'!C22,'01.08 Spear Motors-Kyambogo'!C22,'03.08 Spear Motors-Kyambogo'!C22,'04.08 Spear Motors-Kyambogo'!C22)</f>
        <v>49.285714285714285</v>
      </c>
      <c r="D22" s="49">
        <f>AVERAGE('29.07 Spear Motors-Kyambogo'!D22,'30.07 Spear Motors-Kyambogo'!D22,'31.07 Spear Motors-Kyambogo'!D22,'02.08 Spear Motors-Kyambogo'!D22,'01.08 Spear Motors-Kyambogo'!D22,'03.08 Spear Motors-Kyambogo'!D22,'04.08 Spear Motors-Kyambogo'!D22)</f>
        <v>16.142857142857142</v>
      </c>
      <c r="E22" s="49">
        <f>AVERAGE('29.07 Spear Motors-Kyambogo'!E22,'30.07 Spear Motors-Kyambogo'!E22,'31.07 Spear Motors-Kyambogo'!E22,'02.08 Spear Motors-Kyambogo'!E22,'01.08 Spear Motors-Kyambogo'!E22,'03.08 Spear Motors-Kyambogo'!E22,'04.08 Spear Motors-Kyambogo'!E22)</f>
        <v>11.428571428571429</v>
      </c>
      <c r="F22" s="49">
        <f>AVERAGE('29.07 Spear Motors-Kyambogo'!F22,'30.07 Spear Motors-Kyambogo'!F22,'31.07 Spear Motors-Kyambogo'!F22,'02.08 Spear Motors-Kyambogo'!F22,'01.08 Spear Motors-Kyambogo'!F22,'03.08 Spear Motors-Kyambogo'!F22,'04.08 Spear Motors-Kyambogo'!F22)</f>
        <v>69.571428571428569</v>
      </c>
      <c r="G22" s="49">
        <f>AVERAGE('29.07 Spear Motors-Kyambogo'!G22,'30.07 Spear Motors-Kyambogo'!G22,'31.07 Spear Motors-Kyambogo'!G22,'02.08 Spear Motors-Kyambogo'!G22,'01.08 Spear Motors-Kyambogo'!G22,'03.08 Spear Motors-Kyambogo'!G22,'04.08 Spear Motors-Kyambogo'!G22)</f>
        <v>1.5714285714285714</v>
      </c>
      <c r="H22" s="49">
        <f>AVERAGE('29.07 Spear Motors-Kyambogo'!H22,'30.07 Spear Motors-Kyambogo'!H22,'31.07 Spear Motors-Kyambogo'!H22,'02.08 Spear Motors-Kyambogo'!H22,'01.08 Spear Motors-Kyambogo'!H22,'03.08 Spear Motors-Kyambogo'!H22,'04.08 Spear Motors-Kyambogo'!H22)</f>
        <v>1</v>
      </c>
      <c r="I22" s="49">
        <f>AVERAGE('29.07 Spear Motors-Kyambogo'!I22,'30.07 Spear Motors-Kyambogo'!I22,'31.07 Spear Motors-Kyambogo'!I22,'02.08 Spear Motors-Kyambogo'!I22,'01.08 Spear Motors-Kyambogo'!I22,'03.08 Spear Motors-Kyambogo'!I22,'04.08 Spear Motors-Kyambogo'!I22)</f>
        <v>7.1428571428571432</v>
      </c>
      <c r="J22" s="49">
        <f>AVERAGE('29.07 Spear Motors-Kyambogo'!J22,'30.07 Spear Motors-Kyambogo'!J22,'31.07 Spear Motors-Kyambogo'!J22,'02.08 Spear Motors-Kyambogo'!J22,'01.08 Spear Motors-Kyambogo'!J22,'03.08 Spear Motors-Kyambogo'!J22,'04.08 Spear Motors-Kyambogo'!J22)</f>
        <v>4.1428571428571432</v>
      </c>
      <c r="K22" s="49">
        <f>AVERAGE('29.07 Spear Motors-Kyambogo'!K22,'30.07 Spear Motors-Kyambogo'!K22,'31.07 Spear Motors-Kyambogo'!K22,'02.08 Spear Motors-Kyambogo'!K22,'01.08 Spear Motors-Kyambogo'!K22,'03.08 Spear Motors-Kyambogo'!K22,'04.08 Spear Motors-Kyambogo'!K22)</f>
        <v>2.2857142857142856</v>
      </c>
      <c r="L22" s="49">
        <f>AVERAGE('29.07 Spear Motors-Kyambogo'!L22,'30.07 Spear Motors-Kyambogo'!L22,'31.07 Spear Motors-Kyambogo'!L22,'02.08 Spear Motors-Kyambogo'!L22,'01.08 Spear Motors-Kyambogo'!L22,'03.08 Spear Motors-Kyambogo'!L22,'04.08 Spear Motors-Kyambogo'!L22)</f>
        <v>4</v>
      </c>
      <c r="M22" s="49">
        <f>AVERAGE('29.07 Spear Motors-Kyambogo'!M22,'30.07 Spear Motors-Kyambogo'!M22,'31.07 Spear Motors-Kyambogo'!M22,'02.08 Spear Motors-Kyambogo'!M22,'01.08 Spear Motors-Kyambogo'!M22,'03.08 Spear Motors-Kyambogo'!M22,'04.08 Spear Motors-Kyambogo'!M22)</f>
        <v>331.85714285714283</v>
      </c>
      <c r="N22" s="49">
        <f>AVERAGE('29.07 Spear Motors-Kyambogo'!N22,'30.07 Spear Motors-Kyambogo'!N22,'31.07 Spear Motors-Kyambogo'!N22,'02.08 Spear Motors-Kyambogo'!N22,'01.08 Spear Motors-Kyambogo'!N22,'03.08 Spear Motors-Kyambogo'!N22,'04.08 Spear Motors-Kyambogo'!N22)</f>
        <v>0</v>
      </c>
      <c r="O22" s="15">
        <f t="shared" si="0"/>
        <v>166.57142857142858</v>
      </c>
      <c r="P22" s="15">
        <f t="shared" si="1"/>
        <v>498.42857142857144</v>
      </c>
      <c r="R22" s="1" t="s">
        <v>146</v>
      </c>
      <c r="S22" s="34">
        <f>SUM(C58:C61)</f>
        <v>164.5</v>
      </c>
      <c r="T22" s="34">
        <f t="shared" ref="T22:AF22" si="14">SUM(D58:D61)</f>
        <v>31</v>
      </c>
      <c r="U22" s="34">
        <f t="shared" si="14"/>
        <v>18</v>
      </c>
      <c r="V22" s="34">
        <f t="shared" si="14"/>
        <v>204</v>
      </c>
      <c r="W22" s="34">
        <f t="shared" si="14"/>
        <v>12.5</v>
      </c>
      <c r="X22" s="34">
        <f t="shared" si="14"/>
        <v>3</v>
      </c>
      <c r="Y22" s="34">
        <f t="shared" si="14"/>
        <v>17</v>
      </c>
      <c r="Z22" s="34">
        <f t="shared" si="14"/>
        <v>8.5</v>
      </c>
      <c r="AA22" s="34">
        <f t="shared" si="14"/>
        <v>3</v>
      </c>
      <c r="AB22" s="34">
        <f t="shared" si="14"/>
        <v>3.5</v>
      </c>
      <c r="AC22" s="34">
        <f t="shared" si="14"/>
        <v>1215</v>
      </c>
      <c r="AD22" s="34">
        <f t="shared" si="14"/>
        <v>0</v>
      </c>
      <c r="AE22" s="31">
        <f t="shared" si="14"/>
        <v>465</v>
      </c>
      <c r="AF22" s="31">
        <f t="shared" si="14"/>
        <v>1680</v>
      </c>
    </row>
    <row r="23" spans="2:32" ht="23.1" customHeight="1" x14ac:dyDescent="0.25">
      <c r="B23" s="23" t="s">
        <v>50</v>
      </c>
      <c r="C23" s="49">
        <f>AVERAGE('29.07 Spear Motors-Kyambogo'!C23,'30.07 Spear Motors-Kyambogo'!C23,'31.07 Spear Motors-Kyambogo'!C23,'02.08 Spear Motors-Kyambogo'!C23,'01.08 Spear Motors-Kyambogo'!C23,'03.08 Spear Motors-Kyambogo'!C23,'04.08 Spear Motors-Kyambogo'!C23)</f>
        <v>52.571428571428569</v>
      </c>
      <c r="D23" s="49">
        <f>AVERAGE('29.07 Spear Motors-Kyambogo'!D23,'30.07 Spear Motors-Kyambogo'!D23,'31.07 Spear Motors-Kyambogo'!D23,'02.08 Spear Motors-Kyambogo'!D23,'01.08 Spear Motors-Kyambogo'!D23,'03.08 Spear Motors-Kyambogo'!D23,'04.08 Spear Motors-Kyambogo'!D23)</f>
        <v>17.428571428571427</v>
      </c>
      <c r="E23" s="49">
        <f>AVERAGE('29.07 Spear Motors-Kyambogo'!E23,'30.07 Spear Motors-Kyambogo'!E23,'31.07 Spear Motors-Kyambogo'!E23,'02.08 Spear Motors-Kyambogo'!E23,'01.08 Spear Motors-Kyambogo'!E23,'03.08 Spear Motors-Kyambogo'!E23,'04.08 Spear Motors-Kyambogo'!E23)</f>
        <v>11.571428571428571</v>
      </c>
      <c r="F23" s="49">
        <f>AVERAGE('29.07 Spear Motors-Kyambogo'!F23,'30.07 Spear Motors-Kyambogo'!F23,'31.07 Spear Motors-Kyambogo'!F23,'02.08 Spear Motors-Kyambogo'!F23,'01.08 Spear Motors-Kyambogo'!F23,'03.08 Spear Motors-Kyambogo'!F23,'04.08 Spear Motors-Kyambogo'!F23)</f>
        <v>73</v>
      </c>
      <c r="G23" s="49">
        <f>AVERAGE('29.07 Spear Motors-Kyambogo'!G23,'30.07 Spear Motors-Kyambogo'!G23,'31.07 Spear Motors-Kyambogo'!G23,'02.08 Spear Motors-Kyambogo'!G23,'01.08 Spear Motors-Kyambogo'!G23,'03.08 Spear Motors-Kyambogo'!G23,'04.08 Spear Motors-Kyambogo'!G23)</f>
        <v>1.7142857142857142</v>
      </c>
      <c r="H23" s="49">
        <f>AVERAGE('29.07 Spear Motors-Kyambogo'!H23,'30.07 Spear Motors-Kyambogo'!H23,'31.07 Spear Motors-Kyambogo'!H23,'02.08 Spear Motors-Kyambogo'!H23,'01.08 Spear Motors-Kyambogo'!H23,'03.08 Spear Motors-Kyambogo'!H23,'04.08 Spear Motors-Kyambogo'!H23)</f>
        <v>0.7142857142857143</v>
      </c>
      <c r="I23" s="49">
        <f>AVERAGE('29.07 Spear Motors-Kyambogo'!I23,'30.07 Spear Motors-Kyambogo'!I23,'31.07 Spear Motors-Kyambogo'!I23,'02.08 Spear Motors-Kyambogo'!I23,'01.08 Spear Motors-Kyambogo'!I23,'03.08 Spear Motors-Kyambogo'!I23,'04.08 Spear Motors-Kyambogo'!I23)</f>
        <v>8</v>
      </c>
      <c r="J23" s="49">
        <f>AVERAGE('29.07 Spear Motors-Kyambogo'!J23,'30.07 Spear Motors-Kyambogo'!J23,'31.07 Spear Motors-Kyambogo'!J23,'02.08 Spear Motors-Kyambogo'!J23,'01.08 Spear Motors-Kyambogo'!J23,'03.08 Spear Motors-Kyambogo'!J23,'04.08 Spear Motors-Kyambogo'!J23)</f>
        <v>4.1428571428571432</v>
      </c>
      <c r="K23" s="49">
        <f>AVERAGE('29.07 Spear Motors-Kyambogo'!K23,'30.07 Spear Motors-Kyambogo'!K23,'31.07 Spear Motors-Kyambogo'!K23,'02.08 Spear Motors-Kyambogo'!K23,'01.08 Spear Motors-Kyambogo'!K23,'03.08 Spear Motors-Kyambogo'!K23,'04.08 Spear Motors-Kyambogo'!K23)</f>
        <v>3</v>
      </c>
      <c r="L23" s="49">
        <f>AVERAGE('29.07 Spear Motors-Kyambogo'!L23,'30.07 Spear Motors-Kyambogo'!L23,'31.07 Spear Motors-Kyambogo'!L23,'02.08 Spear Motors-Kyambogo'!L23,'01.08 Spear Motors-Kyambogo'!L23,'03.08 Spear Motors-Kyambogo'!L23,'04.08 Spear Motors-Kyambogo'!L23)</f>
        <v>4.7142857142857144</v>
      </c>
      <c r="M23" s="49">
        <f>AVERAGE('29.07 Spear Motors-Kyambogo'!M23,'30.07 Spear Motors-Kyambogo'!M23,'31.07 Spear Motors-Kyambogo'!M23,'02.08 Spear Motors-Kyambogo'!M23,'01.08 Spear Motors-Kyambogo'!M23,'03.08 Spear Motors-Kyambogo'!M23,'04.08 Spear Motors-Kyambogo'!M23)</f>
        <v>257.42857142857144</v>
      </c>
      <c r="N23" s="49">
        <f>AVERAGE('29.07 Spear Motors-Kyambogo'!N23,'30.07 Spear Motors-Kyambogo'!N23,'31.07 Spear Motors-Kyambogo'!N23,'02.08 Spear Motors-Kyambogo'!N23,'01.08 Spear Motors-Kyambogo'!N23,'03.08 Spear Motors-Kyambogo'!N23,'04.08 Spear Motors-Kyambogo'!N23)</f>
        <v>0</v>
      </c>
      <c r="O23" s="15">
        <f t="shared" si="0"/>
        <v>176.85714285714286</v>
      </c>
      <c r="P23" s="15">
        <f t="shared" si="1"/>
        <v>434.28571428571433</v>
      </c>
      <c r="R23" s="1" t="s">
        <v>147</v>
      </c>
      <c r="S23" s="34">
        <f>SUM(C62:C65)</f>
        <v>243.5</v>
      </c>
      <c r="T23" s="34">
        <f t="shared" ref="T23:AF23" si="15">SUM(D62:D65)</f>
        <v>97.5</v>
      </c>
      <c r="U23" s="34">
        <f t="shared" si="15"/>
        <v>30.5</v>
      </c>
      <c r="V23" s="34">
        <f t="shared" si="15"/>
        <v>175.5</v>
      </c>
      <c r="W23" s="34">
        <f t="shared" si="15"/>
        <v>8.5</v>
      </c>
      <c r="X23" s="34">
        <f t="shared" si="15"/>
        <v>1.5</v>
      </c>
      <c r="Y23" s="34">
        <f t="shared" si="15"/>
        <v>12.5</v>
      </c>
      <c r="Z23" s="34">
        <f t="shared" si="15"/>
        <v>12</v>
      </c>
      <c r="AA23" s="34">
        <f t="shared" si="15"/>
        <v>5</v>
      </c>
      <c r="AB23" s="34">
        <f t="shared" si="15"/>
        <v>3</v>
      </c>
      <c r="AC23" s="34">
        <f t="shared" si="15"/>
        <v>1217.5</v>
      </c>
      <c r="AD23" s="34">
        <f t="shared" si="15"/>
        <v>0</v>
      </c>
      <c r="AE23" s="31">
        <f t="shared" si="15"/>
        <v>589.5</v>
      </c>
      <c r="AF23" s="31">
        <f t="shared" si="15"/>
        <v>1807</v>
      </c>
    </row>
    <row r="24" spans="2:32" ht="23.1" customHeight="1" x14ac:dyDescent="0.25">
      <c r="B24" s="23" t="s">
        <v>51</v>
      </c>
      <c r="C24" s="49">
        <f>AVERAGE('29.07 Spear Motors-Kyambogo'!C24,'30.07 Spear Motors-Kyambogo'!C24,'31.07 Spear Motors-Kyambogo'!C24,'02.08 Spear Motors-Kyambogo'!C24,'01.08 Spear Motors-Kyambogo'!C24,'03.08 Spear Motors-Kyambogo'!C24,'04.08 Spear Motors-Kyambogo'!C24)</f>
        <v>54.714285714285715</v>
      </c>
      <c r="D24" s="49">
        <f>AVERAGE('29.07 Spear Motors-Kyambogo'!D24,'30.07 Spear Motors-Kyambogo'!D24,'31.07 Spear Motors-Kyambogo'!D24,'02.08 Spear Motors-Kyambogo'!D24,'01.08 Spear Motors-Kyambogo'!D24,'03.08 Spear Motors-Kyambogo'!D24,'04.08 Spear Motors-Kyambogo'!D24)</f>
        <v>16.428571428571427</v>
      </c>
      <c r="E24" s="49">
        <f>AVERAGE('29.07 Spear Motors-Kyambogo'!E24,'30.07 Spear Motors-Kyambogo'!E24,'31.07 Spear Motors-Kyambogo'!E24,'02.08 Spear Motors-Kyambogo'!E24,'01.08 Spear Motors-Kyambogo'!E24,'03.08 Spear Motors-Kyambogo'!E24,'04.08 Spear Motors-Kyambogo'!E24)</f>
        <v>9.5714285714285712</v>
      </c>
      <c r="F24" s="49">
        <f>AVERAGE('29.07 Spear Motors-Kyambogo'!F24,'30.07 Spear Motors-Kyambogo'!F24,'31.07 Spear Motors-Kyambogo'!F24,'02.08 Spear Motors-Kyambogo'!F24,'01.08 Spear Motors-Kyambogo'!F24,'03.08 Spear Motors-Kyambogo'!F24,'04.08 Spear Motors-Kyambogo'!F24)</f>
        <v>63.571428571428569</v>
      </c>
      <c r="G24" s="49">
        <f>AVERAGE('29.07 Spear Motors-Kyambogo'!G24,'30.07 Spear Motors-Kyambogo'!G24,'31.07 Spear Motors-Kyambogo'!G24,'02.08 Spear Motors-Kyambogo'!G24,'01.08 Spear Motors-Kyambogo'!G24,'03.08 Spear Motors-Kyambogo'!G24,'04.08 Spear Motors-Kyambogo'!G24)</f>
        <v>1.8571428571428572</v>
      </c>
      <c r="H24" s="49">
        <f>AVERAGE('29.07 Spear Motors-Kyambogo'!H24,'30.07 Spear Motors-Kyambogo'!H24,'31.07 Spear Motors-Kyambogo'!H24,'02.08 Spear Motors-Kyambogo'!H24,'01.08 Spear Motors-Kyambogo'!H24,'03.08 Spear Motors-Kyambogo'!H24,'04.08 Spear Motors-Kyambogo'!H24)</f>
        <v>0.42857142857142855</v>
      </c>
      <c r="I24" s="49">
        <f>AVERAGE('29.07 Spear Motors-Kyambogo'!I24,'30.07 Spear Motors-Kyambogo'!I24,'31.07 Spear Motors-Kyambogo'!I24,'02.08 Spear Motors-Kyambogo'!I24,'01.08 Spear Motors-Kyambogo'!I24,'03.08 Spear Motors-Kyambogo'!I24,'04.08 Spear Motors-Kyambogo'!I24)</f>
        <v>9.1428571428571423</v>
      </c>
      <c r="J24" s="49">
        <f>AVERAGE('29.07 Spear Motors-Kyambogo'!J24,'30.07 Spear Motors-Kyambogo'!J24,'31.07 Spear Motors-Kyambogo'!J24,'02.08 Spear Motors-Kyambogo'!J24,'01.08 Spear Motors-Kyambogo'!J24,'03.08 Spear Motors-Kyambogo'!J24,'04.08 Spear Motors-Kyambogo'!J24)</f>
        <v>5.1428571428571432</v>
      </c>
      <c r="K24" s="49">
        <f>AVERAGE('29.07 Spear Motors-Kyambogo'!K24,'30.07 Spear Motors-Kyambogo'!K24,'31.07 Spear Motors-Kyambogo'!K24,'02.08 Spear Motors-Kyambogo'!K24,'01.08 Spear Motors-Kyambogo'!K24,'03.08 Spear Motors-Kyambogo'!K24,'04.08 Spear Motors-Kyambogo'!K24)</f>
        <v>2.4285714285714284</v>
      </c>
      <c r="L24" s="49">
        <f>AVERAGE('29.07 Spear Motors-Kyambogo'!L24,'30.07 Spear Motors-Kyambogo'!L24,'31.07 Spear Motors-Kyambogo'!L24,'02.08 Spear Motors-Kyambogo'!L24,'01.08 Spear Motors-Kyambogo'!L24,'03.08 Spear Motors-Kyambogo'!L24,'04.08 Spear Motors-Kyambogo'!L24)</f>
        <v>3.7142857142857144</v>
      </c>
      <c r="M24" s="49">
        <f>AVERAGE('29.07 Spear Motors-Kyambogo'!M24,'30.07 Spear Motors-Kyambogo'!M24,'31.07 Spear Motors-Kyambogo'!M24,'02.08 Spear Motors-Kyambogo'!M24,'01.08 Spear Motors-Kyambogo'!M24,'03.08 Spear Motors-Kyambogo'!M24,'04.08 Spear Motors-Kyambogo'!M24)</f>
        <v>288.85714285714283</v>
      </c>
      <c r="N24" s="49">
        <f>AVERAGE('29.07 Spear Motors-Kyambogo'!N24,'30.07 Spear Motors-Kyambogo'!N24,'31.07 Spear Motors-Kyambogo'!N24,'02.08 Spear Motors-Kyambogo'!N24,'01.08 Spear Motors-Kyambogo'!N24,'03.08 Spear Motors-Kyambogo'!N24,'04.08 Spear Motors-Kyambogo'!N24)</f>
        <v>0</v>
      </c>
      <c r="O24" s="15">
        <f t="shared" si="0"/>
        <v>166.99999999999997</v>
      </c>
      <c r="P24" s="15">
        <f t="shared" si="1"/>
        <v>455.85714285714278</v>
      </c>
      <c r="R24" s="1" t="s">
        <v>148</v>
      </c>
      <c r="S24" s="34">
        <f>SUM(C66:C69)</f>
        <v>200</v>
      </c>
      <c r="T24" s="34">
        <f t="shared" ref="T24:AF24" si="16">SUM(D66:D69)</f>
        <v>78</v>
      </c>
      <c r="U24" s="34">
        <f t="shared" si="16"/>
        <v>23</v>
      </c>
      <c r="V24" s="34">
        <f t="shared" si="16"/>
        <v>176</v>
      </c>
      <c r="W24" s="34">
        <f t="shared" si="16"/>
        <v>7.5</v>
      </c>
      <c r="X24" s="34">
        <f t="shared" si="16"/>
        <v>2</v>
      </c>
      <c r="Y24" s="34">
        <f t="shared" si="16"/>
        <v>9.5</v>
      </c>
      <c r="Z24" s="34">
        <f t="shared" si="16"/>
        <v>9</v>
      </c>
      <c r="AA24" s="34">
        <f t="shared" si="16"/>
        <v>4</v>
      </c>
      <c r="AB24" s="34">
        <f t="shared" si="16"/>
        <v>4.5</v>
      </c>
      <c r="AC24" s="34">
        <f t="shared" si="16"/>
        <v>1020.5</v>
      </c>
      <c r="AD24" s="34">
        <f t="shared" si="16"/>
        <v>0</v>
      </c>
      <c r="AE24" s="31">
        <f t="shared" si="16"/>
        <v>513.5</v>
      </c>
      <c r="AF24" s="31">
        <f t="shared" si="16"/>
        <v>1534</v>
      </c>
    </row>
    <row r="25" spans="2:32" ht="23.1" customHeight="1" x14ac:dyDescent="0.25">
      <c r="B25" s="23" t="s">
        <v>52</v>
      </c>
      <c r="C25" s="49">
        <f>AVERAGE('29.07 Spear Motors-Kyambogo'!C25,'30.07 Spear Motors-Kyambogo'!C25,'31.07 Spear Motors-Kyambogo'!C25,'02.08 Spear Motors-Kyambogo'!C25,'01.08 Spear Motors-Kyambogo'!C25,'03.08 Spear Motors-Kyambogo'!C25,'04.08 Spear Motors-Kyambogo'!C25)</f>
        <v>56.857142857142854</v>
      </c>
      <c r="D25" s="49">
        <f>AVERAGE('29.07 Spear Motors-Kyambogo'!D25,'30.07 Spear Motors-Kyambogo'!D25,'31.07 Spear Motors-Kyambogo'!D25,'02.08 Spear Motors-Kyambogo'!D25,'01.08 Spear Motors-Kyambogo'!D25,'03.08 Spear Motors-Kyambogo'!D25,'04.08 Spear Motors-Kyambogo'!D25)</f>
        <v>18.142857142857142</v>
      </c>
      <c r="E25" s="49">
        <f>AVERAGE('29.07 Spear Motors-Kyambogo'!E25,'30.07 Spear Motors-Kyambogo'!E25,'31.07 Spear Motors-Kyambogo'!E25,'02.08 Spear Motors-Kyambogo'!E25,'01.08 Spear Motors-Kyambogo'!E25,'03.08 Spear Motors-Kyambogo'!E25,'04.08 Spear Motors-Kyambogo'!E25)</f>
        <v>11.714285714285714</v>
      </c>
      <c r="F25" s="49">
        <f>AVERAGE('29.07 Spear Motors-Kyambogo'!F25,'30.07 Spear Motors-Kyambogo'!F25,'31.07 Spear Motors-Kyambogo'!F25,'02.08 Spear Motors-Kyambogo'!F25,'01.08 Spear Motors-Kyambogo'!F25,'03.08 Spear Motors-Kyambogo'!F25,'04.08 Spear Motors-Kyambogo'!F25)</f>
        <v>55.571428571428569</v>
      </c>
      <c r="G25" s="49">
        <f>AVERAGE('29.07 Spear Motors-Kyambogo'!G25,'30.07 Spear Motors-Kyambogo'!G25,'31.07 Spear Motors-Kyambogo'!G25,'02.08 Spear Motors-Kyambogo'!G25,'01.08 Spear Motors-Kyambogo'!G25,'03.08 Spear Motors-Kyambogo'!G25,'04.08 Spear Motors-Kyambogo'!G25)</f>
        <v>1.1428571428571428</v>
      </c>
      <c r="H25" s="49">
        <f>AVERAGE('29.07 Spear Motors-Kyambogo'!H25,'30.07 Spear Motors-Kyambogo'!H25,'31.07 Spear Motors-Kyambogo'!H25,'02.08 Spear Motors-Kyambogo'!H25,'01.08 Spear Motors-Kyambogo'!H25,'03.08 Spear Motors-Kyambogo'!H25,'04.08 Spear Motors-Kyambogo'!H25)</f>
        <v>0.42857142857142855</v>
      </c>
      <c r="I25" s="49">
        <f>AVERAGE('29.07 Spear Motors-Kyambogo'!I25,'30.07 Spear Motors-Kyambogo'!I25,'31.07 Spear Motors-Kyambogo'!I25,'02.08 Spear Motors-Kyambogo'!I25,'01.08 Spear Motors-Kyambogo'!I25,'03.08 Spear Motors-Kyambogo'!I25,'04.08 Spear Motors-Kyambogo'!I25)</f>
        <v>8.7142857142857135</v>
      </c>
      <c r="J25" s="49">
        <f>AVERAGE('29.07 Spear Motors-Kyambogo'!J25,'30.07 Spear Motors-Kyambogo'!J25,'31.07 Spear Motors-Kyambogo'!J25,'02.08 Spear Motors-Kyambogo'!J25,'01.08 Spear Motors-Kyambogo'!J25,'03.08 Spear Motors-Kyambogo'!J25,'04.08 Spear Motors-Kyambogo'!J25)</f>
        <v>5.4285714285714288</v>
      </c>
      <c r="K25" s="49">
        <f>AVERAGE('29.07 Spear Motors-Kyambogo'!K25,'30.07 Spear Motors-Kyambogo'!K25,'31.07 Spear Motors-Kyambogo'!K25,'02.08 Spear Motors-Kyambogo'!K25,'01.08 Spear Motors-Kyambogo'!K25,'03.08 Spear Motors-Kyambogo'!K25,'04.08 Spear Motors-Kyambogo'!K25)</f>
        <v>2.2857142857142856</v>
      </c>
      <c r="L25" s="49">
        <f>AVERAGE('29.07 Spear Motors-Kyambogo'!L25,'30.07 Spear Motors-Kyambogo'!L25,'31.07 Spear Motors-Kyambogo'!L25,'02.08 Spear Motors-Kyambogo'!L25,'01.08 Spear Motors-Kyambogo'!L25,'03.08 Spear Motors-Kyambogo'!L25,'04.08 Spear Motors-Kyambogo'!L25)</f>
        <v>3.1428571428571428</v>
      </c>
      <c r="M25" s="49">
        <f>AVERAGE('29.07 Spear Motors-Kyambogo'!M25,'30.07 Spear Motors-Kyambogo'!M25,'31.07 Spear Motors-Kyambogo'!M25,'02.08 Spear Motors-Kyambogo'!M25,'01.08 Spear Motors-Kyambogo'!M25,'03.08 Spear Motors-Kyambogo'!M25,'04.08 Spear Motors-Kyambogo'!M25)</f>
        <v>331.71428571428572</v>
      </c>
      <c r="N25" s="49">
        <f>AVERAGE('29.07 Spear Motors-Kyambogo'!N25,'30.07 Spear Motors-Kyambogo'!N25,'31.07 Spear Motors-Kyambogo'!N25,'02.08 Spear Motors-Kyambogo'!N25,'01.08 Spear Motors-Kyambogo'!N25,'03.08 Spear Motors-Kyambogo'!N25,'04.08 Spear Motors-Kyambogo'!N25)</f>
        <v>0</v>
      </c>
      <c r="O25" s="15">
        <f t="shared" si="0"/>
        <v>163.42857142857139</v>
      </c>
      <c r="P25" s="15">
        <f t="shared" si="1"/>
        <v>495.14285714285711</v>
      </c>
      <c r="R25" s="1" t="s">
        <v>149</v>
      </c>
      <c r="S25" s="34">
        <f>SUM(C70:C73)</f>
        <v>152</v>
      </c>
      <c r="T25" s="34">
        <f t="shared" ref="T25:AF25" si="17">SUM(D70:D73)</f>
        <v>52.5</v>
      </c>
      <c r="U25" s="34">
        <f t="shared" si="17"/>
        <v>19.5</v>
      </c>
      <c r="V25" s="34">
        <f t="shared" si="17"/>
        <v>97</v>
      </c>
      <c r="W25" s="34">
        <f t="shared" si="17"/>
        <v>9.5</v>
      </c>
      <c r="X25" s="34">
        <f t="shared" si="17"/>
        <v>1.5</v>
      </c>
      <c r="Y25" s="34">
        <f t="shared" si="17"/>
        <v>0.5</v>
      </c>
      <c r="Z25" s="34">
        <f t="shared" si="17"/>
        <v>2</v>
      </c>
      <c r="AA25" s="34">
        <f t="shared" si="17"/>
        <v>0.5</v>
      </c>
      <c r="AB25" s="34">
        <f t="shared" si="17"/>
        <v>4</v>
      </c>
      <c r="AC25" s="34">
        <f t="shared" si="17"/>
        <v>625.5</v>
      </c>
      <c r="AD25" s="34">
        <f t="shared" si="17"/>
        <v>0</v>
      </c>
      <c r="AE25" s="31">
        <f t="shared" si="17"/>
        <v>339</v>
      </c>
      <c r="AF25" s="31">
        <f t="shared" si="17"/>
        <v>964.5</v>
      </c>
    </row>
    <row r="26" spans="2:32" ht="23.1" customHeight="1" x14ac:dyDescent="0.25">
      <c r="B26" s="23" t="s">
        <v>53</v>
      </c>
      <c r="C26" s="49">
        <f>AVERAGE('29.07 Spear Motors-Kyambogo'!C26,'30.07 Spear Motors-Kyambogo'!C26,'31.07 Spear Motors-Kyambogo'!C26,'02.08 Spear Motors-Kyambogo'!C26,'01.08 Spear Motors-Kyambogo'!C26,'03.08 Spear Motors-Kyambogo'!C26,'04.08 Spear Motors-Kyambogo'!C26)</f>
        <v>54.428571428571431</v>
      </c>
      <c r="D26" s="49">
        <f>AVERAGE('29.07 Spear Motors-Kyambogo'!D26,'30.07 Spear Motors-Kyambogo'!D26,'31.07 Spear Motors-Kyambogo'!D26,'02.08 Spear Motors-Kyambogo'!D26,'01.08 Spear Motors-Kyambogo'!D26,'03.08 Spear Motors-Kyambogo'!D26,'04.08 Spear Motors-Kyambogo'!D26)</f>
        <v>20.714285714285715</v>
      </c>
      <c r="E26" s="49">
        <f>AVERAGE('29.07 Spear Motors-Kyambogo'!E26,'30.07 Spear Motors-Kyambogo'!E26,'31.07 Spear Motors-Kyambogo'!E26,'02.08 Spear Motors-Kyambogo'!E26,'01.08 Spear Motors-Kyambogo'!E26,'03.08 Spear Motors-Kyambogo'!E26,'04.08 Spear Motors-Kyambogo'!E26)</f>
        <v>12.571428571428571</v>
      </c>
      <c r="F26" s="49">
        <f>AVERAGE('29.07 Spear Motors-Kyambogo'!F26,'30.07 Spear Motors-Kyambogo'!F26,'31.07 Spear Motors-Kyambogo'!F26,'02.08 Spear Motors-Kyambogo'!F26,'01.08 Spear Motors-Kyambogo'!F26,'03.08 Spear Motors-Kyambogo'!F26,'04.08 Spear Motors-Kyambogo'!F26)</f>
        <v>78.714285714285708</v>
      </c>
      <c r="G26" s="49">
        <f>AVERAGE('29.07 Spear Motors-Kyambogo'!G26,'30.07 Spear Motors-Kyambogo'!G26,'31.07 Spear Motors-Kyambogo'!G26,'02.08 Spear Motors-Kyambogo'!G26,'01.08 Spear Motors-Kyambogo'!G26,'03.08 Spear Motors-Kyambogo'!G26,'04.08 Spear Motors-Kyambogo'!G26)</f>
        <v>2.7142857142857144</v>
      </c>
      <c r="H26" s="49">
        <f>AVERAGE('29.07 Spear Motors-Kyambogo'!H26,'30.07 Spear Motors-Kyambogo'!H26,'31.07 Spear Motors-Kyambogo'!H26,'02.08 Spear Motors-Kyambogo'!H26,'01.08 Spear Motors-Kyambogo'!H26,'03.08 Spear Motors-Kyambogo'!H26,'04.08 Spear Motors-Kyambogo'!H26)</f>
        <v>0.42857142857142855</v>
      </c>
      <c r="I26" s="49">
        <f>AVERAGE('29.07 Spear Motors-Kyambogo'!I26,'30.07 Spear Motors-Kyambogo'!I26,'31.07 Spear Motors-Kyambogo'!I26,'02.08 Spear Motors-Kyambogo'!I26,'01.08 Spear Motors-Kyambogo'!I26,'03.08 Spear Motors-Kyambogo'!I26,'04.08 Spear Motors-Kyambogo'!I26)</f>
        <v>6.8571428571428568</v>
      </c>
      <c r="J26" s="49">
        <f>AVERAGE('29.07 Spear Motors-Kyambogo'!J26,'30.07 Spear Motors-Kyambogo'!J26,'31.07 Spear Motors-Kyambogo'!J26,'02.08 Spear Motors-Kyambogo'!J26,'01.08 Spear Motors-Kyambogo'!J26,'03.08 Spear Motors-Kyambogo'!J26,'04.08 Spear Motors-Kyambogo'!J26)</f>
        <v>5</v>
      </c>
      <c r="K26" s="49">
        <f>AVERAGE('29.07 Spear Motors-Kyambogo'!K26,'30.07 Spear Motors-Kyambogo'!K26,'31.07 Spear Motors-Kyambogo'!K26,'02.08 Spear Motors-Kyambogo'!K26,'01.08 Spear Motors-Kyambogo'!K26,'03.08 Spear Motors-Kyambogo'!K26,'04.08 Spear Motors-Kyambogo'!K26)</f>
        <v>2</v>
      </c>
      <c r="L26" s="49">
        <f>AVERAGE('29.07 Spear Motors-Kyambogo'!L26,'30.07 Spear Motors-Kyambogo'!L26,'31.07 Spear Motors-Kyambogo'!L26,'02.08 Spear Motors-Kyambogo'!L26,'01.08 Spear Motors-Kyambogo'!L26,'03.08 Spear Motors-Kyambogo'!L26,'04.08 Spear Motors-Kyambogo'!L26)</f>
        <v>4.8571428571428568</v>
      </c>
      <c r="M26" s="49">
        <f>AVERAGE('29.07 Spear Motors-Kyambogo'!M26,'30.07 Spear Motors-Kyambogo'!M26,'31.07 Spear Motors-Kyambogo'!M26,'02.08 Spear Motors-Kyambogo'!M26,'01.08 Spear Motors-Kyambogo'!M26,'03.08 Spear Motors-Kyambogo'!M26,'04.08 Spear Motors-Kyambogo'!M26)</f>
        <v>297.57142857142856</v>
      </c>
      <c r="N26" s="49">
        <f>AVERAGE('29.07 Spear Motors-Kyambogo'!N26,'30.07 Spear Motors-Kyambogo'!N26,'31.07 Spear Motors-Kyambogo'!N26,'02.08 Spear Motors-Kyambogo'!N26,'01.08 Spear Motors-Kyambogo'!N26,'03.08 Spear Motors-Kyambogo'!N26,'04.08 Spear Motors-Kyambogo'!N26)</f>
        <v>0</v>
      </c>
      <c r="O26" s="15">
        <f t="shared" si="0"/>
        <v>188.28571428571428</v>
      </c>
      <c r="P26" s="15">
        <f t="shared" si="1"/>
        <v>485.85714285714283</v>
      </c>
      <c r="R26" s="1" t="s">
        <v>150</v>
      </c>
      <c r="S26" s="34">
        <f>SUM(C74:C77)</f>
        <v>142.5</v>
      </c>
      <c r="T26" s="34">
        <f t="shared" ref="T26:AF26" si="18">SUM(D74:D77)</f>
        <v>30</v>
      </c>
      <c r="U26" s="34">
        <f t="shared" si="18"/>
        <v>22.5</v>
      </c>
      <c r="V26" s="34">
        <f t="shared" si="18"/>
        <v>79.5</v>
      </c>
      <c r="W26" s="34">
        <f t="shared" si="18"/>
        <v>4</v>
      </c>
      <c r="X26" s="34">
        <f t="shared" si="18"/>
        <v>2</v>
      </c>
      <c r="Y26" s="34">
        <f t="shared" si="18"/>
        <v>6</v>
      </c>
      <c r="Z26" s="34">
        <f t="shared" si="18"/>
        <v>6.5</v>
      </c>
      <c r="AA26" s="34">
        <f t="shared" si="18"/>
        <v>3</v>
      </c>
      <c r="AB26" s="34">
        <f t="shared" si="18"/>
        <v>5</v>
      </c>
      <c r="AC26" s="34">
        <f t="shared" si="18"/>
        <v>428</v>
      </c>
      <c r="AD26" s="34">
        <f t="shared" si="18"/>
        <v>0</v>
      </c>
      <c r="AE26" s="31">
        <f t="shared" si="18"/>
        <v>301</v>
      </c>
      <c r="AF26" s="31">
        <f t="shared" si="18"/>
        <v>729</v>
      </c>
    </row>
    <row r="27" spans="2:32" ht="23.1" customHeight="1" x14ac:dyDescent="0.25">
      <c r="B27" s="23" t="s">
        <v>54</v>
      </c>
      <c r="C27" s="49">
        <f>AVERAGE('29.07 Spear Motors-Kyambogo'!C27,'30.07 Spear Motors-Kyambogo'!C27,'31.07 Spear Motors-Kyambogo'!C27,'02.08 Spear Motors-Kyambogo'!C27,'01.08 Spear Motors-Kyambogo'!C27,'03.08 Spear Motors-Kyambogo'!C27,'04.08 Spear Motors-Kyambogo'!C27)</f>
        <v>48.142857142857146</v>
      </c>
      <c r="D27" s="49">
        <f>AVERAGE('29.07 Spear Motors-Kyambogo'!D27,'30.07 Spear Motors-Kyambogo'!D27,'31.07 Spear Motors-Kyambogo'!D27,'02.08 Spear Motors-Kyambogo'!D27,'01.08 Spear Motors-Kyambogo'!D27,'03.08 Spear Motors-Kyambogo'!D27,'04.08 Spear Motors-Kyambogo'!D27)</f>
        <v>16.857142857142858</v>
      </c>
      <c r="E27" s="49">
        <f>AVERAGE('29.07 Spear Motors-Kyambogo'!E27,'30.07 Spear Motors-Kyambogo'!E27,'31.07 Spear Motors-Kyambogo'!E27,'02.08 Spear Motors-Kyambogo'!E27,'01.08 Spear Motors-Kyambogo'!E27,'03.08 Spear Motors-Kyambogo'!E27,'04.08 Spear Motors-Kyambogo'!E27)</f>
        <v>11.142857142857142</v>
      </c>
      <c r="F27" s="49">
        <f>AVERAGE('29.07 Spear Motors-Kyambogo'!F27,'30.07 Spear Motors-Kyambogo'!F27,'31.07 Spear Motors-Kyambogo'!F27,'02.08 Spear Motors-Kyambogo'!F27,'01.08 Spear Motors-Kyambogo'!F27,'03.08 Spear Motors-Kyambogo'!F27,'04.08 Spear Motors-Kyambogo'!F27)</f>
        <v>71.428571428571431</v>
      </c>
      <c r="G27" s="49">
        <f>AVERAGE('29.07 Spear Motors-Kyambogo'!G27,'30.07 Spear Motors-Kyambogo'!G27,'31.07 Spear Motors-Kyambogo'!G27,'02.08 Spear Motors-Kyambogo'!G27,'01.08 Spear Motors-Kyambogo'!G27,'03.08 Spear Motors-Kyambogo'!G27,'04.08 Spear Motors-Kyambogo'!G27)</f>
        <v>1.2857142857142858</v>
      </c>
      <c r="H27" s="49">
        <f>AVERAGE('29.07 Spear Motors-Kyambogo'!H27,'30.07 Spear Motors-Kyambogo'!H27,'31.07 Spear Motors-Kyambogo'!H27,'02.08 Spear Motors-Kyambogo'!H27,'01.08 Spear Motors-Kyambogo'!H27,'03.08 Spear Motors-Kyambogo'!H27,'04.08 Spear Motors-Kyambogo'!H27)</f>
        <v>0.7142857142857143</v>
      </c>
      <c r="I27" s="49">
        <f>AVERAGE('29.07 Spear Motors-Kyambogo'!I27,'30.07 Spear Motors-Kyambogo'!I27,'31.07 Spear Motors-Kyambogo'!I27,'02.08 Spear Motors-Kyambogo'!I27,'01.08 Spear Motors-Kyambogo'!I27,'03.08 Spear Motors-Kyambogo'!I27,'04.08 Spear Motors-Kyambogo'!I27)</f>
        <v>6.4285714285714288</v>
      </c>
      <c r="J27" s="49">
        <f>AVERAGE('29.07 Spear Motors-Kyambogo'!J27,'30.07 Spear Motors-Kyambogo'!J27,'31.07 Spear Motors-Kyambogo'!J27,'02.08 Spear Motors-Kyambogo'!J27,'01.08 Spear Motors-Kyambogo'!J27,'03.08 Spear Motors-Kyambogo'!J27,'04.08 Spear Motors-Kyambogo'!J27)</f>
        <v>4.8571428571428568</v>
      </c>
      <c r="K27" s="49">
        <f>AVERAGE('29.07 Spear Motors-Kyambogo'!K27,'30.07 Spear Motors-Kyambogo'!K27,'31.07 Spear Motors-Kyambogo'!K27,'02.08 Spear Motors-Kyambogo'!K27,'01.08 Spear Motors-Kyambogo'!K27,'03.08 Spear Motors-Kyambogo'!K27,'04.08 Spear Motors-Kyambogo'!K27)</f>
        <v>1.1428571428571428</v>
      </c>
      <c r="L27" s="49">
        <f>AVERAGE('29.07 Spear Motors-Kyambogo'!L27,'30.07 Spear Motors-Kyambogo'!L27,'31.07 Spear Motors-Kyambogo'!L27,'02.08 Spear Motors-Kyambogo'!L27,'01.08 Spear Motors-Kyambogo'!L27,'03.08 Spear Motors-Kyambogo'!L27,'04.08 Spear Motors-Kyambogo'!L27)</f>
        <v>4.8571428571428568</v>
      </c>
      <c r="M27" s="49">
        <f>AVERAGE('29.07 Spear Motors-Kyambogo'!M27,'30.07 Spear Motors-Kyambogo'!M27,'31.07 Spear Motors-Kyambogo'!M27,'02.08 Spear Motors-Kyambogo'!M27,'01.08 Spear Motors-Kyambogo'!M27,'03.08 Spear Motors-Kyambogo'!M27,'04.08 Spear Motors-Kyambogo'!M27)</f>
        <v>283.85714285714283</v>
      </c>
      <c r="N27" s="49">
        <f>AVERAGE('29.07 Spear Motors-Kyambogo'!N27,'30.07 Spear Motors-Kyambogo'!N27,'31.07 Spear Motors-Kyambogo'!N27,'02.08 Spear Motors-Kyambogo'!N27,'01.08 Spear Motors-Kyambogo'!N27,'03.08 Spear Motors-Kyambogo'!N27,'04.08 Spear Motors-Kyambogo'!N27)</f>
        <v>0</v>
      </c>
      <c r="O27" s="15">
        <f t="shared" si="0"/>
        <v>166.85714285714283</v>
      </c>
      <c r="P27" s="15">
        <f t="shared" si="1"/>
        <v>450.71428571428567</v>
      </c>
      <c r="R27" s="1" t="s">
        <v>151</v>
      </c>
      <c r="S27" s="34">
        <f>SUM(C78:C81)</f>
        <v>124</v>
      </c>
      <c r="T27" s="34">
        <f t="shared" ref="T27:AF27" si="19">SUM(D78:D81)</f>
        <v>23</v>
      </c>
      <c r="U27" s="34">
        <f t="shared" si="19"/>
        <v>9</v>
      </c>
      <c r="V27" s="34">
        <f t="shared" si="19"/>
        <v>45</v>
      </c>
      <c r="W27" s="34">
        <f t="shared" si="19"/>
        <v>1.5</v>
      </c>
      <c r="X27" s="34">
        <f t="shared" si="19"/>
        <v>1</v>
      </c>
      <c r="Y27" s="34">
        <f t="shared" si="19"/>
        <v>8.5</v>
      </c>
      <c r="Z27" s="34">
        <f t="shared" si="19"/>
        <v>5</v>
      </c>
      <c r="AA27" s="34">
        <f t="shared" si="19"/>
        <v>5</v>
      </c>
      <c r="AB27" s="34">
        <f t="shared" si="19"/>
        <v>8</v>
      </c>
      <c r="AC27" s="34">
        <f t="shared" si="19"/>
        <v>200.5</v>
      </c>
      <c r="AD27" s="34">
        <f t="shared" si="19"/>
        <v>0</v>
      </c>
      <c r="AE27" s="31">
        <f t="shared" si="19"/>
        <v>230</v>
      </c>
      <c r="AF27" s="31">
        <f t="shared" si="19"/>
        <v>430.5</v>
      </c>
    </row>
    <row r="28" spans="2:32" ht="23.1" customHeight="1" x14ac:dyDescent="0.25">
      <c r="B28" s="23" t="s">
        <v>55</v>
      </c>
      <c r="C28" s="49">
        <f>AVERAGE('29.07 Spear Motors-Kyambogo'!C28,'30.07 Spear Motors-Kyambogo'!C28,'31.07 Spear Motors-Kyambogo'!C28,'02.08 Spear Motors-Kyambogo'!C28,'01.08 Spear Motors-Kyambogo'!C28,'03.08 Spear Motors-Kyambogo'!C28,'04.08 Spear Motors-Kyambogo'!C28)</f>
        <v>53.428571428571431</v>
      </c>
      <c r="D28" s="49">
        <f>AVERAGE('29.07 Spear Motors-Kyambogo'!D28,'30.07 Spear Motors-Kyambogo'!D28,'31.07 Spear Motors-Kyambogo'!D28,'02.08 Spear Motors-Kyambogo'!D28,'01.08 Spear Motors-Kyambogo'!D28,'03.08 Spear Motors-Kyambogo'!D28,'04.08 Spear Motors-Kyambogo'!D28)</f>
        <v>16.285714285714285</v>
      </c>
      <c r="E28" s="49">
        <f>AVERAGE('29.07 Spear Motors-Kyambogo'!E28,'30.07 Spear Motors-Kyambogo'!E28,'31.07 Spear Motors-Kyambogo'!E28,'02.08 Spear Motors-Kyambogo'!E28,'01.08 Spear Motors-Kyambogo'!E28,'03.08 Spear Motors-Kyambogo'!E28,'04.08 Spear Motors-Kyambogo'!E28)</f>
        <v>11.285714285714286</v>
      </c>
      <c r="F28" s="49">
        <f>AVERAGE('29.07 Spear Motors-Kyambogo'!F28,'30.07 Spear Motors-Kyambogo'!F28,'31.07 Spear Motors-Kyambogo'!F28,'02.08 Spear Motors-Kyambogo'!F28,'01.08 Spear Motors-Kyambogo'!F28,'03.08 Spear Motors-Kyambogo'!F28,'04.08 Spear Motors-Kyambogo'!F28)</f>
        <v>71.142857142857139</v>
      </c>
      <c r="G28" s="49">
        <f>AVERAGE('29.07 Spear Motors-Kyambogo'!G28,'30.07 Spear Motors-Kyambogo'!G28,'31.07 Spear Motors-Kyambogo'!G28,'02.08 Spear Motors-Kyambogo'!G28,'01.08 Spear Motors-Kyambogo'!G28,'03.08 Spear Motors-Kyambogo'!G28,'04.08 Spear Motors-Kyambogo'!G28)</f>
        <v>1</v>
      </c>
      <c r="H28" s="49">
        <f>AVERAGE('29.07 Spear Motors-Kyambogo'!H28,'30.07 Spear Motors-Kyambogo'!H28,'31.07 Spear Motors-Kyambogo'!H28,'02.08 Spear Motors-Kyambogo'!H28,'01.08 Spear Motors-Kyambogo'!H28,'03.08 Spear Motors-Kyambogo'!H28,'04.08 Spear Motors-Kyambogo'!H28)</f>
        <v>0.7142857142857143</v>
      </c>
      <c r="I28" s="49">
        <f>AVERAGE('29.07 Spear Motors-Kyambogo'!I28,'30.07 Spear Motors-Kyambogo'!I28,'31.07 Spear Motors-Kyambogo'!I28,'02.08 Spear Motors-Kyambogo'!I28,'01.08 Spear Motors-Kyambogo'!I28,'03.08 Spear Motors-Kyambogo'!I28,'04.08 Spear Motors-Kyambogo'!I28)</f>
        <v>7.4285714285714288</v>
      </c>
      <c r="J28" s="49">
        <f>AVERAGE('29.07 Spear Motors-Kyambogo'!J28,'30.07 Spear Motors-Kyambogo'!J28,'31.07 Spear Motors-Kyambogo'!J28,'02.08 Spear Motors-Kyambogo'!J28,'01.08 Spear Motors-Kyambogo'!J28,'03.08 Spear Motors-Kyambogo'!J28,'04.08 Spear Motors-Kyambogo'!J28)</f>
        <v>5.7142857142857144</v>
      </c>
      <c r="K28" s="49">
        <f>AVERAGE('29.07 Spear Motors-Kyambogo'!K28,'30.07 Spear Motors-Kyambogo'!K28,'31.07 Spear Motors-Kyambogo'!K28,'02.08 Spear Motors-Kyambogo'!K28,'01.08 Spear Motors-Kyambogo'!K28,'03.08 Spear Motors-Kyambogo'!K28,'04.08 Spear Motors-Kyambogo'!K28)</f>
        <v>1</v>
      </c>
      <c r="L28" s="49">
        <f>AVERAGE('29.07 Spear Motors-Kyambogo'!L28,'30.07 Spear Motors-Kyambogo'!L28,'31.07 Spear Motors-Kyambogo'!L28,'02.08 Spear Motors-Kyambogo'!L28,'01.08 Spear Motors-Kyambogo'!L28,'03.08 Spear Motors-Kyambogo'!L28,'04.08 Spear Motors-Kyambogo'!L28)</f>
        <v>3.8571428571428572</v>
      </c>
      <c r="M28" s="49">
        <f>AVERAGE('29.07 Spear Motors-Kyambogo'!M28,'30.07 Spear Motors-Kyambogo'!M28,'31.07 Spear Motors-Kyambogo'!M28,'02.08 Spear Motors-Kyambogo'!M28,'01.08 Spear Motors-Kyambogo'!M28,'03.08 Spear Motors-Kyambogo'!M28,'04.08 Spear Motors-Kyambogo'!M28)</f>
        <v>274.14285714285717</v>
      </c>
      <c r="N28" s="49">
        <f>AVERAGE('29.07 Spear Motors-Kyambogo'!N28,'30.07 Spear Motors-Kyambogo'!N28,'31.07 Spear Motors-Kyambogo'!N28,'02.08 Spear Motors-Kyambogo'!N28,'01.08 Spear Motors-Kyambogo'!N28,'03.08 Spear Motors-Kyambogo'!N28,'04.08 Spear Motors-Kyambogo'!N28)</f>
        <v>0</v>
      </c>
      <c r="O28" s="15">
        <f t="shared" si="0"/>
        <v>171.85714285714289</v>
      </c>
      <c r="P28" s="15">
        <f t="shared" si="1"/>
        <v>446.00000000000006</v>
      </c>
      <c r="R28" s="1" t="s">
        <v>152</v>
      </c>
      <c r="S28" s="34">
        <f>SUM(C82:C85)</f>
        <v>78.5</v>
      </c>
      <c r="T28" s="34">
        <f t="shared" ref="T28:AF28" si="20">SUM(D82:D85)</f>
        <v>35</v>
      </c>
      <c r="U28" s="34">
        <f t="shared" si="20"/>
        <v>9.5</v>
      </c>
      <c r="V28" s="34">
        <f t="shared" si="20"/>
        <v>28</v>
      </c>
      <c r="W28" s="34">
        <f t="shared" si="20"/>
        <v>0.5</v>
      </c>
      <c r="X28" s="34">
        <f t="shared" si="20"/>
        <v>4</v>
      </c>
      <c r="Y28" s="34">
        <f t="shared" si="20"/>
        <v>8.5</v>
      </c>
      <c r="Z28" s="34">
        <f t="shared" si="20"/>
        <v>10</v>
      </c>
      <c r="AA28" s="34">
        <f t="shared" si="20"/>
        <v>4</v>
      </c>
      <c r="AB28" s="34">
        <f t="shared" si="20"/>
        <v>34.5</v>
      </c>
      <c r="AC28" s="34">
        <f t="shared" si="20"/>
        <v>76</v>
      </c>
      <c r="AD28" s="34">
        <f t="shared" si="20"/>
        <v>0</v>
      </c>
      <c r="AE28" s="31">
        <f t="shared" si="20"/>
        <v>212.5</v>
      </c>
      <c r="AF28" s="31">
        <f t="shared" si="20"/>
        <v>288.5</v>
      </c>
    </row>
    <row r="29" spans="2:32" ht="23.1" customHeight="1" x14ac:dyDescent="0.25">
      <c r="B29" s="23" t="s">
        <v>56</v>
      </c>
      <c r="C29" s="49">
        <f>AVERAGE('29.07 Spear Motors-Kyambogo'!C29,'30.07 Spear Motors-Kyambogo'!C29,'31.07 Spear Motors-Kyambogo'!C29,'02.08 Spear Motors-Kyambogo'!C29,'01.08 Spear Motors-Kyambogo'!C29,'03.08 Spear Motors-Kyambogo'!C29,'04.08 Spear Motors-Kyambogo'!C29)</f>
        <v>55.857142857142854</v>
      </c>
      <c r="D29" s="49">
        <f>AVERAGE('29.07 Spear Motors-Kyambogo'!D29,'30.07 Spear Motors-Kyambogo'!D29,'31.07 Spear Motors-Kyambogo'!D29,'02.08 Spear Motors-Kyambogo'!D29,'01.08 Spear Motors-Kyambogo'!D29,'03.08 Spear Motors-Kyambogo'!D29,'04.08 Spear Motors-Kyambogo'!D29)</f>
        <v>22.142857142857142</v>
      </c>
      <c r="E29" s="49">
        <f>AVERAGE('29.07 Spear Motors-Kyambogo'!E29,'30.07 Spear Motors-Kyambogo'!E29,'31.07 Spear Motors-Kyambogo'!E29,'02.08 Spear Motors-Kyambogo'!E29,'01.08 Spear Motors-Kyambogo'!E29,'03.08 Spear Motors-Kyambogo'!E29,'04.08 Spear Motors-Kyambogo'!E29)</f>
        <v>12.857142857142858</v>
      </c>
      <c r="F29" s="49">
        <f>AVERAGE('29.07 Spear Motors-Kyambogo'!F29,'30.07 Spear Motors-Kyambogo'!F29,'31.07 Spear Motors-Kyambogo'!F29,'02.08 Spear Motors-Kyambogo'!F29,'01.08 Spear Motors-Kyambogo'!F29,'03.08 Spear Motors-Kyambogo'!F29,'04.08 Spear Motors-Kyambogo'!F29)</f>
        <v>69.571428571428569</v>
      </c>
      <c r="G29" s="49">
        <f>AVERAGE('29.07 Spear Motors-Kyambogo'!G29,'30.07 Spear Motors-Kyambogo'!G29,'31.07 Spear Motors-Kyambogo'!G29,'02.08 Spear Motors-Kyambogo'!G29,'01.08 Spear Motors-Kyambogo'!G29,'03.08 Spear Motors-Kyambogo'!G29,'04.08 Spear Motors-Kyambogo'!G29)</f>
        <v>1.7142857142857142</v>
      </c>
      <c r="H29" s="49">
        <f>AVERAGE('29.07 Spear Motors-Kyambogo'!H29,'30.07 Spear Motors-Kyambogo'!H29,'31.07 Spear Motors-Kyambogo'!H29,'02.08 Spear Motors-Kyambogo'!H29,'01.08 Spear Motors-Kyambogo'!H29,'03.08 Spear Motors-Kyambogo'!H29,'04.08 Spear Motors-Kyambogo'!H29)</f>
        <v>0.5714285714285714</v>
      </c>
      <c r="I29" s="49">
        <f>AVERAGE('29.07 Spear Motors-Kyambogo'!I29,'30.07 Spear Motors-Kyambogo'!I29,'31.07 Spear Motors-Kyambogo'!I29,'02.08 Spear Motors-Kyambogo'!I29,'01.08 Spear Motors-Kyambogo'!I29,'03.08 Spear Motors-Kyambogo'!I29,'04.08 Spear Motors-Kyambogo'!I29)</f>
        <v>9.5714285714285712</v>
      </c>
      <c r="J29" s="49">
        <f>AVERAGE('29.07 Spear Motors-Kyambogo'!J29,'30.07 Spear Motors-Kyambogo'!J29,'31.07 Spear Motors-Kyambogo'!J29,'02.08 Spear Motors-Kyambogo'!J29,'01.08 Spear Motors-Kyambogo'!J29,'03.08 Spear Motors-Kyambogo'!J29,'04.08 Spear Motors-Kyambogo'!J29)</f>
        <v>6</v>
      </c>
      <c r="K29" s="49">
        <f>AVERAGE('29.07 Spear Motors-Kyambogo'!K29,'30.07 Spear Motors-Kyambogo'!K29,'31.07 Spear Motors-Kyambogo'!K29,'02.08 Spear Motors-Kyambogo'!K29,'01.08 Spear Motors-Kyambogo'!K29,'03.08 Spear Motors-Kyambogo'!K29,'04.08 Spear Motors-Kyambogo'!K29)</f>
        <v>2</v>
      </c>
      <c r="L29" s="49">
        <f>AVERAGE('29.07 Spear Motors-Kyambogo'!L29,'30.07 Spear Motors-Kyambogo'!L29,'31.07 Spear Motors-Kyambogo'!L29,'02.08 Spear Motors-Kyambogo'!L29,'01.08 Spear Motors-Kyambogo'!L29,'03.08 Spear Motors-Kyambogo'!L29,'04.08 Spear Motors-Kyambogo'!L29)</f>
        <v>4.1428571428571432</v>
      </c>
      <c r="M29" s="49">
        <f>AVERAGE('29.07 Spear Motors-Kyambogo'!M29,'30.07 Spear Motors-Kyambogo'!M29,'31.07 Spear Motors-Kyambogo'!M29,'02.08 Spear Motors-Kyambogo'!M29,'01.08 Spear Motors-Kyambogo'!M29,'03.08 Spear Motors-Kyambogo'!M29,'04.08 Spear Motors-Kyambogo'!M29)</f>
        <v>294.71428571428572</v>
      </c>
      <c r="N29" s="49">
        <f>AVERAGE('29.07 Spear Motors-Kyambogo'!N29,'30.07 Spear Motors-Kyambogo'!N29,'31.07 Spear Motors-Kyambogo'!N29,'02.08 Spear Motors-Kyambogo'!N29,'01.08 Spear Motors-Kyambogo'!N29,'03.08 Spear Motors-Kyambogo'!N29,'04.08 Spear Motors-Kyambogo'!N29)</f>
        <v>0</v>
      </c>
      <c r="O29" s="15">
        <f t="shared" si="0"/>
        <v>184.42857142857147</v>
      </c>
      <c r="P29" s="15">
        <f t="shared" si="1"/>
        <v>479.14285714285722</v>
      </c>
      <c r="R29" s="1" t="s">
        <v>153</v>
      </c>
      <c r="S29" s="34">
        <f>SUM(C86:C89)</f>
        <v>75</v>
      </c>
      <c r="T29" s="34">
        <f t="shared" ref="T29:AF29" si="21">SUM(D86:D89)</f>
        <v>7.5</v>
      </c>
      <c r="U29" s="34">
        <f t="shared" si="21"/>
        <v>9</v>
      </c>
      <c r="V29" s="34">
        <f t="shared" si="21"/>
        <v>19.5</v>
      </c>
      <c r="W29" s="34">
        <f t="shared" si="21"/>
        <v>0.5</v>
      </c>
      <c r="X29" s="34">
        <f t="shared" si="21"/>
        <v>3</v>
      </c>
      <c r="Y29" s="34">
        <f t="shared" si="21"/>
        <v>10.5</v>
      </c>
      <c r="Z29" s="34">
        <f t="shared" si="21"/>
        <v>9.5</v>
      </c>
      <c r="AA29" s="34">
        <f t="shared" si="21"/>
        <v>4</v>
      </c>
      <c r="AB29" s="34">
        <f t="shared" si="21"/>
        <v>6</v>
      </c>
      <c r="AC29" s="34">
        <f t="shared" si="21"/>
        <v>65.5</v>
      </c>
      <c r="AD29" s="34">
        <f t="shared" si="21"/>
        <v>0</v>
      </c>
      <c r="AE29" s="31">
        <f t="shared" si="21"/>
        <v>144.5</v>
      </c>
      <c r="AF29" s="31">
        <f t="shared" si="21"/>
        <v>210</v>
      </c>
    </row>
    <row r="30" spans="2:32" ht="23.1" customHeight="1" x14ac:dyDescent="0.25">
      <c r="B30" s="23" t="s">
        <v>57</v>
      </c>
      <c r="C30" s="49">
        <f>AVERAGE('29.07 Spear Motors-Kyambogo'!C30,'30.07 Spear Motors-Kyambogo'!C30,'31.07 Spear Motors-Kyambogo'!C30,'02.08 Spear Motors-Kyambogo'!C30,'01.08 Spear Motors-Kyambogo'!C30,'03.08 Spear Motors-Kyambogo'!C30,'04.08 Spear Motors-Kyambogo'!C30)</f>
        <v>57.714285714285715</v>
      </c>
      <c r="D30" s="49">
        <f>AVERAGE('29.07 Spear Motors-Kyambogo'!D30,'30.07 Spear Motors-Kyambogo'!D30,'31.07 Spear Motors-Kyambogo'!D30,'02.08 Spear Motors-Kyambogo'!D30,'01.08 Spear Motors-Kyambogo'!D30,'03.08 Spear Motors-Kyambogo'!D30,'04.08 Spear Motors-Kyambogo'!D30)</f>
        <v>20.571428571428573</v>
      </c>
      <c r="E30" s="49">
        <f>AVERAGE('29.07 Spear Motors-Kyambogo'!E30,'30.07 Spear Motors-Kyambogo'!E30,'31.07 Spear Motors-Kyambogo'!E30,'02.08 Spear Motors-Kyambogo'!E30,'01.08 Spear Motors-Kyambogo'!E30,'03.08 Spear Motors-Kyambogo'!E30,'04.08 Spear Motors-Kyambogo'!E30)</f>
        <v>10</v>
      </c>
      <c r="F30" s="49">
        <f>AVERAGE('29.07 Spear Motors-Kyambogo'!F30,'30.07 Spear Motors-Kyambogo'!F30,'31.07 Spear Motors-Kyambogo'!F30,'02.08 Spear Motors-Kyambogo'!F30,'01.08 Spear Motors-Kyambogo'!F30,'03.08 Spear Motors-Kyambogo'!F30,'04.08 Spear Motors-Kyambogo'!F30)</f>
        <v>73.714285714285708</v>
      </c>
      <c r="G30" s="49">
        <f>AVERAGE('29.07 Spear Motors-Kyambogo'!G30,'30.07 Spear Motors-Kyambogo'!G30,'31.07 Spear Motors-Kyambogo'!G30,'02.08 Spear Motors-Kyambogo'!G30,'01.08 Spear Motors-Kyambogo'!G30,'03.08 Spear Motors-Kyambogo'!G30,'04.08 Spear Motors-Kyambogo'!G30)</f>
        <v>2.1428571428571428</v>
      </c>
      <c r="H30" s="49">
        <f>AVERAGE('29.07 Spear Motors-Kyambogo'!H30,'30.07 Spear Motors-Kyambogo'!H30,'31.07 Spear Motors-Kyambogo'!H30,'02.08 Spear Motors-Kyambogo'!H30,'01.08 Spear Motors-Kyambogo'!H30,'03.08 Spear Motors-Kyambogo'!H30,'04.08 Spear Motors-Kyambogo'!H30)</f>
        <v>0.5714285714285714</v>
      </c>
      <c r="I30" s="49">
        <f>AVERAGE('29.07 Spear Motors-Kyambogo'!I30,'30.07 Spear Motors-Kyambogo'!I30,'31.07 Spear Motors-Kyambogo'!I30,'02.08 Spear Motors-Kyambogo'!I30,'01.08 Spear Motors-Kyambogo'!I30,'03.08 Spear Motors-Kyambogo'!I30,'04.08 Spear Motors-Kyambogo'!I30)</f>
        <v>5.5714285714285712</v>
      </c>
      <c r="J30" s="49">
        <f>AVERAGE('29.07 Spear Motors-Kyambogo'!J30,'30.07 Spear Motors-Kyambogo'!J30,'31.07 Spear Motors-Kyambogo'!J30,'02.08 Spear Motors-Kyambogo'!J30,'01.08 Spear Motors-Kyambogo'!J30,'03.08 Spear Motors-Kyambogo'!J30,'04.08 Spear Motors-Kyambogo'!J30)</f>
        <v>3.8571428571428572</v>
      </c>
      <c r="K30" s="49">
        <f>AVERAGE('29.07 Spear Motors-Kyambogo'!K30,'30.07 Spear Motors-Kyambogo'!K30,'31.07 Spear Motors-Kyambogo'!K30,'02.08 Spear Motors-Kyambogo'!K30,'01.08 Spear Motors-Kyambogo'!K30,'03.08 Spear Motors-Kyambogo'!K30,'04.08 Spear Motors-Kyambogo'!K30)</f>
        <v>2.5714285714285716</v>
      </c>
      <c r="L30" s="49">
        <f>AVERAGE('29.07 Spear Motors-Kyambogo'!L30,'30.07 Spear Motors-Kyambogo'!L30,'31.07 Spear Motors-Kyambogo'!L30,'02.08 Spear Motors-Kyambogo'!L30,'01.08 Spear Motors-Kyambogo'!L30,'03.08 Spear Motors-Kyambogo'!L30,'04.08 Spear Motors-Kyambogo'!L30)</f>
        <v>5.4285714285714288</v>
      </c>
      <c r="M30" s="49">
        <f>AVERAGE('29.07 Spear Motors-Kyambogo'!M30,'30.07 Spear Motors-Kyambogo'!M30,'31.07 Spear Motors-Kyambogo'!M30,'02.08 Spear Motors-Kyambogo'!M30,'01.08 Spear Motors-Kyambogo'!M30,'03.08 Spear Motors-Kyambogo'!M30,'04.08 Spear Motors-Kyambogo'!M30)</f>
        <v>298</v>
      </c>
      <c r="N30" s="49">
        <f>AVERAGE('29.07 Spear Motors-Kyambogo'!N30,'30.07 Spear Motors-Kyambogo'!N30,'31.07 Spear Motors-Kyambogo'!N30,'02.08 Spear Motors-Kyambogo'!N30,'01.08 Spear Motors-Kyambogo'!N30,'03.08 Spear Motors-Kyambogo'!N30,'04.08 Spear Motors-Kyambogo'!N30)</f>
        <v>0</v>
      </c>
      <c r="O30" s="15">
        <f t="shared" si="0"/>
        <v>182.14285714285717</v>
      </c>
      <c r="P30" s="15">
        <f t="shared" si="1"/>
        <v>480.14285714285717</v>
      </c>
      <c r="R30" s="1" t="s">
        <v>154</v>
      </c>
      <c r="S30" s="34">
        <f>SUM(C90:C93)</f>
        <v>52</v>
      </c>
      <c r="T30" s="34">
        <f t="shared" ref="T30:AF30" si="22">SUM(D90:D93)</f>
        <v>10</v>
      </c>
      <c r="U30" s="34">
        <f t="shared" si="22"/>
        <v>6</v>
      </c>
      <c r="V30" s="34">
        <f t="shared" si="22"/>
        <v>20</v>
      </c>
      <c r="W30" s="34">
        <f t="shared" si="22"/>
        <v>0</v>
      </c>
      <c r="X30" s="34">
        <f t="shared" si="22"/>
        <v>0.5</v>
      </c>
      <c r="Y30" s="34">
        <f t="shared" si="22"/>
        <v>9</v>
      </c>
      <c r="Z30" s="34">
        <f t="shared" si="22"/>
        <v>11</v>
      </c>
      <c r="AA30" s="34">
        <f t="shared" si="22"/>
        <v>5.5</v>
      </c>
      <c r="AB30" s="34">
        <f t="shared" si="22"/>
        <v>3</v>
      </c>
      <c r="AC30" s="34">
        <f t="shared" si="22"/>
        <v>54</v>
      </c>
      <c r="AD30" s="34">
        <f t="shared" si="22"/>
        <v>0</v>
      </c>
      <c r="AE30" s="31">
        <f t="shared" si="22"/>
        <v>117</v>
      </c>
      <c r="AF30" s="31">
        <f t="shared" si="22"/>
        <v>171</v>
      </c>
    </row>
    <row r="31" spans="2:32" ht="23.1" customHeight="1" x14ac:dyDescent="0.25">
      <c r="B31" s="24" t="s">
        <v>58</v>
      </c>
      <c r="C31" s="49">
        <f>AVERAGE('29.07 Spear Motors-Kyambogo'!C31,'30.07 Spear Motors-Kyambogo'!C31,'31.07 Spear Motors-Kyambogo'!C31,'02.08 Spear Motors-Kyambogo'!C31,'01.08 Spear Motors-Kyambogo'!C31,'03.08 Spear Motors-Kyambogo'!C31,'04.08 Spear Motors-Kyambogo'!C31)</f>
        <v>60.714285714285715</v>
      </c>
      <c r="D31" s="49">
        <f>AVERAGE('29.07 Spear Motors-Kyambogo'!D31,'30.07 Spear Motors-Kyambogo'!D31,'31.07 Spear Motors-Kyambogo'!D31,'02.08 Spear Motors-Kyambogo'!D31,'01.08 Spear Motors-Kyambogo'!D31,'03.08 Spear Motors-Kyambogo'!D31,'04.08 Spear Motors-Kyambogo'!D31)</f>
        <v>22.428571428571427</v>
      </c>
      <c r="E31" s="49">
        <f>AVERAGE('29.07 Spear Motors-Kyambogo'!E31,'30.07 Spear Motors-Kyambogo'!E31,'31.07 Spear Motors-Kyambogo'!E31,'02.08 Spear Motors-Kyambogo'!E31,'01.08 Spear Motors-Kyambogo'!E31,'03.08 Spear Motors-Kyambogo'!E31,'04.08 Spear Motors-Kyambogo'!E31)</f>
        <v>11</v>
      </c>
      <c r="F31" s="49">
        <f>AVERAGE('29.07 Spear Motors-Kyambogo'!F31,'30.07 Spear Motors-Kyambogo'!F31,'31.07 Spear Motors-Kyambogo'!F31,'02.08 Spear Motors-Kyambogo'!F31,'01.08 Spear Motors-Kyambogo'!F31,'03.08 Spear Motors-Kyambogo'!F31,'04.08 Spear Motors-Kyambogo'!F31)</f>
        <v>64.571428571428569</v>
      </c>
      <c r="G31" s="49">
        <f>AVERAGE('29.07 Spear Motors-Kyambogo'!G31,'30.07 Spear Motors-Kyambogo'!G31,'31.07 Spear Motors-Kyambogo'!G31,'02.08 Spear Motors-Kyambogo'!G31,'01.08 Spear Motors-Kyambogo'!G31,'03.08 Spear Motors-Kyambogo'!G31,'04.08 Spear Motors-Kyambogo'!G31)</f>
        <v>0.8571428571428571</v>
      </c>
      <c r="H31" s="49">
        <f>AVERAGE('29.07 Spear Motors-Kyambogo'!H31,'30.07 Spear Motors-Kyambogo'!H31,'31.07 Spear Motors-Kyambogo'!H31,'02.08 Spear Motors-Kyambogo'!H31,'01.08 Spear Motors-Kyambogo'!H31,'03.08 Spear Motors-Kyambogo'!H31,'04.08 Spear Motors-Kyambogo'!H31)</f>
        <v>1</v>
      </c>
      <c r="I31" s="49">
        <f>AVERAGE('29.07 Spear Motors-Kyambogo'!I31,'30.07 Spear Motors-Kyambogo'!I31,'31.07 Spear Motors-Kyambogo'!I31,'02.08 Spear Motors-Kyambogo'!I31,'01.08 Spear Motors-Kyambogo'!I31,'03.08 Spear Motors-Kyambogo'!I31,'04.08 Spear Motors-Kyambogo'!I31)</f>
        <v>7.4285714285714288</v>
      </c>
      <c r="J31" s="49">
        <f>AVERAGE('29.07 Spear Motors-Kyambogo'!J31,'30.07 Spear Motors-Kyambogo'!J31,'31.07 Spear Motors-Kyambogo'!J31,'02.08 Spear Motors-Kyambogo'!J31,'01.08 Spear Motors-Kyambogo'!J31,'03.08 Spear Motors-Kyambogo'!J31,'04.08 Spear Motors-Kyambogo'!J31)</f>
        <v>6</v>
      </c>
      <c r="K31" s="49">
        <f>AVERAGE('29.07 Spear Motors-Kyambogo'!K31,'30.07 Spear Motors-Kyambogo'!K31,'31.07 Spear Motors-Kyambogo'!K31,'02.08 Spear Motors-Kyambogo'!K31,'01.08 Spear Motors-Kyambogo'!K31,'03.08 Spear Motors-Kyambogo'!K31,'04.08 Spear Motors-Kyambogo'!K31)</f>
        <v>1.2857142857142858</v>
      </c>
      <c r="L31" s="49">
        <f>AVERAGE('29.07 Spear Motors-Kyambogo'!L31,'30.07 Spear Motors-Kyambogo'!L31,'31.07 Spear Motors-Kyambogo'!L31,'02.08 Spear Motors-Kyambogo'!L31,'01.08 Spear Motors-Kyambogo'!L31,'03.08 Spear Motors-Kyambogo'!L31,'04.08 Spear Motors-Kyambogo'!L31)</f>
        <v>3.7142857142857144</v>
      </c>
      <c r="M31" s="49">
        <f>AVERAGE('29.07 Spear Motors-Kyambogo'!M31,'30.07 Spear Motors-Kyambogo'!M31,'31.07 Spear Motors-Kyambogo'!M31,'02.08 Spear Motors-Kyambogo'!M31,'01.08 Spear Motors-Kyambogo'!M31,'03.08 Spear Motors-Kyambogo'!M31,'04.08 Spear Motors-Kyambogo'!M31)</f>
        <v>258.57142857142856</v>
      </c>
      <c r="N31" s="49">
        <f>AVERAGE('29.07 Spear Motors-Kyambogo'!N31,'30.07 Spear Motors-Kyambogo'!N31,'31.07 Spear Motors-Kyambogo'!N31,'02.08 Spear Motors-Kyambogo'!N31,'01.08 Spear Motors-Kyambogo'!N31,'03.08 Spear Motors-Kyambogo'!N31,'04.08 Spear Motors-Kyambogo'!N31)</f>
        <v>0</v>
      </c>
      <c r="O31" s="15">
        <f t="shared" si="0"/>
        <v>179</v>
      </c>
      <c r="P31" s="15">
        <f t="shared" si="1"/>
        <v>437.57142857142856</v>
      </c>
      <c r="R31" s="1" t="s">
        <v>155</v>
      </c>
      <c r="S31" s="34">
        <f>SUM(C94:C97)</f>
        <v>38.5</v>
      </c>
      <c r="T31" s="34">
        <f t="shared" ref="T31:AF31" si="23">SUM(D94:D97)</f>
        <v>8</v>
      </c>
      <c r="U31" s="34">
        <f t="shared" si="23"/>
        <v>1.5</v>
      </c>
      <c r="V31" s="34">
        <f t="shared" si="23"/>
        <v>17.5</v>
      </c>
      <c r="W31" s="34">
        <f t="shared" si="23"/>
        <v>2</v>
      </c>
      <c r="X31" s="34">
        <f t="shared" si="23"/>
        <v>0.5</v>
      </c>
      <c r="Y31" s="34">
        <f t="shared" si="23"/>
        <v>10</v>
      </c>
      <c r="Z31" s="34">
        <f t="shared" si="23"/>
        <v>9.5</v>
      </c>
      <c r="AA31" s="34">
        <f t="shared" si="23"/>
        <v>4.5</v>
      </c>
      <c r="AB31" s="34">
        <f t="shared" si="23"/>
        <v>6</v>
      </c>
      <c r="AC31" s="34">
        <f t="shared" si="23"/>
        <v>41.5</v>
      </c>
      <c r="AD31" s="34">
        <f t="shared" si="23"/>
        <v>0</v>
      </c>
      <c r="AE31" s="31">
        <f t="shared" si="23"/>
        <v>98</v>
      </c>
      <c r="AF31" s="31">
        <f t="shared" si="23"/>
        <v>139.5</v>
      </c>
    </row>
    <row r="32" spans="2:32" ht="23.1" customHeight="1" x14ac:dyDescent="0.25">
      <c r="B32" s="24" t="s">
        <v>59</v>
      </c>
      <c r="C32" s="49">
        <f>AVERAGE('29.07 Spear Motors-Kyambogo'!C32,'30.07 Spear Motors-Kyambogo'!C32,'31.07 Spear Motors-Kyambogo'!C32,'02.08 Spear Motors-Kyambogo'!C32,'01.08 Spear Motors-Kyambogo'!C32,'03.08 Spear Motors-Kyambogo'!C32,'04.08 Spear Motors-Kyambogo'!C32)</f>
        <v>60.285714285714285</v>
      </c>
      <c r="D32" s="49">
        <f>AVERAGE('29.07 Spear Motors-Kyambogo'!D32,'30.07 Spear Motors-Kyambogo'!D32,'31.07 Spear Motors-Kyambogo'!D32,'02.08 Spear Motors-Kyambogo'!D32,'01.08 Spear Motors-Kyambogo'!D32,'03.08 Spear Motors-Kyambogo'!D32,'04.08 Spear Motors-Kyambogo'!D32)</f>
        <v>23.142857142857142</v>
      </c>
      <c r="E32" s="49">
        <f>AVERAGE('29.07 Spear Motors-Kyambogo'!E32,'30.07 Spear Motors-Kyambogo'!E32,'31.07 Spear Motors-Kyambogo'!E32,'02.08 Spear Motors-Kyambogo'!E32,'01.08 Spear Motors-Kyambogo'!E32,'03.08 Spear Motors-Kyambogo'!E32,'04.08 Spear Motors-Kyambogo'!E32)</f>
        <v>13.285714285714286</v>
      </c>
      <c r="F32" s="49">
        <f>AVERAGE('29.07 Spear Motors-Kyambogo'!F32,'30.07 Spear Motors-Kyambogo'!F32,'31.07 Spear Motors-Kyambogo'!F32,'02.08 Spear Motors-Kyambogo'!F32,'01.08 Spear Motors-Kyambogo'!F32,'03.08 Spear Motors-Kyambogo'!F32,'04.08 Spear Motors-Kyambogo'!F32)</f>
        <v>56.142857142857146</v>
      </c>
      <c r="G32" s="49">
        <f>AVERAGE('29.07 Spear Motors-Kyambogo'!G32,'30.07 Spear Motors-Kyambogo'!G32,'31.07 Spear Motors-Kyambogo'!G32,'02.08 Spear Motors-Kyambogo'!G32,'01.08 Spear Motors-Kyambogo'!G32,'03.08 Spear Motors-Kyambogo'!G32,'04.08 Spear Motors-Kyambogo'!G32)</f>
        <v>1.8571428571428572</v>
      </c>
      <c r="H32" s="49">
        <f>AVERAGE('29.07 Spear Motors-Kyambogo'!H32,'30.07 Spear Motors-Kyambogo'!H32,'31.07 Spear Motors-Kyambogo'!H32,'02.08 Spear Motors-Kyambogo'!H32,'01.08 Spear Motors-Kyambogo'!H32,'03.08 Spear Motors-Kyambogo'!H32,'04.08 Spear Motors-Kyambogo'!H32)</f>
        <v>0.42857142857142855</v>
      </c>
      <c r="I32" s="49">
        <f>AVERAGE('29.07 Spear Motors-Kyambogo'!I32,'30.07 Spear Motors-Kyambogo'!I32,'31.07 Spear Motors-Kyambogo'!I32,'02.08 Spear Motors-Kyambogo'!I32,'01.08 Spear Motors-Kyambogo'!I32,'03.08 Spear Motors-Kyambogo'!I32,'04.08 Spear Motors-Kyambogo'!I32)</f>
        <v>9.4285714285714288</v>
      </c>
      <c r="J32" s="49">
        <f>AVERAGE('29.07 Spear Motors-Kyambogo'!J32,'30.07 Spear Motors-Kyambogo'!J32,'31.07 Spear Motors-Kyambogo'!J32,'02.08 Spear Motors-Kyambogo'!J32,'01.08 Spear Motors-Kyambogo'!J32,'03.08 Spear Motors-Kyambogo'!J32,'04.08 Spear Motors-Kyambogo'!J32)</f>
        <v>5.4285714285714288</v>
      </c>
      <c r="K32" s="49">
        <f>AVERAGE('29.07 Spear Motors-Kyambogo'!K32,'30.07 Spear Motors-Kyambogo'!K32,'31.07 Spear Motors-Kyambogo'!K32,'02.08 Spear Motors-Kyambogo'!K32,'01.08 Spear Motors-Kyambogo'!K32,'03.08 Spear Motors-Kyambogo'!K32,'04.08 Spear Motors-Kyambogo'!K32)</f>
        <v>2.2857142857142856</v>
      </c>
      <c r="L32" s="49">
        <f>AVERAGE('29.07 Spear Motors-Kyambogo'!L32,'30.07 Spear Motors-Kyambogo'!L32,'31.07 Spear Motors-Kyambogo'!L32,'02.08 Spear Motors-Kyambogo'!L32,'01.08 Spear Motors-Kyambogo'!L32,'03.08 Spear Motors-Kyambogo'!L32,'04.08 Spear Motors-Kyambogo'!L32)</f>
        <v>7</v>
      </c>
      <c r="M32" s="49">
        <f>AVERAGE('29.07 Spear Motors-Kyambogo'!M32,'30.07 Spear Motors-Kyambogo'!M32,'31.07 Spear Motors-Kyambogo'!M32,'02.08 Spear Motors-Kyambogo'!M32,'01.08 Spear Motors-Kyambogo'!M32,'03.08 Spear Motors-Kyambogo'!M32,'04.08 Spear Motors-Kyambogo'!M32)</f>
        <v>257.28571428571428</v>
      </c>
      <c r="N32" s="49">
        <f>AVERAGE('29.07 Spear Motors-Kyambogo'!N32,'30.07 Spear Motors-Kyambogo'!N32,'31.07 Spear Motors-Kyambogo'!N32,'02.08 Spear Motors-Kyambogo'!N32,'01.08 Spear Motors-Kyambogo'!N32,'03.08 Spear Motors-Kyambogo'!N32,'04.08 Spear Motors-Kyambogo'!N32)</f>
        <v>0</v>
      </c>
      <c r="O32" s="15">
        <f t="shared" si="0"/>
        <v>179.28571428571425</v>
      </c>
      <c r="P32" s="15">
        <f t="shared" si="1"/>
        <v>436.57142857142856</v>
      </c>
      <c r="R32" s="1" t="s">
        <v>156</v>
      </c>
      <c r="S32" s="34">
        <f>SUM(C98:C101)</f>
        <v>42.5</v>
      </c>
      <c r="T32" s="34">
        <f t="shared" ref="T32:AF32" si="24">SUM(D98:D101)</f>
        <v>7.5</v>
      </c>
      <c r="U32" s="34">
        <f t="shared" si="24"/>
        <v>5.5</v>
      </c>
      <c r="V32" s="34">
        <f t="shared" si="24"/>
        <v>57</v>
      </c>
      <c r="W32" s="34">
        <f t="shared" si="24"/>
        <v>7</v>
      </c>
      <c r="X32" s="34">
        <f t="shared" si="24"/>
        <v>1</v>
      </c>
      <c r="Y32" s="34">
        <f t="shared" si="24"/>
        <v>7.5</v>
      </c>
      <c r="Z32" s="34">
        <f t="shared" si="24"/>
        <v>11.5</v>
      </c>
      <c r="AA32" s="34">
        <f t="shared" si="24"/>
        <v>9.5</v>
      </c>
      <c r="AB32" s="34">
        <f t="shared" si="24"/>
        <v>7</v>
      </c>
      <c r="AC32" s="34">
        <f t="shared" si="24"/>
        <v>68</v>
      </c>
      <c r="AD32" s="34">
        <f t="shared" si="24"/>
        <v>0</v>
      </c>
      <c r="AE32" s="31">
        <f t="shared" si="24"/>
        <v>156</v>
      </c>
      <c r="AF32" s="31">
        <f t="shared" si="24"/>
        <v>224</v>
      </c>
    </row>
    <row r="33" spans="2:32" ht="23.1" customHeight="1" x14ac:dyDescent="0.25">
      <c r="B33" s="23" t="s">
        <v>60</v>
      </c>
      <c r="C33" s="49">
        <f>AVERAGE('29.07 Spear Motors-Kyambogo'!C33,'30.07 Spear Motors-Kyambogo'!C33,'31.07 Spear Motors-Kyambogo'!C33,'02.08 Spear Motors-Kyambogo'!C33,'01.08 Spear Motors-Kyambogo'!C33,'03.08 Spear Motors-Kyambogo'!C33,'04.08 Spear Motors-Kyambogo'!C33)</f>
        <v>65.285714285714292</v>
      </c>
      <c r="D33" s="49">
        <f>AVERAGE('29.07 Spear Motors-Kyambogo'!D33,'30.07 Spear Motors-Kyambogo'!D33,'31.07 Spear Motors-Kyambogo'!D33,'02.08 Spear Motors-Kyambogo'!D33,'01.08 Spear Motors-Kyambogo'!D33,'03.08 Spear Motors-Kyambogo'!D33,'04.08 Spear Motors-Kyambogo'!D33)</f>
        <v>25.285714285714285</v>
      </c>
      <c r="E33" s="49">
        <f>AVERAGE('29.07 Spear Motors-Kyambogo'!E33,'30.07 Spear Motors-Kyambogo'!E33,'31.07 Spear Motors-Kyambogo'!E33,'02.08 Spear Motors-Kyambogo'!E33,'01.08 Spear Motors-Kyambogo'!E33,'03.08 Spear Motors-Kyambogo'!E33,'04.08 Spear Motors-Kyambogo'!E33)</f>
        <v>12.714285714285714</v>
      </c>
      <c r="F33" s="49">
        <f>AVERAGE('29.07 Spear Motors-Kyambogo'!F33,'30.07 Spear Motors-Kyambogo'!F33,'31.07 Spear Motors-Kyambogo'!F33,'02.08 Spear Motors-Kyambogo'!F33,'01.08 Spear Motors-Kyambogo'!F33,'03.08 Spear Motors-Kyambogo'!F33,'04.08 Spear Motors-Kyambogo'!F33)</f>
        <v>70</v>
      </c>
      <c r="G33" s="49">
        <f>AVERAGE('29.07 Spear Motors-Kyambogo'!G33,'30.07 Spear Motors-Kyambogo'!G33,'31.07 Spear Motors-Kyambogo'!G33,'02.08 Spear Motors-Kyambogo'!G33,'01.08 Spear Motors-Kyambogo'!G33,'03.08 Spear Motors-Kyambogo'!G33,'04.08 Spear Motors-Kyambogo'!G33)</f>
        <v>1.7142857142857142</v>
      </c>
      <c r="H33" s="49">
        <f>AVERAGE('29.07 Spear Motors-Kyambogo'!H33,'30.07 Spear Motors-Kyambogo'!H33,'31.07 Spear Motors-Kyambogo'!H33,'02.08 Spear Motors-Kyambogo'!H33,'01.08 Spear Motors-Kyambogo'!H33,'03.08 Spear Motors-Kyambogo'!H33,'04.08 Spear Motors-Kyambogo'!H33)</f>
        <v>0.8571428571428571</v>
      </c>
      <c r="I33" s="49">
        <f>AVERAGE('29.07 Spear Motors-Kyambogo'!I33,'30.07 Spear Motors-Kyambogo'!I33,'31.07 Spear Motors-Kyambogo'!I33,'02.08 Spear Motors-Kyambogo'!I33,'01.08 Spear Motors-Kyambogo'!I33,'03.08 Spear Motors-Kyambogo'!I33,'04.08 Spear Motors-Kyambogo'!I33)</f>
        <v>7.2857142857142856</v>
      </c>
      <c r="J33" s="49">
        <f>AVERAGE('29.07 Spear Motors-Kyambogo'!J33,'30.07 Spear Motors-Kyambogo'!J33,'31.07 Spear Motors-Kyambogo'!J33,'02.08 Spear Motors-Kyambogo'!J33,'01.08 Spear Motors-Kyambogo'!J33,'03.08 Spear Motors-Kyambogo'!J33,'04.08 Spear Motors-Kyambogo'!J33)</f>
        <v>5</v>
      </c>
      <c r="K33" s="49">
        <f>AVERAGE('29.07 Spear Motors-Kyambogo'!K33,'30.07 Spear Motors-Kyambogo'!K33,'31.07 Spear Motors-Kyambogo'!K33,'02.08 Spear Motors-Kyambogo'!K33,'01.08 Spear Motors-Kyambogo'!K33,'03.08 Spear Motors-Kyambogo'!K33,'04.08 Spear Motors-Kyambogo'!K33)</f>
        <v>2</v>
      </c>
      <c r="L33" s="49">
        <f>AVERAGE('29.07 Spear Motors-Kyambogo'!L33,'30.07 Spear Motors-Kyambogo'!L33,'31.07 Spear Motors-Kyambogo'!L33,'02.08 Spear Motors-Kyambogo'!L33,'01.08 Spear Motors-Kyambogo'!L33,'03.08 Spear Motors-Kyambogo'!L33,'04.08 Spear Motors-Kyambogo'!L33)</f>
        <v>4.1428571428571432</v>
      </c>
      <c r="M33" s="49">
        <f>AVERAGE('29.07 Spear Motors-Kyambogo'!M33,'30.07 Spear Motors-Kyambogo'!M33,'31.07 Spear Motors-Kyambogo'!M33,'02.08 Spear Motors-Kyambogo'!M33,'01.08 Spear Motors-Kyambogo'!M33,'03.08 Spear Motors-Kyambogo'!M33,'04.08 Spear Motors-Kyambogo'!M33)</f>
        <v>287.85714285714283</v>
      </c>
      <c r="N33" s="49">
        <f>AVERAGE('29.07 Spear Motors-Kyambogo'!N33,'30.07 Spear Motors-Kyambogo'!N33,'31.07 Spear Motors-Kyambogo'!N33,'02.08 Spear Motors-Kyambogo'!N33,'01.08 Spear Motors-Kyambogo'!N33,'03.08 Spear Motors-Kyambogo'!N33,'04.08 Spear Motors-Kyambogo'!N33)</f>
        <v>0</v>
      </c>
      <c r="O33" s="15">
        <f t="shared" si="0"/>
        <v>194.28571428571428</v>
      </c>
      <c r="P33" s="15">
        <f t="shared" si="1"/>
        <v>482.14285714285711</v>
      </c>
      <c r="R33" s="1" t="s">
        <v>157</v>
      </c>
      <c r="S33" s="34">
        <f>SUM(C102:C105)</f>
        <v>73.5</v>
      </c>
      <c r="T33" s="34">
        <f t="shared" ref="T33:AF33" si="25">SUM(D102:D105)</f>
        <v>12</v>
      </c>
      <c r="U33" s="34">
        <f t="shared" si="25"/>
        <v>21.5</v>
      </c>
      <c r="V33" s="34">
        <f t="shared" si="25"/>
        <v>115</v>
      </c>
      <c r="W33" s="34">
        <f t="shared" si="25"/>
        <v>4</v>
      </c>
      <c r="X33" s="34">
        <f t="shared" si="25"/>
        <v>4</v>
      </c>
      <c r="Y33" s="34">
        <f t="shared" si="25"/>
        <v>10.5</v>
      </c>
      <c r="Z33" s="34">
        <f t="shared" si="25"/>
        <v>9.5</v>
      </c>
      <c r="AA33" s="34">
        <f t="shared" si="25"/>
        <v>8</v>
      </c>
      <c r="AB33" s="34">
        <f t="shared" si="25"/>
        <v>11</v>
      </c>
      <c r="AC33" s="34">
        <f t="shared" si="25"/>
        <v>106.5</v>
      </c>
      <c r="AD33" s="34">
        <f t="shared" si="25"/>
        <v>0</v>
      </c>
      <c r="AE33" s="31">
        <f t="shared" si="25"/>
        <v>268</v>
      </c>
      <c r="AF33" s="31">
        <f t="shared" si="25"/>
        <v>374.5</v>
      </c>
    </row>
    <row r="34" spans="2:32" ht="23.1" customHeight="1" x14ac:dyDescent="0.25">
      <c r="B34" s="24" t="s">
        <v>61</v>
      </c>
      <c r="C34" s="49">
        <f>AVERAGE('29.07 Spear Motors-Kyambogo'!C34,'30.07 Spear Motors-Kyambogo'!C34,'31.07 Spear Motors-Kyambogo'!C34,'02.08 Spear Motors-Kyambogo'!C34,'01.08 Spear Motors-Kyambogo'!C34,'03.08 Spear Motors-Kyambogo'!C34,'04.08 Spear Motors-Kyambogo'!C34)</f>
        <v>62.714285714285715</v>
      </c>
      <c r="D34" s="49">
        <f>AVERAGE('29.07 Spear Motors-Kyambogo'!D34,'30.07 Spear Motors-Kyambogo'!D34,'31.07 Spear Motors-Kyambogo'!D34,'02.08 Spear Motors-Kyambogo'!D34,'01.08 Spear Motors-Kyambogo'!D34,'03.08 Spear Motors-Kyambogo'!D34,'04.08 Spear Motors-Kyambogo'!D34)</f>
        <v>25.142857142857142</v>
      </c>
      <c r="E34" s="49">
        <f>AVERAGE('29.07 Spear Motors-Kyambogo'!E34,'30.07 Spear Motors-Kyambogo'!E34,'31.07 Spear Motors-Kyambogo'!E34,'02.08 Spear Motors-Kyambogo'!E34,'01.08 Spear Motors-Kyambogo'!E34,'03.08 Spear Motors-Kyambogo'!E34,'04.08 Spear Motors-Kyambogo'!E34)</f>
        <v>12.571428571428571</v>
      </c>
      <c r="F34" s="49">
        <f>AVERAGE('29.07 Spear Motors-Kyambogo'!F34,'30.07 Spear Motors-Kyambogo'!F34,'31.07 Spear Motors-Kyambogo'!F34,'02.08 Spear Motors-Kyambogo'!F34,'01.08 Spear Motors-Kyambogo'!F34,'03.08 Spear Motors-Kyambogo'!F34,'04.08 Spear Motors-Kyambogo'!F34)</f>
        <v>70.857142857142861</v>
      </c>
      <c r="G34" s="49">
        <f>AVERAGE('29.07 Spear Motors-Kyambogo'!G34,'30.07 Spear Motors-Kyambogo'!G34,'31.07 Spear Motors-Kyambogo'!G34,'02.08 Spear Motors-Kyambogo'!G34,'01.08 Spear Motors-Kyambogo'!G34,'03.08 Spear Motors-Kyambogo'!G34,'04.08 Spear Motors-Kyambogo'!G34)</f>
        <v>1.2857142857142858</v>
      </c>
      <c r="H34" s="49">
        <f>AVERAGE('29.07 Spear Motors-Kyambogo'!H34,'30.07 Spear Motors-Kyambogo'!H34,'31.07 Spear Motors-Kyambogo'!H34,'02.08 Spear Motors-Kyambogo'!H34,'01.08 Spear Motors-Kyambogo'!H34,'03.08 Spear Motors-Kyambogo'!H34,'04.08 Spear Motors-Kyambogo'!H34)</f>
        <v>0.42857142857142855</v>
      </c>
      <c r="I34" s="49">
        <f>AVERAGE('29.07 Spear Motors-Kyambogo'!I34,'30.07 Spear Motors-Kyambogo'!I34,'31.07 Spear Motors-Kyambogo'!I34,'02.08 Spear Motors-Kyambogo'!I34,'01.08 Spear Motors-Kyambogo'!I34,'03.08 Spear Motors-Kyambogo'!I34,'04.08 Spear Motors-Kyambogo'!I34)</f>
        <v>8.2857142857142865</v>
      </c>
      <c r="J34" s="49">
        <f>AVERAGE('29.07 Spear Motors-Kyambogo'!J34,'30.07 Spear Motors-Kyambogo'!J34,'31.07 Spear Motors-Kyambogo'!J34,'02.08 Spear Motors-Kyambogo'!J34,'01.08 Spear Motors-Kyambogo'!J34,'03.08 Spear Motors-Kyambogo'!J34,'04.08 Spear Motors-Kyambogo'!J34)</f>
        <v>5.5714285714285712</v>
      </c>
      <c r="K34" s="49">
        <f>AVERAGE('29.07 Spear Motors-Kyambogo'!K34,'30.07 Spear Motors-Kyambogo'!K34,'31.07 Spear Motors-Kyambogo'!K34,'02.08 Spear Motors-Kyambogo'!K34,'01.08 Spear Motors-Kyambogo'!K34,'03.08 Spear Motors-Kyambogo'!K34,'04.08 Spear Motors-Kyambogo'!K34)</f>
        <v>3.8571428571428572</v>
      </c>
      <c r="L34" s="49">
        <f>AVERAGE('29.07 Spear Motors-Kyambogo'!L34,'30.07 Spear Motors-Kyambogo'!L34,'31.07 Spear Motors-Kyambogo'!L34,'02.08 Spear Motors-Kyambogo'!L34,'01.08 Spear Motors-Kyambogo'!L34,'03.08 Spear Motors-Kyambogo'!L34,'04.08 Spear Motors-Kyambogo'!L34)</f>
        <v>5.4285714285714288</v>
      </c>
      <c r="M34" s="49">
        <f>AVERAGE('29.07 Spear Motors-Kyambogo'!M34,'30.07 Spear Motors-Kyambogo'!M34,'31.07 Spear Motors-Kyambogo'!M34,'02.08 Spear Motors-Kyambogo'!M34,'01.08 Spear Motors-Kyambogo'!M34,'03.08 Spear Motors-Kyambogo'!M34,'04.08 Spear Motors-Kyambogo'!M34)</f>
        <v>316.85714285714283</v>
      </c>
      <c r="N34" s="49">
        <f>AVERAGE('29.07 Spear Motors-Kyambogo'!N34,'30.07 Spear Motors-Kyambogo'!N34,'31.07 Spear Motors-Kyambogo'!N34,'02.08 Spear Motors-Kyambogo'!N34,'01.08 Spear Motors-Kyambogo'!N34,'03.08 Spear Motors-Kyambogo'!N34,'04.08 Spear Motors-Kyambogo'!N34)</f>
        <v>0</v>
      </c>
      <c r="O34" s="15">
        <f t="shared" si="0"/>
        <v>196.14285714285711</v>
      </c>
      <c r="P34" s="15">
        <f t="shared" si="1"/>
        <v>513</v>
      </c>
      <c r="R34" s="38" t="s">
        <v>90</v>
      </c>
      <c r="S34" s="39">
        <f t="shared" ref="S34:AF34" si="26">MAX(S10:S12)</f>
        <v>185.71428571428569</v>
      </c>
      <c r="T34" s="39">
        <f t="shared" si="26"/>
        <v>69.428571428571431</v>
      </c>
      <c r="U34" s="39">
        <f t="shared" si="26"/>
        <v>34.285714285714285</v>
      </c>
      <c r="V34" s="39">
        <f t="shared" si="26"/>
        <v>277.57142857142856</v>
      </c>
      <c r="W34" s="39">
        <f t="shared" si="26"/>
        <v>55.571428571428569</v>
      </c>
      <c r="X34" s="39">
        <f t="shared" si="26"/>
        <v>3.1428571428571423</v>
      </c>
      <c r="Y34" s="39">
        <f t="shared" si="26"/>
        <v>24.142857142857142</v>
      </c>
      <c r="Z34" s="39">
        <f t="shared" si="26"/>
        <v>17.285714285714285</v>
      </c>
      <c r="AA34" s="39">
        <f t="shared" si="26"/>
        <v>11.142857142857144</v>
      </c>
      <c r="AB34" s="39">
        <f t="shared" si="26"/>
        <v>13</v>
      </c>
      <c r="AC34" s="39">
        <f t="shared" si="26"/>
        <v>1300.4285714285716</v>
      </c>
      <c r="AD34" s="39">
        <f t="shared" si="26"/>
        <v>0</v>
      </c>
      <c r="AE34" s="40">
        <f t="shared" si="26"/>
        <v>637.14285714285711</v>
      </c>
      <c r="AF34" s="40">
        <f t="shared" si="26"/>
        <v>1937.5714285714287</v>
      </c>
    </row>
    <row r="35" spans="2:32" ht="23.1" customHeight="1" x14ac:dyDescent="0.25">
      <c r="B35" s="24" t="s">
        <v>62</v>
      </c>
      <c r="C35" s="49">
        <f>AVERAGE('29.07 Spear Motors-Kyambogo'!C35,'30.07 Spear Motors-Kyambogo'!C35,'31.07 Spear Motors-Kyambogo'!C35,'02.08 Spear Motors-Kyambogo'!C35,'01.08 Spear Motors-Kyambogo'!C35,'03.08 Spear Motors-Kyambogo'!C35,'04.08 Spear Motors-Kyambogo'!C35)</f>
        <v>59.428571428571431</v>
      </c>
      <c r="D35" s="49">
        <f>AVERAGE('29.07 Spear Motors-Kyambogo'!D35,'30.07 Spear Motors-Kyambogo'!D35,'31.07 Spear Motors-Kyambogo'!D35,'02.08 Spear Motors-Kyambogo'!D35,'01.08 Spear Motors-Kyambogo'!D35,'03.08 Spear Motors-Kyambogo'!D35,'04.08 Spear Motors-Kyambogo'!D35)</f>
        <v>19.571428571428573</v>
      </c>
      <c r="E35" s="49">
        <f>AVERAGE('29.07 Spear Motors-Kyambogo'!E35,'30.07 Spear Motors-Kyambogo'!E35,'31.07 Spear Motors-Kyambogo'!E35,'02.08 Spear Motors-Kyambogo'!E35,'01.08 Spear Motors-Kyambogo'!E35,'03.08 Spear Motors-Kyambogo'!E35,'04.08 Spear Motors-Kyambogo'!E35)</f>
        <v>9.7142857142857135</v>
      </c>
      <c r="F35" s="49">
        <f>AVERAGE('29.07 Spear Motors-Kyambogo'!F35,'30.07 Spear Motors-Kyambogo'!F35,'31.07 Spear Motors-Kyambogo'!F35,'02.08 Spear Motors-Kyambogo'!F35,'01.08 Spear Motors-Kyambogo'!F35,'03.08 Spear Motors-Kyambogo'!F35,'04.08 Spear Motors-Kyambogo'!F35)</f>
        <v>59.428571428571431</v>
      </c>
      <c r="G35" s="49">
        <f>AVERAGE('29.07 Spear Motors-Kyambogo'!G35,'30.07 Spear Motors-Kyambogo'!G35,'31.07 Spear Motors-Kyambogo'!G35,'02.08 Spear Motors-Kyambogo'!G35,'01.08 Spear Motors-Kyambogo'!G35,'03.08 Spear Motors-Kyambogo'!G35,'04.08 Spear Motors-Kyambogo'!G35)</f>
        <v>1.5714285714285714</v>
      </c>
      <c r="H35" s="49">
        <f>AVERAGE('29.07 Spear Motors-Kyambogo'!H35,'30.07 Spear Motors-Kyambogo'!H35,'31.07 Spear Motors-Kyambogo'!H35,'02.08 Spear Motors-Kyambogo'!H35,'01.08 Spear Motors-Kyambogo'!H35,'03.08 Spear Motors-Kyambogo'!H35,'04.08 Spear Motors-Kyambogo'!H35)</f>
        <v>0.7142857142857143</v>
      </c>
      <c r="I35" s="49">
        <f>AVERAGE('29.07 Spear Motors-Kyambogo'!I35,'30.07 Spear Motors-Kyambogo'!I35,'31.07 Spear Motors-Kyambogo'!I35,'02.08 Spear Motors-Kyambogo'!I35,'01.08 Spear Motors-Kyambogo'!I35,'03.08 Spear Motors-Kyambogo'!I35,'04.08 Spear Motors-Kyambogo'!I35)</f>
        <v>7.2857142857142856</v>
      </c>
      <c r="J35" s="49">
        <f>AVERAGE('29.07 Spear Motors-Kyambogo'!J35,'30.07 Spear Motors-Kyambogo'!J35,'31.07 Spear Motors-Kyambogo'!J35,'02.08 Spear Motors-Kyambogo'!J35,'01.08 Spear Motors-Kyambogo'!J35,'03.08 Spear Motors-Kyambogo'!J35,'04.08 Spear Motors-Kyambogo'!J35)</f>
        <v>5.4285714285714288</v>
      </c>
      <c r="K35" s="49">
        <f>AVERAGE('29.07 Spear Motors-Kyambogo'!K35,'30.07 Spear Motors-Kyambogo'!K35,'31.07 Spear Motors-Kyambogo'!K35,'02.08 Spear Motors-Kyambogo'!K35,'01.08 Spear Motors-Kyambogo'!K35,'03.08 Spear Motors-Kyambogo'!K35,'04.08 Spear Motors-Kyambogo'!K35)</f>
        <v>2.8571428571428572</v>
      </c>
      <c r="L35" s="49">
        <f>AVERAGE('29.07 Spear Motors-Kyambogo'!L35,'30.07 Spear Motors-Kyambogo'!L35,'31.07 Spear Motors-Kyambogo'!L35,'02.08 Spear Motors-Kyambogo'!L35,'01.08 Spear Motors-Kyambogo'!L35,'03.08 Spear Motors-Kyambogo'!L35,'04.08 Spear Motors-Kyambogo'!L35)</f>
        <v>4.7142857142857144</v>
      </c>
      <c r="M35" s="49">
        <f>AVERAGE('29.07 Spear Motors-Kyambogo'!M35,'30.07 Spear Motors-Kyambogo'!M35,'31.07 Spear Motors-Kyambogo'!M35,'02.08 Spear Motors-Kyambogo'!M35,'01.08 Spear Motors-Kyambogo'!M35,'03.08 Spear Motors-Kyambogo'!M35,'04.08 Spear Motors-Kyambogo'!M35)</f>
        <v>228.42857142857142</v>
      </c>
      <c r="N35" s="49">
        <f>AVERAGE('29.07 Spear Motors-Kyambogo'!N35,'30.07 Spear Motors-Kyambogo'!N35,'31.07 Spear Motors-Kyambogo'!N35,'02.08 Spear Motors-Kyambogo'!N35,'01.08 Spear Motors-Kyambogo'!N35,'03.08 Spear Motors-Kyambogo'!N35,'04.08 Spear Motors-Kyambogo'!N35)</f>
        <v>0</v>
      </c>
      <c r="O35" s="15">
        <f t="shared" si="0"/>
        <v>170.71428571428572</v>
      </c>
      <c r="P35" s="15">
        <f t="shared" si="1"/>
        <v>399.14285714285711</v>
      </c>
      <c r="R35" s="38" t="s">
        <v>91</v>
      </c>
      <c r="S35" s="39">
        <f t="shared" ref="S35:AF35" si="27">MAX(S13:S18)</f>
        <v>264</v>
      </c>
      <c r="T35" s="39">
        <f t="shared" si="27"/>
        <v>98.285714285714292</v>
      </c>
      <c r="U35" s="39">
        <f t="shared" si="27"/>
        <v>48.428571428571431</v>
      </c>
      <c r="V35" s="39">
        <f t="shared" si="27"/>
        <v>290.85714285714283</v>
      </c>
      <c r="W35" s="39">
        <f t="shared" si="27"/>
        <v>6.9523809523809526</v>
      </c>
      <c r="X35" s="39">
        <f t="shared" si="27"/>
        <v>3</v>
      </c>
      <c r="Y35" s="39">
        <f t="shared" si="27"/>
        <v>39.428571428571431</v>
      </c>
      <c r="Z35" s="39">
        <f t="shared" si="27"/>
        <v>21.571428571428573</v>
      </c>
      <c r="AA35" s="39">
        <f t="shared" si="27"/>
        <v>10.571428571428571</v>
      </c>
      <c r="AB35" s="39">
        <f t="shared" si="27"/>
        <v>22.285714285714285</v>
      </c>
      <c r="AC35" s="39">
        <f t="shared" si="27"/>
        <v>1209.8571428571429</v>
      </c>
      <c r="AD35" s="39">
        <f t="shared" si="27"/>
        <v>0</v>
      </c>
      <c r="AE35" s="40">
        <f t="shared" si="27"/>
        <v>751.52380952380952</v>
      </c>
      <c r="AF35" s="40">
        <f t="shared" si="27"/>
        <v>1958.3809523809523</v>
      </c>
    </row>
    <row r="36" spans="2:32" ht="23.1" customHeight="1" x14ac:dyDescent="0.25">
      <c r="B36" s="24" t="s">
        <v>63</v>
      </c>
      <c r="C36" s="49">
        <f>AVERAGE('29.07 Spear Motors-Kyambogo'!C36,'30.07 Spear Motors-Kyambogo'!C36,'31.07 Spear Motors-Kyambogo'!C36,'02.08 Spear Motors-Kyambogo'!C36,'01.08 Spear Motors-Kyambogo'!C36,'03.08 Spear Motors-Kyambogo'!C36,'04.08 Spear Motors-Kyambogo'!C36)</f>
        <v>61.428571428571431</v>
      </c>
      <c r="D36" s="49">
        <f>AVERAGE('29.07 Spear Motors-Kyambogo'!D36,'30.07 Spear Motors-Kyambogo'!D36,'31.07 Spear Motors-Kyambogo'!D36,'02.08 Spear Motors-Kyambogo'!D36,'01.08 Spear Motors-Kyambogo'!D36,'03.08 Spear Motors-Kyambogo'!D36,'04.08 Spear Motors-Kyambogo'!D36)</f>
        <v>24.142857142857142</v>
      </c>
      <c r="E36" s="49">
        <f>AVERAGE('29.07 Spear Motors-Kyambogo'!E36,'30.07 Spear Motors-Kyambogo'!E36,'31.07 Spear Motors-Kyambogo'!E36,'02.08 Spear Motors-Kyambogo'!E36,'01.08 Spear Motors-Kyambogo'!E36,'03.08 Spear Motors-Kyambogo'!E36,'04.08 Spear Motors-Kyambogo'!E36)</f>
        <v>12</v>
      </c>
      <c r="F36" s="49">
        <f>AVERAGE('29.07 Spear Motors-Kyambogo'!F36,'30.07 Spear Motors-Kyambogo'!F36,'31.07 Spear Motors-Kyambogo'!F36,'02.08 Spear Motors-Kyambogo'!F36,'01.08 Spear Motors-Kyambogo'!F36,'03.08 Spear Motors-Kyambogo'!F36,'04.08 Spear Motors-Kyambogo'!F36)</f>
        <v>59.857142857142854</v>
      </c>
      <c r="G36" s="49">
        <f>AVERAGE('29.07 Spear Motors-Kyambogo'!G36,'30.07 Spear Motors-Kyambogo'!G36,'31.07 Spear Motors-Kyambogo'!G36,'02.08 Spear Motors-Kyambogo'!G36,'01.08 Spear Motors-Kyambogo'!G36,'03.08 Spear Motors-Kyambogo'!G36,'04.08 Spear Motors-Kyambogo'!G36)</f>
        <v>1.7142857142857142</v>
      </c>
      <c r="H36" s="49">
        <f>AVERAGE('29.07 Spear Motors-Kyambogo'!H36,'30.07 Spear Motors-Kyambogo'!H36,'31.07 Spear Motors-Kyambogo'!H36,'02.08 Spear Motors-Kyambogo'!H36,'01.08 Spear Motors-Kyambogo'!H36,'03.08 Spear Motors-Kyambogo'!H36,'04.08 Spear Motors-Kyambogo'!H36)</f>
        <v>0.5714285714285714</v>
      </c>
      <c r="I36" s="49">
        <f>AVERAGE('29.07 Spear Motors-Kyambogo'!I36,'30.07 Spear Motors-Kyambogo'!I36,'31.07 Spear Motors-Kyambogo'!I36,'02.08 Spear Motors-Kyambogo'!I36,'01.08 Spear Motors-Kyambogo'!I36,'03.08 Spear Motors-Kyambogo'!I36,'04.08 Spear Motors-Kyambogo'!I36)</f>
        <v>8.4285714285714288</v>
      </c>
      <c r="J36" s="49">
        <f>AVERAGE('29.07 Spear Motors-Kyambogo'!J36,'30.07 Spear Motors-Kyambogo'!J36,'31.07 Spear Motors-Kyambogo'!J36,'02.08 Spear Motors-Kyambogo'!J36,'01.08 Spear Motors-Kyambogo'!J36,'03.08 Spear Motors-Kyambogo'!J36,'04.08 Spear Motors-Kyambogo'!J36)</f>
        <v>3.2857142857142856</v>
      </c>
      <c r="K36" s="49">
        <f>AVERAGE('29.07 Spear Motors-Kyambogo'!K36,'30.07 Spear Motors-Kyambogo'!K36,'31.07 Spear Motors-Kyambogo'!K36,'02.08 Spear Motors-Kyambogo'!K36,'01.08 Spear Motors-Kyambogo'!K36,'03.08 Spear Motors-Kyambogo'!K36,'04.08 Spear Motors-Kyambogo'!K36)</f>
        <v>2.8571428571428572</v>
      </c>
      <c r="L36" s="49">
        <f>AVERAGE('29.07 Spear Motors-Kyambogo'!L36,'30.07 Spear Motors-Kyambogo'!L36,'31.07 Spear Motors-Kyambogo'!L36,'02.08 Spear Motors-Kyambogo'!L36,'01.08 Spear Motors-Kyambogo'!L36,'03.08 Spear Motors-Kyambogo'!L36,'04.08 Spear Motors-Kyambogo'!L36)</f>
        <v>4.4285714285714288</v>
      </c>
      <c r="M36" s="49">
        <f>AVERAGE('29.07 Spear Motors-Kyambogo'!M36,'30.07 Spear Motors-Kyambogo'!M36,'31.07 Spear Motors-Kyambogo'!M36,'02.08 Spear Motors-Kyambogo'!M36,'01.08 Spear Motors-Kyambogo'!M36,'03.08 Spear Motors-Kyambogo'!M36,'04.08 Spear Motors-Kyambogo'!M36)</f>
        <v>292</v>
      </c>
      <c r="N36" s="49">
        <f>AVERAGE('29.07 Spear Motors-Kyambogo'!N36,'30.07 Spear Motors-Kyambogo'!N36,'31.07 Spear Motors-Kyambogo'!N36,'02.08 Spear Motors-Kyambogo'!N36,'01.08 Spear Motors-Kyambogo'!N36,'03.08 Spear Motors-Kyambogo'!N36,'04.08 Spear Motors-Kyambogo'!N36)</f>
        <v>0</v>
      </c>
      <c r="O36" s="15">
        <f t="shared" si="0"/>
        <v>178.71428571428569</v>
      </c>
      <c r="P36" s="15">
        <f t="shared" si="1"/>
        <v>470.71428571428567</v>
      </c>
      <c r="R36" s="38" t="s">
        <v>92</v>
      </c>
      <c r="S36" s="39">
        <f t="shared" ref="S36:AF36" si="28">MAX(S19:S21)</f>
        <v>510.14285714285717</v>
      </c>
      <c r="T36" s="39">
        <f t="shared" si="28"/>
        <v>214.71428571428572</v>
      </c>
      <c r="U36" s="39">
        <f t="shared" si="28"/>
        <v>104.85714285714286</v>
      </c>
      <c r="V36" s="39">
        <f t="shared" si="28"/>
        <v>235.85714285714289</v>
      </c>
      <c r="W36" s="39">
        <f t="shared" si="28"/>
        <v>8</v>
      </c>
      <c r="X36" s="39">
        <f t="shared" si="28"/>
        <v>2.7142857142857144</v>
      </c>
      <c r="Y36" s="39">
        <f t="shared" si="28"/>
        <v>38.285714285714285</v>
      </c>
      <c r="Z36" s="39">
        <f t="shared" si="28"/>
        <v>15.714285714285714</v>
      </c>
      <c r="AA36" s="39">
        <f t="shared" si="28"/>
        <v>6.8571428571428568</v>
      </c>
      <c r="AB36" s="39">
        <f t="shared" si="28"/>
        <v>16.142857142857142</v>
      </c>
      <c r="AC36" s="39">
        <f t="shared" si="28"/>
        <v>1303.2857142857144</v>
      </c>
      <c r="AD36" s="39">
        <f t="shared" si="28"/>
        <v>0</v>
      </c>
      <c r="AE36" s="40">
        <f t="shared" si="28"/>
        <v>1098.5714285714284</v>
      </c>
      <c r="AF36" s="40">
        <f t="shared" si="28"/>
        <v>2382.4285714285716</v>
      </c>
    </row>
    <row r="37" spans="2:32" ht="23.1" customHeight="1" x14ac:dyDescent="0.25">
      <c r="B37" s="23" t="s">
        <v>64</v>
      </c>
      <c r="C37" s="49">
        <f>AVERAGE('29.07 Spear Motors-Kyambogo'!C37,'30.07 Spear Motors-Kyambogo'!C37,'31.07 Spear Motors-Kyambogo'!C37,'02.08 Spear Motors-Kyambogo'!C37,'01.08 Spear Motors-Kyambogo'!C37,'03.08 Spear Motors-Kyambogo'!C37,'04.08 Spear Motors-Kyambogo'!C37)</f>
        <v>53.142857142857146</v>
      </c>
      <c r="D37" s="49">
        <f>AVERAGE('29.07 Spear Motors-Kyambogo'!D37,'30.07 Spear Motors-Kyambogo'!D37,'31.07 Spear Motors-Kyambogo'!D37,'02.08 Spear Motors-Kyambogo'!D37,'01.08 Spear Motors-Kyambogo'!D37,'03.08 Spear Motors-Kyambogo'!D37,'04.08 Spear Motors-Kyambogo'!D37)</f>
        <v>23.428571428571427</v>
      </c>
      <c r="E37" s="49">
        <f>AVERAGE('29.07 Spear Motors-Kyambogo'!E37,'30.07 Spear Motors-Kyambogo'!E37,'31.07 Spear Motors-Kyambogo'!E37,'02.08 Spear Motors-Kyambogo'!E37,'01.08 Spear Motors-Kyambogo'!E37,'03.08 Spear Motors-Kyambogo'!E37,'04.08 Spear Motors-Kyambogo'!E37)</f>
        <v>13.142857142857142</v>
      </c>
      <c r="F37" s="49">
        <f>AVERAGE('29.07 Spear Motors-Kyambogo'!F37,'30.07 Spear Motors-Kyambogo'!F37,'31.07 Spear Motors-Kyambogo'!F37,'02.08 Spear Motors-Kyambogo'!F37,'01.08 Spear Motors-Kyambogo'!F37,'03.08 Spear Motors-Kyambogo'!F37,'04.08 Spear Motors-Kyambogo'!F37)</f>
        <v>63.857142857142854</v>
      </c>
      <c r="G37" s="49">
        <f>AVERAGE('29.07 Spear Motors-Kyambogo'!G37,'30.07 Spear Motors-Kyambogo'!G37,'31.07 Spear Motors-Kyambogo'!G37,'02.08 Spear Motors-Kyambogo'!G37,'01.08 Spear Motors-Kyambogo'!G37,'03.08 Spear Motors-Kyambogo'!G37,'04.08 Spear Motors-Kyambogo'!G37)</f>
        <v>1.5714285714285714</v>
      </c>
      <c r="H37" s="49">
        <f>AVERAGE('29.07 Spear Motors-Kyambogo'!H37,'30.07 Spear Motors-Kyambogo'!H37,'31.07 Spear Motors-Kyambogo'!H37,'02.08 Spear Motors-Kyambogo'!H37,'01.08 Spear Motors-Kyambogo'!H37,'03.08 Spear Motors-Kyambogo'!H37,'04.08 Spear Motors-Kyambogo'!H37)</f>
        <v>0.7142857142857143</v>
      </c>
      <c r="I37" s="49">
        <f>AVERAGE('29.07 Spear Motors-Kyambogo'!I37,'30.07 Spear Motors-Kyambogo'!I37,'31.07 Spear Motors-Kyambogo'!I37,'02.08 Spear Motors-Kyambogo'!I37,'01.08 Spear Motors-Kyambogo'!I37,'03.08 Spear Motors-Kyambogo'!I37,'04.08 Spear Motors-Kyambogo'!I37)</f>
        <v>9</v>
      </c>
      <c r="J37" s="49">
        <f>AVERAGE('29.07 Spear Motors-Kyambogo'!J37,'30.07 Spear Motors-Kyambogo'!J37,'31.07 Spear Motors-Kyambogo'!J37,'02.08 Spear Motors-Kyambogo'!J37,'01.08 Spear Motors-Kyambogo'!J37,'03.08 Spear Motors-Kyambogo'!J37,'04.08 Spear Motors-Kyambogo'!J37)</f>
        <v>2.4285714285714284</v>
      </c>
      <c r="K37" s="49">
        <f>AVERAGE('29.07 Spear Motors-Kyambogo'!K37,'30.07 Spear Motors-Kyambogo'!K37,'31.07 Spear Motors-Kyambogo'!K37,'02.08 Spear Motors-Kyambogo'!K37,'01.08 Spear Motors-Kyambogo'!K37,'03.08 Spear Motors-Kyambogo'!K37,'04.08 Spear Motors-Kyambogo'!K37)</f>
        <v>1</v>
      </c>
      <c r="L37" s="49">
        <f>AVERAGE('29.07 Spear Motors-Kyambogo'!L37,'30.07 Spear Motors-Kyambogo'!L37,'31.07 Spear Motors-Kyambogo'!L37,'02.08 Spear Motors-Kyambogo'!L37,'01.08 Spear Motors-Kyambogo'!L37,'03.08 Spear Motors-Kyambogo'!L37,'04.08 Spear Motors-Kyambogo'!L37)</f>
        <v>3.8571428571428572</v>
      </c>
      <c r="M37" s="49">
        <f>AVERAGE('29.07 Spear Motors-Kyambogo'!M37,'30.07 Spear Motors-Kyambogo'!M37,'31.07 Spear Motors-Kyambogo'!M37,'02.08 Spear Motors-Kyambogo'!M37,'01.08 Spear Motors-Kyambogo'!M37,'03.08 Spear Motors-Kyambogo'!M37,'04.08 Spear Motors-Kyambogo'!M37)</f>
        <v>281</v>
      </c>
      <c r="N37" s="49">
        <f>AVERAGE('29.07 Spear Motors-Kyambogo'!N37,'30.07 Spear Motors-Kyambogo'!N37,'31.07 Spear Motors-Kyambogo'!N37,'02.08 Spear Motors-Kyambogo'!N37,'01.08 Spear Motors-Kyambogo'!N37,'03.08 Spear Motors-Kyambogo'!N37,'04.08 Spear Motors-Kyambogo'!N37)</f>
        <v>0</v>
      </c>
      <c r="O37" s="15">
        <f t="shared" si="0"/>
        <v>172.14285714285714</v>
      </c>
      <c r="P37" s="15">
        <f t="shared" si="1"/>
        <v>453.14285714285711</v>
      </c>
      <c r="R37" s="37" t="s">
        <v>85</v>
      </c>
      <c r="S37" s="35">
        <f t="shared" ref="S37:AF37" si="29">SUM(S10:S12)</f>
        <v>460.28571428571422</v>
      </c>
      <c r="T37" s="16">
        <f t="shared" si="29"/>
        <v>171</v>
      </c>
      <c r="U37" s="16">
        <f t="shared" si="29"/>
        <v>93.428571428571416</v>
      </c>
      <c r="V37" s="16">
        <f t="shared" si="29"/>
        <v>623.57142857142856</v>
      </c>
      <c r="W37" s="16">
        <f t="shared" si="29"/>
        <v>74.999999999999986</v>
      </c>
      <c r="X37" s="16">
        <f t="shared" si="29"/>
        <v>7.1428571428571423</v>
      </c>
      <c r="Y37" s="16">
        <f t="shared" si="29"/>
        <v>54.285714285714278</v>
      </c>
      <c r="Z37" s="16">
        <f t="shared" si="29"/>
        <v>30.714285714285715</v>
      </c>
      <c r="AA37" s="16">
        <f t="shared" si="29"/>
        <v>23</v>
      </c>
      <c r="AB37" s="16">
        <f t="shared" si="29"/>
        <v>30.285714285714285</v>
      </c>
      <c r="AC37" s="16">
        <f t="shared" si="29"/>
        <v>3348.1428571428573</v>
      </c>
      <c r="AD37" s="16">
        <f t="shared" si="29"/>
        <v>0</v>
      </c>
      <c r="AE37" s="32">
        <f t="shared" si="29"/>
        <v>1568.7142857142858</v>
      </c>
      <c r="AF37" s="32">
        <f t="shared" si="29"/>
        <v>4916.8571428571422</v>
      </c>
    </row>
    <row r="38" spans="2:32" ht="23.1" customHeight="1" x14ac:dyDescent="0.25">
      <c r="B38" s="24" t="s">
        <v>65</v>
      </c>
      <c r="C38" s="49">
        <f>AVERAGE('29.07 Spear Motors-Kyambogo'!C38,'30.07 Spear Motors-Kyambogo'!C38,'31.07 Spear Motors-Kyambogo'!C38,'02.08 Spear Motors-Kyambogo'!C38,'01.08 Spear Motors-Kyambogo'!C38,'03.08 Spear Motors-Kyambogo'!C38,'04.08 Spear Motors-Kyambogo'!C38)</f>
        <v>53.428571428571431</v>
      </c>
      <c r="D38" s="49">
        <f>AVERAGE('29.07 Spear Motors-Kyambogo'!D38,'30.07 Spear Motors-Kyambogo'!D38,'31.07 Spear Motors-Kyambogo'!D38,'02.08 Spear Motors-Kyambogo'!D38,'01.08 Spear Motors-Kyambogo'!D38,'03.08 Spear Motors-Kyambogo'!D38,'04.08 Spear Motors-Kyambogo'!D38)</f>
        <v>23</v>
      </c>
      <c r="E38" s="49">
        <f>AVERAGE('29.07 Spear Motors-Kyambogo'!E38,'30.07 Spear Motors-Kyambogo'!E38,'31.07 Spear Motors-Kyambogo'!E38,'02.08 Spear Motors-Kyambogo'!E38,'01.08 Spear Motors-Kyambogo'!E38,'03.08 Spear Motors-Kyambogo'!E38,'04.08 Spear Motors-Kyambogo'!E38)</f>
        <v>11.142857142857142</v>
      </c>
      <c r="F38" s="49">
        <f>AVERAGE('29.07 Spear Motors-Kyambogo'!F38,'30.07 Spear Motors-Kyambogo'!F38,'31.07 Spear Motors-Kyambogo'!F38,'02.08 Spear Motors-Kyambogo'!F38,'01.08 Spear Motors-Kyambogo'!F38,'03.08 Spear Motors-Kyambogo'!F38,'04.08 Spear Motors-Kyambogo'!F38)</f>
        <v>56.142857142857146</v>
      </c>
      <c r="G38" s="49">
        <f>AVERAGE('29.07 Spear Motors-Kyambogo'!G38,'30.07 Spear Motors-Kyambogo'!G38,'31.07 Spear Motors-Kyambogo'!G38,'02.08 Spear Motors-Kyambogo'!G38,'01.08 Spear Motors-Kyambogo'!G38,'03.08 Spear Motors-Kyambogo'!G38,'04.08 Spear Motors-Kyambogo'!G38)</f>
        <v>2.1428571428571428</v>
      </c>
      <c r="H38" s="49">
        <f>AVERAGE('29.07 Spear Motors-Kyambogo'!H38,'30.07 Spear Motors-Kyambogo'!H38,'31.07 Spear Motors-Kyambogo'!H38,'02.08 Spear Motors-Kyambogo'!H38,'01.08 Spear Motors-Kyambogo'!H38,'03.08 Spear Motors-Kyambogo'!H38,'04.08 Spear Motors-Kyambogo'!H38)</f>
        <v>0.42857142857142855</v>
      </c>
      <c r="I38" s="49">
        <f>AVERAGE('29.07 Spear Motors-Kyambogo'!I38,'30.07 Spear Motors-Kyambogo'!I38,'31.07 Spear Motors-Kyambogo'!I38,'02.08 Spear Motors-Kyambogo'!I38,'01.08 Spear Motors-Kyambogo'!I38,'03.08 Spear Motors-Kyambogo'!I38,'04.08 Spear Motors-Kyambogo'!I38)</f>
        <v>9.5714285714285712</v>
      </c>
      <c r="J38" s="49">
        <f>AVERAGE('29.07 Spear Motors-Kyambogo'!J38,'30.07 Spear Motors-Kyambogo'!J38,'31.07 Spear Motors-Kyambogo'!J38,'02.08 Spear Motors-Kyambogo'!J38,'01.08 Spear Motors-Kyambogo'!J38,'03.08 Spear Motors-Kyambogo'!J38,'04.08 Spear Motors-Kyambogo'!J38)</f>
        <v>4.8571428571428568</v>
      </c>
      <c r="K38" s="49">
        <f>AVERAGE('29.07 Spear Motors-Kyambogo'!K38,'30.07 Spear Motors-Kyambogo'!K38,'31.07 Spear Motors-Kyambogo'!K38,'02.08 Spear Motors-Kyambogo'!K38,'01.08 Spear Motors-Kyambogo'!K38,'03.08 Spear Motors-Kyambogo'!K38,'04.08 Spear Motors-Kyambogo'!K38)</f>
        <v>3.4285714285714284</v>
      </c>
      <c r="L38" s="49">
        <f>AVERAGE('29.07 Spear Motors-Kyambogo'!L38,'30.07 Spear Motors-Kyambogo'!L38,'31.07 Spear Motors-Kyambogo'!L38,'02.08 Spear Motors-Kyambogo'!L38,'01.08 Spear Motors-Kyambogo'!L38,'03.08 Spear Motors-Kyambogo'!L38,'04.08 Spear Motors-Kyambogo'!L38)</f>
        <v>6.5714285714285712</v>
      </c>
      <c r="M38" s="49">
        <f>AVERAGE('29.07 Spear Motors-Kyambogo'!M38,'30.07 Spear Motors-Kyambogo'!M38,'31.07 Spear Motors-Kyambogo'!M38,'02.08 Spear Motors-Kyambogo'!M38,'01.08 Spear Motors-Kyambogo'!M38,'03.08 Spear Motors-Kyambogo'!M38,'04.08 Spear Motors-Kyambogo'!M38)</f>
        <v>316.28571428571428</v>
      </c>
      <c r="N38" s="49">
        <f>AVERAGE('29.07 Spear Motors-Kyambogo'!N38,'30.07 Spear Motors-Kyambogo'!N38,'31.07 Spear Motors-Kyambogo'!N38,'02.08 Spear Motors-Kyambogo'!N38,'01.08 Spear Motors-Kyambogo'!N38,'03.08 Spear Motors-Kyambogo'!N38,'04.08 Spear Motors-Kyambogo'!N38)</f>
        <v>0</v>
      </c>
      <c r="O38" s="15">
        <f t="shared" si="0"/>
        <v>170.71428571428572</v>
      </c>
      <c r="P38" s="15">
        <f t="shared" si="1"/>
        <v>487</v>
      </c>
      <c r="R38" s="28" t="s">
        <v>86</v>
      </c>
      <c r="S38" s="16">
        <f t="shared" ref="S38:AF38" si="30">SUM(S13:S18)</f>
        <v>1407.5714285714284</v>
      </c>
      <c r="T38" s="16">
        <f t="shared" si="30"/>
        <v>518.28571428571433</v>
      </c>
      <c r="U38" s="16">
        <f t="shared" si="30"/>
        <v>276.71428571428572</v>
      </c>
      <c r="V38" s="16">
        <f t="shared" si="30"/>
        <v>1543</v>
      </c>
      <c r="W38" s="16">
        <f t="shared" si="30"/>
        <v>39.095238095238102</v>
      </c>
      <c r="X38" s="16">
        <f t="shared" si="30"/>
        <v>15.976190476190478</v>
      </c>
      <c r="Y38" s="16">
        <f t="shared" si="30"/>
        <v>204.57142857142856</v>
      </c>
      <c r="Z38" s="16">
        <f t="shared" si="30"/>
        <v>108.42857142857142</v>
      </c>
      <c r="AA38" s="16">
        <f t="shared" si="30"/>
        <v>52.30952380952381</v>
      </c>
      <c r="AB38" s="16">
        <f t="shared" si="30"/>
        <v>115</v>
      </c>
      <c r="AC38" s="16">
        <f t="shared" si="30"/>
        <v>6921.4285714285716</v>
      </c>
      <c r="AD38" s="16">
        <f t="shared" si="30"/>
        <v>0</v>
      </c>
      <c r="AE38" s="32">
        <f t="shared" si="30"/>
        <v>4280.9523809523807</v>
      </c>
      <c r="AF38" s="32">
        <f t="shared" si="30"/>
        <v>11202.380952380952</v>
      </c>
    </row>
    <row r="39" spans="2:32" ht="23.1" customHeight="1" x14ac:dyDescent="0.25">
      <c r="B39" s="24" t="s">
        <v>66</v>
      </c>
      <c r="C39" s="49">
        <f>AVERAGE('29.07 Spear Motors-Kyambogo'!C39,'30.07 Spear Motors-Kyambogo'!C39,'31.07 Spear Motors-Kyambogo'!C39,'02.08 Spear Motors-Kyambogo'!C39,'01.08 Spear Motors-Kyambogo'!C39,'03.08 Spear Motors-Kyambogo'!C39,'04.08 Spear Motors-Kyambogo'!C39)</f>
        <v>55.571428571428569</v>
      </c>
      <c r="D39" s="49">
        <f>AVERAGE('29.07 Spear Motors-Kyambogo'!D39,'30.07 Spear Motors-Kyambogo'!D39,'31.07 Spear Motors-Kyambogo'!D39,'02.08 Spear Motors-Kyambogo'!D39,'01.08 Spear Motors-Kyambogo'!D39,'03.08 Spear Motors-Kyambogo'!D39,'04.08 Spear Motors-Kyambogo'!D39)</f>
        <v>23.857142857142858</v>
      </c>
      <c r="E39" s="49">
        <f>AVERAGE('29.07 Spear Motors-Kyambogo'!E39,'30.07 Spear Motors-Kyambogo'!E39,'31.07 Spear Motors-Kyambogo'!E39,'02.08 Spear Motors-Kyambogo'!E39,'01.08 Spear Motors-Kyambogo'!E39,'03.08 Spear Motors-Kyambogo'!E39,'04.08 Spear Motors-Kyambogo'!E39)</f>
        <v>10.285714285714286</v>
      </c>
      <c r="F39" s="49">
        <f>AVERAGE('29.07 Spear Motors-Kyambogo'!F39,'30.07 Spear Motors-Kyambogo'!F39,'31.07 Spear Motors-Kyambogo'!F39,'02.08 Spear Motors-Kyambogo'!F39,'01.08 Spear Motors-Kyambogo'!F39,'03.08 Spear Motors-Kyambogo'!F39,'04.08 Spear Motors-Kyambogo'!F39)</f>
        <v>57.571428571428569</v>
      </c>
      <c r="G39" s="49">
        <f>AVERAGE('29.07 Spear Motors-Kyambogo'!G39,'30.07 Spear Motors-Kyambogo'!G39,'31.07 Spear Motors-Kyambogo'!G39,'02.08 Spear Motors-Kyambogo'!G39,'01.08 Spear Motors-Kyambogo'!G39,'03.08 Spear Motors-Kyambogo'!G39,'04.08 Spear Motors-Kyambogo'!G39)</f>
        <v>1.5714285714285714</v>
      </c>
      <c r="H39" s="49">
        <f>AVERAGE('29.07 Spear Motors-Kyambogo'!H39,'30.07 Spear Motors-Kyambogo'!H39,'31.07 Spear Motors-Kyambogo'!H39,'02.08 Spear Motors-Kyambogo'!H39,'01.08 Spear Motors-Kyambogo'!H39,'03.08 Spear Motors-Kyambogo'!H39,'04.08 Spear Motors-Kyambogo'!H39)</f>
        <v>0.7142857142857143</v>
      </c>
      <c r="I39" s="49">
        <f>AVERAGE('29.07 Spear Motors-Kyambogo'!I39,'30.07 Spear Motors-Kyambogo'!I39,'31.07 Spear Motors-Kyambogo'!I39,'02.08 Spear Motors-Kyambogo'!I39,'01.08 Spear Motors-Kyambogo'!I39,'03.08 Spear Motors-Kyambogo'!I39,'04.08 Spear Motors-Kyambogo'!I39)</f>
        <v>9</v>
      </c>
      <c r="J39" s="49">
        <f>AVERAGE('29.07 Spear Motors-Kyambogo'!J39,'30.07 Spear Motors-Kyambogo'!J39,'31.07 Spear Motors-Kyambogo'!J39,'02.08 Spear Motors-Kyambogo'!J39,'01.08 Spear Motors-Kyambogo'!J39,'03.08 Spear Motors-Kyambogo'!J39,'04.08 Spear Motors-Kyambogo'!J39)</f>
        <v>3.1428571428571428</v>
      </c>
      <c r="K39" s="49">
        <f>AVERAGE('29.07 Spear Motors-Kyambogo'!K39,'30.07 Spear Motors-Kyambogo'!K39,'31.07 Spear Motors-Kyambogo'!K39,'02.08 Spear Motors-Kyambogo'!K39,'01.08 Spear Motors-Kyambogo'!K39,'03.08 Spear Motors-Kyambogo'!K39,'04.08 Spear Motors-Kyambogo'!K39)</f>
        <v>1.8571428571428572</v>
      </c>
      <c r="L39" s="49">
        <f>AVERAGE('29.07 Spear Motors-Kyambogo'!L39,'30.07 Spear Motors-Kyambogo'!L39,'31.07 Spear Motors-Kyambogo'!L39,'02.08 Spear Motors-Kyambogo'!L39,'01.08 Spear Motors-Kyambogo'!L39,'03.08 Spear Motors-Kyambogo'!L39,'04.08 Spear Motors-Kyambogo'!L39)</f>
        <v>4</v>
      </c>
      <c r="M39" s="49">
        <f>AVERAGE('29.07 Spear Motors-Kyambogo'!M39,'30.07 Spear Motors-Kyambogo'!M39,'31.07 Spear Motors-Kyambogo'!M39,'02.08 Spear Motors-Kyambogo'!M39,'01.08 Spear Motors-Kyambogo'!M39,'03.08 Spear Motors-Kyambogo'!M39,'04.08 Spear Motors-Kyambogo'!M39)</f>
        <v>248.57142857142858</v>
      </c>
      <c r="N39" s="49">
        <f>AVERAGE('29.07 Spear Motors-Kyambogo'!N39,'30.07 Spear Motors-Kyambogo'!N39,'31.07 Spear Motors-Kyambogo'!N39,'02.08 Spear Motors-Kyambogo'!N39,'01.08 Spear Motors-Kyambogo'!N39,'03.08 Spear Motors-Kyambogo'!N39,'04.08 Spear Motors-Kyambogo'!N39)</f>
        <v>0</v>
      </c>
      <c r="O39" s="15">
        <f t="shared" si="0"/>
        <v>167.57142857142858</v>
      </c>
      <c r="P39" s="15">
        <f t="shared" si="1"/>
        <v>416.14285714285717</v>
      </c>
      <c r="R39" s="29" t="s">
        <v>87</v>
      </c>
      <c r="S39" s="16">
        <f t="shared" ref="S39:AF39" si="31">SUM(S19:S21)</f>
        <v>1300.5714285714287</v>
      </c>
      <c r="T39" s="16">
        <f t="shared" si="31"/>
        <v>534.42857142857144</v>
      </c>
      <c r="U39" s="16">
        <f t="shared" si="31"/>
        <v>254.28571428571431</v>
      </c>
      <c r="V39" s="16">
        <f t="shared" si="31"/>
        <v>668.42857142857144</v>
      </c>
      <c r="W39" s="16">
        <f t="shared" si="31"/>
        <v>18.714285714285715</v>
      </c>
      <c r="X39" s="16">
        <f t="shared" si="31"/>
        <v>4.7142857142857144</v>
      </c>
      <c r="Y39" s="16">
        <f t="shared" si="31"/>
        <v>87.142857142857153</v>
      </c>
      <c r="Z39" s="16">
        <f t="shared" si="31"/>
        <v>42.571428571428569</v>
      </c>
      <c r="AA39" s="16">
        <f t="shared" si="31"/>
        <v>13.857142857142858</v>
      </c>
      <c r="AB39" s="16">
        <f t="shared" si="31"/>
        <v>32.285714285714285</v>
      </c>
      <c r="AC39" s="16">
        <f t="shared" si="31"/>
        <v>3776.5714285714289</v>
      </c>
      <c r="AD39" s="16">
        <f t="shared" si="31"/>
        <v>0</v>
      </c>
      <c r="AE39" s="32">
        <f t="shared" si="31"/>
        <v>2957</v>
      </c>
      <c r="AF39" s="32">
        <f t="shared" si="31"/>
        <v>6733.5714285714284</v>
      </c>
    </row>
    <row r="40" spans="2:32" ht="23.1" customHeight="1" x14ac:dyDescent="0.25">
      <c r="B40" s="24" t="s">
        <v>67</v>
      </c>
      <c r="C40" s="49">
        <f>AVERAGE('29.07 Spear Motors-Kyambogo'!C40,'30.07 Spear Motors-Kyambogo'!C40,'31.07 Spear Motors-Kyambogo'!C40,'02.08 Spear Motors-Kyambogo'!C40,'01.08 Spear Motors-Kyambogo'!C40,'03.08 Spear Motors-Kyambogo'!C40,'04.08 Spear Motors-Kyambogo'!C40)</f>
        <v>60.571428571428569</v>
      </c>
      <c r="D40" s="49">
        <f>AVERAGE('29.07 Spear Motors-Kyambogo'!D40,'30.07 Spear Motors-Kyambogo'!D40,'31.07 Spear Motors-Kyambogo'!D40,'02.08 Spear Motors-Kyambogo'!D40,'01.08 Spear Motors-Kyambogo'!D40,'03.08 Spear Motors-Kyambogo'!D40,'04.08 Spear Motors-Kyambogo'!D40)</f>
        <v>22</v>
      </c>
      <c r="E40" s="49">
        <f>AVERAGE('29.07 Spear Motors-Kyambogo'!E40,'30.07 Spear Motors-Kyambogo'!E40,'31.07 Spear Motors-Kyambogo'!E40,'02.08 Spear Motors-Kyambogo'!E40,'01.08 Spear Motors-Kyambogo'!E40,'03.08 Spear Motors-Kyambogo'!E40,'04.08 Spear Motors-Kyambogo'!E40)</f>
        <v>11</v>
      </c>
      <c r="F40" s="49">
        <f>AVERAGE('29.07 Spear Motors-Kyambogo'!F40,'30.07 Spear Motors-Kyambogo'!F40,'31.07 Spear Motors-Kyambogo'!F40,'02.08 Spear Motors-Kyambogo'!F40,'01.08 Spear Motors-Kyambogo'!F40,'03.08 Spear Motors-Kyambogo'!F40,'04.08 Spear Motors-Kyambogo'!F40)</f>
        <v>58.714285714285715</v>
      </c>
      <c r="G40" s="49">
        <f>AVERAGE('29.07 Spear Motors-Kyambogo'!G40,'30.07 Spear Motors-Kyambogo'!G40,'31.07 Spear Motors-Kyambogo'!G40,'02.08 Spear Motors-Kyambogo'!G40,'01.08 Spear Motors-Kyambogo'!G40,'03.08 Spear Motors-Kyambogo'!G40,'04.08 Spear Motors-Kyambogo'!G40)</f>
        <v>1.2857142857142858</v>
      </c>
      <c r="H40" s="49">
        <f>AVERAGE('29.07 Spear Motors-Kyambogo'!H40,'30.07 Spear Motors-Kyambogo'!H40,'31.07 Spear Motors-Kyambogo'!H40,'02.08 Spear Motors-Kyambogo'!H40,'01.08 Spear Motors-Kyambogo'!H40,'03.08 Spear Motors-Kyambogo'!H40,'04.08 Spear Motors-Kyambogo'!H40)</f>
        <v>1.1428571428571428</v>
      </c>
      <c r="I40" s="49">
        <f>AVERAGE('29.07 Spear Motors-Kyambogo'!I40,'30.07 Spear Motors-Kyambogo'!I40,'31.07 Spear Motors-Kyambogo'!I40,'02.08 Spear Motors-Kyambogo'!I40,'01.08 Spear Motors-Kyambogo'!I40,'03.08 Spear Motors-Kyambogo'!I40,'04.08 Spear Motors-Kyambogo'!I40)</f>
        <v>9.2857142857142865</v>
      </c>
      <c r="J40" s="49">
        <f>AVERAGE('29.07 Spear Motors-Kyambogo'!J40,'30.07 Spear Motors-Kyambogo'!J40,'31.07 Spear Motors-Kyambogo'!J40,'02.08 Spear Motors-Kyambogo'!J40,'01.08 Spear Motors-Kyambogo'!J40,'03.08 Spear Motors-Kyambogo'!J40,'04.08 Spear Motors-Kyambogo'!J40)</f>
        <v>3</v>
      </c>
      <c r="K40" s="49">
        <f>AVERAGE('29.07 Spear Motors-Kyambogo'!K40,'30.07 Spear Motors-Kyambogo'!K40,'31.07 Spear Motors-Kyambogo'!K40,'02.08 Spear Motors-Kyambogo'!K40,'01.08 Spear Motors-Kyambogo'!K40,'03.08 Spear Motors-Kyambogo'!K40,'04.08 Spear Motors-Kyambogo'!K40)</f>
        <v>1.7142857142857142</v>
      </c>
      <c r="L40" s="49">
        <f>AVERAGE('29.07 Spear Motors-Kyambogo'!L40,'30.07 Spear Motors-Kyambogo'!L40,'31.07 Spear Motors-Kyambogo'!L40,'02.08 Spear Motors-Kyambogo'!L40,'01.08 Spear Motors-Kyambogo'!L40,'03.08 Spear Motors-Kyambogo'!L40,'04.08 Spear Motors-Kyambogo'!L40)</f>
        <v>4.5714285714285712</v>
      </c>
      <c r="M40" s="49">
        <f>AVERAGE('29.07 Spear Motors-Kyambogo'!M40,'30.07 Spear Motors-Kyambogo'!M40,'31.07 Spear Motors-Kyambogo'!M40,'02.08 Spear Motors-Kyambogo'!M40,'01.08 Spear Motors-Kyambogo'!M40,'03.08 Spear Motors-Kyambogo'!M40,'04.08 Spear Motors-Kyambogo'!M40)</f>
        <v>252.14285714285714</v>
      </c>
      <c r="N40" s="49">
        <f>AVERAGE('29.07 Spear Motors-Kyambogo'!N40,'30.07 Spear Motors-Kyambogo'!N40,'31.07 Spear Motors-Kyambogo'!N40,'02.08 Spear Motors-Kyambogo'!N40,'01.08 Spear Motors-Kyambogo'!N40,'03.08 Spear Motors-Kyambogo'!N40,'04.08 Spear Motors-Kyambogo'!N40)</f>
        <v>0</v>
      </c>
      <c r="O40" s="15">
        <f t="shared" si="0"/>
        <v>173.28571428571428</v>
      </c>
      <c r="P40" s="15">
        <f t="shared" si="1"/>
        <v>425.42857142857144</v>
      </c>
      <c r="R40" s="5" t="s">
        <v>17</v>
      </c>
      <c r="S40" s="16">
        <f t="shared" ref="S40:AF40" si="32">SUM(S10:S21)</f>
        <v>3168.4285714285716</v>
      </c>
      <c r="T40" s="16">
        <f t="shared" si="32"/>
        <v>1223.7142857142858</v>
      </c>
      <c r="U40" s="16">
        <f t="shared" si="32"/>
        <v>624.42857142857156</v>
      </c>
      <c r="V40" s="16">
        <f t="shared" si="32"/>
        <v>2835</v>
      </c>
      <c r="W40" s="16">
        <f t="shared" si="32"/>
        <v>132.8095238095238</v>
      </c>
      <c r="X40" s="16">
        <f t="shared" si="32"/>
        <v>27.833333333333332</v>
      </c>
      <c r="Y40" s="16">
        <f t="shared" si="32"/>
        <v>345.99999999999994</v>
      </c>
      <c r="Z40" s="16">
        <f t="shared" si="32"/>
        <v>181.71428571428572</v>
      </c>
      <c r="AA40" s="16">
        <f t="shared" si="32"/>
        <v>89.166666666666657</v>
      </c>
      <c r="AB40" s="16">
        <f t="shared" si="32"/>
        <v>177.57142857142856</v>
      </c>
      <c r="AC40" s="16">
        <f t="shared" si="32"/>
        <v>14046.142857142857</v>
      </c>
      <c r="AD40" s="16">
        <f t="shared" si="32"/>
        <v>0</v>
      </c>
      <c r="AE40" s="32">
        <f t="shared" si="32"/>
        <v>8806.6666666666661</v>
      </c>
      <c r="AF40" s="32">
        <f t="shared" si="32"/>
        <v>22852.809523809523</v>
      </c>
    </row>
    <row r="41" spans="2:32" ht="23.1" customHeight="1" x14ac:dyDescent="0.25">
      <c r="B41" s="23" t="s">
        <v>68</v>
      </c>
      <c r="C41" s="49">
        <f>AVERAGE('29.07 Spear Motors-Kyambogo'!C41,'30.07 Spear Motors-Kyambogo'!C41,'31.07 Spear Motors-Kyambogo'!C41,'02.08 Spear Motors-Kyambogo'!C41,'01.08 Spear Motors-Kyambogo'!C41,'03.08 Spear Motors-Kyambogo'!C41,'04.08 Spear Motors-Kyambogo'!C41)</f>
        <v>68</v>
      </c>
      <c r="D41" s="49">
        <f>AVERAGE('29.07 Spear Motors-Kyambogo'!D41,'30.07 Spear Motors-Kyambogo'!D41,'31.07 Spear Motors-Kyambogo'!D41,'02.08 Spear Motors-Kyambogo'!D41,'01.08 Spear Motors-Kyambogo'!D41,'03.08 Spear Motors-Kyambogo'!D41,'04.08 Spear Motors-Kyambogo'!D41)</f>
        <v>23.285714285714285</v>
      </c>
      <c r="E41" s="49">
        <f>AVERAGE('29.07 Spear Motors-Kyambogo'!E41,'30.07 Spear Motors-Kyambogo'!E41,'31.07 Spear Motors-Kyambogo'!E41,'02.08 Spear Motors-Kyambogo'!E41,'01.08 Spear Motors-Kyambogo'!E41,'03.08 Spear Motors-Kyambogo'!E41,'04.08 Spear Motors-Kyambogo'!E41)</f>
        <v>9.2857142857142865</v>
      </c>
      <c r="F41" s="49">
        <f>AVERAGE('29.07 Spear Motors-Kyambogo'!F41,'30.07 Spear Motors-Kyambogo'!F41,'31.07 Spear Motors-Kyambogo'!F41,'02.08 Spear Motors-Kyambogo'!F41,'01.08 Spear Motors-Kyambogo'!F41,'03.08 Spear Motors-Kyambogo'!F41,'04.08 Spear Motors-Kyambogo'!F41)</f>
        <v>54.428571428571431</v>
      </c>
      <c r="G41" s="49">
        <f>AVERAGE('29.07 Spear Motors-Kyambogo'!G41,'30.07 Spear Motors-Kyambogo'!G41,'31.07 Spear Motors-Kyambogo'!G41,'02.08 Spear Motors-Kyambogo'!G41,'01.08 Spear Motors-Kyambogo'!G41,'03.08 Spear Motors-Kyambogo'!G41,'04.08 Spear Motors-Kyambogo'!G41)</f>
        <v>1.4285714285714286</v>
      </c>
      <c r="H41" s="49">
        <f>AVERAGE('29.07 Spear Motors-Kyambogo'!H41,'30.07 Spear Motors-Kyambogo'!H41,'31.07 Spear Motors-Kyambogo'!H41,'02.08 Spear Motors-Kyambogo'!H41,'01.08 Spear Motors-Kyambogo'!H41,'03.08 Spear Motors-Kyambogo'!H41,'04.08 Spear Motors-Kyambogo'!H41)</f>
        <v>0.7142857142857143</v>
      </c>
      <c r="I41" s="49">
        <f>AVERAGE('29.07 Spear Motors-Kyambogo'!I41,'30.07 Spear Motors-Kyambogo'!I41,'31.07 Spear Motors-Kyambogo'!I41,'02.08 Spear Motors-Kyambogo'!I41,'01.08 Spear Motors-Kyambogo'!I41,'03.08 Spear Motors-Kyambogo'!I41,'04.08 Spear Motors-Kyambogo'!I41)</f>
        <v>11.285714285714286</v>
      </c>
      <c r="J41" s="49">
        <f>AVERAGE('29.07 Spear Motors-Kyambogo'!J41,'30.07 Spear Motors-Kyambogo'!J41,'31.07 Spear Motors-Kyambogo'!J41,'02.08 Spear Motors-Kyambogo'!J41,'01.08 Spear Motors-Kyambogo'!J41,'03.08 Spear Motors-Kyambogo'!J41,'04.08 Spear Motors-Kyambogo'!J41)</f>
        <v>3.7142857142857144</v>
      </c>
      <c r="K41" s="49">
        <f>AVERAGE('29.07 Spear Motors-Kyambogo'!K41,'30.07 Spear Motors-Kyambogo'!K41,'31.07 Spear Motors-Kyambogo'!K41,'02.08 Spear Motors-Kyambogo'!K41,'01.08 Spear Motors-Kyambogo'!K41,'03.08 Spear Motors-Kyambogo'!K41,'04.08 Spear Motors-Kyambogo'!K41)</f>
        <v>2.4285714285714284</v>
      </c>
      <c r="L41" s="49">
        <f>AVERAGE('29.07 Spear Motors-Kyambogo'!L41,'30.07 Spear Motors-Kyambogo'!L41,'31.07 Spear Motors-Kyambogo'!L41,'02.08 Spear Motors-Kyambogo'!L41,'01.08 Spear Motors-Kyambogo'!L41,'03.08 Spear Motors-Kyambogo'!L41,'04.08 Spear Motors-Kyambogo'!L41)</f>
        <v>5.5714285714285712</v>
      </c>
      <c r="M41" s="49">
        <f>AVERAGE('29.07 Spear Motors-Kyambogo'!M41,'30.07 Spear Motors-Kyambogo'!M41,'31.07 Spear Motors-Kyambogo'!M41,'02.08 Spear Motors-Kyambogo'!M41,'01.08 Spear Motors-Kyambogo'!M41,'03.08 Spear Motors-Kyambogo'!M41,'04.08 Spear Motors-Kyambogo'!M41)</f>
        <v>317.42857142857144</v>
      </c>
      <c r="N41" s="49">
        <f>AVERAGE('29.07 Spear Motors-Kyambogo'!N41,'30.07 Spear Motors-Kyambogo'!N41,'31.07 Spear Motors-Kyambogo'!N41,'02.08 Spear Motors-Kyambogo'!N41,'01.08 Spear Motors-Kyambogo'!N41,'03.08 Spear Motors-Kyambogo'!N41,'04.08 Spear Motors-Kyambogo'!N41)</f>
        <v>0</v>
      </c>
      <c r="O41" s="15">
        <f t="shared" si="0"/>
        <v>180.14285714285714</v>
      </c>
      <c r="P41" s="15">
        <f t="shared" si="1"/>
        <v>497.57142857142856</v>
      </c>
      <c r="R41" s="5" t="s">
        <v>176</v>
      </c>
      <c r="S41" s="16">
        <f>SUM(S10:S33)</f>
        <v>4554.9285714285716</v>
      </c>
      <c r="T41" s="16">
        <f t="shared" ref="T41:AD41" si="33">SUM(T10:T33)</f>
        <v>1615.7142857142858</v>
      </c>
      <c r="U41" s="16">
        <f t="shared" si="33"/>
        <v>799.92857142857156</v>
      </c>
      <c r="V41" s="16">
        <f t="shared" si="33"/>
        <v>3869</v>
      </c>
      <c r="W41" s="16">
        <f t="shared" si="33"/>
        <v>190.3095238095238</v>
      </c>
      <c r="X41" s="16">
        <f t="shared" si="33"/>
        <v>51.833333333333329</v>
      </c>
      <c r="Y41" s="16">
        <f t="shared" si="33"/>
        <v>455.99999999999994</v>
      </c>
      <c r="Z41" s="16">
        <f t="shared" si="33"/>
        <v>285.71428571428572</v>
      </c>
      <c r="AA41" s="16">
        <f t="shared" si="33"/>
        <v>145.16666666666666</v>
      </c>
      <c r="AB41" s="16">
        <f t="shared" si="33"/>
        <v>273.07142857142856</v>
      </c>
      <c r="AC41" s="16">
        <f t="shared" si="33"/>
        <v>19164.642857142855</v>
      </c>
      <c r="AD41" s="16">
        <f t="shared" si="33"/>
        <v>0</v>
      </c>
      <c r="AE41" s="32">
        <f>SUM(AE10:AE33)</f>
        <v>12240.666666666666</v>
      </c>
      <c r="AF41" s="32">
        <f>SUM(AF10:AF33)</f>
        <v>31405.309523809523</v>
      </c>
    </row>
    <row r="42" spans="2:32" ht="23.1" customHeight="1" x14ac:dyDescent="0.25">
      <c r="B42" s="24" t="s">
        <v>69</v>
      </c>
      <c r="C42" s="49">
        <f>AVERAGE('29.07 Spear Motors-Kyambogo'!C42,'30.07 Spear Motors-Kyambogo'!C42,'31.07 Spear Motors-Kyambogo'!C42,'02.08 Spear Motors-Kyambogo'!C42,'01.08 Spear Motors-Kyambogo'!C42,'03.08 Spear Motors-Kyambogo'!C42,'04.08 Spear Motors-Kyambogo'!C42)</f>
        <v>66.428571428571431</v>
      </c>
      <c r="D42" s="49">
        <f>AVERAGE('29.07 Spear Motors-Kyambogo'!D42,'30.07 Spear Motors-Kyambogo'!D42,'31.07 Spear Motors-Kyambogo'!D42,'02.08 Spear Motors-Kyambogo'!D42,'01.08 Spear Motors-Kyambogo'!D42,'03.08 Spear Motors-Kyambogo'!D42,'04.08 Spear Motors-Kyambogo'!D42)</f>
        <v>24.857142857142858</v>
      </c>
      <c r="E42" s="49">
        <f>AVERAGE('29.07 Spear Motors-Kyambogo'!E42,'30.07 Spear Motors-Kyambogo'!E42,'31.07 Spear Motors-Kyambogo'!E42,'02.08 Spear Motors-Kyambogo'!E42,'01.08 Spear Motors-Kyambogo'!E42,'03.08 Spear Motors-Kyambogo'!E42,'04.08 Spear Motors-Kyambogo'!E42)</f>
        <v>10.428571428571429</v>
      </c>
      <c r="F42" s="49">
        <f>AVERAGE('29.07 Spear Motors-Kyambogo'!F42,'30.07 Spear Motors-Kyambogo'!F42,'31.07 Spear Motors-Kyambogo'!F42,'02.08 Spear Motors-Kyambogo'!F42,'01.08 Spear Motors-Kyambogo'!F42,'03.08 Spear Motors-Kyambogo'!F42,'04.08 Spear Motors-Kyambogo'!F42)</f>
        <v>63.428571428571431</v>
      </c>
      <c r="G42" s="49">
        <f>AVERAGE('29.07 Spear Motors-Kyambogo'!G42,'30.07 Spear Motors-Kyambogo'!G42,'31.07 Spear Motors-Kyambogo'!G42,'02.08 Spear Motors-Kyambogo'!G42,'01.08 Spear Motors-Kyambogo'!G42,'03.08 Spear Motors-Kyambogo'!G42,'04.08 Spear Motors-Kyambogo'!G42)</f>
        <v>2</v>
      </c>
      <c r="H42" s="49">
        <f>AVERAGE('29.07 Spear Motors-Kyambogo'!H42,'30.07 Spear Motors-Kyambogo'!H42,'31.07 Spear Motors-Kyambogo'!H42,'02.08 Spear Motors-Kyambogo'!H42,'01.08 Spear Motors-Kyambogo'!H42,'03.08 Spear Motors-Kyambogo'!H42,'04.08 Spear Motors-Kyambogo'!H42)</f>
        <v>0.8571428571428571</v>
      </c>
      <c r="I42" s="49">
        <f>AVERAGE('29.07 Spear Motors-Kyambogo'!I42,'30.07 Spear Motors-Kyambogo'!I42,'31.07 Spear Motors-Kyambogo'!I42,'02.08 Spear Motors-Kyambogo'!I42,'01.08 Spear Motors-Kyambogo'!I42,'03.08 Spear Motors-Kyambogo'!I42,'04.08 Spear Motors-Kyambogo'!I42)</f>
        <v>11.285714285714286</v>
      </c>
      <c r="J42" s="49">
        <f>AVERAGE('29.07 Spear Motors-Kyambogo'!J42,'30.07 Spear Motors-Kyambogo'!J42,'31.07 Spear Motors-Kyambogo'!J42,'02.08 Spear Motors-Kyambogo'!J42,'01.08 Spear Motors-Kyambogo'!J42,'03.08 Spear Motors-Kyambogo'!J42,'04.08 Spear Motors-Kyambogo'!J42)</f>
        <v>3.4285714285714284</v>
      </c>
      <c r="K42" s="49">
        <f>AVERAGE('29.07 Spear Motors-Kyambogo'!K42,'30.07 Spear Motors-Kyambogo'!K42,'31.07 Spear Motors-Kyambogo'!K42,'02.08 Spear Motors-Kyambogo'!K42,'01.08 Spear Motors-Kyambogo'!K42,'03.08 Spear Motors-Kyambogo'!K42,'04.08 Spear Motors-Kyambogo'!K42)</f>
        <v>1.4285714285714286</v>
      </c>
      <c r="L42" s="49">
        <f>AVERAGE('29.07 Spear Motors-Kyambogo'!L42,'30.07 Spear Motors-Kyambogo'!L42,'31.07 Spear Motors-Kyambogo'!L42,'02.08 Spear Motors-Kyambogo'!L42,'01.08 Spear Motors-Kyambogo'!L42,'03.08 Spear Motors-Kyambogo'!L42,'04.08 Spear Motors-Kyambogo'!L42)</f>
        <v>4.4285714285714288</v>
      </c>
      <c r="M42" s="49">
        <f>AVERAGE('29.07 Spear Motors-Kyambogo'!M42,'30.07 Spear Motors-Kyambogo'!M42,'31.07 Spear Motors-Kyambogo'!M42,'02.08 Spear Motors-Kyambogo'!M42,'01.08 Spear Motors-Kyambogo'!M42,'03.08 Spear Motors-Kyambogo'!M42,'04.08 Spear Motors-Kyambogo'!M42)</f>
        <v>353.28571428571428</v>
      </c>
      <c r="N42" s="49">
        <f>AVERAGE('29.07 Spear Motors-Kyambogo'!N42,'30.07 Spear Motors-Kyambogo'!N42,'31.07 Spear Motors-Kyambogo'!N42,'02.08 Spear Motors-Kyambogo'!N42,'01.08 Spear Motors-Kyambogo'!N42,'03.08 Spear Motors-Kyambogo'!N42,'04.08 Spear Motors-Kyambogo'!N42)</f>
        <v>0</v>
      </c>
      <c r="O42" s="15">
        <f t="shared" si="0"/>
        <v>188.57142857142856</v>
      </c>
      <c r="P42" s="15">
        <f t="shared" si="1"/>
        <v>541.85714285714289</v>
      </c>
      <c r="R42" s="5" t="s">
        <v>160</v>
      </c>
      <c r="S42" s="48">
        <f>S41/S40</f>
        <v>1.4375986293340548</v>
      </c>
      <c r="T42" s="48">
        <f t="shared" ref="T42:AF42" si="34">T41/T40</f>
        <v>1.3203362129348588</v>
      </c>
      <c r="U42" s="48">
        <f t="shared" si="34"/>
        <v>1.2810569663692519</v>
      </c>
      <c r="V42" s="48">
        <f t="shared" si="34"/>
        <v>1.364726631393298</v>
      </c>
      <c r="W42" s="48">
        <f t="shared" si="34"/>
        <v>1.4329508784510578</v>
      </c>
      <c r="X42" s="48">
        <f t="shared" si="34"/>
        <v>1.8622754491017963</v>
      </c>
      <c r="Y42" s="48">
        <f t="shared" si="34"/>
        <v>1.3179190751445087</v>
      </c>
      <c r="Z42" s="48">
        <f t="shared" si="34"/>
        <v>1.5723270440251571</v>
      </c>
      <c r="AA42" s="48">
        <f t="shared" si="34"/>
        <v>1.6280373831775701</v>
      </c>
      <c r="AB42" s="48">
        <f t="shared" si="34"/>
        <v>1.5378117457763476</v>
      </c>
      <c r="AC42" s="48">
        <f t="shared" si="34"/>
        <v>1.3644060901315052</v>
      </c>
      <c r="AD42" s="48" t="e">
        <f t="shared" si="34"/>
        <v>#DIV/0!</v>
      </c>
      <c r="AE42" s="51">
        <f t="shared" si="34"/>
        <v>1.3899318697956093</v>
      </c>
      <c r="AF42" s="51">
        <f t="shared" si="34"/>
        <v>1.374242825202278</v>
      </c>
    </row>
    <row r="43" spans="2:32" ht="23.1" customHeight="1" x14ac:dyDescent="0.25">
      <c r="B43" s="23" t="s">
        <v>70</v>
      </c>
      <c r="C43" s="49">
        <f>AVERAGE('29.07 Spear Motors-Kyambogo'!C43,'30.07 Spear Motors-Kyambogo'!C43,'31.07 Spear Motors-Kyambogo'!C43,'02.08 Spear Motors-Kyambogo'!C43,'01.08 Spear Motors-Kyambogo'!C43,'03.08 Spear Motors-Kyambogo'!C43,'04.08 Spear Motors-Kyambogo'!C43)</f>
        <v>61.857142857142854</v>
      </c>
      <c r="D43" s="49">
        <f>AVERAGE('29.07 Spear Motors-Kyambogo'!D43,'30.07 Spear Motors-Kyambogo'!D43,'31.07 Spear Motors-Kyambogo'!D43,'02.08 Spear Motors-Kyambogo'!D43,'01.08 Spear Motors-Kyambogo'!D43,'03.08 Spear Motors-Kyambogo'!D43,'04.08 Spear Motors-Kyambogo'!D43)</f>
        <v>26.714285714285715</v>
      </c>
      <c r="E43" s="49">
        <f>AVERAGE('29.07 Spear Motors-Kyambogo'!E43,'30.07 Spear Motors-Kyambogo'!E43,'31.07 Spear Motors-Kyambogo'!E43,'02.08 Spear Motors-Kyambogo'!E43,'01.08 Spear Motors-Kyambogo'!E43,'03.08 Spear Motors-Kyambogo'!E43,'04.08 Spear Motors-Kyambogo'!E43)</f>
        <v>9.7142857142857135</v>
      </c>
      <c r="F43" s="49">
        <f>AVERAGE('29.07 Spear Motors-Kyambogo'!F43,'30.07 Spear Motors-Kyambogo'!F43,'31.07 Spear Motors-Kyambogo'!F43,'02.08 Spear Motors-Kyambogo'!F43,'01.08 Spear Motors-Kyambogo'!F43,'03.08 Spear Motors-Kyambogo'!F43,'04.08 Spear Motors-Kyambogo'!F43)</f>
        <v>61.285714285714285</v>
      </c>
      <c r="G43" s="49">
        <f>AVERAGE('29.07 Spear Motors-Kyambogo'!G43,'30.07 Spear Motors-Kyambogo'!G43,'31.07 Spear Motors-Kyambogo'!G43,'02.08 Spear Motors-Kyambogo'!G43,'01.08 Spear Motors-Kyambogo'!G43,'03.08 Spear Motors-Kyambogo'!G43,'04.08 Spear Motors-Kyambogo'!G43)</f>
        <v>1.6666666666666667</v>
      </c>
      <c r="H43" s="49">
        <f>AVERAGE('29.07 Spear Motors-Kyambogo'!H43,'30.07 Spear Motors-Kyambogo'!H43,'31.07 Spear Motors-Kyambogo'!H43,'02.08 Spear Motors-Kyambogo'!H43,'01.08 Spear Motors-Kyambogo'!H43,'03.08 Spear Motors-Kyambogo'!H43,'04.08 Spear Motors-Kyambogo'!H43)</f>
        <v>0.2857142857142857</v>
      </c>
      <c r="I43" s="49">
        <f>AVERAGE('29.07 Spear Motors-Kyambogo'!I43,'30.07 Spear Motors-Kyambogo'!I43,'31.07 Spear Motors-Kyambogo'!I43,'02.08 Spear Motors-Kyambogo'!I43,'01.08 Spear Motors-Kyambogo'!I43,'03.08 Spear Motors-Kyambogo'!I43,'04.08 Spear Motors-Kyambogo'!I43)</f>
        <v>9.1428571428571423</v>
      </c>
      <c r="J43" s="49">
        <f>AVERAGE('29.07 Spear Motors-Kyambogo'!J43,'30.07 Spear Motors-Kyambogo'!J43,'31.07 Spear Motors-Kyambogo'!J43,'02.08 Spear Motors-Kyambogo'!J43,'01.08 Spear Motors-Kyambogo'!J43,'03.08 Spear Motors-Kyambogo'!J43,'04.08 Spear Motors-Kyambogo'!J43)</f>
        <v>4.8571428571428568</v>
      </c>
      <c r="K43" s="49">
        <f>AVERAGE('29.07 Spear Motors-Kyambogo'!K43,'30.07 Spear Motors-Kyambogo'!K43,'31.07 Spear Motors-Kyambogo'!K43,'02.08 Spear Motors-Kyambogo'!K43,'01.08 Spear Motors-Kyambogo'!K43,'03.08 Spear Motors-Kyambogo'!K43,'04.08 Spear Motors-Kyambogo'!K43)</f>
        <v>3.1666666666666665</v>
      </c>
      <c r="L43" s="49">
        <f>AVERAGE('29.07 Spear Motors-Kyambogo'!L43,'30.07 Spear Motors-Kyambogo'!L43,'31.07 Spear Motors-Kyambogo'!L43,'02.08 Spear Motors-Kyambogo'!L43,'01.08 Spear Motors-Kyambogo'!L43,'03.08 Spear Motors-Kyambogo'!L43,'04.08 Spear Motors-Kyambogo'!L43)</f>
        <v>4.8571428571428568</v>
      </c>
      <c r="M43" s="49">
        <f>AVERAGE('29.07 Spear Motors-Kyambogo'!M43,'30.07 Spear Motors-Kyambogo'!M43,'31.07 Spear Motors-Kyambogo'!M43,'02.08 Spear Motors-Kyambogo'!M43,'01.08 Spear Motors-Kyambogo'!M43,'03.08 Spear Motors-Kyambogo'!M43,'04.08 Spear Motors-Kyambogo'!M43)</f>
        <v>282.28571428571428</v>
      </c>
      <c r="N43" s="49">
        <f>AVERAGE('29.07 Spear Motors-Kyambogo'!N43,'30.07 Spear Motors-Kyambogo'!N43,'31.07 Spear Motors-Kyambogo'!N43,'02.08 Spear Motors-Kyambogo'!N43,'01.08 Spear Motors-Kyambogo'!N43,'03.08 Spear Motors-Kyambogo'!N43,'04.08 Spear Motors-Kyambogo'!N43)</f>
        <v>0</v>
      </c>
      <c r="O43" s="15">
        <f t="shared" si="0"/>
        <v>183.54761904761901</v>
      </c>
      <c r="P43" s="15">
        <f t="shared" si="1"/>
        <v>465.83333333333326</v>
      </c>
    </row>
    <row r="44" spans="2:32" ht="23.1" customHeight="1" x14ac:dyDescent="0.25">
      <c r="B44" s="25" t="s">
        <v>71</v>
      </c>
      <c r="C44" s="49">
        <f>AVERAGE('29.07 Spear Motors-Kyambogo'!C44,'30.07 Spear Motors-Kyambogo'!C44,'31.07 Spear Motors-Kyambogo'!C44,'02.08 Spear Motors-Kyambogo'!C44,'01.08 Spear Motors-Kyambogo'!C44,'03.08 Spear Motors-Kyambogo'!C44,'04.08 Spear Motors-Kyambogo'!C44)</f>
        <v>63.714285714285715</v>
      </c>
      <c r="D44" s="49">
        <f>AVERAGE('29.07 Spear Motors-Kyambogo'!D44,'30.07 Spear Motors-Kyambogo'!D44,'31.07 Spear Motors-Kyambogo'!D44,'02.08 Spear Motors-Kyambogo'!D44,'01.08 Spear Motors-Kyambogo'!D44,'03.08 Spear Motors-Kyambogo'!D44,'04.08 Spear Motors-Kyambogo'!D44)</f>
        <v>22.285714285714285</v>
      </c>
      <c r="E44" s="49">
        <f>AVERAGE('29.07 Spear Motors-Kyambogo'!E44,'30.07 Spear Motors-Kyambogo'!E44,'31.07 Spear Motors-Kyambogo'!E44,'02.08 Spear Motors-Kyambogo'!E44,'01.08 Spear Motors-Kyambogo'!E44,'03.08 Spear Motors-Kyambogo'!E44,'04.08 Spear Motors-Kyambogo'!E44)</f>
        <v>13.142857142857142</v>
      </c>
      <c r="F44" s="49">
        <f>AVERAGE('29.07 Spear Motors-Kyambogo'!F44,'30.07 Spear Motors-Kyambogo'!F44,'31.07 Spear Motors-Kyambogo'!F44,'02.08 Spear Motors-Kyambogo'!F44,'01.08 Spear Motors-Kyambogo'!F44,'03.08 Spear Motors-Kyambogo'!F44,'04.08 Spear Motors-Kyambogo'!F44)</f>
        <v>55.857142857142854</v>
      </c>
      <c r="G44" s="49">
        <f>AVERAGE('29.07 Spear Motors-Kyambogo'!G44,'30.07 Spear Motors-Kyambogo'!G44,'31.07 Spear Motors-Kyambogo'!G44,'02.08 Spear Motors-Kyambogo'!G44,'01.08 Spear Motors-Kyambogo'!G44,'03.08 Spear Motors-Kyambogo'!G44,'04.08 Spear Motors-Kyambogo'!G44)</f>
        <v>2.1428571428571428</v>
      </c>
      <c r="H44" s="49">
        <f>AVERAGE('29.07 Spear Motors-Kyambogo'!H44,'30.07 Spear Motors-Kyambogo'!H44,'31.07 Spear Motors-Kyambogo'!H44,'02.08 Spear Motors-Kyambogo'!H44,'01.08 Spear Motors-Kyambogo'!H44,'03.08 Spear Motors-Kyambogo'!H44,'04.08 Spear Motors-Kyambogo'!H44)</f>
        <v>0.83333333333333337</v>
      </c>
      <c r="I44" s="49">
        <f>AVERAGE('29.07 Spear Motors-Kyambogo'!I44,'30.07 Spear Motors-Kyambogo'!I44,'31.07 Spear Motors-Kyambogo'!I44,'02.08 Spear Motors-Kyambogo'!I44,'01.08 Spear Motors-Kyambogo'!I44,'03.08 Spear Motors-Kyambogo'!I44,'04.08 Spear Motors-Kyambogo'!I44)</f>
        <v>9.8571428571428577</v>
      </c>
      <c r="J44" s="49">
        <f>AVERAGE('29.07 Spear Motors-Kyambogo'!J44,'30.07 Spear Motors-Kyambogo'!J44,'31.07 Spear Motors-Kyambogo'!J44,'02.08 Spear Motors-Kyambogo'!J44,'01.08 Spear Motors-Kyambogo'!J44,'03.08 Spear Motors-Kyambogo'!J44,'04.08 Spear Motors-Kyambogo'!J44)</f>
        <v>3.8571428571428572</v>
      </c>
      <c r="K44" s="49">
        <f>AVERAGE('29.07 Spear Motors-Kyambogo'!K44,'30.07 Spear Motors-Kyambogo'!K44,'31.07 Spear Motors-Kyambogo'!K44,'02.08 Spear Motors-Kyambogo'!K44,'01.08 Spear Motors-Kyambogo'!K44,'03.08 Spear Motors-Kyambogo'!K44,'04.08 Spear Motors-Kyambogo'!K44)</f>
        <v>2.7142857142857144</v>
      </c>
      <c r="L44" s="49">
        <f>AVERAGE('29.07 Spear Motors-Kyambogo'!L44,'30.07 Spear Motors-Kyambogo'!L44,'31.07 Spear Motors-Kyambogo'!L44,'02.08 Spear Motors-Kyambogo'!L44,'01.08 Spear Motors-Kyambogo'!L44,'03.08 Spear Motors-Kyambogo'!L44,'04.08 Spear Motors-Kyambogo'!L44)</f>
        <v>5.8571428571428568</v>
      </c>
      <c r="M44" s="49">
        <f>AVERAGE('29.07 Spear Motors-Kyambogo'!M44,'30.07 Spear Motors-Kyambogo'!M44,'31.07 Spear Motors-Kyambogo'!M44,'02.08 Spear Motors-Kyambogo'!M44,'01.08 Spear Motors-Kyambogo'!M44,'03.08 Spear Motors-Kyambogo'!M44,'04.08 Spear Motors-Kyambogo'!M44)</f>
        <v>276.28571428571428</v>
      </c>
      <c r="N44" s="49">
        <f>AVERAGE('29.07 Spear Motors-Kyambogo'!N44,'30.07 Spear Motors-Kyambogo'!N44,'31.07 Spear Motors-Kyambogo'!N44,'02.08 Spear Motors-Kyambogo'!N44,'01.08 Spear Motors-Kyambogo'!N44,'03.08 Spear Motors-Kyambogo'!N44,'04.08 Spear Motors-Kyambogo'!N44)</f>
        <v>0</v>
      </c>
      <c r="O44" s="15">
        <f t="shared" si="0"/>
        <v>180.26190476190479</v>
      </c>
      <c r="P44" s="15">
        <f t="shared" si="1"/>
        <v>456.54761904761904</v>
      </c>
    </row>
    <row r="45" spans="2:32" ht="23.1" customHeight="1" x14ac:dyDescent="0.25">
      <c r="B45" s="23" t="s">
        <v>72</v>
      </c>
      <c r="C45" s="49">
        <f>AVERAGE('29.07 Spear Motors-Kyambogo'!C45,'30.07 Spear Motors-Kyambogo'!C45,'31.07 Spear Motors-Kyambogo'!C45,'02.08 Spear Motors-Kyambogo'!C45,'01.08 Spear Motors-Kyambogo'!C45,'03.08 Spear Motors-Kyambogo'!C45,'04.08 Spear Motors-Kyambogo'!C45)</f>
        <v>72</v>
      </c>
      <c r="D45" s="49">
        <f>AVERAGE('29.07 Spear Motors-Kyambogo'!D45,'30.07 Spear Motors-Kyambogo'!D45,'31.07 Spear Motors-Kyambogo'!D45,'02.08 Spear Motors-Kyambogo'!D45,'01.08 Spear Motors-Kyambogo'!D45,'03.08 Spear Motors-Kyambogo'!D45,'04.08 Spear Motors-Kyambogo'!D45)</f>
        <v>24.428571428571427</v>
      </c>
      <c r="E45" s="49">
        <f>AVERAGE('29.07 Spear Motors-Kyambogo'!E45,'30.07 Spear Motors-Kyambogo'!E45,'31.07 Spear Motors-Kyambogo'!E45,'02.08 Spear Motors-Kyambogo'!E45,'01.08 Spear Motors-Kyambogo'!E45,'03.08 Spear Motors-Kyambogo'!E45,'04.08 Spear Motors-Kyambogo'!E45)</f>
        <v>15.142857142857142</v>
      </c>
      <c r="F45" s="49">
        <f>AVERAGE('29.07 Spear Motors-Kyambogo'!F45,'30.07 Spear Motors-Kyambogo'!F45,'31.07 Spear Motors-Kyambogo'!F45,'02.08 Spear Motors-Kyambogo'!F45,'01.08 Spear Motors-Kyambogo'!F45,'03.08 Spear Motors-Kyambogo'!F45,'04.08 Spear Motors-Kyambogo'!F45)</f>
        <v>64.571428571428569</v>
      </c>
      <c r="G45" s="49">
        <f>AVERAGE('29.07 Spear Motors-Kyambogo'!G45,'30.07 Spear Motors-Kyambogo'!G45,'31.07 Spear Motors-Kyambogo'!G45,'02.08 Spear Motors-Kyambogo'!G45,'01.08 Spear Motors-Kyambogo'!G45,'03.08 Spear Motors-Kyambogo'!G45,'04.08 Spear Motors-Kyambogo'!G45)</f>
        <v>1.1428571428571428</v>
      </c>
      <c r="H45" s="49">
        <f>AVERAGE('29.07 Spear Motors-Kyambogo'!H45,'30.07 Spear Motors-Kyambogo'!H45,'31.07 Spear Motors-Kyambogo'!H45,'02.08 Spear Motors-Kyambogo'!H45,'01.08 Spear Motors-Kyambogo'!H45,'03.08 Spear Motors-Kyambogo'!H45,'04.08 Spear Motors-Kyambogo'!H45)</f>
        <v>0.7142857142857143</v>
      </c>
      <c r="I45" s="49">
        <f>AVERAGE('29.07 Spear Motors-Kyambogo'!I45,'30.07 Spear Motors-Kyambogo'!I45,'31.07 Spear Motors-Kyambogo'!I45,'02.08 Spear Motors-Kyambogo'!I45,'01.08 Spear Motors-Kyambogo'!I45,'03.08 Spear Motors-Kyambogo'!I45,'04.08 Spear Motors-Kyambogo'!I45)</f>
        <v>9.1428571428571423</v>
      </c>
      <c r="J45" s="49">
        <f>AVERAGE('29.07 Spear Motors-Kyambogo'!J45,'30.07 Spear Motors-Kyambogo'!J45,'31.07 Spear Motors-Kyambogo'!J45,'02.08 Spear Motors-Kyambogo'!J45,'01.08 Spear Motors-Kyambogo'!J45,'03.08 Spear Motors-Kyambogo'!J45,'04.08 Spear Motors-Kyambogo'!J45)</f>
        <v>4.1428571428571432</v>
      </c>
      <c r="K45" s="49">
        <f>AVERAGE('29.07 Spear Motors-Kyambogo'!K45,'30.07 Spear Motors-Kyambogo'!K45,'31.07 Spear Motors-Kyambogo'!K45,'02.08 Spear Motors-Kyambogo'!K45,'01.08 Spear Motors-Kyambogo'!K45,'03.08 Spear Motors-Kyambogo'!K45,'04.08 Spear Motors-Kyambogo'!K45)</f>
        <v>0.7142857142857143</v>
      </c>
      <c r="L45" s="49">
        <f>AVERAGE('29.07 Spear Motors-Kyambogo'!L45,'30.07 Spear Motors-Kyambogo'!L45,'31.07 Spear Motors-Kyambogo'!L45,'02.08 Spear Motors-Kyambogo'!L45,'01.08 Spear Motors-Kyambogo'!L45,'03.08 Spear Motors-Kyambogo'!L45,'04.08 Spear Motors-Kyambogo'!L45)</f>
        <v>7.1428571428571432</v>
      </c>
      <c r="M45" s="49">
        <f>AVERAGE('29.07 Spear Motors-Kyambogo'!M45,'30.07 Spear Motors-Kyambogo'!M45,'31.07 Spear Motors-Kyambogo'!M45,'02.08 Spear Motors-Kyambogo'!M45,'01.08 Spear Motors-Kyambogo'!M45,'03.08 Spear Motors-Kyambogo'!M45,'04.08 Spear Motors-Kyambogo'!M45)</f>
        <v>295</v>
      </c>
      <c r="N45" s="49">
        <f>AVERAGE('29.07 Spear Motors-Kyambogo'!N45,'30.07 Spear Motors-Kyambogo'!N45,'31.07 Spear Motors-Kyambogo'!N45,'02.08 Spear Motors-Kyambogo'!N45,'01.08 Spear Motors-Kyambogo'!N45,'03.08 Spear Motors-Kyambogo'!N45,'04.08 Spear Motors-Kyambogo'!N45)</f>
        <v>0</v>
      </c>
      <c r="O45" s="15">
        <f t="shared" si="0"/>
        <v>199.14285714285714</v>
      </c>
      <c r="P45" s="15">
        <f t="shared" si="1"/>
        <v>494.14285714285711</v>
      </c>
    </row>
    <row r="46" spans="2:32" ht="23.1" customHeight="1" x14ac:dyDescent="0.25">
      <c r="B46" s="24" t="s">
        <v>73</v>
      </c>
      <c r="C46" s="49">
        <f>AVERAGE('29.07 Spear Motors-Kyambogo'!C46,'30.07 Spear Motors-Kyambogo'!C46,'31.07 Spear Motors-Kyambogo'!C46,'02.08 Spear Motors-Kyambogo'!C46,'01.08 Spear Motors-Kyambogo'!C46,'03.08 Spear Motors-Kyambogo'!C46,'04.08 Spear Motors-Kyambogo'!C46)</f>
        <v>70.714285714285708</v>
      </c>
      <c r="D46" s="49">
        <f>AVERAGE('29.07 Spear Motors-Kyambogo'!D46,'30.07 Spear Motors-Kyambogo'!D46,'31.07 Spear Motors-Kyambogo'!D46,'02.08 Spear Motors-Kyambogo'!D46,'01.08 Spear Motors-Kyambogo'!D46,'03.08 Spear Motors-Kyambogo'!D46,'04.08 Spear Motors-Kyambogo'!D46)</f>
        <v>26.714285714285715</v>
      </c>
      <c r="E46" s="49">
        <f>AVERAGE('29.07 Spear Motors-Kyambogo'!E46,'30.07 Spear Motors-Kyambogo'!E46,'31.07 Spear Motors-Kyambogo'!E46,'02.08 Spear Motors-Kyambogo'!E46,'01.08 Spear Motors-Kyambogo'!E46,'03.08 Spear Motors-Kyambogo'!E46,'04.08 Spear Motors-Kyambogo'!E46)</f>
        <v>11.714285714285714</v>
      </c>
      <c r="F46" s="49">
        <f>AVERAGE('29.07 Spear Motors-Kyambogo'!F46,'30.07 Spear Motors-Kyambogo'!F46,'31.07 Spear Motors-Kyambogo'!F46,'02.08 Spear Motors-Kyambogo'!F46,'01.08 Spear Motors-Kyambogo'!F46,'03.08 Spear Motors-Kyambogo'!F46,'04.08 Spear Motors-Kyambogo'!F46)</f>
        <v>56.428571428571431</v>
      </c>
      <c r="G46" s="49">
        <f>AVERAGE('29.07 Spear Motors-Kyambogo'!G46,'30.07 Spear Motors-Kyambogo'!G46,'31.07 Spear Motors-Kyambogo'!G46,'02.08 Spear Motors-Kyambogo'!G46,'01.08 Spear Motors-Kyambogo'!G46,'03.08 Spear Motors-Kyambogo'!G46,'04.08 Spear Motors-Kyambogo'!G46)</f>
        <v>1.5714285714285714</v>
      </c>
      <c r="H46" s="49">
        <f>AVERAGE('29.07 Spear Motors-Kyambogo'!H46,'30.07 Spear Motors-Kyambogo'!H46,'31.07 Spear Motors-Kyambogo'!H46,'02.08 Spear Motors-Kyambogo'!H46,'01.08 Spear Motors-Kyambogo'!H46,'03.08 Spear Motors-Kyambogo'!H46,'04.08 Spear Motors-Kyambogo'!H46)</f>
        <v>0.14285714285714285</v>
      </c>
      <c r="I46" s="49">
        <f>AVERAGE('29.07 Spear Motors-Kyambogo'!I46,'30.07 Spear Motors-Kyambogo'!I46,'31.07 Spear Motors-Kyambogo'!I46,'02.08 Spear Motors-Kyambogo'!I46,'01.08 Spear Motors-Kyambogo'!I46,'03.08 Spear Motors-Kyambogo'!I46,'04.08 Spear Motors-Kyambogo'!I46)</f>
        <v>9.1428571428571423</v>
      </c>
      <c r="J46" s="49">
        <f>AVERAGE('29.07 Spear Motors-Kyambogo'!J46,'30.07 Spear Motors-Kyambogo'!J46,'31.07 Spear Motors-Kyambogo'!J46,'02.08 Spear Motors-Kyambogo'!J46,'01.08 Spear Motors-Kyambogo'!J46,'03.08 Spear Motors-Kyambogo'!J46,'04.08 Spear Motors-Kyambogo'!J46)</f>
        <v>3.7142857142857144</v>
      </c>
      <c r="K46" s="49">
        <f>AVERAGE('29.07 Spear Motors-Kyambogo'!K46,'30.07 Spear Motors-Kyambogo'!K46,'31.07 Spear Motors-Kyambogo'!K46,'02.08 Spear Motors-Kyambogo'!K46,'01.08 Spear Motors-Kyambogo'!K46,'03.08 Spear Motors-Kyambogo'!K46,'04.08 Spear Motors-Kyambogo'!K46)</f>
        <v>2.4285714285714284</v>
      </c>
      <c r="L46" s="49">
        <f>AVERAGE('29.07 Spear Motors-Kyambogo'!L46,'30.07 Spear Motors-Kyambogo'!L46,'31.07 Spear Motors-Kyambogo'!L46,'02.08 Spear Motors-Kyambogo'!L46,'01.08 Spear Motors-Kyambogo'!L46,'03.08 Spear Motors-Kyambogo'!L46,'04.08 Spear Motors-Kyambogo'!L46)</f>
        <v>4.4285714285714288</v>
      </c>
      <c r="M46" s="49">
        <f>AVERAGE('29.07 Spear Motors-Kyambogo'!M46,'30.07 Spear Motors-Kyambogo'!M46,'31.07 Spear Motors-Kyambogo'!M46,'02.08 Spear Motors-Kyambogo'!M46,'01.08 Spear Motors-Kyambogo'!M46,'03.08 Spear Motors-Kyambogo'!M46,'04.08 Spear Motors-Kyambogo'!M46)</f>
        <v>365.42857142857144</v>
      </c>
      <c r="N46" s="49">
        <f>AVERAGE('29.07 Spear Motors-Kyambogo'!N46,'30.07 Spear Motors-Kyambogo'!N46,'31.07 Spear Motors-Kyambogo'!N46,'02.08 Spear Motors-Kyambogo'!N46,'01.08 Spear Motors-Kyambogo'!N46,'03.08 Spear Motors-Kyambogo'!N46,'04.08 Spear Motors-Kyambogo'!N46)</f>
        <v>0</v>
      </c>
      <c r="O46" s="15">
        <f t="shared" si="0"/>
        <v>186.99999999999997</v>
      </c>
      <c r="P46" s="15">
        <f t="shared" si="1"/>
        <v>552.42857142857144</v>
      </c>
      <c r="R46" s="8"/>
      <c r="T46"/>
    </row>
    <row r="47" spans="2:32" ht="23.1" customHeight="1" x14ac:dyDescent="0.25">
      <c r="B47" s="24" t="s">
        <v>74</v>
      </c>
      <c r="C47" s="49">
        <f>AVERAGE('29.07 Spear Motors-Kyambogo'!C47,'30.07 Spear Motors-Kyambogo'!C47,'31.07 Spear Motors-Kyambogo'!C47,'02.08 Spear Motors-Kyambogo'!C47,'01.08 Spear Motors-Kyambogo'!C47,'03.08 Spear Motors-Kyambogo'!C47,'04.08 Spear Motors-Kyambogo'!C47)</f>
        <v>73</v>
      </c>
      <c r="D47" s="49">
        <f>AVERAGE('29.07 Spear Motors-Kyambogo'!D47,'30.07 Spear Motors-Kyambogo'!D47,'31.07 Spear Motors-Kyambogo'!D47,'02.08 Spear Motors-Kyambogo'!D47,'01.08 Spear Motors-Kyambogo'!D47,'03.08 Spear Motors-Kyambogo'!D47,'04.08 Spear Motors-Kyambogo'!D47)</f>
        <v>26.857142857142858</v>
      </c>
      <c r="E47" s="49">
        <f>AVERAGE('29.07 Spear Motors-Kyambogo'!E47,'30.07 Spear Motors-Kyambogo'!E47,'31.07 Spear Motors-Kyambogo'!E47,'02.08 Spear Motors-Kyambogo'!E47,'01.08 Spear Motors-Kyambogo'!E47,'03.08 Spear Motors-Kyambogo'!E47,'04.08 Spear Motors-Kyambogo'!E47)</f>
        <v>10</v>
      </c>
      <c r="F47" s="49">
        <f>AVERAGE('29.07 Spear Motors-Kyambogo'!F47,'30.07 Spear Motors-Kyambogo'!F47,'31.07 Spear Motors-Kyambogo'!F47,'02.08 Spear Motors-Kyambogo'!F47,'01.08 Spear Motors-Kyambogo'!F47,'03.08 Spear Motors-Kyambogo'!F47,'04.08 Spear Motors-Kyambogo'!F47)</f>
        <v>66.285714285714292</v>
      </c>
      <c r="G47" s="49">
        <f>AVERAGE('29.07 Spear Motors-Kyambogo'!G47,'30.07 Spear Motors-Kyambogo'!G47,'31.07 Spear Motors-Kyambogo'!G47,'02.08 Spear Motors-Kyambogo'!G47,'01.08 Spear Motors-Kyambogo'!G47,'03.08 Spear Motors-Kyambogo'!G47,'04.08 Spear Motors-Kyambogo'!G47)</f>
        <v>1</v>
      </c>
      <c r="H47" s="49">
        <f>AVERAGE('29.07 Spear Motors-Kyambogo'!H47,'30.07 Spear Motors-Kyambogo'!H47,'31.07 Spear Motors-Kyambogo'!H47,'02.08 Spear Motors-Kyambogo'!H47,'01.08 Spear Motors-Kyambogo'!H47,'03.08 Spear Motors-Kyambogo'!H47,'04.08 Spear Motors-Kyambogo'!H47)</f>
        <v>0.2857142857142857</v>
      </c>
      <c r="I47" s="49">
        <f>AVERAGE('29.07 Spear Motors-Kyambogo'!I47,'30.07 Spear Motors-Kyambogo'!I47,'31.07 Spear Motors-Kyambogo'!I47,'02.08 Spear Motors-Kyambogo'!I47,'01.08 Spear Motors-Kyambogo'!I47,'03.08 Spear Motors-Kyambogo'!I47,'04.08 Spear Motors-Kyambogo'!I47)</f>
        <v>9.4285714285714288</v>
      </c>
      <c r="J47" s="49">
        <f>AVERAGE('29.07 Spear Motors-Kyambogo'!J47,'30.07 Spear Motors-Kyambogo'!J47,'31.07 Spear Motors-Kyambogo'!J47,'02.08 Spear Motors-Kyambogo'!J47,'01.08 Spear Motors-Kyambogo'!J47,'03.08 Spear Motors-Kyambogo'!J47,'04.08 Spear Motors-Kyambogo'!J47)</f>
        <v>3.4285714285714284</v>
      </c>
      <c r="K47" s="49">
        <f>AVERAGE('29.07 Spear Motors-Kyambogo'!K47,'30.07 Spear Motors-Kyambogo'!K47,'31.07 Spear Motors-Kyambogo'!K47,'02.08 Spear Motors-Kyambogo'!K47,'01.08 Spear Motors-Kyambogo'!K47,'03.08 Spear Motors-Kyambogo'!K47,'04.08 Spear Motors-Kyambogo'!K47)</f>
        <v>1.1428571428571428</v>
      </c>
      <c r="L47" s="49">
        <f>AVERAGE('29.07 Spear Motors-Kyambogo'!L47,'30.07 Spear Motors-Kyambogo'!L47,'31.07 Spear Motors-Kyambogo'!L47,'02.08 Spear Motors-Kyambogo'!L47,'01.08 Spear Motors-Kyambogo'!L47,'03.08 Spear Motors-Kyambogo'!L47,'04.08 Spear Motors-Kyambogo'!L47)</f>
        <v>4.5714285714285712</v>
      </c>
      <c r="M47" s="49">
        <f>AVERAGE('29.07 Spear Motors-Kyambogo'!M47,'30.07 Spear Motors-Kyambogo'!M47,'31.07 Spear Motors-Kyambogo'!M47,'02.08 Spear Motors-Kyambogo'!M47,'01.08 Spear Motors-Kyambogo'!M47,'03.08 Spear Motors-Kyambogo'!M47,'04.08 Spear Motors-Kyambogo'!M47)</f>
        <v>266</v>
      </c>
      <c r="N47" s="49">
        <f>AVERAGE('29.07 Spear Motors-Kyambogo'!N47,'30.07 Spear Motors-Kyambogo'!N47,'31.07 Spear Motors-Kyambogo'!N47,'02.08 Spear Motors-Kyambogo'!N47,'01.08 Spear Motors-Kyambogo'!N47,'03.08 Spear Motors-Kyambogo'!N47,'04.08 Spear Motors-Kyambogo'!N47)</f>
        <v>0</v>
      </c>
      <c r="O47" s="15">
        <f t="shared" si="0"/>
        <v>196</v>
      </c>
      <c r="P47" s="15">
        <f t="shared" si="1"/>
        <v>462</v>
      </c>
      <c r="R47" s="8"/>
      <c r="T47"/>
    </row>
    <row r="48" spans="2:32" ht="23.1" customHeight="1" x14ac:dyDescent="0.25">
      <c r="B48" s="24" t="s">
        <v>75</v>
      </c>
      <c r="C48" s="49">
        <f>AVERAGE('29.07 Spear Motors-Kyambogo'!C48,'30.07 Spear Motors-Kyambogo'!C48,'31.07 Spear Motors-Kyambogo'!C48,'02.08 Spear Motors-Kyambogo'!C48,'01.08 Spear Motors-Kyambogo'!C48,'03.08 Spear Motors-Kyambogo'!C48,'04.08 Spear Motors-Kyambogo'!C48)</f>
        <v>91.714285714285708</v>
      </c>
      <c r="D48" s="49">
        <f>AVERAGE('29.07 Spear Motors-Kyambogo'!D48,'30.07 Spear Motors-Kyambogo'!D48,'31.07 Spear Motors-Kyambogo'!D48,'02.08 Spear Motors-Kyambogo'!D48,'01.08 Spear Motors-Kyambogo'!D48,'03.08 Spear Motors-Kyambogo'!D48,'04.08 Spear Motors-Kyambogo'!D48)</f>
        <v>32.857142857142854</v>
      </c>
      <c r="E48" s="49">
        <f>AVERAGE('29.07 Spear Motors-Kyambogo'!E48,'30.07 Spear Motors-Kyambogo'!E48,'31.07 Spear Motors-Kyambogo'!E48,'02.08 Spear Motors-Kyambogo'!E48,'01.08 Spear Motors-Kyambogo'!E48,'03.08 Spear Motors-Kyambogo'!E48,'04.08 Spear Motors-Kyambogo'!E48)</f>
        <v>16.714285714285715</v>
      </c>
      <c r="F48" s="49">
        <f>AVERAGE('29.07 Spear Motors-Kyambogo'!F48,'30.07 Spear Motors-Kyambogo'!F48,'31.07 Spear Motors-Kyambogo'!F48,'02.08 Spear Motors-Kyambogo'!F48,'01.08 Spear Motors-Kyambogo'!F48,'03.08 Spear Motors-Kyambogo'!F48,'04.08 Spear Motors-Kyambogo'!F48)</f>
        <v>57.428571428571431</v>
      </c>
      <c r="G48" s="49">
        <f>AVERAGE('29.07 Spear Motors-Kyambogo'!G48,'30.07 Spear Motors-Kyambogo'!G48,'31.07 Spear Motors-Kyambogo'!G48,'02.08 Spear Motors-Kyambogo'!G48,'01.08 Spear Motors-Kyambogo'!G48,'03.08 Spear Motors-Kyambogo'!G48,'04.08 Spear Motors-Kyambogo'!G48)</f>
        <v>1.2857142857142858</v>
      </c>
      <c r="H48" s="49">
        <f>AVERAGE('29.07 Spear Motors-Kyambogo'!H48,'30.07 Spear Motors-Kyambogo'!H48,'31.07 Spear Motors-Kyambogo'!H48,'02.08 Spear Motors-Kyambogo'!H48,'01.08 Spear Motors-Kyambogo'!H48,'03.08 Spear Motors-Kyambogo'!H48,'04.08 Spear Motors-Kyambogo'!H48)</f>
        <v>0.42857142857142855</v>
      </c>
      <c r="I48" s="49">
        <f>AVERAGE('29.07 Spear Motors-Kyambogo'!I48,'30.07 Spear Motors-Kyambogo'!I48,'31.07 Spear Motors-Kyambogo'!I48,'02.08 Spear Motors-Kyambogo'!I48,'01.08 Spear Motors-Kyambogo'!I48,'03.08 Spear Motors-Kyambogo'!I48,'04.08 Spear Motors-Kyambogo'!I48)</f>
        <v>12</v>
      </c>
      <c r="J48" s="49">
        <f>AVERAGE('29.07 Spear Motors-Kyambogo'!J48,'30.07 Spear Motors-Kyambogo'!J48,'31.07 Spear Motors-Kyambogo'!J48,'02.08 Spear Motors-Kyambogo'!J48,'01.08 Spear Motors-Kyambogo'!J48,'03.08 Spear Motors-Kyambogo'!J48,'04.08 Spear Motors-Kyambogo'!J48)</f>
        <v>3</v>
      </c>
      <c r="K48" s="49">
        <f>AVERAGE('29.07 Spear Motors-Kyambogo'!K48,'30.07 Spear Motors-Kyambogo'!K48,'31.07 Spear Motors-Kyambogo'!K48,'02.08 Spear Motors-Kyambogo'!K48,'01.08 Spear Motors-Kyambogo'!K48,'03.08 Spear Motors-Kyambogo'!K48,'04.08 Spear Motors-Kyambogo'!K48)</f>
        <v>1.7142857142857142</v>
      </c>
      <c r="L48" s="49">
        <f>AVERAGE('29.07 Spear Motors-Kyambogo'!L48,'30.07 Spear Motors-Kyambogo'!L48,'31.07 Spear Motors-Kyambogo'!L48,'02.08 Spear Motors-Kyambogo'!L48,'01.08 Spear Motors-Kyambogo'!L48,'03.08 Spear Motors-Kyambogo'!L48,'04.08 Spear Motors-Kyambogo'!L48)</f>
        <v>3.8571428571428572</v>
      </c>
      <c r="M48" s="49">
        <f>AVERAGE('29.07 Spear Motors-Kyambogo'!M48,'30.07 Spear Motors-Kyambogo'!M48,'31.07 Spear Motors-Kyambogo'!M48,'02.08 Spear Motors-Kyambogo'!M48,'01.08 Spear Motors-Kyambogo'!M48,'03.08 Spear Motors-Kyambogo'!M48,'04.08 Spear Motors-Kyambogo'!M48)</f>
        <v>262.57142857142856</v>
      </c>
      <c r="N48" s="49">
        <f>AVERAGE('29.07 Spear Motors-Kyambogo'!N48,'30.07 Spear Motors-Kyambogo'!N48,'31.07 Spear Motors-Kyambogo'!N48,'02.08 Spear Motors-Kyambogo'!N48,'01.08 Spear Motors-Kyambogo'!N48,'03.08 Spear Motors-Kyambogo'!N48,'04.08 Spear Motors-Kyambogo'!N48)</f>
        <v>0</v>
      </c>
      <c r="O48" s="15">
        <f t="shared" si="0"/>
        <v>221</v>
      </c>
      <c r="P48" s="15">
        <f t="shared" si="1"/>
        <v>483.57142857142856</v>
      </c>
      <c r="R48" s="8"/>
      <c r="T48"/>
    </row>
    <row r="49" spans="2:20" ht="23.1" customHeight="1" x14ac:dyDescent="0.25">
      <c r="B49" s="23" t="s">
        <v>76</v>
      </c>
      <c r="C49" s="49">
        <f>AVERAGE('29.07 Spear Motors-Kyambogo'!C49,'30.07 Spear Motors-Kyambogo'!C49,'31.07 Spear Motors-Kyambogo'!C49,'02.08 Spear Motors-Kyambogo'!C49,'01.08 Spear Motors-Kyambogo'!C49,'03.08 Spear Motors-Kyambogo'!C49,'04.08 Spear Motors-Kyambogo'!C49)</f>
        <v>103</v>
      </c>
      <c r="D49" s="49">
        <f>AVERAGE('29.07 Spear Motors-Kyambogo'!D49,'30.07 Spear Motors-Kyambogo'!D49,'31.07 Spear Motors-Kyambogo'!D49,'02.08 Spear Motors-Kyambogo'!D49,'01.08 Spear Motors-Kyambogo'!D49,'03.08 Spear Motors-Kyambogo'!D49,'04.08 Spear Motors-Kyambogo'!D49)</f>
        <v>38.571428571428569</v>
      </c>
      <c r="E49" s="49">
        <f>AVERAGE('29.07 Spear Motors-Kyambogo'!E49,'30.07 Spear Motors-Kyambogo'!E49,'31.07 Spear Motors-Kyambogo'!E49,'02.08 Spear Motors-Kyambogo'!E49,'01.08 Spear Motors-Kyambogo'!E49,'03.08 Spear Motors-Kyambogo'!E49,'04.08 Spear Motors-Kyambogo'!E49)</f>
        <v>17</v>
      </c>
      <c r="F49" s="49">
        <f>AVERAGE('29.07 Spear Motors-Kyambogo'!F49,'30.07 Spear Motors-Kyambogo'!F49,'31.07 Spear Motors-Kyambogo'!F49,'02.08 Spear Motors-Kyambogo'!F49,'01.08 Spear Motors-Kyambogo'!F49,'03.08 Spear Motors-Kyambogo'!F49,'04.08 Spear Motors-Kyambogo'!F49)</f>
        <v>55.714285714285715</v>
      </c>
      <c r="G49" s="49">
        <f>AVERAGE('29.07 Spear Motors-Kyambogo'!G49,'30.07 Spear Motors-Kyambogo'!G49,'31.07 Spear Motors-Kyambogo'!G49,'02.08 Spear Motors-Kyambogo'!G49,'01.08 Spear Motors-Kyambogo'!G49,'03.08 Spear Motors-Kyambogo'!G49,'04.08 Spear Motors-Kyambogo'!G49)</f>
        <v>2.2857142857142856</v>
      </c>
      <c r="H49" s="49">
        <f>AVERAGE('29.07 Spear Motors-Kyambogo'!H49,'30.07 Spear Motors-Kyambogo'!H49,'31.07 Spear Motors-Kyambogo'!H49,'02.08 Spear Motors-Kyambogo'!H49,'01.08 Spear Motors-Kyambogo'!H49,'03.08 Spear Motors-Kyambogo'!H49,'04.08 Spear Motors-Kyambogo'!H49)</f>
        <v>0.2857142857142857</v>
      </c>
      <c r="I49" s="49">
        <f>AVERAGE('29.07 Spear Motors-Kyambogo'!I49,'30.07 Spear Motors-Kyambogo'!I49,'31.07 Spear Motors-Kyambogo'!I49,'02.08 Spear Motors-Kyambogo'!I49,'01.08 Spear Motors-Kyambogo'!I49,'03.08 Spear Motors-Kyambogo'!I49,'04.08 Spear Motors-Kyambogo'!I49)</f>
        <v>7.7142857142857144</v>
      </c>
      <c r="J49" s="49">
        <f>AVERAGE('29.07 Spear Motors-Kyambogo'!J49,'30.07 Spear Motors-Kyambogo'!J49,'31.07 Spear Motors-Kyambogo'!J49,'02.08 Spear Motors-Kyambogo'!J49,'01.08 Spear Motors-Kyambogo'!J49,'03.08 Spear Motors-Kyambogo'!J49,'04.08 Spear Motors-Kyambogo'!J49)</f>
        <v>4.5714285714285712</v>
      </c>
      <c r="K49" s="49">
        <f>AVERAGE('29.07 Spear Motors-Kyambogo'!K49,'30.07 Spear Motors-Kyambogo'!K49,'31.07 Spear Motors-Kyambogo'!K49,'02.08 Spear Motors-Kyambogo'!K49,'01.08 Spear Motors-Kyambogo'!K49,'03.08 Spear Motors-Kyambogo'!K49,'04.08 Spear Motors-Kyambogo'!K49)</f>
        <v>1.5714285714285714</v>
      </c>
      <c r="L49" s="49">
        <f>AVERAGE('29.07 Spear Motors-Kyambogo'!L49,'30.07 Spear Motors-Kyambogo'!L49,'31.07 Spear Motors-Kyambogo'!L49,'02.08 Spear Motors-Kyambogo'!L49,'01.08 Spear Motors-Kyambogo'!L49,'03.08 Spear Motors-Kyambogo'!L49,'04.08 Spear Motors-Kyambogo'!L49)</f>
        <v>3.2857142857142856</v>
      </c>
      <c r="M49" s="49">
        <f>AVERAGE('29.07 Spear Motors-Kyambogo'!M49,'30.07 Spear Motors-Kyambogo'!M49,'31.07 Spear Motors-Kyambogo'!M49,'02.08 Spear Motors-Kyambogo'!M49,'01.08 Spear Motors-Kyambogo'!M49,'03.08 Spear Motors-Kyambogo'!M49,'04.08 Spear Motors-Kyambogo'!M49)</f>
        <v>295.42857142857144</v>
      </c>
      <c r="N49" s="49">
        <f>AVERAGE('29.07 Spear Motors-Kyambogo'!N49,'30.07 Spear Motors-Kyambogo'!N49,'31.07 Spear Motors-Kyambogo'!N49,'02.08 Spear Motors-Kyambogo'!N49,'01.08 Spear Motors-Kyambogo'!N49,'03.08 Spear Motors-Kyambogo'!N49,'04.08 Spear Motors-Kyambogo'!N49)</f>
        <v>0</v>
      </c>
      <c r="O49" s="15">
        <f t="shared" si="0"/>
        <v>234</v>
      </c>
      <c r="P49" s="15">
        <f t="shared" si="1"/>
        <v>529.42857142857144</v>
      </c>
      <c r="R49" s="8"/>
      <c r="T49"/>
    </row>
    <row r="50" spans="2:20" ht="23.1" customHeight="1" x14ac:dyDescent="0.25">
      <c r="B50" s="24" t="s">
        <v>77</v>
      </c>
      <c r="C50" s="49">
        <f>AVERAGE('29.07 Spear Motors-Kyambogo'!C50,'30.07 Spear Motors-Kyambogo'!C50,'31.07 Spear Motors-Kyambogo'!C50,'02.08 Spear Motors-Kyambogo'!C50,'01.08 Spear Motors-Kyambogo'!C50,'03.08 Spear Motors-Kyambogo'!C50,'04.08 Spear Motors-Kyambogo'!C50)</f>
        <v>103</v>
      </c>
      <c r="D50" s="49">
        <f>AVERAGE('29.07 Spear Motors-Kyambogo'!D50,'30.07 Spear Motors-Kyambogo'!D50,'31.07 Spear Motors-Kyambogo'!D50,'02.08 Spear Motors-Kyambogo'!D50,'01.08 Spear Motors-Kyambogo'!D50,'03.08 Spear Motors-Kyambogo'!D50,'04.08 Spear Motors-Kyambogo'!D50)</f>
        <v>47</v>
      </c>
      <c r="E50" s="49">
        <f>AVERAGE('29.07 Spear Motors-Kyambogo'!E50,'30.07 Spear Motors-Kyambogo'!E50,'31.07 Spear Motors-Kyambogo'!E50,'02.08 Spear Motors-Kyambogo'!E50,'01.08 Spear Motors-Kyambogo'!E50,'03.08 Spear Motors-Kyambogo'!E50,'04.08 Spear Motors-Kyambogo'!E50)</f>
        <v>20.857142857142858</v>
      </c>
      <c r="F50" s="49">
        <f>AVERAGE('29.07 Spear Motors-Kyambogo'!F50,'30.07 Spear Motors-Kyambogo'!F50,'31.07 Spear Motors-Kyambogo'!F50,'02.08 Spear Motors-Kyambogo'!F50,'01.08 Spear Motors-Kyambogo'!F50,'03.08 Spear Motors-Kyambogo'!F50,'04.08 Spear Motors-Kyambogo'!F50)</f>
        <v>53.285714285714285</v>
      </c>
      <c r="G50" s="49">
        <f>AVERAGE('29.07 Spear Motors-Kyambogo'!G50,'30.07 Spear Motors-Kyambogo'!G50,'31.07 Spear Motors-Kyambogo'!G50,'02.08 Spear Motors-Kyambogo'!G50,'01.08 Spear Motors-Kyambogo'!G50,'03.08 Spear Motors-Kyambogo'!G50,'04.08 Spear Motors-Kyambogo'!G50)</f>
        <v>1.1428571428571428</v>
      </c>
      <c r="H50" s="49">
        <f>AVERAGE('29.07 Spear Motors-Kyambogo'!H50,'30.07 Spear Motors-Kyambogo'!H50,'31.07 Spear Motors-Kyambogo'!H50,'02.08 Spear Motors-Kyambogo'!H50,'01.08 Spear Motors-Kyambogo'!H50,'03.08 Spear Motors-Kyambogo'!H50,'04.08 Spear Motors-Kyambogo'!H50)</f>
        <v>0.42857142857142855</v>
      </c>
      <c r="I50" s="49">
        <f>AVERAGE('29.07 Spear Motors-Kyambogo'!I50,'30.07 Spear Motors-Kyambogo'!I50,'31.07 Spear Motors-Kyambogo'!I50,'02.08 Spear Motors-Kyambogo'!I50,'01.08 Spear Motors-Kyambogo'!I50,'03.08 Spear Motors-Kyambogo'!I50,'04.08 Spear Motors-Kyambogo'!I50)</f>
        <v>8</v>
      </c>
      <c r="J50" s="49">
        <f>AVERAGE('29.07 Spear Motors-Kyambogo'!J50,'30.07 Spear Motors-Kyambogo'!J50,'31.07 Spear Motors-Kyambogo'!J50,'02.08 Spear Motors-Kyambogo'!J50,'01.08 Spear Motors-Kyambogo'!J50,'03.08 Spear Motors-Kyambogo'!J50,'04.08 Spear Motors-Kyambogo'!J50)</f>
        <v>5</v>
      </c>
      <c r="K50" s="49">
        <f>AVERAGE('29.07 Spear Motors-Kyambogo'!K50,'30.07 Spear Motors-Kyambogo'!K50,'31.07 Spear Motors-Kyambogo'!K50,'02.08 Spear Motors-Kyambogo'!K50,'01.08 Spear Motors-Kyambogo'!K50,'03.08 Spear Motors-Kyambogo'!K50,'04.08 Spear Motors-Kyambogo'!K50)</f>
        <v>1.7142857142857142</v>
      </c>
      <c r="L50" s="49">
        <f>AVERAGE('29.07 Spear Motors-Kyambogo'!L50,'30.07 Spear Motors-Kyambogo'!L50,'31.07 Spear Motors-Kyambogo'!L50,'02.08 Spear Motors-Kyambogo'!L50,'01.08 Spear Motors-Kyambogo'!L50,'03.08 Spear Motors-Kyambogo'!L50,'04.08 Spear Motors-Kyambogo'!L50)</f>
        <v>3.7142857142857144</v>
      </c>
      <c r="M50" s="49">
        <f>AVERAGE('29.07 Spear Motors-Kyambogo'!M50,'30.07 Spear Motors-Kyambogo'!M50,'31.07 Spear Motors-Kyambogo'!M50,'02.08 Spear Motors-Kyambogo'!M50,'01.08 Spear Motors-Kyambogo'!M50,'03.08 Spear Motors-Kyambogo'!M50,'04.08 Spear Motors-Kyambogo'!M50)</f>
        <v>391.14285714285717</v>
      </c>
      <c r="N50" s="49">
        <f>AVERAGE('29.07 Spear Motors-Kyambogo'!N50,'30.07 Spear Motors-Kyambogo'!N50,'31.07 Spear Motors-Kyambogo'!N50,'02.08 Spear Motors-Kyambogo'!N50,'01.08 Spear Motors-Kyambogo'!N50,'03.08 Spear Motors-Kyambogo'!N50,'04.08 Spear Motors-Kyambogo'!N50)</f>
        <v>0</v>
      </c>
      <c r="O50" s="15">
        <f t="shared" si="0"/>
        <v>244.14285714285714</v>
      </c>
      <c r="P50" s="15">
        <f t="shared" si="1"/>
        <v>635.28571428571433</v>
      </c>
      <c r="R50" s="8"/>
      <c r="T50"/>
    </row>
    <row r="51" spans="2:20" ht="23.1" customHeight="1" x14ac:dyDescent="0.25">
      <c r="B51" s="24" t="s">
        <v>78</v>
      </c>
      <c r="C51" s="49">
        <f>AVERAGE('29.07 Spear Motors-Kyambogo'!C51,'30.07 Spear Motors-Kyambogo'!C51,'31.07 Spear Motors-Kyambogo'!C51,'02.08 Spear Motors-Kyambogo'!C51,'01.08 Spear Motors-Kyambogo'!C51,'03.08 Spear Motors-Kyambogo'!C51,'04.08 Spear Motors-Kyambogo'!C51)</f>
        <v>101.14285714285714</v>
      </c>
      <c r="D51" s="49">
        <f>AVERAGE('29.07 Spear Motors-Kyambogo'!D51,'30.07 Spear Motors-Kyambogo'!D51,'31.07 Spear Motors-Kyambogo'!D51,'02.08 Spear Motors-Kyambogo'!D51,'01.08 Spear Motors-Kyambogo'!D51,'03.08 Spear Motors-Kyambogo'!D51,'04.08 Spear Motors-Kyambogo'!D51)</f>
        <v>38.428571428571431</v>
      </c>
      <c r="E51" s="49">
        <f>AVERAGE('29.07 Spear Motors-Kyambogo'!E51,'30.07 Spear Motors-Kyambogo'!E51,'31.07 Spear Motors-Kyambogo'!E51,'02.08 Spear Motors-Kyambogo'!E51,'01.08 Spear Motors-Kyambogo'!E51,'03.08 Spear Motors-Kyambogo'!E51,'04.08 Spear Motors-Kyambogo'!E51)</f>
        <v>21.428571428571427</v>
      </c>
      <c r="F51" s="49">
        <f>AVERAGE('29.07 Spear Motors-Kyambogo'!F51,'30.07 Spear Motors-Kyambogo'!F51,'31.07 Spear Motors-Kyambogo'!F51,'02.08 Spear Motors-Kyambogo'!F51,'01.08 Spear Motors-Kyambogo'!F51,'03.08 Spear Motors-Kyambogo'!F51,'04.08 Spear Motors-Kyambogo'!F51)</f>
        <v>51.571428571428569</v>
      </c>
      <c r="G51" s="49">
        <f>AVERAGE('29.07 Spear Motors-Kyambogo'!G51,'30.07 Spear Motors-Kyambogo'!G51,'31.07 Spear Motors-Kyambogo'!G51,'02.08 Spear Motors-Kyambogo'!G51,'01.08 Spear Motors-Kyambogo'!G51,'03.08 Spear Motors-Kyambogo'!G51,'04.08 Spear Motors-Kyambogo'!G51)</f>
        <v>1.2857142857142858</v>
      </c>
      <c r="H51" s="49">
        <f>AVERAGE('29.07 Spear Motors-Kyambogo'!H51,'30.07 Spear Motors-Kyambogo'!H51,'31.07 Spear Motors-Kyambogo'!H51,'02.08 Spear Motors-Kyambogo'!H51,'01.08 Spear Motors-Kyambogo'!H51,'03.08 Spear Motors-Kyambogo'!H51,'04.08 Spear Motors-Kyambogo'!H51)</f>
        <v>0</v>
      </c>
      <c r="I51" s="49">
        <f>AVERAGE('29.07 Spear Motors-Kyambogo'!I51,'30.07 Spear Motors-Kyambogo'!I51,'31.07 Spear Motors-Kyambogo'!I51,'02.08 Spear Motors-Kyambogo'!I51,'01.08 Spear Motors-Kyambogo'!I51,'03.08 Spear Motors-Kyambogo'!I51,'04.08 Spear Motors-Kyambogo'!I51)</f>
        <v>6.5714285714285712</v>
      </c>
      <c r="J51" s="49">
        <f>AVERAGE('29.07 Spear Motors-Kyambogo'!J51,'30.07 Spear Motors-Kyambogo'!J51,'31.07 Spear Motors-Kyambogo'!J51,'02.08 Spear Motors-Kyambogo'!J51,'01.08 Spear Motors-Kyambogo'!J51,'03.08 Spear Motors-Kyambogo'!J51,'04.08 Spear Motors-Kyambogo'!J51)</f>
        <v>4</v>
      </c>
      <c r="K51" s="49">
        <f>AVERAGE('29.07 Spear Motors-Kyambogo'!K51,'30.07 Spear Motors-Kyambogo'!K51,'31.07 Spear Motors-Kyambogo'!K51,'02.08 Spear Motors-Kyambogo'!K51,'01.08 Spear Motors-Kyambogo'!K51,'03.08 Spear Motors-Kyambogo'!K51,'04.08 Spear Motors-Kyambogo'!K51)</f>
        <v>1</v>
      </c>
      <c r="L51" s="49">
        <f>AVERAGE('29.07 Spear Motors-Kyambogo'!L51,'30.07 Spear Motors-Kyambogo'!L51,'31.07 Spear Motors-Kyambogo'!L51,'02.08 Spear Motors-Kyambogo'!L51,'01.08 Spear Motors-Kyambogo'!L51,'03.08 Spear Motors-Kyambogo'!L51,'04.08 Spear Motors-Kyambogo'!L51)</f>
        <v>2.4285714285714284</v>
      </c>
      <c r="M51" s="49">
        <f>AVERAGE('29.07 Spear Motors-Kyambogo'!M51,'30.07 Spear Motors-Kyambogo'!M51,'31.07 Spear Motors-Kyambogo'!M51,'02.08 Spear Motors-Kyambogo'!M51,'01.08 Spear Motors-Kyambogo'!M51,'03.08 Spear Motors-Kyambogo'!M51,'04.08 Spear Motors-Kyambogo'!M51)</f>
        <v>294.42857142857144</v>
      </c>
      <c r="N51" s="49">
        <f>AVERAGE('29.07 Spear Motors-Kyambogo'!N51,'30.07 Spear Motors-Kyambogo'!N51,'31.07 Spear Motors-Kyambogo'!N51,'02.08 Spear Motors-Kyambogo'!N51,'01.08 Spear Motors-Kyambogo'!N51,'03.08 Spear Motors-Kyambogo'!N51,'04.08 Spear Motors-Kyambogo'!N51)</f>
        <v>0</v>
      </c>
      <c r="O51" s="15">
        <f t="shared" si="0"/>
        <v>227.85714285714283</v>
      </c>
      <c r="P51" s="15">
        <f t="shared" si="1"/>
        <v>522.28571428571422</v>
      </c>
      <c r="R51" s="8"/>
      <c r="T51"/>
    </row>
    <row r="52" spans="2:20" ht="23.1" customHeight="1" x14ac:dyDescent="0.25">
      <c r="B52" s="24" t="s">
        <v>79</v>
      </c>
      <c r="C52" s="49">
        <f>AVERAGE('29.07 Spear Motors-Kyambogo'!C52,'30.07 Spear Motors-Kyambogo'!C52,'31.07 Spear Motors-Kyambogo'!C52,'02.08 Spear Motors-Kyambogo'!C52,'01.08 Spear Motors-Kyambogo'!C52,'03.08 Spear Motors-Kyambogo'!C52,'04.08 Spear Motors-Kyambogo'!C52)</f>
        <v>123.14285714285714</v>
      </c>
      <c r="D52" s="49">
        <f>AVERAGE('29.07 Spear Motors-Kyambogo'!D52,'30.07 Spear Motors-Kyambogo'!D52,'31.07 Spear Motors-Kyambogo'!D52,'02.08 Spear Motors-Kyambogo'!D52,'01.08 Spear Motors-Kyambogo'!D52,'03.08 Spear Motors-Kyambogo'!D52,'04.08 Spear Motors-Kyambogo'!D52)</f>
        <v>52.714285714285715</v>
      </c>
      <c r="E52" s="49">
        <f>AVERAGE('29.07 Spear Motors-Kyambogo'!E52,'30.07 Spear Motors-Kyambogo'!E52,'31.07 Spear Motors-Kyambogo'!E52,'02.08 Spear Motors-Kyambogo'!E52,'01.08 Spear Motors-Kyambogo'!E52,'03.08 Spear Motors-Kyambogo'!E52,'04.08 Spear Motors-Kyambogo'!E52)</f>
        <v>24.571428571428573</v>
      </c>
      <c r="F52" s="49">
        <f>AVERAGE('29.07 Spear Motors-Kyambogo'!F52,'30.07 Spear Motors-Kyambogo'!F52,'31.07 Spear Motors-Kyambogo'!F52,'02.08 Spear Motors-Kyambogo'!F52,'01.08 Spear Motors-Kyambogo'!F52,'03.08 Spear Motors-Kyambogo'!F52,'04.08 Spear Motors-Kyambogo'!F52)</f>
        <v>59</v>
      </c>
      <c r="G52" s="49">
        <f>AVERAGE('29.07 Spear Motors-Kyambogo'!G52,'30.07 Spear Motors-Kyambogo'!G52,'31.07 Spear Motors-Kyambogo'!G52,'02.08 Spear Motors-Kyambogo'!G52,'01.08 Spear Motors-Kyambogo'!G52,'03.08 Spear Motors-Kyambogo'!G52,'04.08 Spear Motors-Kyambogo'!G52)</f>
        <v>1.2857142857142858</v>
      </c>
      <c r="H52" s="49">
        <f>AVERAGE('29.07 Spear Motors-Kyambogo'!H52,'30.07 Spear Motors-Kyambogo'!H52,'31.07 Spear Motors-Kyambogo'!H52,'02.08 Spear Motors-Kyambogo'!H52,'01.08 Spear Motors-Kyambogo'!H52,'03.08 Spear Motors-Kyambogo'!H52,'04.08 Spear Motors-Kyambogo'!H52)</f>
        <v>0.2857142857142857</v>
      </c>
      <c r="I52" s="49">
        <f>AVERAGE('29.07 Spear Motors-Kyambogo'!I52,'30.07 Spear Motors-Kyambogo'!I52,'31.07 Spear Motors-Kyambogo'!I52,'02.08 Spear Motors-Kyambogo'!I52,'01.08 Spear Motors-Kyambogo'!I52,'03.08 Spear Motors-Kyambogo'!I52,'04.08 Spear Motors-Kyambogo'!I52)</f>
        <v>6.5714285714285712</v>
      </c>
      <c r="J52" s="49">
        <f>AVERAGE('29.07 Spear Motors-Kyambogo'!J52,'30.07 Spear Motors-Kyambogo'!J52,'31.07 Spear Motors-Kyambogo'!J52,'02.08 Spear Motors-Kyambogo'!J52,'01.08 Spear Motors-Kyambogo'!J52,'03.08 Spear Motors-Kyambogo'!J52,'04.08 Spear Motors-Kyambogo'!J52)</f>
        <v>3.5714285714285716</v>
      </c>
      <c r="K52" s="49">
        <f>AVERAGE('29.07 Spear Motors-Kyambogo'!K52,'30.07 Spear Motors-Kyambogo'!K52,'31.07 Spear Motors-Kyambogo'!K52,'02.08 Spear Motors-Kyambogo'!K52,'01.08 Spear Motors-Kyambogo'!K52,'03.08 Spear Motors-Kyambogo'!K52,'04.08 Spear Motors-Kyambogo'!K52)</f>
        <v>1.2857142857142858</v>
      </c>
      <c r="L52" s="49">
        <f>AVERAGE('29.07 Spear Motors-Kyambogo'!L52,'30.07 Spear Motors-Kyambogo'!L52,'31.07 Spear Motors-Kyambogo'!L52,'02.08 Spear Motors-Kyambogo'!L52,'01.08 Spear Motors-Kyambogo'!L52,'03.08 Spear Motors-Kyambogo'!L52,'04.08 Spear Motors-Kyambogo'!L52)</f>
        <v>3.1428571428571428</v>
      </c>
      <c r="M52" s="49">
        <f>AVERAGE('29.07 Spear Motors-Kyambogo'!M52,'30.07 Spear Motors-Kyambogo'!M52,'31.07 Spear Motors-Kyambogo'!M52,'02.08 Spear Motors-Kyambogo'!M52,'01.08 Spear Motors-Kyambogo'!M52,'03.08 Spear Motors-Kyambogo'!M52,'04.08 Spear Motors-Kyambogo'!M52)</f>
        <v>287.85714285714283</v>
      </c>
      <c r="N52" s="49">
        <f>AVERAGE('29.07 Spear Motors-Kyambogo'!N52,'30.07 Spear Motors-Kyambogo'!N52,'31.07 Spear Motors-Kyambogo'!N52,'02.08 Spear Motors-Kyambogo'!N52,'01.08 Spear Motors-Kyambogo'!N52,'03.08 Spear Motors-Kyambogo'!N52,'04.08 Spear Motors-Kyambogo'!N52)</f>
        <v>0</v>
      </c>
      <c r="O52" s="15">
        <f t="shared" si="0"/>
        <v>275.57142857142856</v>
      </c>
      <c r="P52" s="15">
        <f t="shared" si="1"/>
        <v>563.42857142857133</v>
      </c>
      <c r="R52" s="8"/>
      <c r="T52"/>
    </row>
    <row r="53" spans="2:20" ht="23.1" customHeight="1" x14ac:dyDescent="0.25">
      <c r="B53" s="23" t="s">
        <v>80</v>
      </c>
      <c r="C53" s="49">
        <f>AVERAGE('29.07 Spear Motors-Kyambogo'!C53,'30.07 Spear Motors-Kyambogo'!C53,'31.07 Spear Motors-Kyambogo'!C53,'02.08 Spear Motors-Kyambogo'!C53,'01.08 Spear Motors-Kyambogo'!C53,'03.08 Spear Motors-Kyambogo'!C53,'04.08 Spear Motors-Kyambogo'!C53)</f>
        <v>124.71428571428571</v>
      </c>
      <c r="D53" s="49">
        <f>AVERAGE('29.07 Spear Motors-Kyambogo'!D53,'30.07 Spear Motors-Kyambogo'!D53,'31.07 Spear Motors-Kyambogo'!D53,'02.08 Spear Motors-Kyambogo'!D53,'01.08 Spear Motors-Kyambogo'!D53,'03.08 Spear Motors-Kyambogo'!D53,'04.08 Spear Motors-Kyambogo'!D53)</f>
        <v>56.571428571428569</v>
      </c>
      <c r="E53" s="49">
        <f>AVERAGE('29.07 Spear Motors-Kyambogo'!E53,'30.07 Spear Motors-Kyambogo'!E53,'31.07 Spear Motors-Kyambogo'!E53,'02.08 Spear Motors-Kyambogo'!E53,'01.08 Spear Motors-Kyambogo'!E53,'03.08 Spear Motors-Kyambogo'!E53,'04.08 Spear Motors-Kyambogo'!E53)</f>
        <v>27.142857142857142</v>
      </c>
      <c r="F53" s="49">
        <f>AVERAGE('29.07 Spear Motors-Kyambogo'!F53,'30.07 Spear Motors-Kyambogo'!F53,'31.07 Spear Motors-Kyambogo'!F53,'02.08 Spear Motors-Kyambogo'!F53,'01.08 Spear Motors-Kyambogo'!F53,'03.08 Spear Motors-Kyambogo'!F53,'04.08 Spear Motors-Kyambogo'!F53)</f>
        <v>50.857142857142854</v>
      </c>
      <c r="G53" s="49">
        <f>AVERAGE('29.07 Spear Motors-Kyambogo'!G53,'30.07 Spear Motors-Kyambogo'!G53,'31.07 Spear Motors-Kyambogo'!G53,'02.08 Spear Motors-Kyambogo'!G53,'01.08 Spear Motors-Kyambogo'!G53,'03.08 Spear Motors-Kyambogo'!G53,'04.08 Spear Motors-Kyambogo'!G53)</f>
        <v>0.8571428571428571</v>
      </c>
      <c r="H53" s="49">
        <f>AVERAGE('29.07 Spear Motors-Kyambogo'!H53,'30.07 Spear Motors-Kyambogo'!H53,'31.07 Spear Motors-Kyambogo'!H53,'02.08 Spear Motors-Kyambogo'!H53,'01.08 Spear Motors-Kyambogo'!H53,'03.08 Spear Motors-Kyambogo'!H53,'04.08 Spear Motors-Kyambogo'!H53)</f>
        <v>0.14285714285714285</v>
      </c>
      <c r="I53" s="49">
        <f>AVERAGE('29.07 Spear Motors-Kyambogo'!I53,'30.07 Spear Motors-Kyambogo'!I53,'31.07 Spear Motors-Kyambogo'!I53,'02.08 Spear Motors-Kyambogo'!I53,'01.08 Spear Motors-Kyambogo'!I53,'03.08 Spear Motors-Kyambogo'!I53,'04.08 Spear Motors-Kyambogo'!I53)</f>
        <v>6.4285714285714288</v>
      </c>
      <c r="J53" s="49">
        <f>AVERAGE('29.07 Spear Motors-Kyambogo'!J53,'30.07 Spear Motors-Kyambogo'!J53,'31.07 Spear Motors-Kyambogo'!J53,'02.08 Spear Motors-Kyambogo'!J53,'01.08 Spear Motors-Kyambogo'!J53,'03.08 Spear Motors-Kyambogo'!J53,'04.08 Spear Motors-Kyambogo'!J53)</f>
        <v>3.1428571428571428</v>
      </c>
      <c r="K53" s="49">
        <f>AVERAGE('29.07 Spear Motors-Kyambogo'!K53,'30.07 Spear Motors-Kyambogo'!K53,'31.07 Spear Motors-Kyambogo'!K53,'02.08 Spear Motors-Kyambogo'!K53,'01.08 Spear Motors-Kyambogo'!K53,'03.08 Spear Motors-Kyambogo'!K53,'04.08 Spear Motors-Kyambogo'!K53)</f>
        <v>1.1428571428571428</v>
      </c>
      <c r="L53" s="49">
        <f>AVERAGE('29.07 Spear Motors-Kyambogo'!L53,'30.07 Spear Motors-Kyambogo'!L53,'31.07 Spear Motors-Kyambogo'!L53,'02.08 Spear Motors-Kyambogo'!L53,'01.08 Spear Motors-Kyambogo'!L53,'03.08 Spear Motors-Kyambogo'!L53,'04.08 Spear Motors-Kyambogo'!L53)</f>
        <v>1.8571428571428572</v>
      </c>
      <c r="M53" s="49">
        <f>AVERAGE('29.07 Spear Motors-Kyambogo'!M53,'30.07 Spear Motors-Kyambogo'!M53,'31.07 Spear Motors-Kyambogo'!M53,'02.08 Spear Motors-Kyambogo'!M53,'01.08 Spear Motors-Kyambogo'!M53,'03.08 Spear Motors-Kyambogo'!M53,'04.08 Spear Motors-Kyambogo'!M53)</f>
        <v>329.85714285714283</v>
      </c>
      <c r="N53" s="49">
        <f>AVERAGE('29.07 Spear Motors-Kyambogo'!N53,'30.07 Spear Motors-Kyambogo'!N53,'31.07 Spear Motors-Kyambogo'!N53,'02.08 Spear Motors-Kyambogo'!N53,'01.08 Spear Motors-Kyambogo'!N53,'03.08 Spear Motors-Kyambogo'!N53,'04.08 Spear Motors-Kyambogo'!N53)</f>
        <v>0</v>
      </c>
      <c r="O53" s="15">
        <f t="shared" si="0"/>
        <v>272.85714285714289</v>
      </c>
      <c r="P53" s="15">
        <f t="shared" si="1"/>
        <v>602.71428571428578</v>
      </c>
      <c r="R53" s="8"/>
      <c r="T53"/>
    </row>
    <row r="54" spans="2:20" ht="23.1" customHeight="1" x14ac:dyDescent="0.25">
      <c r="B54" s="23" t="s">
        <v>81</v>
      </c>
      <c r="C54" s="49">
        <f>AVERAGE('29.07 Spear Motors-Kyambogo'!C54,'30.07 Spear Motors-Kyambogo'!C54,'31.07 Spear Motors-Kyambogo'!C54,'02.08 Spear Motors-Kyambogo'!C54,'01.08 Spear Motors-Kyambogo'!C54,'03.08 Spear Motors-Kyambogo'!C54,'04.08 Spear Motors-Kyambogo'!C54)</f>
        <v>120.57142857142857</v>
      </c>
      <c r="D54" s="49">
        <f>AVERAGE('29.07 Spear Motors-Kyambogo'!D54,'30.07 Spear Motors-Kyambogo'!D54,'31.07 Spear Motors-Kyambogo'!D54,'02.08 Spear Motors-Kyambogo'!D54,'01.08 Spear Motors-Kyambogo'!D54,'03.08 Spear Motors-Kyambogo'!D54,'04.08 Spear Motors-Kyambogo'!D54)</f>
        <v>53.285714285714285</v>
      </c>
      <c r="E54" s="49">
        <f>AVERAGE('29.07 Spear Motors-Kyambogo'!E54,'30.07 Spear Motors-Kyambogo'!E54,'31.07 Spear Motors-Kyambogo'!E54,'02.08 Spear Motors-Kyambogo'!E54,'01.08 Spear Motors-Kyambogo'!E54,'03.08 Spear Motors-Kyambogo'!E54,'04.08 Spear Motors-Kyambogo'!E54)</f>
        <v>23.428571428571427</v>
      </c>
      <c r="F54" s="49">
        <f>AVERAGE('29.07 Spear Motors-Kyambogo'!F54,'30.07 Spear Motors-Kyambogo'!F54,'31.07 Spear Motors-Kyambogo'!F54,'02.08 Spear Motors-Kyambogo'!F54,'01.08 Spear Motors-Kyambogo'!F54,'03.08 Spear Motors-Kyambogo'!F54,'04.08 Spear Motors-Kyambogo'!F54)</f>
        <v>50.285714285714285</v>
      </c>
      <c r="G54" s="49">
        <f>AVERAGE('29.07 Spear Motors-Kyambogo'!G54,'30.07 Spear Motors-Kyambogo'!G54,'31.07 Spear Motors-Kyambogo'!G54,'02.08 Spear Motors-Kyambogo'!G54,'01.08 Spear Motors-Kyambogo'!G54,'03.08 Spear Motors-Kyambogo'!G54,'04.08 Spear Motors-Kyambogo'!G54)</f>
        <v>1.8571428571428572</v>
      </c>
      <c r="H54" s="49">
        <f>AVERAGE('29.07 Spear Motors-Kyambogo'!H54,'30.07 Spear Motors-Kyambogo'!H54,'31.07 Spear Motors-Kyambogo'!H54,'02.08 Spear Motors-Kyambogo'!H54,'01.08 Spear Motors-Kyambogo'!H54,'03.08 Spear Motors-Kyambogo'!H54,'04.08 Spear Motors-Kyambogo'!H54)</f>
        <v>1</v>
      </c>
      <c r="I54" s="49">
        <f>AVERAGE('29.07 Spear Motors-Kyambogo'!I54,'30.07 Spear Motors-Kyambogo'!I54,'31.07 Spear Motors-Kyambogo'!I54,'02.08 Spear Motors-Kyambogo'!I54,'01.08 Spear Motors-Kyambogo'!I54,'03.08 Spear Motors-Kyambogo'!I54,'04.08 Spear Motors-Kyambogo'!I54)</f>
        <v>5.8571428571428568</v>
      </c>
      <c r="J54" s="49">
        <f>AVERAGE('29.07 Spear Motors-Kyambogo'!J54,'30.07 Spear Motors-Kyambogo'!J54,'31.07 Spear Motors-Kyambogo'!J54,'02.08 Spear Motors-Kyambogo'!J54,'01.08 Spear Motors-Kyambogo'!J54,'03.08 Spear Motors-Kyambogo'!J54,'04.08 Spear Motors-Kyambogo'!J54)</f>
        <v>2.5714285714285716</v>
      </c>
      <c r="K54" s="49">
        <f>AVERAGE('29.07 Spear Motors-Kyambogo'!K54,'30.07 Spear Motors-Kyambogo'!K54,'31.07 Spear Motors-Kyambogo'!K54,'02.08 Spear Motors-Kyambogo'!K54,'01.08 Spear Motors-Kyambogo'!K54,'03.08 Spear Motors-Kyambogo'!K54,'04.08 Spear Motors-Kyambogo'!K54)</f>
        <v>0.5714285714285714</v>
      </c>
      <c r="L54" s="49">
        <f>AVERAGE('29.07 Spear Motors-Kyambogo'!L54,'30.07 Spear Motors-Kyambogo'!L54,'31.07 Spear Motors-Kyambogo'!L54,'02.08 Spear Motors-Kyambogo'!L54,'01.08 Spear Motors-Kyambogo'!L54,'03.08 Spear Motors-Kyambogo'!L54,'04.08 Spear Motors-Kyambogo'!L54)</f>
        <v>1.7142857142857142</v>
      </c>
      <c r="M54" s="49">
        <f>AVERAGE('29.07 Spear Motors-Kyambogo'!M54,'30.07 Spear Motors-Kyambogo'!M54,'31.07 Spear Motors-Kyambogo'!M54,'02.08 Spear Motors-Kyambogo'!M54,'01.08 Spear Motors-Kyambogo'!M54,'03.08 Spear Motors-Kyambogo'!M54,'04.08 Spear Motors-Kyambogo'!M54)</f>
        <v>337.28571428571428</v>
      </c>
      <c r="N54" s="49">
        <f>AVERAGE('29.07 Spear Motors-Kyambogo'!N54,'30.07 Spear Motors-Kyambogo'!N54,'31.07 Spear Motors-Kyambogo'!N54,'02.08 Spear Motors-Kyambogo'!N54,'01.08 Spear Motors-Kyambogo'!N54,'03.08 Spear Motors-Kyambogo'!N54,'04.08 Spear Motors-Kyambogo'!N54)</f>
        <v>0</v>
      </c>
      <c r="O54" s="15">
        <f t="shared" si="0"/>
        <v>261.14285714285711</v>
      </c>
      <c r="P54" s="15">
        <f t="shared" si="1"/>
        <v>598.42857142857133</v>
      </c>
      <c r="R54" s="8"/>
      <c r="T54"/>
    </row>
    <row r="55" spans="2:20" ht="23.1" customHeight="1" x14ac:dyDescent="0.25">
      <c r="B55" s="23" t="s">
        <v>82</v>
      </c>
      <c r="C55" s="49">
        <f>AVERAGE('29.07 Spear Motors-Kyambogo'!C55,'30.07 Spear Motors-Kyambogo'!C55,'31.07 Spear Motors-Kyambogo'!C55,'02.08 Spear Motors-Kyambogo'!C55,'01.08 Spear Motors-Kyambogo'!C55,'03.08 Spear Motors-Kyambogo'!C55,'04.08 Spear Motors-Kyambogo'!C55)</f>
        <v>120.71428571428571</v>
      </c>
      <c r="D55" s="49">
        <f>AVERAGE('29.07 Spear Motors-Kyambogo'!D55,'30.07 Spear Motors-Kyambogo'!D55,'31.07 Spear Motors-Kyambogo'!D55,'02.08 Spear Motors-Kyambogo'!D55,'01.08 Spear Motors-Kyambogo'!D55,'03.08 Spear Motors-Kyambogo'!D55,'04.08 Spear Motors-Kyambogo'!D55)</f>
        <v>50.428571428571431</v>
      </c>
      <c r="E55" s="49">
        <f>AVERAGE('29.07 Spear Motors-Kyambogo'!E55,'30.07 Spear Motors-Kyambogo'!E55,'31.07 Spear Motors-Kyambogo'!E55,'02.08 Spear Motors-Kyambogo'!E55,'01.08 Spear Motors-Kyambogo'!E55,'03.08 Spear Motors-Kyambogo'!E55,'04.08 Spear Motors-Kyambogo'!E55)</f>
        <v>21.428571428571427</v>
      </c>
      <c r="F55" s="49">
        <f>AVERAGE('29.07 Spear Motors-Kyambogo'!F55,'30.07 Spear Motors-Kyambogo'!F55,'31.07 Spear Motors-Kyambogo'!F55,'02.08 Spear Motors-Kyambogo'!F55,'01.08 Spear Motors-Kyambogo'!F55,'03.08 Spear Motors-Kyambogo'!F55,'04.08 Spear Motors-Kyambogo'!F55)</f>
        <v>50.857142857142854</v>
      </c>
      <c r="G55" s="49">
        <f>AVERAGE('29.07 Spear Motors-Kyambogo'!G55,'30.07 Spear Motors-Kyambogo'!G55,'31.07 Spear Motors-Kyambogo'!G55,'02.08 Spear Motors-Kyambogo'!G55,'01.08 Spear Motors-Kyambogo'!G55,'03.08 Spear Motors-Kyambogo'!G55,'04.08 Spear Motors-Kyambogo'!G55)</f>
        <v>1.7142857142857142</v>
      </c>
      <c r="H55" s="49">
        <f>AVERAGE('29.07 Spear Motors-Kyambogo'!H55,'30.07 Spear Motors-Kyambogo'!H55,'31.07 Spear Motors-Kyambogo'!H55,'02.08 Spear Motors-Kyambogo'!H55,'01.08 Spear Motors-Kyambogo'!H55,'03.08 Spear Motors-Kyambogo'!H55,'04.08 Spear Motors-Kyambogo'!H55)</f>
        <v>0.8571428571428571</v>
      </c>
      <c r="I55" s="49">
        <f>AVERAGE('29.07 Spear Motors-Kyambogo'!I55,'30.07 Spear Motors-Kyambogo'!I55,'31.07 Spear Motors-Kyambogo'!I55,'02.08 Spear Motors-Kyambogo'!I55,'01.08 Spear Motors-Kyambogo'!I55,'03.08 Spear Motors-Kyambogo'!I55,'04.08 Spear Motors-Kyambogo'!I55)</f>
        <v>5.1428571428571432</v>
      </c>
      <c r="J55" s="49">
        <f>AVERAGE('29.07 Spear Motors-Kyambogo'!J55,'30.07 Spear Motors-Kyambogo'!J55,'31.07 Spear Motors-Kyambogo'!J55,'02.08 Spear Motors-Kyambogo'!J55,'01.08 Spear Motors-Kyambogo'!J55,'03.08 Spear Motors-Kyambogo'!J55,'04.08 Spear Motors-Kyambogo'!J55)</f>
        <v>2.1428571428571428</v>
      </c>
      <c r="K55" s="49">
        <f>AVERAGE('29.07 Spear Motors-Kyambogo'!K55,'30.07 Spear Motors-Kyambogo'!K55,'31.07 Spear Motors-Kyambogo'!K55,'02.08 Spear Motors-Kyambogo'!K55,'01.08 Spear Motors-Kyambogo'!K55,'03.08 Spear Motors-Kyambogo'!K55,'04.08 Spear Motors-Kyambogo'!K55)</f>
        <v>0.14285714285714285</v>
      </c>
      <c r="L55" s="49">
        <f>AVERAGE('29.07 Spear Motors-Kyambogo'!L55,'30.07 Spear Motors-Kyambogo'!L55,'31.07 Spear Motors-Kyambogo'!L55,'02.08 Spear Motors-Kyambogo'!L55,'01.08 Spear Motors-Kyambogo'!L55,'03.08 Spear Motors-Kyambogo'!L55,'04.08 Spear Motors-Kyambogo'!L55)</f>
        <v>0.8571428571428571</v>
      </c>
      <c r="M55" s="49">
        <f>AVERAGE('29.07 Spear Motors-Kyambogo'!M55,'30.07 Spear Motors-Kyambogo'!M55,'31.07 Spear Motors-Kyambogo'!M55,'02.08 Spear Motors-Kyambogo'!M55,'01.08 Spear Motors-Kyambogo'!M55,'03.08 Spear Motors-Kyambogo'!M55,'04.08 Spear Motors-Kyambogo'!M55)</f>
        <v>290.85714285714283</v>
      </c>
      <c r="N55" s="49">
        <f>AVERAGE('29.07 Spear Motors-Kyambogo'!N55,'30.07 Spear Motors-Kyambogo'!N55,'31.07 Spear Motors-Kyambogo'!N55,'02.08 Spear Motors-Kyambogo'!N55,'01.08 Spear Motors-Kyambogo'!N55,'03.08 Spear Motors-Kyambogo'!N55,'04.08 Spear Motors-Kyambogo'!N55)</f>
        <v>0</v>
      </c>
      <c r="O55" s="15">
        <f t="shared" si="0"/>
        <v>254.28571428571428</v>
      </c>
      <c r="P55" s="15">
        <f t="shared" si="1"/>
        <v>545.14285714285711</v>
      </c>
      <c r="R55" s="8"/>
      <c r="T55"/>
    </row>
    <row r="56" spans="2:20" ht="23.1" customHeight="1" x14ac:dyDescent="0.25">
      <c r="B56" s="23" t="s">
        <v>83</v>
      </c>
      <c r="C56" s="49">
        <f>AVERAGE('29.07 Spear Motors-Kyambogo'!C56,'30.07 Spear Motors-Kyambogo'!C56,'31.07 Spear Motors-Kyambogo'!C56,'02.08 Spear Motors-Kyambogo'!C56,'01.08 Spear Motors-Kyambogo'!C56,'03.08 Spear Motors-Kyambogo'!C56,'04.08 Spear Motors-Kyambogo'!C56)</f>
        <v>130.14285714285714</v>
      </c>
      <c r="D56" s="49">
        <f>AVERAGE('29.07 Spear Motors-Kyambogo'!D56,'30.07 Spear Motors-Kyambogo'!D56,'31.07 Spear Motors-Kyambogo'!D56,'02.08 Spear Motors-Kyambogo'!D56,'01.08 Spear Motors-Kyambogo'!D56,'03.08 Spear Motors-Kyambogo'!D56,'04.08 Spear Motors-Kyambogo'!D56)</f>
        <v>55.571428571428569</v>
      </c>
      <c r="E56" s="49">
        <f>AVERAGE('29.07 Spear Motors-Kyambogo'!E56,'30.07 Spear Motors-Kyambogo'!E56,'31.07 Spear Motors-Kyambogo'!E56,'02.08 Spear Motors-Kyambogo'!E56,'01.08 Spear Motors-Kyambogo'!E56,'03.08 Spear Motors-Kyambogo'!E56,'04.08 Spear Motors-Kyambogo'!E56)</f>
        <v>28.285714285714285</v>
      </c>
      <c r="F56" s="49">
        <f>AVERAGE('29.07 Spear Motors-Kyambogo'!F56,'30.07 Spear Motors-Kyambogo'!F56,'31.07 Spear Motors-Kyambogo'!F56,'02.08 Spear Motors-Kyambogo'!F56,'01.08 Spear Motors-Kyambogo'!F56,'03.08 Spear Motors-Kyambogo'!F56,'04.08 Spear Motors-Kyambogo'!F56)</f>
        <v>57.857142857142854</v>
      </c>
      <c r="G56" s="49">
        <f>AVERAGE('29.07 Spear Motors-Kyambogo'!G56,'30.07 Spear Motors-Kyambogo'!G56,'31.07 Spear Motors-Kyambogo'!G56,'02.08 Spear Motors-Kyambogo'!G56,'01.08 Spear Motors-Kyambogo'!G56,'03.08 Spear Motors-Kyambogo'!G56,'04.08 Spear Motors-Kyambogo'!G56)</f>
        <v>1.4285714285714286</v>
      </c>
      <c r="H56" s="49">
        <f>AVERAGE('29.07 Spear Motors-Kyambogo'!H56,'30.07 Spear Motors-Kyambogo'!H56,'31.07 Spear Motors-Kyambogo'!H56,'02.08 Spear Motors-Kyambogo'!H56,'01.08 Spear Motors-Kyambogo'!H56,'03.08 Spear Motors-Kyambogo'!H56,'04.08 Spear Motors-Kyambogo'!H56)</f>
        <v>0.5714285714285714</v>
      </c>
      <c r="I56" s="49">
        <f>AVERAGE('29.07 Spear Motors-Kyambogo'!I56,'30.07 Spear Motors-Kyambogo'!I56,'31.07 Spear Motors-Kyambogo'!I56,'02.08 Spear Motors-Kyambogo'!I56,'01.08 Spear Motors-Kyambogo'!I56,'03.08 Spear Motors-Kyambogo'!I56,'04.08 Spear Motors-Kyambogo'!I56)</f>
        <v>5.4285714285714288</v>
      </c>
      <c r="J56" s="49">
        <f>AVERAGE('29.07 Spear Motors-Kyambogo'!J56,'30.07 Spear Motors-Kyambogo'!J56,'31.07 Spear Motors-Kyambogo'!J56,'02.08 Spear Motors-Kyambogo'!J56,'01.08 Spear Motors-Kyambogo'!J56,'03.08 Spear Motors-Kyambogo'!J56,'04.08 Spear Motors-Kyambogo'!J56)</f>
        <v>4.5714285714285712</v>
      </c>
      <c r="K56" s="49">
        <f>AVERAGE('29.07 Spear Motors-Kyambogo'!K56,'30.07 Spear Motors-Kyambogo'!K56,'31.07 Spear Motors-Kyambogo'!K56,'02.08 Spear Motors-Kyambogo'!K56,'01.08 Spear Motors-Kyambogo'!K56,'03.08 Spear Motors-Kyambogo'!K56,'04.08 Spear Motors-Kyambogo'!K56)</f>
        <v>0.42857142857142855</v>
      </c>
      <c r="L56" s="49">
        <f>AVERAGE('29.07 Spear Motors-Kyambogo'!L56,'30.07 Spear Motors-Kyambogo'!L56,'31.07 Spear Motors-Kyambogo'!L56,'02.08 Spear Motors-Kyambogo'!L56,'01.08 Spear Motors-Kyambogo'!L56,'03.08 Spear Motors-Kyambogo'!L56,'04.08 Spear Motors-Kyambogo'!L56)</f>
        <v>1</v>
      </c>
      <c r="M56" s="49">
        <f>AVERAGE('29.07 Spear Motors-Kyambogo'!M56,'30.07 Spear Motors-Kyambogo'!M56,'31.07 Spear Motors-Kyambogo'!M56,'02.08 Spear Motors-Kyambogo'!M56,'01.08 Spear Motors-Kyambogo'!M56,'03.08 Spear Motors-Kyambogo'!M56,'04.08 Spear Motors-Kyambogo'!M56)</f>
        <v>290.14285714285717</v>
      </c>
      <c r="N56" s="49">
        <f>AVERAGE('29.07 Spear Motors-Kyambogo'!N56,'30.07 Spear Motors-Kyambogo'!N56,'31.07 Spear Motors-Kyambogo'!N56,'02.08 Spear Motors-Kyambogo'!N56,'01.08 Spear Motors-Kyambogo'!N56,'03.08 Spear Motors-Kyambogo'!N56,'04.08 Spear Motors-Kyambogo'!N56)</f>
        <v>0</v>
      </c>
      <c r="O56" s="15">
        <f t="shared" si="0"/>
        <v>285.28571428571428</v>
      </c>
      <c r="P56" s="15">
        <f t="shared" si="1"/>
        <v>575.42857142857144</v>
      </c>
      <c r="R56" s="8"/>
      <c r="T56"/>
    </row>
    <row r="57" spans="2:20" ht="23.1" customHeight="1" x14ac:dyDescent="0.25">
      <c r="B57" s="23" t="s">
        <v>84</v>
      </c>
      <c r="C57" s="49">
        <f>AVERAGE('29.07 Spear Motors-Kyambogo'!C57,'30.07 Spear Motors-Kyambogo'!C57,'31.07 Spear Motors-Kyambogo'!C57,'02.08 Spear Motors-Kyambogo'!C57,'01.08 Spear Motors-Kyambogo'!C57,'03.08 Spear Motors-Kyambogo'!C57,'04.08 Spear Motors-Kyambogo'!C57)</f>
        <v>138.71428571428572</v>
      </c>
      <c r="D57" s="49">
        <f>AVERAGE('29.07 Spear Motors-Kyambogo'!D57,'30.07 Spear Motors-Kyambogo'!D57,'31.07 Spear Motors-Kyambogo'!D57,'02.08 Spear Motors-Kyambogo'!D57,'01.08 Spear Motors-Kyambogo'!D57,'03.08 Spear Motors-Kyambogo'!D57,'04.08 Spear Motors-Kyambogo'!D57)</f>
        <v>55.428571428571431</v>
      </c>
      <c r="E57" s="49">
        <f>AVERAGE('29.07 Spear Motors-Kyambogo'!E57,'30.07 Spear Motors-Kyambogo'!E57,'31.07 Spear Motors-Kyambogo'!E57,'02.08 Spear Motors-Kyambogo'!E57,'01.08 Spear Motors-Kyambogo'!E57,'03.08 Spear Motors-Kyambogo'!E57,'04.08 Spear Motors-Kyambogo'!E57)</f>
        <v>31.714285714285715</v>
      </c>
      <c r="F57" s="49">
        <f>AVERAGE('29.07 Spear Motors-Kyambogo'!F57,'30.07 Spear Motors-Kyambogo'!F57,'31.07 Spear Motors-Kyambogo'!F57,'02.08 Spear Motors-Kyambogo'!F57,'01.08 Spear Motors-Kyambogo'!F57,'03.08 Spear Motors-Kyambogo'!F57,'04.08 Spear Motors-Kyambogo'!F57)</f>
        <v>58.857142857142854</v>
      </c>
      <c r="G57" s="49">
        <f>AVERAGE('29.07 Spear Motors-Kyambogo'!G57,'30.07 Spear Motors-Kyambogo'!G57,'31.07 Spear Motors-Kyambogo'!G57,'02.08 Spear Motors-Kyambogo'!G57,'01.08 Spear Motors-Kyambogo'!G57,'03.08 Spear Motors-Kyambogo'!G57,'04.08 Spear Motors-Kyambogo'!G57)</f>
        <v>3</v>
      </c>
      <c r="H57" s="49">
        <f>AVERAGE('29.07 Spear Motors-Kyambogo'!H57,'30.07 Spear Motors-Kyambogo'!H57,'31.07 Spear Motors-Kyambogo'!H57,'02.08 Spear Motors-Kyambogo'!H57,'01.08 Spear Motors-Kyambogo'!H57,'03.08 Spear Motors-Kyambogo'!H57,'04.08 Spear Motors-Kyambogo'!H57)</f>
        <v>0.2857142857142857</v>
      </c>
      <c r="I57" s="49">
        <f>AVERAGE('29.07 Spear Motors-Kyambogo'!I57,'30.07 Spear Motors-Kyambogo'!I57,'31.07 Spear Motors-Kyambogo'!I57,'02.08 Spear Motors-Kyambogo'!I57,'01.08 Spear Motors-Kyambogo'!I57,'03.08 Spear Motors-Kyambogo'!I57,'04.08 Spear Motors-Kyambogo'!I57)</f>
        <v>4.8571428571428568</v>
      </c>
      <c r="J57" s="49">
        <f>AVERAGE('29.07 Spear Motors-Kyambogo'!J57,'30.07 Spear Motors-Kyambogo'!J57,'31.07 Spear Motors-Kyambogo'!J57,'02.08 Spear Motors-Kyambogo'!J57,'01.08 Spear Motors-Kyambogo'!J57,'03.08 Spear Motors-Kyambogo'!J57,'04.08 Spear Motors-Kyambogo'!J57)</f>
        <v>2.8571428571428572</v>
      </c>
      <c r="K57" s="49">
        <f>AVERAGE('29.07 Spear Motors-Kyambogo'!K57,'30.07 Spear Motors-Kyambogo'!K57,'31.07 Spear Motors-Kyambogo'!K57,'02.08 Spear Motors-Kyambogo'!K57,'01.08 Spear Motors-Kyambogo'!K57,'03.08 Spear Motors-Kyambogo'!K57,'04.08 Spear Motors-Kyambogo'!K57)</f>
        <v>0.7142857142857143</v>
      </c>
      <c r="L57" s="49">
        <f>AVERAGE('29.07 Spear Motors-Kyambogo'!L57,'30.07 Spear Motors-Kyambogo'!L57,'31.07 Spear Motors-Kyambogo'!L57,'02.08 Spear Motors-Kyambogo'!L57,'01.08 Spear Motors-Kyambogo'!L57,'03.08 Spear Motors-Kyambogo'!L57,'04.08 Spear Motors-Kyambogo'!L57)</f>
        <v>1.4285714285714286</v>
      </c>
      <c r="M57" s="49">
        <f>AVERAGE('29.07 Spear Motors-Kyambogo'!M57,'30.07 Spear Motors-Kyambogo'!M57,'31.07 Spear Motors-Kyambogo'!M57,'02.08 Spear Motors-Kyambogo'!M57,'01.08 Spear Motors-Kyambogo'!M57,'03.08 Spear Motors-Kyambogo'!M57,'04.08 Spear Motors-Kyambogo'!M57)</f>
        <v>365.57142857142856</v>
      </c>
      <c r="N57" s="49">
        <f>AVERAGE('29.07 Spear Motors-Kyambogo'!N57,'30.07 Spear Motors-Kyambogo'!N57,'31.07 Spear Motors-Kyambogo'!N57,'02.08 Spear Motors-Kyambogo'!N57,'01.08 Spear Motors-Kyambogo'!N57,'03.08 Spear Motors-Kyambogo'!N57,'04.08 Spear Motors-Kyambogo'!N57)</f>
        <v>0</v>
      </c>
      <c r="O57" s="15">
        <f t="shared" si="0"/>
        <v>297.85714285714283</v>
      </c>
      <c r="P57" s="15">
        <f t="shared" si="1"/>
        <v>663.42857142857133</v>
      </c>
      <c r="R57" s="8"/>
      <c r="T57"/>
    </row>
    <row r="58" spans="2:20" ht="23.1" customHeight="1" x14ac:dyDescent="0.25">
      <c r="B58" s="23" t="s">
        <v>99</v>
      </c>
      <c r="C58" s="49">
        <f>AVERAGE('01.08 Spear Motors-Kyambogo'!C58,'03.08 Spear Motors-Kyambogo'!C58)</f>
        <v>69</v>
      </c>
      <c r="D58" s="49">
        <f>AVERAGE('01.08 Spear Motors-Kyambogo'!D58,'03.08 Spear Motors-Kyambogo'!D58)</f>
        <v>16.5</v>
      </c>
      <c r="E58" s="49">
        <f>AVERAGE('01.08 Spear Motors-Kyambogo'!E58,'03.08 Spear Motors-Kyambogo'!E58)</f>
        <v>6</v>
      </c>
      <c r="F58" s="49">
        <f>AVERAGE('01.08 Spear Motors-Kyambogo'!F58,'03.08 Spear Motors-Kyambogo'!F58)</f>
        <v>36</v>
      </c>
      <c r="G58" s="49">
        <f>AVERAGE('01.08 Spear Motors-Kyambogo'!G58,'03.08 Spear Motors-Kyambogo'!G58)</f>
        <v>2.5</v>
      </c>
      <c r="H58" s="49">
        <f>AVERAGE('01.08 Spear Motors-Kyambogo'!H58,'03.08 Spear Motors-Kyambogo'!H58)</f>
        <v>0.5</v>
      </c>
      <c r="I58" s="49">
        <f>AVERAGE('01.08 Spear Motors-Kyambogo'!I58,'03.08 Spear Motors-Kyambogo'!I58)</f>
        <v>4</v>
      </c>
      <c r="J58" s="49">
        <f>AVERAGE('01.08 Spear Motors-Kyambogo'!J58,'03.08 Spear Motors-Kyambogo'!J58)</f>
        <v>0</v>
      </c>
      <c r="K58" s="49">
        <f>AVERAGE('01.08 Spear Motors-Kyambogo'!K58,'03.08 Spear Motors-Kyambogo'!K58)</f>
        <v>0.5</v>
      </c>
      <c r="L58" s="49">
        <f>AVERAGE('01.08 Spear Motors-Kyambogo'!L58,'03.08 Spear Motors-Kyambogo'!L58)</f>
        <v>0</v>
      </c>
      <c r="M58" s="49">
        <f>AVERAGE('01.08 Spear Motors-Kyambogo'!M58,'03.08 Spear Motors-Kyambogo'!M58)</f>
        <v>323.5</v>
      </c>
      <c r="N58" s="49">
        <f>AVERAGE('01.08 Spear Motors-Kyambogo'!N58,'03.08 Spear Motors-Kyambogo'!N58)</f>
        <v>0</v>
      </c>
      <c r="O58" s="49">
        <f>AVERAGE('01.08 Spear Motors-Kyambogo'!O58,'03.08 Spear Motors-Kyambogo'!O58)</f>
        <v>135</v>
      </c>
      <c r="P58" s="49">
        <f>AVERAGE('01.08 Spear Motors-Kyambogo'!P58,'03.08 Spear Motors-Kyambogo'!P58)</f>
        <v>458.5</v>
      </c>
      <c r="R58" s="8"/>
      <c r="T58"/>
    </row>
    <row r="59" spans="2:20" ht="23.1" customHeight="1" x14ac:dyDescent="0.25">
      <c r="B59" s="23" t="s">
        <v>100</v>
      </c>
      <c r="C59" s="49">
        <f>AVERAGE('01.08 Spear Motors-Kyambogo'!C59,'03.08 Spear Motors-Kyambogo'!C59)</f>
        <v>41.5</v>
      </c>
      <c r="D59" s="49">
        <f>AVERAGE('01.08 Spear Motors-Kyambogo'!D59,'03.08 Spear Motors-Kyambogo'!D59)</f>
        <v>4.5</v>
      </c>
      <c r="E59" s="49">
        <f>AVERAGE('01.08 Spear Motors-Kyambogo'!E59,'03.08 Spear Motors-Kyambogo'!E59)</f>
        <v>3</v>
      </c>
      <c r="F59" s="49">
        <f>AVERAGE('01.08 Spear Motors-Kyambogo'!F59,'03.08 Spear Motors-Kyambogo'!F59)</f>
        <v>64.5</v>
      </c>
      <c r="G59" s="49">
        <f>AVERAGE('01.08 Spear Motors-Kyambogo'!G59,'03.08 Spear Motors-Kyambogo'!G59)</f>
        <v>4.5</v>
      </c>
      <c r="H59" s="49">
        <f>AVERAGE('01.08 Spear Motors-Kyambogo'!H59,'03.08 Spear Motors-Kyambogo'!H59)</f>
        <v>2</v>
      </c>
      <c r="I59" s="49">
        <f>AVERAGE('01.08 Spear Motors-Kyambogo'!I59,'03.08 Spear Motors-Kyambogo'!I59)</f>
        <v>4</v>
      </c>
      <c r="J59" s="49">
        <f>AVERAGE('01.08 Spear Motors-Kyambogo'!J59,'03.08 Spear Motors-Kyambogo'!J59)</f>
        <v>3.5</v>
      </c>
      <c r="K59" s="49">
        <f>AVERAGE('01.08 Spear Motors-Kyambogo'!K59,'03.08 Spear Motors-Kyambogo'!K59)</f>
        <v>0.5</v>
      </c>
      <c r="L59" s="49">
        <f>AVERAGE('01.08 Spear Motors-Kyambogo'!L59,'03.08 Spear Motors-Kyambogo'!L59)</f>
        <v>1.5</v>
      </c>
      <c r="M59" s="49">
        <f>AVERAGE('01.08 Spear Motors-Kyambogo'!M59,'03.08 Spear Motors-Kyambogo'!M59)</f>
        <v>321.5</v>
      </c>
      <c r="N59" s="49">
        <f>AVERAGE('01.08 Spear Motors-Kyambogo'!N59,'03.08 Spear Motors-Kyambogo'!N59)</f>
        <v>0</v>
      </c>
      <c r="O59" s="49">
        <f>AVERAGE('01.08 Spear Motors-Kyambogo'!O59,'03.08 Spear Motors-Kyambogo'!O59)</f>
        <v>129.5</v>
      </c>
      <c r="P59" s="49">
        <f>AVERAGE('01.08 Spear Motors-Kyambogo'!P59,'03.08 Spear Motors-Kyambogo'!P59)</f>
        <v>451</v>
      </c>
      <c r="R59" s="8"/>
      <c r="T59"/>
    </row>
    <row r="60" spans="2:20" ht="23.1" customHeight="1" x14ac:dyDescent="0.25">
      <c r="B60" s="23" t="s">
        <v>101</v>
      </c>
      <c r="C60" s="49">
        <f>AVERAGE('01.08 Spear Motors-Kyambogo'!C60,'03.08 Spear Motors-Kyambogo'!C60)</f>
        <v>30</v>
      </c>
      <c r="D60" s="49">
        <f>AVERAGE('01.08 Spear Motors-Kyambogo'!D60,'03.08 Spear Motors-Kyambogo'!D60)</f>
        <v>2</v>
      </c>
      <c r="E60" s="49">
        <f>AVERAGE('01.08 Spear Motors-Kyambogo'!E60,'03.08 Spear Motors-Kyambogo'!E60)</f>
        <v>4</v>
      </c>
      <c r="F60" s="49">
        <f>AVERAGE('01.08 Spear Motors-Kyambogo'!F60,'03.08 Spear Motors-Kyambogo'!F60)</f>
        <v>41.5</v>
      </c>
      <c r="G60" s="49">
        <f>AVERAGE('01.08 Spear Motors-Kyambogo'!G60,'03.08 Spear Motors-Kyambogo'!G60)</f>
        <v>3</v>
      </c>
      <c r="H60" s="49">
        <f>AVERAGE('01.08 Spear Motors-Kyambogo'!H60,'03.08 Spear Motors-Kyambogo'!H60)</f>
        <v>0</v>
      </c>
      <c r="I60" s="49">
        <f>AVERAGE('01.08 Spear Motors-Kyambogo'!I60,'03.08 Spear Motors-Kyambogo'!I60)</f>
        <v>3</v>
      </c>
      <c r="J60" s="49">
        <f>AVERAGE('01.08 Spear Motors-Kyambogo'!J60,'03.08 Spear Motors-Kyambogo'!J60)</f>
        <v>3</v>
      </c>
      <c r="K60" s="49">
        <f>AVERAGE('01.08 Spear Motors-Kyambogo'!K60,'03.08 Spear Motors-Kyambogo'!K60)</f>
        <v>1</v>
      </c>
      <c r="L60" s="49">
        <f>AVERAGE('01.08 Spear Motors-Kyambogo'!L60,'03.08 Spear Motors-Kyambogo'!L60)</f>
        <v>0</v>
      </c>
      <c r="M60" s="49">
        <f>AVERAGE('01.08 Spear Motors-Kyambogo'!M60,'03.08 Spear Motors-Kyambogo'!M60)</f>
        <v>270</v>
      </c>
      <c r="N60" s="49">
        <f>AVERAGE('01.08 Spear Motors-Kyambogo'!N60,'03.08 Spear Motors-Kyambogo'!N60)</f>
        <v>0</v>
      </c>
      <c r="O60" s="49">
        <f>AVERAGE('01.08 Spear Motors-Kyambogo'!O60,'03.08 Spear Motors-Kyambogo'!O60)</f>
        <v>87.5</v>
      </c>
      <c r="P60" s="49">
        <f>AVERAGE('01.08 Spear Motors-Kyambogo'!P60,'03.08 Spear Motors-Kyambogo'!P60)</f>
        <v>357.5</v>
      </c>
      <c r="R60" s="8"/>
      <c r="T60"/>
    </row>
    <row r="61" spans="2:20" ht="23.1" customHeight="1" x14ac:dyDescent="0.25">
      <c r="B61" s="23" t="s">
        <v>102</v>
      </c>
      <c r="C61" s="49">
        <f>AVERAGE('01.08 Spear Motors-Kyambogo'!C61,'03.08 Spear Motors-Kyambogo'!C61)</f>
        <v>24</v>
      </c>
      <c r="D61" s="49">
        <f>AVERAGE('01.08 Spear Motors-Kyambogo'!D61,'03.08 Spear Motors-Kyambogo'!D61)</f>
        <v>8</v>
      </c>
      <c r="E61" s="49">
        <f>AVERAGE('01.08 Spear Motors-Kyambogo'!E61,'03.08 Spear Motors-Kyambogo'!E61)</f>
        <v>5</v>
      </c>
      <c r="F61" s="49">
        <f>AVERAGE('01.08 Spear Motors-Kyambogo'!F61,'03.08 Spear Motors-Kyambogo'!F61)</f>
        <v>62</v>
      </c>
      <c r="G61" s="49">
        <f>AVERAGE('01.08 Spear Motors-Kyambogo'!G61,'03.08 Spear Motors-Kyambogo'!G61)</f>
        <v>2.5</v>
      </c>
      <c r="H61" s="49">
        <f>AVERAGE('01.08 Spear Motors-Kyambogo'!H61,'03.08 Spear Motors-Kyambogo'!H61)</f>
        <v>0.5</v>
      </c>
      <c r="I61" s="49">
        <f>AVERAGE('01.08 Spear Motors-Kyambogo'!I61,'03.08 Spear Motors-Kyambogo'!I61)</f>
        <v>6</v>
      </c>
      <c r="J61" s="49">
        <f>AVERAGE('01.08 Spear Motors-Kyambogo'!J61,'03.08 Spear Motors-Kyambogo'!J61)</f>
        <v>2</v>
      </c>
      <c r="K61" s="49">
        <f>AVERAGE('01.08 Spear Motors-Kyambogo'!K61,'03.08 Spear Motors-Kyambogo'!K61)</f>
        <v>1</v>
      </c>
      <c r="L61" s="49">
        <f>AVERAGE('01.08 Spear Motors-Kyambogo'!L61,'03.08 Spear Motors-Kyambogo'!L61)</f>
        <v>2</v>
      </c>
      <c r="M61" s="49">
        <f>AVERAGE('01.08 Spear Motors-Kyambogo'!M61,'03.08 Spear Motors-Kyambogo'!M61)</f>
        <v>300</v>
      </c>
      <c r="N61" s="49">
        <f>AVERAGE('01.08 Spear Motors-Kyambogo'!N61,'03.08 Spear Motors-Kyambogo'!N61)</f>
        <v>0</v>
      </c>
      <c r="O61" s="49">
        <f>AVERAGE('01.08 Spear Motors-Kyambogo'!O61,'03.08 Spear Motors-Kyambogo'!O61)</f>
        <v>113</v>
      </c>
      <c r="P61" s="49">
        <f>AVERAGE('01.08 Spear Motors-Kyambogo'!P61,'03.08 Spear Motors-Kyambogo'!P61)</f>
        <v>413</v>
      </c>
      <c r="R61" s="8"/>
      <c r="T61"/>
    </row>
    <row r="62" spans="2:20" ht="23.1" customHeight="1" x14ac:dyDescent="0.25">
      <c r="B62" s="23" t="s">
        <v>107</v>
      </c>
      <c r="C62" s="49">
        <f>AVERAGE('01.08 Spear Motors-Kyambogo'!C62,'03.08 Spear Motors-Kyambogo'!C62)</f>
        <v>49</v>
      </c>
      <c r="D62" s="49">
        <f>AVERAGE('01.08 Spear Motors-Kyambogo'!D62,'03.08 Spear Motors-Kyambogo'!D62)</f>
        <v>21.5</v>
      </c>
      <c r="E62" s="49">
        <f>AVERAGE('01.08 Spear Motors-Kyambogo'!E62,'03.08 Spear Motors-Kyambogo'!E62)</f>
        <v>4.5</v>
      </c>
      <c r="F62" s="49">
        <f>AVERAGE('01.08 Spear Motors-Kyambogo'!F62,'03.08 Spear Motors-Kyambogo'!F62)</f>
        <v>37.5</v>
      </c>
      <c r="G62" s="49">
        <f>AVERAGE('01.08 Spear Motors-Kyambogo'!G62,'03.08 Spear Motors-Kyambogo'!G62)</f>
        <v>3.5</v>
      </c>
      <c r="H62" s="49">
        <f>AVERAGE('01.08 Spear Motors-Kyambogo'!H62,'03.08 Spear Motors-Kyambogo'!H62)</f>
        <v>0.5</v>
      </c>
      <c r="I62" s="49">
        <f>AVERAGE('01.08 Spear Motors-Kyambogo'!I62,'03.08 Spear Motors-Kyambogo'!I62)</f>
        <v>6</v>
      </c>
      <c r="J62" s="49">
        <f>AVERAGE('01.08 Spear Motors-Kyambogo'!J62,'03.08 Spear Motors-Kyambogo'!J62)</f>
        <v>1.5</v>
      </c>
      <c r="K62" s="49">
        <f>AVERAGE('01.08 Spear Motors-Kyambogo'!K62,'03.08 Spear Motors-Kyambogo'!K62)</f>
        <v>2.5</v>
      </c>
      <c r="L62" s="49">
        <f>AVERAGE('01.08 Spear Motors-Kyambogo'!L62,'03.08 Spear Motors-Kyambogo'!L62)</f>
        <v>1.5</v>
      </c>
      <c r="M62" s="49">
        <f>AVERAGE('01.08 Spear Motors-Kyambogo'!M62,'03.08 Spear Motors-Kyambogo'!M62)</f>
        <v>339</v>
      </c>
      <c r="N62" s="49">
        <f>AVERAGE('01.08 Spear Motors-Kyambogo'!N62,'03.08 Spear Motors-Kyambogo'!N62)</f>
        <v>0</v>
      </c>
      <c r="O62" s="49">
        <f>AVERAGE('01.08 Spear Motors-Kyambogo'!O62,'03.08 Spear Motors-Kyambogo'!O62)</f>
        <v>128</v>
      </c>
      <c r="P62" s="49">
        <f>AVERAGE('01.08 Spear Motors-Kyambogo'!P62,'03.08 Spear Motors-Kyambogo'!P62)</f>
        <v>467</v>
      </c>
      <c r="R62" s="8"/>
      <c r="T62"/>
    </row>
    <row r="63" spans="2:20" ht="23.1" customHeight="1" x14ac:dyDescent="0.25">
      <c r="B63" s="23" t="s">
        <v>108</v>
      </c>
      <c r="C63" s="49">
        <f>AVERAGE('01.08 Spear Motors-Kyambogo'!C63,'03.08 Spear Motors-Kyambogo'!C63)</f>
        <v>68.5</v>
      </c>
      <c r="D63" s="49">
        <f>AVERAGE('01.08 Spear Motors-Kyambogo'!D63,'03.08 Spear Motors-Kyambogo'!D63)</f>
        <v>38.5</v>
      </c>
      <c r="E63" s="49">
        <f>AVERAGE('01.08 Spear Motors-Kyambogo'!E63,'03.08 Spear Motors-Kyambogo'!E63)</f>
        <v>11.5</v>
      </c>
      <c r="F63" s="49">
        <f>AVERAGE('01.08 Spear Motors-Kyambogo'!F63,'03.08 Spear Motors-Kyambogo'!F63)</f>
        <v>42.5</v>
      </c>
      <c r="G63" s="49">
        <f>AVERAGE('01.08 Spear Motors-Kyambogo'!G63,'03.08 Spear Motors-Kyambogo'!G63)</f>
        <v>2</v>
      </c>
      <c r="H63" s="49">
        <f>AVERAGE('01.08 Spear Motors-Kyambogo'!H63,'03.08 Spear Motors-Kyambogo'!H63)</f>
        <v>0</v>
      </c>
      <c r="I63" s="49">
        <f>AVERAGE('01.08 Spear Motors-Kyambogo'!I63,'03.08 Spear Motors-Kyambogo'!I63)</f>
        <v>3.5</v>
      </c>
      <c r="J63" s="49">
        <f>AVERAGE('01.08 Spear Motors-Kyambogo'!J63,'03.08 Spear Motors-Kyambogo'!J63)</f>
        <v>4.5</v>
      </c>
      <c r="K63" s="49">
        <f>AVERAGE('01.08 Spear Motors-Kyambogo'!K63,'03.08 Spear Motors-Kyambogo'!K63)</f>
        <v>1.5</v>
      </c>
      <c r="L63" s="49">
        <f>AVERAGE('01.08 Spear Motors-Kyambogo'!L63,'03.08 Spear Motors-Kyambogo'!L63)</f>
        <v>1</v>
      </c>
      <c r="M63" s="49">
        <f>AVERAGE('01.08 Spear Motors-Kyambogo'!M63,'03.08 Spear Motors-Kyambogo'!M63)</f>
        <v>269.5</v>
      </c>
      <c r="N63" s="49">
        <f>AVERAGE('01.08 Spear Motors-Kyambogo'!N63,'03.08 Spear Motors-Kyambogo'!N63)</f>
        <v>0</v>
      </c>
      <c r="O63" s="49">
        <f>AVERAGE('01.08 Spear Motors-Kyambogo'!O63,'03.08 Spear Motors-Kyambogo'!O63)</f>
        <v>173.5</v>
      </c>
      <c r="P63" s="49">
        <f>AVERAGE('01.08 Spear Motors-Kyambogo'!P63,'03.08 Spear Motors-Kyambogo'!P63)</f>
        <v>443</v>
      </c>
      <c r="R63" s="8"/>
      <c r="T63"/>
    </row>
    <row r="64" spans="2:20" ht="23.1" customHeight="1" x14ac:dyDescent="0.25">
      <c r="B64" s="23" t="s">
        <v>109</v>
      </c>
      <c r="C64" s="49">
        <f>AVERAGE('01.08 Spear Motors-Kyambogo'!C64,'03.08 Spear Motors-Kyambogo'!C64)</f>
        <v>74</v>
      </c>
      <c r="D64" s="49">
        <f>AVERAGE('01.08 Spear Motors-Kyambogo'!D64,'03.08 Spear Motors-Kyambogo'!D64)</f>
        <v>22</v>
      </c>
      <c r="E64" s="49">
        <f>AVERAGE('01.08 Spear Motors-Kyambogo'!E64,'03.08 Spear Motors-Kyambogo'!E64)</f>
        <v>6</v>
      </c>
      <c r="F64" s="49">
        <f>AVERAGE('01.08 Spear Motors-Kyambogo'!F64,'03.08 Spear Motors-Kyambogo'!F64)</f>
        <v>47</v>
      </c>
      <c r="G64" s="49">
        <f>AVERAGE('01.08 Spear Motors-Kyambogo'!G64,'03.08 Spear Motors-Kyambogo'!G64)</f>
        <v>1.5</v>
      </c>
      <c r="H64" s="49">
        <f>AVERAGE('01.08 Spear Motors-Kyambogo'!H64,'03.08 Spear Motors-Kyambogo'!H64)</f>
        <v>1</v>
      </c>
      <c r="I64" s="49">
        <f>AVERAGE('01.08 Spear Motors-Kyambogo'!I64,'03.08 Spear Motors-Kyambogo'!I64)</f>
        <v>2.5</v>
      </c>
      <c r="J64" s="49">
        <f>AVERAGE('01.08 Spear Motors-Kyambogo'!J64,'03.08 Spear Motors-Kyambogo'!J64)</f>
        <v>3</v>
      </c>
      <c r="K64" s="49">
        <f>AVERAGE('01.08 Spear Motors-Kyambogo'!K64,'03.08 Spear Motors-Kyambogo'!K64)</f>
        <v>1</v>
      </c>
      <c r="L64" s="49">
        <f>AVERAGE('01.08 Spear Motors-Kyambogo'!L64,'03.08 Spear Motors-Kyambogo'!L64)</f>
        <v>0.5</v>
      </c>
      <c r="M64" s="49">
        <f>AVERAGE('01.08 Spear Motors-Kyambogo'!M64,'03.08 Spear Motors-Kyambogo'!M64)</f>
        <v>309.5</v>
      </c>
      <c r="N64" s="49">
        <f>AVERAGE('01.08 Spear Motors-Kyambogo'!N64,'03.08 Spear Motors-Kyambogo'!N64)</f>
        <v>0</v>
      </c>
      <c r="O64" s="49">
        <f>AVERAGE('01.08 Spear Motors-Kyambogo'!O64,'03.08 Spear Motors-Kyambogo'!O64)</f>
        <v>158.5</v>
      </c>
      <c r="P64" s="49">
        <f>AVERAGE('01.08 Spear Motors-Kyambogo'!P64,'03.08 Spear Motors-Kyambogo'!P64)</f>
        <v>468</v>
      </c>
      <c r="R64" s="8"/>
      <c r="T64"/>
    </row>
    <row r="65" spans="2:20" ht="23.1" customHeight="1" x14ac:dyDescent="0.25">
      <c r="B65" s="23" t="s">
        <v>158</v>
      </c>
      <c r="C65" s="49">
        <f>AVERAGE('01.08 Spear Motors-Kyambogo'!C65,'03.08 Spear Motors-Kyambogo'!C65)</f>
        <v>52</v>
      </c>
      <c r="D65" s="49">
        <f>AVERAGE('01.08 Spear Motors-Kyambogo'!D65,'03.08 Spear Motors-Kyambogo'!D65)</f>
        <v>15.5</v>
      </c>
      <c r="E65" s="49">
        <f>AVERAGE('01.08 Spear Motors-Kyambogo'!E65,'03.08 Spear Motors-Kyambogo'!E65)</f>
        <v>8.5</v>
      </c>
      <c r="F65" s="49">
        <f>AVERAGE('01.08 Spear Motors-Kyambogo'!F65,'03.08 Spear Motors-Kyambogo'!F65)</f>
        <v>48.5</v>
      </c>
      <c r="G65" s="49">
        <f>AVERAGE('01.08 Spear Motors-Kyambogo'!G65,'03.08 Spear Motors-Kyambogo'!G65)</f>
        <v>1.5</v>
      </c>
      <c r="H65" s="49">
        <f>AVERAGE('01.08 Spear Motors-Kyambogo'!H65,'03.08 Spear Motors-Kyambogo'!H65)</f>
        <v>0</v>
      </c>
      <c r="I65" s="49">
        <f>AVERAGE('01.08 Spear Motors-Kyambogo'!I65,'03.08 Spear Motors-Kyambogo'!I65)</f>
        <v>0.5</v>
      </c>
      <c r="J65" s="49">
        <f>AVERAGE('01.08 Spear Motors-Kyambogo'!J65,'03.08 Spear Motors-Kyambogo'!J65)</f>
        <v>3</v>
      </c>
      <c r="K65" s="49">
        <f>AVERAGE('01.08 Spear Motors-Kyambogo'!K65,'03.08 Spear Motors-Kyambogo'!K65)</f>
        <v>0</v>
      </c>
      <c r="L65" s="49">
        <f>AVERAGE('01.08 Spear Motors-Kyambogo'!L65,'03.08 Spear Motors-Kyambogo'!L65)</f>
        <v>0</v>
      </c>
      <c r="M65" s="49">
        <f>AVERAGE('01.08 Spear Motors-Kyambogo'!M65,'03.08 Spear Motors-Kyambogo'!M65)</f>
        <v>299.5</v>
      </c>
      <c r="N65" s="49">
        <f>AVERAGE('01.08 Spear Motors-Kyambogo'!N65,'03.08 Spear Motors-Kyambogo'!N65)</f>
        <v>0</v>
      </c>
      <c r="O65" s="49">
        <f>AVERAGE('01.08 Spear Motors-Kyambogo'!O65,'03.08 Spear Motors-Kyambogo'!O65)</f>
        <v>129.5</v>
      </c>
      <c r="P65" s="49">
        <f>AVERAGE('01.08 Spear Motors-Kyambogo'!P65,'03.08 Spear Motors-Kyambogo'!P65)</f>
        <v>429</v>
      </c>
      <c r="R65" s="8"/>
      <c r="T65"/>
    </row>
    <row r="66" spans="2:20" ht="23.1" customHeight="1" x14ac:dyDescent="0.25">
      <c r="B66" s="23" t="s">
        <v>103</v>
      </c>
      <c r="C66" s="49">
        <f>AVERAGE('01.08 Spear Motors-Kyambogo'!C66,'03.08 Spear Motors-Kyambogo'!C66)</f>
        <v>62.5</v>
      </c>
      <c r="D66" s="49">
        <f>AVERAGE('01.08 Spear Motors-Kyambogo'!D66,'03.08 Spear Motors-Kyambogo'!D66)</f>
        <v>19.5</v>
      </c>
      <c r="E66" s="49">
        <f>AVERAGE('01.08 Spear Motors-Kyambogo'!E66,'03.08 Spear Motors-Kyambogo'!E66)</f>
        <v>6.5</v>
      </c>
      <c r="F66" s="49">
        <f>AVERAGE('01.08 Spear Motors-Kyambogo'!F66,'03.08 Spear Motors-Kyambogo'!F66)</f>
        <v>50.5</v>
      </c>
      <c r="G66" s="49">
        <f>AVERAGE('01.08 Spear Motors-Kyambogo'!G66,'03.08 Spear Motors-Kyambogo'!G66)</f>
        <v>1.5</v>
      </c>
      <c r="H66" s="49">
        <f>AVERAGE('01.08 Spear Motors-Kyambogo'!H66,'03.08 Spear Motors-Kyambogo'!H66)</f>
        <v>0.5</v>
      </c>
      <c r="I66" s="49">
        <f>AVERAGE('01.08 Spear Motors-Kyambogo'!I66,'03.08 Spear Motors-Kyambogo'!I66)</f>
        <v>4.5</v>
      </c>
      <c r="J66" s="49">
        <f>AVERAGE('01.08 Spear Motors-Kyambogo'!J66,'03.08 Spear Motors-Kyambogo'!J66)</f>
        <v>1</v>
      </c>
      <c r="K66" s="49">
        <f>AVERAGE('01.08 Spear Motors-Kyambogo'!K66,'03.08 Spear Motors-Kyambogo'!K66)</f>
        <v>0</v>
      </c>
      <c r="L66" s="49">
        <f>AVERAGE('01.08 Spear Motors-Kyambogo'!L66,'03.08 Spear Motors-Kyambogo'!L66)</f>
        <v>0</v>
      </c>
      <c r="M66" s="49">
        <f>AVERAGE('01.08 Spear Motors-Kyambogo'!M66,'03.08 Spear Motors-Kyambogo'!M66)</f>
        <v>267</v>
      </c>
      <c r="N66" s="49">
        <f>AVERAGE('01.08 Spear Motors-Kyambogo'!N66,'03.08 Spear Motors-Kyambogo'!N66)</f>
        <v>0</v>
      </c>
      <c r="O66" s="49">
        <f>AVERAGE('01.08 Spear Motors-Kyambogo'!O66,'03.08 Spear Motors-Kyambogo'!O66)</f>
        <v>146.5</v>
      </c>
      <c r="P66" s="49">
        <f>AVERAGE('01.08 Spear Motors-Kyambogo'!P66,'03.08 Spear Motors-Kyambogo'!P66)</f>
        <v>413.5</v>
      </c>
      <c r="R66" s="8"/>
      <c r="T66"/>
    </row>
    <row r="67" spans="2:20" ht="23.1" customHeight="1" x14ac:dyDescent="0.25">
      <c r="B67" s="23" t="s">
        <v>104</v>
      </c>
      <c r="C67" s="49">
        <f>AVERAGE('01.08 Spear Motors-Kyambogo'!C67,'03.08 Spear Motors-Kyambogo'!C67)</f>
        <v>52</v>
      </c>
      <c r="D67" s="49">
        <f>AVERAGE('01.08 Spear Motors-Kyambogo'!D67,'03.08 Spear Motors-Kyambogo'!D67)</f>
        <v>18.5</v>
      </c>
      <c r="E67" s="49">
        <f>AVERAGE('01.08 Spear Motors-Kyambogo'!E67,'03.08 Spear Motors-Kyambogo'!E67)</f>
        <v>8.5</v>
      </c>
      <c r="F67" s="49">
        <f>AVERAGE('01.08 Spear Motors-Kyambogo'!F67,'03.08 Spear Motors-Kyambogo'!F67)</f>
        <v>52.5</v>
      </c>
      <c r="G67" s="49">
        <f>AVERAGE('01.08 Spear Motors-Kyambogo'!G67,'03.08 Spear Motors-Kyambogo'!G67)</f>
        <v>1.5</v>
      </c>
      <c r="H67" s="49">
        <f>AVERAGE('01.08 Spear Motors-Kyambogo'!H67,'03.08 Spear Motors-Kyambogo'!H67)</f>
        <v>1</v>
      </c>
      <c r="I67" s="49">
        <f>AVERAGE('01.08 Spear Motors-Kyambogo'!I67,'03.08 Spear Motors-Kyambogo'!I67)</f>
        <v>3</v>
      </c>
      <c r="J67" s="49">
        <f>AVERAGE('01.08 Spear Motors-Kyambogo'!J67,'03.08 Spear Motors-Kyambogo'!J67)</f>
        <v>1.5</v>
      </c>
      <c r="K67" s="49">
        <f>AVERAGE('01.08 Spear Motors-Kyambogo'!K67,'03.08 Spear Motors-Kyambogo'!K67)</f>
        <v>0.5</v>
      </c>
      <c r="L67" s="49">
        <f>AVERAGE('01.08 Spear Motors-Kyambogo'!L67,'03.08 Spear Motors-Kyambogo'!L67)</f>
        <v>1.5</v>
      </c>
      <c r="M67" s="49">
        <f>AVERAGE('01.08 Spear Motors-Kyambogo'!M67,'03.08 Spear Motors-Kyambogo'!M67)</f>
        <v>278</v>
      </c>
      <c r="N67" s="49">
        <f>AVERAGE('01.08 Spear Motors-Kyambogo'!N67,'03.08 Spear Motors-Kyambogo'!N67)</f>
        <v>0</v>
      </c>
      <c r="O67" s="49">
        <f>AVERAGE('01.08 Spear Motors-Kyambogo'!O67,'03.08 Spear Motors-Kyambogo'!O67)</f>
        <v>140.5</v>
      </c>
      <c r="P67" s="49">
        <f>AVERAGE('01.08 Spear Motors-Kyambogo'!P67,'03.08 Spear Motors-Kyambogo'!P67)</f>
        <v>418.5</v>
      </c>
      <c r="R67" s="8"/>
      <c r="T67"/>
    </row>
    <row r="68" spans="2:20" ht="23.1" customHeight="1" x14ac:dyDescent="0.25">
      <c r="B68" s="23" t="s">
        <v>105</v>
      </c>
      <c r="C68" s="49">
        <f>AVERAGE('01.08 Spear Motors-Kyambogo'!C68,'03.08 Spear Motors-Kyambogo'!C68)</f>
        <v>51</v>
      </c>
      <c r="D68" s="49">
        <f>AVERAGE('01.08 Spear Motors-Kyambogo'!D68,'03.08 Spear Motors-Kyambogo'!D68)</f>
        <v>22</v>
      </c>
      <c r="E68" s="49">
        <f>AVERAGE('01.08 Spear Motors-Kyambogo'!E68,'03.08 Spear Motors-Kyambogo'!E68)</f>
        <v>4</v>
      </c>
      <c r="F68" s="49">
        <f>AVERAGE('01.08 Spear Motors-Kyambogo'!F68,'03.08 Spear Motors-Kyambogo'!F68)</f>
        <v>34.5</v>
      </c>
      <c r="G68" s="49">
        <f>AVERAGE('01.08 Spear Motors-Kyambogo'!G68,'03.08 Spear Motors-Kyambogo'!G68)</f>
        <v>2.5</v>
      </c>
      <c r="H68" s="49">
        <f>AVERAGE('01.08 Spear Motors-Kyambogo'!H68,'03.08 Spear Motors-Kyambogo'!H68)</f>
        <v>0.5</v>
      </c>
      <c r="I68" s="49">
        <f>AVERAGE('01.08 Spear Motors-Kyambogo'!I68,'03.08 Spear Motors-Kyambogo'!I68)</f>
        <v>2</v>
      </c>
      <c r="J68" s="49">
        <f>AVERAGE('01.08 Spear Motors-Kyambogo'!J68,'03.08 Spear Motors-Kyambogo'!J68)</f>
        <v>2</v>
      </c>
      <c r="K68" s="49">
        <f>AVERAGE('01.08 Spear Motors-Kyambogo'!K68,'03.08 Spear Motors-Kyambogo'!K68)</f>
        <v>2</v>
      </c>
      <c r="L68" s="49">
        <f>AVERAGE('01.08 Spear Motors-Kyambogo'!L68,'03.08 Spear Motors-Kyambogo'!L68)</f>
        <v>0.5</v>
      </c>
      <c r="M68" s="49">
        <f>AVERAGE('01.08 Spear Motors-Kyambogo'!M68,'03.08 Spear Motors-Kyambogo'!M68)</f>
        <v>279</v>
      </c>
      <c r="N68" s="49">
        <f>AVERAGE('01.08 Spear Motors-Kyambogo'!N68,'03.08 Spear Motors-Kyambogo'!N68)</f>
        <v>0</v>
      </c>
      <c r="O68" s="49">
        <f>AVERAGE('01.08 Spear Motors-Kyambogo'!O68,'03.08 Spear Motors-Kyambogo'!O68)</f>
        <v>121</v>
      </c>
      <c r="P68" s="49">
        <f>AVERAGE('01.08 Spear Motors-Kyambogo'!P68,'03.08 Spear Motors-Kyambogo'!P68)</f>
        <v>400</v>
      </c>
      <c r="R68" s="8"/>
      <c r="T68"/>
    </row>
    <row r="69" spans="2:20" ht="23.1" customHeight="1" x14ac:dyDescent="0.25">
      <c r="B69" s="23" t="s">
        <v>106</v>
      </c>
      <c r="C69" s="49">
        <f>AVERAGE('01.08 Spear Motors-Kyambogo'!C69,'03.08 Spear Motors-Kyambogo'!C69)</f>
        <v>34.5</v>
      </c>
      <c r="D69" s="49">
        <f>AVERAGE('01.08 Spear Motors-Kyambogo'!D69,'03.08 Spear Motors-Kyambogo'!D69)</f>
        <v>18</v>
      </c>
      <c r="E69" s="49">
        <f>AVERAGE('01.08 Spear Motors-Kyambogo'!E69,'03.08 Spear Motors-Kyambogo'!E69)</f>
        <v>4</v>
      </c>
      <c r="F69" s="49">
        <f>AVERAGE('01.08 Spear Motors-Kyambogo'!F69,'03.08 Spear Motors-Kyambogo'!F69)</f>
        <v>38.5</v>
      </c>
      <c r="G69" s="49">
        <f>AVERAGE('01.08 Spear Motors-Kyambogo'!G69,'03.08 Spear Motors-Kyambogo'!G69)</f>
        <v>2</v>
      </c>
      <c r="H69" s="49">
        <f>AVERAGE('01.08 Spear Motors-Kyambogo'!H69,'03.08 Spear Motors-Kyambogo'!H69)</f>
        <v>0</v>
      </c>
      <c r="I69" s="49">
        <f>AVERAGE('01.08 Spear Motors-Kyambogo'!I69,'03.08 Spear Motors-Kyambogo'!I69)</f>
        <v>0</v>
      </c>
      <c r="J69" s="49">
        <f>AVERAGE('01.08 Spear Motors-Kyambogo'!J69,'03.08 Spear Motors-Kyambogo'!J69)</f>
        <v>4.5</v>
      </c>
      <c r="K69" s="49">
        <f>AVERAGE('01.08 Spear Motors-Kyambogo'!K69,'03.08 Spear Motors-Kyambogo'!K69)</f>
        <v>1.5</v>
      </c>
      <c r="L69" s="49">
        <f>AVERAGE('01.08 Spear Motors-Kyambogo'!L69,'03.08 Spear Motors-Kyambogo'!L69)</f>
        <v>2.5</v>
      </c>
      <c r="M69" s="49">
        <f>AVERAGE('01.08 Spear Motors-Kyambogo'!M69,'03.08 Spear Motors-Kyambogo'!M69)</f>
        <v>196.5</v>
      </c>
      <c r="N69" s="49">
        <f>AVERAGE('01.08 Spear Motors-Kyambogo'!N69,'03.08 Spear Motors-Kyambogo'!N69)</f>
        <v>0</v>
      </c>
      <c r="O69" s="49">
        <f>AVERAGE('01.08 Spear Motors-Kyambogo'!O69,'03.08 Spear Motors-Kyambogo'!O69)</f>
        <v>105.5</v>
      </c>
      <c r="P69" s="49">
        <f>AVERAGE('01.08 Spear Motors-Kyambogo'!P69,'03.08 Spear Motors-Kyambogo'!P69)</f>
        <v>302</v>
      </c>
      <c r="R69" s="8"/>
      <c r="T69"/>
    </row>
    <row r="70" spans="2:20" ht="23.1" customHeight="1" x14ac:dyDescent="0.25">
      <c r="B70" s="23" t="s">
        <v>110</v>
      </c>
      <c r="C70" s="49">
        <f>AVERAGE('01.08 Spear Motors-Kyambogo'!C70,'03.08 Spear Motors-Kyambogo'!C70)</f>
        <v>30.5</v>
      </c>
      <c r="D70" s="49">
        <f>AVERAGE('01.08 Spear Motors-Kyambogo'!D70,'03.08 Spear Motors-Kyambogo'!D70)</f>
        <v>12</v>
      </c>
      <c r="E70" s="49">
        <f>AVERAGE('01.08 Spear Motors-Kyambogo'!E70,'03.08 Spear Motors-Kyambogo'!E70)</f>
        <v>4.5</v>
      </c>
      <c r="F70" s="49">
        <f>AVERAGE('01.08 Spear Motors-Kyambogo'!F70,'03.08 Spear Motors-Kyambogo'!F70)</f>
        <v>23.5</v>
      </c>
      <c r="G70" s="49">
        <f>AVERAGE('01.08 Spear Motors-Kyambogo'!G70,'03.08 Spear Motors-Kyambogo'!G70)</f>
        <v>2</v>
      </c>
      <c r="H70" s="49">
        <f>AVERAGE('01.08 Spear Motors-Kyambogo'!H70,'03.08 Spear Motors-Kyambogo'!H70)</f>
        <v>0</v>
      </c>
      <c r="I70" s="49">
        <f>AVERAGE('01.08 Spear Motors-Kyambogo'!I70,'03.08 Spear Motors-Kyambogo'!I70)</f>
        <v>0</v>
      </c>
      <c r="J70" s="49">
        <f>AVERAGE('01.08 Spear Motors-Kyambogo'!J70,'03.08 Spear Motors-Kyambogo'!J70)</f>
        <v>1</v>
      </c>
      <c r="K70" s="49">
        <f>AVERAGE('01.08 Spear Motors-Kyambogo'!K70,'03.08 Spear Motors-Kyambogo'!K70)</f>
        <v>0</v>
      </c>
      <c r="L70" s="49">
        <f>AVERAGE('01.08 Spear Motors-Kyambogo'!L70,'03.08 Spear Motors-Kyambogo'!L70)</f>
        <v>1</v>
      </c>
      <c r="M70" s="49">
        <f>AVERAGE('01.08 Spear Motors-Kyambogo'!M70,'03.08 Spear Motors-Kyambogo'!M70)</f>
        <v>192</v>
      </c>
      <c r="N70" s="49">
        <f>AVERAGE('01.08 Spear Motors-Kyambogo'!N70,'03.08 Spear Motors-Kyambogo'!N70)</f>
        <v>0</v>
      </c>
      <c r="O70" s="49">
        <f>AVERAGE('01.08 Spear Motors-Kyambogo'!O70,'03.08 Spear Motors-Kyambogo'!O70)</f>
        <v>74.5</v>
      </c>
      <c r="P70" s="49">
        <f>AVERAGE('01.08 Spear Motors-Kyambogo'!P70,'03.08 Spear Motors-Kyambogo'!P70)</f>
        <v>266.5</v>
      </c>
      <c r="R70" s="8"/>
      <c r="T70"/>
    </row>
    <row r="71" spans="2:20" ht="23.1" customHeight="1" x14ac:dyDescent="0.25">
      <c r="B71" s="23" t="s">
        <v>111</v>
      </c>
      <c r="C71" s="49">
        <f>AVERAGE('01.08 Spear Motors-Kyambogo'!C71,'03.08 Spear Motors-Kyambogo'!C71)</f>
        <v>44</v>
      </c>
      <c r="D71" s="49">
        <f>AVERAGE('01.08 Spear Motors-Kyambogo'!D71,'03.08 Spear Motors-Kyambogo'!D71)</f>
        <v>15.5</v>
      </c>
      <c r="E71" s="49">
        <f>AVERAGE('01.08 Spear Motors-Kyambogo'!E71,'03.08 Spear Motors-Kyambogo'!E71)</f>
        <v>5</v>
      </c>
      <c r="F71" s="49">
        <f>AVERAGE('01.08 Spear Motors-Kyambogo'!F71,'03.08 Spear Motors-Kyambogo'!F71)</f>
        <v>24.5</v>
      </c>
      <c r="G71" s="49">
        <f>AVERAGE('01.08 Spear Motors-Kyambogo'!G71,'03.08 Spear Motors-Kyambogo'!G71)</f>
        <v>2.5</v>
      </c>
      <c r="H71" s="49">
        <f>AVERAGE('01.08 Spear Motors-Kyambogo'!H71,'03.08 Spear Motors-Kyambogo'!H71)</f>
        <v>0.5</v>
      </c>
      <c r="I71" s="49">
        <f>AVERAGE('01.08 Spear Motors-Kyambogo'!I71,'03.08 Spear Motors-Kyambogo'!I71)</f>
        <v>0</v>
      </c>
      <c r="J71" s="49">
        <f>AVERAGE('01.08 Spear Motors-Kyambogo'!J71,'03.08 Spear Motors-Kyambogo'!J71)</f>
        <v>0.5</v>
      </c>
      <c r="K71" s="49">
        <f>AVERAGE('01.08 Spear Motors-Kyambogo'!K71,'03.08 Spear Motors-Kyambogo'!K71)</f>
        <v>0</v>
      </c>
      <c r="L71" s="49">
        <f>AVERAGE('01.08 Spear Motors-Kyambogo'!L71,'03.08 Spear Motors-Kyambogo'!L71)</f>
        <v>2.5</v>
      </c>
      <c r="M71" s="49">
        <f>AVERAGE('01.08 Spear Motors-Kyambogo'!M71,'03.08 Spear Motors-Kyambogo'!M71)</f>
        <v>151.5</v>
      </c>
      <c r="N71" s="49">
        <f>AVERAGE('01.08 Spear Motors-Kyambogo'!N71,'03.08 Spear Motors-Kyambogo'!N71)</f>
        <v>0</v>
      </c>
      <c r="O71" s="49">
        <f>AVERAGE('01.08 Spear Motors-Kyambogo'!O71,'03.08 Spear Motors-Kyambogo'!O71)</f>
        <v>95</v>
      </c>
      <c r="P71" s="49">
        <f>AVERAGE('01.08 Spear Motors-Kyambogo'!P71,'03.08 Spear Motors-Kyambogo'!P71)</f>
        <v>246.5</v>
      </c>
      <c r="R71" s="8"/>
      <c r="T71"/>
    </row>
    <row r="72" spans="2:20" ht="23.1" customHeight="1" x14ac:dyDescent="0.25">
      <c r="B72" s="23" t="s">
        <v>112</v>
      </c>
      <c r="C72" s="49">
        <f>AVERAGE('01.08 Spear Motors-Kyambogo'!C72,'03.08 Spear Motors-Kyambogo'!C72)</f>
        <v>43.5</v>
      </c>
      <c r="D72" s="49">
        <f>AVERAGE('01.08 Spear Motors-Kyambogo'!D72,'03.08 Spear Motors-Kyambogo'!D72)</f>
        <v>10.5</v>
      </c>
      <c r="E72" s="49">
        <f>AVERAGE('01.08 Spear Motors-Kyambogo'!E72,'03.08 Spear Motors-Kyambogo'!E72)</f>
        <v>5</v>
      </c>
      <c r="F72" s="49">
        <f>AVERAGE('01.08 Spear Motors-Kyambogo'!F72,'03.08 Spear Motors-Kyambogo'!F72)</f>
        <v>25.5</v>
      </c>
      <c r="G72" s="49">
        <f>AVERAGE('01.08 Spear Motors-Kyambogo'!G72,'03.08 Spear Motors-Kyambogo'!G72)</f>
        <v>3</v>
      </c>
      <c r="H72" s="49">
        <f>AVERAGE('01.08 Spear Motors-Kyambogo'!H72,'03.08 Spear Motors-Kyambogo'!H72)</f>
        <v>0</v>
      </c>
      <c r="I72" s="49">
        <f>AVERAGE('01.08 Spear Motors-Kyambogo'!I72,'03.08 Spear Motors-Kyambogo'!I72)</f>
        <v>0</v>
      </c>
      <c r="J72" s="49">
        <f>AVERAGE('01.08 Spear Motors-Kyambogo'!J72,'03.08 Spear Motors-Kyambogo'!J72)</f>
        <v>0</v>
      </c>
      <c r="K72" s="49">
        <f>AVERAGE('01.08 Spear Motors-Kyambogo'!K72,'03.08 Spear Motors-Kyambogo'!K72)</f>
        <v>0</v>
      </c>
      <c r="L72" s="49">
        <f>AVERAGE('01.08 Spear Motors-Kyambogo'!L72,'03.08 Spear Motors-Kyambogo'!L72)</f>
        <v>0</v>
      </c>
      <c r="M72" s="49">
        <f>AVERAGE('01.08 Spear Motors-Kyambogo'!M72,'03.08 Spear Motors-Kyambogo'!M72)</f>
        <v>139.5</v>
      </c>
      <c r="N72" s="49">
        <f>AVERAGE('01.08 Spear Motors-Kyambogo'!N72,'03.08 Spear Motors-Kyambogo'!N72)</f>
        <v>0</v>
      </c>
      <c r="O72" s="49">
        <f>AVERAGE('01.08 Spear Motors-Kyambogo'!O72,'03.08 Spear Motors-Kyambogo'!O72)</f>
        <v>87.5</v>
      </c>
      <c r="P72" s="49">
        <f>AVERAGE('01.08 Spear Motors-Kyambogo'!P72,'03.08 Spear Motors-Kyambogo'!P72)</f>
        <v>227</v>
      </c>
      <c r="R72" s="8"/>
      <c r="T72"/>
    </row>
    <row r="73" spans="2:20" ht="23.1" customHeight="1" x14ac:dyDescent="0.25">
      <c r="B73" s="23" t="s">
        <v>113</v>
      </c>
      <c r="C73" s="49">
        <f>AVERAGE('01.08 Spear Motors-Kyambogo'!C73,'03.08 Spear Motors-Kyambogo'!C73)</f>
        <v>34</v>
      </c>
      <c r="D73" s="49">
        <f>AVERAGE('01.08 Spear Motors-Kyambogo'!D73,'03.08 Spear Motors-Kyambogo'!D73)</f>
        <v>14.5</v>
      </c>
      <c r="E73" s="49">
        <f>AVERAGE('01.08 Spear Motors-Kyambogo'!E73,'03.08 Spear Motors-Kyambogo'!E73)</f>
        <v>5</v>
      </c>
      <c r="F73" s="49">
        <f>AVERAGE('01.08 Spear Motors-Kyambogo'!F73,'03.08 Spear Motors-Kyambogo'!F73)</f>
        <v>23.5</v>
      </c>
      <c r="G73" s="49">
        <f>AVERAGE('01.08 Spear Motors-Kyambogo'!G73,'03.08 Spear Motors-Kyambogo'!G73)</f>
        <v>2</v>
      </c>
      <c r="H73" s="49">
        <f>AVERAGE('01.08 Spear Motors-Kyambogo'!H73,'03.08 Spear Motors-Kyambogo'!H73)</f>
        <v>1</v>
      </c>
      <c r="I73" s="49">
        <f>AVERAGE('01.08 Spear Motors-Kyambogo'!I73,'03.08 Spear Motors-Kyambogo'!I73)</f>
        <v>0.5</v>
      </c>
      <c r="J73" s="49">
        <f>AVERAGE('01.08 Spear Motors-Kyambogo'!J73,'03.08 Spear Motors-Kyambogo'!J73)</f>
        <v>0.5</v>
      </c>
      <c r="K73" s="49">
        <f>AVERAGE('01.08 Spear Motors-Kyambogo'!K73,'03.08 Spear Motors-Kyambogo'!K73)</f>
        <v>0.5</v>
      </c>
      <c r="L73" s="49">
        <f>AVERAGE('01.08 Spear Motors-Kyambogo'!L73,'03.08 Spear Motors-Kyambogo'!L73)</f>
        <v>0.5</v>
      </c>
      <c r="M73" s="49">
        <f>AVERAGE('01.08 Spear Motors-Kyambogo'!M73,'03.08 Spear Motors-Kyambogo'!M73)</f>
        <v>142.5</v>
      </c>
      <c r="N73" s="49">
        <f>AVERAGE('01.08 Spear Motors-Kyambogo'!N73,'03.08 Spear Motors-Kyambogo'!N73)</f>
        <v>0</v>
      </c>
      <c r="O73" s="49">
        <f>AVERAGE('01.08 Spear Motors-Kyambogo'!O73,'03.08 Spear Motors-Kyambogo'!O73)</f>
        <v>82</v>
      </c>
      <c r="P73" s="49">
        <f>AVERAGE('01.08 Spear Motors-Kyambogo'!P73,'03.08 Spear Motors-Kyambogo'!P73)</f>
        <v>224.5</v>
      </c>
      <c r="R73" s="8"/>
      <c r="T73"/>
    </row>
    <row r="74" spans="2:20" ht="23.1" customHeight="1" x14ac:dyDescent="0.25">
      <c r="B74" s="23" t="s">
        <v>114</v>
      </c>
      <c r="C74" s="49">
        <f>AVERAGE('01.08 Spear Motors-Kyambogo'!C74,'03.08 Spear Motors-Kyambogo'!C74)</f>
        <v>37.5</v>
      </c>
      <c r="D74" s="49">
        <f>AVERAGE('01.08 Spear Motors-Kyambogo'!D74,'03.08 Spear Motors-Kyambogo'!D74)</f>
        <v>4</v>
      </c>
      <c r="E74" s="49">
        <f>AVERAGE('01.08 Spear Motors-Kyambogo'!E74,'03.08 Spear Motors-Kyambogo'!E74)</f>
        <v>2.5</v>
      </c>
      <c r="F74" s="49">
        <f>AVERAGE('01.08 Spear Motors-Kyambogo'!F74,'03.08 Spear Motors-Kyambogo'!F74)</f>
        <v>24.5</v>
      </c>
      <c r="G74" s="49">
        <f>AVERAGE('01.08 Spear Motors-Kyambogo'!G74,'03.08 Spear Motors-Kyambogo'!G74)</f>
        <v>1</v>
      </c>
      <c r="H74" s="49">
        <f>AVERAGE('01.08 Spear Motors-Kyambogo'!H74,'03.08 Spear Motors-Kyambogo'!H74)</f>
        <v>0.5</v>
      </c>
      <c r="I74" s="49">
        <f>AVERAGE('01.08 Spear Motors-Kyambogo'!I74,'03.08 Spear Motors-Kyambogo'!I74)</f>
        <v>1</v>
      </c>
      <c r="J74" s="49">
        <f>AVERAGE('01.08 Spear Motors-Kyambogo'!J74,'03.08 Spear Motors-Kyambogo'!J74)</f>
        <v>2.5</v>
      </c>
      <c r="K74" s="49">
        <f>AVERAGE('01.08 Spear Motors-Kyambogo'!K74,'03.08 Spear Motors-Kyambogo'!K74)</f>
        <v>1.5</v>
      </c>
      <c r="L74" s="49">
        <f>AVERAGE('01.08 Spear Motors-Kyambogo'!L74,'03.08 Spear Motors-Kyambogo'!L74)</f>
        <v>1.5</v>
      </c>
      <c r="M74" s="49">
        <f>AVERAGE('01.08 Spear Motors-Kyambogo'!M74,'03.08 Spear Motors-Kyambogo'!M74)</f>
        <v>137</v>
      </c>
      <c r="N74" s="49">
        <f>AVERAGE('01.08 Spear Motors-Kyambogo'!N74,'03.08 Spear Motors-Kyambogo'!N74)</f>
        <v>0</v>
      </c>
      <c r="O74" s="49">
        <f>AVERAGE('01.08 Spear Motors-Kyambogo'!O74,'03.08 Spear Motors-Kyambogo'!O74)</f>
        <v>76.5</v>
      </c>
      <c r="P74" s="49">
        <f>AVERAGE('01.08 Spear Motors-Kyambogo'!P74,'03.08 Spear Motors-Kyambogo'!P74)</f>
        <v>213.5</v>
      </c>
      <c r="R74" s="8"/>
      <c r="T74"/>
    </row>
    <row r="75" spans="2:20" ht="23.1" customHeight="1" x14ac:dyDescent="0.25">
      <c r="B75" s="23" t="s">
        <v>115</v>
      </c>
      <c r="C75" s="49">
        <f>AVERAGE('01.08 Spear Motors-Kyambogo'!C75,'03.08 Spear Motors-Kyambogo'!C75)</f>
        <v>28</v>
      </c>
      <c r="D75" s="49">
        <f>AVERAGE('01.08 Spear Motors-Kyambogo'!D75,'03.08 Spear Motors-Kyambogo'!D75)</f>
        <v>5.5</v>
      </c>
      <c r="E75" s="49">
        <f>AVERAGE('01.08 Spear Motors-Kyambogo'!E75,'03.08 Spear Motors-Kyambogo'!E75)</f>
        <v>5.5</v>
      </c>
      <c r="F75" s="49">
        <f>AVERAGE('01.08 Spear Motors-Kyambogo'!F75,'03.08 Spear Motors-Kyambogo'!F75)</f>
        <v>19.5</v>
      </c>
      <c r="G75" s="49">
        <f>AVERAGE('01.08 Spear Motors-Kyambogo'!G75,'03.08 Spear Motors-Kyambogo'!G75)</f>
        <v>1</v>
      </c>
      <c r="H75" s="49">
        <f>AVERAGE('01.08 Spear Motors-Kyambogo'!H75,'03.08 Spear Motors-Kyambogo'!H75)</f>
        <v>0.5</v>
      </c>
      <c r="I75" s="49">
        <f>AVERAGE('01.08 Spear Motors-Kyambogo'!I75,'03.08 Spear Motors-Kyambogo'!I75)</f>
        <v>0</v>
      </c>
      <c r="J75" s="49">
        <f>AVERAGE('01.08 Spear Motors-Kyambogo'!J75,'03.08 Spear Motors-Kyambogo'!J75)</f>
        <v>1.5</v>
      </c>
      <c r="K75" s="49">
        <f>AVERAGE('01.08 Spear Motors-Kyambogo'!K75,'03.08 Spear Motors-Kyambogo'!K75)</f>
        <v>0.5</v>
      </c>
      <c r="L75" s="49">
        <f>AVERAGE('01.08 Spear Motors-Kyambogo'!L75,'03.08 Spear Motors-Kyambogo'!L75)</f>
        <v>1</v>
      </c>
      <c r="M75" s="49">
        <f>AVERAGE('01.08 Spear Motors-Kyambogo'!M75,'03.08 Spear Motors-Kyambogo'!M75)</f>
        <v>119</v>
      </c>
      <c r="N75" s="49">
        <f>AVERAGE('01.08 Spear Motors-Kyambogo'!N75,'03.08 Spear Motors-Kyambogo'!N75)</f>
        <v>0</v>
      </c>
      <c r="O75" s="49">
        <f>AVERAGE('01.08 Spear Motors-Kyambogo'!O75,'03.08 Spear Motors-Kyambogo'!O75)</f>
        <v>63</v>
      </c>
      <c r="P75" s="49">
        <f>AVERAGE('01.08 Spear Motors-Kyambogo'!P75,'03.08 Spear Motors-Kyambogo'!P75)</f>
        <v>182</v>
      </c>
      <c r="R75" s="8"/>
      <c r="T75"/>
    </row>
    <row r="76" spans="2:20" ht="23.1" customHeight="1" x14ac:dyDescent="0.25">
      <c r="B76" s="23" t="s">
        <v>116</v>
      </c>
      <c r="C76" s="49">
        <f>AVERAGE('01.08 Spear Motors-Kyambogo'!C76,'03.08 Spear Motors-Kyambogo'!C76)</f>
        <v>51.5</v>
      </c>
      <c r="D76" s="49">
        <f>AVERAGE('01.08 Spear Motors-Kyambogo'!D76,'03.08 Spear Motors-Kyambogo'!D76)</f>
        <v>9.5</v>
      </c>
      <c r="E76" s="49">
        <f>AVERAGE('01.08 Spear Motors-Kyambogo'!E76,'03.08 Spear Motors-Kyambogo'!E76)</f>
        <v>1.5</v>
      </c>
      <c r="F76" s="49">
        <f>AVERAGE('01.08 Spear Motors-Kyambogo'!F76,'03.08 Spear Motors-Kyambogo'!F76)</f>
        <v>17</v>
      </c>
      <c r="G76" s="49">
        <f>AVERAGE('01.08 Spear Motors-Kyambogo'!G76,'03.08 Spear Motors-Kyambogo'!G76)</f>
        <v>0.5</v>
      </c>
      <c r="H76" s="49">
        <f>AVERAGE('01.08 Spear Motors-Kyambogo'!H76,'03.08 Spear Motors-Kyambogo'!H76)</f>
        <v>0.5</v>
      </c>
      <c r="I76" s="49">
        <f>AVERAGE('01.08 Spear Motors-Kyambogo'!I76,'03.08 Spear Motors-Kyambogo'!I76)</f>
        <v>2</v>
      </c>
      <c r="J76" s="49">
        <f>AVERAGE('01.08 Spear Motors-Kyambogo'!J76,'03.08 Spear Motors-Kyambogo'!J76)</f>
        <v>1</v>
      </c>
      <c r="K76" s="49">
        <f>AVERAGE('01.08 Spear Motors-Kyambogo'!K76,'03.08 Spear Motors-Kyambogo'!K76)</f>
        <v>0</v>
      </c>
      <c r="L76" s="49">
        <f>AVERAGE('01.08 Spear Motors-Kyambogo'!L76,'03.08 Spear Motors-Kyambogo'!L76)</f>
        <v>0.5</v>
      </c>
      <c r="M76" s="49">
        <f>AVERAGE('01.08 Spear Motors-Kyambogo'!M76,'03.08 Spear Motors-Kyambogo'!M76)</f>
        <v>86.5</v>
      </c>
      <c r="N76" s="49">
        <f>AVERAGE('01.08 Spear Motors-Kyambogo'!N76,'03.08 Spear Motors-Kyambogo'!N76)</f>
        <v>0</v>
      </c>
      <c r="O76" s="49">
        <f>AVERAGE('01.08 Spear Motors-Kyambogo'!O76,'03.08 Spear Motors-Kyambogo'!O76)</f>
        <v>84</v>
      </c>
      <c r="P76" s="49">
        <f>AVERAGE('01.08 Spear Motors-Kyambogo'!P76,'03.08 Spear Motors-Kyambogo'!P76)</f>
        <v>170.5</v>
      </c>
      <c r="R76" s="8"/>
      <c r="T76"/>
    </row>
    <row r="77" spans="2:20" ht="23.1" customHeight="1" x14ac:dyDescent="0.25">
      <c r="B77" s="23" t="s">
        <v>117</v>
      </c>
      <c r="C77" s="49">
        <f>AVERAGE('01.08 Spear Motors-Kyambogo'!C77,'03.08 Spear Motors-Kyambogo'!C77)</f>
        <v>25.5</v>
      </c>
      <c r="D77" s="49">
        <f>AVERAGE('01.08 Spear Motors-Kyambogo'!D77,'03.08 Spear Motors-Kyambogo'!D77)</f>
        <v>11</v>
      </c>
      <c r="E77" s="49">
        <f>AVERAGE('01.08 Spear Motors-Kyambogo'!E77,'03.08 Spear Motors-Kyambogo'!E77)</f>
        <v>13</v>
      </c>
      <c r="F77" s="49">
        <f>AVERAGE('01.08 Spear Motors-Kyambogo'!F77,'03.08 Spear Motors-Kyambogo'!F77)</f>
        <v>18.5</v>
      </c>
      <c r="G77" s="49">
        <f>AVERAGE('01.08 Spear Motors-Kyambogo'!G77,'03.08 Spear Motors-Kyambogo'!G77)</f>
        <v>1.5</v>
      </c>
      <c r="H77" s="49">
        <f>AVERAGE('01.08 Spear Motors-Kyambogo'!H77,'03.08 Spear Motors-Kyambogo'!H77)</f>
        <v>0.5</v>
      </c>
      <c r="I77" s="49">
        <f>AVERAGE('01.08 Spear Motors-Kyambogo'!I77,'03.08 Spear Motors-Kyambogo'!I77)</f>
        <v>3</v>
      </c>
      <c r="J77" s="49">
        <f>AVERAGE('01.08 Spear Motors-Kyambogo'!J77,'03.08 Spear Motors-Kyambogo'!J77)</f>
        <v>1.5</v>
      </c>
      <c r="K77" s="49">
        <f>AVERAGE('01.08 Spear Motors-Kyambogo'!K77,'03.08 Spear Motors-Kyambogo'!K77)</f>
        <v>1</v>
      </c>
      <c r="L77" s="49">
        <f>AVERAGE('01.08 Spear Motors-Kyambogo'!L77,'03.08 Spear Motors-Kyambogo'!L77)</f>
        <v>2</v>
      </c>
      <c r="M77" s="49">
        <f>AVERAGE('01.08 Spear Motors-Kyambogo'!M77,'03.08 Spear Motors-Kyambogo'!M77)</f>
        <v>85.5</v>
      </c>
      <c r="N77" s="49">
        <f>AVERAGE('01.08 Spear Motors-Kyambogo'!N77,'03.08 Spear Motors-Kyambogo'!N77)</f>
        <v>0</v>
      </c>
      <c r="O77" s="49">
        <f>AVERAGE('01.08 Spear Motors-Kyambogo'!O77,'03.08 Spear Motors-Kyambogo'!O77)</f>
        <v>77.5</v>
      </c>
      <c r="P77" s="49">
        <f>AVERAGE('01.08 Spear Motors-Kyambogo'!P77,'03.08 Spear Motors-Kyambogo'!P77)</f>
        <v>163</v>
      </c>
      <c r="R77" s="8"/>
      <c r="T77"/>
    </row>
    <row r="78" spans="2:20" ht="23.1" customHeight="1" x14ac:dyDescent="0.25">
      <c r="B78" s="24" t="s">
        <v>118</v>
      </c>
      <c r="C78" s="49">
        <f>AVERAGE('01.08 Spear Motors-Kyambogo'!C78,'03.08 Spear Motors-Kyambogo'!C78)</f>
        <v>27</v>
      </c>
      <c r="D78" s="49">
        <f>AVERAGE('01.08 Spear Motors-Kyambogo'!D78,'03.08 Spear Motors-Kyambogo'!D78)</f>
        <v>3.5</v>
      </c>
      <c r="E78" s="49">
        <f>AVERAGE('01.08 Spear Motors-Kyambogo'!E78,'03.08 Spear Motors-Kyambogo'!E78)</f>
        <v>3</v>
      </c>
      <c r="F78" s="49">
        <f>AVERAGE('01.08 Spear Motors-Kyambogo'!F78,'03.08 Spear Motors-Kyambogo'!F78)</f>
        <v>16</v>
      </c>
      <c r="G78" s="49">
        <f>AVERAGE('01.08 Spear Motors-Kyambogo'!G78,'03.08 Spear Motors-Kyambogo'!G78)</f>
        <v>0.5</v>
      </c>
      <c r="H78" s="49">
        <f>AVERAGE('01.08 Spear Motors-Kyambogo'!H78,'03.08 Spear Motors-Kyambogo'!H78)</f>
        <v>1</v>
      </c>
      <c r="I78" s="49">
        <f>AVERAGE('01.08 Spear Motors-Kyambogo'!I78,'03.08 Spear Motors-Kyambogo'!I78)</f>
        <v>1.5</v>
      </c>
      <c r="J78" s="49">
        <f>AVERAGE('01.08 Spear Motors-Kyambogo'!J78,'03.08 Spear Motors-Kyambogo'!J78)</f>
        <v>2</v>
      </c>
      <c r="K78" s="49">
        <f>AVERAGE('01.08 Spear Motors-Kyambogo'!K78,'03.08 Spear Motors-Kyambogo'!K78)</f>
        <v>1</v>
      </c>
      <c r="L78" s="49">
        <f>AVERAGE('01.08 Spear Motors-Kyambogo'!L78,'03.08 Spear Motors-Kyambogo'!L78)</f>
        <v>1.5</v>
      </c>
      <c r="M78" s="49">
        <f>AVERAGE('01.08 Spear Motors-Kyambogo'!M78,'03.08 Spear Motors-Kyambogo'!M78)</f>
        <v>83</v>
      </c>
      <c r="N78" s="49">
        <f>AVERAGE('01.08 Spear Motors-Kyambogo'!N78,'03.08 Spear Motors-Kyambogo'!N78)</f>
        <v>0</v>
      </c>
      <c r="O78" s="49">
        <f>AVERAGE('01.08 Spear Motors-Kyambogo'!O78,'03.08 Spear Motors-Kyambogo'!O78)</f>
        <v>57</v>
      </c>
      <c r="P78" s="49">
        <f>AVERAGE('01.08 Spear Motors-Kyambogo'!P78,'03.08 Spear Motors-Kyambogo'!P78)</f>
        <v>140</v>
      </c>
      <c r="R78" s="8"/>
      <c r="T78"/>
    </row>
    <row r="79" spans="2:20" ht="23.1" customHeight="1" x14ac:dyDescent="0.25">
      <c r="B79" s="23" t="s">
        <v>119</v>
      </c>
      <c r="C79" s="49">
        <f>AVERAGE('01.08 Spear Motors-Kyambogo'!C79,'03.08 Spear Motors-Kyambogo'!C79)</f>
        <v>15</v>
      </c>
      <c r="D79" s="49">
        <f>AVERAGE('01.08 Spear Motors-Kyambogo'!D79,'03.08 Spear Motors-Kyambogo'!D79)</f>
        <v>0.5</v>
      </c>
      <c r="E79" s="49">
        <f>AVERAGE('01.08 Spear Motors-Kyambogo'!E79,'03.08 Spear Motors-Kyambogo'!E79)</f>
        <v>0</v>
      </c>
      <c r="F79" s="49">
        <f>AVERAGE('01.08 Spear Motors-Kyambogo'!F79,'03.08 Spear Motors-Kyambogo'!F79)</f>
        <v>12.5</v>
      </c>
      <c r="G79" s="49">
        <f>AVERAGE('01.08 Spear Motors-Kyambogo'!G79,'03.08 Spear Motors-Kyambogo'!G79)</f>
        <v>0.5</v>
      </c>
      <c r="H79" s="49">
        <f>AVERAGE('01.08 Spear Motors-Kyambogo'!H79,'03.08 Spear Motors-Kyambogo'!H79)</f>
        <v>0</v>
      </c>
      <c r="I79" s="49">
        <f>AVERAGE('01.08 Spear Motors-Kyambogo'!I79,'03.08 Spear Motors-Kyambogo'!I79)</f>
        <v>3.5</v>
      </c>
      <c r="J79" s="49">
        <f>AVERAGE('01.08 Spear Motors-Kyambogo'!J79,'03.08 Spear Motors-Kyambogo'!J79)</f>
        <v>1</v>
      </c>
      <c r="K79" s="49">
        <f>AVERAGE('01.08 Spear Motors-Kyambogo'!K79,'03.08 Spear Motors-Kyambogo'!K79)</f>
        <v>1.5</v>
      </c>
      <c r="L79" s="49">
        <f>AVERAGE('01.08 Spear Motors-Kyambogo'!L79,'03.08 Spear Motors-Kyambogo'!L79)</f>
        <v>1.5</v>
      </c>
      <c r="M79" s="49">
        <f>AVERAGE('01.08 Spear Motors-Kyambogo'!M79,'03.08 Spear Motors-Kyambogo'!M79)</f>
        <v>51</v>
      </c>
      <c r="N79" s="49">
        <f>AVERAGE('01.08 Spear Motors-Kyambogo'!N79,'03.08 Spear Motors-Kyambogo'!N79)</f>
        <v>0</v>
      </c>
      <c r="O79" s="49">
        <f>AVERAGE('01.08 Spear Motors-Kyambogo'!O79,'03.08 Spear Motors-Kyambogo'!O79)</f>
        <v>36</v>
      </c>
      <c r="P79" s="49">
        <f>AVERAGE('01.08 Spear Motors-Kyambogo'!P79,'03.08 Spear Motors-Kyambogo'!P79)</f>
        <v>87</v>
      </c>
      <c r="R79" s="8"/>
      <c r="T79"/>
    </row>
    <row r="80" spans="2:20" ht="23.1" customHeight="1" x14ac:dyDescent="0.25">
      <c r="B80" s="25" t="s">
        <v>120</v>
      </c>
      <c r="C80" s="49">
        <f>AVERAGE('01.08 Spear Motors-Kyambogo'!C80,'03.08 Spear Motors-Kyambogo'!C80)</f>
        <v>49.5</v>
      </c>
      <c r="D80" s="49">
        <f>AVERAGE('01.08 Spear Motors-Kyambogo'!D80,'03.08 Spear Motors-Kyambogo'!D80)</f>
        <v>10.5</v>
      </c>
      <c r="E80" s="49">
        <f>AVERAGE('01.08 Spear Motors-Kyambogo'!E80,'03.08 Spear Motors-Kyambogo'!E80)</f>
        <v>5</v>
      </c>
      <c r="F80" s="49">
        <f>AVERAGE('01.08 Spear Motors-Kyambogo'!F80,'03.08 Spear Motors-Kyambogo'!F80)</f>
        <v>8.5</v>
      </c>
      <c r="G80" s="49">
        <f>AVERAGE('01.08 Spear Motors-Kyambogo'!G80,'03.08 Spear Motors-Kyambogo'!G80)</f>
        <v>0.5</v>
      </c>
      <c r="H80" s="49">
        <f>AVERAGE('01.08 Spear Motors-Kyambogo'!H80,'03.08 Spear Motors-Kyambogo'!H80)</f>
        <v>0</v>
      </c>
      <c r="I80" s="49">
        <f>AVERAGE('01.08 Spear Motors-Kyambogo'!I80,'03.08 Spear Motors-Kyambogo'!I80)</f>
        <v>1.5</v>
      </c>
      <c r="J80" s="49">
        <f>AVERAGE('01.08 Spear Motors-Kyambogo'!J80,'03.08 Spear Motors-Kyambogo'!J80)</f>
        <v>1</v>
      </c>
      <c r="K80" s="49">
        <f>AVERAGE('01.08 Spear Motors-Kyambogo'!K80,'03.08 Spear Motors-Kyambogo'!K80)</f>
        <v>1.5</v>
      </c>
      <c r="L80" s="49">
        <f>AVERAGE('01.08 Spear Motors-Kyambogo'!L80,'03.08 Spear Motors-Kyambogo'!L80)</f>
        <v>1</v>
      </c>
      <c r="M80" s="49">
        <f>AVERAGE('01.08 Spear Motors-Kyambogo'!M80,'03.08 Spear Motors-Kyambogo'!M80)</f>
        <v>41.5</v>
      </c>
      <c r="N80" s="49">
        <f>AVERAGE('01.08 Spear Motors-Kyambogo'!N80,'03.08 Spear Motors-Kyambogo'!N80)</f>
        <v>0</v>
      </c>
      <c r="O80" s="49">
        <f>AVERAGE('01.08 Spear Motors-Kyambogo'!O80,'03.08 Spear Motors-Kyambogo'!O80)</f>
        <v>79</v>
      </c>
      <c r="P80" s="49">
        <f>AVERAGE('01.08 Spear Motors-Kyambogo'!P80,'03.08 Spear Motors-Kyambogo'!P80)</f>
        <v>120.5</v>
      </c>
      <c r="R80" s="8"/>
      <c r="T80"/>
    </row>
    <row r="81" spans="2:20" ht="23.1" customHeight="1" x14ac:dyDescent="0.25">
      <c r="B81" s="23" t="s">
        <v>121</v>
      </c>
      <c r="C81" s="49">
        <f>AVERAGE('01.08 Spear Motors-Kyambogo'!C81,'03.08 Spear Motors-Kyambogo'!C81)</f>
        <v>32.5</v>
      </c>
      <c r="D81" s="49">
        <f>AVERAGE('01.08 Spear Motors-Kyambogo'!D81,'03.08 Spear Motors-Kyambogo'!D81)</f>
        <v>8.5</v>
      </c>
      <c r="E81" s="49">
        <f>AVERAGE('01.08 Spear Motors-Kyambogo'!E81,'03.08 Spear Motors-Kyambogo'!E81)</f>
        <v>1</v>
      </c>
      <c r="F81" s="49">
        <f>AVERAGE('01.08 Spear Motors-Kyambogo'!F81,'03.08 Spear Motors-Kyambogo'!F81)</f>
        <v>8</v>
      </c>
      <c r="G81" s="49">
        <f>AVERAGE('01.08 Spear Motors-Kyambogo'!G81,'03.08 Spear Motors-Kyambogo'!G81)</f>
        <v>0</v>
      </c>
      <c r="H81" s="49">
        <f>AVERAGE('01.08 Spear Motors-Kyambogo'!H81,'03.08 Spear Motors-Kyambogo'!H81)</f>
        <v>0</v>
      </c>
      <c r="I81" s="49">
        <f>AVERAGE('01.08 Spear Motors-Kyambogo'!I81,'03.08 Spear Motors-Kyambogo'!I81)</f>
        <v>2</v>
      </c>
      <c r="J81" s="49">
        <f>AVERAGE('01.08 Spear Motors-Kyambogo'!J81,'03.08 Spear Motors-Kyambogo'!J81)</f>
        <v>1</v>
      </c>
      <c r="K81" s="49">
        <f>AVERAGE('01.08 Spear Motors-Kyambogo'!K81,'03.08 Spear Motors-Kyambogo'!K81)</f>
        <v>1</v>
      </c>
      <c r="L81" s="49">
        <f>AVERAGE('01.08 Spear Motors-Kyambogo'!L81,'03.08 Spear Motors-Kyambogo'!L81)</f>
        <v>4</v>
      </c>
      <c r="M81" s="49">
        <f>AVERAGE('01.08 Spear Motors-Kyambogo'!M81,'03.08 Spear Motors-Kyambogo'!M81)</f>
        <v>25</v>
      </c>
      <c r="N81" s="49">
        <f>AVERAGE('01.08 Spear Motors-Kyambogo'!N81,'03.08 Spear Motors-Kyambogo'!N81)</f>
        <v>0</v>
      </c>
      <c r="O81" s="49">
        <f>AVERAGE('01.08 Spear Motors-Kyambogo'!O81,'03.08 Spear Motors-Kyambogo'!O81)</f>
        <v>58</v>
      </c>
      <c r="P81" s="49">
        <f>AVERAGE('01.08 Spear Motors-Kyambogo'!P81,'03.08 Spear Motors-Kyambogo'!P81)</f>
        <v>83</v>
      </c>
      <c r="R81" s="8"/>
      <c r="T81"/>
    </row>
    <row r="82" spans="2:20" ht="23.1" customHeight="1" x14ac:dyDescent="0.25">
      <c r="B82" s="24" t="s">
        <v>122</v>
      </c>
      <c r="C82" s="49">
        <f>AVERAGE('01.08 Spear Motors-Kyambogo'!C82,'03.08 Spear Motors-Kyambogo'!C82)</f>
        <v>22.5</v>
      </c>
      <c r="D82" s="49">
        <f>AVERAGE('01.08 Spear Motors-Kyambogo'!D82,'03.08 Spear Motors-Kyambogo'!D82)</f>
        <v>6.5</v>
      </c>
      <c r="E82" s="49">
        <f>AVERAGE('01.08 Spear Motors-Kyambogo'!E82,'03.08 Spear Motors-Kyambogo'!E82)</f>
        <v>4</v>
      </c>
      <c r="F82" s="49">
        <f>AVERAGE('01.08 Spear Motors-Kyambogo'!F82,'03.08 Spear Motors-Kyambogo'!F82)</f>
        <v>7.5</v>
      </c>
      <c r="G82" s="49">
        <f>AVERAGE('01.08 Spear Motors-Kyambogo'!G82,'03.08 Spear Motors-Kyambogo'!G82)</f>
        <v>0</v>
      </c>
      <c r="H82" s="49">
        <f>AVERAGE('01.08 Spear Motors-Kyambogo'!H82,'03.08 Spear Motors-Kyambogo'!H82)</f>
        <v>1</v>
      </c>
      <c r="I82" s="49">
        <f>AVERAGE('01.08 Spear Motors-Kyambogo'!I82,'03.08 Spear Motors-Kyambogo'!I82)</f>
        <v>4</v>
      </c>
      <c r="J82" s="49">
        <f>AVERAGE('01.08 Spear Motors-Kyambogo'!J82,'03.08 Spear Motors-Kyambogo'!J82)</f>
        <v>2</v>
      </c>
      <c r="K82" s="49">
        <f>AVERAGE('01.08 Spear Motors-Kyambogo'!K82,'03.08 Spear Motors-Kyambogo'!K82)</f>
        <v>1.5</v>
      </c>
      <c r="L82" s="49">
        <f>AVERAGE('01.08 Spear Motors-Kyambogo'!L82,'03.08 Spear Motors-Kyambogo'!L82)</f>
        <v>9</v>
      </c>
      <c r="M82" s="49">
        <f>AVERAGE('01.08 Spear Motors-Kyambogo'!M82,'03.08 Spear Motors-Kyambogo'!M82)</f>
        <v>25</v>
      </c>
      <c r="N82" s="49">
        <f>AVERAGE('01.08 Spear Motors-Kyambogo'!N82,'03.08 Spear Motors-Kyambogo'!N82)</f>
        <v>0</v>
      </c>
      <c r="O82" s="49">
        <f>AVERAGE('01.08 Spear Motors-Kyambogo'!O82,'03.08 Spear Motors-Kyambogo'!O82)</f>
        <v>58</v>
      </c>
      <c r="P82" s="49">
        <f>AVERAGE('01.08 Spear Motors-Kyambogo'!P82,'03.08 Spear Motors-Kyambogo'!P82)</f>
        <v>83</v>
      </c>
      <c r="R82" s="8"/>
      <c r="T82"/>
    </row>
    <row r="83" spans="2:20" ht="23.1" customHeight="1" x14ac:dyDescent="0.25">
      <c r="B83" s="23" t="s">
        <v>123</v>
      </c>
      <c r="C83" s="49">
        <f>AVERAGE('01.08 Spear Motors-Kyambogo'!C83,'03.08 Spear Motors-Kyambogo'!C83)</f>
        <v>22.5</v>
      </c>
      <c r="D83" s="49">
        <f>AVERAGE('01.08 Spear Motors-Kyambogo'!D83,'03.08 Spear Motors-Kyambogo'!D83)</f>
        <v>8.5</v>
      </c>
      <c r="E83" s="49">
        <f>AVERAGE('01.08 Spear Motors-Kyambogo'!E83,'03.08 Spear Motors-Kyambogo'!E83)</f>
        <v>2</v>
      </c>
      <c r="F83" s="49">
        <f>AVERAGE('01.08 Spear Motors-Kyambogo'!F83,'03.08 Spear Motors-Kyambogo'!F83)</f>
        <v>8.5</v>
      </c>
      <c r="G83" s="49">
        <f>AVERAGE('01.08 Spear Motors-Kyambogo'!G83,'03.08 Spear Motors-Kyambogo'!G83)</f>
        <v>0</v>
      </c>
      <c r="H83" s="49">
        <f>AVERAGE('01.08 Spear Motors-Kyambogo'!H83,'03.08 Spear Motors-Kyambogo'!H83)</f>
        <v>1</v>
      </c>
      <c r="I83" s="49">
        <f>AVERAGE('01.08 Spear Motors-Kyambogo'!I83,'03.08 Spear Motors-Kyambogo'!I83)</f>
        <v>1.5</v>
      </c>
      <c r="J83" s="49">
        <f>AVERAGE('01.08 Spear Motors-Kyambogo'!J83,'03.08 Spear Motors-Kyambogo'!J83)</f>
        <v>4.5</v>
      </c>
      <c r="K83" s="49">
        <f>AVERAGE('01.08 Spear Motors-Kyambogo'!K83,'03.08 Spear Motors-Kyambogo'!K83)</f>
        <v>0.5</v>
      </c>
      <c r="L83" s="49">
        <f>AVERAGE('01.08 Spear Motors-Kyambogo'!L83,'03.08 Spear Motors-Kyambogo'!L83)</f>
        <v>8</v>
      </c>
      <c r="M83" s="49">
        <f>AVERAGE('01.08 Spear Motors-Kyambogo'!M83,'03.08 Spear Motors-Kyambogo'!M83)</f>
        <v>17.5</v>
      </c>
      <c r="N83" s="49">
        <f>AVERAGE('01.08 Spear Motors-Kyambogo'!N83,'03.08 Spear Motors-Kyambogo'!N83)</f>
        <v>0</v>
      </c>
      <c r="O83" s="49">
        <f>AVERAGE('01.08 Spear Motors-Kyambogo'!O83,'03.08 Spear Motors-Kyambogo'!O83)</f>
        <v>57</v>
      </c>
      <c r="P83" s="49">
        <f>AVERAGE('01.08 Spear Motors-Kyambogo'!P83,'03.08 Spear Motors-Kyambogo'!P83)</f>
        <v>74.5</v>
      </c>
      <c r="R83" s="8"/>
      <c r="T83"/>
    </row>
    <row r="84" spans="2:20" ht="23.1" customHeight="1" x14ac:dyDescent="0.25">
      <c r="B84" s="25" t="s">
        <v>124</v>
      </c>
      <c r="C84" s="49">
        <f>AVERAGE('01.08 Spear Motors-Kyambogo'!C84,'03.08 Spear Motors-Kyambogo'!C84)</f>
        <v>18.5</v>
      </c>
      <c r="D84" s="49">
        <f>AVERAGE('01.08 Spear Motors-Kyambogo'!D84,'03.08 Spear Motors-Kyambogo'!D84)</f>
        <v>12.5</v>
      </c>
      <c r="E84" s="49">
        <f>AVERAGE('01.08 Spear Motors-Kyambogo'!E84,'03.08 Spear Motors-Kyambogo'!E84)</f>
        <v>2</v>
      </c>
      <c r="F84" s="49">
        <f>AVERAGE('01.08 Spear Motors-Kyambogo'!F84,'03.08 Spear Motors-Kyambogo'!F84)</f>
        <v>4.5</v>
      </c>
      <c r="G84" s="49">
        <f>AVERAGE('01.08 Spear Motors-Kyambogo'!G84,'03.08 Spear Motors-Kyambogo'!G84)</f>
        <v>0</v>
      </c>
      <c r="H84" s="49">
        <f>AVERAGE('01.08 Spear Motors-Kyambogo'!H84,'03.08 Spear Motors-Kyambogo'!H84)</f>
        <v>0.5</v>
      </c>
      <c r="I84" s="49">
        <f>AVERAGE('01.08 Spear Motors-Kyambogo'!I84,'03.08 Spear Motors-Kyambogo'!I84)</f>
        <v>0.5</v>
      </c>
      <c r="J84" s="49">
        <f>AVERAGE('01.08 Spear Motors-Kyambogo'!J84,'03.08 Spear Motors-Kyambogo'!J84)</f>
        <v>2</v>
      </c>
      <c r="K84" s="49">
        <f>AVERAGE('01.08 Spear Motors-Kyambogo'!K84,'03.08 Spear Motors-Kyambogo'!K84)</f>
        <v>2</v>
      </c>
      <c r="L84" s="49">
        <f>AVERAGE('01.08 Spear Motors-Kyambogo'!L84,'03.08 Spear Motors-Kyambogo'!L84)</f>
        <v>10.5</v>
      </c>
      <c r="M84" s="49">
        <f>AVERAGE('01.08 Spear Motors-Kyambogo'!M84,'03.08 Spear Motors-Kyambogo'!M84)</f>
        <v>19.5</v>
      </c>
      <c r="N84" s="49">
        <f>AVERAGE('01.08 Spear Motors-Kyambogo'!N84,'03.08 Spear Motors-Kyambogo'!N84)</f>
        <v>0</v>
      </c>
      <c r="O84" s="49">
        <f>AVERAGE('01.08 Spear Motors-Kyambogo'!O84,'03.08 Spear Motors-Kyambogo'!O84)</f>
        <v>53</v>
      </c>
      <c r="P84" s="49">
        <f>AVERAGE('01.08 Spear Motors-Kyambogo'!P84,'03.08 Spear Motors-Kyambogo'!P84)</f>
        <v>72.5</v>
      </c>
      <c r="R84" s="8"/>
      <c r="T84"/>
    </row>
    <row r="85" spans="2:20" ht="23.1" customHeight="1" x14ac:dyDescent="0.25">
      <c r="B85" s="23" t="s">
        <v>125</v>
      </c>
      <c r="C85" s="49">
        <f>AVERAGE('01.08 Spear Motors-Kyambogo'!C85,'03.08 Spear Motors-Kyambogo'!C85)</f>
        <v>15</v>
      </c>
      <c r="D85" s="49">
        <f>AVERAGE('01.08 Spear Motors-Kyambogo'!D85,'03.08 Spear Motors-Kyambogo'!D85)</f>
        <v>7.5</v>
      </c>
      <c r="E85" s="49">
        <f>AVERAGE('01.08 Spear Motors-Kyambogo'!E85,'03.08 Spear Motors-Kyambogo'!E85)</f>
        <v>1.5</v>
      </c>
      <c r="F85" s="49">
        <f>AVERAGE('01.08 Spear Motors-Kyambogo'!F85,'03.08 Spear Motors-Kyambogo'!F85)</f>
        <v>7.5</v>
      </c>
      <c r="G85" s="49">
        <f>AVERAGE('01.08 Spear Motors-Kyambogo'!G85,'03.08 Spear Motors-Kyambogo'!G85)</f>
        <v>0.5</v>
      </c>
      <c r="H85" s="49">
        <f>AVERAGE('01.08 Spear Motors-Kyambogo'!H85,'03.08 Spear Motors-Kyambogo'!H85)</f>
        <v>1.5</v>
      </c>
      <c r="I85" s="49">
        <f>AVERAGE('01.08 Spear Motors-Kyambogo'!I85,'03.08 Spear Motors-Kyambogo'!I85)</f>
        <v>2.5</v>
      </c>
      <c r="J85" s="49">
        <f>AVERAGE('01.08 Spear Motors-Kyambogo'!J85,'03.08 Spear Motors-Kyambogo'!J85)</f>
        <v>1.5</v>
      </c>
      <c r="K85" s="49">
        <f>AVERAGE('01.08 Spear Motors-Kyambogo'!K85,'03.08 Spear Motors-Kyambogo'!K85)</f>
        <v>0</v>
      </c>
      <c r="L85" s="49">
        <f>AVERAGE('01.08 Spear Motors-Kyambogo'!L85,'03.08 Spear Motors-Kyambogo'!L85)</f>
        <v>7</v>
      </c>
      <c r="M85" s="49">
        <f>AVERAGE('01.08 Spear Motors-Kyambogo'!M85,'03.08 Spear Motors-Kyambogo'!M85)</f>
        <v>14</v>
      </c>
      <c r="N85" s="49">
        <f>AVERAGE('01.08 Spear Motors-Kyambogo'!N85,'03.08 Spear Motors-Kyambogo'!N85)</f>
        <v>0</v>
      </c>
      <c r="O85" s="49">
        <f>AVERAGE('01.08 Spear Motors-Kyambogo'!O85,'03.08 Spear Motors-Kyambogo'!O85)</f>
        <v>44.5</v>
      </c>
      <c r="P85" s="49">
        <f>AVERAGE('01.08 Spear Motors-Kyambogo'!P85,'03.08 Spear Motors-Kyambogo'!P85)</f>
        <v>58.5</v>
      </c>
      <c r="R85" s="8"/>
      <c r="T85"/>
    </row>
    <row r="86" spans="2:20" ht="23.1" customHeight="1" x14ac:dyDescent="0.25">
      <c r="B86" s="24" t="s">
        <v>126</v>
      </c>
      <c r="C86" s="49">
        <f>AVERAGE('01.08 Spear Motors-Kyambogo'!C86,'03.08 Spear Motors-Kyambogo'!C86)</f>
        <v>11.5</v>
      </c>
      <c r="D86" s="49">
        <f>AVERAGE('01.08 Spear Motors-Kyambogo'!D86,'03.08 Spear Motors-Kyambogo'!D86)</f>
        <v>3</v>
      </c>
      <c r="E86" s="49">
        <f>AVERAGE('01.08 Spear Motors-Kyambogo'!E86,'03.08 Spear Motors-Kyambogo'!E86)</f>
        <v>2</v>
      </c>
      <c r="F86" s="49">
        <f>AVERAGE('01.08 Spear Motors-Kyambogo'!F86,'03.08 Spear Motors-Kyambogo'!F86)</f>
        <v>5</v>
      </c>
      <c r="G86" s="49">
        <f>AVERAGE('01.08 Spear Motors-Kyambogo'!G86,'03.08 Spear Motors-Kyambogo'!G86)</f>
        <v>0</v>
      </c>
      <c r="H86" s="49">
        <f>AVERAGE('01.08 Spear Motors-Kyambogo'!H86,'03.08 Spear Motors-Kyambogo'!H86)</f>
        <v>1.5</v>
      </c>
      <c r="I86" s="49">
        <f>AVERAGE('01.08 Spear Motors-Kyambogo'!I86,'03.08 Spear Motors-Kyambogo'!I86)</f>
        <v>1.5</v>
      </c>
      <c r="J86" s="49">
        <f>AVERAGE('01.08 Spear Motors-Kyambogo'!J86,'03.08 Spear Motors-Kyambogo'!J86)</f>
        <v>3.5</v>
      </c>
      <c r="K86" s="49">
        <f>AVERAGE('01.08 Spear Motors-Kyambogo'!K86,'03.08 Spear Motors-Kyambogo'!K86)</f>
        <v>1</v>
      </c>
      <c r="L86" s="49">
        <f>AVERAGE('01.08 Spear Motors-Kyambogo'!L86,'03.08 Spear Motors-Kyambogo'!L86)</f>
        <v>1.5</v>
      </c>
      <c r="M86" s="49">
        <f>AVERAGE('01.08 Spear Motors-Kyambogo'!M86,'03.08 Spear Motors-Kyambogo'!M86)</f>
        <v>14.5</v>
      </c>
      <c r="N86" s="49">
        <f>AVERAGE('01.08 Spear Motors-Kyambogo'!N86,'03.08 Spear Motors-Kyambogo'!N86)</f>
        <v>0</v>
      </c>
      <c r="O86" s="49">
        <f>AVERAGE('01.08 Spear Motors-Kyambogo'!O86,'03.08 Spear Motors-Kyambogo'!O86)</f>
        <v>30.5</v>
      </c>
      <c r="P86" s="49">
        <f>AVERAGE('01.08 Spear Motors-Kyambogo'!P86,'03.08 Spear Motors-Kyambogo'!P86)</f>
        <v>45</v>
      </c>
      <c r="R86" s="8"/>
      <c r="T86"/>
    </row>
    <row r="87" spans="2:20" ht="23.1" customHeight="1" x14ac:dyDescent="0.25">
      <c r="B87" s="23" t="s">
        <v>127</v>
      </c>
      <c r="C87" s="49">
        <f>AVERAGE('01.08 Spear Motors-Kyambogo'!C87,'03.08 Spear Motors-Kyambogo'!C87)</f>
        <v>20</v>
      </c>
      <c r="D87" s="49">
        <f>AVERAGE('01.08 Spear Motors-Kyambogo'!D87,'03.08 Spear Motors-Kyambogo'!D87)</f>
        <v>1.5</v>
      </c>
      <c r="E87" s="49">
        <f>AVERAGE('01.08 Spear Motors-Kyambogo'!E87,'03.08 Spear Motors-Kyambogo'!E87)</f>
        <v>1</v>
      </c>
      <c r="F87" s="49">
        <f>AVERAGE('01.08 Spear Motors-Kyambogo'!F87,'03.08 Spear Motors-Kyambogo'!F87)</f>
        <v>2.5</v>
      </c>
      <c r="G87" s="49">
        <f>AVERAGE('01.08 Spear Motors-Kyambogo'!G87,'03.08 Spear Motors-Kyambogo'!G87)</f>
        <v>0.5</v>
      </c>
      <c r="H87" s="49">
        <f>AVERAGE('01.08 Spear Motors-Kyambogo'!H87,'03.08 Spear Motors-Kyambogo'!H87)</f>
        <v>0.5</v>
      </c>
      <c r="I87" s="49">
        <f>AVERAGE('01.08 Spear Motors-Kyambogo'!I87,'03.08 Spear Motors-Kyambogo'!I87)</f>
        <v>1.5</v>
      </c>
      <c r="J87" s="49">
        <f>AVERAGE('01.08 Spear Motors-Kyambogo'!J87,'03.08 Spear Motors-Kyambogo'!J87)</f>
        <v>1</v>
      </c>
      <c r="K87" s="49">
        <f>AVERAGE('01.08 Spear Motors-Kyambogo'!K87,'03.08 Spear Motors-Kyambogo'!K87)</f>
        <v>1.5</v>
      </c>
      <c r="L87" s="49">
        <f>AVERAGE('01.08 Spear Motors-Kyambogo'!L87,'03.08 Spear Motors-Kyambogo'!L87)</f>
        <v>1.5</v>
      </c>
      <c r="M87" s="49">
        <f>AVERAGE('01.08 Spear Motors-Kyambogo'!M87,'03.08 Spear Motors-Kyambogo'!M87)</f>
        <v>18</v>
      </c>
      <c r="N87" s="49">
        <f>AVERAGE('01.08 Spear Motors-Kyambogo'!N87,'03.08 Spear Motors-Kyambogo'!N87)</f>
        <v>0</v>
      </c>
      <c r="O87" s="49">
        <f>AVERAGE('01.08 Spear Motors-Kyambogo'!O87,'03.08 Spear Motors-Kyambogo'!O87)</f>
        <v>31.5</v>
      </c>
      <c r="P87" s="49">
        <f>AVERAGE('01.08 Spear Motors-Kyambogo'!P87,'03.08 Spear Motors-Kyambogo'!P87)</f>
        <v>49.5</v>
      </c>
      <c r="R87" s="8"/>
      <c r="T87"/>
    </row>
    <row r="88" spans="2:20" ht="23.1" customHeight="1" x14ac:dyDescent="0.25">
      <c r="B88" s="25" t="s">
        <v>128</v>
      </c>
      <c r="C88" s="49">
        <f>AVERAGE('01.08 Spear Motors-Kyambogo'!C88,'03.08 Spear Motors-Kyambogo'!C88)</f>
        <v>22.5</v>
      </c>
      <c r="D88" s="49">
        <f>AVERAGE('01.08 Spear Motors-Kyambogo'!D88,'03.08 Spear Motors-Kyambogo'!D88)</f>
        <v>1.5</v>
      </c>
      <c r="E88" s="49">
        <f>AVERAGE('01.08 Spear Motors-Kyambogo'!E88,'03.08 Spear Motors-Kyambogo'!E88)</f>
        <v>3</v>
      </c>
      <c r="F88" s="49">
        <f>AVERAGE('01.08 Spear Motors-Kyambogo'!F88,'03.08 Spear Motors-Kyambogo'!F88)</f>
        <v>6.5</v>
      </c>
      <c r="G88" s="49">
        <f>AVERAGE('01.08 Spear Motors-Kyambogo'!G88,'03.08 Spear Motors-Kyambogo'!G88)</f>
        <v>0</v>
      </c>
      <c r="H88" s="49">
        <f>AVERAGE('01.08 Spear Motors-Kyambogo'!H88,'03.08 Spear Motors-Kyambogo'!H88)</f>
        <v>0</v>
      </c>
      <c r="I88" s="49">
        <f>AVERAGE('01.08 Spear Motors-Kyambogo'!I88,'03.08 Spear Motors-Kyambogo'!I88)</f>
        <v>2.5</v>
      </c>
      <c r="J88" s="49">
        <f>AVERAGE('01.08 Spear Motors-Kyambogo'!J88,'03.08 Spear Motors-Kyambogo'!J88)</f>
        <v>3</v>
      </c>
      <c r="K88" s="49">
        <f>AVERAGE('01.08 Spear Motors-Kyambogo'!K88,'03.08 Spear Motors-Kyambogo'!K88)</f>
        <v>0.5</v>
      </c>
      <c r="L88" s="49">
        <f>AVERAGE('01.08 Spear Motors-Kyambogo'!L88,'03.08 Spear Motors-Kyambogo'!L88)</f>
        <v>1</v>
      </c>
      <c r="M88" s="49">
        <f>AVERAGE('01.08 Spear Motors-Kyambogo'!M88,'03.08 Spear Motors-Kyambogo'!M88)</f>
        <v>15.5</v>
      </c>
      <c r="N88" s="49">
        <f>AVERAGE('01.08 Spear Motors-Kyambogo'!N88,'03.08 Spear Motors-Kyambogo'!N88)</f>
        <v>0</v>
      </c>
      <c r="O88" s="49">
        <f>AVERAGE('01.08 Spear Motors-Kyambogo'!O88,'03.08 Spear Motors-Kyambogo'!O88)</f>
        <v>40.5</v>
      </c>
      <c r="P88" s="49">
        <f>AVERAGE('01.08 Spear Motors-Kyambogo'!P88,'03.08 Spear Motors-Kyambogo'!P88)</f>
        <v>56</v>
      </c>
      <c r="R88" s="8"/>
      <c r="T88"/>
    </row>
    <row r="89" spans="2:20" ht="23.1" customHeight="1" x14ac:dyDescent="0.25">
      <c r="B89" s="23" t="s">
        <v>129</v>
      </c>
      <c r="C89" s="49">
        <f>AVERAGE('01.08 Spear Motors-Kyambogo'!C89,'03.08 Spear Motors-Kyambogo'!C89)</f>
        <v>21</v>
      </c>
      <c r="D89" s="49">
        <f>AVERAGE('01.08 Spear Motors-Kyambogo'!D89,'03.08 Spear Motors-Kyambogo'!D89)</f>
        <v>1.5</v>
      </c>
      <c r="E89" s="49">
        <f>AVERAGE('01.08 Spear Motors-Kyambogo'!E89,'03.08 Spear Motors-Kyambogo'!E89)</f>
        <v>3</v>
      </c>
      <c r="F89" s="49">
        <f>AVERAGE('01.08 Spear Motors-Kyambogo'!F89,'03.08 Spear Motors-Kyambogo'!F89)</f>
        <v>5.5</v>
      </c>
      <c r="G89" s="49">
        <f>AVERAGE('01.08 Spear Motors-Kyambogo'!G89,'03.08 Spear Motors-Kyambogo'!G89)</f>
        <v>0</v>
      </c>
      <c r="H89" s="49">
        <f>AVERAGE('01.08 Spear Motors-Kyambogo'!H89,'03.08 Spear Motors-Kyambogo'!H89)</f>
        <v>1</v>
      </c>
      <c r="I89" s="49">
        <f>AVERAGE('01.08 Spear Motors-Kyambogo'!I89,'03.08 Spear Motors-Kyambogo'!I89)</f>
        <v>5</v>
      </c>
      <c r="J89" s="49">
        <f>AVERAGE('01.08 Spear Motors-Kyambogo'!J89,'03.08 Spear Motors-Kyambogo'!J89)</f>
        <v>2</v>
      </c>
      <c r="K89" s="49">
        <f>AVERAGE('01.08 Spear Motors-Kyambogo'!K89,'03.08 Spear Motors-Kyambogo'!K89)</f>
        <v>1</v>
      </c>
      <c r="L89" s="49">
        <f>AVERAGE('01.08 Spear Motors-Kyambogo'!L89,'03.08 Spear Motors-Kyambogo'!L89)</f>
        <v>2</v>
      </c>
      <c r="M89" s="49">
        <f>AVERAGE('01.08 Spear Motors-Kyambogo'!M89,'03.08 Spear Motors-Kyambogo'!M89)</f>
        <v>17.5</v>
      </c>
      <c r="N89" s="49">
        <f>AVERAGE('01.08 Spear Motors-Kyambogo'!N89,'03.08 Spear Motors-Kyambogo'!N89)</f>
        <v>0</v>
      </c>
      <c r="O89" s="49">
        <f>AVERAGE('01.08 Spear Motors-Kyambogo'!O89,'03.08 Spear Motors-Kyambogo'!O89)</f>
        <v>42</v>
      </c>
      <c r="P89" s="49">
        <f>AVERAGE('01.08 Spear Motors-Kyambogo'!P89,'03.08 Spear Motors-Kyambogo'!P89)</f>
        <v>59.5</v>
      </c>
      <c r="R89" s="8"/>
      <c r="T89"/>
    </row>
    <row r="90" spans="2:20" ht="23.1" customHeight="1" x14ac:dyDescent="0.25">
      <c r="B90" s="24" t="s">
        <v>130</v>
      </c>
      <c r="C90" s="49">
        <f>AVERAGE('01.08 Spear Motors-Kyambogo'!C90,'03.08 Spear Motors-Kyambogo'!C90)</f>
        <v>15.5</v>
      </c>
      <c r="D90" s="49">
        <f>AVERAGE('01.08 Spear Motors-Kyambogo'!D90,'03.08 Spear Motors-Kyambogo'!D90)</f>
        <v>2</v>
      </c>
      <c r="E90" s="49">
        <f>AVERAGE('01.08 Spear Motors-Kyambogo'!E90,'03.08 Spear Motors-Kyambogo'!E90)</f>
        <v>1.5</v>
      </c>
      <c r="F90" s="49">
        <f>AVERAGE('01.08 Spear Motors-Kyambogo'!F90,'03.08 Spear Motors-Kyambogo'!F90)</f>
        <v>4</v>
      </c>
      <c r="G90" s="49">
        <f>AVERAGE('01.08 Spear Motors-Kyambogo'!G90,'03.08 Spear Motors-Kyambogo'!G90)</f>
        <v>0</v>
      </c>
      <c r="H90" s="49">
        <f>AVERAGE('01.08 Spear Motors-Kyambogo'!H90,'03.08 Spear Motors-Kyambogo'!H90)</f>
        <v>0.5</v>
      </c>
      <c r="I90" s="49">
        <f>AVERAGE('01.08 Spear Motors-Kyambogo'!I90,'03.08 Spear Motors-Kyambogo'!I90)</f>
        <v>0.5</v>
      </c>
      <c r="J90" s="49">
        <f>AVERAGE('01.08 Spear Motors-Kyambogo'!J90,'03.08 Spear Motors-Kyambogo'!J90)</f>
        <v>4.5</v>
      </c>
      <c r="K90" s="49">
        <f>AVERAGE('01.08 Spear Motors-Kyambogo'!K90,'03.08 Spear Motors-Kyambogo'!K90)</f>
        <v>1.5</v>
      </c>
      <c r="L90" s="49">
        <f>AVERAGE('01.08 Spear Motors-Kyambogo'!L90,'03.08 Spear Motors-Kyambogo'!L90)</f>
        <v>1.5</v>
      </c>
      <c r="M90" s="49">
        <f>AVERAGE('01.08 Spear Motors-Kyambogo'!M90,'03.08 Spear Motors-Kyambogo'!M90)</f>
        <v>13.5</v>
      </c>
      <c r="N90" s="49">
        <f>AVERAGE('01.08 Spear Motors-Kyambogo'!N90,'03.08 Spear Motors-Kyambogo'!N90)</f>
        <v>0</v>
      </c>
      <c r="O90" s="49">
        <f>AVERAGE('01.08 Spear Motors-Kyambogo'!O90,'03.08 Spear Motors-Kyambogo'!O90)</f>
        <v>31.5</v>
      </c>
      <c r="P90" s="49">
        <f>AVERAGE('01.08 Spear Motors-Kyambogo'!P90,'03.08 Spear Motors-Kyambogo'!P90)</f>
        <v>45</v>
      </c>
      <c r="R90" s="8"/>
      <c r="T90"/>
    </row>
    <row r="91" spans="2:20" ht="23.1" customHeight="1" x14ac:dyDescent="0.25">
      <c r="B91" s="23" t="s">
        <v>131</v>
      </c>
      <c r="C91" s="49">
        <f>AVERAGE('01.08 Spear Motors-Kyambogo'!C91,'03.08 Spear Motors-Kyambogo'!C91)</f>
        <v>13.5</v>
      </c>
      <c r="D91" s="49">
        <f>AVERAGE('01.08 Spear Motors-Kyambogo'!D91,'03.08 Spear Motors-Kyambogo'!D91)</f>
        <v>4</v>
      </c>
      <c r="E91" s="49">
        <f>AVERAGE('01.08 Spear Motors-Kyambogo'!E91,'03.08 Spear Motors-Kyambogo'!E91)</f>
        <v>2.5</v>
      </c>
      <c r="F91" s="49">
        <f>AVERAGE('01.08 Spear Motors-Kyambogo'!F91,'03.08 Spear Motors-Kyambogo'!F91)</f>
        <v>4</v>
      </c>
      <c r="G91" s="49">
        <f>AVERAGE('01.08 Spear Motors-Kyambogo'!G91,'03.08 Spear Motors-Kyambogo'!G91)</f>
        <v>0</v>
      </c>
      <c r="H91" s="49">
        <f>AVERAGE('01.08 Spear Motors-Kyambogo'!H91,'03.08 Spear Motors-Kyambogo'!H91)</f>
        <v>0</v>
      </c>
      <c r="I91" s="49">
        <f>AVERAGE('01.08 Spear Motors-Kyambogo'!I91,'03.08 Spear Motors-Kyambogo'!I91)</f>
        <v>3</v>
      </c>
      <c r="J91" s="49">
        <f>AVERAGE('01.08 Spear Motors-Kyambogo'!J91,'03.08 Spear Motors-Kyambogo'!J91)</f>
        <v>2.5</v>
      </c>
      <c r="K91" s="49">
        <f>AVERAGE('01.08 Spear Motors-Kyambogo'!K91,'03.08 Spear Motors-Kyambogo'!K91)</f>
        <v>1</v>
      </c>
      <c r="L91" s="49">
        <f>AVERAGE('01.08 Spear Motors-Kyambogo'!L91,'03.08 Spear Motors-Kyambogo'!L91)</f>
        <v>1</v>
      </c>
      <c r="M91" s="49">
        <f>AVERAGE('01.08 Spear Motors-Kyambogo'!M91,'03.08 Spear Motors-Kyambogo'!M91)</f>
        <v>11.5</v>
      </c>
      <c r="N91" s="49">
        <f>AVERAGE('01.08 Spear Motors-Kyambogo'!N91,'03.08 Spear Motors-Kyambogo'!N91)</f>
        <v>0</v>
      </c>
      <c r="O91" s="49">
        <f>AVERAGE('01.08 Spear Motors-Kyambogo'!O91,'03.08 Spear Motors-Kyambogo'!O91)</f>
        <v>31.5</v>
      </c>
      <c r="P91" s="49">
        <f>AVERAGE('01.08 Spear Motors-Kyambogo'!P91,'03.08 Spear Motors-Kyambogo'!P91)</f>
        <v>43</v>
      </c>
      <c r="R91" s="8"/>
      <c r="T91"/>
    </row>
    <row r="92" spans="2:20" ht="23.1" customHeight="1" x14ac:dyDescent="0.25">
      <c r="B92" s="25" t="s">
        <v>132</v>
      </c>
      <c r="C92" s="49">
        <f>AVERAGE('01.08 Spear Motors-Kyambogo'!C92,'03.08 Spear Motors-Kyambogo'!C92)</f>
        <v>12</v>
      </c>
      <c r="D92" s="49">
        <f>AVERAGE('01.08 Spear Motors-Kyambogo'!D92,'03.08 Spear Motors-Kyambogo'!D92)</f>
        <v>1.5</v>
      </c>
      <c r="E92" s="49">
        <f>AVERAGE('01.08 Spear Motors-Kyambogo'!E92,'03.08 Spear Motors-Kyambogo'!E92)</f>
        <v>0</v>
      </c>
      <c r="F92" s="49">
        <f>AVERAGE('01.08 Spear Motors-Kyambogo'!F92,'03.08 Spear Motors-Kyambogo'!F92)</f>
        <v>5</v>
      </c>
      <c r="G92" s="49">
        <f>AVERAGE('01.08 Spear Motors-Kyambogo'!G92,'03.08 Spear Motors-Kyambogo'!G92)</f>
        <v>0</v>
      </c>
      <c r="H92" s="49">
        <f>AVERAGE('01.08 Spear Motors-Kyambogo'!H92,'03.08 Spear Motors-Kyambogo'!H92)</f>
        <v>0</v>
      </c>
      <c r="I92" s="49">
        <f>AVERAGE('01.08 Spear Motors-Kyambogo'!I92,'03.08 Spear Motors-Kyambogo'!I92)</f>
        <v>3.5</v>
      </c>
      <c r="J92" s="49">
        <f>AVERAGE('01.08 Spear Motors-Kyambogo'!J92,'03.08 Spear Motors-Kyambogo'!J92)</f>
        <v>2.5</v>
      </c>
      <c r="K92" s="49">
        <f>AVERAGE('01.08 Spear Motors-Kyambogo'!K92,'03.08 Spear Motors-Kyambogo'!K92)</f>
        <v>2</v>
      </c>
      <c r="L92" s="49">
        <f>AVERAGE('01.08 Spear Motors-Kyambogo'!L92,'03.08 Spear Motors-Kyambogo'!L92)</f>
        <v>0</v>
      </c>
      <c r="M92" s="49">
        <f>AVERAGE('01.08 Spear Motors-Kyambogo'!M92,'03.08 Spear Motors-Kyambogo'!M92)</f>
        <v>13</v>
      </c>
      <c r="N92" s="49">
        <f>AVERAGE('01.08 Spear Motors-Kyambogo'!N92,'03.08 Spear Motors-Kyambogo'!N92)</f>
        <v>0</v>
      </c>
      <c r="O92" s="49">
        <f>AVERAGE('01.08 Spear Motors-Kyambogo'!O92,'03.08 Spear Motors-Kyambogo'!O92)</f>
        <v>26.5</v>
      </c>
      <c r="P92" s="49">
        <f>AVERAGE('01.08 Spear Motors-Kyambogo'!P92,'03.08 Spear Motors-Kyambogo'!P92)</f>
        <v>39.5</v>
      </c>
      <c r="R92" s="8"/>
      <c r="T92"/>
    </row>
    <row r="93" spans="2:20" ht="23.1" customHeight="1" x14ac:dyDescent="0.25">
      <c r="B93" s="23" t="s">
        <v>133</v>
      </c>
      <c r="C93" s="49">
        <f>AVERAGE('01.08 Spear Motors-Kyambogo'!C93,'03.08 Spear Motors-Kyambogo'!C93)</f>
        <v>11</v>
      </c>
      <c r="D93" s="49">
        <f>AVERAGE('01.08 Spear Motors-Kyambogo'!D93,'03.08 Spear Motors-Kyambogo'!D93)</f>
        <v>2.5</v>
      </c>
      <c r="E93" s="49">
        <f>AVERAGE('01.08 Spear Motors-Kyambogo'!E93,'03.08 Spear Motors-Kyambogo'!E93)</f>
        <v>2</v>
      </c>
      <c r="F93" s="49">
        <f>AVERAGE('01.08 Spear Motors-Kyambogo'!F93,'03.08 Spear Motors-Kyambogo'!F93)</f>
        <v>7</v>
      </c>
      <c r="G93" s="49">
        <f>AVERAGE('01.08 Spear Motors-Kyambogo'!G93,'03.08 Spear Motors-Kyambogo'!G93)</f>
        <v>0</v>
      </c>
      <c r="H93" s="49">
        <f>AVERAGE('01.08 Spear Motors-Kyambogo'!H93,'03.08 Spear Motors-Kyambogo'!H93)</f>
        <v>0</v>
      </c>
      <c r="I93" s="49">
        <f>AVERAGE('01.08 Spear Motors-Kyambogo'!I93,'03.08 Spear Motors-Kyambogo'!I93)</f>
        <v>2</v>
      </c>
      <c r="J93" s="49">
        <f>AVERAGE('01.08 Spear Motors-Kyambogo'!J93,'03.08 Spear Motors-Kyambogo'!J93)</f>
        <v>1.5</v>
      </c>
      <c r="K93" s="49">
        <f>AVERAGE('01.08 Spear Motors-Kyambogo'!K93,'03.08 Spear Motors-Kyambogo'!K93)</f>
        <v>1</v>
      </c>
      <c r="L93" s="49">
        <f>AVERAGE('01.08 Spear Motors-Kyambogo'!L93,'03.08 Spear Motors-Kyambogo'!L93)</f>
        <v>0.5</v>
      </c>
      <c r="M93" s="49">
        <f>AVERAGE('01.08 Spear Motors-Kyambogo'!M93,'03.08 Spear Motors-Kyambogo'!M93)</f>
        <v>16</v>
      </c>
      <c r="N93" s="49">
        <f>AVERAGE('01.08 Spear Motors-Kyambogo'!N93,'03.08 Spear Motors-Kyambogo'!N93)</f>
        <v>0</v>
      </c>
      <c r="O93" s="49">
        <f>AVERAGE('01.08 Spear Motors-Kyambogo'!O93,'03.08 Spear Motors-Kyambogo'!O93)</f>
        <v>27.5</v>
      </c>
      <c r="P93" s="49">
        <f>AVERAGE('01.08 Spear Motors-Kyambogo'!P93,'03.08 Spear Motors-Kyambogo'!P93)</f>
        <v>43.5</v>
      </c>
      <c r="R93" s="8"/>
      <c r="T93"/>
    </row>
    <row r="94" spans="2:20" ht="23.1" customHeight="1" x14ac:dyDescent="0.25">
      <c r="B94" s="24" t="s">
        <v>134</v>
      </c>
      <c r="C94" s="49">
        <f>AVERAGE('01.08 Spear Motors-Kyambogo'!C94,'03.08 Spear Motors-Kyambogo'!C94)</f>
        <v>15.5</v>
      </c>
      <c r="D94" s="49">
        <f>AVERAGE('01.08 Spear Motors-Kyambogo'!D94,'03.08 Spear Motors-Kyambogo'!D94)</f>
        <v>4.5</v>
      </c>
      <c r="E94" s="49">
        <f>AVERAGE('01.08 Spear Motors-Kyambogo'!E94,'03.08 Spear Motors-Kyambogo'!E94)</f>
        <v>0</v>
      </c>
      <c r="F94" s="49">
        <f>AVERAGE('01.08 Spear Motors-Kyambogo'!F94,'03.08 Spear Motors-Kyambogo'!F94)</f>
        <v>7.5</v>
      </c>
      <c r="G94" s="49">
        <f>AVERAGE('01.08 Spear Motors-Kyambogo'!G94,'03.08 Spear Motors-Kyambogo'!G94)</f>
        <v>0</v>
      </c>
      <c r="H94" s="49">
        <f>AVERAGE('01.08 Spear Motors-Kyambogo'!H94,'03.08 Spear Motors-Kyambogo'!H94)</f>
        <v>0</v>
      </c>
      <c r="I94" s="49">
        <f>AVERAGE('01.08 Spear Motors-Kyambogo'!I94,'03.08 Spear Motors-Kyambogo'!I94)</f>
        <v>4.5</v>
      </c>
      <c r="J94" s="49">
        <f>AVERAGE('01.08 Spear Motors-Kyambogo'!J94,'03.08 Spear Motors-Kyambogo'!J94)</f>
        <v>4.5</v>
      </c>
      <c r="K94" s="49">
        <f>AVERAGE('01.08 Spear Motors-Kyambogo'!K94,'03.08 Spear Motors-Kyambogo'!K94)</f>
        <v>0.5</v>
      </c>
      <c r="L94" s="49">
        <f>AVERAGE('01.08 Spear Motors-Kyambogo'!L94,'03.08 Spear Motors-Kyambogo'!L94)</f>
        <v>2</v>
      </c>
      <c r="M94" s="49">
        <f>AVERAGE('01.08 Spear Motors-Kyambogo'!M94,'03.08 Spear Motors-Kyambogo'!M94)</f>
        <v>6.5</v>
      </c>
      <c r="N94" s="49">
        <f>AVERAGE('01.08 Spear Motors-Kyambogo'!N94,'03.08 Spear Motors-Kyambogo'!N94)</f>
        <v>0</v>
      </c>
      <c r="O94" s="49">
        <f>AVERAGE('01.08 Spear Motors-Kyambogo'!O94,'03.08 Spear Motors-Kyambogo'!O94)</f>
        <v>39</v>
      </c>
      <c r="P94" s="49">
        <f>AVERAGE('01.08 Spear Motors-Kyambogo'!P94,'03.08 Spear Motors-Kyambogo'!P94)</f>
        <v>45.5</v>
      </c>
      <c r="R94" s="8"/>
      <c r="T94"/>
    </row>
    <row r="95" spans="2:20" ht="23.1" customHeight="1" x14ac:dyDescent="0.25">
      <c r="B95" s="23" t="s">
        <v>135</v>
      </c>
      <c r="C95" s="49">
        <f>AVERAGE('01.08 Spear Motors-Kyambogo'!C95,'03.08 Spear Motors-Kyambogo'!C95)</f>
        <v>6.5</v>
      </c>
      <c r="D95" s="49">
        <f>AVERAGE('01.08 Spear Motors-Kyambogo'!D95,'03.08 Spear Motors-Kyambogo'!D95)</f>
        <v>2</v>
      </c>
      <c r="E95" s="49">
        <f>AVERAGE('01.08 Spear Motors-Kyambogo'!E95,'03.08 Spear Motors-Kyambogo'!E95)</f>
        <v>0</v>
      </c>
      <c r="F95" s="49">
        <f>AVERAGE('01.08 Spear Motors-Kyambogo'!F95,'03.08 Spear Motors-Kyambogo'!F95)</f>
        <v>1.5</v>
      </c>
      <c r="G95" s="49">
        <f>AVERAGE('01.08 Spear Motors-Kyambogo'!G95,'03.08 Spear Motors-Kyambogo'!G95)</f>
        <v>0.5</v>
      </c>
      <c r="H95" s="49">
        <f>AVERAGE('01.08 Spear Motors-Kyambogo'!H95,'03.08 Spear Motors-Kyambogo'!H95)</f>
        <v>0</v>
      </c>
      <c r="I95" s="49">
        <f>AVERAGE('01.08 Spear Motors-Kyambogo'!I95,'03.08 Spear Motors-Kyambogo'!I95)</f>
        <v>1</v>
      </c>
      <c r="J95" s="49">
        <f>AVERAGE('01.08 Spear Motors-Kyambogo'!J95,'03.08 Spear Motors-Kyambogo'!J95)</f>
        <v>1</v>
      </c>
      <c r="K95" s="49">
        <f>AVERAGE('01.08 Spear Motors-Kyambogo'!K95,'03.08 Spear Motors-Kyambogo'!K95)</f>
        <v>1.5</v>
      </c>
      <c r="L95" s="49">
        <f>AVERAGE('01.08 Spear Motors-Kyambogo'!L95,'03.08 Spear Motors-Kyambogo'!L95)</f>
        <v>1.5</v>
      </c>
      <c r="M95" s="49">
        <f>AVERAGE('01.08 Spear Motors-Kyambogo'!M95,'03.08 Spear Motors-Kyambogo'!M95)</f>
        <v>13</v>
      </c>
      <c r="N95" s="49">
        <f>AVERAGE('01.08 Spear Motors-Kyambogo'!N95,'03.08 Spear Motors-Kyambogo'!N95)</f>
        <v>0</v>
      </c>
      <c r="O95" s="49">
        <f>AVERAGE('01.08 Spear Motors-Kyambogo'!O95,'03.08 Spear Motors-Kyambogo'!O95)</f>
        <v>15.5</v>
      </c>
      <c r="P95" s="49">
        <f>AVERAGE('01.08 Spear Motors-Kyambogo'!P95,'03.08 Spear Motors-Kyambogo'!P95)</f>
        <v>28.5</v>
      </c>
      <c r="R95" s="8"/>
      <c r="T95"/>
    </row>
    <row r="96" spans="2:20" ht="23.1" customHeight="1" x14ac:dyDescent="0.25">
      <c r="B96" s="25" t="s">
        <v>136</v>
      </c>
      <c r="C96" s="49">
        <f>AVERAGE('01.08 Spear Motors-Kyambogo'!C96,'03.08 Spear Motors-Kyambogo'!C96)</f>
        <v>7.5</v>
      </c>
      <c r="D96" s="49">
        <f>AVERAGE('01.08 Spear Motors-Kyambogo'!D96,'03.08 Spear Motors-Kyambogo'!D96)</f>
        <v>0.5</v>
      </c>
      <c r="E96" s="49">
        <f>AVERAGE('01.08 Spear Motors-Kyambogo'!E96,'03.08 Spear Motors-Kyambogo'!E96)</f>
        <v>1.5</v>
      </c>
      <c r="F96" s="49">
        <f>AVERAGE('01.08 Spear Motors-Kyambogo'!F96,'03.08 Spear Motors-Kyambogo'!F96)</f>
        <v>2.5</v>
      </c>
      <c r="G96" s="49">
        <f>AVERAGE('01.08 Spear Motors-Kyambogo'!G96,'03.08 Spear Motors-Kyambogo'!G96)</f>
        <v>0.5</v>
      </c>
      <c r="H96" s="49">
        <f>AVERAGE('01.08 Spear Motors-Kyambogo'!H96,'03.08 Spear Motors-Kyambogo'!H96)</f>
        <v>0.5</v>
      </c>
      <c r="I96" s="49">
        <f>AVERAGE('01.08 Spear Motors-Kyambogo'!I96,'03.08 Spear Motors-Kyambogo'!I96)</f>
        <v>3</v>
      </c>
      <c r="J96" s="49">
        <f>AVERAGE('01.08 Spear Motors-Kyambogo'!J96,'03.08 Spear Motors-Kyambogo'!J96)</f>
        <v>2</v>
      </c>
      <c r="K96" s="49">
        <f>AVERAGE('01.08 Spear Motors-Kyambogo'!K96,'03.08 Spear Motors-Kyambogo'!K96)</f>
        <v>1.5</v>
      </c>
      <c r="L96" s="49">
        <f>AVERAGE('01.08 Spear Motors-Kyambogo'!L96,'03.08 Spear Motors-Kyambogo'!L96)</f>
        <v>2.5</v>
      </c>
      <c r="M96" s="49">
        <f>AVERAGE('01.08 Spear Motors-Kyambogo'!M96,'03.08 Spear Motors-Kyambogo'!M96)</f>
        <v>13</v>
      </c>
      <c r="N96" s="49">
        <f>AVERAGE('01.08 Spear Motors-Kyambogo'!N96,'03.08 Spear Motors-Kyambogo'!N96)</f>
        <v>0</v>
      </c>
      <c r="O96" s="49">
        <f>AVERAGE('01.08 Spear Motors-Kyambogo'!O96,'03.08 Spear Motors-Kyambogo'!O96)</f>
        <v>22</v>
      </c>
      <c r="P96" s="49">
        <f>AVERAGE('01.08 Spear Motors-Kyambogo'!P96,'03.08 Spear Motors-Kyambogo'!P96)</f>
        <v>35</v>
      </c>
      <c r="R96" s="8"/>
      <c r="T96"/>
    </row>
    <row r="97" spans="2:20" ht="23.1" customHeight="1" x14ac:dyDescent="0.25">
      <c r="B97" s="23" t="s">
        <v>137</v>
      </c>
      <c r="C97" s="49">
        <f>AVERAGE('01.08 Spear Motors-Kyambogo'!C97,'03.08 Spear Motors-Kyambogo'!C97)</f>
        <v>9</v>
      </c>
      <c r="D97" s="49">
        <f>AVERAGE('01.08 Spear Motors-Kyambogo'!D97,'03.08 Spear Motors-Kyambogo'!D97)</f>
        <v>1</v>
      </c>
      <c r="E97" s="49">
        <f>AVERAGE('01.08 Spear Motors-Kyambogo'!E97,'03.08 Spear Motors-Kyambogo'!E97)</f>
        <v>0</v>
      </c>
      <c r="F97" s="49">
        <f>AVERAGE('01.08 Spear Motors-Kyambogo'!F97,'03.08 Spear Motors-Kyambogo'!F97)</f>
        <v>6</v>
      </c>
      <c r="G97" s="49">
        <f>AVERAGE('01.08 Spear Motors-Kyambogo'!G97,'03.08 Spear Motors-Kyambogo'!G97)</f>
        <v>1</v>
      </c>
      <c r="H97" s="49">
        <f>AVERAGE('01.08 Spear Motors-Kyambogo'!H97,'03.08 Spear Motors-Kyambogo'!H97)</f>
        <v>0</v>
      </c>
      <c r="I97" s="49">
        <f>AVERAGE('01.08 Spear Motors-Kyambogo'!I97,'03.08 Spear Motors-Kyambogo'!I97)</f>
        <v>1.5</v>
      </c>
      <c r="J97" s="49">
        <f>AVERAGE('01.08 Spear Motors-Kyambogo'!J97,'03.08 Spear Motors-Kyambogo'!J97)</f>
        <v>2</v>
      </c>
      <c r="K97" s="49">
        <f>AVERAGE('01.08 Spear Motors-Kyambogo'!K97,'03.08 Spear Motors-Kyambogo'!K97)</f>
        <v>1</v>
      </c>
      <c r="L97" s="49">
        <f>AVERAGE('01.08 Spear Motors-Kyambogo'!L97,'03.08 Spear Motors-Kyambogo'!L97)</f>
        <v>0</v>
      </c>
      <c r="M97" s="49">
        <f>AVERAGE('01.08 Spear Motors-Kyambogo'!M97,'03.08 Spear Motors-Kyambogo'!M97)</f>
        <v>9</v>
      </c>
      <c r="N97" s="49">
        <f>AVERAGE('01.08 Spear Motors-Kyambogo'!N97,'03.08 Spear Motors-Kyambogo'!N97)</f>
        <v>0</v>
      </c>
      <c r="O97" s="49">
        <f>AVERAGE('01.08 Spear Motors-Kyambogo'!O97,'03.08 Spear Motors-Kyambogo'!O97)</f>
        <v>21.5</v>
      </c>
      <c r="P97" s="49">
        <f>AVERAGE('01.08 Spear Motors-Kyambogo'!P97,'03.08 Spear Motors-Kyambogo'!P97)</f>
        <v>30.5</v>
      </c>
      <c r="R97" s="8"/>
      <c r="T97"/>
    </row>
    <row r="98" spans="2:20" ht="23.1" customHeight="1" x14ac:dyDescent="0.25">
      <c r="B98" s="24" t="s">
        <v>138</v>
      </c>
      <c r="C98" s="49">
        <f>AVERAGE('01.08 Spear Motors-Kyambogo'!C98,'03.08 Spear Motors-Kyambogo'!C98)</f>
        <v>9.5</v>
      </c>
      <c r="D98" s="49">
        <f>AVERAGE('01.08 Spear Motors-Kyambogo'!D98,'03.08 Spear Motors-Kyambogo'!D98)</f>
        <v>2</v>
      </c>
      <c r="E98" s="49">
        <f>AVERAGE('01.08 Spear Motors-Kyambogo'!E98,'03.08 Spear Motors-Kyambogo'!E98)</f>
        <v>0.5</v>
      </c>
      <c r="F98" s="49">
        <f>AVERAGE('01.08 Spear Motors-Kyambogo'!F98,'03.08 Spear Motors-Kyambogo'!F98)</f>
        <v>8</v>
      </c>
      <c r="G98" s="49">
        <f>AVERAGE('01.08 Spear Motors-Kyambogo'!G98,'03.08 Spear Motors-Kyambogo'!G98)</f>
        <v>4</v>
      </c>
      <c r="H98" s="49">
        <f>AVERAGE('01.08 Spear Motors-Kyambogo'!H98,'03.08 Spear Motors-Kyambogo'!H98)</f>
        <v>0</v>
      </c>
      <c r="I98" s="49">
        <f>AVERAGE('01.08 Spear Motors-Kyambogo'!I98,'03.08 Spear Motors-Kyambogo'!I98)</f>
        <v>1.5</v>
      </c>
      <c r="J98" s="49">
        <f>AVERAGE('01.08 Spear Motors-Kyambogo'!J98,'03.08 Spear Motors-Kyambogo'!J98)</f>
        <v>3</v>
      </c>
      <c r="K98" s="49">
        <f>AVERAGE('01.08 Spear Motors-Kyambogo'!K98,'03.08 Spear Motors-Kyambogo'!K98)</f>
        <v>1</v>
      </c>
      <c r="L98" s="49">
        <f>AVERAGE('01.08 Spear Motors-Kyambogo'!L98,'03.08 Spear Motors-Kyambogo'!L98)</f>
        <v>1</v>
      </c>
      <c r="M98" s="49">
        <f>AVERAGE('01.08 Spear Motors-Kyambogo'!M98,'03.08 Spear Motors-Kyambogo'!M98)</f>
        <v>21.5</v>
      </c>
      <c r="N98" s="49">
        <f>AVERAGE('01.08 Spear Motors-Kyambogo'!N98,'03.08 Spear Motors-Kyambogo'!N98)</f>
        <v>0</v>
      </c>
      <c r="O98" s="49">
        <f>AVERAGE('01.08 Spear Motors-Kyambogo'!O98,'03.08 Spear Motors-Kyambogo'!O98)</f>
        <v>30.5</v>
      </c>
      <c r="P98" s="49">
        <f>AVERAGE('01.08 Spear Motors-Kyambogo'!P98,'03.08 Spear Motors-Kyambogo'!P98)</f>
        <v>52</v>
      </c>
      <c r="R98" s="8"/>
      <c r="T98"/>
    </row>
    <row r="99" spans="2:20" ht="23.1" customHeight="1" x14ac:dyDescent="0.25">
      <c r="B99" s="23" t="s">
        <v>139</v>
      </c>
      <c r="C99" s="49">
        <f>AVERAGE('01.08 Spear Motors-Kyambogo'!C99,'03.08 Spear Motors-Kyambogo'!C99)</f>
        <v>7.5</v>
      </c>
      <c r="D99" s="49">
        <f>AVERAGE('01.08 Spear Motors-Kyambogo'!D99,'03.08 Spear Motors-Kyambogo'!D99)</f>
        <v>0</v>
      </c>
      <c r="E99" s="49">
        <f>AVERAGE('01.08 Spear Motors-Kyambogo'!E99,'03.08 Spear Motors-Kyambogo'!E99)</f>
        <v>1.5</v>
      </c>
      <c r="F99" s="49">
        <f>AVERAGE('01.08 Spear Motors-Kyambogo'!F99,'03.08 Spear Motors-Kyambogo'!F99)</f>
        <v>13.5</v>
      </c>
      <c r="G99" s="49">
        <f>AVERAGE('01.08 Spear Motors-Kyambogo'!G99,'03.08 Spear Motors-Kyambogo'!G99)</f>
        <v>1.5</v>
      </c>
      <c r="H99" s="49">
        <f>AVERAGE('01.08 Spear Motors-Kyambogo'!H99,'03.08 Spear Motors-Kyambogo'!H99)</f>
        <v>0.5</v>
      </c>
      <c r="I99" s="49">
        <f>AVERAGE('01.08 Spear Motors-Kyambogo'!I99,'03.08 Spear Motors-Kyambogo'!I99)</f>
        <v>0.5</v>
      </c>
      <c r="J99" s="49">
        <f>AVERAGE('01.08 Spear Motors-Kyambogo'!J99,'03.08 Spear Motors-Kyambogo'!J99)</f>
        <v>4</v>
      </c>
      <c r="K99" s="49">
        <f>AVERAGE('01.08 Spear Motors-Kyambogo'!K99,'03.08 Spear Motors-Kyambogo'!K99)</f>
        <v>1</v>
      </c>
      <c r="L99" s="49">
        <f>AVERAGE('01.08 Spear Motors-Kyambogo'!L99,'03.08 Spear Motors-Kyambogo'!L99)</f>
        <v>3</v>
      </c>
      <c r="M99" s="49">
        <f>AVERAGE('01.08 Spear Motors-Kyambogo'!M99,'03.08 Spear Motors-Kyambogo'!M99)</f>
        <v>13.5</v>
      </c>
      <c r="N99" s="49">
        <f>AVERAGE('01.08 Spear Motors-Kyambogo'!N99,'03.08 Spear Motors-Kyambogo'!N99)</f>
        <v>0</v>
      </c>
      <c r="O99" s="49">
        <f>AVERAGE('01.08 Spear Motors-Kyambogo'!O99,'03.08 Spear Motors-Kyambogo'!O99)</f>
        <v>33</v>
      </c>
      <c r="P99" s="49">
        <f>AVERAGE('01.08 Spear Motors-Kyambogo'!P99,'03.08 Spear Motors-Kyambogo'!P99)</f>
        <v>46.5</v>
      </c>
      <c r="R99" s="8"/>
      <c r="T99"/>
    </row>
    <row r="100" spans="2:20" ht="23.1" customHeight="1" x14ac:dyDescent="0.25">
      <c r="B100" s="25" t="s">
        <v>140</v>
      </c>
      <c r="C100" s="49">
        <f>AVERAGE('01.08 Spear Motors-Kyambogo'!C100,'03.08 Spear Motors-Kyambogo'!C100)</f>
        <v>14.5</v>
      </c>
      <c r="D100" s="49">
        <f>AVERAGE('01.08 Spear Motors-Kyambogo'!D100,'03.08 Spear Motors-Kyambogo'!D100)</f>
        <v>2.5</v>
      </c>
      <c r="E100" s="49">
        <f>AVERAGE('01.08 Spear Motors-Kyambogo'!E100,'03.08 Spear Motors-Kyambogo'!E100)</f>
        <v>1.5</v>
      </c>
      <c r="F100" s="49">
        <f>AVERAGE('01.08 Spear Motors-Kyambogo'!F100,'03.08 Spear Motors-Kyambogo'!F100)</f>
        <v>22</v>
      </c>
      <c r="G100" s="49">
        <f>AVERAGE('01.08 Spear Motors-Kyambogo'!G100,'03.08 Spear Motors-Kyambogo'!G100)</f>
        <v>0</v>
      </c>
      <c r="H100" s="49">
        <f>AVERAGE('01.08 Spear Motors-Kyambogo'!H100,'03.08 Spear Motors-Kyambogo'!H100)</f>
        <v>0.5</v>
      </c>
      <c r="I100" s="49">
        <f>AVERAGE('01.08 Spear Motors-Kyambogo'!I100,'03.08 Spear Motors-Kyambogo'!I100)</f>
        <v>2</v>
      </c>
      <c r="J100" s="49">
        <f>AVERAGE('01.08 Spear Motors-Kyambogo'!J100,'03.08 Spear Motors-Kyambogo'!J100)</f>
        <v>2.5</v>
      </c>
      <c r="K100" s="49">
        <f>AVERAGE('01.08 Spear Motors-Kyambogo'!K100,'03.08 Spear Motors-Kyambogo'!K100)</f>
        <v>5</v>
      </c>
      <c r="L100" s="49">
        <f>AVERAGE('01.08 Spear Motors-Kyambogo'!L100,'03.08 Spear Motors-Kyambogo'!L100)</f>
        <v>1</v>
      </c>
      <c r="M100" s="49">
        <f>AVERAGE('01.08 Spear Motors-Kyambogo'!M100,'03.08 Spear Motors-Kyambogo'!M100)</f>
        <v>19.5</v>
      </c>
      <c r="N100" s="49">
        <f>AVERAGE('01.08 Spear Motors-Kyambogo'!N100,'03.08 Spear Motors-Kyambogo'!N100)</f>
        <v>0</v>
      </c>
      <c r="O100" s="49">
        <f>AVERAGE('01.08 Spear Motors-Kyambogo'!O100,'03.08 Spear Motors-Kyambogo'!O100)</f>
        <v>51.5</v>
      </c>
      <c r="P100" s="49">
        <f>AVERAGE('01.08 Spear Motors-Kyambogo'!P100,'03.08 Spear Motors-Kyambogo'!P100)</f>
        <v>71</v>
      </c>
      <c r="R100" s="8"/>
      <c r="T100"/>
    </row>
    <row r="101" spans="2:20" ht="23.1" customHeight="1" x14ac:dyDescent="0.25">
      <c r="B101" s="23" t="s">
        <v>141</v>
      </c>
      <c r="C101" s="49">
        <f>AVERAGE('01.08 Spear Motors-Kyambogo'!C101,'03.08 Spear Motors-Kyambogo'!C101)</f>
        <v>11</v>
      </c>
      <c r="D101" s="49">
        <f>AVERAGE('01.08 Spear Motors-Kyambogo'!D101,'03.08 Spear Motors-Kyambogo'!D101)</f>
        <v>3</v>
      </c>
      <c r="E101" s="49">
        <f>AVERAGE('01.08 Spear Motors-Kyambogo'!E101,'03.08 Spear Motors-Kyambogo'!E101)</f>
        <v>2</v>
      </c>
      <c r="F101" s="49">
        <f>AVERAGE('01.08 Spear Motors-Kyambogo'!F101,'03.08 Spear Motors-Kyambogo'!F101)</f>
        <v>13.5</v>
      </c>
      <c r="G101" s="49">
        <f>AVERAGE('01.08 Spear Motors-Kyambogo'!G101,'03.08 Spear Motors-Kyambogo'!G101)</f>
        <v>1.5</v>
      </c>
      <c r="H101" s="49">
        <f>AVERAGE('01.08 Spear Motors-Kyambogo'!H101,'03.08 Spear Motors-Kyambogo'!H101)</f>
        <v>0</v>
      </c>
      <c r="I101" s="49">
        <f>AVERAGE('01.08 Spear Motors-Kyambogo'!I101,'03.08 Spear Motors-Kyambogo'!I101)</f>
        <v>3.5</v>
      </c>
      <c r="J101" s="49">
        <f>AVERAGE('01.08 Spear Motors-Kyambogo'!J101,'03.08 Spear Motors-Kyambogo'!J101)</f>
        <v>2</v>
      </c>
      <c r="K101" s="49">
        <f>AVERAGE('01.08 Spear Motors-Kyambogo'!K101,'03.08 Spear Motors-Kyambogo'!K101)</f>
        <v>2.5</v>
      </c>
      <c r="L101" s="49">
        <f>AVERAGE('01.08 Spear Motors-Kyambogo'!L101,'03.08 Spear Motors-Kyambogo'!L101)</f>
        <v>2</v>
      </c>
      <c r="M101" s="49">
        <f>AVERAGE('01.08 Spear Motors-Kyambogo'!M101,'03.08 Spear Motors-Kyambogo'!M101)</f>
        <v>13.5</v>
      </c>
      <c r="N101" s="49">
        <f>AVERAGE('01.08 Spear Motors-Kyambogo'!N101,'03.08 Spear Motors-Kyambogo'!N101)</f>
        <v>0</v>
      </c>
      <c r="O101" s="49">
        <f>AVERAGE('01.08 Spear Motors-Kyambogo'!O101,'03.08 Spear Motors-Kyambogo'!O101)</f>
        <v>41</v>
      </c>
      <c r="P101" s="49">
        <f>AVERAGE('01.08 Spear Motors-Kyambogo'!P101,'03.08 Spear Motors-Kyambogo'!P101)</f>
        <v>54.5</v>
      </c>
      <c r="R101" s="8"/>
      <c r="T101"/>
    </row>
    <row r="102" spans="2:20" ht="23.1" customHeight="1" x14ac:dyDescent="0.25">
      <c r="B102" s="24" t="s">
        <v>142</v>
      </c>
      <c r="C102" s="49">
        <f>AVERAGE('01.08 Spear Motors-Kyambogo'!C102,'03.08 Spear Motors-Kyambogo'!C102)</f>
        <v>17</v>
      </c>
      <c r="D102" s="49">
        <f>AVERAGE('01.08 Spear Motors-Kyambogo'!D102,'03.08 Spear Motors-Kyambogo'!D102)</f>
        <v>2</v>
      </c>
      <c r="E102" s="49">
        <f>AVERAGE('01.08 Spear Motors-Kyambogo'!E102,'03.08 Spear Motors-Kyambogo'!E102)</f>
        <v>5</v>
      </c>
      <c r="F102" s="49">
        <f>AVERAGE('01.08 Spear Motors-Kyambogo'!F102,'03.08 Spear Motors-Kyambogo'!F102)</f>
        <v>22</v>
      </c>
      <c r="G102" s="49">
        <f>AVERAGE('01.08 Spear Motors-Kyambogo'!G102,'03.08 Spear Motors-Kyambogo'!G102)</f>
        <v>0.5</v>
      </c>
      <c r="H102" s="49">
        <f>AVERAGE('01.08 Spear Motors-Kyambogo'!H102,'03.08 Spear Motors-Kyambogo'!H102)</f>
        <v>0.5</v>
      </c>
      <c r="I102" s="49">
        <f>AVERAGE('01.08 Spear Motors-Kyambogo'!I102,'03.08 Spear Motors-Kyambogo'!I102)</f>
        <v>2</v>
      </c>
      <c r="J102" s="49">
        <f>AVERAGE('01.08 Spear Motors-Kyambogo'!J102,'03.08 Spear Motors-Kyambogo'!J102)</f>
        <v>1.5</v>
      </c>
      <c r="K102" s="49">
        <f>AVERAGE('01.08 Spear Motors-Kyambogo'!K102,'03.08 Spear Motors-Kyambogo'!K102)</f>
        <v>2.5</v>
      </c>
      <c r="L102" s="49">
        <f>AVERAGE('01.08 Spear Motors-Kyambogo'!L102,'03.08 Spear Motors-Kyambogo'!L102)</f>
        <v>3</v>
      </c>
      <c r="M102" s="49">
        <f>AVERAGE('01.08 Spear Motors-Kyambogo'!M102,'03.08 Spear Motors-Kyambogo'!M102)</f>
        <v>22</v>
      </c>
      <c r="N102" s="49">
        <f>AVERAGE('01.08 Spear Motors-Kyambogo'!N102,'03.08 Spear Motors-Kyambogo'!N102)</f>
        <v>0</v>
      </c>
      <c r="O102" s="49">
        <f>AVERAGE('01.08 Spear Motors-Kyambogo'!O102,'03.08 Spear Motors-Kyambogo'!O102)</f>
        <v>56</v>
      </c>
      <c r="P102" s="49">
        <f>AVERAGE('01.08 Spear Motors-Kyambogo'!P102,'03.08 Spear Motors-Kyambogo'!P102)</f>
        <v>78</v>
      </c>
      <c r="R102" s="8"/>
      <c r="T102"/>
    </row>
    <row r="103" spans="2:20" ht="23.1" customHeight="1" x14ac:dyDescent="0.25">
      <c r="B103" s="23" t="s">
        <v>143</v>
      </c>
      <c r="C103" s="49">
        <f>AVERAGE('01.08 Spear Motors-Kyambogo'!C103,'03.08 Spear Motors-Kyambogo'!C103)</f>
        <v>21.5</v>
      </c>
      <c r="D103" s="49">
        <f>AVERAGE('01.08 Spear Motors-Kyambogo'!D103,'03.08 Spear Motors-Kyambogo'!D103)</f>
        <v>2.5</v>
      </c>
      <c r="E103" s="49">
        <f>AVERAGE('01.08 Spear Motors-Kyambogo'!E103,'03.08 Spear Motors-Kyambogo'!E103)</f>
        <v>4</v>
      </c>
      <c r="F103" s="49">
        <f>AVERAGE('01.08 Spear Motors-Kyambogo'!F103,'03.08 Spear Motors-Kyambogo'!F103)</f>
        <v>32</v>
      </c>
      <c r="G103" s="49">
        <f>AVERAGE('01.08 Spear Motors-Kyambogo'!G103,'03.08 Spear Motors-Kyambogo'!G103)</f>
        <v>1.5</v>
      </c>
      <c r="H103" s="49">
        <f>AVERAGE('01.08 Spear Motors-Kyambogo'!H103,'03.08 Spear Motors-Kyambogo'!H103)</f>
        <v>0</v>
      </c>
      <c r="I103" s="49">
        <f>AVERAGE('01.08 Spear Motors-Kyambogo'!I103,'03.08 Spear Motors-Kyambogo'!I103)</f>
        <v>1.5</v>
      </c>
      <c r="J103" s="49">
        <f>AVERAGE('01.08 Spear Motors-Kyambogo'!J103,'03.08 Spear Motors-Kyambogo'!J103)</f>
        <v>3.5</v>
      </c>
      <c r="K103" s="49">
        <f>AVERAGE('01.08 Spear Motors-Kyambogo'!K103,'03.08 Spear Motors-Kyambogo'!K103)</f>
        <v>1.5</v>
      </c>
      <c r="L103" s="49">
        <f>AVERAGE('01.08 Spear Motors-Kyambogo'!L103,'03.08 Spear Motors-Kyambogo'!L103)</f>
        <v>2.5</v>
      </c>
      <c r="M103" s="49">
        <f>AVERAGE('01.08 Spear Motors-Kyambogo'!M103,'03.08 Spear Motors-Kyambogo'!M103)</f>
        <v>25.5</v>
      </c>
      <c r="N103" s="49">
        <f>AVERAGE('01.08 Spear Motors-Kyambogo'!N103,'03.08 Spear Motors-Kyambogo'!N103)</f>
        <v>0</v>
      </c>
      <c r="O103" s="49">
        <f>AVERAGE('01.08 Spear Motors-Kyambogo'!O103,'03.08 Spear Motors-Kyambogo'!O103)</f>
        <v>70.5</v>
      </c>
      <c r="P103" s="49">
        <f>AVERAGE('01.08 Spear Motors-Kyambogo'!P103,'03.08 Spear Motors-Kyambogo'!P103)</f>
        <v>96</v>
      </c>
      <c r="R103" s="8"/>
      <c r="T103"/>
    </row>
    <row r="104" spans="2:20" ht="23.1" customHeight="1" x14ac:dyDescent="0.25">
      <c r="B104" s="25" t="s">
        <v>144</v>
      </c>
      <c r="C104" s="49">
        <f>AVERAGE('01.08 Spear Motors-Kyambogo'!C104,'03.08 Spear Motors-Kyambogo'!C104)</f>
        <v>17</v>
      </c>
      <c r="D104" s="49">
        <f>AVERAGE('01.08 Spear Motors-Kyambogo'!D104,'03.08 Spear Motors-Kyambogo'!D104)</f>
        <v>2</v>
      </c>
      <c r="E104" s="49">
        <f>AVERAGE('01.08 Spear Motors-Kyambogo'!E104,'03.08 Spear Motors-Kyambogo'!E104)</f>
        <v>6</v>
      </c>
      <c r="F104" s="49">
        <f>AVERAGE('01.08 Spear Motors-Kyambogo'!F104,'03.08 Spear Motors-Kyambogo'!F104)</f>
        <v>33</v>
      </c>
      <c r="G104" s="49">
        <f>AVERAGE('01.08 Spear Motors-Kyambogo'!G104,'03.08 Spear Motors-Kyambogo'!G104)</f>
        <v>0</v>
      </c>
      <c r="H104" s="49">
        <f>AVERAGE('01.08 Spear Motors-Kyambogo'!H104,'03.08 Spear Motors-Kyambogo'!H104)</f>
        <v>1.5</v>
      </c>
      <c r="I104" s="49">
        <f>AVERAGE('01.08 Spear Motors-Kyambogo'!I104,'03.08 Spear Motors-Kyambogo'!I104)</f>
        <v>4</v>
      </c>
      <c r="J104" s="49">
        <f>AVERAGE('01.08 Spear Motors-Kyambogo'!J104,'03.08 Spear Motors-Kyambogo'!J104)</f>
        <v>1.5</v>
      </c>
      <c r="K104" s="49">
        <f>AVERAGE('01.08 Spear Motors-Kyambogo'!K104,'03.08 Spear Motors-Kyambogo'!K104)</f>
        <v>1.5</v>
      </c>
      <c r="L104" s="49">
        <f>AVERAGE('01.08 Spear Motors-Kyambogo'!L104,'03.08 Spear Motors-Kyambogo'!L104)</f>
        <v>4</v>
      </c>
      <c r="M104" s="49">
        <f>AVERAGE('01.08 Spear Motors-Kyambogo'!M104,'03.08 Spear Motors-Kyambogo'!M104)</f>
        <v>29.5</v>
      </c>
      <c r="N104" s="49">
        <f>AVERAGE('01.08 Spear Motors-Kyambogo'!N104,'03.08 Spear Motors-Kyambogo'!N104)</f>
        <v>0</v>
      </c>
      <c r="O104" s="49">
        <f>AVERAGE('01.08 Spear Motors-Kyambogo'!O104,'03.08 Spear Motors-Kyambogo'!O104)</f>
        <v>70.5</v>
      </c>
      <c r="P104" s="49">
        <f>AVERAGE('01.08 Spear Motors-Kyambogo'!P104,'03.08 Spear Motors-Kyambogo'!P104)</f>
        <v>100</v>
      </c>
      <c r="R104" s="8"/>
      <c r="T104"/>
    </row>
    <row r="105" spans="2:20" ht="23.1" customHeight="1" x14ac:dyDescent="0.25">
      <c r="B105" s="23" t="s">
        <v>145</v>
      </c>
      <c r="C105" s="49">
        <f>AVERAGE('01.08 Spear Motors-Kyambogo'!C105,'03.08 Spear Motors-Kyambogo'!C105)</f>
        <v>18</v>
      </c>
      <c r="D105" s="49">
        <f>AVERAGE('01.08 Spear Motors-Kyambogo'!D105,'03.08 Spear Motors-Kyambogo'!D105)</f>
        <v>5.5</v>
      </c>
      <c r="E105" s="49">
        <f>AVERAGE('01.08 Spear Motors-Kyambogo'!E105,'03.08 Spear Motors-Kyambogo'!E105)</f>
        <v>6.5</v>
      </c>
      <c r="F105" s="49">
        <f>AVERAGE('01.08 Spear Motors-Kyambogo'!F105,'03.08 Spear Motors-Kyambogo'!F105)</f>
        <v>28</v>
      </c>
      <c r="G105" s="49">
        <f>AVERAGE('01.08 Spear Motors-Kyambogo'!G105,'03.08 Spear Motors-Kyambogo'!G105)</f>
        <v>2</v>
      </c>
      <c r="H105" s="49">
        <f>AVERAGE('01.08 Spear Motors-Kyambogo'!H105,'03.08 Spear Motors-Kyambogo'!H105)</f>
        <v>2</v>
      </c>
      <c r="I105" s="49">
        <f>AVERAGE('01.08 Spear Motors-Kyambogo'!I105,'03.08 Spear Motors-Kyambogo'!I105)</f>
        <v>3</v>
      </c>
      <c r="J105" s="49">
        <f>AVERAGE('01.08 Spear Motors-Kyambogo'!J105,'03.08 Spear Motors-Kyambogo'!J105)</f>
        <v>3</v>
      </c>
      <c r="K105" s="49">
        <f>AVERAGE('01.08 Spear Motors-Kyambogo'!K105,'03.08 Spear Motors-Kyambogo'!K105)</f>
        <v>2.5</v>
      </c>
      <c r="L105" s="49">
        <f>AVERAGE('01.08 Spear Motors-Kyambogo'!L105,'03.08 Spear Motors-Kyambogo'!L105)</f>
        <v>1.5</v>
      </c>
      <c r="M105" s="49">
        <f>AVERAGE('01.08 Spear Motors-Kyambogo'!M105,'03.08 Spear Motors-Kyambogo'!M105)</f>
        <v>29.5</v>
      </c>
      <c r="N105" s="49">
        <f>AVERAGE('01.08 Spear Motors-Kyambogo'!N105,'03.08 Spear Motors-Kyambogo'!N105)</f>
        <v>0</v>
      </c>
      <c r="O105" s="49">
        <f>AVERAGE('01.08 Spear Motors-Kyambogo'!O105,'03.08 Spear Motors-Kyambogo'!O105)</f>
        <v>71</v>
      </c>
      <c r="P105" s="49">
        <f>AVERAGE('01.08 Spear Motors-Kyambogo'!P105,'03.08 Spear Motors-Kyambogo'!P105)</f>
        <v>100.5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4554.9285714285725</v>
      </c>
      <c r="D106" s="16">
        <f t="shared" ref="D106:P106" si="35">SUM(D10:D105)</f>
        <v>1615.7142857142858</v>
      </c>
      <c r="E106" s="16">
        <f t="shared" si="35"/>
        <v>799.92857142857156</v>
      </c>
      <c r="F106" s="16">
        <f t="shared" si="35"/>
        <v>3868.9999999999991</v>
      </c>
      <c r="G106" s="16">
        <f t="shared" si="35"/>
        <v>190.3095238095238</v>
      </c>
      <c r="H106" s="16">
        <f t="shared" si="35"/>
        <v>51.833333333333329</v>
      </c>
      <c r="I106" s="16">
        <f t="shared" si="35"/>
        <v>456</v>
      </c>
      <c r="J106" s="16">
        <f t="shared" si="35"/>
        <v>285.71428571428578</v>
      </c>
      <c r="K106" s="16">
        <f t="shared" si="35"/>
        <v>145.16666666666663</v>
      </c>
      <c r="L106" s="16">
        <f t="shared" si="35"/>
        <v>273.07142857142856</v>
      </c>
      <c r="M106" s="16">
        <f t="shared" si="35"/>
        <v>19164.642857142855</v>
      </c>
      <c r="N106" s="16">
        <f t="shared" si="35"/>
        <v>0</v>
      </c>
      <c r="O106" s="16">
        <f t="shared" si="35"/>
        <v>12240.666666666666</v>
      </c>
      <c r="P106" s="16">
        <f t="shared" si="35"/>
        <v>31405.30952380953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6">C106/$P$106</f>
        <v>0.14503689473193418</v>
      </c>
      <c r="D107" s="43">
        <f t="shared" si="36"/>
        <v>5.1447169609627724E-2</v>
      </c>
      <c r="E107" s="43">
        <f t="shared" si="36"/>
        <v>2.5471125219196328E-2</v>
      </c>
      <c r="F107" s="43">
        <f t="shared" si="36"/>
        <v>0.12319572895999534</v>
      </c>
      <c r="G107" s="43">
        <f t="shared" si="36"/>
        <v>6.0597881917146233E-3</v>
      </c>
      <c r="H107" s="43">
        <f t="shared" si="36"/>
        <v>1.6504640176858169E-3</v>
      </c>
      <c r="I107" s="43">
        <f t="shared" si="36"/>
        <v>1.4519837789030212E-2</v>
      </c>
      <c r="J107" s="43">
        <f t="shared" si="36"/>
        <v>9.0976427249562751E-3</v>
      </c>
      <c r="K107" s="43">
        <f t="shared" si="36"/>
        <v>4.6223606411715315E-3</v>
      </c>
      <c r="L107" s="43">
        <f t="shared" si="36"/>
        <v>8.6950720343769577E-3</v>
      </c>
      <c r="M107" s="43">
        <f t="shared" si="36"/>
        <v>0.61023575782984807</v>
      </c>
      <c r="N107" s="43">
        <f t="shared" si="36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0.37211441953830721</v>
      </c>
      <c r="D108" s="44">
        <f t="shared" ref="D108:N108" si="37">D106/$O$106</f>
        <v>0.13199561181697231</v>
      </c>
      <c r="E108" s="44">
        <f t="shared" si="37"/>
        <v>6.5350082083920125E-2</v>
      </c>
      <c r="F108" s="44">
        <f t="shared" si="37"/>
        <v>0.31607755568868789</v>
      </c>
      <c r="G108" s="44">
        <f t="shared" si="37"/>
        <v>1.5547316906175355E-2</v>
      </c>
      <c r="H108" s="44">
        <f t="shared" si="37"/>
        <v>4.234518817057894E-3</v>
      </c>
      <c r="I108" s="44">
        <f t="shared" si="37"/>
        <v>3.7252872937203856E-2</v>
      </c>
      <c r="J108" s="44">
        <f t="shared" si="37"/>
        <v>2.334139908346107E-2</v>
      </c>
      <c r="K108" s="44">
        <f t="shared" si="37"/>
        <v>1.1859375850988505E-2</v>
      </c>
      <c r="L108" s="44">
        <f t="shared" si="37"/>
        <v>2.2308542174017912E-2</v>
      </c>
      <c r="M108" s="44"/>
      <c r="N108" s="44">
        <f t="shared" si="37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I85" zoomScale="60" workbookViewId="0">
      <selection activeCell="X79" sqref="X7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Kyambogo-Spear Motors'!C3:G3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'04.08 Kyambogo-Spear Motors'!G5:H5</f>
        <v>PEPSI UGANDA</v>
      </c>
      <c r="H5" s="64"/>
      <c r="I5" s="14"/>
      <c r="J5" s="2" t="s">
        <v>5</v>
      </c>
      <c r="K5" s="63" t="str">
        <f>'04.08 Kyambogo-Spear Motors'!K5:L5</f>
        <v>WACHOMI R/GALABUZI R./MBAHA J/ASHABA K/LUBEGA S/KIKUMBAD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Kyambogo-Spear Motors'!D6:E6</f>
        <v>KYAMBOGO</v>
      </c>
      <c r="E6" s="64"/>
      <c r="F6" s="2" t="s">
        <v>2</v>
      </c>
      <c r="G6" s="63" t="str">
        <f>'04.08 Kyambogo-Spear Motors'!G6:H6</f>
        <v>SPEAR MOTORS</v>
      </c>
      <c r="H6" s="64"/>
      <c r="J6" s="2" t="s">
        <v>21</v>
      </c>
      <c r="K6" s="63" t="str">
        <f>'04.08 Kyambogo-Spear Motors'!K6:L6</f>
        <v>ANDREW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Kyambogo-Spear Motors'!C10,'30.07 Kyambogo-Spear Motors'!C10,'31.07 Kyambogo-Spear Motors'!C10,'02.08 Kyambogo-Spear Motors'!C10,'01.08 Kyambogo-Spear Motors'!C10,'03.08 Kyambogo-Spear Motors'!C10,'04.08 Kyambogo-Spear Motors'!C10)</f>
        <v>60</v>
      </c>
      <c r="D10" s="49">
        <f>AVERAGE('29.07 Kyambogo-Spear Motors'!D10,'30.07 Kyambogo-Spear Motors'!D10,'31.07 Kyambogo-Spear Motors'!D10,'02.08 Kyambogo-Spear Motors'!D10,'01.08 Kyambogo-Spear Motors'!D10,'03.08 Kyambogo-Spear Motors'!D10,'04.08 Kyambogo-Spear Motors'!D10)</f>
        <v>16.142857142857142</v>
      </c>
      <c r="E10" s="49">
        <f>AVERAGE('29.07 Kyambogo-Spear Motors'!E10,'30.07 Kyambogo-Spear Motors'!E10,'31.07 Kyambogo-Spear Motors'!E10,'02.08 Kyambogo-Spear Motors'!E10,'01.08 Kyambogo-Spear Motors'!E10,'03.08 Kyambogo-Spear Motors'!E10,'04.08 Kyambogo-Spear Motors'!E10)</f>
        <v>8.4285714285714288</v>
      </c>
      <c r="F10" s="49">
        <f>AVERAGE('29.07 Kyambogo-Spear Motors'!F10,'30.07 Kyambogo-Spear Motors'!F10,'31.07 Kyambogo-Spear Motors'!F10,'02.08 Kyambogo-Spear Motors'!F10,'01.08 Kyambogo-Spear Motors'!F10,'03.08 Kyambogo-Spear Motors'!F10,'04.08 Kyambogo-Spear Motors'!F10)</f>
        <v>28.714285714285715</v>
      </c>
      <c r="G10" s="49">
        <f>AVERAGE('29.07 Kyambogo-Spear Motors'!G10,'30.07 Kyambogo-Spear Motors'!G10,'31.07 Kyambogo-Spear Motors'!G10,'02.08 Kyambogo-Spear Motors'!G10,'01.08 Kyambogo-Spear Motors'!G10,'03.08 Kyambogo-Spear Motors'!G10,'04.08 Kyambogo-Spear Motors'!G10)</f>
        <v>4.4285714285714288</v>
      </c>
      <c r="H10" s="49">
        <f>AVERAGE('29.07 Kyambogo-Spear Motors'!H10,'30.07 Kyambogo-Spear Motors'!H10,'31.07 Kyambogo-Spear Motors'!H10,'02.08 Kyambogo-Spear Motors'!H10,'01.08 Kyambogo-Spear Motors'!H10,'03.08 Kyambogo-Spear Motors'!H10,'04.08 Kyambogo-Spear Motors'!H10)</f>
        <v>0</v>
      </c>
      <c r="I10" s="49">
        <f>AVERAGE('29.07 Kyambogo-Spear Motors'!I10,'30.07 Kyambogo-Spear Motors'!I10,'31.07 Kyambogo-Spear Motors'!I10,'02.08 Kyambogo-Spear Motors'!I10,'01.08 Kyambogo-Spear Motors'!I10,'03.08 Kyambogo-Spear Motors'!I10,'04.08 Kyambogo-Spear Motors'!I10)</f>
        <v>2</v>
      </c>
      <c r="J10" s="49">
        <f>AVERAGE('29.07 Kyambogo-Spear Motors'!J10,'30.07 Kyambogo-Spear Motors'!J10,'31.07 Kyambogo-Spear Motors'!J10,'02.08 Kyambogo-Spear Motors'!J10,'01.08 Kyambogo-Spear Motors'!J10,'03.08 Kyambogo-Spear Motors'!J10,'04.08 Kyambogo-Spear Motors'!J10)</f>
        <v>0.2857142857142857</v>
      </c>
      <c r="K10" s="49">
        <f>AVERAGE('29.07 Kyambogo-Spear Motors'!K10,'30.07 Kyambogo-Spear Motors'!K10,'31.07 Kyambogo-Spear Motors'!K10,'02.08 Kyambogo-Spear Motors'!K10,'01.08 Kyambogo-Spear Motors'!K10,'03.08 Kyambogo-Spear Motors'!K10,'04.08 Kyambogo-Spear Motors'!K10)</f>
        <v>0.8571428571428571</v>
      </c>
      <c r="L10" s="49">
        <f>AVERAGE('29.07 Kyambogo-Spear Motors'!L10,'30.07 Kyambogo-Spear Motors'!L10,'31.07 Kyambogo-Spear Motors'!L10,'02.08 Kyambogo-Spear Motors'!L10,'01.08 Kyambogo-Spear Motors'!L10,'03.08 Kyambogo-Spear Motors'!L10,'04.08 Kyambogo-Spear Motors'!L10)</f>
        <v>2.4285714285714284</v>
      </c>
      <c r="M10" s="49">
        <f>AVERAGE('29.07 Kyambogo-Spear Motors'!M10,'30.07 Kyambogo-Spear Motors'!M10,'31.07 Kyambogo-Spear Motors'!M10,'02.08 Kyambogo-Spear Motors'!M10,'01.08 Kyambogo-Spear Motors'!M10,'03.08 Kyambogo-Spear Motors'!M10,'04.08 Kyambogo-Spear Motors'!M10)</f>
        <v>137.42857142857142</v>
      </c>
      <c r="N10" s="49">
        <f>AVERAGE('29.07 Kyambogo-Spear Motors'!N10,'30.07 Kyambogo-Spear Motors'!N10,'31.07 Kyambogo-Spear Motors'!N10,'02.08 Kyambogo-Spear Motors'!N10,'01.08 Kyambogo-Spear Motors'!N10,'03.08 Kyambogo-Spear Motors'!N10,'04.08 Kyambogo-Spear Motors'!N10)</f>
        <v>0</v>
      </c>
      <c r="O10" s="15">
        <f t="shared" ref="O10:O57" si="0">SUM(C10:L10,N10)</f>
        <v>123.28571428571429</v>
      </c>
      <c r="P10" s="15">
        <f t="shared" ref="P10:P57" si="1">SUM(C10:N10)</f>
        <v>260.71428571428572</v>
      </c>
      <c r="R10" s="1" t="s">
        <v>6</v>
      </c>
      <c r="S10" s="17">
        <f t="shared" ref="S10:AF10" si="2">SUM(C10:C13)</f>
        <v>356.57142857142856</v>
      </c>
      <c r="T10" s="17">
        <f t="shared" si="2"/>
        <v>82.142857142857139</v>
      </c>
      <c r="U10" s="17">
        <f t="shared" si="2"/>
        <v>65.714285714285722</v>
      </c>
      <c r="V10" s="17">
        <f t="shared" si="2"/>
        <v>173.71428571428572</v>
      </c>
      <c r="W10" s="17">
        <f t="shared" si="2"/>
        <v>27.285714285714285</v>
      </c>
      <c r="X10" s="17">
        <f t="shared" si="2"/>
        <v>9.2857142857142865</v>
      </c>
      <c r="Y10" s="17">
        <f t="shared" si="2"/>
        <v>14.857142857142858</v>
      </c>
      <c r="Z10" s="17">
        <f t="shared" si="2"/>
        <v>10.714285714285714</v>
      </c>
      <c r="AA10" s="17">
        <f t="shared" si="2"/>
        <v>10.142857142857142</v>
      </c>
      <c r="AB10" s="17">
        <f t="shared" si="2"/>
        <v>16.142857142857142</v>
      </c>
      <c r="AC10" s="17">
        <f t="shared" si="2"/>
        <v>769.85714285714289</v>
      </c>
      <c r="AD10" s="17">
        <f t="shared" si="2"/>
        <v>0</v>
      </c>
      <c r="AE10" s="31">
        <f t="shared" si="2"/>
        <v>766.57142857142856</v>
      </c>
      <c r="AF10" s="31">
        <f t="shared" si="2"/>
        <v>1536.4285714285713</v>
      </c>
    </row>
    <row r="11" spans="2:32" s="6" customFormat="1" ht="23.1" customHeight="1" x14ac:dyDescent="0.25">
      <c r="B11" s="23" t="s">
        <v>38</v>
      </c>
      <c r="C11" s="49">
        <f>AVERAGE('29.07 Kyambogo-Spear Motors'!C11,'30.07 Kyambogo-Spear Motors'!C11,'31.07 Kyambogo-Spear Motors'!C11,'02.08 Kyambogo-Spear Motors'!C11,'01.08 Kyambogo-Spear Motors'!C11,'03.08 Kyambogo-Spear Motors'!C11,'04.08 Kyambogo-Spear Motors'!C11)</f>
        <v>80.285714285714292</v>
      </c>
      <c r="D11" s="49">
        <f>AVERAGE('29.07 Kyambogo-Spear Motors'!D11,'30.07 Kyambogo-Spear Motors'!D11,'31.07 Kyambogo-Spear Motors'!D11,'02.08 Kyambogo-Spear Motors'!D11,'01.08 Kyambogo-Spear Motors'!D11,'03.08 Kyambogo-Spear Motors'!D11,'04.08 Kyambogo-Spear Motors'!D11)</f>
        <v>17</v>
      </c>
      <c r="E11" s="49">
        <f>AVERAGE('29.07 Kyambogo-Spear Motors'!E11,'30.07 Kyambogo-Spear Motors'!E11,'31.07 Kyambogo-Spear Motors'!E11,'02.08 Kyambogo-Spear Motors'!E11,'01.08 Kyambogo-Spear Motors'!E11,'03.08 Kyambogo-Spear Motors'!E11,'04.08 Kyambogo-Spear Motors'!E11)</f>
        <v>12.428571428571429</v>
      </c>
      <c r="F11" s="49">
        <f>AVERAGE('29.07 Kyambogo-Spear Motors'!F11,'30.07 Kyambogo-Spear Motors'!F11,'31.07 Kyambogo-Spear Motors'!F11,'02.08 Kyambogo-Spear Motors'!F11,'01.08 Kyambogo-Spear Motors'!F11,'03.08 Kyambogo-Spear Motors'!F11,'04.08 Kyambogo-Spear Motors'!F11)</f>
        <v>34.714285714285715</v>
      </c>
      <c r="G11" s="49">
        <f>AVERAGE('29.07 Kyambogo-Spear Motors'!G11,'30.07 Kyambogo-Spear Motors'!G11,'31.07 Kyambogo-Spear Motors'!G11,'02.08 Kyambogo-Spear Motors'!G11,'01.08 Kyambogo-Spear Motors'!G11,'03.08 Kyambogo-Spear Motors'!G11,'04.08 Kyambogo-Spear Motors'!G11)</f>
        <v>7</v>
      </c>
      <c r="H11" s="49">
        <f>AVERAGE('29.07 Kyambogo-Spear Motors'!H11,'30.07 Kyambogo-Spear Motors'!H11,'31.07 Kyambogo-Spear Motors'!H11,'02.08 Kyambogo-Spear Motors'!H11,'01.08 Kyambogo-Spear Motors'!H11,'03.08 Kyambogo-Spear Motors'!H11,'04.08 Kyambogo-Spear Motors'!H11)</f>
        <v>3.7142857142857144</v>
      </c>
      <c r="I11" s="49">
        <f>AVERAGE('29.07 Kyambogo-Spear Motors'!I11,'30.07 Kyambogo-Spear Motors'!I11,'31.07 Kyambogo-Spear Motors'!I11,'02.08 Kyambogo-Spear Motors'!I11,'01.08 Kyambogo-Spear Motors'!I11,'03.08 Kyambogo-Spear Motors'!I11,'04.08 Kyambogo-Spear Motors'!I11)</f>
        <v>4</v>
      </c>
      <c r="J11" s="49">
        <f>AVERAGE('29.07 Kyambogo-Spear Motors'!J11,'30.07 Kyambogo-Spear Motors'!J11,'31.07 Kyambogo-Spear Motors'!J11,'02.08 Kyambogo-Spear Motors'!J11,'01.08 Kyambogo-Spear Motors'!J11,'03.08 Kyambogo-Spear Motors'!J11,'04.08 Kyambogo-Spear Motors'!J11)</f>
        <v>3</v>
      </c>
      <c r="K11" s="49">
        <f>AVERAGE('29.07 Kyambogo-Spear Motors'!K11,'30.07 Kyambogo-Spear Motors'!K11,'31.07 Kyambogo-Spear Motors'!K11,'02.08 Kyambogo-Spear Motors'!K11,'01.08 Kyambogo-Spear Motors'!K11,'03.08 Kyambogo-Spear Motors'!K11,'04.08 Kyambogo-Spear Motors'!K11)</f>
        <v>2.2857142857142856</v>
      </c>
      <c r="L11" s="49">
        <f>AVERAGE('29.07 Kyambogo-Spear Motors'!L11,'30.07 Kyambogo-Spear Motors'!L11,'31.07 Kyambogo-Spear Motors'!L11,'02.08 Kyambogo-Spear Motors'!L11,'01.08 Kyambogo-Spear Motors'!L11,'03.08 Kyambogo-Spear Motors'!L11,'04.08 Kyambogo-Spear Motors'!L11)</f>
        <v>3</v>
      </c>
      <c r="M11" s="49">
        <f>AVERAGE('29.07 Kyambogo-Spear Motors'!M11,'30.07 Kyambogo-Spear Motors'!M11,'31.07 Kyambogo-Spear Motors'!M11,'02.08 Kyambogo-Spear Motors'!M11,'01.08 Kyambogo-Spear Motors'!M11,'03.08 Kyambogo-Spear Motors'!M11,'04.08 Kyambogo-Spear Motors'!M11)</f>
        <v>182</v>
      </c>
      <c r="N11" s="49">
        <f>AVERAGE('29.07 Kyambogo-Spear Motors'!N11,'30.07 Kyambogo-Spear Motors'!N11,'31.07 Kyambogo-Spear Motors'!N11,'02.08 Kyambogo-Spear Motors'!N11,'01.08 Kyambogo-Spear Motors'!N11,'03.08 Kyambogo-Spear Motors'!N11,'04.08 Kyambogo-Spear Motors'!N11)</f>
        <v>0</v>
      </c>
      <c r="O11" s="15">
        <f t="shared" si="0"/>
        <v>167.42857142857144</v>
      </c>
      <c r="P11" s="15">
        <f t="shared" si="1"/>
        <v>349.42857142857144</v>
      </c>
      <c r="R11" s="1" t="s">
        <v>7</v>
      </c>
      <c r="S11" s="17">
        <f t="shared" ref="S11:AF11" si="3">SUM(C14:C17)</f>
        <v>382.28571428571433</v>
      </c>
      <c r="T11" s="17">
        <f t="shared" si="3"/>
        <v>124.85714285714286</v>
      </c>
      <c r="U11" s="17">
        <f t="shared" si="3"/>
        <v>105.42857142857142</v>
      </c>
      <c r="V11" s="17">
        <f t="shared" si="3"/>
        <v>255.42857142857142</v>
      </c>
      <c r="W11" s="17">
        <f t="shared" si="3"/>
        <v>11.714285714285715</v>
      </c>
      <c r="X11" s="17">
        <f t="shared" si="3"/>
        <v>2.5714285714285716</v>
      </c>
      <c r="Y11" s="17">
        <f t="shared" si="3"/>
        <v>17.285714285714285</v>
      </c>
      <c r="Z11" s="17">
        <f t="shared" si="3"/>
        <v>7.5714285714285712</v>
      </c>
      <c r="AA11" s="17">
        <f t="shared" si="3"/>
        <v>5.1666666666666661</v>
      </c>
      <c r="AB11" s="17">
        <f t="shared" si="3"/>
        <v>11</v>
      </c>
      <c r="AC11" s="17">
        <f t="shared" si="3"/>
        <v>1360.4285714285716</v>
      </c>
      <c r="AD11" s="17">
        <f t="shared" si="3"/>
        <v>0</v>
      </c>
      <c r="AE11" s="31">
        <f t="shared" si="3"/>
        <v>923.30952380952397</v>
      </c>
      <c r="AF11" s="31">
        <f t="shared" si="3"/>
        <v>2283.7380952380954</v>
      </c>
    </row>
    <row r="12" spans="2:32" ht="23.1" customHeight="1" x14ac:dyDescent="0.25">
      <c r="B12" s="23" t="s">
        <v>39</v>
      </c>
      <c r="C12" s="49">
        <f>AVERAGE('29.07 Kyambogo-Spear Motors'!C12,'30.07 Kyambogo-Spear Motors'!C12,'31.07 Kyambogo-Spear Motors'!C12,'02.08 Kyambogo-Spear Motors'!C12,'01.08 Kyambogo-Spear Motors'!C12,'03.08 Kyambogo-Spear Motors'!C12,'04.08 Kyambogo-Spear Motors'!C12)</f>
        <v>110.85714285714286</v>
      </c>
      <c r="D12" s="49">
        <f>AVERAGE('29.07 Kyambogo-Spear Motors'!D12,'30.07 Kyambogo-Spear Motors'!D12,'31.07 Kyambogo-Spear Motors'!D12,'02.08 Kyambogo-Spear Motors'!D12,'01.08 Kyambogo-Spear Motors'!D12,'03.08 Kyambogo-Spear Motors'!D12,'04.08 Kyambogo-Spear Motors'!D12)</f>
        <v>21.714285714285715</v>
      </c>
      <c r="E12" s="49">
        <f>AVERAGE('29.07 Kyambogo-Spear Motors'!E12,'30.07 Kyambogo-Spear Motors'!E12,'31.07 Kyambogo-Spear Motors'!E12,'02.08 Kyambogo-Spear Motors'!E12,'01.08 Kyambogo-Spear Motors'!E12,'03.08 Kyambogo-Spear Motors'!E12,'04.08 Kyambogo-Spear Motors'!E12)</f>
        <v>19.857142857142858</v>
      </c>
      <c r="F12" s="49">
        <f>AVERAGE('29.07 Kyambogo-Spear Motors'!F12,'30.07 Kyambogo-Spear Motors'!F12,'31.07 Kyambogo-Spear Motors'!F12,'02.08 Kyambogo-Spear Motors'!F12,'01.08 Kyambogo-Spear Motors'!F12,'03.08 Kyambogo-Spear Motors'!F12,'04.08 Kyambogo-Spear Motors'!F12)</f>
        <v>49.428571428571431</v>
      </c>
      <c r="G12" s="49">
        <f>AVERAGE('29.07 Kyambogo-Spear Motors'!G12,'30.07 Kyambogo-Spear Motors'!G12,'31.07 Kyambogo-Spear Motors'!G12,'02.08 Kyambogo-Spear Motors'!G12,'01.08 Kyambogo-Spear Motors'!G12,'03.08 Kyambogo-Spear Motors'!G12,'04.08 Kyambogo-Spear Motors'!G12)</f>
        <v>5.5714285714285712</v>
      </c>
      <c r="H12" s="49">
        <f>AVERAGE('29.07 Kyambogo-Spear Motors'!H12,'30.07 Kyambogo-Spear Motors'!H12,'31.07 Kyambogo-Spear Motors'!H12,'02.08 Kyambogo-Spear Motors'!H12,'01.08 Kyambogo-Spear Motors'!H12,'03.08 Kyambogo-Spear Motors'!H12,'04.08 Kyambogo-Spear Motors'!H12)</f>
        <v>2.1428571428571428</v>
      </c>
      <c r="I12" s="49">
        <f>AVERAGE('29.07 Kyambogo-Spear Motors'!I12,'30.07 Kyambogo-Spear Motors'!I12,'31.07 Kyambogo-Spear Motors'!I12,'02.08 Kyambogo-Spear Motors'!I12,'01.08 Kyambogo-Spear Motors'!I12,'03.08 Kyambogo-Spear Motors'!I12,'04.08 Kyambogo-Spear Motors'!I12)</f>
        <v>6</v>
      </c>
      <c r="J12" s="49">
        <f>AVERAGE('29.07 Kyambogo-Spear Motors'!J12,'30.07 Kyambogo-Spear Motors'!J12,'31.07 Kyambogo-Spear Motors'!J12,'02.08 Kyambogo-Spear Motors'!J12,'01.08 Kyambogo-Spear Motors'!J12,'03.08 Kyambogo-Spear Motors'!J12,'04.08 Kyambogo-Spear Motors'!J12)</f>
        <v>4.2857142857142856</v>
      </c>
      <c r="K12" s="49">
        <f>AVERAGE('29.07 Kyambogo-Spear Motors'!K12,'30.07 Kyambogo-Spear Motors'!K12,'31.07 Kyambogo-Spear Motors'!K12,'02.08 Kyambogo-Spear Motors'!K12,'01.08 Kyambogo-Spear Motors'!K12,'03.08 Kyambogo-Spear Motors'!K12,'04.08 Kyambogo-Spear Motors'!K12)</f>
        <v>3.4285714285714284</v>
      </c>
      <c r="L12" s="49">
        <f>AVERAGE('29.07 Kyambogo-Spear Motors'!L12,'30.07 Kyambogo-Spear Motors'!L12,'31.07 Kyambogo-Spear Motors'!L12,'02.08 Kyambogo-Spear Motors'!L12,'01.08 Kyambogo-Spear Motors'!L12,'03.08 Kyambogo-Spear Motors'!L12,'04.08 Kyambogo-Spear Motors'!L12)</f>
        <v>8</v>
      </c>
      <c r="M12" s="49">
        <f>AVERAGE('29.07 Kyambogo-Spear Motors'!M12,'30.07 Kyambogo-Spear Motors'!M12,'31.07 Kyambogo-Spear Motors'!M12,'02.08 Kyambogo-Spear Motors'!M12,'01.08 Kyambogo-Spear Motors'!M12,'03.08 Kyambogo-Spear Motors'!M12,'04.08 Kyambogo-Spear Motors'!M12)</f>
        <v>202.85714285714286</v>
      </c>
      <c r="N12" s="49">
        <f>AVERAGE('29.07 Kyambogo-Spear Motors'!N12,'30.07 Kyambogo-Spear Motors'!N12,'31.07 Kyambogo-Spear Motors'!N12,'02.08 Kyambogo-Spear Motors'!N12,'01.08 Kyambogo-Spear Motors'!N12,'03.08 Kyambogo-Spear Motors'!N12,'04.08 Kyambogo-Spear Motors'!N12)</f>
        <v>0</v>
      </c>
      <c r="O12" s="15">
        <f t="shared" si="0"/>
        <v>231.28571428571431</v>
      </c>
      <c r="P12" s="15">
        <f t="shared" si="1"/>
        <v>434.14285714285717</v>
      </c>
      <c r="R12" s="1" t="s">
        <v>8</v>
      </c>
      <c r="S12" s="17">
        <f t="shared" ref="S12:AF12" si="4">SUM(C18:C21)</f>
        <v>333.14285714285717</v>
      </c>
      <c r="T12" s="17">
        <f t="shared" si="4"/>
        <v>101.71428571428571</v>
      </c>
      <c r="U12" s="17">
        <f t="shared" si="4"/>
        <v>73.714285714285722</v>
      </c>
      <c r="V12" s="17">
        <f t="shared" si="4"/>
        <v>258</v>
      </c>
      <c r="W12" s="17">
        <f t="shared" si="4"/>
        <v>6.1428571428571423</v>
      </c>
      <c r="X12" s="17">
        <f t="shared" si="4"/>
        <v>2.1428571428571423</v>
      </c>
      <c r="Y12" s="17">
        <f t="shared" si="4"/>
        <v>18.428571428571431</v>
      </c>
      <c r="Z12" s="17">
        <f t="shared" si="4"/>
        <v>8.8571428571428577</v>
      </c>
      <c r="AA12" s="17">
        <f t="shared" si="4"/>
        <v>5.8571428571428568</v>
      </c>
      <c r="AB12" s="17">
        <f t="shared" si="4"/>
        <v>16.428571428571427</v>
      </c>
      <c r="AC12" s="17">
        <f t="shared" si="4"/>
        <v>1222.2857142857142</v>
      </c>
      <c r="AD12" s="17">
        <f t="shared" si="4"/>
        <v>0</v>
      </c>
      <c r="AE12" s="31">
        <f t="shared" si="4"/>
        <v>824.42857142857156</v>
      </c>
      <c r="AF12" s="31">
        <f t="shared" si="4"/>
        <v>2046.7142857142856</v>
      </c>
    </row>
    <row r="13" spans="2:32" ht="23.1" customHeight="1" x14ac:dyDescent="0.25">
      <c r="B13" s="23" t="s">
        <v>40</v>
      </c>
      <c r="C13" s="49">
        <f>AVERAGE('29.07 Kyambogo-Spear Motors'!C13,'30.07 Kyambogo-Spear Motors'!C13,'31.07 Kyambogo-Spear Motors'!C13,'02.08 Kyambogo-Spear Motors'!C13,'01.08 Kyambogo-Spear Motors'!C13,'03.08 Kyambogo-Spear Motors'!C13,'04.08 Kyambogo-Spear Motors'!C13)</f>
        <v>105.42857142857143</v>
      </c>
      <c r="D13" s="49">
        <f>AVERAGE('29.07 Kyambogo-Spear Motors'!D13,'30.07 Kyambogo-Spear Motors'!D13,'31.07 Kyambogo-Spear Motors'!D13,'02.08 Kyambogo-Spear Motors'!D13,'01.08 Kyambogo-Spear Motors'!D13,'03.08 Kyambogo-Spear Motors'!D13,'04.08 Kyambogo-Spear Motors'!D13)</f>
        <v>27.285714285714285</v>
      </c>
      <c r="E13" s="49">
        <f>AVERAGE('29.07 Kyambogo-Spear Motors'!E13,'30.07 Kyambogo-Spear Motors'!E13,'31.07 Kyambogo-Spear Motors'!E13,'02.08 Kyambogo-Spear Motors'!E13,'01.08 Kyambogo-Spear Motors'!E13,'03.08 Kyambogo-Spear Motors'!E13,'04.08 Kyambogo-Spear Motors'!E13)</f>
        <v>25</v>
      </c>
      <c r="F13" s="49">
        <f>AVERAGE('29.07 Kyambogo-Spear Motors'!F13,'30.07 Kyambogo-Spear Motors'!F13,'31.07 Kyambogo-Spear Motors'!F13,'02.08 Kyambogo-Spear Motors'!F13,'01.08 Kyambogo-Spear Motors'!F13,'03.08 Kyambogo-Spear Motors'!F13,'04.08 Kyambogo-Spear Motors'!F13)</f>
        <v>60.857142857142854</v>
      </c>
      <c r="G13" s="49">
        <f>AVERAGE('29.07 Kyambogo-Spear Motors'!G13,'30.07 Kyambogo-Spear Motors'!G13,'31.07 Kyambogo-Spear Motors'!G13,'02.08 Kyambogo-Spear Motors'!G13,'01.08 Kyambogo-Spear Motors'!G13,'03.08 Kyambogo-Spear Motors'!G13,'04.08 Kyambogo-Spear Motors'!G13)</f>
        <v>10.285714285714286</v>
      </c>
      <c r="H13" s="49">
        <f>AVERAGE('29.07 Kyambogo-Spear Motors'!H13,'30.07 Kyambogo-Spear Motors'!H13,'31.07 Kyambogo-Spear Motors'!H13,'02.08 Kyambogo-Spear Motors'!H13,'01.08 Kyambogo-Spear Motors'!H13,'03.08 Kyambogo-Spear Motors'!H13,'04.08 Kyambogo-Spear Motors'!H13)</f>
        <v>3.4285714285714284</v>
      </c>
      <c r="I13" s="49">
        <f>AVERAGE('29.07 Kyambogo-Spear Motors'!I13,'30.07 Kyambogo-Spear Motors'!I13,'31.07 Kyambogo-Spear Motors'!I13,'02.08 Kyambogo-Spear Motors'!I13,'01.08 Kyambogo-Spear Motors'!I13,'03.08 Kyambogo-Spear Motors'!I13,'04.08 Kyambogo-Spear Motors'!I13)</f>
        <v>2.8571428571428572</v>
      </c>
      <c r="J13" s="49">
        <f>AVERAGE('29.07 Kyambogo-Spear Motors'!J13,'30.07 Kyambogo-Spear Motors'!J13,'31.07 Kyambogo-Spear Motors'!J13,'02.08 Kyambogo-Spear Motors'!J13,'01.08 Kyambogo-Spear Motors'!J13,'03.08 Kyambogo-Spear Motors'!J13,'04.08 Kyambogo-Spear Motors'!J13)</f>
        <v>3.1428571428571428</v>
      </c>
      <c r="K13" s="49">
        <f>AVERAGE('29.07 Kyambogo-Spear Motors'!K13,'30.07 Kyambogo-Spear Motors'!K13,'31.07 Kyambogo-Spear Motors'!K13,'02.08 Kyambogo-Spear Motors'!K13,'01.08 Kyambogo-Spear Motors'!K13,'03.08 Kyambogo-Spear Motors'!K13,'04.08 Kyambogo-Spear Motors'!K13)</f>
        <v>3.5714285714285716</v>
      </c>
      <c r="L13" s="49">
        <f>AVERAGE('29.07 Kyambogo-Spear Motors'!L13,'30.07 Kyambogo-Spear Motors'!L13,'31.07 Kyambogo-Spear Motors'!L13,'02.08 Kyambogo-Spear Motors'!L13,'01.08 Kyambogo-Spear Motors'!L13,'03.08 Kyambogo-Spear Motors'!L13,'04.08 Kyambogo-Spear Motors'!L13)</f>
        <v>2.7142857142857144</v>
      </c>
      <c r="M13" s="49">
        <f>AVERAGE('29.07 Kyambogo-Spear Motors'!M13,'30.07 Kyambogo-Spear Motors'!M13,'31.07 Kyambogo-Spear Motors'!M13,'02.08 Kyambogo-Spear Motors'!M13,'01.08 Kyambogo-Spear Motors'!M13,'03.08 Kyambogo-Spear Motors'!M13,'04.08 Kyambogo-Spear Motors'!M13)</f>
        <v>247.57142857142858</v>
      </c>
      <c r="N13" s="49">
        <f>AVERAGE('29.07 Kyambogo-Spear Motors'!N13,'30.07 Kyambogo-Spear Motors'!N13,'31.07 Kyambogo-Spear Motors'!N13,'02.08 Kyambogo-Spear Motors'!N13,'01.08 Kyambogo-Spear Motors'!N13,'03.08 Kyambogo-Spear Motors'!N13,'04.08 Kyambogo-Spear Motors'!N13)</f>
        <v>0</v>
      </c>
      <c r="O13" s="15">
        <f t="shared" si="0"/>
        <v>244.57142857142858</v>
      </c>
      <c r="P13" s="15">
        <f t="shared" si="1"/>
        <v>492.14285714285717</v>
      </c>
      <c r="R13" s="1" t="s">
        <v>9</v>
      </c>
      <c r="S13" s="17">
        <f t="shared" ref="S13:AF13" si="5">SUM(C22:C25)</f>
        <v>293.28571428571428</v>
      </c>
      <c r="T13" s="17">
        <f t="shared" si="5"/>
        <v>95.571428571428569</v>
      </c>
      <c r="U13" s="17">
        <f t="shared" si="5"/>
        <v>82</v>
      </c>
      <c r="V13" s="17">
        <f t="shared" si="5"/>
        <v>233.71428571428572</v>
      </c>
      <c r="W13" s="17">
        <f t="shared" si="5"/>
        <v>6.1428571428571432</v>
      </c>
      <c r="X13" s="17">
        <f t="shared" si="5"/>
        <v>1.857142857142857</v>
      </c>
      <c r="Y13" s="17">
        <f t="shared" si="5"/>
        <v>21.571428571428573</v>
      </c>
      <c r="Z13" s="17">
        <f t="shared" si="5"/>
        <v>7</v>
      </c>
      <c r="AA13" s="17">
        <f t="shared" si="5"/>
        <v>3.8571428571428568</v>
      </c>
      <c r="AB13" s="17">
        <f t="shared" si="5"/>
        <v>14.428571428571427</v>
      </c>
      <c r="AC13" s="17">
        <f t="shared" si="5"/>
        <v>1049.7142857142858</v>
      </c>
      <c r="AD13" s="17">
        <f t="shared" si="5"/>
        <v>0</v>
      </c>
      <c r="AE13" s="31">
        <f t="shared" si="5"/>
        <v>759.42857142857144</v>
      </c>
      <c r="AF13" s="31">
        <f t="shared" si="5"/>
        <v>1809.1428571428573</v>
      </c>
    </row>
    <row r="14" spans="2:32" ht="23.1" customHeight="1" x14ac:dyDescent="0.25">
      <c r="B14" s="23" t="s">
        <v>41</v>
      </c>
      <c r="C14" s="49">
        <f>AVERAGE('29.07 Kyambogo-Spear Motors'!C14,'30.07 Kyambogo-Spear Motors'!C14,'31.07 Kyambogo-Spear Motors'!C14,'02.08 Kyambogo-Spear Motors'!C14,'01.08 Kyambogo-Spear Motors'!C14,'03.08 Kyambogo-Spear Motors'!C14,'04.08 Kyambogo-Spear Motors'!C14)</f>
        <v>126.42857142857143</v>
      </c>
      <c r="D14" s="49">
        <f>AVERAGE('29.07 Kyambogo-Spear Motors'!D14,'30.07 Kyambogo-Spear Motors'!D14,'31.07 Kyambogo-Spear Motors'!D14,'02.08 Kyambogo-Spear Motors'!D14,'01.08 Kyambogo-Spear Motors'!D14,'03.08 Kyambogo-Spear Motors'!D14,'04.08 Kyambogo-Spear Motors'!D14)</f>
        <v>34</v>
      </c>
      <c r="E14" s="49">
        <f>AVERAGE('29.07 Kyambogo-Spear Motors'!E14,'30.07 Kyambogo-Spear Motors'!E14,'31.07 Kyambogo-Spear Motors'!E14,'02.08 Kyambogo-Spear Motors'!E14,'01.08 Kyambogo-Spear Motors'!E14,'03.08 Kyambogo-Spear Motors'!E14,'04.08 Kyambogo-Spear Motors'!E14)</f>
        <v>24.285714285714285</v>
      </c>
      <c r="F14" s="49">
        <f>AVERAGE('29.07 Kyambogo-Spear Motors'!F14,'30.07 Kyambogo-Spear Motors'!F14,'31.07 Kyambogo-Spear Motors'!F14,'02.08 Kyambogo-Spear Motors'!F14,'01.08 Kyambogo-Spear Motors'!F14,'03.08 Kyambogo-Spear Motors'!F14,'04.08 Kyambogo-Spear Motors'!F14)</f>
        <v>66.428571428571431</v>
      </c>
      <c r="G14" s="49">
        <f>AVERAGE('29.07 Kyambogo-Spear Motors'!G14,'30.07 Kyambogo-Spear Motors'!G14,'31.07 Kyambogo-Spear Motors'!G14,'02.08 Kyambogo-Spear Motors'!G14,'01.08 Kyambogo-Spear Motors'!G14,'03.08 Kyambogo-Spear Motors'!G14,'04.08 Kyambogo-Spear Motors'!G14)</f>
        <v>3.8571428571428572</v>
      </c>
      <c r="H14" s="49">
        <f>AVERAGE('29.07 Kyambogo-Spear Motors'!H14,'30.07 Kyambogo-Spear Motors'!H14,'31.07 Kyambogo-Spear Motors'!H14,'02.08 Kyambogo-Spear Motors'!H14,'01.08 Kyambogo-Spear Motors'!H14,'03.08 Kyambogo-Spear Motors'!H14,'04.08 Kyambogo-Spear Motors'!H14)</f>
        <v>0.2857142857142857</v>
      </c>
      <c r="I14" s="49">
        <f>AVERAGE('29.07 Kyambogo-Spear Motors'!I14,'30.07 Kyambogo-Spear Motors'!I14,'31.07 Kyambogo-Spear Motors'!I14,'02.08 Kyambogo-Spear Motors'!I14,'01.08 Kyambogo-Spear Motors'!I14,'03.08 Kyambogo-Spear Motors'!I14,'04.08 Kyambogo-Spear Motors'!I14)</f>
        <v>3.8571428571428572</v>
      </c>
      <c r="J14" s="49">
        <f>AVERAGE('29.07 Kyambogo-Spear Motors'!J14,'30.07 Kyambogo-Spear Motors'!J14,'31.07 Kyambogo-Spear Motors'!J14,'02.08 Kyambogo-Spear Motors'!J14,'01.08 Kyambogo-Spear Motors'!J14,'03.08 Kyambogo-Spear Motors'!J14,'04.08 Kyambogo-Spear Motors'!J14)</f>
        <v>1.1428571428571428</v>
      </c>
      <c r="K14" s="49">
        <f>AVERAGE('29.07 Kyambogo-Spear Motors'!K14,'30.07 Kyambogo-Spear Motors'!K14,'31.07 Kyambogo-Spear Motors'!K14,'02.08 Kyambogo-Spear Motors'!K14,'01.08 Kyambogo-Spear Motors'!K14,'03.08 Kyambogo-Spear Motors'!K14,'04.08 Kyambogo-Spear Motors'!K14)</f>
        <v>1.4285714285714286</v>
      </c>
      <c r="L14" s="49">
        <f>AVERAGE('29.07 Kyambogo-Spear Motors'!L14,'30.07 Kyambogo-Spear Motors'!L14,'31.07 Kyambogo-Spear Motors'!L14,'02.08 Kyambogo-Spear Motors'!L14,'01.08 Kyambogo-Spear Motors'!L14,'03.08 Kyambogo-Spear Motors'!L14,'04.08 Kyambogo-Spear Motors'!L14)</f>
        <v>1.8571428571428572</v>
      </c>
      <c r="M14" s="49">
        <f>AVERAGE('29.07 Kyambogo-Spear Motors'!M14,'30.07 Kyambogo-Spear Motors'!M14,'31.07 Kyambogo-Spear Motors'!M14,'02.08 Kyambogo-Spear Motors'!M14,'01.08 Kyambogo-Spear Motors'!M14,'03.08 Kyambogo-Spear Motors'!M14,'04.08 Kyambogo-Spear Motors'!M14)</f>
        <v>359.71428571428572</v>
      </c>
      <c r="N14" s="49">
        <f>AVERAGE('29.07 Kyambogo-Spear Motors'!N14,'30.07 Kyambogo-Spear Motors'!N14,'31.07 Kyambogo-Spear Motors'!N14,'02.08 Kyambogo-Spear Motors'!N14,'01.08 Kyambogo-Spear Motors'!N14,'03.08 Kyambogo-Spear Motors'!N14,'04.08 Kyambogo-Spear Motors'!N14)</f>
        <v>0</v>
      </c>
      <c r="O14" s="15">
        <f t="shared" si="0"/>
        <v>263.57142857142861</v>
      </c>
      <c r="P14" s="15">
        <f t="shared" si="1"/>
        <v>623.28571428571433</v>
      </c>
      <c r="R14" s="1" t="s">
        <v>10</v>
      </c>
      <c r="S14" s="17">
        <f t="shared" ref="S14:AF14" si="6">SUM(C26:C29)</f>
        <v>265.85714285714289</v>
      </c>
      <c r="T14" s="17">
        <f t="shared" si="6"/>
        <v>87.142857142857139</v>
      </c>
      <c r="U14" s="17">
        <f t="shared" si="6"/>
        <v>52.857142857142854</v>
      </c>
      <c r="V14" s="17">
        <f t="shared" si="6"/>
        <v>225.42857142857142</v>
      </c>
      <c r="W14" s="17">
        <f t="shared" si="6"/>
        <v>6.5714285714285712</v>
      </c>
      <c r="X14" s="17">
        <f t="shared" si="6"/>
        <v>1.7142857142857142</v>
      </c>
      <c r="Y14" s="17">
        <f t="shared" si="6"/>
        <v>25.571428571428573</v>
      </c>
      <c r="Z14" s="17">
        <f t="shared" si="6"/>
        <v>10.857142857142858</v>
      </c>
      <c r="AA14" s="17">
        <f t="shared" si="6"/>
        <v>5</v>
      </c>
      <c r="AB14" s="17">
        <f t="shared" si="6"/>
        <v>16.285714285714285</v>
      </c>
      <c r="AC14" s="17">
        <f t="shared" si="6"/>
        <v>835.14285714285711</v>
      </c>
      <c r="AD14" s="17">
        <f t="shared" si="6"/>
        <v>0</v>
      </c>
      <c r="AE14" s="31">
        <f t="shared" si="6"/>
        <v>697.28571428571433</v>
      </c>
      <c r="AF14" s="31">
        <f t="shared" si="6"/>
        <v>1532.4285714285716</v>
      </c>
    </row>
    <row r="15" spans="2:32" ht="23.1" customHeight="1" x14ac:dyDescent="0.25">
      <c r="B15" s="23" t="s">
        <v>42</v>
      </c>
      <c r="C15" s="49">
        <f>AVERAGE('29.07 Kyambogo-Spear Motors'!C15,'30.07 Kyambogo-Spear Motors'!C15,'31.07 Kyambogo-Spear Motors'!C15,'02.08 Kyambogo-Spear Motors'!C15,'01.08 Kyambogo-Spear Motors'!C15,'03.08 Kyambogo-Spear Motors'!C15,'04.08 Kyambogo-Spear Motors'!C15)</f>
        <v>74.571428571428569</v>
      </c>
      <c r="D15" s="49">
        <f>AVERAGE('29.07 Kyambogo-Spear Motors'!D15,'30.07 Kyambogo-Spear Motors'!D15,'31.07 Kyambogo-Spear Motors'!D15,'02.08 Kyambogo-Spear Motors'!D15,'01.08 Kyambogo-Spear Motors'!D15,'03.08 Kyambogo-Spear Motors'!D15,'04.08 Kyambogo-Spear Motors'!D15)</f>
        <v>29.714285714285715</v>
      </c>
      <c r="E15" s="49">
        <f>AVERAGE('29.07 Kyambogo-Spear Motors'!E15,'30.07 Kyambogo-Spear Motors'!E15,'31.07 Kyambogo-Spear Motors'!E15,'02.08 Kyambogo-Spear Motors'!E15,'01.08 Kyambogo-Spear Motors'!E15,'03.08 Kyambogo-Spear Motors'!E15,'04.08 Kyambogo-Spear Motors'!E15)</f>
        <v>21.857142857142858</v>
      </c>
      <c r="F15" s="49">
        <f>AVERAGE('29.07 Kyambogo-Spear Motors'!F15,'30.07 Kyambogo-Spear Motors'!F15,'31.07 Kyambogo-Spear Motors'!F15,'02.08 Kyambogo-Spear Motors'!F15,'01.08 Kyambogo-Spear Motors'!F15,'03.08 Kyambogo-Spear Motors'!F15,'04.08 Kyambogo-Spear Motors'!F15)</f>
        <v>55.857142857142854</v>
      </c>
      <c r="G15" s="49">
        <f>AVERAGE('29.07 Kyambogo-Spear Motors'!G15,'30.07 Kyambogo-Spear Motors'!G15,'31.07 Kyambogo-Spear Motors'!G15,'02.08 Kyambogo-Spear Motors'!G15,'01.08 Kyambogo-Spear Motors'!G15,'03.08 Kyambogo-Spear Motors'!G15,'04.08 Kyambogo-Spear Motors'!G15)</f>
        <v>2.8571428571428572</v>
      </c>
      <c r="H15" s="49">
        <f>AVERAGE('29.07 Kyambogo-Spear Motors'!H15,'30.07 Kyambogo-Spear Motors'!H15,'31.07 Kyambogo-Spear Motors'!H15,'02.08 Kyambogo-Spear Motors'!H15,'01.08 Kyambogo-Spear Motors'!H15,'03.08 Kyambogo-Spear Motors'!H15,'04.08 Kyambogo-Spear Motors'!H15)</f>
        <v>0.8571428571428571</v>
      </c>
      <c r="I15" s="49">
        <f>AVERAGE('29.07 Kyambogo-Spear Motors'!I15,'30.07 Kyambogo-Spear Motors'!I15,'31.07 Kyambogo-Spear Motors'!I15,'02.08 Kyambogo-Spear Motors'!I15,'01.08 Kyambogo-Spear Motors'!I15,'03.08 Kyambogo-Spear Motors'!I15,'04.08 Kyambogo-Spear Motors'!I15)</f>
        <v>4</v>
      </c>
      <c r="J15" s="49">
        <f>AVERAGE('29.07 Kyambogo-Spear Motors'!J15,'30.07 Kyambogo-Spear Motors'!J15,'31.07 Kyambogo-Spear Motors'!J15,'02.08 Kyambogo-Spear Motors'!J15,'01.08 Kyambogo-Spear Motors'!J15,'03.08 Kyambogo-Spear Motors'!J15,'04.08 Kyambogo-Spear Motors'!J15)</f>
        <v>2.2857142857142856</v>
      </c>
      <c r="K15" s="49">
        <f>AVERAGE('29.07 Kyambogo-Spear Motors'!K15,'30.07 Kyambogo-Spear Motors'!K15,'31.07 Kyambogo-Spear Motors'!K15,'02.08 Kyambogo-Spear Motors'!K15,'01.08 Kyambogo-Spear Motors'!K15,'03.08 Kyambogo-Spear Motors'!K15,'04.08 Kyambogo-Spear Motors'!K15)</f>
        <v>1.1666666666666667</v>
      </c>
      <c r="L15" s="49">
        <f>AVERAGE('29.07 Kyambogo-Spear Motors'!L15,'30.07 Kyambogo-Spear Motors'!L15,'31.07 Kyambogo-Spear Motors'!L15,'02.08 Kyambogo-Spear Motors'!L15,'01.08 Kyambogo-Spear Motors'!L15,'03.08 Kyambogo-Spear Motors'!L15,'04.08 Kyambogo-Spear Motors'!L15)</f>
        <v>2.5714285714285716</v>
      </c>
      <c r="M15" s="49">
        <f>AVERAGE('29.07 Kyambogo-Spear Motors'!M15,'30.07 Kyambogo-Spear Motors'!M15,'31.07 Kyambogo-Spear Motors'!M15,'02.08 Kyambogo-Spear Motors'!M15,'01.08 Kyambogo-Spear Motors'!M15,'03.08 Kyambogo-Spear Motors'!M15,'04.08 Kyambogo-Spear Motors'!M15)</f>
        <v>328.28571428571428</v>
      </c>
      <c r="N15" s="49">
        <f>AVERAGE('29.07 Kyambogo-Spear Motors'!N15,'30.07 Kyambogo-Spear Motors'!N15,'31.07 Kyambogo-Spear Motors'!N15,'02.08 Kyambogo-Spear Motors'!N15,'01.08 Kyambogo-Spear Motors'!N15,'03.08 Kyambogo-Spear Motors'!N15,'04.08 Kyambogo-Spear Motors'!N15)</f>
        <v>0</v>
      </c>
      <c r="O15" s="15">
        <f t="shared" si="0"/>
        <v>195.73809523809524</v>
      </c>
      <c r="P15" s="15">
        <f t="shared" si="1"/>
        <v>524.02380952380952</v>
      </c>
      <c r="R15" s="1" t="s">
        <v>11</v>
      </c>
      <c r="S15" s="17">
        <f t="shared" ref="S15:AF15" si="7">SUM(C30:C33)</f>
        <v>251.14285714285714</v>
      </c>
      <c r="T15" s="17">
        <f t="shared" si="7"/>
        <v>89</v>
      </c>
      <c r="U15" s="17">
        <f t="shared" si="7"/>
        <v>56.142857142857139</v>
      </c>
      <c r="V15" s="17">
        <f t="shared" si="7"/>
        <v>197</v>
      </c>
      <c r="W15" s="17">
        <f t="shared" si="7"/>
        <v>5.2857142857142856</v>
      </c>
      <c r="X15" s="17">
        <f t="shared" si="7"/>
        <v>1.5714285714285714</v>
      </c>
      <c r="Y15" s="17">
        <f t="shared" si="7"/>
        <v>23.571428571428573</v>
      </c>
      <c r="Z15" s="17">
        <f t="shared" si="7"/>
        <v>9.2857142857142865</v>
      </c>
      <c r="AA15" s="17">
        <f t="shared" si="7"/>
        <v>6.4285714285714288</v>
      </c>
      <c r="AB15" s="17">
        <f t="shared" si="7"/>
        <v>14.285714285714285</v>
      </c>
      <c r="AC15" s="17">
        <f t="shared" si="7"/>
        <v>791.14285714285711</v>
      </c>
      <c r="AD15" s="17">
        <f t="shared" si="7"/>
        <v>0</v>
      </c>
      <c r="AE15" s="31">
        <f t="shared" si="7"/>
        <v>653.71428571428578</v>
      </c>
      <c r="AF15" s="31">
        <f t="shared" si="7"/>
        <v>1444.8571428571429</v>
      </c>
    </row>
    <row r="16" spans="2:32" ht="23.1" customHeight="1" x14ac:dyDescent="0.25">
      <c r="B16" s="23" t="s">
        <v>43</v>
      </c>
      <c r="C16" s="49">
        <f>AVERAGE('29.07 Kyambogo-Spear Motors'!C16,'30.07 Kyambogo-Spear Motors'!C16,'31.07 Kyambogo-Spear Motors'!C16,'02.08 Kyambogo-Spear Motors'!C16,'01.08 Kyambogo-Spear Motors'!C16,'03.08 Kyambogo-Spear Motors'!C16,'04.08 Kyambogo-Spear Motors'!C16)</f>
        <v>92.857142857142861</v>
      </c>
      <c r="D16" s="49">
        <f>AVERAGE('29.07 Kyambogo-Spear Motors'!D16,'30.07 Kyambogo-Spear Motors'!D16,'31.07 Kyambogo-Spear Motors'!D16,'02.08 Kyambogo-Spear Motors'!D16,'01.08 Kyambogo-Spear Motors'!D16,'03.08 Kyambogo-Spear Motors'!D16,'04.08 Kyambogo-Spear Motors'!D16)</f>
        <v>27.714285714285715</v>
      </c>
      <c r="E16" s="49">
        <f>AVERAGE('29.07 Kyambogo-Spear Motors'!E16,'30.07 Kyambogo-Spear Motors'!E16,'31.07 Kyambogo-Spear Motors'!E16,'02.08 Kyambogo-Spear Motors'!E16,'01.08 Kyambogo-Spear Motors'!E16,'03.08 Kyambogo-Spear Motors'!E16,'04.08 Kyambogo-Spear Motors'!E16)</f>
        <v>20.571428571428573</v>
      </c>
      <c r="F16" s="49">
        <f>AVERAGE('29.07 Kyambogo-Spear Motors'!F16,'30.07 Kyambogo-Spear Motors'!F16,'31.07 Kyambogo-Spear Motors'!F16,'02.08 Kyambogo-Spear Motors'!F16,'01.08 Kyambogo-Spear Motors'!F16,'03.08 Kyambogo-Spear Motors'!F16,'04.08 Kyambogo-Spear Motors'!F16)</f>
        <v>66.142857142857139</v>
      </c>
      <c r="G16" s="49">
        <f>AVERAGE('29.07 Kyambogo-Spear Motors'!G16,'30.07 Kyambogo-Spear Motors'!G16,'31.07 Kyambogo-Spear Motors'!G16,'02.08 Kyambogo-Spear Motors'!G16,'01.08 Kyambogo-Spear Motors'!G16,'03.08 Kyambogo-Spear Motors'!G16,'04.08 Kyambogo-Spear Motors'!G16)</f>
        <v>3</v>
      </c>
      <c r="H16" s="49">
        <f>AVERAGE('29.07 Kyambogo-Spear Motors'!H16,'30.07 Kyambogo-Spear Motors'!H16,'31.07 Kyambogo-Spear Motors'!H16,'02.08 Kyambogo-Spear Motors'!H16,'01.08 Kyambogo-Spear Motors'!H16,'03.08 Kyambogo-Spear Motors'!H16,'04.08 Kyambogo-Spear Motors'!H16)</f>
        <v>0.7142857142857143</v>
      </c>
      <c r="I16" s="49">
        <f>AVERAGE('29.07 Kyambogo-Spear Motors'!I16,'30.07 Kyambogo-Spear Motors'!I16,'31.07 Kyambogo-Spear Motors'!I16,'02.08 Kyambogo-Spear Motors'!I16,'01.08 Kyambogo-Spear Motors'!I16,'03.08 Kyambogo-Spear Motors'!I16,'04.08 Kyambogo-Spear Motors'!I16)</f>
        <v>3.4285714285714284</v>
      </c>
      <c r="J16" s="49">
        <f>AVERAGE('29.07 Kyambogo-Spear Motors'!J16,'30.07 Kyambogo-Spear Motors'!J16,'31.07 Kyambogo-Spear Motors'!J16,'02.08 Kyambogo-Spear Motors'!J16,'01.08 Kyambogo-Spear Motors'!J16,'03.08 Kyambogo-Spear Motors'!J16,'04.08 Kyambogo-Spear Motors'!J16)</f>
        <v>1.8571428571428572</v>
      </c>
      <c r="K16" s="49">
        <f>AVERAGE('29.07 Kyambogo-Spear Motors'!K16,'30.07 Kyambogo-Spear Motors'!K16,'31.07 Kyambogo-Spear Motors'!K16,'02.08 Kyambogo-Spear Motors'!K16,'01.08 Kyambogo-Spear Motors'!K16,'03.08 Kyambogo-Spear Motors'!K16,'04.08 Kyambogo-Spear Motors'!K16)</f>
        <v>1.7142857142857142</v>
      </c>
      <c r="L16" s="49">
        <f>AVERAGE('29.07 Kyambogo-Spear Motors'!L16,'30.07 Kyambogo-Spear Motors'!L16,'31.07 Kyambogo-Spear Motors'!L16,'02.08 Kyambogo-Spear Motors'!L16,'01.08 Kyambogo-Spear Motors'!L16,'03.08 Kyambogo-Spear Motors'!L16,'04.08 Kyambogo-Spear Motors'!L16)</f>
        <v>3.7142857142857144</v>
      </c>
      <c r="M16" s="49">
        <f>AVERAGE('29.07 Kyambogo-Spear Motors'!M16,'30.07 Kyambogo-Spear Motors'!M16,'31.07 Kyambogo-Spear Motors'!M16,'02.08 Kyambogo-Spear Motors'!M16,'01.08 Kyambogo-Spear Motors'!M16,'03.08 Kyambogo-Spear Motors'!M16,'04.08 Kyambogo-Spear Motors'!M16)</f>
        <v>343.42857142857144</v>
      </c>
      <c r="N16" s="49">
        <f>AVERAGE('29.07 Kyambogo-Spear Motors'!N16,'30.07 Kyambogo-Spear Motors'!N16,'31.07 Kyambogo-Spear Motors'!N16,'02.08 Kyambogo-Spear Motors'!N16,'01.08 Kyambogo-Spear Motors'!N16,'03.08 Kyambogo-Spear Motors'!N16,'04.08 Kyambogo-Spear Motors'!N16)</f>
        <v>0</v>
      </c>
      <c r="O16" s="15">
        <f t="shared" si="0"/>
        <v>221.71428571428575</v>
      </c>
      <c r="P16" s="15">
        <f t="shared" si="1"/>
        <v>565.14285714285722</v>
      </c>
      <c r="R16" s="1" t="s">
        <v>12</v>
      </c>
      <c r="S16" s="17">
        <f t="shared" ref="S16:AF16" si="8">SUM(C34:C37)</f>
        <v>255</v>
      </c>
      <c r="T16" s="17">
        <f t="shared" si="8"/>
        <v>97.285714285714278</v>
      </c>
      <c r="U16" s="17">
        <f t="shared" si="8"/>
        <v>67.571428571428569</v>
      </c>
      <c r="V16" s="17">
        <f t="shared" si="8"/>
        <v>210.57142857142856</v>
      </c>
      <c r="W16" s="17">
        <f t="shared" si="8"/>
        <v>5.8571428571428568</v>
      </c>
      <c r="X16" s="17">
        <f t="shared" si="8"/>
        <v>4</v>
      </c>
      <c r="Y16" s="17">
        <f t="shared" si="8"/>
        <v>23.571428571428573</v>
      </c>
      <c r="Z16" s="17">
        <f t="shared" si="8"/>
        <v>9.5714285714285712</v>
      </c>
      <c r="AA16" s="17">
        <f t="shared" si="8"/>
        <v>3.714285714285714</v>
      </c>
      <c r="AB16" s="17">
        <f t="shared" si="8"/>
        <v>15.714285714285715</v>
      </c>
      <c r="AC16" s="17">
        <f t="shared" si="8"/>
        <v>817.14285714285722</v>
      </c>
      <c r="AD16" s="17">
        <f t="shared" si="8"/>
        <v>0</v>
      </c>
      <c r="AE16" s="31">
        <f t="shared" si="8"/>
        <v>692.85714285714289</v>
      </c>
      <c r="AF16" s="31">
        <f t="shared" si="8"/>
        <v>1510</v>
      </c>
    </row>
    <row r="17" spans="2:32" ht="23.1" customHeight="1" x14ac:dyDescent="0.25">
      <c r="B17" s="23" t="s">
        <v>44</v>
      </c>
      <c r="C17" s="49">
        <f>AVERAGE('29.07 Kyambogo-Spear Motors'!C17,'30.07 Kyambogo-Spear Motors'!C17,'31.07 Kyambogo-Spear Motors'!C17,'02.08 Kyambogo-Spear Motors'!C17,'01.08 Kyambogo-Spear Motors'!C17,'03.08 Kyambogo-Spear Motors'!C17,'04.08 Kyambogo-Spear Motors'!C17)</f>
        <v>88.428571428571431</v>
      </c>
      <c r="D17" s="49">
        <f>AVERAGE('29.07 Kyambogo-Spear Motors'!D17,'30.07 Kyambogo-Spear Motors'!D17,'31.07 Kyambogo-Spear Motors'!D17,'02.08 Kyambogo-Spear Motors'!D17,'01.08 Kyambogo-Spear Motors'!D17,'03.08 Kyambogo-Spear Motors'!D17,'04.08 Kyambogo-Spear Motors'!D17)</f>
        <v>33.428571428571431</v>
      </c>
      <c r="E17" s="49">
        <f>AVERAGE('29.07 Kyambogo-Spear Motors'!E17,'30.07 Kyambogo-Spear Motors'!E17,'31.07 Kyambogo-Spear Motors'!E17,'02.08 Kyambogo-Spear Motors'!E17,'01.08 Kyambogo-Spear Motors'!E17,'03.08 Kyambogo-Spear Motors'!E17,'04.08 Kyambogo-Spear Motors'!E17)</f>
        <v>38.714285714285715</v>
      </c>
      <c r="F17" s="49">
        <f>AVERAGE('29.07 Kyambogo-Spear Motors'!F17,'30.07 Kyambogo-Spear Motors'!F17,'31.07 Kyambogo-Spear Motors'!F17,'02.08 Kyambogo-Spear Motors'!F17,'01.08 Kyambogo-Spear Motors'!F17,'03.08 Kyambogo-Spear Motors'!F17,'04.08 Kyambogo-Spear Motors'!F17)</f>
        <v>67</v>
      </c>
      <c r="G17" s="49">
        <f>AVERAGE('29.07 Kyambogo-Spear Motors'!G17,'30.07 Kyambogo-Spear Motors'!G17,'31.07 Kyambogo-Spear Motors'!G17,'02.08 Kyambogo-Spear Motors'!G17,'01.08 Kyambogo-Spear Motors'!G17,'03.08 Kyambogo-Spear Motors'!G17,'04.08 Kyambogo-Spear Motors'!G17)</f>
        <v>2</v>
      </c>
      <c r="H17" s="49">
        <f>AVERAGE('29.07 Kyambogo-Spear Motors'!H17,'30.07 Kyambogo-Spear Motors'!H17,'31.07 Kyambogo-Spear Motors'!H17,'02.08 Kyambogo-Spear Motors'!H17,'01.08 Kyambogo-Spear Motors'!H17,'03.08 Kyambogo-Spear Motors'!H17,'04.08 Kyambogo-Spear Motors'!H17)</f>
        <v>0.7142857142857143</v>
      </c>
      <c r="I17" s="49">
        <f>AVERAGE('29.07 Kyambogo-Spear Motors'!I17,'30.07 Kyambogo-Spear Motors'!I17,'31.07 Kyambogo-Spear Motors'!I17,'02.08 Kyambogo-Spear Motors'!I17,'01.08 Kyambogo-Spear Motors'!I17,'03.08 Kyambogo-Spear Motors'!I17,'04.08 Kyambogo-Spear Motors'!I17)</f>
        <v>6</v>
      </c>
      <c r="J17" s="49">
        <f>AVERAGE('29.07 Kyambogo-Spear Motors'!J17,'30.07 Kyambogo-Spear Motors'!J17,'31.07 Kyambogo-Spear Motors'!J17,'02.08 Kyambogo-Spear Motors'!J17,'01.08 Kyambogo-Spear Motors'!J17,'03.08 Kyambogo-Spear Motors'!J17,'04.08 Kyambogo-Spear Motors'!J17)</f>
        <v>2.2857142857142856</v>
      </c>
      <c r="K17" s="49">
        <f>AVERAGE('29.07 Kyambogo-Spear Motors'!K17,'30.07 Kyambogo-Spear Motors'!K17,'31.07 Kyambogo-Spear Motors'!K17,'02.08 Kyambogo-Spear Motors'!K17,'01.08 Kyambogo-Spear Motors'!K17,'03.08 Kyambogo-Spear Motors'!K17,'04.08 Kyambogo-Spear Motors'!K17)</f>
        <v>0.8571428571428571</v>
      </c>
      <c r="L17" s="49">
        <f>AVERAGE('29.07 Kyambogo-Spear Motors'!L17,'30.07 Kyambogo-Spear Motors'!L17,'31.07 Kyambogo-Spear Motors'!L17,'02.08 Kyambogo-Spear Motors'!L17,'01.08 Kyambogo-Spear Motors'!L17,'03.08 Kyambogo-Spear Motors'!L17,'04.08 Kyambogo-Spear Motors'!L17)</f>
        <v>2.8571428571428572</v>
      </c>
      <c r="M17" s="49">
        <f>AVERAGE('29.07 Kyambogo-Spear Motors'!M17,'30.07 Kyambogo-Spear Motors'!M17,'31.07 Kyambogo-Spear Motors'!M17,'02.08 Kyambogo-Spear Motors'!M17,'01.08 Kyambogo-Spear Motors'!M17,'03.08 Kyambogo-Spear Motors'!M17,'04.08 Kyambogo-Spear Motors'!M17)</f>
        <v>329</v>
      </c>
      <c r="N17" s="49">
        <f>AVERAGE('29.07 Kyambogo-Spear Motors'!N17,'30.07 Kyambogo-Spear Motors'!N17,'31.07 Kyambogo-Spear Motors'!N17,'02.08 Kyambogo-Spear Motors'!N17,'01.08 Kyambogo-Spear Motors'!N17,'03.08 Kyambogo-Spear Motors'!N17,'04.08 Kyambogo-Spear Motors'!N17)</f>
        <v>0</v>
      </c>
      <c r="O17" s="15">
        <f t="shared" si="0"/>
        <v>242.28571428571431</v>
      </c>
      <c r="P17" s="15">
        <f t="shared" si="1"/>
        <v>571.28571428571433</v>
      </c>
      <c r="R17" s="1" t="s">
        <v>13</v>
      </c>
      <c r="S17" s="17">
        <f t="shared" ref="S17:AF17" si="9">SUM(C38:C41)</f>
        <v>233.28571428571431</v>
      </c>
      <c r="T17" s="17">
        <f t="shared" si="9"/>
        <v>94.714285714285722</v>
      </c>
      <c r="U17" s="17">
        <f t="shared" si="9"/>
        <v>63.571428571428569</v>
      </c>
      <c r="V17" s="17">
        <f t="shared" si="9"/>
        <v>195.71428571428572</v>
      </c>
      <c r="W17" s="17">
        <f t="shared" si="9"/>
        <v>6.4285714285714288</v>
      </c>
      <c r="X17" s="17">
        <f t="shared" si="9"/>
        <v>5</v>
      </c>
      <c r="Y17" s="17">
        <f t="shared" si="9"/>
        <v>23.571428571428573</v>
      </c>
      <c r="Z17" s="17">
        <f t="shared" si="9"/>
        <v>11.142857142857142</v>
      </c>
      <c r="AA17" s="17">
        <f t="shared" si="9"/>
        <v>7</v>
      </c>
      <c r="AB17" s="17">
        <f t="shared" si="9"/>
        <v>19.857142857142858</v>
      </c>
      <c r="AC17" s="17">
        <f t="shared" si="9"/>
        <v>760.57142857142867</v>
      </c>
      <c r="AD17" s="17">
        <f t="shared" si="9"/>
        <v>0</v>
      </c>
      <c r="AE17" s="31">
        <f t="shared" si="9"/>
        <v>660.28571428571422</v>
      </c>
      <c r="AF17" s="31">
        <f t="shared" si="9"/>
        <v>1420.8571428571429</v>
      </c>
    </row>
    <row r="18" spans="2:32" ht="23.1" customHeight="1" x14ac:dyDescent="0.25">
      <c r="B18" s="23" t="s">
        <v>45</v>
      </c>
      <c r="C18" s="49">
        <f>AVERAGE('29.07 Kyambogo-Spear Motors'!C18,'30.07 Kyambogo-Spear Motors'!C18,'31.07 Kyambogo-Spear Motors'!C18,'02.08 Kyambogo-Spear Motors'!C18,'01.08 Kyambogo-Spear Motors'!C18,'03.08 Kyambogo-Spear Motors'!C18,'04.08 Kyambogo-Spear Motors'!C18)</f>
        <v>86.571428571428569</v>
      </c>
      <c r="D18" s="49">
        <f>AVERAGE('29.07 Kyambogo-Spear Motors'!D18,'30.07 Kyambogo-Spear Motors'!D18,'31.07 Kyambogo-Spear Motors'!D18,'02.08 Kyambogo-Spear Motors'!D18,'01.08 Kyambogo-Spear Motors'!D18,'03.08 Kyambogo-Spear Motors'!D18,'04.08 Kyambogo-Spear Motors'!D18)</f>
        <v>26.285714285714285</v>
      </c>
      <c r="E18" s="49">
        <f>AVERAGE('29.07 Kyambogo-Spear Motors'!E18,'30.07 Kyambogo-Spear Motors'!E18,'31.07 Kyambogo-Spear Motors'!E18,'02.08 Kyambogo-Spear Motors'!E18,'01.08 Kyambogo-Spear Motors'!E18,'03.08 Kyambogo-Spear Motors'!E18,'04.08 Kyambogo-Spear Motors'!E18)</f>
        <v>21.142857142857142</v>
      </c>
      <c r="F18" s="49">
        <f>AVERAGE('29.07 Kyambogo-Spear Motors'!F18,'30.07 Kyambogo-Spear Motors'!F18,'31.07 Kyambogo-Spear Motors'!F18,'02.08 Kyambogo-Spear Motors'!F18,'01.08 Kyambogo-Spear Motors'!F18,'03.08 Kyambogo-Spear Motors'!F18,'04.08 Kyambogo-Spear Motors'!F18)</f>
        <v>67</v>
      </c>
      <c r="G18" s="49">
        <f>AVERAGE('29.07 Kyambogo-Spear Motors'!G18,'30.07 Kyambogo-Spear Motors'!G18,'31.07 Kyambogo-Spear Motors'!G18,'02.08 Kyambogo-Spear Motors'!G18,'01.08 Kyambogo-Spear Motors'!G18,'03.08 Kyambogo-Spear Motors'!G18,'04.08 Kyambogo-Spear Motors'!G18)</f>
        <v>1</v>
      </c>
      <c r="H18" s="49">
        <f>AVERAGE('29.07 Kyambogo-Spear Motors'!H18,'30.07 Kyambogo-Spear Motors'!H18,'31.07 Kyambogo-Spear Motors'!H18,'02.08 Kyambogo-Spear Motors'!H18,'01.08 Kyambogo-Spear Motors'!H18,'03.08 Kyambogo-Spear Motors'!H18,'04.08 Kyambogo-Spear Motors'!H18)</f>
        <v>0.42857142857142855</v>
      </c>
      <c r="I18" s="49">
        <f>AVERAGE('29.07 Kyambogo-Spear Motors'!I18,'30.07 Kyambogo-Spear Motors'!I18,'31.07 Kyambogo-Spear Motors'!I18,'02.08 Kyambogo-Spear Motors'!I18,'01.08 Kyambogo-Spear Motors'!I18,'03.08 Kyambogo-Spear Motors'!I18,'04.08 Kyambogo-Spear Motors'!I18)</f>
        <v>3.4285714285714284</v>
      </c>
      <c r="J18" s="49">
        <f>AVERAGE('29.07 Kyambogo-Spear Motors'!J18,'30.07 Kyambogo-Spear Motors'!J18,'31.07 Kyambogo-Spear Motors'!J18,'02.08 Kyambogo-Spear Motors'!J18,'01.08 Kyambogo-Spear Motors'!J18,'03.08 Kyambogo-Spear Motors'!J18,'04.08 Kyambogo-Spear Motors'!J18)</f>
        <v>1.8571428571428572</v>
      </c>
      <c r="K18" s="49">
        <f>AVERAGE('29.07 Kyambogo-Spear Motors'!K18,'30.07 Kyambogo-Spear Motors'!K18,'31.07 Kyambogo-Spear Motors'!K18,'02.08 Kyambogo-Spear Motors'!K18,'01.08 Kyambogo-Spear Motors'!K18,'03.08 Kyambogo-Spear Motors'!K18,'04.08 Kyambogo-Spear Motors'!K18)</f>
        <v>1.7142857142857142</v>
      </c>
      <c r="L18" s="49">
        <f>AVERAGE('29.07 Kyambogo-Spear Motors'!L18,'30.07 Kyambogo-Spear Motors'!L18,'31.07 Kyambogo-Spear Motors'!L18,'02.08 Kyambogo-Spear Motors'!L18,'01.08 Kyambogo-Spear Motors'!L18,'03.08 Kyambogo-Spear Motors'!L18,'04.08 Kyambogo-Spear Motors'!L18)</f>
        <v>2.4285714285714284</v>
      </c>
      <c r="M18" s="49">
        <f>AVERAGE('29.07 Kyambogo-Spear Motors'!M18,'30.07 Kyambogo-Spear Motors'!M18,'31.07 Kyambogo-Spear Motors'!M18,'02.08 Kyambogo-Spear Motors'!M18,'01.08 Kyambogo-Spear Motors'!M18,'03.08 Kyambogo-Spear Motors'!M18,'04.08 Kyambogo-Spear Motors'!M18)</f>
        <v>325.14285714285717</v>
      </c>
      <c r="N18" s="49">
        <f>AVERAGE('29.07 Kyambogo-Spear Motors'!N18,'30.07 Kyambogo-Spear Motors'!N18,'31.07 Kyambogo-Spear Motors'!N18,'02.08 Kyambogo-Spear Motors'!N18,'01.08 Kyambogo-Spear Motors'!N18,'03.08 Kyambogo-Spear Motors'!N18,'04.08 Kyambogo-Spear Motors'!N18)</f>
        <v>0</v>
      </c>
      <c r="O18" s="15">
        <f t="shared" si="0"/>
        <v>211.85714285714283</v>
      </c>
      <c r="P18" s="15">
        <f t="shared" si="1"/>
        <v>537</v>
      </c>
      <c r="R18" s="1" t="s">
        <v>14</v>
      </c>
      <c r="S18" s="17">
        <f t="shared" ref="S18:AF18" si="10">SUM(C42:C45)</f>
        <v>270.42857142857144</v>
      </c>
      <c r="T18" s="17">
        <f t="shared" si="10"/>
        <v>98.857142857142847</v>
      </c>
      <c r="U18" s="17">
        <f t="shared" si="10"/>
        <v>66.428571428571431</v>
      </c>
      <c r="V18" s="17">
        <f t="shared" si="10"/>
        <v>194</v>
      </c>
      <c r="W18" s="17">
        <f t="shared" si="10"/>
        <v>4.8571428571428568</v>
      </c>
      <c r="X18" s="17">
        <f t="shared" si="10"/>
        <v>2.7142857142857144</v>
      </c>
      <c r="Y18" s="17">
        <f t="shared" si="10"/>
        <v>20.142857142857142</v>
      </c>
      <c r="Z18" s="17">
        <f t="shared" si="10"/>
        <v>14.571428571428571</v>
      </c>
      <c r="AA18" s="17">
        <f t="shared" si="10"/>
        <v>7.9999999999999991</v>
      </c>
      <c r="AB18" s="17">
        <f t="shared" si="10"/>
        <v>17.285714285714288</v>
      </c>
      <c r="AC18" s="17">
        <f t="shared" si="10"/>
        <v>849.85714285714289</v>
      </c>
      <c r="AD18" s="17">
        <f t="shared" si="10"/>
        <v>0</v>
      </c>
      <c r="AE18" s="31">
        <f t="shared" si="10"/>
        <v>697.28571428571433</v>
      </c>
      <c r="AF18" s="31">
        <f t="shared" si="10"/>
        <v>1547.1428571428571</v>
      </c>
    </row>
    <row r="19" spans="2:32" ht="23.1" customHeight="1" x14ac:dyDescent="0.25">
      <c r="B19" s="23" t="s">
        <v>46</v>
      </c>
      <c r="C19" s="49">
        <f>AVERAGE('29.07 Kyambogo-Spear Motors'!C19,'30.07 Kyambogo-Spear Motors'!C19,'31.07 Kyambogo-Spear Motors'!C19,'02.08 Kyambogo-Spear Motors'!C19,'01.08 Kyambogo-Spear Motors'!C19,'03.08 Kyambogo-Spear Motors'!C19,'04.08 Kyambogo-Spear Motors'!C19)</f>
        <v>78.857142857142861</v>
      </c>
      <c r="D19" s="49">
        <f>AVERAGE('29.07 Kyambogo-Spear Motors'!D19,'30.07 Kyambogo-Spear Motors'!D19,'31.07 Kyambogo-Spear Motors'!D19,'02.08 Kyambogo-Spear Motors'!D19,'01.08 Kyambogo-Spear Motors'!D19,'03.08 Kyambogo-Spear Motors'!D19,'04.08 Kyambogo-Spear Motors'!D19)</f>
        <v>25.714285714285715</v>
      </c>
      <c r="E19" s="49">
        <f>AVERAGE('29.07 Kyambogo-Spear Motors'!E19,'30.07 Kyambogo-Spear Motors'!E19,'31.07 Kyambogo-Spear Motors'!E19,'02.08 Kyambogo-Spear Motors'!E19,'01.08 Kyambogo-Spear Motors'!E19,'03.08 Kyambogo-Spear Motors'!E19,'04.08 Kyambogo-Spear Motors'!E19)</f>
        <v>18.571428571428573</v>
      </c>
      <c r="F19" s="49">
        <f>AVERAGE('29.07 Kyambogo-Spear Motors'!F19,'30.07 Kyambogo-Spear Motors'!F19,'31.07 Kyambogo-Spear Motors'!F19,'02.08 Kyambogo-Spear Motors'!F19,'01.08 Kyambogo-Spear Motors'!F19,'03.08 Kyambogo-Spear Motors'!F19,'04.08 Kyambogo-Spear Motors'!F19)</f>
        <v>73.714285714285708</v>
      </c>
      <c r="G19" s="49">
        <f>AVERAGE('29.07 Kyambogo-Spear Motors'!G19,'30.07 Kyambogo-Spear Motors'!G19,'31.07 Kyambogo-Spear Motors'!G19,'02.08 Kyambogo-Spear Motors'!G19,'01.08 Kyambogo-Spear Motors'!G19,'03.08 Kyambogo-Spear Motors'!G19,'04.08 Kyambogo-Spear Motors'!G19)</f>
        <v>2.4285714285714284</v>
      </c>
      <c r="H19" s="49">
        <f>AVERAGE('29.07 Kyambogo-Spear Motors'!H19,'30.07 Kyambogo-Spear Motors'!H19,'31.07 Kyambogo-Spear Motors'!H19,'02.08 Kyambogo-Spear Motors'!H19,'01.08 Kyambogo-Spear Motors'!H19,'03.08 Kyambogo-Spear Motors'!H19,'04.08 Kyambogo-Spear Motors'!H19)</f>
        <v>0.2857142857142857</v>
      </c>
      <c r="I19" s="49">
        <f>AVERAGE('29.07 Kyambogo-Spear Motors'!I19,'30.07 Kyambogo-Spear Motors'!I19,'31.07 Kyambogo-Spear Motors'!I19,'02.08 Kyambogo-Spear Motors'!I19,'01.08 Kyambogo-Spear Motors'!I19,'03.08 Kyambogo-Spear Motors'!I19,'04.08 Kyambogo-Spear Motors'!I19)</f>
        <v>5.1428571428571432</v>
      </c>
      <c r="J19" s="49">
        <f>AVERAGE('29.07 Kyambogo-Spear Motors'!J19,'30.07 Kyambogo-Spear Motors'!J19,'31.07 Kyambogo-Spear Motors'!J19,'02.08 Kyambogo-Spear Motors'!J19,'01.08 Kyambogo-Spear Motors'!J19,'03.08 Kyambogo-Spear Motors'!J19,'04.08 Kyambogo-Spear Motors'!J19)</f>
        <v>1.8571428571428572</v>
      </c>
      <c r="K19" s="49">
        <f>AVERAGE('29.07 Kyambogo-Spear Motors'!K19,'30.07 Kyambogo-Spear Motors'!K19,'31.07 Kyambogo-Spear Motors'!K19,'02.08 Kyambogo-Spear Motors'!K19,'01.08 Kyambogo-Spear Motors'!K19,'03.08 Kyambogo-Spear Motors'!K19,'04.08 Kyambogo-Spear Motors'!K19)</f>
        <v>1.4285714285714286</v>
      </c>
      <c r="L19" s="49">
        <f>AVERAGE('29.07 Kyambogo-Spear Motors'!L19,'30.07 Kyambogo-Spear Motors'!L19,'31.07 Kyambogo-Spear Motors'!L19,'02.08 Kyambogo-Spear Motors'!L19,'01.08 Kyambogo-Spear Motors'!L19,'03.08 Kyambogo-Spear Motors'!L19,'04.08 Kyambogo-Spear Motors'!L19)</f>
        <v>4.7142857142857144</v>
      </c>
      <c r="M19" s="49">
        <f>AVERAGE('29.07 Kyambogo-Spear Motors'!M19,'30.07 Kyambogo-Spear Motors'!M19,'31.07 Kyambogo-Spear Motors'!M19,'02.08 Kyambogo-Spear Motors'!M19,'01.08 Kyambogo-Spear Motors'!M19,'03.08 Kyambogo-Spear Motors'!M19,'04.08 Kyambogo-Spear Motors'!M19)</f>
        <v>315.28571428571428</v>
      </c>
      <c r="N19" s="49">
        <f>AVERAGE('29.07 Kyambogo-Spear Motors'!N19,'30.07 Kyambogo-Spear Motors'!N19,'31.07 Kyambogo-Spear Motors'!N19,'02.08 Kyambogo-Spear Motors'!N19,'01.08 Kyambogo-Spear Motors'!N19,'03.08 Kyambogo-Spear Motors'!N19,'04.08 Kyambogo-Spear Motors'!N19)</f>
        <v>0</v>
      </c>
      <c r="O19" s="15">
        <f t="shared" si="0"/>
        <v>212.71428571428569</v>
      </c>
      <c r="P19" s="15">
        <f t="shared" si="1"/>
        <v>528</v>
      </c>
      <c r="R19" s="1" t="s">
        <v>15</v>
      </c>
      <c r="S19" s="17">
        <f t="shared" ref="S19:AF19" si="11">SUM(C46:C49)</f>
        <v>230.99999999999997</v>
      </c>
      <c r="T19" s="17">
        <f t="shared" si="11"/>
        <v>76.428571428571431</v>
      </c>
      <c r="U19" s="17">
        <f t="shared" si="11"/>
        <v>54.142857142857139</v>
      </c>
      <c r="V19" s="17">
        <f t="shared" si="11"/>
        <v>199.00000000000003</v>
      </c>
      <c r="W19" s="17">
        <f t="shared" si="11"/>
        <v>6.5714285714285712</v>
      </c>
      <c r="X19" s="17">
        <f t="shared" si="11"/>
        <v>4.8571428571428568</v>
      </c>
      <c r="Y19" s="17">
        <f t="shared" si="11"/>
        <v>20.857142857142858</v>
      </c>
      <c r="Z19" s="17">
        <f t="shared" si="11"/>
        <v>13.285714285714285</v>
      </c>
      <c r="AA19" s="17">
        <f t="shared" si="11"/>
        <v>6.4285714285714288</v>
      </c>
      <c r="AB19" s="17">
        <f t="shared" si="11"/>
        <v>12.571428571428573</v>
      </c>
      <c r="AC19" s="17">
        <f t="shared" si="11"/>
        <v>781.57142857142856</v>
      </c>
      <c r="AD19" s="17">
        <f t="shared" si="11"/>
        <v>0</v>
      </c>
      <c r="AE19" s="31">
        <f t="shared" si="11"/>
        <v>625.14285714285722</v>
      </c>
      <c r="AF19" s="31">
        <f t="shared" si="11"/>
        <v>1406.7142857142858</v>
      </c>
    </row>
    <row r="20" spans="2:32" ht="23.1" customHeight="1" x14ac:dyDescent="0.25">
      <c r="B20" s="23" t="s">
        <v>47</v>
      </c>
      <c r="C20" s="49">
        <f>AVERAGE('29.07 Kyambogo-Spear Motors'!C20,'30.07 Kyambogo-Spear Motors'!C20,'31.07 Kyambogo-Spear Motors'!C20,'02.08 Kyambogo-Spear Motors'!C20,'01.08 Kyambogo-Spear Motors'!C20,'03.08 Kyambogo-Spear Motors'!C20,'04.08 Kyambogo-Spear Motors'!C20)</f>
        <v>80.857142857142861</v>
      </c>
      <c r="D20" s="49">
        <f>AVERAGE('29.07 Kyambogo-Spear Motors'!D20,'30.07 Kyambogo-Spear Motors'!D20,'31.07 Kyambogo-Spear Motors'!D20,'02.08 Kyambogo-Spear Motors'!D20,'01.08 Kyambogo-Spear Motors'!D20,'03.08 Kyambogo-Spear Motors'!D20,'04.08 Kyambogo-Spear Motors'!D20)</f>
        <v>24.142857142857142</v>
      </c>
      <c r="E20" s="49">
        <f>AVERAGE('29.07 Kyambogo-Spear Motors'!E20,'30.07 Kyambogo-Spear Motors'!E20,'31.07 Kyambogo-Spear Motors'!E20,'02.08 Kyambogo-Spear Motors'!E20,'01.08 Kyambogo-Spear Motors'!E20,'03.08 Kyambogo-Spear Motors'!E20,'04.08 Kyambogo-Spear Motors'!E20)</f>
        <v>16.714285714285715</v>
      </c>
      <c r="F20" s="49">
        <f>AVERAGE('29.07 Kyambogo-Spear Motors'!F20,'30.07 Kyambogo-Spear Motors'!F20,'31.07 Kyambogo-Spear Motors'!F20,'02.08 Kyambogo-Spear Motors'!F20,'01.08 Kyambogo-Spear Motors'!F20,'03.08 Kyambogo-Spear Motors'!F20,'04.08 Kyambogo-Spear Motors'!F20)</f>
        <v>58.714285714285715</v>
      </c>
      <c r="G20" s="49">
        <f>AVERAGE('29.07 Kyambogo-Spear Motors'!G20,'30.07 Kyambogo-Spear Motors'!G20,'31.07 Kyambogo-Spear Motors'!G20,'02.08 Kyambogo-Spear Motors'!G20,'01.08 Kyambogo-Spear Motors'!G20,'03.08 Kyambogo-Spear Motors'!G20,'04.08 Kyambogo-Spear Motors'!G20)</f>
        <v>0.8571428571428571</v>
      </c>
      <c r="H20" s="49">
        <f>AVERAGE('29.07 Kyambogo-Spear Motors'!H20,'30.07 Kyambogo-Spear Motors'!H20,'31.07 Kyambogo-Spear Motors'!H20,'02.08 Kyambogo-Spear Motors'!H20,'01.08 Kyambogo-Spear Motors'!H20,'03.08 Kyambogo-Spear Motors'!H20,'04.08 Kyambogo-Spear Motors'!H20)</f>
        <v>0.8571428571428571</v>
      </c>
      <c r="I20" s="49">
        <f>AVERAGE('29.07 Kyambogo-Spear Motors'!I20,'30.07 Kyambogo-Spear Motors'!I20,'31.07 Kyambogo-Spear Motors'!I20,'02.08 Kyambogo-Spear Motors'!I20,'01.08 Kyambogo-Spear Motors'!I20,'03.08 Kyambogo-Spear Motors'!I20,'04.08 Kyambogo-Spear Motors'!I20)</f>
        <v>5.1428571428571432</v>
      </c>
      <c r="J20" s="49">
        <f>AVERAGE('29.07 Kyambogo-Spear Motors'!J20,'30.07 Kyambogo-Spear Motors'!J20,'31.07 Kyambogo-Spear Motors'!J20,'02.08 Kyambogo-Spear Motors'!J20,'01.08 Kyambogo-Spear Motors'!J20,'03.08 Kyambogo-Spear Motors'!J20,'04.08 Kyambogo-Spear Motors'!J20)</f>
        <v>2.5714285714285716</v>
      </c>
      <c r="K20" s="49">
        <f>AVERAGE('29.07 Kyambogo-Spear Motors'!K20,'30.07 Kyambogo-Spear Motors'!K20,'31.07 Kyambogo-Spear Motors'!K20,'02.08 Kyambogo-Spear Motors'!K20,'01.08 Kyambogo-Spear Motors'!K20,'03.08 Kyambogo-Spear Motors'!K20,'04.08 Kyambogo-Spear Motors'!K20)</f>
        <v>1.7142857142857142</v>
      </c>
      <c r="L20" s="49">
        <f>AVERAGE('29.07 Kyambogo-Spear Motors'!L20,'30.07 Kyambogo-Spear Motors'!L20,'31.07 Kyambogo-Spear Motors'!L20,'02.08 Kyambogo-Spear Motors'!L20,'01.08 Kyambogo-Spear Motors'!L20,'03.08 Kyambogo-Spear Motors'!L20,'04.08 Kyambogo-Spear Motors'!L20)</f>
        <v>4.1428571428571432</v>
      </c>
      <c r="M20" s="49">
        <f>AVERAGE('29.07 Kyambogo-Spear Motors'!M20,'30.07 Kyambogo-Spear Motors'!M20,'31.07 Kyambogo-Spear Motors'!M20,'02.08 Kyambogo-Spear Motors'!M20,'01.08 Kyambogo-Spear Motors'!M20,'03.08 Kyambogo-Spear Motors'!M20,'04.08 Kyambogo-Spear Motors'!M20)</f>
        <v>276.85714285714283</v>
      </c>
      <c r="N20" s="49">
        <f>AVERAGE('29.07 Kyambogo-Spear Motors'!N20,'30.07 Kyambogo-Spear Motors'!N20,'31.07 Kyambogo-Spear Motors'!N20,'02.08 Kyambogo-Spear Motors'!N20,'01.08 Kyambogo-Spear Motors'!N20,'03.08 Kyambogo-Spear Motors'!N20,'04.08 Kyambogo-Spear Motors'!N20)</f>
        <v>0</v>
      </c>
      <c r="O20" s="15">
        <f t="shared" si="0"/>
        <v>195.71428571428575</v>
      </c>
      <c r="P20" s="15">
        <f t="shared" si="1"/>
        <v>472.57142857142856</v>
      </c>
      <c r="R20" s="1" t="s">
        <v>16</v>
      </c>
      <c r="S20" s="17">
        <f t="shared" ref="S20:AF20" si="12">SUM(C50:C53)</f>
        <v>215.57142857142856</v>
      </c>
      <c r="T20" s="17">
        <f t="shared" si="12"/>
        <v>63.285714285714292</v>
      </c>
      <c r="U20" s="17">
        <f t="shared" si="12"/>
        <v>41.714285714285715</v>
      </c>
      <c r="V20" s="17">
        <f t="shared" si="12"/>
        <v>184.57142857142856</v>
      </c>
      <c r="W20" s="17">
        <f t="shared" si="12"/>
        <v>7.1428571428571432</v>
      </c>
      <c r="X20" s="17">
        <f t="shared" si="12"/>
        <v>5.1428571428571423</v>
      </c>
      <c r="Y20" s="17">
        <f t="shared" si="12"/>
        <v>16.857142857142858</v>
      </c>
      <c r="Z20" s="17">
        <f t="shared" si="12"/>
        <v>8.7142857142857135</v>
      </c>
      <c r="AA20" s="17">
        <f t="shared" si="12"/>
        <v>4.8571428571428568</v>
      </c>
      <c r="AB20" s="17">
        <f t="shared" si="12"/>
        <v>10.857142857142858</v>
      </c>
      <c r="AC20" s="17">
        <f t="shared" si="12"/>
        <v>993</v>
      </c>
      <c r="AD20" s="17">
        <f t="shared" si="12"/>
        <v>0</v>
      </c>
      <c r="AE20" s="31">
        <f t="shared" si="12"/>
        <v>558.71428571428578</v>
      </c>
      <c r="AF20" s="31">
        <f t="shared" si="12"/>
        <v>1551.7142857142858</v>
      </c>
    </row>
    <row r="21" spans="2:32" ht="23.1" customHeight="1" x14ac:dyDescent="0.25">
      <c r="B21" s="23" t="s">
        <v>48</v>
      </c>
      <c r="C21" s="49">
        <f>AVERAGE('29.07 Kyambogo-Spear Motors'!C21,'30.07 Kyambogo-Spear Motors'!C21,'31.07 Kyambogo-Spear Motors'!C21,'02.08 Kyambogo-Spear Motors'!C21,'01.08 Kyambogo-Spear Motors'!C21,'03.08 Kyambogo-Spear Motors'!C21,'04.08 Kyambogo-Spear Motors'!C21)</f>
        <v>86.857142857142861</v>
      </c>
      <c r="D21" s="49">
        <f>AVERAGE('29.07 Kyambogo-Spear Motors'!D21,'30.07 Kyambogo-Spear Motors'!D21,'31.07 Kyambogo-Spear Motors'!D21,'02.08 Kyambogo-Spear Motors'!D21,'01.08 Kyambogo-Spear Motors'!D21,'03.08 Kyambogo-Spear Motors'!D21,'04.08 Kyambogo-Spear Motors'!D21)</f>
        <v>25.571428571428573</v>
      </c>
      <c r="E21" s="49">
        <f>AVERAGE('29.07 Kyambogo-Spear Motors'!E21,'30.07 Kyambogo-Spear Motors'!E21,'31.07 Kyambogo-Spear Motors'!E21,'02.08 Kyambogo-Spear Motors'!E21,'01.08 Kyambogo-Spear Motors'!E21,'03.08 Kyambogo-Spear Motors'!E21,'04.08 Kyambogo-Spear Motors'!E21)</f>
        <v>17.285714285714285</v>
      </c>
      <c r="F21" s="49">
        <f>AVERAGE('29.07 Kyambogo-Spear Motors'!F21,'30.07 Kyambogo-Spear Motors'!F21,'31.07 Kyambogo-Spear Motors'!F21,'02.08 Kyambogo-Spear Motors'!F21,'01.08 Kyambogo-Spear Motors'!F21,'03.08 Kyambogo-Spear Motors'!F21,'04.08 Kyambogo-Spear Motors'!F21)</f>
        <v>58.571428571428569</v>
      </c>
      <c r="G21" s="49">
        <f>AVERAGE('29.07 Kyambogo-Spear Motors'!G21,'30.07 Kyambogo-Spear Motors'!G21,'31.07 Kyambogo-Spear Motors'!G21,'02.08 Kyambogo-Spear Motors'!G21,'01.08 Kyambogo-Spear Motors'!G21,'03.08 Kyambogo-Spear Motors'!G21,'04.08 Kyambogo-Spear Motors'!G21)</f>
        <v>1.8571428571428572</v>
      </c>
      <c r="H21" s="49">
        <f>AVERAGE('29.07 Kyambogo-Spear Motors'!H21,'30.07 Kyambogo-Spear Motors'!H21,'31.07 Kyambogo-Spear Motors'!H21,'02.08 Kyambogo-Spear Motors'!H21,'01.08 Kyambogo-Spear Motors'!H21,'03.08 Kyambogo-Spear Motors'!H21,'04.08 Kyambogo-Spear Motors'!H21)</f>
        <v>0.5714285714285714</v>
      </c>
      <c r="I21" s="49">
        <f>AVERAGE('29.07 Kyambogo-Spear Motors'!I21,'30.07 Kyambogo-Spear Motors'!I21,'31.07 Kyambogo-Spear Motors'!I21,'02.08 Kyambogo-Spear Motors'!I21,'01.08 Kyambogo-Spear Motors'!I21,'03.08 Kyambogo-Spear Motors'!I21,'04.08 Kyambogo-Spear Motors'!I21)</f>
        <v>4.7142857142857144</v>
      </c>
      <c r="J21" s="49">
        <f>AVERAGE('29.07 Kyambogo-Spear Motors'!J21,'30.07 Kyambogo-Spear Motors'!J21,'31.07 Kyambogo-Spear Motors'!J21,'02.08 Kyambogo-Spear Motors'!J21,'01.08 Kyambogo-Spear Motors'!J21,'03.08 Kyambogo-Spear Motors'!J21,'04.08 Kyambogo-Spear Motors'!J21)</f>
        <v>2.5714285714285716</v>
      </c>
      <c r="K21" s="49">
        <f>AVERAGE('29.07 Kyambogo-Spear Motors'!K21,'30.07 Kyambogo-Spear Motors'!K21,'31.07 Kyambogo-Spear Motors'!K21,'02.08 Kyambogo-Spear Motors'!K21,'01.08 Kyambogo-Spear Motors'!K21,'03.08 Kyambogo-Spear Motors'!K21,'04.08 Kyambogo-Spear Motors'!K21)</f>
        <v>1</v>
      </c>
      <c r="L21" s="49">
        <f>AVERAGE('29.07 Kyambogo-Spear Motors'!L21,'30.07 Kyambogo-Spear Motors'!L21,'31.07 Kyambogo-Spear Motors'!L21,'02.08 Kyambogo-Spear Motors'!L21,'01.08 Kyambogo-Spear Motors'!L21,'03.08 Kyambogo-Spear Motors'!L21,'04.08 Kyambogo-Spear Motors'!L21)</f>
        <v>5.1428571428571432</v>
      </c>
      <c r="M21" s="49">
        <f>AVERAGE('29.07 Kyambogo-Spear Motors'!M21,'30.07 Kyambogo-Spear Motors'!M21,'31.07 Kyambogo-Spear Motors'!M21,'02.08 Kyambogo-Spear Motors'!M21,'01.08 Kyambogo-Spear Motors'!M21,'03.08 Kyambogo-Spear Motors'!M21,'04.08 Kyambogo-Spear Motors'!M21)</f>
        <v>305</v>
      </c>
      <c r="N21" s="49">
        <f>AVERAGE('29.07 Kyambogo-Spear Motors'!N21,'30.07 Kyambogo-Spear Motors'!N21,'31.07 Kyambogo-Spear Motors'!N21,'02.08 Kyambogo-Spear Motors'!N21,'01.08 Kyambogo-Spear Motors'!N21,'03.08 Kyambogo-Spear Motors'!N21,'04.08 Kyambogo-Spear Motors'!N21)</f>
        <v>0</v>
      </c>
      <c r="O21" s="15">
        <f t="shared" si="0"/>
        <v>204.14285714285717</v>
      </c>
      <c r="P21" s="15">
        <f t="shared" si="1"/>
        <v>509.14285714285717</v>
      </c>
      <c r="R21" s="36" t="s">
        <v>20</v>
      </c>
      <c r="S21" s="34">
        <f t="shared" ref="S21:AF21" si="13">SUM(C54:C57)</f>
        <v>205.28571428571428</v>
      </c>
      <c r="T21" s="17">
        <f t="shared" si="13"/>
        <v>45.142857142857139</v>
      </c>
      <c r="U21" s="17">
        <f t="shared" si="13"/>
        <v>30.000000000000004</v>
      </c>
      <c r="V21" s="17">
        <f t="shared" si="13"/>
        <v>215.42857142857144</v>
      </c>
      <c r="W21" s="17">
        <f t="shared" si="13"/>
        <v>9.4285714285714288</v>
      </c>
      <c r="X21" s="17">
        <f t="shared" si="13"/>
        <v>2.9999999999999996</v>
      </c>
      <c r="Y21" s="17">
        <f t="shared" si="13"/>
        <v>19</v>
      </c>
      <c r="Z21" s="17">
        <f t="shared" si="13"/>
        <v>11.285714285714285</v>
      </c>
      <c r="AA21" s="17">
        <f t="shared" si="13"/>
        <v>6</v>
      </c>
      <c r="AB21" s="17">
        <f t="shared" si="13"/>
        <v>9.7142857142857135</v>
      </c>
      <c r="AC21" s="17">
        <f t="shared" si="13"/>
        <v>968.28571428571422</v>
      </c>
      <c r="AD21" s="17">
        <f t="shared" si="13"/>
        <v>0</v>
      </c>
      <c r="AE21" s="31">
        <f t="shared" si="13"/>
        <v>554.28571428571433</v>
      </c>
      <c r="AF21" s="31">
        <f t="shared" si="13"/>
        <v>1522.5714285714284</v>
      </c>
    </row>
    <row r="22" spans="2:32" ht="23.1" customHeight="1" x14ac:dyDescent="0.25">
      <c r="B22" s="23" t="s">
        <v>49</v>
      </c>
      <c r="C22" s="49">
        <f>AVERAGE('29.07 Kyambogo-Spear Motors'!C22,'30.07 Kyambogo-Spear Motors'!C22,'31.07 Kyambogo-Spear Motors'!C22,'02.08 Kyambogo-Spear Motors'!C22,'01.08 Kyambogo-Spear Motors'!C22,'03.08 Kyambogo-Spear Motors'!C22,'04.08 Kyambogo-Spear Motors'!C22)</f>
        <v>77.285714285714292</v>
      </c>
      <c r="D22" s="49">
        <f>AVERAGE('29.07 Kyambogo-Spear Motors'!D22,'30.07 Kyambogo-Spear Motors'!D22,'31.07 Kyambogo-Spear Motors'!D22,'02.08 Kyambogo-Spear Motors'!D22,'01.08 Kyambogo-Spear Motors'!D22,'03.08 Kyambogo-Spear Motors'!D22,'04.08 Kyambogo-Spear Motors'!D22)</f>
        <v>26.428571428571427</v>
      </c>
      <c r="E22" s="49">
        <f>AVERAGE('29.07 Kyambogo-Spear Motors'!E22,'30.07 Kyambogo-Spear Motors'!E22,'31.07 Kyambogo-Spear Motors'!E22,'02.08 Kyambogo-Spear Motors'!E22,'01.08 Kyambogo-Spear Motors'!E22,'03.08 Kyambogo-Spear Motors'!E22,'04.08 Kyambogo-Spear Motors'!E22)</f>
        <v>27</v>
      </c>
      <c r="F22" s="49">
        <f>AVERAGE('29.07 Kyambogo-Spear Motors'!F22,'30.07 Kyambogo-Spear Motors'!F22,'31.07 Kyambogo-Spear Motors'!F22,'02.08 Kyambogo-Spear Motors'!F22,'01.08 Kyambogo-Spear Motors'!F22,'03.08 Kyambogo-Spear Motors'!F22,'04.08 Kyambogo-Spear Motors'!F22)</f>
        <v>62</v>
      </c>
      <c r="G22" s="49">
        <f>AVERAGE('29.07 Kyambogo-Spear Motors'!G22,'30.07 Kyambogo-Spear Motors'!G22,'31.07 Kyambogo-Spear Motors'!G22,'02.08 Kyambogo-Spear Motors'!G22,'01.08 Kyambogo-Spear Motors'!G22,'03.08 Kyambogo-Spear Motors'!G22,'04.08 Kyambogo-Spear Motors'!G22)</f>
        <v>1.1428571428571428</v>
      </c>
      <c r="H22" s="49">
        <f>AVERAGE('29.07 Kyambogo-Spear Motors'!H22,'30.07 Kyambogo-Spear Motors'!H22,'31.07 Kyambogo-Spear Motors'!H22,'02.08 Kyambogo-Spear Motors'!H22,'01.08 Kyambogo-Spear Motors'!H22,'03.08 Kyambogo-Spear Motors'!H22,'04.08 Kyambogo-Spear Motors'!H22)</f>
        <v>0.2857142857142857</v>
      </c>
      <c r="I22" s="49">
        <f>AVERAGE('29.07 Kyambogo-Spear Motors'!I22,'30.07 Kyambogo-Spear Motors'!I22,'31.07 Kyambogo-Spear Motors'!I22,'02.08 Kyambogo-Spear Motors'!I22,'01.08 Kyambogo-Spear Motors'!I22,'03.08 Kyambogo-Spear Motors'!I22,'04.08 Kyambogo-Spear Motors'!I22)</f>
        <v>5.1428571428571432</v>
      </c>
      <c r="J22" s="49">
        <f>AVERAGE('29.07 Kyambogo-Spear Motors'!J22,'30.07 Kyambogo-Spear Motors'!J22,'31.07 Kyambogo-Spear Motors'!J22,'02.08 Kyambogo-Spear Motors'!J22,'01.08 Kyambogo-Spear Motors'!J22,'03.08 Kyambogo-Spear Motors'!J22,'04.08 Kyambogo-Spear Motors'!J22)</f>
        <v>2.2857142857142856</v>
      </c>
      <c r="K22" s="49">
        <f>AVERAGE('29.07 Kyambogo-Spear Motors'!K22,'30.07 Kyambogo-Spear Motors'!K22,'31.07 Kyambogo-Spear Motors'!K22,'02.08 Kyambogo-Spear Motors'!K22,'01.08 Kyambogo-Spear Motors'!K22,'03.08 Kyambogo-Spear Motors'!K22,'04.08 Kyambogo-Spear Motors'!K22)</f>
        <v>1.5714285714285714</v>
      </c>
      <c r="L22" s="49">
        <f>AVERAGE('29.07 Kyambogo-Spear Motors'!L22,'30.07 Kyambogo-Spear Motors'!L22,'31.07 Kyambogo-Spear Motors'!L22,'02.08 Kyambogo-Spear Motors'!L22,'01.08 Kyambogo-Spear Motors'!L22,'03.08 Kyambogo-Spear Motors'!L22,'04.08 Kyambogo-Spear Motors'!L22)</f>
        <v>3.7142857142857144</v>
      </c>
      <c r="M22" s="49">
        <f>AVERAGE('29.07 Kyambogo-Spear Motors'!M22,'30.07 Kyambogo-Spear Motors'!M22,'31.07 Kyambogo-Spear Motors'!M22,'02.08 Kyambogo-Spear Motors'!M22,'01.08 Kyambogo-Spear Motors'!M22,'03.08 Kyambogo-Spear Motors'!M22,'04.08 Kyambogo-Spear Motors'!M22)</f>
        <v>277</v>
      </c>
      <c r="N22" s="49">
        <f>AVERAGE('29.07 Kyambogo-Spear Motors'!N22,'30.07 Kyambogo-Spear Motors'!N22,'31.07 Kyambogo-Spear Motors'!N22,'02.08 Kyambogo-Spear Motors'!N22,'01.08 Kyambogo-Spear Motors'!N22,'03.08 Kyambogo-Spear Motors'!N22,'04.08 Kyambogo-Spear Motors'!N22)</f>
        <v>0</v>
      </c>
      <c r="O22" s="15">
        <f t="shared" si="0"/>
        <v>206.85714285714286</v>
      </c>
      <c r="P22" s="15">
        <f t="shared" si="1"/>
        <v>483.85714285714289</v>
      </c>
      <c r="R22" s="1" t="s">
        <v>146</v>
      </c>
      <c r="S22" s="34">
        <f>SUM(C58:C61)</f>
        <v>137.5</v>
      </c>
      <c r="T22" s="34">
        <f t="shared" ref="T22:AF22" si="14">SUM(D58:D61)</f>
        <v>20</v>
      </c>
      <c r="U22" s="34">
        <f t="shared" si="14"/>
        <v>25.5</v>
      </c>
      <c r="V22" s="34">
        <f t="shared" si="14"/>
        <v>208</v>
      </c>
      <c r="W22" s="34">
        <f t="shared" si="14"/>
        <v>10</v>
      </c>
      <c r="X22" s="34">
        <f t="shared" si="14"/>
        <v>5</v>
      </c>
      <c r="Y22" s="34">
        <f t="shared" si="14"/>
        <v>23</v>
      </c>
      <c r="Z22" s="34">
        <f t="shared" si="14"/>
        <v>12.5</v>
      </c>
      <c r="AA22" s="34">
        <f t="shared" si="14"/>
        <v>8</v>
      </c>
      <c r="AB22" s="34">
        <f t="shared" si="14"/>
        <v>5</v>
      </c>
      <c r="AC22" s="34">
        <f t="shared" si="14"/>
        <v>1042.5</v>
      </c>
      <c r="AD22" s="34">
        <f t="shared" si="14"/>
        <v>0</v>
      </c>
      <c r="AE22" s="31">
        <f t="shared" si="14"/>
        <v>454.5</v>
      </c>
      <c r="AF22" s="31">
        <f t="shared" si="14"/>
        <v>1497</v>
      </c>
    </row>
    <row r="23" spans="2:32" ht="23.1" customHeight="1" x14ac:dyDescent="0.25">
      <c r="B23" s="23" t="s">
        <v>50</v>
      </c>
      <c r="C23" s="49">
        <f>AVERAGE('29.07 Kyambogo-Spear Motors'!C23,'30.07 Kyambogo-Spear Motors'!C23,'31.07 Kyambogo-Spear Motors'!C23,'02.08 Kyambogo-Spear Motors'!C23,'01.08 Kyambogo-Spear Motors'!C23,'03.08 Kyambogo-Spear Motors'!C23,'04.08 Kyambogo-Spear Motors'!C23)</f>
        <v>74</v>
      </c>
      <c r="D23" s="49">
        <f>AVERAGE('29.07 Kyambogo-Spear Motors'!D23,'30.07 Kyambogo-Spear Motors'!D23,'31.07 Kyambogo-Spear Motors'!D23,'02.08 Kyambogo-Spear Motors'!D23,'01.08 Kyambogo-Spear Motors'!D23,'03.08 Kyambogo-Spear Motors'!D23,'04.08 Kyambogo-Spear Motors'!D23)</f>
        <v>24.142857142857142</v>
      </c>
      <c r="E23" s="49">
        <f>AVERAGE('29.07 Kyambogo-Spear Motors'!E23,'30.07 Kyambogo-Spear Motors'!E23,'31.07 Kyambogo-Spear Motors'!E23,'02.08 Kyambogo-Spear Motors'!E23,'01.08 Kyambogo-Spear Motors'!E23,'03.08 Kyambogo-Spear Motors'!E23,'04.08 Kyambogo-Spear Motors'!E23)</f>
        <v>18.714285714285715</v>
      </c>
      <c r="F23" s="49">
        <f>AVERAGE('29.07 Kyambogo-Spear Motors'!F23,'30.07 Kyambogo-Spear Motors'!F23,'31.07 Kyambogo-Spear Motors'!F23,'02.08 Kyambogo-Spear Motors'!F23,'01.08 Kyambogo-Spear Motors'!F23,'03.08 Kyambogo-Spear Motors'!F23,'04.08 Kyambogo-Spear Motors'!F23)</f>
        <v>57.428571428571431</v>
      </c>
      <c r="G23" s="49">
        <f>AVERAGE('29.07 Kyambogo-Spear Motors'!G23,'30.07 Kyambogo-Spear Motors'!G23,'31.07 Kyambogo-Spear Motors'!G23,'02.08 Kyambogo-Spear Motors'!G23,'01.08 Kyambogo-Spear Motors'!G23,'03.08 Kyambogo-Spear Motors'!G23,'04.08 Kyambogo-Spear Motors'!G23)</f>
        <v>1</v>
      </c>
      <c r="H23" s="49">
        <f>AVERAGE('29.07 Kyambogo-Spear Motors'!H23,'30.07 Kyambogo-Spear Motors'!H23,'31.07 Kyambogo-Spear Motors'!H23,'02.08 Kyambogo-Spear Motors'!H23,'01.08 Kyambogo-Spear Motors'!H23,'03.08 Kyambogo-Spear Motors'!H23,'04.08 Kyambogo-Spear Motors'!H23)</f>
        <v>0.7142857142857143</v>
      </c>
      <c r="I23" s="49">
        <f>AVERAGE('29.07 Kyambogo-Spear Motors'!I23,'30.07 Kyambogo-Spear Motors'!I23,'31.07 Kyambogo-Spear Motors'!I23,'02.08 Kyambogo-Spear Motors'!I23,'01.08 Kyambogo-Spear Motors'!I23,'03.08 Kyambogo-Spear Motors'!I23,'04.08 Kyambogo-Spear Motors'!I23)</f>
        <v>5.4285714285714288</v>
      </c>
      <c r="J23" s="49">
        <f>AVERAGE('29.07 Kyambogo-Spear Motors'!J23,'30.07 Kyambogo-Spear Motors'!J23,'31.07 Kyambogo-Spear Motors'!J23,'02.08 Kyambogo-Spear Motors'!J23,'01.08 Kyambogo-Spear Motors'!J23,'03.08 Kyambogo-Spear Motors'!J23,'04.08 Kyambogo-Spear Motors'!J23)</f>
        <v>1.5714285714285714</v>
      </c>
      <c r="K23" s="49">
        <f>AVERAGE('29.07 Kyambogo-Spear Motors'!K23,'30.07 Kyambogo-Spear Motors'!K23,'31.07 Kyambogo-Spear Motors'!K23,'02.08 Kyambogo-Spear Motors'!K23,'01.08 Kyambogo-Spear Motors'!K23,'03.08 Kyambogo-Spear Motors'!K23,'04.08 Kyambogo-Spear Motors'!K23)</f>
        <v>0.7142857142857143</v>
      </c>
      <c r="L23" s="49">
        <f>AVERAGE('29.07 Kyambogo-Spear Motors'!L23,'30.07 Kyambogo-Spear Motors'!L23,'31.07 Kyambogo-Spear Motors'!L23,'02.08 Kyambogo-Spear Motors'!L23,'01.08 Kyambogo-Spear Motors'!L23,'03.08 Kyambogo-Spear Motors'!L23,'04.08 Kyambogo-Spear Motors'!L23)</f>
        <v>3.2857142857142856</v>
      </c>
      <c r="M23" s="49">
        <f>AVERAGE('29.07 Kyambogo-Spear Motors'!M23,'30.07 Kyambogo-Spear Motors'!M23,'31.07 Kyambogo-Spear Motors'!M23,'02.08 Kyambogo-Spear Motors'!M23,'01.08 Kyambogo-Spear Motors'!M23,'03.08 Kyambogo-Spear Motors'!M23,'04.08 Kyambogo-Spear Motors'!M23)</f>
        <v>257.42857142857144</v>
      </c>
      <c r="N23" s="49">
        <f>AVERAGE('29.07 Kyambogo-Spear Motors'!N23,'30.07 Kyambogo-Spear Motors'!N23,'31.07 Kyambogo-Spear Motors'!N23,'02.08 Kyambogo-Spear Motors'!N23,'01.08 Kyambogo-Spear Motors'!N23,'03.08 Kyambogo-Spear Motors'!N23,'04.08 Kyambogo-Spear Motors'!N23)</f>
        <v>0</v>
      </c>
      <c r="O23" s="15">
        <f t="shared" si="0"/>
        <v>187</v>
      </c>
      <c r="P23" s="15">
        <f t="shared" si="1"/>
        <v>444.42857142857144</v>
      </c>
      <c r="R23" s="1" t="s">
        <v>147</v>
      </c>
      <c r="S23" s="34">
        <f>SUM(C62:C65)</f>
        <v>162.5</v>
      </c>
      <c r="T23" s="34">
        <f t="shared" ref="T23:AF23" si="15">SUM(D62:D65)</f>
        <v>14.5</v>
      </c>
      <c r="U23" s="34">
        <f t="shared" si="15"/>
        <v>18</v>
      </c>
      <c r="V23" s="34">
        <f t="shared" si="15"/>
        <v>216</v>
      </c>
      <c r="W23" s="34">
        <f t="shared" si="15"/>
        <v>14</v>
      </c>
      <c r="X23" s="34">
        <f t="shared" si="15"/>
        <v>5.5</v>
      </c>
      <c r="Y23" s="34">
        <f t="shared" si="15"/>
        <v>21.5</v>
      </c>
      <c r="Z23" s="34">
        <f t="shared" si="15"/>
        <v>12.5</v>
      </c>
      <c r="AA23" s="34">
        <f t="shared" si="15"/>
        <v>17.5</v>
      </c>
      <c r="AB23" s="34">
        <f t="shared" si="15"/>
        <v>5.5</v>
      </c>
      <c r="AC23" s="34">
        <f t="shared" si="15"/>
        <v>1115</v>
      </c>
      <c r="AD23" s="34">
        <f t="shared" si="15"/>
        <v>0</v>
      </c>
      <c r="AE23" s="31">
        <f t="shared" si="15"/>
        <v>487.5</v>
      </c>
      <c r="AF23" s="31">
        <f t="shared" si="15"/>
        <v>1602.5</v>
      </c>
    </row>
    <row r="24" spans="2:32" ht="23.1" customHeight="1" x14ac:dyDescent="0.25">
      <c r="B24" s="23" t="s">
        <v>51</v>
      </c>
      <c r="C24" s="49">
        <f>AVERAGE('29.07 Kyambogo-Spear Motors'!C24,'30.07 Kyambogo-Spear Motors'!C24,'31.07 Kyambogo-Spear Motors'!C24,'02.08 Kyambogo-Spear Motors'!C24,'01.08 Kyambogo-Spear Motors'!C24,'03.08 Kyambogo-Spear Motors'!C24,'04.08 Kyambogo-Spear Motors'!C24)</f>
        <v>74.714285714285708</v>
      </c>
      <c r="D24" s="49">
        <f>AVERAGE('29.07 Kyambogo-Spear Motors'!D24,'30.07 Kyambogo-Spear Motors'!D24,'31.07 Kyambogo-Spear Motors'!D24,'02.08 Kyambogo-Spear Motors'!D24,'01.08 Kyambogo-Spear Motors'!D24,'03.08 Kyambogo-Spear Motors'!D24,'04.08 Kyambogo-Spear Motors'!D24)</f>
        <v>23.571428571428573</v>
      </c>
      <c r="E24" s="49">
        <f>AVERAGE('29.07 Kyambogo-Spear Motors'!E24,'30.07 Kyambogo-Spear Motors'!E24,'31.07 Kyambogo-Spear Motors'!E24,'02.08 Kyambogo-Spear Motors'!E24,'01.08 Kyambogo-Spear Motors'!E24,'03.08 Kyambogo-Spear Motors'!E24,'04.08 Kyambogo-Spear Motors'!E24)</f>
        <v>20.428571428571427</v>
      </c>
      <c r="F24" s="49">
        <f>AVERAGE('29.07 Kyambogo-Spear Motors'!F24,'30.07 Kyambogo-Spear Motors'!F24,'31.07 Kyambogo-Spear Motors'!F24,'02.08 Kyambogo-Spear Motors'!F24,'01.08 Kyambogo-Spear Motors'!F24,'03.08 Kyambogo-Spear Motors'!F24,'04.08 Kyambogo-Spear Motors'!F24)</f>
        <v>53</v>
      </c>
      <c r="G24" s="49">
        <f>AVERAGE('29.07 Kyambogo-Spear Motors'!G24,'30.07 Kyambogo-Spear Motors'!G24,'31.07 Kyambogo-Spear Motors'!G24,'02.08 Kyambogo-Spear Motors'!G24,'01.08 Kyambogo-Spear Motors'!G24,'03.08 Kyambogo-Spear Motors'!G24,'04.08 Kyambogo-Spear Motors'!G24)</f>
        <v>2.2857142857142856</v>
      </c>
      <c r="H24" s="49">
        <f>AVERAGE('29.07 Kyambogo-Spear Motors'!H24,'30.07 Kyambogo-Spear Motors'!H24,'31.07 Kyambogo-Spear Motors'!H24,'02.08 Kyambogo-Spear Motors'!H24,'01.08 Kyambogo-Spear Motors'!H24,'03.08 Kyambogo-Spear Motors'!H24,'04.08 Kyambogo-Spear Motors'!H24)</f>
        <v>0.2857142857142857</v>
      </c>
      <c r="I24" s="49">
        <f>AVERAGE('29.07 Kyambogo-Spear Motors'!I24,'30.07 Kyambogo-Spear Motors'!I24,'31.07 Kyambogo-Spear Motors'!I24,'02.08 Kyambogo-Spear Motors'!I24,'01.08 Kyambogo-Spear Motors'!I24,'03.08 Kyambogo-Spear Motors'!I24,'04.08 Kyambogo-Spear Motors'!I24)</f>
        <v>4.8571428571428568</v>
      </c>
      <c r="J24" s="49">
        <f>AVERAGE('29.07 Kyambogo-Spear Motors'!J24,'30.07 Kyambogo-Spear Motors'!J24,'31.07 Kyambogo-Spear Motors'!J24,'02.08 Kyambogo-Spear Motors'!J24,'01.08 Kyambogo-Spear Motors'!J24,'03.08 Kyambogo-Spear Motors'!J24,'04.08 Kyambogo-Spear Motors'!J24)</f>
        <v>1.7142857142857142</v>
      </c>
      <c r="K24" s="49">
        <f>AVERAGE('29.07 Kyambogo-Spear Motors'!K24,'30.07 Kyambogo-Spear Motors'!K24,'31.07 Kyambogo-Spear Motors'!K24,'02.08 Kyambogo-Spear Motors'!K24,'01.08 Kyambogo-Spear Motors'!K24,'03.08 Kyambogo-Spear Motors'!K24,'04.08 Kyambogo-Spear Motors'!K24)</f>
        <v>0.2857142857142857</v>
      </c>
      <c r="L24" s="49">
        <f>AVERAGE('29.07 Kyambogo-Spear Motors'!L24,'30.07 Kyambogo-Spear Motors'!L24,'31.07 Kyambogo-Spear Motors'!L24,'02.08 Kyambogo-Spear Motors'!L24,'01.08 Kyambogo-Spear Motors'!L24,'03.08 Kyambogo-Spear Motors'!L24,'04.08 Kyambogo-Spear Motors'!L24)</f>
        <v>3.2857142857142856</v>
      </c>
      <c r="M24" s="49">
        <f>AVERAGE('29.07 Kyambogo-Spear Motors'!M24,'30.07 Kyambogo-Spear Motors'!M24,'31.07 Kyambogo-Spear Motors'!M24,'02.08 Kyambogo-Spear Motors'!M24,'01.08 Kyambogo-Spear Motors'!M24,'03.08 Kyambogo-Spear Motors'!M24,'04.08 Kyambogo-Spear Motors'!M24)</f>
        <v>243.14285714285714</v>
      </c>
      <c r="N24" s="49">
        <f>AVERAGE('29.07 Kyambogo-Spear Motors'!N24,'30.07 Kyambogo-Spear Motors'!N24,'31.07 Kyambogo-Spear Motors'!N24,'02.08 Kyambogo-Spear Motors'!N24,'01.08 Kyambogo-Spear Motors'!N24,'03.08 Kyambogo-Spear Motors'!N24,'04.08 Kyambogo-Spear Motors'!N24)</f>
        <v>0</v>
      </c>
      <c r="O24" s="15">
        <f t="shared" si="0"/>
        <v>184.42857142857142</v>
      </c>
      <c r="P24" s="15">
        <f t="shared" si="1"/>
        <v>427.57142857142856</v>
      </c>
      <c r="R24" s="1" t="s">
        <v>148</v>
      </c>
      <c r="S24" s="34">
        <f>SUM(C66:C69)</f>
        <v>107.5</v>
      </c>
      <c r="T24" s="34">
        <f t="shared" ref="T24:AF24" si="16">SUM(D66:D69)</f>
        <v>12</v>
      </c>
      <c r="U24" s="34">
        <f t="shared" si="16"/>
        <v>9.5</v>
      </c>
      <c r="V24" s="34">
        <f t="shared" si="16"/>
        <v>190</v>
      </c>
      <c r="W24" s="34">
        <f t="shared" si="16"/>
        <v>8</v>
      </c>
      <c r="X24" s="34">
        <f t="shared" si="16"/>
        <v>3</v>
      </c>
      <c r="Y24" s="34">
        <f t="shared" si="16"/>
        <v>23.5</v>
      </c>
      <c r="Z24" s="34">
        <f t="shared" si="16"/>
        <v>10.5</v>
      </c>
      <c r="AA24" s="34">
        <f t="shared" si="16"/>
        <v>5.5</v>
      </c>
      <c r="AB24" s="34">
        <f t="shared" si="16"/>
        <v>7</v>
      </c>
      <c r="AC24" s="34">
        <f t="shared" si="16"/>
        <v>1067.5</v>
      </c>
      <c r="AD24" s="34">
        <f t="shared" si="16"/>
        <v>0</v>
      </c>
      <c r="AE24" s="31">
        <f t="shared" si="16"/>
        <v>376.5</v>
      </c>
      <c r="AF24" s="31">
        <f t="shared" si="16"/>
        <v>1444</v>
      </c>
    </row>
    <row r="25" spans="2:32" ht="23.1" customHeight="1" x14ac:dyDescent="0.25">
      <c r="B25" s="23" t="s">
        <v>52</v>
      </c>
      <c r="C25" s="49">
        <f>AVERAGE('29.07 Kyambogo-Spear Motors'!C25,'30.07 Kyambogo-Spear Motors'!C25,'31.07 Kyambogo-Spear Motors'!C25,'02.08 Kyambogo-Spear Motors'!C25,'01.08 Kyambogo-Spear Motors'!C25,'03.08 Kyambogo-Spear Motors'!C25,'04.08 Kyambogo-Spear Motors'!C25)</f>
        <v>67.285714285714292</v>
      </c>
      <c r="D25" s="49">
        <f>AVERAGE('29.07 Kyambogo-Spear Motors'!D25,'30.07 Kyambogo-Spear Motors'!D25,'31.07 Kyambogo-Spear Motors'!D25,'02.08 Kyambogo-Spear Motors'!D25,'01.08 Kyambogo-Spear Motors'!D25,'03.08 Kyambogo-Spear Motors'!D25,'04.08 Kyambogo-Spear Motors'!D25)</f>
        <v>21.428571428571427</v>
      </c>
      <c r="E25" s="49">
        <f>AVERAGE('29.07 Kyambogo-Spear Motors'!E25,'30.07 Kyambogo-Spear Motors'!E25,'31.07 Kyambogo-Spear Motors'!E25,'02.08 Kyambogo-Spear Motors'!E25,'01.08 Kyambogo-Spear Motors'!E25,'03.08 Kyambogo-Spear Motors'!E25,'04.08 Kyambogo-Spear Motors'!E25)</f>
        <v>15.857142857142858</v>
      </c>
      <c r="F25" s="49">
        <f>AVERAGE('29.07 Kyambogo-Spear Motors'!F25,'30.07 Kyambogo-Spear Motors'!F25,'31.07 Kyambogo-Spear Motors'!F25,'02.08 Kyambogo-Spear Motors'!F25,'01.08 Kyambogo-Spear Motors'!F25,'03.08 Kyambogo-Spear Motors'!F25,'04.08 Kyambogo-Spear Motors'!F25)</f>
        <v>61.285714285714285</v>
      </c>
      <c r="G25" s="49">
        <f>AVERAGE('29.07 Kyambogo-Spear Motors'!G25,'30.07 Kyambogo-Spear Motors'!G25,'31.07 Kyambogo-Spear Motors'!G25,'02.08 Kyambogo-Spear Motors'!G25,'01.08 Kyambogo-Spear Motors'!G25,'03.08 Kyambogo-Spear Motors'!G25,'04.08 Kyambogo-Spear Motors'!G25)</f>
        <v>1.7142857142857142</v>
      </c>
      <c r="H25" s="49">
        <f>AVERAGE('29.07 Kyambogo-Spear Motors'!H25,'30.07 Kyambogo-Spear Motors'!H25,'31.07 Kyambogo-Spear Motors'!H25,'02.08 Kyambogo-Spear Motors'!H25,'01.08 Kyambogo-Spear Motors'!H25,'03.08 Kyambogo-Spear Motors'!H25,'04.08 Kyambogo-Spear Motors'!H25)</f>
        <v>0.5714285714285714</v>
      </c>
      <c r="I25" s="49">
        <f>AVERAGE('29.07 Kyambogo-Spear Motors'!I25,'30.07 Kyambogo-Spear Motors'!I25,'31.07 Kyambogo-Spear Motors'!I25,'02.08 Kyambogo-Spear Motors'!I25,'01.08 Kyambogo-Spear Motors'!I25,'03.08 Kyambogo-Spear Motors'!I25,'04.08 Kyambogo-Spear Motors'!I25)</f>
        <v>6.1428571428571432</v>
      </c>
      <c r="J25" s="49">
        <f>AVERAGE('29.07 Kyambogo-Spear Motors'!J25,'30.07 Kyambogo-Spear Motors'!J25,'31.07 Kyambogo-Spear Motors'!J25,'02.08 Kyambogo-Spear Motors'!J25,'01.08 Kyambogo-Spear Motors'!J25,'03.08 Kyambogo-Spear Motors'!J25,'04.08 Kyambogo-Spear Motors'!J25)</f>
        <v>1.4285714285714286</v>
      </c>
      <c r="K25" s="49">
        <f>AVERAGE('29.07 Kyambogo-Spear Motors'!K25,'30.07 Kyambogo-Spear Motors'!K25,'31.07 Kyambogo-Spear Motors'!K25,'02.08 Kyambogo-Spear Motors'!K25,'01.08 Kyambogo-Spear Motors'!K25,'03.08 Kyambogo-Spear Motors'!K25,'04.08 Kyambogo-Spear Motors'!K25)</f>
        <v>1.2857142857142858</v>
      </c>
      <c r="L25" s="49">
        <f>AVERAGE('29.07 Kyambogo-Spear Motors'!L25,'30.07 Kyambogo-Spear Motors'!L25,'31.07 Kyambogo-Spear Motors'!L25,'02.08 Kyambogo-Spear Motors'!L25,'01.08 Kyambogo-Spear Motors'!L25,'03.08 Kyambogo-Spear Motors'!L25,'04.08 Kyambogo-Spear Motors'!L25)</f>
        <v>4.1428571428571432</v>
      </c>
      <c r="M25" s="49">
        <f>AVERAGE('29.07 Kyambogo-Spear Motors'!M25,'30.07 Kyambogo-Spear Motors'!M25,'31.07 Kyambogo-Spear Motors'!M25,'02.08 Kyambogo-Spear Motors'!M25,'01.08 Kyambogo-Spear Motors'!M25,'03.08 Kyambogo-Spear Motors'!M25,'04.08 Kyambogo-Spear Motors'!M25)</f>
        <v>272.14285714285717</v>
      </c>
      <c r="N25" s="49">
        <f>AVERAGE('29.07 Kyambogo-Spear Motors'!N25,'30.07 Kyambogo-Spear Motors'!N25,'31.07 Kyambogo-Spear Motors'!N25,'02.08 Kyambogo-Spear Motors'!N25,'01.08 Kyambogo-Spear Motors'!N25,'03.08 Kyambogo-Spear Motors'!N25,'04.08 Kyambogo-Spear Motors'!N25)</f>
        <v>0</v>
      </c>
      <c r="O25" s="15">
        <f t="shared" si="0"/>
        <v>181.14285714285714</v>
      </c>
      <c r="P25" s="15">
        <f t="shared" si="1"/>
        <v>453.28571428571433</v>
      </c>
      <c r="R25" s="1" t="s">
        <v>149</v>
      </c>
      <c r="S25" s="34">
        <f>SUM(C70:C73)</f>
        <v>145</v>
      </c>
      <c r="T25" s="34">
        <f t="shared" ref="T25:AF25" si="17">SUM(D70:D73)</f>
        <v>10.5</v>
      </c>
      <c r="U25" s="34">
        <f t="shared" si="17"/>
        <v>11</v>
      </c>
      <c r="V25" s="34">
        <f t="shared" si="17"/>
        <v>138</v>
      </c>
      <c r="W25" s="34">
        <f t="shared" si="17"/>
        <v>5</v>
      </c>
      <c r="X25" s="34">
        <f t="shared" si="17"/>
        <v>2</v>
      </c>
      <c r="Y25" s="34">
        <f t="shared" si="17"/>
        <v>21.5</v>
      </c>
      <c r="Z25" s="34">
        <f t="shared" si="17"/>
        <v>6</v>
      </c>
      <c r="AA25" s="34">
        <f t="shared" si="17"/>
        <v>5</v>
      </c>
      <c r="AB25" s="34">
        <f t="shared" si="17"/>
        <v>7</v>
      </c>
      <c r="AC25" s="34">
        <f t="shared" si="17"/>
        <v>885</v>
      </c>
      <c r="AD25" s="34">
        <f t="shared" si="17"/>
        <v>0</v>
      </c>
      <c r="AE25" s="31">
        <f t="shared" si="17"/>
        <v>351</v>
      </c>
      <c r="AF25" s="31">
        <f t="shared" si="17"/>
        <v>1236</v>
      </c>
    </row>
    <row r="26" spans="2:32" ht="23.1" customHeight="1" x14ac:dyDescent="0.25">
      <c r="B26" s="23" t="s">
        <v>53</v>
      </c>
      <c r="C26" s="49">
        <f>AVERAGE('29.07 Kyambogo-Spear Motors'!C26,'30.07 Kyambogo-Spear Motors'!C26,'31.07 Kyambogo-Spear Motors'!C26,'02.08 Kyambogo-Spear Motors'!C26,'01.08 Kyambogo-Spear Motors'!C26,'03.08 Kyambogo-Spear Motors'!C26,'04.08 Kyambogo-Spear Motors'!C26)</f>
        <v>72</v>
      </c>
      <c r="D26" s="49">
        <f>AVERAGE('29.07 Kyambogo-Spear Motors'!D26,'30.07 Kyambogo-Spear Motors'!D26,'31.07 Kyambogo-Spear Motors'!D26,'02.08 Kyambogo-Spear Motors'!D26,'01.08 Kyambogo-Spear Motors'!D26,'03.08 Kyambogo-Spear Motors'!D26,'04.08 Kyambogo-Spear Motors'!D26)</f>
        <v>26.571428571428573</v>
      </c>
      <c r="E26" s="49">
        <f>AVERAGE('29.07 Kyambogo-Spear Motors'!E26,'30.07 Kyambogo-Spear Motors'!E26,'31.07 Kyambogo-Spear Motors'!E26,'02.08 Kyambogo-Spear Motors'!E26,'01.08 Kyambogo-Spear Motors'!E26,'03.08 Kyambogo-Spear Motors'!E26,'04.08 Kyambogo-Spear Motors'!E26)</f>
        <v>17.571428571428573</v>
      </c>
      <c r="F26" s="49">
        <f>AVERAGE('29.07 Kyambogo-Spear Motors'!F26,'30.07 Kyambogo-Spear Motors'!F26,'31.07 Kyambogo-Spear Motors'!F26,'02.08 Kyambogo-Spear Motors'!F26,'01.08 Kyambogo-Spear Motors'!F26,'03.08 Kyambogo-Spear Motors'!F26,'04.08 Kyambogo-Spear Motors'!F26)</f>
        <v>58.857142857142854</v>
      </c>
      <c r="G26" s="49">
        <f>AVERAGE('29.07 Kyambogo-Spear Motors'!G26,'30.07 Kyambogo-Spear Motors'!G26,'31.07 Kyambogo-Spear Motors'!G26,'02.08 Kyambogo-Spear Motors'!G26,'01.08 Kyambogo-Spear Motors'!G26,'03.08 Kyambogo-Spear Motors'!G26,'04.08 Kyambogo-Spear Motors'!G26)</f>
        <v>1.7142857142857142</v>
      </c>
      <c r="H26" s="49">
        <f>AVERAGE('29.07 Kyambogo-Spear Motors'!H26,'30.07 Kyambogo-Spear Motors'!H26,'31.07 Kyambogo-Spear Motors'!H26,'02.08 Kyambogo-Spear Motors'!H26,'01.08 Kyambogo-Spear Motors'!H26,'03.08 Kyambogo-Spear Motors'!H26,'04.08 Kyambogo-Spear Motors'!H26)</f>
        <v>0.42857142857142855</v>
      </c>
      <c r="I26" s="49">
        <f>AVERAGE('29.07 Kyambogo-Spear Motors'!I26,'30.07 Kyambogo-Spear Motors'!I26,'31.07 Kyambogo-Spear Motors'!I26,'02.08 Kyambogo-Spear Motors'!I26,'01.08 Kyambogo-Spear Motors'!I26,'03.08 Kyambogo-Spear Motors'!I26,'04.08 Kyambogo-Spear Motors'!I26)</f>
        <v>5.8571428571428568</v>
      </c>
      <c r="J26" s="49">
        <f>AVERAGE('29.07 Kyambogo-Spear Motors'!J26,'30.07 Kyambogo-Spear Motors'!J26,'31.07 Kyambogo-Spear Motors'!J26,'02.08 Kyambogo-Spear Motors'!J26,'01.08 Kyambogo-Spear Motors'!J26,'03.08 Kyambogo-Spear Motors'!J26,'04.08 Kyambogo-Spear Motors'!J26)</f>
        <v>1.8571428571428572</v>
      </c>
      <c r="K26" s="49">
        <f>AVERAGE('29.07 Kyambogo-Spear Motors'!K26,'30.07 Kyambogo-Spear Motors'!K26,'31.07 Kyambogo-Spear Motors'!K26,'02.08 Kyambogo-Spear Motors'!K26,'01.08 Kyambogo-Spear Motors'!K26,'03.08 Kyambogo-Spear Motors'!K26,'04.08 Kyambogo-Spear Motors'!K26)</f>
        <v>1.4285714285714286</v>
      </c>
      <c r="L26" s="49">
        <f>AVERAGE('29.07 Kyambogo-Spear Motors'!L26,'30.07 Kyambogo-Spear Motors'!L26,'31.07 Kyambogo-Spear Motors'!L26,'02.08 Kyambogo-Spear Motors'!L26,'01.08 Kyambogo-Spear Motors'!L26,'03.08 Kyambogo-Spear Motors'!L26,'04.08 Kyambogo-Spear Motors'!L26)</f>
        <v>3.5714285714285716</v>
      </c>
      <c r="M26" s="49">
        <f>AVERAGE('29.07 Kyambogo-Spear Motors'!M26,'30.07 Kyambogo-Spear Motors'!M26,'31.07 Kyambogo-Spear Motors'!M26,'02.08 Kyambogo-Spear Motors'!M26,'01.08 Kyambogo-Spear Motors'!M26,'03.08 Kyambogo-Spear Motors'!M26,'04.08 Kyambogo-Spear Motors'!M26)</f>
        <v>262.42857142857144</v>
      </c>
      <c r="N26" s="49">
        <f>AVERAGE('29.07 Kyambogo-Spear Motors'!N26,'30.07 Kyambogo-Spear Motors'!N26,'31.07 Kyambogo-Spear Motors'!N26,'02.08 Kyambogo-Spear Motors'!N26,'01.08 Kyambogo-Spear Motors'!N26,'03.08 Kyambogo-Spear Motors'!N26,'04.08 Kyambogo-Spear Motors'!N26)</f>
        <v>0</v>
      </c>
      <c r="O26" s="15">
        <f t="shared" si="0"/>
        <v>189.85714285714286</v>
      </c>
      <c r="P26" s="15">
        <f t="shared" si="1"/>
        <v>452.28571428571433</v>
      </c>
      <c r="R26" s="1" t="s">
        <v>150</v>
      </c>
      <c r="S26" s="34">
        <f>SUM(C74:C77)</f>
        <v>163</v>
      </c>
      <c r="T26" s="34">
        <f t="shared" ref="T26:AF26" si="18">SUM(D74:D77)</f>
        <v>16.5</v>
      </c>
      <c r="U26" s="34">
        <f t="shared" si="18"/>
        <v>21.5</v>
      </c>
      <c r="V26" s="34">
        <f t="shared" si="18"/>
        <v>111.5</v>
      </c>
      <c r="W26" s="34">
        <f t="shared" si="18"/>
        <v>6.5</v>
      </c>
      <c r="X26" s="34">
        <f t="shared" si="18"/>
        <v>3.5</v>
      </c>
      <c r="Y26" s="34">
        <f t="shared" si="18"/>
        <v>16.5</v>
      </c>
      <c r="Z26" s="34">
        <f t="shared" si="18"/>
        <v>18</v>
      </c>
      <c r="AA26" s="34">
        <f t="shared" si="18"/>
        <v>3</v>
      </c>
      <c r="AB26" s="34">
        <f t="shared" si="18"/>
        <v>7.5</v>
      </c>
      <c r="AC26" s="34">
        <f t="shared" si="18"/>
        <v>757.5</v>
      </c>
      <c r="AD26" s="34">
        <f t="shared" si="18"/>
        <v>0</v>
      </c>
      <c r="AE26" s="31">
        <f t="shared" si="18"/>
        <v>367.5</v>
      </c>
      <c r="AF26" s="31">
        <f t="shared" si="18"/>
        <v>1125</v>
      </c>
    </row>
    <row r="27" spans="2:32" ht="23.1" customHeight="1" x14ac:dyDescent="0.25">
      <c r="B27" s="23" t="s">
        <v>54</v>
      </c>
      <c r="C27" s="49">
        <f>AVERAGE('29.07 Kyambogo-Spear Motors'!C27,'30.07 Kyambogo-Spear Motors'!C27,'31.07 Kyambogo-Spear Motors'!C27,'02.08 Kyambogo-Spear Motors'!C27,'01.08 Kyambogo-Spear Motors'!C27,'03.08 Kyambogo-Spear Motors'!C27,'04.08 Kyambogo-Spear Motors'!C27)</f>
        <v>68</v>
      </c>
      <c r="D27" s="49">
        <f>AVERAGE('29.07 Kyambogo-Spear Motors'!D27,'30.07 Kyambogo-Spear Motors'!D27,'31.07 Kyambogo-Spear Motors'!D27,'02.08 Kyambogo-Spear Motors'!D27,'01.08 Kyambogo-Spear Motors'!D27,'03.08 Kyambogo-Spear Motors'!D27,'04.08 Kyambogo-Spear Motors'!D27)</f>
        <v>21.285714285714285</v>
      </c>
      <c r="E27" s="49">
        <f>AVERAGE('29.07 Kyambogo-Spear Motors'!E27,'30.07 Kyambogo-Spear Motors'!E27,'31.07 Kyambogo-Spear Motors'!E27,'02.08 Kyambogo-Spear Motors'!E27,'01.08 Kyambogo-Spear Motors'!E27,'03.08 Kyambogo-Spear Motors'!E27,'04.08 Kyambogo-Spear Motors'!E27)</f>
        <v>11.714285714285714</v>
      </c>
      <c r="F27" s="49">
        <f>AVERAGE('29.07 Kyambogo-Spear Motors'!F27,'30.07 Kyambogo-Spear Motors'!F27,'31.07 Kyambogo-Spear Motors'!F27,'02.08 Kyambogo-Spear Motors'!F27,'01.08 Kyambogo-Spear Motors'!F27,'03.08 Kyambogo-Spear Motors'!F27,'04.08 Kyambogo-Spear Motors'!F27)</f>
        <v>50.571428571428569</v>
      </c>
      <c r="G27" s="49">
        <f>AVERAGE('29.07 Kyambogo-Spear Motors'!G27,'30.07 Kyambogo-Spear Motors'!G27,'31.07 Kyambogo-Spear Motors'!G27,'02.08 Kyambogo-Spear Motors'!G27,'01.08 Kyambogo-Spear Motors'!G27,'03.08 Kyambogo-Spear Motors'!G27,'04.08 Kyambogo-Spear Motors'!G27)</f>
        <v>1.5714285714285714</v>
      </c>
      <c r="H27" s="49">
        <f>AVERAGE('29.07 Kyambogo-Spear Motors'!H27,'30.07 Kyambogo-Spear Motors'!H27,'31.07 Kyambogo-Spear Motors'!H27,'02.08 Kyambogo-Spear Motors'!H27,'01.08 Kyambogo-Spear Motors'!H27,'03.08 Kyambogo-Spear Motors'!H27,'04.08 Kyambogo-Spear Motors'!H27)</f>
        <v>0.42857142857142855</v>
      </c>
      <c r="I27" s="49">
        <f>AVERAGE('29.07 Kyambogo-Spear Motors'!I27,'30.07 Kyambogo-Spear Motors'!I27,'31.07 Kyambogo-Spear Motors'!I27,'02.08 Kyambogo-Spear Motors'!I27,'01.08 Kyambogo-Spear Motors'!I27,'03.08 Kyambogo-Spear Motors'!I27,'04.08 Kyambogo-Spear Motors'!I27)</f>
        <v>4.7142857142857144</v>
      </c>
      <c r="J27" s="49">
        <f>AVERAGE('29.07 Kyambogo-Spear Motors'!J27,'30.07 Kyambogo-Spear Motors'!J27,'31.07 Kyambogo-Spear Motors'!J27,'02.08 Kyambogo-Spear Motors'!J27,'01.08 Kyambogo-Spear Motors'!J27,'03.08 Kyambogo-Spear Motors'!J27,'04.08 Kyambogo-Spear Motors'!J27)</f>
        <v>2.7142857142857144</v>
      </c>
      <c r="K27" s="49">
        <f>AVERAGE('29.07 Kyambogo-Spear Motors'!K27,'30.07 Kyambogo-Spear Motors'!K27,'31.07 Kyambogo-Spear Motors'!K27,'02.08 Kyambogo-Spear Motors'!K27,'01.08 Kyambogo-Spear Motors'!K27,'03.08 Kyambogo-Spear Motors'!K27,'04.08 Kyambogo-Spear Motors'!K27)</f>
        <v>1</v>
      </c>
      <c r="L27" s="49">
        <f>AVERAGE('29.07 Kyambogo-Spear Motors'!L27,'30.07 Kyambogo-Spear Motors'!L27,'31.07 Kyambogo-Spear Motors'!L27,'02.08 Kyambogo-Spear Motors'!L27,'01.08 Kyambogo-Spear Motors'!L27,'03.08 Kyambogo-Spear Motors'!L27,'04.08 Kyambogo-Spear Motors'!L27)</f>
        <v>3.4285714285714284</v>
      </c>
      <c r="M27" s="49">
        <f>AVERAGE('29.07 Kyambogo-Spear Motors'!M27,'30.07 Kyambogo-Spear Motors'!M27,'31.07 Kyambogo-Spear Motors'!M27,'02.08 Kyambogo-Spear Motors'!M27,'01.08 Kyambogo-Spear Motors'!M27,'03.08 Kyambogo-Spear Motors'!M27,'04.08 Kyambogo-Spear Motors'!M27)</f>
        <v>184</v>
      </c>
      <c r="N27" s="49">
        <f>AVERAGE('29.07 Kyambogo-Spear Motors'!N27,'30.07 Kyambogo-Spear Motors'!N27,'31.07 Kyambogo-Spear Motors'!N27,'02.08 Kyambogo-Spear Motors'!N27,'01.08 Kyambogo-Spear Motors'!N27,'03.08 Kyambogo-Spear Motors'!N27,'04.08 Kyambogo-Spear Motors'!N27)</f>
        <v>0</v>
      </c>
      <c r="O27" s="15">
        <f t="shared" si="0"/>
        <v>165.42857142857142</v>
      </c>
      <c r="P27" s="15">
        <f t="shared" si="1"/>
        <v>349.42857142857144</v>
      </c>
      <c r="R27" s="1" t="s">
        <v>151</v>
      </c>
      <c r="S27" s="34">
        <f>SUM(C78:C81)</f>
        <v>185.5</v>
      </c>
      <c r="T27" s="34">
        <f t="shared" ref="T27:AF27" si="19">SUM(D78:D81)</f>
        <v>10.5</v>
      </c>
      <c r="U27" s="34">
        <f t="shared" si="19"/>
        <v>12</v>
      </c>
      <c r="V27" s="34">
        <f t="shared" si="19"/>
        <v>72</v>
      </c>
      <c r="W27" s="34">
        <f t="shared" si="19"/>
        <v>4.5</v>
      </c>
      <c r="X27" s="34">
        <f t="shared" si="19"/>
        <v>2</v>
      </c>
      <c r="Y27" s="34">
        <f t="shared" si="19"/>
        <v>31.5</v>
      </c>
      <c r="Z27" s="34">
        <f t="shared" si="19"/>
        <v>15.5</v>
      </c>
      <c r="AA27" s="34">
        <f t="shared" si="19"/>
        <v>1</v>
      </c>
      <c r="AB27" s="34">
        <f t="shared" si="19"/>
        <v>7.5</v>
      </c>
      <c r="AC27" s="34">
        <f t="shared" si="19"/>
        <v>684.5</v>
      </c>
      <c r="AD27" s="34">
        <f t="shared" si="19"/>
        <v>0</v>
      </c>
      <c r="AE27" s="31">
        <f t="shared" si="19"/>
        <v>342</v>
      </c>
      <c r="AF27" s="31">
        <f t="shared" si="19"/>
        <v>1026.5</v>
      </c>
    </row>
    <row r="28" spans="2:32" ht="23.1" customHeight="1" x14ac:dyDescent="0.25">
      <c r="B28" s="23" t="s">
        <v>55</v>
      </c>
      <c r="C28" s="49">
        <f>AVERAGE('29.07 Kyambogo-Spear Motors'!C28,'30.07 Kyambogo-Spear Motors'!C28,'31.07 Kyambogo-Spear Motors'!C28,'02.08 Kyambogo-Spear Motors'!C28,'01.08 Kyambogo-Spear Motors'!C28,'03.08 Kyambogo-Spear Motors'!C28,'04.08 Kyambogo-Spear Motors'!C28)</f>
        <v>65.428571428571431</v>
      </c>
      <c r="D28" s="49">
        <f>AVERAGE('29.07 Kyambogo-Spear Motors'!D28,'30.07 Kyambogo-Spear Motors'!D28,'31.07 Kyambogo-Spear Motors'!D28,'02.08 Kyambogo-Spear Motors'!D28,'01.08 Kyambogo-Spear Motors'!D28,'03.08 Kyambogo-Spear Motors'!D28,'04.08 Kyambogo-Spear Motors'!D28)</f>
        <v>18.571428571428573</v>
      </c>
      <c r="E28" s="49">
        <f>AVERAGE('29.07 Kyambogo-Spear Motors'!E28,'30.07 Kyambogo-Spear Motors'!E28,'31.07 Kyambogo-Spear Motors'!E28,'02.08 Kyambogo-Spear Motors'!E28,'01.08 Kyambogo-Spear Motors'!E28,'03.08 Kyambogo-Spear Motors'!E28,'04.08 Kyambogo-Spear Motors'!E28)</f>
        <v>11</v>
      </c>
      <c r="F28" s="49">
        <f>AVERAGE('29.07 Kyambogo-Spear Motors'!F28,'30.07 Kyambogo-Spear Motors'!F28,'31.07 Kyambogo-Spear Motors'!F28,'02.08 Kyambogo-Spear Motors'!F28,'01.08 Kyambogo-Spear Motors'!F28,'03.08 Kyambogo-Spear Motors'!F28,'04.08 Kyambogo-Spear Motors'!F28)</f>
        <v>61</v>
      </c>
      <c r="G28" s="49">
        <f>AVERAGE('29.07 Kyambogo-Spear Motors'!G28,'30.07 Kyambogo-Spear Motors'!G28,'31.07 Kyambogo-Spear Motors'!G28,'02.08 Kyambogo-Spear Motors'!G28,'01.08 Kyambogo-Spear Motors'!G28,'03.08 Kyambogo-Spear Motors'!G28,'04.08 Kyambogo-Spear Motors'!G28)</f>
        <v>1.5714285714285714</v>
      </c>
      <c r="H28" s="49">
        <f>AVERAGE('29.07 Kyambogo-Spear Motors'!H28,'30.07 Kyambogo-Spear Motors'!H28,'31.07 Kyambogo-Spear Motors'!H28,'02.08 Kyambogo-Spear Motors'!H28,'01.08 Kyambogo-Spear Motors'!H28,'03.08 Kyambogo-Spear Motors'!H28,'04.08 Kyambogo-Spear Motors'!H28)</f>
        <v>0.2857142857142857</v>
      </c>
      <c r="I28" s="49">
        <f>AVERAGE('29.07 Kyambogo-Spear Motors'!I28,'30.07 Kyambogo-Spear Motors'!I28,'31.07 Kyambogo-Spear Motors'!I28,'02.08 Kyambogo-Spear Motors'!I28,'01.08 Kyambogo-Spear Motors'!I28,'03.08 Kyambogo-Spear Motors'!I28,'04.08 Kyambogo-Spear Motors'!I28)</f>
        <v>8.1428571428571423</v>
      </c>
      <c r="J28" s="49">
        <f>AVERAGE('29.07 Kyambogo-Spear Motors'!J28,'30.07 Kyambogo-Spear Motors'!J28,'31.07 Kyambogo-Spear Motors'!J28,'02.08 Kyambogo-Spear Motors'!J28,'01.08 Kyambogo-Spear Motors'!J28,'03.08 Kyambogo-Spear Motors'!J28,'04.08 Kyambogo-Spear Motors'!J28)</f>
        <v>3.4285714285714284</v>
      </c>
      <c r="K28" s="49">
        <f>AVERAGE('29.07 Kyambogo-Spear Motors'!K28,'30.07 Kyambogo-Spear Motors'!K28,'31.07 Kyambogo-Spear Motors'!K28,'02.08 Kyambogo-Spear Motors'!K28,'01.08 Kyambogo-Spear Motors'!K28,'03.08 Kyambogo-Spear Motors'!K28,'04.08 Kyambogo-Spear Motors'!K28)</f>
        <v>1.5714285714285714</v>
      </c>
      <c r="L28" s="49">
        <f>AVERAGE('29.07 Kyambogo-Spear Motors'!L28,'30.07 Kyambogo-Spear Motors'!L28,'31.07 Kyambogo-Spear Motors'!L28,'02.08 Kyambogo-Spear Motors'!L28,'01.08 Kyambogo-Spear Motors'!L28,'03.08 Kyambogo-Spear Motors'!L28,'04.08 Kyambogo-Spear Motors'!L28)</f>
        <v>5.2857142857142856</v>
      </c>
      <c r="M28" s="49">
        <f>AVERAGE('29.07 Kyambogo-Spear Motors'!M28,'30.07 Kyambogo-Spear Motors'!M28,'31.07 Kyambogo-Spear Motors'!M28,'02.08 Kyambogo-Spear Motors'!M28,'01.08 Kyambogo-Spear Motors'!M28,'03.08 Kyambogo-Spear Motors'!M28,'04.08 Kyambogo-Spear Motors'!M28)</f>
        <v>200.14285714285714</v>
      </c>
      <c r="N28" s="49">
        <f>AVERAGE('29.07 Kyambogo-Spear Motors'!N28,'30.07 Kyambogo-Spear Motors'!N28,'31.07 Kyambogo-Spear Motors'!N28,'02.08 Kyambogo-Spear Motors'!N28,'01.08 Kyambogo-Spear Motors'!N28,'03.08 Kyambogo-Spear Motors'!N28,'04.08 Kyambogo-Spear Motors'!N28)</f>
        <v>0</v>
      </c>
      <c r="O28" s="15">
        <f t="shared" si="0"/>
        <v>176.28571428571428</v>
      </c>
      <c r="P28" s="15">
        <f t="shared" si="1"/>
        <v>376.42857142857144</v>
      </c>
      <c r="R28" s="1" t="s">
        <v>152</v>
      </c>
      <c r="S28" s="34">
        <f>SUM(C82:C85)</f>
        <v>92.5</v>
      </c>
      <c r="T28" s="34">
        <f t="shared" ref="T28:AF28" si="20">SUM(D82:D85)</f>
        <v>7</v>
      </c>
      <c r="U28" s="34">
        <f t="shared" si="20"/>
        <v>10.5</v>
      </c>
      <c r="V28" s="34">
        <f t="shared" si="20"/>
        <v>27.5</v>
      </c>
      <c r="W28" s="34">
        <f t="shared" si="20"/>
        <v>4.5</v>
      </c>
      <c r="X28" s="34">
        <f t="shared" si="20"/>
        <v>10</v>
      </c>
      <c r="Y28" s="34">
        <f t="shared" si="20"/>
        <v>17</v>
      </c>
      <c r="Z28" s="34">
        <f t="shared" si="20"/>
        <v>8</v>
      </c>
      <c r="AA28" s="34">
        <f t="shared" si="20"/>
        <v>6.5</v>
      </c>
      <c r="AB28" s="34">
        <f t="shared" si="20"/>
        <v>4</v>
      </c>
      <c r="AC28" s="34">
        <f t="shared" si="20"/>
        <v>601.5</v>
      </c>
      <c r="AD28" s="34">
        <f t="shared" si="20"/>
        <v>0</v>
      </c>
      <c r="AE28" s="31">
        <f t="shared" si="20"/>
        <v>187.5</v>
      </c>
      <c r="AF28" s="31">
        <f t="shared" si="20"/>
        <v>789</v>
      </c>
    </row>
    <row r="29" spans="2:32" ht="23.1" customHeight="1" x14ac:dyDescent="0.25">
      <c r="B29" s="23" t="s">
        <v>56</v>
      </c>
      <c r="C29" s="49">
        <f>AVERAGE('29.07 Kyambogo-Spear Motors'!C29,'30.07 Kyambogo-Spear Motors'!C29,'31.07 Kyambogo-Spear Motors'!C29,'02.08 Kyambogo-Spear Motors'!C29,'01.08 Kyambogo-Spear Motors'!C29,'03.08 Kyambogo-Spear Motors'!C29,'04.08 Kyambogo-Spear Motors'!C29)</f>
        <v>60.428571428571431</v>
      </c>
      <c r="D29" s="49">
        <f>AVERAGE('29.07 Kyambogo-Spear Motors'!D29,'30.07 Kyambogo-Spear Motors'!D29,'31.07 Kyambogo-Spear Motors'!D29,'02.08 Kyambogo-Spear Motors'!D29,'01.08 Kyambogo-Spear Motors'!D29,'03.08 Kyambogo-Spear Motors'!D29,'04.08 Kyambogo-Spear Motors'!D29)</f>
        <v>20.714285714285715</v>
      </c>
      <c r="E29" s="49">
        <f>AVERAGE('29.07 Kyambogo-Spear Motors'!E29,'30.07 Kyambogo-Spear Motors'!E29,'31.07 Kyambogo-Spear Motors'!E29,'02.08 Kyambogo-Spear Motors'!E29,'01.08 Kyambogo-Spear Motors'!E29,'03.08 Kyambogo-Spear Motors'!E29,'04.08 Kyambogo-Spear Motors'!E29)</f>
        <v>12.571428571428571</v>
      </c>
      <c r="F29" s="49">
        <f>AVERAGE('29.07 Kyambogo-Spear Motors'!F29,'30.07 Kyambogo-Spear Motors'!F29,'31.07 Kyambogo-Spear Motors'!F29,'02.08 Kyambogo-Spear Motors'!F29,'01.08 Kyambogo-Spear Motors'!F29,'03.08 Kyambogo-Spear Motors'!F29,'04.08 Kyambogo-Spear Motors'!F29)</f>
        <v>55</v>
      </c>
      <c r="G29" s="49">
        <f>AVERAGE('29.07 Kyambogo-Spear Motors'!G29,'30.07 Kyambogo-Spear Motors'!G29,'31.07 Kyambogo-Spear Motors'!G29,'02.08 Kyambogo-Spear Motors'!G29,'01.08 Kyambogo-Spear Motors'!G29,'03.08 Kyambogo-Spear Motors'!G29,'04.08 Kyambogo-Spear Motors'!G29)</f>
        <v>1.7142857142857142</v>
      </c>
      <c r="H29" s="49">
        <f>AVERAGE('29.07 Kyambogo-Spear Motors'!H29,'30.07 Kyambogo-Spear Motors'!H29,'31.07 Kyambogo-Spear Motors'!H29,'02.08 Kyambogo-Spear Motors'!H29,'01.08 Kyambogo-Spear Motors'!H29,'03.08 Kyambogo-Spear Motors'!H29,'04.08 Kyambogo-Spear Motors'!H29)</f>
        <v>0.5714285714285714</v>
      </c>
      <c r="I29" s="49">
        <f>AVERAGE('29.07 Kyambogo-Spear Motors'!I29,'30.07 Kyambogo-Spear Motors'!I29,'31.07 Kyambogo-Spear Motors'!I29,'02.08 Kyambogo-Spear Motors'!I29,'01.08 Kyambogo-Spear Motors'!I29,'03.08 Kyambogo-Spear Motors'!I29,'04.08 Kyambogo-Spear Motors'!I29)</f>
        <v>6.8571428571428568</v>
      </c>
      <c r="J29" s="49">
        <f>AVERAGE('29.07 Kyambogo-Spear Motors'!J29,'30.07 Kyambogo-Spear Motors'!J29,'31.07 Kyambogo-Spear Motors'!J29,'02.08 Kyambogo-Spear Motors'!J29,'01.08 Kyambogo-Spear Motors'!J29,'03.08 Kyambogo-Spear Motors'!J29,'04.08 Kyambogo-Spear Motors'!J29)</f>
        <v>2.8571428571428572</v>
      </c>
      <c r="K29" s="49">
        <f>AVERAGE('29.07 Kyambogo-Spear Motors'!K29,'30.07 Kyambogo-Spear Motors'!K29,'31.07 Kyambogo-Spear Motors'!K29,'02.08 Kyambogo-Spear Motors'!K29,'01.08 Kyambogo-Spear Motors'!K29,'03.08 Kyambogo-Spear Motors'!K29,'04.08 Kyambogo-Spear Motors'!K29)</f>
        <v>1</v>
      </c>
      <c r="L29" s="49">
        <f>AVERAGE('29.07 Kyambogo-Spear Motors'!L29,'30.07 Kyambogo-Spear Motors'!L29,'31.07 Kyambogo-Spear Motors'!L29,'02.08 Kyambogo-Spear Motors'!L29,'01.08 Kyambogo-Spear Motors'!L29,'03.08 Kyambogo-Spear Motors'!L29,'04.08 Kyambogo-Spear Motors'!L29)</f>
        <v>4</v>
      </c>
      <c r="M29" s="49">
        <f>AVERAGE('29.07 Kyambogo-Spear Motors'!M29,'30.07 Kyambogo-Spear Motors'!M29,'31.07 Kyambogo-Spear Motors'!M29,'02.08 Kyambogo-Spear Motors'!M29,'01.08 Kyambogo-Spear Motors'!M29,'03.08 Kyambogo-Spear Motors'!M29,'04.08 Kyambogo-Spear Motors'!M29)</f>
        <v>188.57142857142858</v>
      </c>
      <c r="N29" s="49">
        <f>AVERAGE('29.07 Kyambogo-Spear Motors'!N29,'30.07 Kyambogo-Spear Motors'!N29,'31.07 Kyambogo-Spear Motors'!N29,'02.08 Kyambogo-Spear Motors'!N29,'01.08 Kyambogo-Spear Motors'!N29,'03.08 Kyambogo-Spear Motors'!N29,'04.08 Kyambogo-Spear Motors'!N29)</f>
        <v>0</v>
      </c>
      <c r="O29" s="15">
        <f t="shared" si="0"/>
        <v>165.71428571428575</v>
      </c>
      <c r="P29" s="15">
        <f t="shared" si="1"/>
        <v>354.28571428571433</v>
      </c>
      <c r="R29" s="1" t="s">
        <v>153</v>
      </c>
      <c r="S29" s="34">
        <f>SUM(C86:C89)</f>
        <v>67</v>
      </c>
      <c r="T29" s="34">
        <f t="shared" ref="T29:AF29" si="21">SUM(D86:D89)</f>
        <v>9.5</v>
      </c>
      <c r="U29" s="34">
        <f t="shared" si="21"/>
        <v>8.5</v>
      </c>
      <c r="V29" s="34">
        <f t="shared" si="21"/>
        <v>52.5</v>
      </c>
      <c r="W29" s="34">
        <f t="shared" si="21"/>
        <v>2</v>
      </c>
      <c r="X29" s="34">
        <f t="shared" si="21"/>
        <v>4</v>
      </c>
      <c r="Y29" s="34">
        <f t="shared" si="21"/>
        <v>13</v>
      </c>
      <c r="Z29" s="34">
        <f t="shared" si="21"/>
        <v>11</v>
      </c>
      <c r="AA29" s="34">
        <f t="shared" si="21"/>
        <v>3.5</v>
      </c>
      <c r="AB29" s="34">
        <f t="shared" si="21"/>
        <v>4</v>
      </c>
      <c r="AC29" s="34">
        <f t="shared" si="21"/>
        <v>636</v>
      </c>
      <c r="AD29" s="34">
        <f t="shared" si="21"/>
        <v>0</v>
      </c>
      <c r="AE29" s="31">
        <f t="shared" si="21"/>
        <v>175</v>
      </c>
      <c r="AF29" s="31">
        <f t="shared" si="21"/>
        <v>811</v>
      </c>
    </row>
    <row r="30" spans="2:32" ht="23.1" customHeight="1" x14ac:dyDescent="0.25">
      <c r="B30" s="23" t="s">
        <v>57</v>
      </c>
      <c r="C30" s="49">
        <f>AVERAGE('29.07 Kyambogo-Spear Motors'!C30,'30.07 Kyambogo-Spear Motors'!C30,'31.07 Kyambogo-Spear Motors'!C30,'02.08 Kyambogo-Spear Motors'!C30,'01.08 Kyambogo-Spear Motors'!C30,'03.08 Kyambogo-Spear Motors'!C30,'04.08 Kyambogo-Spear Motors'!C30)</f>
        <v>62.857142857142854</v>
      </c>
      <c r="D30" s="49">
        <f>AVERAGE('29.07 Kyambogo-Spear Motors'!D30,'30.07 Kyambogo-Spear Motors'!D30,'31.07 Kyambogo-Spear Motors'!D30,'02.08 Kyambogo-Spear Motors'!D30,'01.08 Kyambogo-Spear Motors'!D30,'03.08 Kyambogo-Spear Motors'!D30,'04.08 Kyambogo-Spear Motors'!D30)</f>
        <v>24.571428571428573</v>
      </c>
      <c r="E30" s="49">
        <f>AVERAGE('29.07 Kyambogo-Spear Motors'!E30,'30.07 Kyambogo-Spear Motors'!E30,'31.07 Kyambogo-Spear Motors'!E30,'02.08 Kyambogo-Spear Motors'!E30,'01.08 Kyambogo-Spear Motors'!E30,'03.08 Kyambogo-Spear Motors'!E30,'04.08 Kyambogo-Spear Motors'!E30)</f>
        <v>15.428571428571429</v>
      </c>
      <c r="F30" s="49">
        <f>AVERAGE('29.07 Kyambogo-Spear Motors'!F30,'30.07 Kyambogo-Spear Motors'!F30,'31.07 Kyambogo-Spear Motors'!F30,'02.08 Kyambogo-Spear Motors'!F30,'01.08 Kyambogo-Spear Motors'!F30,'03.08 Kyambogo-Spear Motors'!F30,'04.08 Kyambogo-Spear Motors'!F30)</f>
        <v>50.142857142857146</v>
      </c>
      <c r="G30" s="49">
        <f>AVERAGE('29.07 Kyambogo-Spear Motors'!G30,'30.07 Kyambogo-Spear Motors'!G30,'31.07 Kyambogo-Spear Motors'!G30,'02.08 Kyambogo-Spear Motors'!G30,'01.08 Kyambogo-Spear Motors'!G30,'03.08 Kyambogo-Spear Motors'!G30,'04.08 Kyambogo-Spear Motors'!G30)</f>
        <v>2.2857142857142856</v>
      </c>
      <c r="H30" s="49">
        <f>AVERAGE('29.07 Kyambogo-Spear Motors'!H30,'30.07 Kyambogo-Spear Motors'!H30,'31.07 Kyambogo-Spear Motors'!H30,'02.08 Kyambogo-Spear Motors'!H30,'01.08 Kyambogo-Spear Motors'!H30,'03.08 Kyambogo-Spear Motors'!H30,'04.08 Kyambogo-Spear Motors'!H30)</f>
        <v>0.5714285714285714</v>
      </c>
      <c r="I30" s="49">
        <f>AVERAGE('29.07 Kyambogo-Spear Motors'!I30,'30.07 Kyambogo-Spear Motors'!I30,'31.07 Kyambogo-Spear Motors'!I30,'02.08 Kyambogo-Spear Motors'!I30,'01.08 Kyambogo-Spear Motors'!I30,'03.08 Kyambogo-Spear Motors'!I30,'04.08 Kyambogo-Spear Motors'!I30)</f>
        <v>7.4285714285714288</v>
      </c>
      <c r="J30" s="49">
        <f>AVERAGE('29.07 Kyambogo-Spear Motors'!J30,'30.07 Kyambogo-Spear Motors'!J30,'31.07 Kyambogo-Spear Motors'!J30,'02.08 Kyambogo-Spear Motors'!J30,'01.08 Kyambogo-Spear Motors'!J30,'03.08 Kyambogo-Spear Motors'!J30,'04.08 Kyambogo-Spear Motors'!J30)</f>
        <v>2</v>
      </c>
      <c r="K30" s="49">
        <f>AVERAGE('29.07 Kyambogo-Spear Motors'!K30,'30.07 Kyambogo-Spear Motors'!K30,'31.07 Kyambogo-Spear Motors'!K30,'02.08 Kyambogo-Spear Motors'!K30,'01.08 Kyambogo-Spear Motors'!K30,'03.08 Kyambogo-Spear Motors'!K30,'04.08 Kyambogo-Spear Motors'!K30)</f>
        <v>0.8571428571428571</v>
      </c>
      <c r="L30" s="49">
        <f>AVERAGE('29.07 Kyambogo-Spear Motors'!L30,'30.07 Kyambogo-Spear Motors'!L30,'31.07 Kyambogo-Spear Motors'!L30,'02.08 Kyambogo-Spear Motors'!L30,'01.08 Kyambogo-Spear Motors'!L30,'03.08 Kyambogo-Spear Motors'!L30,'04.08 Kyambogo-Spear Motors'!L30)</f>
        <v>2.7142857142857144</v>
      </c>
      <c r="M30" s="49">
        <f>AVERAGE('29.07 Kyambogo-Spear Motors'!M30,'30.07 Kyambogo-Spear Motors'!M30,'31.07 Kyambogo-Spear Motors'!M30,'02.08 Kyambogo-Spear Motors'!M30,'01.08 Kyambogo-Spear Motors'!M30,'03.08 Kyambogo-Spear Motors'!M30,'04.08 Kyambogo-Spear Motors'!M30)</f>
        <v>180.14285714285714</v>
      </c>
      <c r="N30" s="49">
        <f>AVERAGE('29.07 Kyambogo-Spear Motors'!N30,'30.07 Kyambogo-Spear Motors'!N30,'31.07 Kyambogo-Spear Motors'!N30,'02.08 Kyambogo-Spear Motors'!N30,'01.08 Kyambogo-Spear Motors'!N30,'03.08 Kyambogo-Spear Motors'!N30,'04.08 Kyambogo-Spear Motors'!N30)</f>
        <v>0</v>
      </c>
      <c r="O30" s="15">
        <f t="shared" si="0"/>
        <v>168.85714285714286</v>
      </c>
      <c r="P30" s="15">
        <f t="shared" si="1"/>
        <v>349</v>
      </c>
      <c r="R30" s="1" t="s">
        <v>154</v>
      </c>
      <c r="S30" s="34">
        <f>SUM(C90:C93)</f>
        <v>48.5</v>
      </c>
      <c r="T30" s="34">
        <f t="shared" ref="T30:AF30" si="22">SUM(D90:D93)</f>
        <v>4</v>
      </c>
      <c r="U30" s="34">
        <f t="shared" si="22"/>
        <v>9</v>
      </c>
      <c r="V30" s="34">
        <f t="shared" si="22"/>
        <v>18.5</v>
      </c>
      <c r="W30" s="34">
        <f t="shared" si="22"/>
        <v>1</v>
      </c>
      <c r="X30" s="34">
        <f t="shared" si="22"/>
        <v>2.5</v>
      </c>
      <c r="Y30" s="34">
        <f t="shared" si="22"/>
        <v>12</v>
      </c>
      <c r="Z30" s="34">
        <f t="shared" si="22"/>
        <v>11.5</v>
      </c>
      <c r="AA30" s="34">
        <f t="shared" si="22"/>
        <v>2.5</v>
      </c>
      <c r="AB30" s="34">
        <f t="shared" si="22"/>
        <v>11</v>
      </c>
      <c r="AC30" s="34">
        <f t="shared" si="22"/>
        <v>588.5</v>
      </c>
      <c r="AD30" s="34">
        <f t="shared" si="22"/>
        <v>0</v>
      </c>
      <c r="AE30" s="31">
        <f t="shared" si="22"/>
        <v>120.5</v>
      </c>
      <c r="AF30" s="31">
        <f t="shared" si="22"/>
        <v>709</v>
      </c>
    </row>
    <row r="31" spans="2:32" ht="23.1" customHeight="1" x14ac:dyDescent="0.25">
      <c r="B31" s="24" t="s">
        <v>58</v>
      </c>
      <c r="C31" s="49">
        <f>AVERAGE('29.07 Kyambogo-Spear Motors'!C31,'30.07 Kyambogo-Spear Motors'!C31,'31.07 Kyambogo-Spear Motors'!C31,'02.08 Kyambogo-Spear Motors'!C31,'01.08 Kyambogo-Spear Motors'!C31,'03.08 Kyambogo-Spear Motors'!C31,'04.08 Kyambogo-Spear Motors'!C31)</f>
        <v>61.428571428571431</v>
      </c>
      <c r="D31" s="49">
        <f>AVERAGE('29.07 Kyambogo-Spear Motors'!D31,'30.07 Kyambogo-Spear Motors'!D31,'31.07 Kyambogo-Spear Motors'!D31,'02.08 Kyambogo-Spear Motors'!D31,'01.08 Kyambogo-Spear Motors'!D31,'03.08 Kyambogo-Spear Motors'!D31,'04.08 Kyambogo-Spear Motors'!D31)</f>
        <v>21.142857142857142</v>
      </c>
      <c r="E31" s="49">
        <f>AVERAGE('29.07 Kyambogo-Spear Motors'!E31,'30.07 Kyambogo-Spear Motors'!E31,'31.07 Kyambogo-Spear Motors'!E31,'02.08 Kyambogo-Spear Motors'!E31,'01.08 Kyambogo-Spear Motors'!E31,'03.08 Kyambogo-Spear Motors'!E31,'04.08 Kyambogo-Spear Motors'!E31)</f>
        <v>10</v>
      </c>
      <c r="F31" s="49">
        <f>AVERAGE('29.07 Kyambogo-Spear Motors'!F31,'30.07 Kyambogo-Spear Motors'!F31,'31.07 Kyambogo-Spear Motors'!F31,'02.08 Kyambogo-Spear Motors'!F31,'01.08 Kyambogo-Spear Motors'!F31,'03.08 Kyambogo-Spear Motors'!F31,'04.08 Kyambogo-Spear Motors'!F31)</f>
        <v>49.571428571428569</v>
      </c>
      <c r="G31" s="49">
        <f>AVERAGE('29.07 Kyambogo-Spear Motors'!G31,'30.07 Kyambogo-Spear Motors'!G31,'31.07 Kyambogo-Spear Motors'!G31,'02.08 Kyambogo-Spear Motors'!G31,'01.08 Kyambogo-Spear Motors'!G31,'03.08 Kyambogo-Spear Motors'!G31,'04.08 Kyambogo-Spear Motors'!G31)</f>
        <v>1</v>
      </c>
      <c r="H31" s="49">
        <f>AVERAGE('29.07 Kyambogo-Spear Motors'!H31,'30.07 Kyambogo-Spear Motors'!H31,'31.07 Kyambogo-Spear Motors'!H31,'02.08 Kyambogo-Spear Motors'!H31,'01.08 Kyambogo-Spear Motors'!H31,'03.08 Kyambogo-Spear Motors'!H31,'04.08 Kyambogo-Spear Motors'!H31)</f>
        <v>0.2857142857142857</v>
      </c>
      <c r="I31" s="49">
        <f>AVERAGE('29.07 Kyambogo-Spear Motors'!I31,'30.07 Kyambogo-Spear Motors'!I31,'31.07 Kyambogo-Spear Motors'!I31,'02.08 Kyambogo-Spear Motors'!I31,'01.08 Kyambogo-Spear Motors'!I31,'03.08 Kyambogo-Spear Motors'!I31,'04.08 Kyambogo-Spear Motors'!I31)</f>
        <v>6.1428571428571432</v>
      </c>
      <c r="J31" s="49">
        <f>AVERAGE('29.07 Kyambogo-Spear Motors'!J31,'30.07 Kyambogo-Spear Motors'!J31,'31.07 Kyambogo-Spear Motors'!J31,'02.08 Kyambogo-Spear Motors'!J31,'01.08 Kyambogo-Spear Motors'!J31,'03.08 Kyambogo-Spear Motors'!J31,'04.08 Kyambogo-Spear Motors'!J31)</f>
        <v>2.4285714285714284</v>
      </c>
      <c r="K31" s="49">
        <f>AVERAGE('29.07 Kyambogo-Spear Motors'!K31,'30.07 Kyambogo-Spear Motors'!K31,'31.07 Kyambogo-Spear Motors'!K31,'02.08 Kyambogo-Spear Motors'!K31,'01.08 Kyambogo-Spear Motors'!K31,'03.08 Kyambogo-Spear Motors'!K31,'04.08 Kyambogo-Spear Motors'!K31)</f>
        <v>2</v>
      </c>
      <c r="L31" s="49">
        <f>AVERAGE('29.07 Kyambogo-Spear Motors'!L31,'30.07 Kyambogo-Spear Motors'!L31,'31.07 Kyambogo-Spear Motors'!L31,'02.08 Kyambogo-Spear Motors'!L31,'01.08 Kyambogo-Spear Motors'!L31,'03.08 Kyambogo-Spear Motors'!L31,'04.08 Kyambogo-Spear Motors'!L31)</f>
        <v>3.7142857142857144</v>
      </c>
      <c r="M31" s="49">
        <f>AVERAGE('29.07 Kyambogo-Spear Motors'!M31,'30.07 Kyambogo-Spear Motors'!M31,'31.07 Kyambogo-Spear Motors'!M31,'02.08 Kyambogo-Spear Motors'!M31,'01.08 Kyambogo-Spear Motors'!M31,'03.08 Kyambogo-Spear Motors'!M31,'04.08 Kyambogo-Spear Motors'!M31)</f>
        <v>185.42857142857142</v>
      </c>
      <c r="N31" s="49">
        <f>AVERAGE('29.07 Kyambogo-Spear Motors'!N31,'30.07 Kyambogo-Spear Motors'!N31,'31.07 Kyambogo-Spear Motors'!N31,'02.08 Kyambogo-Spear Motors'!N31,'01.08 Kyambogo-Spear Motors'!N31,'03.08 Kyambogo-Spear Motors'!N31,'04.08 Kyambogo-Spear Motors'!N31)</f>
        <v>0</v>
      </c>
      <c r="O31" s="15">
        <f t="shared" si="0"/>
        <v>157.71428571428569</v>
      </c>
      <c r="P31" s="15">
        <f t="shared" si="1"/>
        <v>343.14285714285711</v>
      </c>
      <c r="R31" s="1" t="s">
        <v>155</v>
      </c>
      <c r="S31" s="34">
        <f>SUM(C94:C97)</f>
        <v>57</v>
      </c>
      <c r="T31" s="34">
        <f t="shared" ref="T31:AF31" si="23">SUM(D94:D97)</f>
        <v>6.5</v>
      </c>
      <c r="U31" s="34">
        <f t="shared" si="23"/>
        <v>13</v>
      </c>
      <c r="V31" s="34">
        <f t="shared" si="23"/>
        <v>41</v>
      </c>
      <c r="W31" s="34">
        <f t="shared" si="23"/>
        <v>5</v>
      </c>
      <c r="X31" s="34">
        <f t="shared" si="23"/>
        <v>3.5</v>
      </c>
      <c r="Y31" s="34">
        <f t="shared" si="23"/>
        <v>14.5</v>
      </c>
      <c r="Z31" s="34">
        <f t="shared" si="23"/>
        <v>9</v>
      </c>
      <c r="AA31" s="34">
        <f t="shared" si="23"/>
        <v>0.5</v>
      </c>
      <c r="AB31" s="34">
        <f t="shared" si="23"/>
        <v>6</v>
      </c>
      <c r="AC31" s="34">
        <f t="shared" si="23"/>
        <v>519</v>
      </c>
      <c r="AD31" s="34">
        <f t="shared" si="23"/>
        <v>0</v>
      </c>
      <c r="AE31" s="31">
        <f t="shared" si="23"/>
        <v>156</v>
      </c>
      <c r="AF31" s="31">
        <f t="shared" si="23"/>
        <v>675</v>
      </c>
    </row>
    <row r="32" spans="2:32" ht="23.1" customHeight="1" x14ac:dyDescent="0.25">
      <c r="B32" s="24" t="s">
        <v>59</v>
      </c>
      <c r="C32" s="49">
        <f>AVERAGE('29.07 Kyambogo-Spear Motors'!C32,'30.07 Kyambogo-Spear Motors'!C32,'31.07 Kyambogo-Spear Motors'!C32,'02.08 Kyambogo-Spear Motors'!C32,'01.08 Kyambogo-Spear Motors'!C32,'03.08 Kyambogo-Spear Motors'!C32,'04.08 Kyambogo-Spear Motors'!C32)</f>
        <v>59.714285714285715</v>
      </c>
      <c r="D32" s="49">
        <f>AVERAGE('29.07 Kyambogo-Spear Motors'!D32,'30.07 Kyambogo-Spear Motors'!D32,'31.07 Kyambogo-Spear Motors'!D32,'02.08 Kyambogo-Spear Motors'!D32,'01.08 Kyambogo-Spear Motors'!D32,'03.08 Kyambogo-Spear Motors'!D32,'04.08 Kyambogo-Spear Motors'!D32)</f>
        <v>18.857142857142858</v>
      </c>
      <c r="E32" s="49">
        <f>AVERAGE('29.07 Kyambogo-Spear Motors'!E32,'30.07 Kyambogo-Spear Motors'!E32,'31.07 Kyambogo-Spear Motors'!E32,'02.08 Kyambogo-Spear Motors'!E32,'01.08 Kyambogo-Spear Motors'!E32,'03.08 Kyambogo-Spear Motors'!E32,'04.08 Kyambogo-Spear Motors'!E32)</f>
        <v>13.285714285714286</v>
      </c>
      <c r="F32" s="49">
        <f>AVERAGE('29.07 Kyambogo-Spear Motors'!F32,'30.07 Kyambogo-Spear Motors'!F32,'31.07 Kyambogo-Spear Motors'!F32,'02.08 Kyambogo-Spear Motors'!F32,'01.08 Kyambogo-Spear Motors'!F32,'03.08 Kyambogo-Spear Motors'!F32,'04.08 Kyambogo-Spear Motors'!F32)</f>
        <v>48</v>
      </c>
      <c r="G32" s="49">
        <f>AVERAGE('29.07 Kyambogo-Spear Motors'!G32,'30.07 Kyambogo-Spear Motors'!G32,'31.07 Kyambogo-Spear Motors'!G32,'02.08 Kyambogo-Spear Motors'!G32,'01.08 Kyambogo-Spear Motors'!G32,'03.08 Kyambogo-Spear Motors'!G32,'04.08 Kyambogo-Spear Motors'!G32)</f>
        <v>0.42857142857142855</v>
      </c>
      <c r="H32" s="49">
        <f>AVERAGE('29.07 Kyambogo-Spear Motors'!H32,'30.07 Kyambogo-Spear Motors'!H32,'31.07 Kyambogo-Spear Motors'!H32,'02.08 Kyambogo-Spear Motors'!H32,'01.08 Kyambogo-Spear Motors'!H32,'03.08 Kyambogo-Spear Motors'!H32,'04.08 Kyambogo-Spear Motors'!H32)</f>
        <v>0.14285714285714285</v>
      </c>
      <c r="I32" s="49">
        <f>AVERAGE('29.07 Kyambogo-Spear Motors'!I32,'30.07 Kyambogo-Spear Motors'!I32,'31.07 Kyambogo-Spear Motors'!I32,'02.08 Kyambogo-Spear Motors'!I32,'01.08 Kyambogo-Spear Motors'!I32,'03.08 Kyambogo-Spear Motors'!I32,'04.08 Kyambogo-Spear Motors'!I32)</f>
        <v>4.1428571428571432</v>
      </c>
      <c r="J32" s="49">
        <f>AVERAGE('29.07 Kyambogo-Spear Motors'!J32,'30.07 Kyambogo-Spear Motors'!J32,'31.07 Kyambogo-Spear Motors'!J32,'02.08 Kyambogo-Spear Motors'!J32,'01.08 Kyambogo-Spear Motors'!J32,'03.08 Kyambogo-Spear Motors'!J32,'04.08 Kyambogo-Spear Motors'!J32)</f>
        <v>2.4285714285714284</v>
      </c>
      <c r="K32" s="49">
        <f>AVERAGE('29.07 Kyambogo-Spear Motors'!K32,'30.07 Kyambogo-Spear Motors'!K32,'31.07 Kyambogo-Spear Motors'!K32,'02.08 Kyambogo-Spear Motors'!K32,'01.08 Kyambogo-Spear Motors'!K32,'03.08 Kyambogo-Spear Motors'!K32,'04.08 Kyambogo-Spear Motors'!K32)</f>
        <v>1.7142857142857142</v>
      </c>
      <c r="L32" s="49">
        <f>AVERAGE('29.07 Kyambogo-Spear Motors'!L32,'30.07 Kyambogo-Spear Motors'!L32,'31.07 Kyambogo-Spear Motors'!L32,'02.08 Kyambogo-Spear Motors'!L32,'01.08 Kyambogo-Spear Motors'!L32,'03.08 Kyambogo-Spear Motors'!L32,'04.08 Kyambogo-Spear Motors'!L32)</f>
        <v>3.7142857142857144</v>
      </c>
      <c r="M32" s="49">
        <f>AVERAGE('29.07 Kyambogo-Spear Motors'!M32,'30.07 Kyambogo-Spear Motors'!M32,'31.07 Kyambogo-Spear Motors'!M32,'02.08 Kyambogo-Spear Motors'!M32,'01.08 Kyambogo-Spear Motors'!M32,'03.08 Kyambogo-Spear Motors'!M32,'04.08 Kyambogo-Spear Motors'!M32)</f>
        <v>229.14285714285714</v>
      </c>
      <c r="N32" s="49">
        <f>AVERAGE('29.07 Kyambogo-Spear Motors'!N32,'30.07 Kyambogo-Spear Motors'!N32,'31.07 Kyambogo-Spear Motors'!N32,'02.08 Kyambogo-Spear Motors'!N32,'01.08 Kyambogo-Spear Motors'!N32,'03.08 Kyambogo-Spear Motors'!N32,'04.08 Kyambogo-Spear Motors'!N32)</f>
        <v>0</v>
      </c>
      <c r="O32" s="15">
        <f t="shared" si="0"/>
        <v>152.42857142857142</v>
      </c>
      <c r="P32" s="15">
        <f t="shared" si="1"/>
        <v>381.57142857142856</v>
      </c>
      <c r="R32" s="1" t="s">
        <v>156</v>
      </c>
      <c r="S32" s="34">
        <f>SUM(C98:C101)</f>
        <v>52</v>
      </c>
      <c r="T32" s="34">
        <f t="shared" ref="T32:AF32" si="24">SUM(D98:D101)</f>
        <v>4</v>
      </c>
      <c r="U32" s="34">
        <f t="shared" si="24"/>
        <v>7.5</v>
      </c>
      <c r="V32" s="34">
        <f t="shared" si="24"/>
        <v>91</v>
      </c>
      <c r="W32" s="34">
        <f t="shared" si="24"/>
        <v>5</v>
      </c>
      <c r="X32" s="34">
        <f t="shared" si="24"/>
        <v>5</v>
      </c>
      <c r="Y32" s="34">
        <f t="shared" si="24"/>
        <v>9</v>
      </c>
      <c r="Z32" s="34">
        <f t="shared" si="24"/>
        <v>11</v>
      </c>
      <c r="AA32" s="34">
        <f t="shared" si="24"/>
        <v>2.5</v>
      </c>
      <c r="AB32" s="34">
        <f t="shared" si="24"/>
        <v>13</v>
      </c>
      <c r="AC32" s="34">
        <f t="shared" si="24"/>
        <v>614.5</v>
      </c>
      <c r="AD32" s="34">
        <f t="shared" si="24"/>
        <v>0</v>
      </c>
      <c r="AE32" s="31">
        <f t="shared" si="24"/>
        <v>200</v>
      </c>
      <c r="AF32" s="31">
        <f t="shared" si="24"/>
        <v>814.5</v>
      </c>
    </row>
    <row r="33" spans="2:32" ht="23.1" customHeight="1" x14ac:dyDescent="0.25">
      <c r="B33" s="23" t="s">
        <v>60</v>
      </c>
      <c r="C33" s="49">
        <f>AVERAGE('29.07 Kyambogo-Spear Motors'!C33,'30.07 Kyambogo-Spear Motors'!C33,'31.07 Kyambogo-Spear Motors'!C33,'02.08 Kyambogo-Spear Motors'!C33,'01.08 Kyambogo-Spear Motors'!C33,'03.08 Kyambogo-Spear Motors'!C33,'04.08 Kyambogo-Spear Motors'!C33)</f>
        <v>67.142857142857139</v>
      </c>
      <c r="D33" s="49">
        <f>AVERAGE('29.07 Kyambogo-Spear Motors'!D33,'30.07 Kyambogo-Spear Motors'!D33,'31.07 Kyambogo-Spear Motors'!D33,'02.08 Kyambogo-Spear Motors'!D33,'01.08 Kyambogo-Spear Motors'!D33,'03.08 Kyambogo-Spear Motors'!D33,'04.08 Kyambogo-Spear Motors'!D33)</f>
        <v>24.428571428571427</v>
      </c>
      <c r="E33" s="49">
        <f>AVERAGE('29.07 Kyambogo-Spear Motors'!E33,'30.07 Kyambogo-Spear Motors'!E33,'31.07 Kyambogo-Spear Motors'!E33,'02.08 Kyambogo-Spear Motors'!E33,'01.08 Kyambogo-Spear Motors'!E33,'03.08 Kyambogo-Spear Motors'!E33,'04.08 Kyambogo-Spear Motors'!E33)</f>
        <v>17.428571428571427</v>
      </c>
      <c r="F33" s="49">
        <f>AVERAGE('29.07 Kyambogo-Spear Motors'!F33,'30.07 Kyambogo-Spear Motors'!F33,'31.07 Kyambogo-Spear Motors'!F33,'02.08 Kyambogo-Spear Motors'!F33,'01.08 Kyambogo-Spear Motors'!F33,'03.08 Kyambogo-Spear Motors'!F33,'04.08 Kyambogo-Spear Motors'!F33)</f>
        <v>49.285714285714285</v>
      </c>
      <c r="G33" s="49">
        <f>AVERAGE('29.07 Kyambogo-Spear Motors'!G33,'30.07 Kyambogo-Spear Motors'!G33,'31.07 Kyambogo-Spear Motors'!G33,'02.08 Kyambogo-Spear Motors'!G33,'01.08 Kyambogo-Spear Motors'!G33,'03.08 Kyambogo-Spear Motors'!G33,'04.08 Kyambogo-Spear Motors'!G33)</f>
        <v>1.5714285714285714</v>
      </c>
      <c r="H33" s="49">
        <f>AVERAGE('29.07 Kyambogo-Spear Motors'!H33,'30.07 Kyambogo-Spear Motors'!H33,'31.07 Kyambogo-Spear Motors'!H33,'02.08 Kyambogo-Spear Motors'!H33,'01.08 Kyambogo-Spear Motors'!H33,'03.08 Kyambogo-Spear Motors'!H33,'04.08 Kyambogo-Spear Motors'!H33)</f>
        <v>0.5714285714285714</v>
      </c>
      <c r="I33" s="49">
        <f>AVERAGE('29.07 Kyambogo-Spear Motors'!I33,'30.07 Kyambogo-Spear Motors'!I33,'31.07 Kyambogo-Spear Motors'!I33,'02.08 Kyambogo-Spear Motors'!I33,'01.08 Kyambogo-Spear Motors'!I33,'03.08 Kyambogo-Spear Motors'!I33,'04.08 Kyambogo-Spear Motors'!I33)</f>
        <v>5.8571428571428568</v>
      </c>
      <c r="J33" s="49">
        <f>AVERAGE('29.07 Kyambogo-Spear Motors'!J33,'30.07 Kyambogo-Spear Motors'!J33,'31.07 Kyambogo-Spear Motors'!J33,'02.08 Kyambogo-Spear Motors'!J33,'01.08 Kyambogo-Spear Motors'!J33,'03.08 Kyambogo-Spear Motors'!J33,'04.08 Kyambogo-Spear Motors'!J33)</f>
        <v>2.4285714285714284</v>
      </c>
      <c r="K33" s="49">
        <f>AVERAGE('29.07 Kyambogo-Spear Motors'!K33,'30.07 Kyambogo-Spear Motors'!K33,'31.07 Kyambogo-Spear Motors'!K33,'02.08 Kyambogo-Spear Motors'!K33,'01.08 Kyambogo-Spear Motors'!K33,'03.08 Kyambogo-Spear Motors'!K33,'04.08 Kyambogo-Spear Motors'!K33)</f>
        <v>1.8571428571428572</v>
      </c>
      <c r="L33" s="49">
        <f>AVERAGE('29.07 Kyambogo-Spear Motors'!L33,'30.07 Kyambogo-Spear Motors'!L33,'31.07 Kyambogo-Spear Motors'!L33,'02.08 Kyambogo-Spear Motors'!L33,'01.08 Kyambogo-Spear Motors'!L33,'03.08 Kyambogo-Spear Motors'!L33,'04.08 Kyambogo-Spear Motors'!L33)</f>
        <v>4.1428571428571432</v>
      </c>
      <c r="M33" s="49">
        <f>AVERAGE('29.07 Kyambogo-Spear Motors'!M33,'30.07 Kyambogo-Spear Motors'!M33,'31.07 Kyambogo-Spear Motors'!M33,'02.08 Kyambogo-Spear Motors'!M33,'01.08 Kyambogo-Spear Motors'!M33,'03.08 Kyambogo-Spear Motors'!M33,'04.08 Kyambogo-Spear Motors'!M33)</f>
        <v>196.42857142857142</v>
      </c>
      <c r="N33" s="49">
        <f>AVERAGE('29.07 Kyambogo-Spear Motors'!N33,'30.07 Kyambogo-Spear Motors'!N33,'31.07 Kyambogo-Spear Motors'!N33,'02.08 Kyambogo-Spear Motors'!N33,'01.08 Kyambogo-Spear Motors'!N33,'03.08 Kyambogo-Spear Motors'!N33,'04.08 Kyambogo-Spear Motors'!N33)</f>
        <v>0</v>
      </c>
      <c r="O33" s="15">
        <f t="shared" si="0"/>
        <v>174.71428571428572</v>
      </c>
      <c r="P33" s="15">
        <f t="shared" si="1"/>
        <v>371.14285714285711</v>
      </c>
      <c r="R33" s="1" t="s">
        <v>157</v>
      </c>
      <c r="S33" s="34">
        <f>SUM(C102:C105)</f>
        <v>104</v>
      </c>
      <c r="T33" s="34">
        <f t="shared" ref="T33:AF33" si="25">SUM(D102:D105)</f>
        <v>26</v>
      </c>
      <c r="U33" s="34">
        <f t="shared" si="25"/>
        <v>15</v>
      </c>
      <c r="V33" s="34">
        <f t="shared" si="25"/>
        <v>197</v>
      </c>
      <c r="W33" s="34">
        <f t="shared" si="25"/>
        <v>23.5</v>
      </c>
      <c r="X33" s="34">
        <f t="shared" si="25"/>
        <v>13.5</v>
      </c>
      <c r="Y33" s="34">
        <f t="shared" si="25"/>
        <v>14.5</v>
      </c>
      <c r="Z33" s="34">
        <f t="shared" si="25"/>
        <v>18.5</v>
      </c>
      <c r="AA33" s="34">
        <f t="shared" si="25"/>
        <v>2</v>
      </c>
      <c r="AB33" s="34">
        <f t="shared" si="25"/>
        <v>5.5</v>
      </c>
      <c r="AC33" s="34">
        <f t="shared" si="25"/>
        <v>559</v>
      </c>
      <c r="AD33" s="34">
        <f t="shared" si="25"/>
        <v>0</v>
      </c>
      <c r="AE33" s="31">
        <f t="shared" si="25"/>
        <v>419.5</v>
      </c>
      <c r="AF33" s="31">
        <f t="shared" si="25"/>
        <v>978.5</v>
      </c>
    </row>
    <row r="34" spans="2:32" ht="23.1" customHeight="1" x14ac:dyDescent="0.25">
      <c r="B34" s="24" t="s">
        <v>61</v>
      </c>
      <c r="C34" s="49">
        <f>AVERAGE('29.07 Kyambogo-Spear Motors'!C34,'30.07 Kyambogo-Spear Motors'!C34,'31.07 Kyambogo-Spear Motors'!C34,'02.08 Kyambogo-Spear Motors'!C34,'01.08 Kyambogo-Spear Motors'!C34,'03.08 Kyambogo-Spear Motors'!C34,'04.08 Kyambogo-Spear Motors'!C34)</f>
        <v>61.714285714285715</v>
      </c>
      <c r="D34" s="49">
        <f>AVERAGE('29.07 Kyambogo-Spear Motors'!D34,'30.07 Kyambogo-Spear Motors'!D34,'31.07 Kyambogo-Spear Motors'!D34,'02.08 Kyambogo-Spear Motors'!D34,'01.08 Kyambogo-Spear Motors'!D34,'03.08 Kyambogo-Spear Motors'!D34,'04.08 Kyambogo-Spear Motors'!D34)</f>
        <v>23</v>
      </c>
      <c r="E34" s="49">
        <f>AVERAGE('29.07 Kyambogo-Spear Motors'!E34,'30.07 Kyambogo-Spear Motors'!E34,'31.07 Kyambogo-Spear Motors'!E34,'02.08 Kyambogo-Spear Motors'!E34,'01.08 Kyambogo-Spear Motors'!E34,'03.08 Kyambogo-Spear Motors'!E34,'04.08 Kyambogo-Spear Motors'!E34)</f>
        <v>13.142857142857142</v>
      </c>
      <c r="F34" s="49">
        <f>AVERAGE('29.07 Kyambogo-Spear Motors'!F34,'30.07 Kyambogo-Spear Motors'!F34,'31.07 Kyambogo-Spear Motors'!F34,'02.08 Kyambogo-Spear Motors'!F34,'01.08 Kyambogo-Spear Motors'!F34,'03.08 Kyambogo-Spear Motors'!F34,'04.08 Kyambogo-Spear Motors'!F34)</f>
        <v>55</v>
      </c>
      <c r="G34" s="49">
        <f>AVERAGE('29.07 Kyambogo-Spear Motors'!G34,'30.07 Kyambogo-Spear Motors'!G34,'31.07 Kyambogo-Spear Motors'!G34,'02.08 Kyambogo-Spear Motors'!G34,'01.08 Kyambogo-Spear Motors'!G34,'03.08 Kyambogo-Spear Motors'!G34,'04.08 Kyambogo-Spear Motors'!G34)</f>
        <v>1.7142857142857142</v>
      </c>
      <c r="H34" s="49">
        <f>AVERAGE('29.07 Kyambogo-Spear Motors'!H34,'30.07 Kyambogo-Spear Motors'!H34,'31.07 Kyambogo-Spear Motors'!H34,'02.08 Kyambogo-Spear Motors'!H34,'01.08 Kyambogo-Spear Motors'!H34,'03.08 Kyambogo-Spear Motors'!H34,'04.08 Kyambogo-Spear Motors'!H34)</f>
        <v>0.7142857142857143</v>
      </c>
      <c r="I34" s="49">
        <f>AVERAGE('29.07 Kyambogo-Spear Motors'!I34,'30.07 Kyambogo-Spear Motors'!I34,'31.07 Kyambogo-Spear Motors'!I34,'02.08 Kyambogo-Spear Motors'!I34,'01.08 Kyambogo-Spear Motors'!I34,'03.08 Kyambogo-Spear Motors'!I34,'04.08 Kyambogo-Spear Motors'!I34)</f>
        <v>6.1428571428571432</v>
      </c>
      <c r="J34" s="49">
        <f>AVERAGE('29.07 Kyambogo-Spear Motors'!J34,'30.07 Kyambogo-Spear Motors'!J34,'31.07 Kyambogo-Spear Motors'!J34,'02.08 Kyambogo-Spear Motors'!J34,'01.08 Kyambogo-Spear Motors'!J34,'03.08 Kyambogo-Spear Motors'!J34,'04.08 Kyambogo-Spear Motors'!J34)</f>
        <v>1.7142857142857142</v>
      </c>
      <c r="K34" s="49">
        <f>AVERAGE('29.07 Kyambogo-Spear Motors'!K34,'30.07 Kyambogo-Spear Motors'!K34,'31.07 Kyambogo-Spear Motors'!K34,'02.08 Kyambogo-Spear Motors'!K34,'01.08 Kyambogo-Spear Motors'!K34,'03.08 Kyambogo-Spear Motors'!K34,'04.08 Kyambogo-Spear Motors'!K34)</f>
        <v>0.7142857142857143</v>
      </c>
      <c r="L34" s="49">
        <f>AVERAGE('29.07 Kyambogo-Spear Motors'!L34,'30.07 Kyambogo-Spear Motors'!L34,'31.07 Kyambogo-Spear Motors'!L34,'02.08 Kyambogo-Spear Motors'!L34,'01.08 Kyambogo-Spear Motors'!L34,'03.08 Kyambogo-Spear Motors'!L34,'04.08 Kyambogo-Spear Motors'!L34)</f>
        <v>3.7142857142857144</v>
      </c>
      <c r="M34" s="49">
        <f>AVERAGE('29.07 Kyambogo-Spear Motors'!M34,'30.07 Kyambogo-Spear Motors'!M34,'31.07 Kyambogo-Spear Motors'!M34,'02.08 Kyambogo-Spear Motors'!M34,'01.08 Kyambogo-Spear Motors'!M34,'03.08 Kyambogo-Spear Motors'!M34,'04.08 Kyambogo-Spear Motors'!M34)</f>
        <v>232.85714285714286</v>
      </c>
      <c r="N34" s="49">
        <f>AVERAGE('29.07 Kyambogo-Spear Motors'!N34,'30.07 Kyambogo-Spear Motors'!N34,'31.07 Kyambogo-Spear Motors'!N34,'02.08 Kyambogo-Spear Motors'!N34,'01.08 Kyambogo-Spear Motors'!N34,'03.08 Kyambogo-Spear Motors'!N34,'04.08 Kyambogo-Spear Motors'!N34)</f>
        <v>0</v>
      </c>
      <c r="O34" s="15">
        <f t="shared" si="0"/>
        <v>167.57142857142861</v>
      </c>
      <c r="P34" s="15">
        <f t="shared" si="1"/>
        <v>400.42857142857144</v>
      </c>
      <c r="R34" s="38" t="s">
        <v>90</v>
      </c>
      <c r="S34" s="39">
        <f t="shared" ref="S34:AF34" si="26">MAX(S10:S12)</f>
        <v>382.28571428571433</v>
      </c>
      <c r="T34" s="39">
        <f t="shared" si="26"/>
        <v>124.85714285714286</v>
      </c>
      <c r="U34" s="39">
        <f t="shared" si="26"/>
        <v>105.42857142857142</v>
      </c>
      <c r="V34" s="39">
        <f t="shared" si="26"/>
        <v>258</v>
      </c>
      <c r="W34" s="39">
        <f t="shared" si="26"/>
        <v>27.285714285714285</v>
      </c>
      <c r="X34" s="39">
        <f t="shared" si="26"/>
        <v>9.2857142857142865</v>
      </c>
      <c r="Y34" s="39">
        <f t="shared" si="26"/>
        <v>18.428571428571431</v>
      </c>
      <c r="Z34" s="39">
        <f t="shared" si="26"/>
        <v>10.714285714285714</v>
      </c>
      <c r="AA34" s="39">
        <f t="shared" si="26"/>
        <v>10.142857142857142</v>
      </c>
      <c r="AB34" s="39">
        <f t="shared" si="26"/>
        <v>16.428571428571427</v>
      </c>
      <c r="AC34" s="39">
        <f t="shared" si="26"/>
        <v>1360.4285714285716</v>
      </c>
      <c r="AD34" s="39">
        <f t="shared" si="26"/>
        <v>0</v>
      </c>
      <c r="AE34" s="40">
        <f t="shared" si="26"/>
        <v>923.30952380952397</v>
      </c>
      <c r="AF34" s="40">
        <f t="shared" si="26"/>
        <v>2283.7380952380954</v>
      </c>
    </row>
    <row r="35" spans="2:32" ht="23.1" customHeight="1" x14ac:dyDescent="0.25">
      <c r="B35" s="24" t="s">
        <v>62</v>
      </c>
      <c r="C35" s="49">
        <f>AVERAGE('29.07 Kyambogo-Spear Motors'!C35,'30.07 Kyambogo-Spear Motors'!C35,'31.07 Kyambogo-Spear Motors'!C35,'02.08 Kyambogo-Spear Motors'!C35,'01.08 Kyambogo-Spear Motors'!C35,'03.08 Kyambogo-Spear Motors'!C35,'04.08 Kyambogo-Spear Motors'!C35)</f>
        <v>56.142857142857146</v>
      </c>
      <c r="D35" s="49">
        <f>AVERAGE('29.07 Kyambogo-Spear Motors'!D35,'30.07 Kyambogo-Spear Motors'!D35,'31.07 Kyambogo-Spear Motors'!D35,'02.08 Kyambogo-Spear Motors'!D35,'01.08 Kyambogo-Spear Motors'!D35,'03.08 Kyambogo-Spear Motors'!D35,'04.08 Kyambogo-Spear Motors'!D35)</f>
        <v>28</v>
      </c>
      <c r="E35" s="49">
        <f>AVERAGE('29.07 Kyambogo-Spear Motors'!E35,'30.07 Kyambogo-Spear Motors'!E35,'31.07 Kyambogo-Spear Motors'!E35,'02.08 Kyambogo-Spear Motors'!E35,'01.08 Kyambogo-Spear Motors'!E35,'03.08 Kyambogo-Spear Motors'!E35,'04.08 Kyambogo-Spear Motors'!E35)</f>
        <v>18.285714285714285</v>
      </c>
      <c r="F35" s="49">
        <f>AVERAGE('29.07 Kyambogo-Spear Motors'!F35,'30.07 Kyambogo-Spear Motors'!F35,'31.07 Kyambogo-Spear Motors'!F35,'02.08 Kyambogo-Spear Motors'!F35,'01.08 Kyambogo-Spear Motors'!F35,'03.08 Kyambogo-Spear Motors'!F35,'04.08 Kyambogo-Spear Motors'!F35)</f>
        <v>53.571428571428569</v>
      </c>
      <c r="G35" s="49">
        <f>AVERAGE('29.07 Kyambogo-Spear Motors'!G35,'30.07 Kyambogo-Spear Motors'!G35,'31.07 Kyambogo-Spear Motors'!G35,'02.08 Kyambogo-Spear Motors'!G35,'01.08 Kyambogo-Spear Motors'!G35,'03.08 Kyambogo-Spear Motors'!G35,'04.08 Kyambogo-Spear Motors'!G35)</f>
        <v>1.2857142857142858</v>
      </c>
      <c r="H35" s="49">
        <f>AVERAGE('29.07 Kyambogo-Spear Motors'!H35,'30.07 Kyambogo-Spear Motors'!H35,'31.07 Kyambogo-Spear Motors'!H35,'02.08 Kyambogo-Spear Motors'!H35,'01.08 Kyambogo-Spear Motors'!H35,'03.08 Kyambogo-Spear Motors'!H35,'04.08 Kyambogo-Spear Motors'!H35)</f>
        <v>1</v>
      </c>
      <c r="I35" s="49">
        <f>AVERAGE('29.07 Kyambogo-Spear Motors'!I35,'30.07 Kyambogo-Spear Motors'!I35,'31.07 Kyambogo-Spear Motors'!I35,'02.08 Kyambogo-Spear Motors'!I35,'01.08 Kyambogo-Spear Motors'!I35,'03.08 Kyambogo-Spear Motors'!I35,'04.08 Kyambogo-Spear Motors'!I35)</f>
        <v>7.7142857142857144</v>
      </c>
      <c r="J35" s="49">
        <f>AVERAGE('29.07 Kyambogo-Spear Motors'!J35,'30.07 Kyambogo-Spear Motors'!J35,'31.07 Kyambogo-Spear Motors'!J35,'02.08 Kyambogo-Spear Motors'!J35,'01.08 Kyambogo-Spear Motors'!J35,'03.08 Kyambogo-Spear Motors'!J35,'04.08 Kyambogo-Spear Motors'!J35)</f>
        <v>2.2857142857142856</v>
      </c>
      <c r="K35" s="49">
        <f>AVERAGE('29.07 Kyambogo-Spear Motors'!K35,'30.07 Kyambogo-Spear Motors'!K35,'31.07 Kyambogo-Spear Motors'!K35,'02.08 Kyambogo-Spear Motors'!K35,'01.08 Kyambogo-Spear Motors'!K35,'03.08 Kyambogo-Spear Motors'!K35,'04.08 Kyambogo-Spear Motors'!K35)</f>
        <v>0.42857142857142855</v>
      </c>
      <c r="L35" s="49">
        <f>AVERAGE('29.07 Kyambogo-Spear Motors'!L35,'30.07 Kyambogo-Spear Motors'!L35,'31.07 Kyambogo-Spear Motors'!L35,'02.08 Kyambogo-Spear Motors'!L35,'01.08 Kyambogo-Spear Motors'!L35,'03.08 Kyambogo-Spear Motors'!L35,'04.08 Kyambogo-Spear Motors'!L35)</f>
        <v>3.2857142857142856</v>
      </c>
      <c r="M35" s="49">
        <f>AVERAGE('29.07 Kyambogo-Spear Motors'!M35,'30.07 Kyambogo-Spear Motors'!M35,'31.07 Kyambogo-Spear Motors'!M35,'02.08 Kyambogo-Spear Motors'!M35,'01.08 Kyambogo-Spear Motors'!M35,'03.08 Kyambogo-Spear Motors'!M35,'04.08 Kyambogo-Spear Motors'!M35)</f>
        <v>213</v>
      </c>
      <c r="N35" s="49">
        <f>AVERAGE('29.07 Kyambogo-Spear Motors'!N35,'30.07 Kyambogo-Spear Motors'!N35,'31.07 Kyambogo-Spear Motors'!N35,'02.08 Kyambogo-Spear Motors'!N35,'01.08 Kyambogo-Spear Motors'!N35,'03.08 Kyambogo-Spear Motors'!N35,'04.08 Kyambogo-Spear Motors'!N35)</f>
        <v>0</v>
      </c>
      <c r="O35" s="15">
        <f t="shared" si="0"/>
        <v>171.99999999999997</v>
      </c>
      <c r="P35" s="15">
        <f t="shared" si="1"/>
        <v>385</v>
      </c>
      <c r="R35" s="38" t="s">
        <v>91</v>
      </c>
      <c r="S35" s="39">
        <f t="shared" ref="S35:AF35" si="27">MAX(S13:S18)</f>
        <v>293.28571428571428</v>
      </c>
      <c r="T35" s="39">
        <f t="shared" si="27"/>
        <v>98.857142857142847</v>
      </c>
      <c r="U35" s="39">
        <f t="shared" si="27"/>
        <v>82</v>
      </c>
      <c r="V35" s="39">
        <f t="shared" si="27"/>
        <v>233.71428571428572</v>
      </c>
      <c r="W35" s="39">
        <f t="shared" si="27"/>
        <v>6.5714285714285712</v>
      </c>
      <c r="X35" s="39">
        <f t="shared" si="27"/>
        <v>5</v>
      </c>
      <c r="Y35" s="39">
        <f t="shared" si="27"/>
        <v>25.571428571428573</v>
      </c>
      <c r="Z35" s="39">
        <f t="shared" si="27"/>
        <v>14.571428571428571</v>
      </c>
      <c r="AA35" s="39">
        <f t="shared" si="27"/>
        <v>7.9999999999999991</v>
      </c>
      <c r="AB35" s="39">
        <f t="shared" si="27"/>
        <v>19.857142857142858</v>
      </c>
      <c r="AC35" s="39">
        <f t="shared" si="27"/>
        <v>1049.7142857142858</v>
      </c>
      <c r="AD35" s="39">
        <f t="shared" si="27"/>
        <v>0</v>
      </c>
      <c r="AE35" s="40">
        <f t="shared" si="27"/>
        <v>759.42857142857144</v>
      </c>
      <c r="AF35" s="40">
        <f t="shared" si="27"/>
        <v>1809.1428571428573</v>
      </c>
    </row>
    <row r="36" spans="2:32" ht="23.1" customHeight="1" x14ac:dyDescent="0.25">
      <c r="B36" s="24" t="s">
        <v>63</v>
      </c>
      <c r="C36" s="49">
        <f>AVERAGE('29.07 Kyambogo-Spear Motors'!C36,'30.07 Kyambogo-Spear Motors'!C36,'31.07 Kyambogo-Spear Motors'!C36,'02.08 Kyambogo-Spear Motors'!C36,'01.08 Kyambogo-Spear Motors'!C36,'03.08 Kyambogo-Spear Motors'!C36,'04.08 Kyambogo-Spear Motors'!C36)</f>
        <v>58.857142857142854</v>
      </c>
      <c r="D36" s="49">
        <f>AVERAGE('29.07 Kyambogo-Spear Motors'!D36,'30.07 Kyambogo-Spear Motors'!D36,'31.07 Kyambogo-Spear Motors'!D36,'02.08 Kyambogo-Spear Motors'!D36,'01.08 Kyambogo-Spear Motors'!D36,'03.08 Kyambogo-Spear Motors'!D36,'04.08 Kyambogo-Spear Motors'!D36)</f>
        <v>24.571428571428573</v>
      </c>
      <c r="E36" s="49">
        <f>AVERAGE('29.07 Kyambogo-Spear Motors'!E36,'30.07 Kyambogo-Spear Motors'!E36,'31.07 Kyambogo-Spear Motors'!E36,'02.08 Kyambogo-Spear Motors'!E36,'01.08 Kyambogo-Spear Motors'!E36,'03.08 Kyambogo-Spear Motors'!E36,'04.08 Kyambogo-Spear Motors'!E36)</f>
        <v>16.285714285714285</v>
      </c>
      <c r="F36" s="49">
        <f>AVERAGE('29.07 Kyambogo-Spear Motors'!F36,'30.07 Kyambogo-Spear Motors'!F36,'31.07 Kyambogo-Spear Motors'!F36,'02.08 Kyambogo-Spear Motors'!F36,'01.08 Kyambogo-Spear Motors'!F36,'03.08 Kyambogo-Spear Motors'!F36,'04.08 Kyambogo-Spear Motors'!F36)</f>
        <v>55.857142857142854</v>
      </c>
      <c r="G36" s="49">
        <f>AVERAGE('29.07 Kyambogo-Spear Motors'!G36,'30.07 Kyambogo-Spear Motors'!G36,'31.07 Kyambogo-Spear Motors'!G36,'02.08 Kyambogo-Spear Motors'!G36,'01.08 Kyambogo-Spear Motors'!G36,'03.08 Kyambogo-Spear Motors'!G36,'04.08 Kyambogo-Spear Motors'!G36)</f>
        <v>1.2857142857142858</v>
      </c>
      <c r="H36" s="49">
        <f>AVERAGE('29.07 Kyambogo-Spear Motors'!H36,'30.07 Kyambogo-Spear Motors'!H36,'31.07 Kyambogo-Spear Motors'!H36,'02.08 Kyambogo-Spear Motors'!H36,'01.08 Kyambogo-Spear Motors'!H36,'03.08 Kyambogo-Spear Motors'!H36,'04.08 Kyambogo-Spear Motors'!H36)</f>
        <v>1.7142857142857142</v>
      </c>
      <c r="I36" s="49">
        <f>AVERAGE('29.07 Kyambogo-Spear Motors'!I36,'30.07 Kyambogo-Spear Motors'!I36,'31.07 Kyambogo-Spear Motors'!I36,'02.08 Kyambogo-Spear Motors'!I36,'01.08 Kyambogo-Spear Motors'!I36,'03.08 Kyambogo-Spear Motors'!I36,'04.08 Kyambogo-Spear Motors'!I36)</f>
        <v>5.8571428571428568</v>
      </c>
      <c r="J36" s="49">
        <f>AVERAGE('29.07 Kyambogo-Spear Motors'!J36,'30.07 Kyambogo-Spear Motors'!J36,'31.07 Kyambogo-Spear Motors'!J36,'02.08 Kyambogo-Spear Motors'!J36,'01.08 Kyambogo-Spear Motors'!J36,'03.08 Kyambogo-Spear Motors'!J36,'04.08 Kyambogo-Spear Motors'!J36)</f>
        <v>2.5714285714285716</v>
      </c>
      <c r="K36" s="49">
        <f>AVERAGE('29.07 Kyambogo-Spear Motors'!K36,'30.07 Kyambogo-Spear Motors'!K36,'31.07 Kyambogo-Spear Motors'!K36,'02.08 Kyambogo-Spear Motors'!K36,'01.08 Kyambogo-Spear Motors'!K36,'03.08 Kyambogo-Spear Motors'!K36,'04.08 Kyambogo-Spear Motors'!K36)</f>
        <v>1.4285714285714286</v>
      </c>
      <c r="L36" s="49">
        <f>AVERAGE('29.07 Kyambogo-Spear Motors'!L36,'30.07 Kyambogo-Spear Motors'!L36,'31.07 Kyambogo-Spear Motors'!L36,'02.08 Kyambogo-Spear Motors'!L36,'01.08 Kyambogo-Spear Motors'!L36,'03.08 Kyambogo-Spear Motors'!L36,'04.08 Kyambogo-Spear Motors'!L36)</f>
        <v>2</v>
      </c>
      <c r="M36" s="49">
        <f>AVERAGE('29.07 Kyambogo-Spear Motors'!M36,'30.07 Kyambogo-Spear Motors'!M36,'31.07 Kyambogo-Spear Motors'!M36,'02.08 Kyambogo-Spear Motors'!M36,'01.08 Kyambogo-Spear Motors'!M36,'03.08 Kyambogo-Spear Motors'!M36,'04.08 Kyambogo-Spear Motors'!M36)</f>
        <v>189.42857142857142</v>
      </c>
      <c r="N36" s="49">
        <f>AVERAGE('29.07 Kyambogo-Spear Motors'!N36,'30.07 Kyambogo-Spear Motors'!N36,'31.07 Kyambogo-Spear Motors'!N36,'02.08 Kyambogo-Spear Motors'!N36,'01.08 Kyambogo-Spear Motors'!N36,'03.08 Kyambogo-Spear Motors'!N36,'04.08 Kyambogo-Spear Motors'!N36)</f>
        <v>0</v>
      </c>
      <c r="O36" s="15">
        <f t="shared" si="0"/>
        <v>170.42857142857144</v>
      </c>
      <c r="P36" s="15">
        <f t="shared" si="1"/>
        <v>359.85714285714289</v>
      </c>
      <c r="R36" s="38" t="s">
        <v>92</v>
      </c>
      <c r="S36" s="39">
        <f t="shared" ref="S36:AF36" si="28">MAX(S19:S21)</f>
        <v>230.99999999999997</v>
      </c>
      <c r="T36" s="39">
        <f t="shared" si="28"/>
        <v>76.428571428571431</v>
      </c>
      <c r="U36" s="39">
        <f t="shared" si="28"/>
        <v>54.142857142857139</v>
      </c>
      <c r="V36" s="39">
        <f t="shared" si="28"/>
        <v>215.42857142857144</v>
      </c>
      <c r="W36" s="39">
        <f t="shared" si="28"/>
        <v>9.4285714285714288</v>
      </c>
      <c r="X36" s="39">
        <f t="shared" si="28"/>
        <v>5.1428571428571423</v>
      </c>
      <c r="Y36" s="39">
        <f t="shared" si="28"/>
        <v>20.857142857142858</v>
      </c>
      <c r="Z36" s="39">
        <f t="shared" si="28"/>
        <v>13.285714285714285</v>
      </c>
      <c r="AA36" s="39">
        <f t="shared" si="28"/>
        <v>6.4285714285714288</v>
      </c>
      <c r="AB36" s="39">
        <f t="shared" si="28"/>
        <v>12.571428571428573</v>
      </c>
      <c r="AC36" s="39">
        <f t="shared" si="28"/>
        <v>993</v>
      </c>
      <c r="AD36" s="39">
        <f t="shared" si="28"/>
        <v>0</v>
      </c>
      <c r="AE36" s="40">
        <f t="shared" si="28"/>
        <v>625.14285714285722</v>
      </c>
      <c r="AF36" s="40">
        <f t="shared" si="28"/>
        <v>1551.7142857142858</v>
      </c>
    </row>
    <row r="37" spans="2:32" ht="23.1" customHeight="1" x14ac:dyDescent="0.25">
      <c r="B37" s="23" t="s">
        <v>64</v>
      </c>
      <c r="C37" s="49">
        <f>AVERAGE('29.07 Kyambogo-Spear Motors'!C37,'30.07 Kyambogo-Spear Motors'!C37,'31.07 Kyambogo-Spear Motors'!C37,'02.08 Kyambogo-Spear Motors'!C37,'01.08 Kyambogo-Spear Motors'!C37,'03.08 Kyambogo-Spear Motors'!C37,'04.08 Kyambogo-Spear Motors'!C37)</f>
        <v>78.285714285714292</v>
      </c>
      <c r="D37" s="49">
        <f>AVERAGE('29.07 Kyambogo-Spear Motors'!D37,'30.07 Kyambogo-Spear Motors'!D37,'31.07 Kyambogo-Spear Motors'!D37,'02.08 Kyambogo-Spear Motors'!D37,'01.08 Kyambogo-Spear Motors'!D37,'03.08 Kyambogo-Spear Motors'!D37,'04.08 Kyambogo-Spear Motors'!D37)</f>
        <v>21.714285714285715</v>
      </c>
      <c r="E37" s="49">
        <f>AVERAGE('29.07 Kyambogo-Spear Motors'!E37,'30.07 Kyambogo-Spear Motors'!E37,'31.07 Kyambogo-Spear Motors'!E37,'02.08 Kyambogo-Spear Motors'!E37,'01.08 Kyambogo-Spear Motors'!E37,'03.08 Kyambogo-Spear Motors'!E37,'04.08 Kyambogo-Spear Motors'!E37)</f>
        <v>19.857142857142858</v>
      </c>
      <c r="F37" s="49">
        <f>AVERAGE('29.07 Kyambogo-Spear Motors'!F37,'30.07 Kyambogo-Spear Motors'!F37,'31.07 Kyambogo-Spear Motors'!F37,'02.08 Kyambogo-Spear Motors'!F37,'01.08 Kyambogo-Spear Motors'!F37,'03.08 Kyambogo-Spear Motors'!F37,'04.08 Kyambogo-Spear Motors'!F37)</f>
        <v>46.142857142857146</v>
      </c>
      <c r="G37" s="49">
        <f>AVERAGE('29.07 Kyambogo-Spear Motors'!G37,'30.07 Kyambogo-Spear Motors'!G37,'31.07 Kyambogo-Spear Motors'!G37,'02.08 Kyambogo-Spear Motors'!G37,'01.08 Kyambogo-Spear Motors'!G37,'03.08 Kyambogo-Spear Motors'!G37,'04.08 Kyambogo-Spear Motors'!G37)</f>
        <v>1.5714285714285714</v>
      </c>
      <c r="H37" s="49">
        <f>AVERAGE('29.07 Kyambogo-Spear Motors'!H37,'30.07 Kyambogo-Spear Motors'!H37,'31.07 Kyambogo-Spear Motors'!H37,'02.08 Kyambogo-Spear Motors'!H37,'01.08 Kyambogo-Spear Motors'!H37,'03.08 Kyambogo-Spear Motors'!H37,'04.08 Kyambogo-Spear Motors'!H37)</f>
        <v>0.5714285714285714</v>
      </c>
      <c r="I37" s="49">
        <f>AVERAGE('29.07 Kyambogo-Spear Motors'!I37,'30.07 Kyambogo-Spear Motors'!I37,'31.07 Kyambogo-Spear Motors'!I37,'02.08 Kyambogo-Spear Motors'!I37,'01.08 Kyambogo-Spear Motors'!I37,'03.08 Kyambogo-Spear Motors'!I37,'04.08 Kyambogo-Spear Motors'!I37)</f>
        <v>3.8571428571428572</v>
      </c>
      <c r="J37" s="49">
        <f>AVERAGE('29.07 Kyambogo-Spear Motors'!J37,'30.07 Kyambogo-Spear Motors'!J37,'31.07 Kyambogo-Spear Motors'!J37,'02.08 Kyambogo-Spear Motors'!J37,'01.08 Kyambogo-Spear Motors'!J37,'03.08 Kyambogo-Spear Motors'!J37,'04.08 Kyambogo-Spear Motors'!J37)</f>
        <v>3</v>
      </c>
      <c r="K37" s="49">
        <f>AVERAGE('29.07 Kyambogo-Spear Motors'!K37,'30.07 Kyambogo-Spear Motors'!K37,'31.07 Kyambogo-Spear Motors'!K37,'02.08 Kyambogo-Spear Motors'!K37,'01.08 Kyambogo-Spear Motors'!K37,'03.08 Kyambogo-Spear Motors'!K37,'04.08 Kyambogo-Spear Motors'!K37)</f>
        <v>1.1428571428571428</v>
      </c>
      <c r="L37" s="49">
        <f>AVERAGE('29.07 Kyambogo-Spear Motors'!L37,'30.07 Kyambogo-Spear Motors'!L37,'31.07 Kyambogo-Spear Motors'!L37,'02.08 Kyambogo-Spear Motors'!L37,'01.08 Kyambogo-Spear Motors'!L37,'03.08 Kyambogo-Spear Motors'!L37,'04.08 Kyambogo-Spear Motors'!L37)</f>
        <v>6.7142857142857144</v>
      </c>
      <c r="M37" s="49">
        <f>AVERAGE('29.07 Kyambogo-Spear Motors'!M37,'30.07 Kyambogo-Spear Motors'!M37,'31.07 Kyambogo-Spear Motors'!M37,'02.08 Kyambogo-Spear Motors'!M37,'01.08 Kyambogo-Spear Motors'!M37,'03.08 Kyambogo-Spear Motors'!M37,'04.08 Kyambogo-Spear Motors'!M37)</f>
        <v>181.85714285714286</v>
      </c>
      <c r="N37" s="49">
        <f>AVERAGE('29.07 Kyambogo-Spear Motors'!N37,'30.07 Kyambogo-Spear Motors'!N37,'31.07 Kyambogo-Spear Motors'!N37,'02.08 Kyambogo-Spear Motors'!N37,'01.08 Kyambogo-Spear Motors'!N37,'03.08 Kyambogo-Spear Motors'!N37,'04.08 Kyambogo-Spear Motors'!N37)</f>
        <v>0</v>
      </c>
      <c r="O37" s="15">
        <f t="shared" si="0"/>
        <v>182.85714285714289</v>
      </c>
      <c r="P37" s="15">
        <f t="shared" si="1"/>
        <v>364.71428571428578</v>
      </c>
      <c r="R37" s="37" t="s">
        <v>85</v>
      </c>
      <c r="S37" s="35">
        <f t="shared" ref="S37:AF37" si="29">SUM(S10:S12)</f>
        <v>1072</v>
      </c>
      <c r="T37" s="16">
        <f t="shared" si="29"/>
        <v>308.71428571428572</v>
      </c>
      <c r="U37" s="16">
        <f t="shared" si="29"/>
        <v>244.85714285714286</v>
      </c>
      <c r="V37" s="16">
        <f t="shared" si="29"/>
        <v>687.14285714285711</v>
      </c>
      <c r="W37" s="16">
        <f t="shared" si="29"/>
        <v>45.142857142857139</v>
      </c>
      <c r="X37" s="16">
        <f t="shared" si="29"/>
        <v>14</v>
      </c>
      <c r="Y37" s="16">
        <f t="shared" si="29"/>
        <v>50.571428571428569</v>
      </c>
      <c r="Z37" s="16">
        <f t="shared" si="29"/>
        <v>27.142857142857142</v>
      </c>
      <c r="AA37" s="16">
        <f t="shared" si="29"/>
        <v>21.166666666666664</v>
      </c>
      <c r="AB37" s="16">
        <f t="shared" si="29"/>
        <v>43.571428571428569</v>
      </c>
      <c r="AC37" s="16">
        <f t="shared" si="29"/>
        <v>3352.5714285714289</v>
      </c>
      <c r="AD37" s="16">
        <f t="shared" si="29"/>
        <v>0</v>
      </c>
      <c r="AE37" s="32">
        <f t="shared" si="29"/>
        <v>2514.3095238095239</v>
      </c>
      <c r="AF37" s="32">
        <f t="shared" si="29"/>
        <v>5866.8809523809523</v>
      </c>
    </row>
    <row r="38" spans="2:32" ht="23.1" customHeight="1" x14ac:dyDescent="0.25">
      <c r="B38" s="24" t="s">
        <v>65</v>
      </c>
      <c r="C38" s="49">
        <f>AVERAGE('29.07 Kyambogo-Spear Motors'!C38,'30.07 Kyambogo-Spear Motors'!C38,'31.07 Kyambogo-Spear Motors'!C38,'02.08 Kyambogo-Spear Motors'!C38,'01.08 Kyambogo-Spear Motors'!C38,'03.08 Kyambogo-Spear Motors'!C38,'04.08 Kyambogo-Spear Motors'!C38)</f>
        <v>63.285714285714285</v>
      </c>
      <c r="D38" s="49">
        <f>AVERAGE('29.07 Kyambogo-Spear Motors'!D38,'30.07 Kyambogo-Spear Motors'!D38,'31.07 Kyambogo-Spear Motors'!D38,'02.08 Kyambogo-Spear Motors'!D38,'01.08 Kyambogo-Spear Motors'!D38,'03.08 Kyambogo-Spear Motors'!D38,'04.08 Kyambogo-Spear Motors'!D38)</f>
        <v>24.857142857142858</v>
      </c>
      <c r="E38" s="49">
        <f>AVERAGE('29.07 Kyambogo-Spear Motors'!E38,'30.07 Kyambogo-Spear Motors'!E38,'31.07 Kyambogo-Spear Motors'!E38,'02.08 Kyambogo-Spear Motors'!E38,'01.08 Kyambogo-Spear Motors'!E38,'03.08 Kyambogo-Spear Motors'!E38,'04.08 Kyambogo-Spear Motors'!E38)</f>
        <v>15.714285714285714</v>
      </c>
      <c r="F38" s="49">
        <f>AVERAGE('29.07 Kyambogo-Spear Motors'!F38,'30.07 Kyambogo-Spear Motors'!F38,'31.07 Kyambogo-Spear Motors'!F38,'02.08 Kyambogo-Spear Motors'!F38,'01.08 Kyambogo-Spear Motors'!F38,'03.08 Kyambogo-Spear Motors'!F38,'04.08 Kyambogo-Spear Motors'!F38)</f>
        <v>47.428571428571431</v>
      </c>
      <c r="G38" s="49">
        <f>AVERAGE('29.07 Kyambogo-Spear Motors'!G38,'30.07 Kyambogo-Spear Motors'!G38,'31.07 Kyambogo-Spear Motors'!G38,'02.08 Kyambogo-Spear Motors'!G38,'01.08 Kyambogo-Spear Motors'!G38,'03.08 Kyambogo-Spear Motors'!G38,'04.08 Kyambogo-Spear Motors'!G38)</f>
        <v>1.8571428571428572</v>
      </c>
      <c r="H38" s="49">
        <f>AVERAGE('29.07 Kyambogo-Spear Motors'!H38,'30.07 Kyambogo-Spear Motors'!H38,'31.07 Kyambogo-Spear Motors'!H38,'02.08 Kyambogo-Spear Motors'!H38,'01.08 Kyambogo-Spear Motors'!H38,'03.08 Kyambogo-Spear Motors'!H38,'04.08 Kyambogo-Spear Motors'!H38)</f>
        <v>1.7142857142857142</v>
      </c>
      <c r="I38" s="49">
        <f>AVERAGE('29.07 Kyambogo-Spear Motors'!I38,'30.07 Kyambogo-Spear Motors'!I38,'31.07 Kyambogo-Spear Motors'!I38,'02.08 Kyambogo-Spear Motors'!I38,'01.08 Kyambogo-Spear Motors'!I38,'03.08 Kyambogo-Spear Motors'!I38,'04.08 Kyambogo-Spear Motors'!I38)</f>
        <v>7.8571428571428568</v>
      </c>
      <c r="J38" s="49">
        <f>AVERAGE('29.07 Kyambogo-Spear Motors'!J38,'30.07 Kyambogo-Spear Motors'!J38,'31.07 Kyambogo-Spear Motors'!J38,'02.08 Kyambogo-Spear Motors'!J38,'01.08 Kyambogo-Spear Motors'!J38,'03.08 Kyambogo-Spear Motors'!J38,'04.08 Kyambogo-Spear Motors'!J38)</f>
        <v>2.8571428571428572</v>
      </c>
      <c r="K38" s="49">
        <f>AVERAGE('29.07 Kyambogo-Spear Motors'!K38,'30.07 Kyambogo-Spear Motors'!K38,'31.07 Kyambogo-Spear Motors'!K38,'02.08 Kyambogo-Spear Motors'!K38,'01.08 Kyambogo-Spear Motors'!K38,'03.08 Kyambogo-Spear Motors'!K38,'04.08 Kyambogo-Spear Motors'!K38)</f>
        <v>1.4285714285714286</v>
      </c>
      <c r="L38" s="49">
        <f>AVERAGE('29.07 Kyambogo-Spear Motors'!L38,'30.07 Kyambogo-Spear Motors'!L38,'31.07 Kyambogo-Spear Motors'!L38,'02.08 Kyambogo-Spear Motors'!L38,'01.08 Kyambogo-Spear Motors'!L38,'03.08 Kyambogo-Spear Motors'!L38,'04.08 Kyambogo-Spear Motors'!L38)</f>
        <v>6.4285714285714288</v>
      </c>
      <c r="M38" s="49">
        <f>AVERAGE('29.07 Kyambogo-Spear Motors'!M38,'30.07 Kyambogo-Spear Motors'!M38,'31.07 Kyambogo-Spear Motors'!M38,'02.08 Kyambogo-Spear Motors'!M38,'01.08 Kyambogo-Spear Motors'!M38,'03.08 Kyambogo-Spear Motors'!M38,'04.08 Kyambogo-Spear Motors'!M38)</f>
        <v>184.14285714285714</v>
      </c>
      <c r="N38" s="49">
        <f>AVERAGE('29.07 Kyambogo-Spear Motors'!N38,'30.07 Kyambogo-Spear Motors'!N38,'31.07 Kyambogo-Spear Motors'!N38,'02.08 Kyambogo-Spear Motors'!N38,'01.08 Kyambogo-Spear Motors'!N38,'03.08 Kyambogo-Spear Motors'!N38,'04.08 Kyambogo-Spear Motors'!N38)</f>
        <v>0</v>
      </c>
      <c r="O38" s="15">
        <f t="shared" si="0"/>
        <v>173.42857142857142</v>
      </c>
      <c r="P38" s="15">
        <f t="shared" si="1"/>
        <v>357.57142857142856</v>
      </c>
      <c r="R38" s="28" t="s">
        <v>86</v>
      </c>
      <c r="S38" s="16">
        <f t="shared" ref="S38:AF38" si="30">SUM(S13:S18)</f>
        <v>1569</v>
      </c>
      <c r="T38" s="16">
        <f t="shared" si="30"/>
        <v>562.57142857142856</v>
      </c>
      <c r="U38" s="16">
        <f t="shared" si="30"/>
        <v>388.57142857142856</v>
      </c>
      <c r="V38" s="16">
        <f t="shared" si="30"/>
        <v>1256.4285714285713</v>
      </c>
      <c r="W38" s="16">
        <f t="shared" si="30"/>
        <v>35.142857142857139</v>
      </c>
      <c r="X38" s="16">
        <f t="shared" si="30"/>
        <v>16.857142857142858</v>
      </c>
      <c r="Y38" s="16">
        <f t="shared" si="30"/>
        <v>138</v>
      </c>
      <c r="Z38" s="16">
        <f t="shared" si="30"/>
        <v>62.428571428571431</v>
      </c>
      <c r="AA38" s="16">
        <f t="shared" si="30"/>
        <v>34</v>
      </c>
      <c r="AB38" s="16">
        <f t="shared" si="30"/>
        <v>97.857142857142861</v>
      </c>
      <c r="AC38" s="16">
        <f t="shared" si="30"/>
        <v>5103.5714285714294</v>
      </c>
      <c r="AD38" s="16">
        <f t="shared" si="30"/>
        <v>0</v>
      </c>
      <c r="AE38" s="32">
        <f t="shared" si="30"/>
        <v>4160.8571428571431</v>
      </c>
      <c r="AF38" s="32">
        <f t="shared" si="30"/>
        <v>9264.4285714285725</v>
      </c>
    </row>
    <row r="39" spans="2:32" ht="23.1" customHeight="1" x14ac:dyDescent="0.25">
      <c r="B39" s="24" t="s">
        <v>66</v>
      </c>
      <c r="C39" s="49">
        <f>AVERAGE('29.07 Kyambogo-Spear Motors'!C39,'30.07 Kyambogo-Spear Motors'!C39,'31.07 Kyambogo-Spear Motors'!C39,'02.08 Kyambogo-Spear Motors'!C39,'01.08 Kyambogo-Spear Motors'!C39,'03.08 Kyambogo-Spear Motors'!C39,'04.08 Kyambogo-Spear Motors'!C39)</f>
        <v>43.142857142857146</v>
      </c>
      <c r="D39" s="49">
        <f>AVERAGE('29.07 Kyambogo-Spear Motors'!D39,'30.07 Kyambogo-Spear Motors'!D39,'31.07 Kyambogo-Spear Motors'!D39,'02.08 Kyambogo-Spear Motors'!D39,'01.08 Kyambogo-Spear Motors'!D39,'03.08 Kyambogo-Spear Motors'!D39,'04.08 Kyambogo-Spear Motors'!D39)</f>
        <v>29.428571428571427</v>
      </c>
      <c r="E39" s="49">
        <f>AVERAGE('29.07 Kyambogo-Spear Motors'!E39,'30.07 Kyambogo-Spear Motors'!E39,'31.07 Kyambogo-Spear Motors'!E39,'02.08 Kyambogo-Spear Motors'!E39,'01.08 Kyambogo-Spear Motors'!E39,'03.08 Kyambogo-Spear Motors'!E39,'04.08 Kyambogo-Spear Motors'!E39)</f>
        <v>15.428571428571429</v>
      </c>
      <c r="F39" s="49">
        <f>AVERAGE('29.07 Kyambogo-Spear Motors'!F39,'30.07 Kyambogo-Spear Motors'!F39,'31.07 Kyambogo-Spear Motors'!F39,'02.08 Kyambogo-Spear Motors'!F39,'01.08 Kyambogo-Spear Motors'!F39,'03.08 Kyambogo-Spear Motors'!F39,'04.08 Kyambogo-Spear Motors'!F39)</f>
        <v>57</v>
      </c>
      <c r="G39" s="49">
        <f>AVERAGE('29.07 Kyambogo-Spear Motors'!G39,'30.07 Kyambogo-Spear Motors'!G39,'31.07 Kyambogo-Spear Motors'!G39,'02.08 Kyambogo-Spear Motors'!G39,'01.08 Kyambogo-Spear Motors'!G39,'03.08 Kyambogo-Spear Motors'!G39,'04.08 Kyambogo-Spear Motors'!G39)</f>
        <v>1.5714285714285714</v>
      </c>
      <c r="H39" s="49">
        <f>AVERAGE('29.07 Kyambogo-Spear Motors'!H39,'30.07 Kyambogo-Spear Motors'!H39,'31.07 Kyambogo-Spear Motors'!H39,'02.08 Kyambogo-Spear Motors'!H39,'01.08 Kyambogo-Spear Motors'!H39,'03.08 Kyambogo-Spear Motors'!H39,'04.08 Kyambogo-Spear Motors'!H39)</f>
        <v>1.4285714285714286</v>
      </c>
      <c r="I39" s="49">
        <f>AVERAGE('29.07 Kyambogo-Spear Motors'!I39,'30.07 Kyambogo-Spear Motors'!I39,'31.07 Kyambogo-Spear Motors'!I39,'02.08 Kyambogo-Spear Motors'!I39,'01.08 Kyambogo-Spear Motors'!I39,'03.08 Kyambogo-Spear Motors'!I39,'04.08 Kyambogo-Spear Motors'!I39)</f>
        <v>5.1428571428571432</v>
      </c>
      <c r="J39" s="49">
        <f>AVERAGE('29.07 Kyambogo-Spear Motors'!J39,'30.07 Kyambogo-Spear Motors'!J39,'31.07 Kyambogo-Spear Motors'!J39,'02.08 Kyambogo-Spear Motors'!J39,'01.08 Kyambogo-Spear Motors'!J39,'03.08 Kyambogo-Spear Motors'!J39,'04.08 Kyambogo-Spear Motors'!J39)</f>
        <v>2</v>
      </c>
      <c r="K39" s="49">
        <f>AVERAGE('29.07 Kyambogo-Spear Motors'!K39,'30.07 Kyambogo-Spear Motors'!K39,'31.07 Kyambogo-Spear Motors'!K39,'02.08 Kyambogo-Spear Motors'!K39,'01.08 Kyambogo-Spear Motors'!K39,'03.08 Kyambogo-Spear Motors'!K39,'04.08 Kyambogo-Spear Motors'!K39)</f>
        <v>1.5714285714285714</v>
      </c>
      <c r="L39" s="49">
        <f>AVERAGE('29.07 Kyambogo-Spear Motors'!L39,'30.07 Kyambogo-Spear Motors'!L39,'31.07 Kyambogo-Spear Motors'!L39,'02.08 Kyambogo-Spear Motors'!L39,'01.08 Kyambogo-Spear Motors'!L39,'03.08 Kyambogo-Spear Motors'!L39,'04.08 Kyambogo-Spear Motors'!L39)</f>
        <v>4.4285714285714288</v>
      </c>
      <c r="M39" s="49">
        <f>AVERAGE('29.07 Kyambogo-Spear Motors'!M39,'30.07 Kyambogo-Spear Motors'!M39,'31.07 Kyambogo-Spear Motors'!M39,'02.08 Kyambogo-Spear Motors'!M39,'01.08 Kyambogo-Spear Motors'!M39,'03.08 Kyambogo-Spear Motors'!M39,'04.08 Kyambogo-Spear Motors'!M39)</f>
        <v>174.28571428571428</v>
      </c>
      <c r="N39" s="49">
        <f>AVERAGE('29.07 Kyambogo-Spear Motors'!N39,'30.07 Kyambogo-Spear Motors'!N39,'31.07 Kyambogo-Spear Motors'!N39,'02.08 Kyambogo-Spear Motors'!N39,'01.08 Kyambogo-Spear Motors'!N39,'03.08 Kyambogo-Spear Motors'!N39,'04.08 Kyambogo-Spear Motors'!N39)</f>
        <v>0</v>
      </c>
      <c r="O39" s="15">
        <f t="shared" si="0"/>
        <v>161.14285714285714</v>
      </c>
      <c r="P39" s="15">
        <f t="shared" si="1"/>
        <v>335.42857142857144</v>
      </c>
      <c r="R39" s="29" t="s">
        <v>87</v>
      </c>
      <c r="S39" s="16">
        <f t="shared" ref="S39:AF39" si="31">SUM(S19:S21)</f>
        <v>651.85714285714289</v>
      </c>
      <c r="T39" s="16">
        <f t="shared" si="31"/>
        <v>184.85714285714286</v>
      </c>
      <c r="U39" s="16">
        <f t="shared" si="31"/>
        <v>125.85714285714286</v>
      </c>
      <c r="V39" s="16">
        <f t="shared" si="31"/>
        <v>599</v>
      </c>
      <c r="W39" s="16">
        <f t="shared" si="31"/>
        <v>23.142857142857146</v>
      </c>
      <c r="X39" s="16">
        <f t="shared" si="31"/>
        <v>13</v>
      </c>
      <c r="Y39" s="16">
        <f t="shared" si="31"/>
        <v>56.714285714285715</v>
      </c>
      <c r="Z39" s="16">
        <f t="shared" si="31"/>
        <v>33.285714285714285</v>
      </c>
      <c r="AA39" s="16">
        <f t="shared" si="31"/>
        <v>17.285714285714285</v>
      </c>
      <c r="AB39" s="16">
        <f t="shared" si="31"/>
        <v>33.142857142857146</v>
      </c>
      <c r="AC39" s="16">
        <f t="shared" si="31"/>
        <v>2742.8571428571427</v>
      </c>
      <c r="AD39" s="16">
        <f t="shared" si="31"/>
        <v>0</v>
      </c>
      <c r="AE39" s="32">
        <f t="shared" si="31"/>
        <v>1738.1428571428573</v>
      </c>
      <c r="AF39" s="32">
        <f t="shared" si="31"/>
        <v>4481</v>
      </c>
    </row>
    <row r="40" spans="2:32" ht="23.1" customHeight="1" x14ac:dyDescent="0.25">
      <c r="B40" s="24" t="s">
        <v>67</v>
      </c>
      <c r="C40" s="49">
        <f>AVERAGE('29.07 Kyambogo-Spear Motors'!C40,'30.07 Kyambogo-Spear Motors'!C40,'31.07 Kyambogo-Spear Motors'!C40,'02.08 Kyambogo-Spear Motors'!C40,'01.08 Kyambogo-Spear Motors'!C40,'03.08 Kyambogo-Spear Motors'!C40,'04.08 Kyambogo-Spear Motors'!C40)</f>
        <v>67</v>
      </c>
      <c r="D40" s="49">
        <f>AVERAGE('29.07 Kyambogo-Spear Motors'!D40,'30.07 Kyambogo-Spear Motors'!D40,'31.07 Kyambogo-Spear Motors'!D40,'02.08 Kyambogo-Spear Motors'!D40,'01.08 Kyambogo-Spear Motors'!D40,'03.08 Kyambogo-Spear Motors'!D40,'04.08 Kyambogo-Spear Motors'!D40)</f>
        <v>23.714285714285715</v>
      </c>
      <c r="E40" s="49">
        <f>AVERAGE('29.07 Kyambogo-Spear Motors'!E40,'30.07 Kyambogo-Spear Motors'!E40,'31.07 Kyambogo-Spear Motors'!E40,'02.08 Kyambogo-Spear Motors'!E40,'01.08 Kyambogo-Spear Motors'!E40,'03.08 Kyambogo-Spear Motors'!E40,'04.08 Kyambogo-Spear Motors'!E40)</f>
        <v>17.571428571428573</v>
      </c>
      <c r="F40" s="49">
        <f>AVERAGE('29.07 Kyambogo-Spear Motors'!F40,'30.07 Kyambogo-Spear Motors'!F40,'31.07 Kyambogo-Spear Motors'!F40,'02.08 Kyambogo-Spear Motors'!F40,'01.08 Kyambogo-Spear Motors'!F40,'03.08 Kyambogo-Spear Motors'!F40,'04.08 Kyambogo-Spear Motors'!F40)</f>
        <v>47.857142857142854</v>
      </c>
      <c r="G40" s="49">
        <f>AVERAGE('29.07 Kyambogo-Spear Motors'!G40,'30.07 Kyambogo-Spear Motors'!G40,'31.07 Kyambogo-Spear Motors'!G40,'02.08 Kyambogo-Spear Motors'!G40,'01.08 Kyambogo-Spear Motors'!G40,'03.08 Kyambogo-Spear Motors'!G40,'04.08 Kyambogo-Spear Motors'!G40)</f>
        <v>1.2857142857142858</v>
      </c>
      <c r="H40" s="49">
        <f>AVERAGE('29.07 Kyambogo-Spear Motors'!H40,'30.07 Kyambogo-Spear Motors'!H40,'31.07 Kyambogo-Spear Motors'!H40,'02.08 Kyambogo-Spear Motors'!H40,'01.08 Kyambogo-Spear Motors'!H40,'03.08 Kyambogo-Spear Motors'!H40,'04.08 Kyambogo-Spear Motors'!H40)</f>
        <v>1.4285714285714286</v>
      </c>
      <c r="I40" s="49">
        <f>AVERAGE('29.07 Kyambogo-Spear Motors'!I40,'30.07 Kyambogo-Spear Motors'!I40,'31.07 Kyambogo-Spear Motors'!I40,'02.08 Kyambogo-Spear Motors'!I40,'01.08 Kyambogo-Spear Motors'!I40,'03.08 Kyambogo-Spear Motors'!I40,'04.08 Kyambogo-Spear Motors'!I40)</f>
        <v>5.4285714285714288</v>
      </c>
      <c r="J40" s="49">
        <f>AVERAGE('29.07 Kyambogo-Spear Motors'!J40,'30.07 Kyambogo-Spear Motors'!J40,'31.07 Kyambogo-Spear Motors'!J40,'02.08 Kyambogo-Spear Motors'!J40,'01.08 Kyambogo-Spear Motors'!J40,'03.08 Kyambogo-Spear Motors'!J40,'04.08 Kyambogo-Spear Motors'!J40)</f>
        <v>2</v>
      </c>
      <c r="K40" s="49">
        <f>AVERAGE('29.07 Kyambogo-Spear Motors'!K40,'30.07 Kyambogo-Spear Motors'!K40,'31.07 Kyambogo-Spear Motors'!K40,'02.08 Kyambogo-Spear Motors'!K40,'01.08 Kyambogo-Spear Motors'!K40,'03.08 Kyambogo-Spear Motors'!K40,'04.08 Kyambogo-Spear Motors'!K40)</f>
        <v>1.2857142857142858</v>
      </c>
      <c r="L40" s="49">
        <f>AVERAGE('29.07 Kyambogo-Spear Motors'!L40,'30.07 Kyambogo-Spear Motors'!L40,'31.07 Kyambogo-Spear Motors'!L40,'02.08 Kyambogo-Spear Motors'!L40,'01.08 Kyambogo-Spear Motors'!L40,'03.08 Kyambogo-Spear Motors'!L40,'04.08 Kyambogo-Spear Motors'!L40)</f>
        <v>3.8571428571428572</v>
      </c>
      <c r="M40" s="49">
        <f>AVERAGE('29.07 Kyambogo-Spear Motors'!M40,'30.07 Kyambogo-Spear Motors'!M40,'31.07 Kyambogo-Spear Motors'!M40,'02.08 Kyambogo-Spear Motors'!M40,'01.08 Kyambogo-Spear Motors'!M40,'03.08 Kyambogo-Spear Motors'!M40,'04.08 Kyambogo-Spear Motors'!M40)</f>
        <v>199.28571428571428</v>
      </c>
      <c r="N40" s="49">
        <f>AVERAGE('29.07 Kyambogo-Spear Motors'!N40,'30.07 Kyambogo-Spear Motors'!N40,'31.07 Kyambogo-Spear Motors'!N40,'02.08 Kyambogo-Spear Motors'!N40,'01.08 Kyambogo-Spear Motors'!N40,'03.08 Kyambogo-Spear Motors'!N40,'04.08 Kyambogo-Spear Motors'!N40)</f>
        <v>0</v>
      </c>
      <c r="O40" s="15">
        <f t="shared" si="0"/>
        <v>171.42857142857139</v>
      </c>
      <c r="P40" s="15">
        <f t="shared" si="1"/>
        <v>370.71428571428567</v>
      </c>
      <c r="R40" s="5" t="s">
        <v>17</v>
      </c>
      <c r="S40" s="16">
        <f t="shared" ref="S40:AF40" si="32">SUM(S10:S21)</f>
        <v>3292.8571428571427</v>
      </c>
      <c r="T40" s="16">
        <f t="shared" si="32"/>
        <v>1056.1428571428573</v>
      </c>
      <c r="U40" s="16">
        <f t="shared" si="32"/>
        <v>759.28571428571422</v>
      </c>
      <c r="V40" s="16">
        <f t="shared" si="32"/>
        <v>2542.5714285714284</v>
      </c>
      <c r="W40" s="16">
        <f t="shared" si="32"/>
        <v>103.42857142857143</v>
      </c>
      <c r="X40" s="16">
        <f t="shared" si="32"/>
        <v>43.857142857142861</v>
      </c>
      <c r="Y40" s="16">
        <f t="shared" si="32"/>
        <v>245.28571428571431</v>
      </c>
      <c r="Z40" s="16">
        <f t="shared" si="32"/>
        <v>122.85714285714286</v>
      </c>
      <c r="AA40" s="16">
        <f t="shared" si="32"/>
        <v>72.452380952380949</v>
      </c>
      <c r="AB40" s="16">
        <f t="shared" si="32"/>
        <v>174.57142857142858</v>
      </c>
      <c r="AC40" s="16">
        <f t="shared" si="32"/>
        <v>11199</v>
      </c>
      <c r="AD40" s="16">
        <f t="shared" si="32"/>
        <v>0</v>
      </c>
      <c r="AE40" s="32">
        <f t="shared" si="32"/>
        <v>8413.3095238095229</v>
      </c>
      <c r="AF40" s="32">
        <f t="shared" si="32"/>
        <v>19612.309523809523</v>
      </c>
    </row>
    <row r="41" spans="2:32" ht="23.1" customHeight="1" x14ac:dyDescent="0.25">
      <c r="B41" s="23" t="s">
        <v>68</v>
      </c>
      <c r="C41" s="49">
        <f>AVERAGE('29.07 Kyambogo-Spear Motors'!C41,'30.07 Kyambogo-Spear Motors'!C41,'31.07 Kyambogo-Spear Motors'!C41,'02.08 Kyambogo-Spear Motors'!C41,'01.08 Kyambogo-Spear Motors'!C41,'03.08 Kyambogo-Spear Motors'!C41,'04.08 Kyambogo-Spear Motors'!C41)</f>
        <v>59.857142857142854</v>
      </c>
      <c r="D41" s="49">
        <f>AVERAGE('29.07 Kyambogo-Spear Motors'!D41,'30.07 Kyambogo-Spear Motors'!D41,'31.07 Kyambogo-Spear Motors'!D41,'02.08 Kyambogo-Spear Motors'!D41,'01.08 Kyambogo-Spear Motors'!D41,'03.08 Kyambogo-Spear Motors'!D41,'04.08 Kyambogo-Spear Motors'!D41)</f>
        <v>16.714285714285715</v>
      </c>
      <c r="E41" s="49">
        <f>AVERAGE('29.07 Kyambogo-Spear Motors'!E41,'30.07 Kyambogo-Spear Motors'!E41,'31.07 Kyambogo-Spear Motors'!E41,'02.08 Kyambogo-Spear Motors'!E41,'01.08 Kyambogo-Spear Motors'!E41,'03.08 Kyambogo-Spear Motors'!E41,'04.08 Kyambogo-Spear Motors'!E41)</f>
        <v>14.857142857142858</v>
      </c>
      <c r="F41" s="49">
        <f>AVERAGE('29.07 Kyambogo-Spear Motors'!F41,'30.07 Kyambogo-Spear Motors'!F41,'31.07 Kyambogo-Spear Motors'!F41,'02.08 Kyambogo-Spear Motors'!F41,'01.08 Kyambogo-Spear Motors'!F41,'03.08 Kyambogo-Spear Motors'!F41,'04.08 Kyambogo-Spear Motors'!F41)</f>
        <v>43.428571428571431</v>
      </c>
      <c r="G41" s="49">
        <f>AVERAGE('29.07 Kyambogo-Spear Motors'!G41,'30.07 Kyambogo-Spear Motors'!G41,'31.07 Kyambogo-Spear Motors'!G41,'02.08 Kyambogo-Spear Motors'!G41,'01.08 Kyambogo-Spear Motors'!G41,'03.08 Kyambogo-Spear Motors'!G41,'04.08 Kyambogo-Spear Motors'!G41)</f>
        <v>1.7142857142857142</v>
      </c>
      <c r="H41" s="49">
        <f>AVERAGE('29.07 Kyambogo-Spear Motors'!H41,'30.07 Kyambogo-Spear Motors'!H41,'31.07 Kyambogo-Spear Motors'!H41,'02.08 Kyambogo-Spear Motors'!H41,'01.08 Kyambogo-Spear Motors'!H41,'03.08 Kyambogo-Spear Motors'!H41,'04.08 Kyambogo-Spear Motors'!H41)</f>
        <v>0.42857142857142855</v>
      </c>
      <c r="I41" s="49">
        <f>AVERAGE('29.07 Kyambogo-Spear Motors'!I41,'30.07 Kyambogo-Spear Motors'!I41,'31.07 Kyambogo-Spear Motors'!I41,'02.08 Kyambogo-Spear Motors'!I41,'01.08 Kyambogo-Spear Motors'!I41,'03.08 Kyambogo-Spear Motors'!I41,'04.08 Kyambogo-Spear Motors'!I41)</f>
        <v>5.1428571428571432</v>
      </c>
      <c r="J41" s="49">
        <f>AVERAGE('29.07 Kyambogo-Spear Motors'!J41,'30.07 Kyambogo-Spear Motors'!J41,'31.07 Kyambogo-Spear Motors'!J41,'02.08 Kyambogo-Spear Motors'!J41,'01.08 Kyambogo-Spear Motors'!J41,'03.08 Kyambogo-Spear Motors'!J41,'04.08 Kyambogo-Spear Motors'!J41)</f>
        <v>4.2857142857142856</v>
      </c>
      <c r="K41" s="49">
        <f>AVERAGE('29.07 Kyambogo-Spear Motors'!K41,'30.07 Kyambogo-Spear Motors'!K41,'31.07 Kyambogo-Spear Motors'!K41,'02.08 Kyambogo-Spear Motors'!K41,'01.08 Kyambogo-Spear Motors'!K41,'03.08 Kyambogo-Spear Motors'!K41,'04.08 Kyambogo-Spear Motors'!K41)</f>
        <v>2.7142857142857144</v>
      </c>
      <c r="L41" s="49">
        <f>AVERAGE('29.07 Kyambogo-Spear Motors'!L41,'30.07 Kyambogo-Spear Motors'!L41,'31.07 Kyambogo-Spear Motors'!L41,'02.08 Kyambogo-Spear Motors'!L41,'01.08 Kyambogo-Spear Motors'!L41,'03.08 Kyambogo-Spear Motors'!L41,'04.08 Kyambogo-Spear Motors'!L41)</f>
        <v>5.1428571428571432</v>
      </c>
      <c r="M41" s="49">
        <f>AVERAGE('29.07 Kyambogo-Spear Motors'!M41,'30.07 Kyambogo-Spear Motors'!M41,'31.07 Kyambogo-Spear Motors'!M41,'02.08 Kyambogo-Spear Motors'!M41,'01.08 Kyambogo-Spear Motors'!M41,'03.08 Kyambogo-Spear Motors'!M41,'04.08 Kyambogo-Spear Motors'!M41)</f>
        <v>202.85714285714286</v>
      </c>
      <c r="N41" s="49">
        <f>AVERAGE('29.07 Kyambogo-Spear Motors'!N41,'30.07 Kyambogo-Spear Motors'!N41,'31.07 Kyambogo-Spear Motors'!N41,'02.08 Kyambogo-Spear Motors'!N41,'01.08 Kyambogo-Spear Motors'!N41,'03.08 Kyambogo-Spear Motors'!N41,'04.08 Kyambogo-Spear Motors'!N41)</f>
        <v>0</v>
      </c>
      <c r="O41" s="15">
        <f t="shared" si="0"/>
        <v>154.28571428571428</v>
      </c>
      <c r="P41" s="15">
        <f t="shared" si="1"/>
        <v>357.14285714285711</v>
      </c>
      <c r="R41" s="5" t="s">
        <v>176</v>
      </c>
      <c r="S41" s="16">
        <f>SUM(S10:S33)</f>
        <v>4614.8571428571431</v>
      </c>
      <c r="T41" s="16">
        <f t="shared" ref="T41:AD41" si="33">SUM(T10:T33)</f>
        <v>1197.1428571428573</v>
      </c>
      <c r="U41" s="16">
        <f t="shared" si="33"/>
        <v>920.28571428571422</v>
      </c>
      <c r="V41" s="16">
        <f t="shared" si="33"/>
        <v>3905.5714285714284</v>
      </c>
      <c r="W41" s="16">
        <f t="shared" si="33"/>
        <v>192.42857142857144</v>
      </c>
      <c r="X41" s="16">
        <f t="shared" si="33"/>
        <v>103.35714285714286</v>
      </c>
      <c r="Y41" s="16">
        <f t="shared" si="33"/>
        <v>462.78571428571433</v>
      </c>
      <c r="Z41" s="16">
        <f t="shared" si="33"/>
        <v>266.85714285714289</v>
      </c>
      <c r="AA41" s="16">
        <f t="shared" si="33"/>
        <v>129.95238095238096</v>
      </c>
      <c r="AB41" s="16">
        <f t="shared" si="33"/>
        <v>257.57142857142856</v>
      </c>
      <c r="AC41" s="16">
        <f t="shared" si="33"/>
        <v>20269.5</v>
      </c>
      <c r="AD41" s="16">
        <f t="shared" si="33"/>
        <v>0</v>
      </c>
      <c r="AE41" s="32">
        <f>SUM(AE10:AE33)</f>
        <v>12050.809523809523</v>
      </c>
      <c r="AF41" s="32">
        <f>SUM(AF10:AF33)</f>
        <v>32320.309523809523</v>
      </c>
    </row>
    <row r="42" spans="2:32" ht="23.1" customHeight="1" x14ac:dyDescent="0.25">
      <c r="B42" s="24" t="s">
        <v>69</v>
      </c>
      <c r="C42" s="49">
        <f>AVERAGE('29.07 Kyambogo-Spear Motors'!C42,'30.07 Kyambogo-Spear Motors'!C42,'31.07 Kyambogo-Spear Motors'!C42,'02.08 Kyambogo-Spear Motors'!C42,'01.08 Kyambogo-Spear Motors'!C42,'03.08 Kyambogo-Spear Motors'!C42,'04.08 Kyambogo-Spear Motors'!C42)</f>
        <v>62.285714285714285</v>
      </c>
      <c r="D42" s="49">
        <f>AVERAGE('29.07 Kyambogo-Spear Motors'!D42,'30.07 Kyambogo-Spear Motors'!D42,'31.07 Kyambogo-Spear Motors'!D42,'02.08 Kyambogo-Spear Motors'!D42,'01.08 Kyambogo-Spear Motors'!D42,'03.08 Kyambogo-Spear Motors'!D42,'04.08 Kyambogo-Spear Motors'!D42)</f>
        <v>28.285714285714285</v>
      </c>
      <c r="E42" s="49">
        <f>AVERAGE('29.07 Kyambogo-Spear Motors'!E42,'30.07 Kyambogo-Spear Motors'!E42,'31.07 Kyambogo-Spear Motors'!E42,'02.08 Kyambogo-Spear Motors'!E42,'01.08 Kyambogo-Spear Motors'!E42,'03.08 Kyambogo-Spear Motors'!E42,'04.08 Kyambogo-Spear Motors'!E42)</f>
        <v>17.857142857142858</v>
      </c>
      <c r="F42" s="49">
        <f>AVERAGE('29.07 Kyambogo-Spear Motors'!F42,'30.07 Kyambogo-Spear Motors'!F42,'31.07 Kyambogo-Spear Motors'!F42,'02.08 Kyambogo-Spear Motors'!F42,'01.08 Kyambogo-Spear Motors'!F42,'03.08 Kyambogo-Spear Motors'!F42,'04.08 Kyambogo-Spear Motors'!F42)</f>
        <v>47.714285714285715</v>
      </c>
      <c r="G42" s="49">
        <f>AVERAGE('29.07 Kyambogo-Spear Motors'!G42,'30.07 Kyambogo-Spear Motors'!G42,'31.07 Kyambogo-Spear Motors'!G42,'02.08 Kyambogo-Spear Motors'!G42,'01.08 Kyambogo-Spear Motors'!G42,'03.08 Kyambogo-Spear Motors'!G42,'04.08 Kyambogo-Spear Motors'!G42)</f>
        <v>1</v>
      </c>
      <c r="H42" s="49">
        <f>AVERAGE('29.07 Kyambogo-Spear Motors'!H42,'30.07 Kyambogo-Spear Motors'!H42,'31.07 Kyambogo-Spear Motors'!H42,'02.08 Kyambogo-Spear Motors'!H42,'01.08 Kyambogo-Spear Motors'!H42,'03.08 Kyambogo-Spear Motors'!H42,'04.08 Kyambogo-Spear Motors'!H42)</f>
        <v>0.2857142857142857</v>
      </c>
      <c r="I42" s="49">
        <f>AVERAGE('29.07 Kyambogo-Spear Motors'!I42,'30.07 Kyambogo-Spear Motors'!I42,'31.07 Kyambogo-Spear Motors'!I42,'02.08 Kyambogo-Spear Motors'!I42,'01.08 Kyambogo-Spear Motors'!I42,'03.08 Kyambogo-Spear Motors'!I42,'04.08 Kyambogo-Spear Motors'!I42)</f>
        <v>3.8571428571428572</v>
      </c>
      <c r="J42" s="49">
        <f>AVERAGE('29.07 Kyambogo-Spear Motors'!J42,'30.07 Kyambogo-Spear Motors'!J42,'31.07 Kyambogo-Spear Motors'!J42,'02.08 Kyambogo-Spear Motors'!J42,'01.08 Kyambogo-Spear Motors'!J42,'03.08 Kyambogo-Spear Motors'!J42,'04.08 Kyambogo-Spear Motors'!J42)</f>
        <v>2.7142857142857144</v>
      </c>
      <c r="K42" s="49">
        <f>AVERAGE('29.07 Kyambogo-Spear Motors'!K42,'30.07 Kyambogo-Spear Motors'!K42,'31.07 Kyambogo-Spear Motors'!K42,'02.08 Kyambogo-Spear Motors'!K42,'01.08 Kyambogo-Spear Motors'!K42,'03.08 Kyambogo-Spear Motors'!K42,'04.08 Kyambogo-Spear Motors'!K42)</f>
        <v>2</v>
      </c>
      <c r="L42" s="49">
        <f>AVERAGE('29.07 Kyambogo-Spear Motors'!L42,'30.07 Kyambogo-Spear Motors'!L42,'31.07 Kyambogo-Spear Motors'!L42,'02.08 Kyambogo-Spear Motors'!L42,'01.08 Kyambogo-Spear Motors'!L42,'03.08 Kyambogo-Spear Motors'!L42,'04.08 Kyambogo-Spear Motors'!L42)</f>
        <v>5.2857142857142856</v>
      </c>
      <c r="M42" s="49">
        <f>AVERAGE('29.07 Kyambogo-Spear Motors'!M42,'30.07 Kyambogo-Spear Motors'!M42,'31.07 Kyambogo-Spear Motors'!M42,'02.08 Kyambogo-Spear Motors'!M42,'01.08 Kyambogo-Spear Motors'!M42,'03.08 Kyambogo-Spear Motors'!M42,'04.08 Kyambogo-Spear Motors'!M42)</f>
        <v>205.71428571428572</v>
      </c>
      <c r="N42" s="49">
        <f>AVERAGE('29.07 Kyambogo-Spear Motors'!N42,'30.07 Kyambogo-Spear Motors'!N42,'31.07 Kyambogo-Spear Motors'!N42,'02.08 Kyambogo-Spear Motors'!N42,'01.08 Kyambogo-Spear Motors'!N42,'03.08 Kyambogo-Spear Motors'!N42,'04.08 Kyambogo-Spear Motors'!N42)</f>
        <v>0</v>
      </c>
      <c r="O42" s="15">
        <f t="shared" si="0"/>
        <v>171.28571428571428</v>
      </c>
      <c r="P42" s="15">
        <f t="shared" si="1"/>
        <v>377</v>
      </c>
      <c r="R42" s="5" t="s">
        <v>160</v>
      </c>
      <c r="S42" s="48">
        <f>S41/S40</f>
        <v>1.401475054229935</v>
      </c>
      <c r="T42" s="48">
        <f t="shared" ref="T42:AF42" si="34">T41/T40</f>
        <v>1.1335046665764912</v>
      </c>
      <c r="U42" s="48">
        <f t="shared" si="34"/>
        <v>1.2120413922859832</v>
      </c>
      <c r="V42" s="48">
        <f t="shared" si="34"/>
        <v>1.5360714687043489</v>
      </c>
      <c r="W42" s="48">
        <f t="shared" si="34"/>
        <v>1.8604972375690609</v>
      </c>
      <c r="X42" s="48">
        <f t="shared" si="34"/>
        <v>2.3566775244299674</v>
      </c>
      <c r="Y42" s="48">
        <f t="shared" si="34"/>
        <v>1.8867210250436808</v>
      </c>
      <c r="Z42" s="48">
        <f t="shared" si="34"/>
        <v>2.172093023255814</v>
      </c>
      <c r="AA42" s="48">
        <f t="shared" si="34"/>
        <v>1.7936247124548146</v>
      </c>
      <c r="AB42" s="48">
        <f t="shared" si="34"/>
        <v>1.4754500818330603</v>
      </c>
      <c r="AC42" s="48">
        <f t="shared" si="34"/>
        <v>1.809938387356014</v>
      </c>
      <c r="AD42" s="48" t="e">
        <f t="shared" si="34"/>
        <v>#DIV/0!</v>
      </c>
      <c r="AE42" s="51">
        <f t="shared" si="34"/>
        <v>1.4323506688665069</v>
      </c>
      <c r="AF42" s="51">
        <f t="shared" si="34"/>
        <v>1.6479604038765741</v>
      </c>
    </row>
    <row r="43" spans="2:32" ht="23.1" customHeight="1" x14ac:dyDescent="0.25">
      <c r="B43" s="23" t="s">
        <v>70</v>
      </c>
      <c r="C43" s="49">
        <f>AVERAGE('29.07 Kyambogo-Spear Motors'!C43,'30.07 Kyambogo-Spear Motors'!C43,'31.07 Kyambogo-Spear Motors'!C43,'02.08 Kyambogo-Spear Motors'!C43,'01.08 Kyambogo-Spear Motors'!C43,'03.08 Kyambogo-Spear Motors'!C43,'04.08 Kyambogo-Spear Motors'!C43)</f>
        <v>72.571428571428569</v>
      </c>
      <c r="D43" s="49">
        <f>AVERAGE('29.07 Kyambogo-Spear Motors'!D43,'30.07 Kyambogo-Spear Motors'!D43,'31.07 Kyambogo-Spear Motors'!D43,'02.08 Kyambogo-Spear Motors'!D43,'01.08 Kyambogo-Spear Motors'!D43,'03.08 Kyambogo-Spear Motors'!D43,'04.08 Kyambogo-Spear Motors'!D43)</f>
        <v>27.428571428571427</v>
      </c>
      <c r="E43" s="49">
        <f>AVERAGE('29.07 Kyambogo-Spear Motors'!E43,'30.07 Kyambogo-Spear Motors'!E43,'31.07 Kyambogo-Spear Motors'!E43,'02.08 Kyambogo-Spear Motors'!E43,'01.08 Kyambogo-Spear Motors'!E43,'03.08 Kyambogo-Spear Motors'!E43,'04.08 Kyambogo-Spear Motors'!E43)</f>
        <v>16.714285714285715</v>
      </c>
      <c r="F43" s="49">
        <f>AVERAGE('29.07 Kyambogo-Spear Motors'!F43,'30.07 Kyambogo-Spear Motors'!F43,'31.07 Kyambogo-Spear Motors'!F43,'02.08 Kyambogo-Spear Motors'!F43,'01.08 Kyambogo-Spear Motors'!F43,'03.08 Kyambogo-Spear Motors'!F43,'04.08 Kyambogo-Spear Motors'!F43)</f>
        <v>46.571428571428569</v>
      </c>
      <c r="G43" s="49">
        <f>AVERAGE('29.07 Kyambogo-Spear Motors'!G43,'30.07 Kyambogo-Spear Motors'!G43,'31.07 Kyambogo-Spear Motors'!G43,'02.08 Kyambogo-Spear Motors'!G43,'01.08 Kyambogo-Spear Motors'!G43,'03.08 Kyambogo-Spear Motors'!G43,'04.08 Kyambogo-Spear Motors'!G43)</f>
        <v>2.1428571428571428</v>
      </c>
      <c r="H43" s="49">
        <f>AVERAGE('29.07 Kyambogo-Spear Motors'!H43,'30.07 Kyambogo-Spear Motors'!H43,'31.07 Kyambogo-Spear Motors'!H43,'02.08 Kyambogo-Spear Motors'!H43,'01.08 Kyambogo-Spear Motors'!H43,'03.08 Kyambogo-Spear Motors'!H43,'04.08 Kyambogo-Spear Motors'!H43)</f>
        <v>0.8571428571428571</v>
      </c>
      <c r="I43" s="49">
        <f>AVERAGE('29.07 Kyambogo-Spear Motors'!I43,'30.07 Kyambogo-Spear Motors'!I43,'31.07 Kyambogo-Spear Motors'!I43,'02.08 Kyambogo-Spear Motors'!I43,'01.08 Kyambogo-Spear Motors'!I43,'03.08 Kyambogo-Spear Motors'!I43,'04.08 Kyambogo-Spear Motors'!I43)</f>
        <v>6.8571428571428568</v>
      </c>
      <c r="J43" s="49">
        <f>AVERAGE('29.07 Kyambogo-Spear Motors'!J43,'30.07 Kyambogo-Spear Motors'!J43,'31.07 Kyambogo-Spear Motors'!J43,'02.08 Kyambogo-Spear Motors'!J43,'01.08 Kyambogo-Spear Motors'!J43,'03.08 Kyambogo-Spear Motors'!J43,'04.08 Kyambogo-Spear Motors'!J43)</f>
        <v>5</v>
      </c>
      <c r="K43" s="49">
        <f>AVERAGE('29.07 Kyambogo-Spear Motors'!K43,'30.07 Kyambogo-Spear Motors'!K43,'31.07 Kyambogo-Spear Motors'!K43,'02.08 Kyambogo-Spear Motors'!K43,'01.08 Kyambogo-Spear Motors'!K43,'03.08 Kyambogo-Spear Motors'!K43,'04.08 Kyambogo-Spear Motors'!K43)</f>
        <v>2.5714285714285716</v>
      </c>
      <c r="L43" s="49">
        <f>AVERAGE('29.07 Kyambogo-Spear Motors'!L43,'30.07 Kyambogo-Spear Motors'!L43,'31.07 Kyambogo-Spear Motors'!L43,'02.08 Kyambogo-Spear Motors'!L43,'01.08 Kyambogo-Spear Motors'!L43,'03.08 Kyambogo-Spear Motors'!L43,'04.08 Kyambogo-Spear Motors'!L43)</f>
        <v>4.4285714285714288</v>
      </c>
      <c r="M43" s="49">
        <f>AVERAGE('29.07 Kyambogo-Spear Motors'!M43,'30.07 Kyambogo-Spear Motors'!M43,'31.07 Kyambogo-Spear Motors'!M43,'02.08 Kyambogo-Spear Motors'!M43,'01.08 Kyambogo-Spear Motors'!M43,'03.08 Kyambogo-Spear Motors'!M43,'04.08 Kyambogo-Spear Motors'!M43)</f>
        <v>209</v>
      </c>
      <c r="N43" s="49">
        <f>AVERAGE('29.07 Kyambogo-Spear Motors'!N43,'30.07 Kyambogo-Spear Motors'!N43,'31.07 Kyambogo-Spear Motors'!N43,'02.08 Kyambogo-Spear Motors'!N43,'01.08 Kyambogo-Spear Motors'!N43,'03.08 Kyambogo-Spear Motors'!N43,'04.08 Kyambogo-Spear Motors'!N43)</f>
        <v>0</v>
      </c>
      <c r="O43" s="15">
        <f t="shared" si="0"/>
        <v>185.14285714285714</v>
      </c>
      <c r="P43" s="15">
        <f t="shared" si="1"/>
        <v>394.14285714285711</v>
      </c>
    </row>
    <row r="44" spans="2:32" ht="23.1" customHeight="1" x14ac:dyDescent="0.25">
      <c r="B44" s="25" t="s">
        <v>71</v>
      </c>
      <c r="C44" s="49">
        <f>AVERAGE('29.07 Kyambogo-Spear Motors'!C44,'30.07 Kyambogo-Spear Motors'!C44,'31.07 Kyambogo-Spear Motors'!C44,'02.08 Kyambogo-Spear Motors'!C44,'01.08 Kyambogo-Spear Motors'!C44,'03.08 Kyambogo-Spear Motors'!C44,'04.08 Kyambogo-Spear Motors'!C44)</f>
        <v>69.428571428571431</v>
      </c>
      <c r="D44" s="49">
        <f>AVERAGE('29.07 Kyambogo-Spear Motors'!D44,'30.07 Kyambogo-Spear Motors'!D44,'31.07 Kyambogo-Spear Motors'!D44,'02.08 Kyambogo-Spear Motors'!D44,'01.08 Kyambogo-Spear Motors'!D44,'03.08 Kyambogo-Spear Motors'!D44,'04.08 Kyambogo-Spear Motors'!D44)</f>
        <v>19.142857142857142</v>
      </c>
      <c r="E44" s="49">
        <f>AVERAGE('29.07 Kyambogo-Spear Motors'!E44,'30.07 Kyambogo-Spear Motors'!E44,'31.07 Kyambogo-Spear Motors'!E44,'02.08 Kyambogo-Spear Motors'!E44,'01.08 Kyambogo-Spear Motors'!E44,'03.08 Kyambogo-Spear Motors'!E44,'04.08 Kyambogo-Spear Motors'!E44)</f>
        <v>16.714285714285715</v>
      </c>
      <c r="F44" s="49">
        <f>AVERAGE('29.07 Kyambogo-Spear Motors'!F44,'30.07 Kyambogo-Spear Motors'!F44,'31.07 Kyambogo-Spear Motors'!F44,'02.08 Kyambogo-Spear Motors'!F44,'01.08 Kyambogo-Spear Motors'!F44,'03.08 Kyambogo-Spear Motors'!F44,'04.08 Kyambogo-Spear Motors'!F44)</f>
        <v>49.714285714285715</v>
      </c>
      <c r="G44" s="49">
        <f>AVERAGE('29.07 Kyambogo-Spear Motors'!G44,'30.07 Kyambogo-Spear Motors'!G44,'31.07 Kyambogo-Spear Motors'!G44,'02.08 Kyambogo-Spear Motors'!G44,'01.08 Kyambogo-Spear Motors'!G44,'03.08 Kyambogo-Spear Motors'!G44,'04.08 Kyambogo-Spear Motors'!G44)</f>
        <v>1.1428571428571428</v>
      </c>
      <c r="H44" s="49">
        <f>AVERAGE('29.07 Kyambogo-Spear Motors'!H44,'30.07 Kyambogo-Spear Motors'!H44,'31.07 Kyambogo-Spear Motors'!H44,'02.08 Kyambogo-Spear Motors'!H44,'01.08 Kyambogo-Spear Motors'!H44,'03.08 Kyambogo-Spear Motors'!H44,'04.08 Kyambogo-Spear Motors'!H44)</f>
        <v>1</v>
      </c>
      <c r="I44" s="49">
        <f>AVERAGE('29.07 Kyambogo-Spear Motors'!I44,'30.07 Kyambogo-Spear Motors'!I44,'31.07 Kyambogo-Spear Motors'!I44,'02.08 Kyambogo-Spear Motors'!I44,'01.08 Kyambogo-Spear Motors'!I44,'03.08 Kyambogo-Spear Motors'!I44,'04.08 Kyambogo-Spear Motors'!I44)</f>
        <v>5.8571428571428568</v>
      </c>
      <c r="J44" s="49">
        <f>AVERAGE('29.07 Kyambogo-Spear Motors'!J44,'30.07 Kyambogo-Spear Motors'!J44,'31.07 Kyambogo-Spear Motors'!J44,'02.08 Kyambogo-Spear Motors'!J44,'01.08 Kyambogo-Spear Motors'!J44,'03.08 Kyambogo-Spear Motors'!J44,'04.08 Kyambogo-Spear Motors'!J44)</f>
        <v>3.8571428571428572</v>
      </c>
      <c r="K44" s="49">
        <f>AVERAGE('29.07 Kyambogo-Spear Motors'!K44,'30.07 Kyambogo-Spear Motors'!K44,'31.07 Kyambogo-Spear Motors'!K44,'02.08 Kyambogo-Spear Motors'!K44,'01.08 Kyambogo-Spear Motors'!K44,'03.08 Kyambogo-Spear Motors'!K44,'04.08 Kyambogo-Spear Motors'!K44)</f>
        <v>2.1428571428571428</v>
      </c>
      <c r="L44" s="49">
        <f>AVERAGE('29.07 Kyambogo-Spear Motors'!L44,'30.07 Kyambogo-Spear Motors'!L44,'31.07 Kyambogo-Spear Motors'!L44,'02.08 Kyambogo-Spear Motors'!L44,'01.08 Kyambogo-Spear Motors'!L44,'03.08 Kyambogo-Spear Motors'!L44,'04.08 Kyambogo-Spear Motors'!L44)</f>
        <v>4.8571428571428568</v>
      </c>
      <c r="M44" s="49">
        <f>AVERAGE('29.07 Kyambogo-Spear Motors'!M44,'30.07 Kyambogo-Spear Motors'!M44,'31.07 Kyambogo-Spear Motors'!M44,'02.08 Kyambogo-Spear Motors'!M44,'01.08 Kyambogo-Spear Motors'!M44,'03.08 Kyambogo-Spear Motors'!M44,'04.08 Kyambogo-Spear Motors'!M44)</f>
        <v>207.42857142857142</v>
      </c>
      <c r="N44" s="49">
        <f>AVERAGE('29.07 Kyambogo-Spear Motors'!N44,'30.07 Kyambogo-Spear Motors'!N44,'31.07 Kyambogo-Spear Motors'!N44,'02.08 Kyambogo-Spear Motors'!N44,'01.08 Kyambogo-Spear Motors'!N44,'03.08 Kyambogo-Spear Motors'!N44,'04.08 Kyambogo-Spear Motors'!N44)</f>
        <v>0</v>
      </c>
      <c r="O44" s="15">
        <f t="shared" si="0"/>
        <v>173.85714285714286</v>
      </c>
      <c r="P44" s="15">
        <f t="shared" si="1"/>
        <v>381.28571428571428</v>
      </c>
    </row>
    <row r="45" spans="2:32" ht="23.1" customHeight="1" x14ac:dyDescent="0.25">
      <c r="B45" s="23" t="s">
        <v>72</v>
      </c>
      <c r="C45" s="49">
        <f>AVERAGE('29.07 Kyambogo-Spear Motors'!C45,'30.07 Kyambogo-Spear Motors'!C45,'31.07 Kyambogo-Spear Motors'!C45,'02.08 Kyambogo-Spear Motors'!C45,'01.08 Kyambogo-Spear Motors'!C45,'03.08 Kyambogo-Spear Motors'!C45,'04.08 Kyambogo-Spear Motors'!C45)</f>
        <v>66.142857142857139</v>
      </c>
      <c r="D45" s="49">
        <f>AVERAGE('29.07 Kyambogo-Spear Motors'!D45,'30.07 Kyambogo-Spear Motors'!D45,'31.07 Kyambogo-Spear Motors'!D45,'02.08 Kyambogo-Spear Motors'!D45,'01.08 Kyambogo-Spear Motors'!D45,'03.08 Kyambogo-Spear Motors'!D45,'04.08 Kyambogo-Spear Motors'!D45)</f>
        <v>24</v>
      </c>
      <c r="E45" s="49">
        <f>AVERAGE('29.07 Kyambogo-Spear Motors'!E45,'30.07 Kyambogo-Spear Motors'!E45,'31.07 Kyambogo-Spear Motors'!E45,'02.08 Kyambogo-Spear Motors'!E45,'01.08 Kyambogo-Spear Motors'!E45,'03.08 Kyambogo-Spear Motors'!E45,'04.08 Kyambogo-Spear Motors'!E45)</f>
        <v>15.142857142857142</v>
      </c>
      <c r="F45" s="49">
        <f>AVERAGE('29.07 Kyambogo-Spear Motors'!F45,'30.07 Kyambogo-Spear Motors'!F45,'31.07 Kyambogo-Spear Motors'!F45,'02.08 Kyambogo-Spear Motors'!F45,'01.08 Kyambogo-Spear Motors'!F45,'03.08 Kyambogo-Spear Motors'!F45,'04.08 Kyambogo-Spear Motors'!F45)</f>
        <v>50</v>
      </c>
      <c r="G45" s="49">
        <f>AVERAGE('29.07 Kyambogo-Spear Motors'!G45,'30.07 Kyambogo-Spear Motors'!G45,'31.07 Kyambogo-Spear Motors'!G45,'02.08 Kyambogo-Spear Motors'!G45,'01.08 Kyambogo-Spear Motors'!G45,'03.08 Kyambogo-Spear Motors'!G45,'04.08 Kyambogo-Spear Motors'!G45)</f>
        <v>0.5714285714285714</v>
      </c>
      <c r="H45" s="49">
        <f>AVERAGE('29.07 Kyambogo-Spear Motors'!H45,'30.07 Kyambogo-Spear Motors'!H45,'31.07 Kyambogo-Spear Motors'!H45,'02.08 Kyambogo-Spear Motors'!H45,'01.08 Kyambogo-Spear Motors'!H45,'03.08 Kyambogo-Spear Motors'!H45,'04.08 Kyambogo-Spear Motors'!H45)</f>
        <v>0.5714285714285714</v>
      </c>
      <c r="I45" s="49">
        <f>AVERAGE('29.07 Kyambogo-Spear Motors'!I45,'30.07 Kyambogo-Spear Motors'!I45,'31.07 Kyambogo-Spear Motors'!I45,'02.08 Kyambogo-Spear Motors'!I45,'01.08 Kyambogo-Spear Motors'!I45,'03.08 Kyambogo-Spear Motors'!I45,'04.08 Kyambogo-Spear Motors'!I45)</f>
        <v>3.5714285714285716</v>
      </c>
      <c r="J45" s="49">
        <f>AVERAGE('29.07 Kyambogo-Spear Motors'!J45,'30.07 Kyambogo-Spear Motors'!J45,'31.07 Kyambogo-Spear Motors'!J45,'02.08 Kyambogo-Spear Motors'!J45,'01.08 Kyambogo-Spear Motors'!J45,'03.08 Kyambogo-Spear Motors'!J45,'04.08 Kyambogo-Spear Motors'!J45)</f>
        <v>3</v>
      </c>
      <c r="K45" s="49">
        <f>AVERAGE('29.07 Kyambogo-Spear Motors'!K45,'30.07 Kyambogo-Spear Motors'!K45,'31.07 Kyambogo-Spear Motors'!K45,'02.08 Kyambogo-Spear Motors'!K45,'01.08 Kyambogo-Spear Motors'!K45,'03.08 Kyambogo-Spear Motors'!K45,'04.08 Kyambogo-Spear Motors'!K45)</f>
        <v>1.2857142857142858</v>
      </c>
      <c r="L45" s="49">
        <f>AVERAGE('29.07 Kyambogo-Spear Motors'!L45,'30.07 Kyambogo-Spear Motors'!L45,'31.07 Kyambogo-Spear Motors'!L45,'02.08 Kyambogo-Spear Motors'!L45,'01.08 Kyambogo-Spear Motors'!L45,'03.08 Kyambogo-Spear Motors'!L45,'04.08 Kyambogo-Spear Motors'!L45)</f>
        <v>2.7142857142857144</v>
      </c>
      <c r="M45" s="49">
        <f>AVERAGE('29.07 Kyambogo-Spear Motors'!M45,'30.07 Kyambogo-Spear Motors'!M45,'31.07 Kyambogo-Spear Motors'!M45,'02.08 Kyambogo-Spear Motors'!M45,'01.08 Kyambogo-Spear Motors'!M45,'03.08 Kyambogo-Spear Motors'!M45,'04.08 Kyambogo-Spear Motors'!M45)</f>
        <v>227.71428571428572</v>
      </c>
      <c r="N45" s="49">
        <f>AVERAGE('29.07 Kyambogo-Spear Motors'!N45,'30.07 Kyambogo-Spear Motors'!N45,'31.07 Kyambogo-Spear Motors'!N45,'02.08 Kyambogo-Spear Motors'!N45,'01.08 Kyambogo-Spear Motors'!N45,'03.08 Kyambogo-Spear Motors'!N45,'04.08 Kyambogo-Spear Motors'!N45)</f>
        <v>0</v>
      </c>
      <c r="O45" s="15">
        <f t="shared" si="0"/>
        <v>167.00000000000003</v>
      </c>
      <c r="P45" s="15">
        <f t="shared" si="1"/>
        <v>394.71428571428578</v>
      </c>
    </row>
    <row r="46" spans="2:32" ht="23.1" customHeight="1" x14ac:dyDescent="0.25">
      <c r="B46" s="24" t="s">
        <v>73</v>
      </c>
      <c r="C46" s="49">
        <f>AVERAGE('29.07 Kyambogo-Spear Motors'!C46,'30.07 Kyambogo-Spear Motors'!C46,'31.07 Kyambogo-Spear Motors'!C46,'02.08 Kyambogo-Spear Motors'!C46,'01.08 Kyambogo-Spear Motors'!C46,'03.08 Kyambogo-Spear Motors'!C46,'04.08 Kyambogo-Spear Motors'!C46)</f>
        <v>63.285714285714285</v>
      </c>
      <c r="D46" s="49">
        <f>AVERAGE('29.07 Kyambogo-Spear Motors'!D46,'30.07 Kyambogo-Spear Motors'!D46,'31.07 Kyambogo-Spear Motors'!D46,'02.08 Kyambogo-Spear Motors'!D46,'01.08 Kyambogo-Spear Motors'!D46,'03.08 Kyambogo-Spear Motors'!D46,'04.08 Kyambogo-Spear Motors'!D46)</f>
        <v>20.285714285714285</v>
      </c>
      <c r="E46" s="49">
        <f>AVERAGE('29.07 Kyambogo-Spear Motors'!E46,'30.07 Kyambogo-Spear Motors'!E46,'31.07 Kyambogo-Spear Motors'!E46,'02.08 Kyambogo-Spear Motors'!E46,'01.08 Kyambogo-Spear Motors'!E46,'03.08 Kyambogo-Spear Motors'!E46,'04.08 Kyambogo-Spear Motors'!E46)</f>
        <v>17.428571428571427</v>
      </c>
      <c r="F46" s="49">
        <f>AVERAGE('29.07 Kyambogo-Spear Motors'!F46,'30.07 Kyambogo-Spear Motors'!F46,'31.07 Kyambogo-Spear Motors'!F46,'02.08 Kyambogo-Spear Motors'!F46,'01.08 Kyambogo-Spear Motors'!F46,'03.08 Kyambogo-Spear Motors'!F46,'04.08 Kyambogo-Spear Motors'!F46)</f>
        <v>47.142857142857146</v>
      </c>
      <c r="G46" s="49">
        <f>AVERAGE('29.07 Kyambogo-Spear Motors'!G46,'30.07 Kyambogo-Spear Motors'!G46,'31.07 Kyambogo-Spear Motors'!G46,'02.08 Kyambogo-Spear Motors'!G46,'01.08 Kyambogo-Spear Motors'!G46,'03.08 Kyambogo-Spear Motors'!G46,'04.08 Kyambogo-Spear Motors'!G46)</f>
        <v>1.5714285714285714</v>
      </c>
      <c r="H46" s="49">
        <f>AVERAGE('29.07 Kyambogo-Spear Motors'!H46,'30.07 Kyambogo-Spear Motors'!H46,'31.07 Kyambogo-Spear Motors'!H46,'02.08 Kyambogo-Spear Motors'!H46,'01.08 Kyambogo-Spear Motors'!H46,'03.08 Kyambogo-Spear Motors'!H46,'04.08 Kyambogo-Spear Motors'!H46)</f>
        <v>1.7142857142857142</v>
      </c>
      <c r="I46" s="49">
        <f>AVERAGE('29.07 Kyambogo-Spear Motors'!I46,'30.07 Kyambogo-Spear Motors'!I46,'31.07 Kyambogo-Spear Motors'!I46,'02.08 Kyambogo-Spear Motors'!I46,'01.08 Kyambogo-Spear Motors'!I46,'03.08 Kyambogo-Spear Motors'!I46,'04.08 Kyambogo-Spear Motors'!I46)</f>
        <v>6</v>
      </c>
      <c r="J46" s="49">
        <f>AVERAGE('29.07 Kyambogo-Spear Motors'!J46,'30.07 Kyambogo-Spear Motors'!J46,'31.07 Kyambogo-Spear Motors'!J46,'02.08 Kyambogo-Spear Motors'!J46,'01.08 Kyambogo-Spear Motors'!J46,'03.08 Kyambogo-Spear Motors'!J46,'04.08 Kyambogo-Spear Motors'!J46)</f>
        <v>2.4285714285714284</v>
      </c>
      <c r="K46" s="49">
        <f>AVERAGE('29.07 Kyambogo-Spear Motors'!K46,'30.07 Kyambogo-Spear Motors'!K46,'31.07 Kyambogo-Spear Motors'!K46,'02.08 Kyambogo-Spear Motors'!K46,'01.08 Kyambogo-Spear Motors'!K46,'03.08 Kyambogo-Spear Motors'!K46,'04.08 Kyambogo-Spear Motors'!K46)</f>
        <v>1.5714285714285714</v>
      </c>
      <c r="L46" s="49">
        <f>AVERAGE('29.07 Kyambogo-Spear Motors'!L46,'30.07 Kyambogo-Spear Motors'!L46,'31.07 Kyambogo-Spear Motors'!L46,'02.08 Kyambogo-Spear Motors'!L46,'01.08 Kyambogo-Spear Motors'!L46,'03.08 Kyambogo-Spear Motors'!L46,'04.08 Kyambogo-Spear Motors'!L46)</f>
        <v>3</v>
      </c>
      <c r="M46" s="49">
        <f>AVERAGE('29.07 Kyambogo-Spear Motors'!M46,'30.07 Kyambogo-Spear Motors'!M46,'31.07 Kyambogo-Spear Motors'!M46,'02.08 Kyambogo-Spear Motors'!M46,'01.08 Kyambogo-Spear Motors'!M46,'03.08 Kyambogo-Spear Motors'!M46,'04.08 Kyambogo-Spear Motors'!M46)</f>
        <v>184.57142857142858</v>
      </c>
      <c r="N46" s="49">
        <f>AVERAGE('29.07 Kyambogo-Spear Motors'!N46,'30.07 Kyambogo-Spear Motors'!N46,'31.07 Kyambogo-Spear Motors'!N46,'02.08 Kyambogo-Spear Motors'!N46,'01.08 Kyambogo-Spear Motors'!N46,'03.08 Kyambogo-Spear Motors'!N46,'04.08 Kyambogo-Spear Motors'!N46)</f>
        <v>0</v>
      </c>
      <c r="O46" s="15">
        <f t="shared" si="0"/>
        <v>164.42857142857144</v>
      </c>
      <c r="P46" s="15">
        <f t="shared" si="1"/>
        <v>349</v>
      </c>
      <c r="R46" s="8"/>
      <c r="T46"/>
    </row>
    <row r="47" spans="2:32" ht="23.1" customHeight="1" x14ac:dyDescent="0.25">
      <c r="B47" s="24" t="s">
        <v>74</v>
      </c>
      <c r="C47" s="49">
        <f>AVERAGE('29.07 Kyambogo-Spear Motors'!C47,'30.07 Kyambogo-Spear Motors'!C47,'31.07 Kyambogo-Spear Motors'!C47,'02.08 Kyambogo-Spear Motors'!C47,'01.08 Kyambogo-Spear Motors'!C47,'03.08 Kyambogo-Spear Motors'!C47,'04.08 Kyambogo-Spear Motors'!C47)</f>
        <v>56</v>
      </c>
      <c r="D47" s="49">
        <f>AVERAGE('29.07 Kyambogo-Spear Motors'!D47,'30.07 Kyambogo-Spear Motors'!D47,'31.07 Kyambogo-Spear Motors'!D47,'02.08 Kyambogo-Spear Motors'!D47,'01.08 Kyambogo-Spear Motors'!D47,'03.08 Kyambogo-Spear Motors'!D47,'04.08 Kyambogo-Spear Motors'!D47)</f>
        <v>20.571428571428573</v>
      </c>
      <c r="E47" s="49">
        <f>AVERAGE('29.07 Kyambogo-Spear Motors'!E47,'30.07 Kyambogo-Spear Motors'!E47,'31.07 Kyambogo-Spear Motors'!E47,'02.08 Kyambogo-Spear Motors'!E47,'01.08 Kyambogo-Spear Motors'!E47,'03.08 Kyambogo-Spear Motors'!E47,'04.08 Kyambogo-Spear Motors'!E47)</f>
        <v>11.142857142857142</v>
      </c>
      <c r="F47" s="49">
        <f>AVERAGE('29.07 Kyambogo-Spear Motors'!F47,'30.07 Kyambogo-Spear Motors'!F47,'31.07 Kyambogo-Spear Motors'!F47,'02.08 Kyambogo-Spear Motors'!F47,'01.08 Kyambogo-Spear Motors'!F47,'03.08 Kyambogo-Spear Motors'!F47,'04.08 Kyambogo-Spear Motors'!F47)</f>
        <v>46.428571428571431</v>
      </c>
      <c r="G47" s="49">
        <f>AVERAGE('29.07 Kyambogo-Spear Motors'!G47,'30.07 Kyambogo-Spear Motors'!G47,'31.07 Kyambogo-Spear Motors'!G47,'02.08 Kyambogo-Spear Motors'!G47,'01.08 Kyambogo-Spear Motors'!G47,'03.08 Kyambogo-Spear Motors'!G47,'04.08 Kyambogo-Spear Motors'!G47)</f>
        <v>1</v>
      </c>
      <c r="H47" s="49">
        <f>AVERAGE('29.07 Kyambogo-Spear Motors'!H47,'30.07 Kyambogo-Spear Motors'!H47,'31.07 Kyambogo-Spear Motors'!H47,'02.08 Kyambogo-Spear Motors'!H47,'01.08 Kyambogo-Spear Motors'!H47,'03.08 Kyambogo-Spear Motors'!H47,'04.08 Kyambogo-Spear Motors'!H47)</f>
        <v>0.7142857142857143</v>
      </c>
      <c r="I47" s="49">
        <f>AVERAGE('29.07 Kyambogo-Spear Motors'!I47,'30.07 Kyambogo-Spear Motors'!I47,'31.07 Kyambogo-Spear Motors'!I47,'02.08 Kyambogo-Spear Motors'!I47,'01.08 Kyambogo-Spear Motors'!I47,'03.08 Kyambogo-Spear Motors'!I47,'04.08 Kyambogo-Spear Motors'!I47)</f>
        <v>4.7142857142857144</v>
      </c>
      <c r="J47" s="49">
        <f>AVERAGE('29.07 Kyambogo-Spear Motors'!J47,'30.07 Kyambogo-Spear Motors'!J47,'31.07 Kyambogo-Spear Motors'!J47,'02.08 Kyambogo-Spear Motors'!J47,'01.08 Kyambogo-Spear Motors'!J47,'03.08 Kyambogo-Spear Motors'!J47,'04.08 Kyambogo-Spear Motors'!J47)</f>
        <v>3.5714285714285716</v>
      </c>
      <c r="K47" s="49">
        <f>AVERAGE('29.07 Kyambogo-Spear Motors'!K47,'30.07 Kyambogo-Spear Motors'!K47,'31.07 Kyambogo-Spear Motors'!K47,'02.08 Kyambogo-Spear Motors'!K47,'01.08 Kyambogo-Spear Motors'!K47,'03.08 Kyambogo-Spear Motors'!K47,'04.08 Kyambogo-Spear Motors'!K47)</f>
        <v>1.7142857142857142</v>
      </c>
      <c r="L47" s="49">
        <f>AVERAGE('29.07 Kyambogo-Spear Motors'!L47,'30.07 Kyambogo-Spear Motors'!L47,'31.07 Kyambogo-Spear Motors'!L47,'02.08 Kyambogo-Spear Motors'!L47,'01.08 Kyambogo-Spear Motors'!L47,'03.08 Kyambogo-Spear Motors'!L47,'04.08 Kyambogo-Spear Motors'!L47)</f>
        <v>4.1428571428571432</v>
      </c>
      <c r="M47" s="49">
        <f>AVERAGE('29.07 Kyambogo-Spear Motors'!M47,'30.07 Kyambogo-Spear Motors'!M47,'31.07 Kyambogo-Spear Motors'!M47,'02.08 Kyambogo-Spear Motors'!M47,'01.08 Kyambogo-Spear Motors'!M47,'03.08 Kyambogo-Spear Motors'!M47,'04.08 Kyambogo-Spear Motors'!M47)</f>
        <v>203.57142857142858</v>
      </c>
      <c r="N47" s="49">
        <f>AVERAGE('29.07 Kyambogo-Spear Motors'!N47,'30.07 Kyambogo-Spear Motors'!N47,'31.07 Kyambogo-Spear Motors'!N47,'02.08 Kyambogo-Spear Motors'!N47,'01.08 Kyambogo-Spear Motors'!N47,'03.08 Kyambogo-Spear Motors'!N47,'04.08 Kyambogo-Spear Motors'!N47)</f>
        <v>0</v>
      </c>
      <c r="O47" s="15">
        <f t="shared" si="0"/>
        <v>150.00000000000003</v>
      </c>
      <c r="P47" s="15">
        <f t="shared" si="1"/>
        <v>353.57142857142861</v>
      </c>
      <c r="R47" s="8"/>
      <c r="T47"/>
    </row>
    <row r="48" spans="2:32" ht="23.1" customHeight="1" x14ac:dyDescent="0.25">
      <c r="B48" s="24" t="s">
        <v>75</v>
      </c>
      <c r="C48" s="49">
        <f>AVERAGE('29.07 Kyambogo-Spear Motors'!C48,'30.07 Kyambogo-Spear Motors'!C48,'31.07 Kyambogo-Spear Motors'!C48,'02.08 Kyambogo-Spear Motors'!C48,'01.08 Kyambogo-Spear Motors'!C48,'03.08 Kyambogo-Spear Motors'!C48,'04.08 Kyambogo-Spear Motors'!C48)</f>
        <v>60.571428571428569</v>
      </c>
      <c r="D48" s="49">
        <f>AVERAGE('29.07 Kyambogo-Spear Motors'!D48,'30.07 Kyambogo-Spear Motors'!D48,'31.07 Kyambogo-Spear Motors'!D48,'02.08 Kyambogo-Spear Motors'!D48,'01.08 Kyambogo-Spear Motors'!D48,'03.08 Kyambogo-Spear Motors'!D48,'04.08 Kyambogo-Spear Motors'!D48)</f>
        <v>20.857142857142858</v>
      </c>
      <c r="E48" s="49">
        <f>AVERAGE('29.07 Kyambogo-Spear Motors'!E48,'30.07 Kyambogo-Spear Motors'!E48,'31.07 Kyambogo-Spear Motors'!E48,'02.08 Kyambogo-Spear Motors'!E48,'01.08 Kyambogo-Spear Motors'!E48,'03.08 Kyambogo-Spear Motors'!E48,'04.08 Kyambogo-Spear Motors'!E48)</f>
        <v>15.142857142857142</v>
      </c>
      <c r="F48" s="49">
        <f>AVERAGE('29.07 Kyambogo-Spear Motors'!F48,'30.07 Kyambogo-Spear Motors'!F48,'31.07 Kyambogo-Spear Motors'!F48,'02.08 Kyambogo-Spear Motors'!F48,'01.08 Kyambogo-Spear Motors'!F48,'03.08 Kyambogo-Spear Motors'!F48,'04.08 Kyambogo-Spear Motors'!F48)</f>
        <v>56.714285714285715</v>
      </c>
      <c r="G48" s="49">
        <f>AVERAGE('29.07 Kyambogo-Spear Motors'!G48,'30.07 Kyambogo-Spear Motors'!G48,'31.07 Kyambogo-Spear Motors'!G48,'02.08 Kyambogo-Spear Motors'!G48,'01.08 Kyambogo-Spear Motors'!G48,'03.08 Kyambogo-Spear Motors'!G48,'04.08 Kyambogo-Spear Motors'!G48)</f>
        <v>2</v>
      </c>
      <c r="H48" s="49">
        <f>AVERAGE('29.07 Kyambogo-Spear Motors'!H48,'30.07 Kyambogo-Spear Motors'!H48,'31.07 Kyambogo-Spear Motors'!H48,'02.08 Kyambogo-Spear Motors'!H48,'01.08 Kyambogo-Spear Motors'!H48,'03.08 Kyambogo-Spear Motors'!H48,'04.08 Kyambogo-Spear Motors'!H48)</f>
        <v>1.5714285714285714</v>
      </c>
      <c r="I48" s="49">
        <f>AVERAGE('29.07 Kyambogo-Spear Motors'!I48,'30.07 Kyambogo-Spear Motors'!I48,'31.07 Kyambogo-Spear Motors'!I48,'02.08 Kyambogo-Spear Motors'!I48,'01.08 Kyambogo-Spear Motors'!I48,'03.08 Kyambogo-Spear Motors'!I48,'04.08 Kyambogo-Spear Motors'!I48)</f>
        <v>5</v>
      </c>
      <c r="J48" s="49">
        <f>AVERAGE('29.07 Kyambogo-Spear Motors'!J48,'30.07 Kyambogo-Spear Motors'!J48,'31.07 Kyambogo-Spear Motors'!J48,'02.08 Kyambogo-Spear Motors'!J48,'01.08 Kyambogo-Spear Motors'!J48,'03.08 Kyambogo-Spear Motors'!J48,'04.08 Kyambogo-Spear Motors'!J48)</f>
        <v>3.2857142857142856</v>
      </c>
      <c r="K48" s="49">
        <f>AVERAGE('29.07 Kyambogo-Spear Motors'!K48,'30.07 Kyambogo-Spear Motors'!K48,'31.07 Kyambogo-Spear Motors'!K48,'02.08 Kyambogo-Spear Motors'!K48,'01.08 Kyambogo-Spear Motors'!K48,'03.08 Kyambogo-Spear Motors'!K48,'04.08 Kyambogo-Spear Motors'!K48)</f>
        <v>2</v>
      </c>
      <c r="L48" s="49">
        <f>AVERAGE('29.07 Kyambogo-Spear Motors'!L48,'30.07 Kyambogo-Spear Motors'!L48,'31.07 Kyambogo-Spear Motors'!L48,'02.08 Kyambogo-Spear Motors'!L48,'01.08 Kyambogo-Spear Motors'!L48,'03.08 Kyambogo-Spear Motors'!L48,'04.08 Kyambogo-Spear Motors'!L48)</f>
        <v>2.7142857142857144</v>
      </c>
      <c r="M48" s="49">
        <f>AVERAGE('29.07 Kyambogo-Spear Motors'!M48,'30.07 Kyambogo-Spear Motors'!M48,'31.07 Kyambogo-Spear Motors'!M48,'02.08 Kyambogo-Spear Motors'!M48,'01.08 Kyambogo-Spear Motors'!M48,'03.08 Kyambogo-Spear Motors'!M48,'04.08 Kyambogo-Spear Motors'!M48)</f>
        <v>172.85714285714286</v>
      </c>
      <c r="N48" s="49">
        <f>AVERAGE('29.07 Kyambogo-Spear Motors'!N48,'30.07 Kyambogo-Spear Motors'!N48,'31.07 Kyambogo-Spear Motors'!N48,'02.08 Kyambogo-Spear Motors'!N48,'01.08 Kyambogo-Spear Motors'!N48,'03.08 Kyambogo-Spear Motors'!N48,'04.08 Kyambogo-Spear Motors'!N48)</f>
        <v>0</v>
      </c>
      <c r="O48" s="15">
        <f t="shared" si="0"/>
        <v>169.85714285714286</v>
      </c>
      <c r="P48" s="15">
        <f t="shared" si="1"/>
        <v>342.71428571428572</v>
      </c>
      <c r="R48" s="8"/>
      <c r="T48"/>
    </row>
    <row r="49" spans="2:20" ht="23.1" customHeight="1" x14ac:dyDescent="0.25">
      <c r="B49" s="23" t="s">
        <v>76</v>
      </c>
      <c r="C49" s="49">
        <f>AVERAGE('29.07 Kyambogo-Spear Motors'!C49,'30.07 Kyambogo-Spear Motors'!C49,'31.07 Kyambogo-Spear Motors'!C49,'02.08 Kyambogo-Spear Motors'!C49,'01.08 Kyambogo-Spear Motors'!C49,'03.08 Kyambogo-Spear Motors'!C49,'04.08 Kyambogo-Spear Motors'!C49)</f>
        <v>51.142857142857146</v>
      </c>
      <c r="D49" s="49">
        <f>AVERAGE('29.07 Kyambogo-Spear Motors'!D49,'30.07 Kyambogo-Spear Motors'!D49,'31.07 Kyambogo-Spear Motors'!D49,'02.08 Kyambogo-Spear Motors'!D49,'01.08 Kyambogo-Spear Motors'!D49,'03.08 Kyambogo-Spear Motors'!D49,'04.08 Kyambogo-Spear Motors'!D49)</f>
        <v>14.714285714285714</v>
      </c>
      <c r="E49" s="49">
        <f>AVERAGE('29.07 Kyambogo-Spear Motors'!E49,'30.07 Kyambogo-Spear Motors'!E49,'31.07 Kyambogo-Spear Motors'!E49,'02.08 Kyambogo-Spear Motors'!E49,'01.08 Kyambogo-Spear Motors'!E49,'03.08 Kyambogo-Spear Motors'!E49,'04.08 Kyambogo-Spear Motors'!E49)</f>
        <v>10.428571428571429</v>
      </c>
      <c r="F49" s="49">
        <f>AVERAGE('29.07 Kyambogo-Spear Motors'!F49,'30.07 Kyambogo-Spear Motors'!F49,'31.07 Kyambogo-Spear Motors'!F49,'02.08 Kyambogo-Spear Motors'!F49,'01.08 Kyambogo-Spear Motors'!F49,'03.08 Kyambogo-Spear Motors'!F49,'04.08 Kyambogo-Spear Motors'!F49)</f>
        <v>48.714285714285715</v>
      </c>
      <c r="G49" s="49">
        <f>AVERAGE('29.07 Kyambogo-Spear Motors'!G49,'30.07 Kyambogo-Spear Motors'!G49,'31.07 Kyambogo-Spear Motors'!G49,'02.08 Kyambogo-Spear Motors'!G49,'01.08 Kyambogo-Spear Motors'!G49,'03.08 Kyambogo-Spear Motors'!G49,'04.08 Kyambogo-Spear Motors'!G49)</f>
        <v>2</v>
      </c>
      <c r="H49" s="49">
        <f>AVERAGE('29.07 Kyambogo-Spear Motors'!H49,'30.07 Kyambogo-Spear Motors'!H49,'31.07 Kyambogo-Spear Motors'!H49,'02.08 Kyambogo-Spear Motors'!H49,'01.08 Kyambogo-Spear Motors'!H49,'03.08 Kyambogo-Spear Motors'!H49,'04.08 Kyambogo-Spear Motors'!H49)</f>
        <v>0.8571428571428571</v>
      </c>
      <c r="I49" s="49">
        <f>AVERAGE('29.07 Kyambogo-Spear Motors'!I49,'30.07 Kyambogo-Spear Motors'!I49,'31.07 Kyambogo-Spear Motors'!I49,'02.08 Kyambogo-Spear Motors'!I49,'01.08 Kyambogo-Spear Motors'!I49,'03.08 Kyambogo-Spear Motors'!I49,'04.08 Kyambogo-Spear Motors'!I49)</f>
        <v>5.1428571428571432</v>
      </c>
      <c r="J49" s="49">
        <f>AVERAGE('29.07 Kyambogo-Spear Motors'!J49,'30.07 Kyambogo-Spear Motors'!J49,'31.07 Kyambogo-Spear Motors'!J49,'02.08 Kyambogo-Spear Motors'!J49,'01.08 Kyambogo-Spear Motors'!J49,'03.08 Kyambogo-Spear Motors'!J49,'04.08 Kyambogo-Spear Motors'!J49)</f>
        <v>4</v>
      </c>
      <c r="K49" s="49">
        <f>AVERAGE('29.07 Kyambogo-Spear Motors'!K49,'30.07 Kyambogo-Spear Motors'!K49,'31.07 Kyambogo-Spear Motors'!K49,'02.08 Kyambogo-Spear Motors'!K49,'01.08 Kyambogo-Spear Motors'!K49,'03.08 Kyambogo-Spear Motors'!K49,'04.08 Kyambogo-Spear Motors'!K49)</f>
        <v>1.1428571428571428</v>
      </c>
      <c r="L49" s="49">
        <f>AVERAGE('29.07 Kyambogo-Spear Motors'!L49,'30.07 Kyambogo-Spear Motors'!L49,'31.07 Kyambogo-Spear Motors'!L49,'02.08 Kyambogo-Spear Motors'!L49,'01.08 Kyambogo-Spear Motors'!L49,'03.08 Kyambogo-Spear Motors'!L49,'04.08 Kyambogo-Spear Motors'!L49)</f>
        <v>2.7142857142857144</v>
      </c>
      <c r="M49" s="49">
        <f>AVERAGE('29.07 Kyambogo-Spear Motors'!M49,'30.07 Kyambogo-Spear Motors'!M49,'31.07 Kyambogo-Spear Motors'!M49,'02.08 Kyambogo-Spear Motors'!M49,'01.08 Kyambogo-Spear Motors'!M49,'03.08 Kyambogo-Spear Motors'!M49,'04.08 Kyambogo-Spear Motors'!M49)</f>
        <v>220.57142857142858</v>
      </c>
      <c r="N49" s="49">
        <f>AVERAGE('29.07 Kyambogo-Spear Motors'!N49,'30.07 Kyambogo-Spear Motors'!N49,'31.07 Kyambogo-Spear Motors'!N49,'02.08 Kyambogo-Spear Motors'!N49,'01.08 Kyambogo-Spear Motors'!N49,'03.08 Kyambogo-Spear Motors'!N49,'04.08 Kyambogo-Spear Motors'!N49)</f>
        <v>0</v>
      </c>
      <c r="O49" s="15">
        <f t="shared" si="0"/>
        <v>140.85714285714286</v>
      </c>
      <c r="P49" s="15">
        <f t="shared" si="1"/>
        <v>361.42857142857144</v>
      </c>
      <c r="R49" s="8"/>
      <c r="T49"/>
    </row>
    <row r="50" spans="2:20" ht="23.1" customHeight="1" x14ac:dyDescent="0.25">
      <c r="B50" s="24" t="s">
        <v>77</v>
      </c>
      <c r="C50" s="49">
        <f>AVERAGE('29.07 Kyambogo-Spear Motors'!C50,'30.07 Kyambogo-Spear Motors'!C50,'31.07 Kyambogo-Spear Motors'!C50,'02.08 Kyambogo-Spear Motors'!C50,'01.08 Kyambogo-Spear Motors'!C50,'03.08 Kyambogo-Spear Motors'!C50,'04.08 Kyambogo-Spear Motors'!C50)</f>
        <v>55</v>
      </c>
      <c r="D50" s="49">
        <f>AVERAGE('29.07 Kyambogo-Spear Motors'!D50,'30.07 Kyambogo-Spear Motors'!D50,'31.07 Kyambogo-Spear Motors'!D50,'02.08 Kyambogo-Spear Motors'!D50,'01.08 Kyambogo-Spear Motors'!D50,'03.08 Kyambogo-Spear Motors'!D50,'04.08 Kyambogo-Spear Motors'!D50)</f>
        <v>17.428571428571427</v>
      </c>
      <c r="E50" s="49">
        <f>AVERAGE('29.07 Kyambogo-Spear Motors'!E50,'30.07 Kyambogo-Spear Motors'!E50,'31.07 Kyambogo-Spear Motors'!E50,'02.08 Kyambogo-Spear Motors'!E50,'01.08 Kyambogo-Spear Motors'!E50,'03.08 Kyambogo-Spear Motors'!E50,'04.08 Kyambogo-Spear Motors'!E50)</f>
        <v>12.428571428571429</v>
      </c>
      <c r="F50" s="49">
        <f>AVERAGE('29.07 Kyambogo-Spear Motors'!F50,'30.07 Kyambogo-Spear Motors'!F50,'31.07 Kyambogo-Spear Motors'!F50,'02.08 Kyambogo-Spear Motors'!F50,'01.08 Kyambogo-Spear Motors'!F50,'03.08 Kyambogo-Spear Motors'!F50,'04.08 Kyambogo-Spear Motors'!F50)</f>
        <v>44.142857142857146</v>
      </c>
      <c r="G50" s="49">
        <f>AVERAGE('29.07 Kyambogo-Spear Motors'!G50,'30.07 Kyambogo-Spear Motors'!G50,'31.07 Kyambogo-Spear Motors'!G50,'02.08 Kyambogo-Spear Motors'!G50,'01.08 Kyambogo-Spear Motors'!G50,'03.08 Kyambogo-Spear Motors'!G50,'04.08 Kyambogo-Spear Motors'!G50)</f>
        <v>1.8571428571428572</v>
      </c>
      <c r="H50" s="49">
        <f>AVERAGE('29.07 Kyambogo-Spear Motors'!H50,'30.07 Kyambogo-Spear Motors'!H50,'31.07 Kyambogo-Spear Motors'!H50,'02.08 Kyambogo-Spear Motors'!H50,'01.08 Kyambogo-Spear Motors'!H50,'03.08 Kyambogo-Spear Motors'!H50,'04.08 Kyambogo-Spear Motors'!H50)</f>
        <v>0.8571428571428571</v>
      </c>
      <c r="I50" s="49">
        <f>AVERAGE('29.07 Kyambogo-Spear Motors'!I50,'30.07 Kyambogo-Spear Motors'!I50,'31.07 Kyambogo-Spear Motors'!I50,'02.08 Kyambogo-Spear Motors'!I50,'01.08 Kyambogo-Spear Motors'!I50,'03.08 Kyambogo-Spear Motors'!I50,'04.08 Kyambogo-Spear Motors'!I50)</f>
        <v>3.5714285714285716</v>
      </c>
      <c r="J50" s="49">
        <f>AVERAGE('29.07 Kyambogo-Spear Motors'!J50,'30.07 Kyambogo-Spear Motors'!J50,'31.07 Kyambogo-Spear Motors'!J50,'02.08 Kyambogo-Spear Motors'!J50,'01.08 Kyambogo-Spear Motors'!J50,'03.08 Kyambogo-Spear Motors'!J50,'04.08 Kyambogo-Spear Motors'!J50)</f>
        <v>3</v>
      </c>
      <c r="K50" s="49">
        <f>AVERAGE('29.07 Kyambogo-Spear Motors'!K50,'30.07 Kyambogo-Spear Motors'!K50,'31.07 Kyambogo-Spear Motors'!K50,'02.08 Kyambogo-Spear Motors'!K50,'01.08 Kyambogo-Spear Motors'!K50,'03.08 Kyambogo-Spear Motors'!K50,'04.08 Kyambogo-Spear Motors'!K50)</f>
        <v>1.2857142857142858</v>
      </c>
      <c r="L50" s="49">
        <f>AVERAGE('29.07 Kyambogo-Spear Motors'!L50,'30.07 Kyambogo-Spear Motors'!L50,'31.07 Kyambogo-Spear Motors'!L50,'02.08 Kyambogo-Spear Motors'!L50,'01.08 Kyambogo-Spear Motors'!L50,'03.08 Kyambogo-Spear Motors'!L50,'04.08 Kyambogo-Spear Motors'!L50)</f>
        <v>2.8571428571428572</v>
      </c>
      <c r="M50" s="49">
        <f>AVERAGE('29.07 Kyambogo-Spear Motors'!M50,'30.07 Kyambogo-Spear Motors'!M50,'31.07 Kyambogo-Spear Motors'!M50,'02.08 Kyambogo-Spear Motors'!M50,'01.08 Kyambogo-Spear Motors'!M50,'03.08 Kyambogo-Spear Motors'!M50,'04.08 Kyambogo-Spear Motors'!M50)</f>
        <v>243.42857142857142</v>
      </c>
      <c r="N50" s="49">
        <f>AVERAGE('29.07 Kyambogo-Spear Motors'!N50,'30.07 Kyambogo-Spear Motors'!N50,'31.07 Kyambogo-Spear Motors'!N50,'02.08 Kyambogo-Spear Motors'!N50,'01.08 Kyambogo-Spear Motors'!N50,'03.08 Kyambogo-Spear Motors'!N50,'04.08 Kyambogo-Spear Motors'!N50)</f>
        <v>0</v>
      </c>
      <c r="O50" s="15">
        <f t="shared" si="0"/>
        <v>142.42857142857144</v>
      </c>
      <c r="P50" s="15">
        <f t="shared" si="1"/>
        <v>385.85714285714289</v>
      </c>
      <c r="R50" s="8"/>
      <c r="T50"/>
    </row>
    <row r="51" spans="2:20" ht="23.1" customHeight="1" x14ac:dyDescent="0.25">
      <c r="B51" s="24" t="s">
        <v>78</v>
      </c>
      <c r="C51" s="49">
        <f>AVERAGE('29.07 Kyambogo-Spear Motors'!C51,'30.07 Kyambogo-Spear Motors'!C51,'31.07 Kyambogo-Spear Motors'!C51,'02.08 Kyambogo-Spear Motors'!C51,'01.08 Kyambogo-Spear Motors'!C51,'03.08 Kyambogo-Spear Motors'!C51,'04.08 Kyambogo-Spear Motors'!C51)</f>
        <v>54.857142857142854</v>
      </c>
      <c r="D51" s="49">
        <f>AVERAGE('29.07 Kyambogo-Spear Motors'!D51,'30.07 Kyambogo-Spear Motors'!D51,'31.07 Kyambogo-Spear Motors'!D51,'02.08 Kyambogo-Spear Motors'!D51,'01.08 Kyambogo-Spear Motors'!D51,'03.08 Kyambogo-Spear Motors'!D51,'04.08 Kyambogo-Spear Motors'!D51)</f>
        <v>16</v>
      </c>
      <c r="E51" s="49">
        <f>AVERAGE('29.07 Kyambogo-Spear Motors'!E51,'30.07 Kyambogo-Spear Motors'!E51,'31.07 Kyambogo-Spear Motors'!E51,'02.08 Kyambogo-Spear Motors'!E51,'01.08 Kyambogo-Spear Motors'!E51,'03.08 Kyambogo-Spear Motors'!E51,'04.08 Kyambogo-Spear Motors'!E51)</f>
        <v>9.4285714285714288</v>
      </c>
      <c r="F51" s="49">
        <f>AVERAGE('29.07 Kyambogo-Spear Motors'!F51,'30.07 Kyambogo-Spear Motors'!F51,'31.07 Kyambogo-Spear Motors'!F51,'02.08 Kyambogo-Spear Motors'!F51,'01.08 Kyambogo-Spear Motors'!F51,'03.08 Kyambogo-Spear Motors'!F51,'04.08 Kyambogo-Spear Motors'!F51)</f>
        <v>50.142857142857146</v>
      </c>
      <c r="G51" s="49">
        <f>AVERAGE('29.07 Kyambogo-Spear Motors'!G51,'30.07 Kyambogo-Spear Motors'!G51,'31.07 Kyambogo-Spear Motors'!G51,'02.08 Kyambogo-Spear Motors'!G51,'01.08 Kyambogo-Spear Motors'!G51,'03.08 Kyambogo-Spear Motors'!G51,'04.08 Kyambogo-Spear Motors'!G51)</f>
        <v>1.2857142857142858</v>
      </c>
      <c r="H51" s="49">
        <f>AVERAGE('29.07 Kyambogo-Spear Motors'!H51,'30.07 Kyambogo-Spear Motors'!H51,'31.07 Kyambogo-Spear Motors'!H51,'02.08 Kyambogo-Spear Motors'!H51,'01.08 Kyambogo-Spear Motors'!H51,'03.08 Kyambogo-Spear Motors'!H51,'04.08 Kyambogo-Spear Motors'!H51)</f>
        <v>0.8571428571428571</v>
      </c>
      <c r="I51" s="49">
        <f>AVERAGE('29.07 Kyambogo-Spear Motors'!I51,'30.07 Kyambogo-Spear Motors'!I51,'31.07 Kyambogo-Spear Motors'!I51,'02.08 Kyambogo-Spear Motors'!I51,'01.08 Kyambogo-Spear Motors'!I51,'03.08 Kyambogo-Spear Motors'!I51,'04.08 Kyambogo-Spear Motors'!I51)</f>
        <v>3.8571428571428572</v>
      </c>
      <c r="J51" s="49">
        <f>AVERAGE('29.07 Kyambogo-Spear Motors'!J51,'30.07 Kyambogo-Spear Motors'!J51,'31.07 Kyambogo-Spear Motors'!J51,'02.08 Kyambogo-Spear Motors'!J51,'01.08 Kyambogo-Spear Motors'!J51,'03.08 Kyambogo-Spear Motors'!J51,'04.08 Kyambogo-Spear Motors'!J51)</f>
        <v>1</v>
      </c>
      <c r="K51" s="49">
        <f>AVERAGE('29.07 Kyambogo-Spear Motors'!K51,'30.07 Kyambogo-Spear Motors'!K51,'31.07 Kyambogo-Spear Motors'!K51,'02.08 Kyambogo-Spear Motors'!K51,'01.08 Kyambogo-Spear Motors'!K51,'03.08 Kyambogo-Spear Motors'!K51,'04.08 Kyambogo-Spear Motors'!K51)</f>
        <v>1</v>
      </c>
      <c r="L51" s="49">
        <f>AVERAGE('29.07 Kyambogo-Spear Motors'!L51,'30.07 Kyambogo-Spear Motors'!L51,'31.07 Kyambogo-Spear Motors'!L51,'02.08 Kyambogo-Spear Motors'!L51,'01.08 Kyambogo-Spear Motors'!L51,'03.08 Kyambogo-Spear Motors'!L51,'04.08 Kyambogo-Spear Motors'!L51)</f>
        <v>1.8571428571428572</v>
      </c>
      <c r="M51" s="49">
        <f>AVERAGE('29.07 Kyambogo-Spear Motors'!M51,'30.07 Kyambogo-Spear Motors'!M51,'31.07 Kyambogo-Spear Motors'!M51,'02.08 Kyambogo-Spear Motors'!M51,'01.08 Kyambogo-Spear Motors'!M51,'03.08 Kyambogo-Spear Motors'!M51,'04.08 Kyambogo-Spear Motors'!M51)</f>
        <v>265.14285714285717</v>
      </c>
      <c r="N51" s="49">
        <f>AVERAGE('29.07 Kyambogo-Spear Motors'!N51,'30.07 Kyambogo-Spear Motors'!N51,'31.07 Kyambogo-Spear Motors'!N51,'02.08 Kyambogo-Spear Motors'!N51,'01.08 Kyambogo-Spear Motors'!N51,'03.08 Kyambogo-Spear Motors'!N51,'04.08 Kyambogo-Spear Motors'!N51)</f>
        <v>0</v>
      </c>
      <c r="O51" s="15">
        <f t="shared" si="0"/>
        <v>140.28571428571431</v>
      </c>
      <c r="P51" s="15">
        <f t="shared" si="1"/>
        <v>405.42857142857144</v>
      </c>
      <c r="R51" s="8"/>
      <c r="T51"/>
    </row>
    <row r="52" spans="2:20" ht="23.1" customHeight="1" x14ac:dyDescent="0.25">
      <c r="B52" s="24" t="s">
        <v>79</v>
      </c>
      <c r="C52" s="49">
        <f>AVERAGE('29.07 Kyambogo-Spear Motors'!C52,'30.07 Kyambogo-Spear Motors'!C52,'31.07 Kyambogo-Spear Motors'!C52,'02.08 Kyambogo-Spear Motors'!C52,'01.08 Kyambogo-Spear Motors'!C52,'03.08 Kyambogo-Spear Motors'!C52,'04.08 Kyambogo-Spear Motors'!C52)</f>
        <v>56.285714285714285</v>
      </c>
      <c r="D52" s="49">
        <f>AVERAGE('29.07 Kyambogo-Spear Motors'!D52,'30.07 Kyambogo-Spear Motors'!D52,'31.07 Kyambogo-Spear Motors'!D52,'02.08 Kyambogo-Spear Motors'!D52,'01.08 Kyambogo-Spear Motors'!D52,'03.08 Kyambogo-Spear Motors'!D52,'04.08 Kyambogo-Spear Motors'!D52)</f>
        <v>16</v>
      </c>
      <c r="E52" s="49">
        <f>AVERAGE('29.07 Kyambogo-Spear Motors'!E52,'30.07 Kyambogo-Spear Motors'!E52,'31.07 Kyambogo-Spear Motors'!E52,'02.08 Kyambogo-Spear Motors'!E52,'01.08 Kyambogo-Spear Motors'!E52,'03.08 Kyambogo-Spear Motors'!E52,'04.08 Kyambogo-Spear Motors'!E52)</f>
        <v>10.428571428571429</v>
      </c>
      <c r="F52" s="49">
        <f>AVERAGE('29.07 Kyambogo-Spear Motors'!F52,'30.07 Kyambogo-Spear Motors'!F52,'31.07 Kyambogo-Spear Motors'!F52,'02.08 Kyambogo-Spear Motors'!F52,'01.08 Kyambogo-Spear Motors'!F52,'03.08 Kyambogo-Spear Motors'!F52,'04.08 Kyambogo-Spear Motors'!F52)</f>
        <v>44.714285714285715</v>
      </c>
      <c r="G52" s="49">
        <f>AVERAGE('29.07 Kyambogo-Spear Motors'!G52,'30.07 Kyambogo-Spear Motors'!G52,'31.07 Kyambogo-Spear Motors'!G52,'02.08 Kyambogo-Spear Motors'!G52,'01.08 Kyambogo-Spear Motors'!G52,'03.08 Kyambogo-Spear Motors'!G52,'04.08 Kyambogo-Spear Motors'!G52)</f>
        <v>1.7142857142857142</v>
      </c>
      <c r="H52" s="49">
        <f>AVERAGE('29.07 Kyambogo-Spear Motors'!H52,'30.07 Kyambogo-Spear Motors'!H52,'31.07 Kyambogo-Spear Motors'!H52,'02.08 Kyambogo-Spear Motors'!H52,'01.08 Kyambogo-Spear Motors'!H52,'03.08 Kyambogo-Spear Motors'!H52,'04.08 Kyambogo-Spear Motors'!H52)</f>
        <v>2.5714285714285716</v>
      </c>
      <c r="I52" s="49">
        <f>AVERAGE('29.07 Kyambogo-Spear Motors'!I52,'30.07 Kyambogo-Spear Motors'!I52,'31.07 Kyambogo-Spear Motors'!I52,'02.08 Kyambogo-Spear Motors'!I52,'01.08 Kyambogo-Spear Motors'!I52,'03.08 Kyambogo-Spear Motors'!I52,'04.08 Kyambogo-Spear Motors'!I52)</f>
        <v>5</v>
      </c>
      <c r="J52" s="49">
        <f>AVERAGE('29.07 Kyambogo-Spear Motors'!J52,'30.07 Kyambogo-Spear Motors'!J52,'31.07 Kyambogo-Spear Motors'!J52,'02.08 Kyambogo-Spear Motors'!J52,'01.08 Kyambogo-Spear Motors'!J52,'03.08 Kyambogo-Spear Motors'!J52,'04.08 Kyambogo-Spear Motors'!J52)</f>
        <v>3.1428571428571428</v>
      </c>
      <c r="K52" s="49">
        <f>AVERAGE('29.07 Kyambogo-Spear Motors'!K52,'30.07 Kyambogo-Spear Motors'!K52,'31.07 Kyambogo-Spear Motors'!K52,'02.08 Kyambogo-Spear Motors'!K52,'01.08 Kyambogo-Spear Motors'!K52,'03.08 Kyambogo-Spear Motors'!K52,'04.08 Kyambogo-Spear Motors'!K52)</f>
        <v>1</v>
      </c>
      <c r="L52" s="49">
        <f>AVERAGE('29.07 Kyambogo-Spear Motors'!L52,'30.07 Kyambogo-Spear Motors'!L52,'31.07 Kyambogo-Spear Motors'!L52,'02.08 Kyambogo-Spear Motors'!L52,'01.08 Kyambogo-Spear Motors'!L52,'03.08 Kyambogo-Spear Motors'!L52,'04.08 Kyambogo-Spear Motors'!L52)</f>
        <v>3.7142857142857144</v>
      </c>
      <c r="M52" s="49">
        <f>AVERAGE('29.07 Kyambogo-Spear Motors'!M52,'30.07 Kyambogo-Spear Motors'!M52,'31.07 Kyambogo-Spear Motors'!M52,'02.08 Kyambogo-Spear Motors'!M52,'01.08 Kyambogo-Spear Motors'!M52,'03.08 Kyambogo-Spear Motors'!M52,'04.08 Kyambogo-Spear Motors'!M52)</f>
        <v>246.71428571428572</v>
      </c>
      <c r="N52" s="49">
        <f>AVERAGE('29.07 Kyambogo-Spear Motors'!N52,'30.07 Kyambogo-Spear Motors'!N52,'31.07 Kyambogo-Spear Motors'!N52,'02.08 Kyambogo-Spear Motors'!N52,'01.08 Kyambogo-Spear Motors'!N52,'03.08 Kyambogo-Spear Motors'!N52,'04.08 Kyambogo-Spear Motors'!N52)</f>
        <v>0</v>
      </c>
      <c r="O52" s="15">
        <f t="shared" si="0"/>
        <v>144.57142857142858</v>
      </c>
      <c r="P52" s="15">
        <f t="shared" si="1"/>
        <v>391.28571428571433</v>
      </c>
      <c r="R52" s="8"/>
      <c r="T52"/>
    </row>
    <row r="53" spans="2:20" ht="23.1" customHeight="1" x14ac:dyDescent="0.25">
      <c r="B53" s="23" t="s">
        <v>80</v>
      </c>
      <c r="C53" s="49">
        <f>AVERAGE('29.07 Kyambogo-Spear Motors'!C53,'30.07 Kyambogo-Spear Motors'!C53,'31.07 Kyambogo-Spear Motors'!C53,'02.08 Kyambogo-Spear Motors'!C53,'01.08 Kyambogo-Spear Motors'!C53,'03.08 Kyambogo-Spear Motors'!C53,'04.08 Kyambogo-Spear Motors'!C53)</f>
        <v>49.428571428571431</v>
      </c>
      <c r="D53" s="49">
        <f>AVERAGE('29.07 Kyambogo-Spear Motors'!D53,'30.07 Kyambogo-Spear Motors'!D53,'31.07 Kyambogo-Spear Motors'!D53,'02.08 Kyambogo-Spear Motors'!D53,'01.08 Kyambogo-Spear Motors'!D53,'03.08 Kyambogo-Spear Motors'!D53,'04.08 Kyambogo-Spear Motors'!D53)</f>
        <v>13.857142857142858</v>
      </c>
      <c r="E53" s="49">
        <f>AVERAGE('29.07 Kyambogo-Spear Motors'!E53,'30.07 Kyambogo-Spear Motors'!E53,'31.07 Kyambogo-Spear Motors'!E53,'02.08 Kyambogo-Spear Motors'!E53,'01.08 Kyambogo-Spear Motors'!E53,'03.08 Kyambogo-Spear Motors'!E53,'04.08 Kyambogo-Spear Motors'!E53)</f>
        <v>9.4285714285714288</v>
      </c>
      <c r="F53" s="49">
        <f>AVERAGE('29.07 Kyambogo-Spear Motors'!F53,'30.07 Kyambogo-Spear Motors'!F53,'31.07 Kyambogo-Spear Motors'!F53,'02.08 Kyambogo-Spear Motors'!F53,'01.08 Kyambogo-Spear Motors'!F53,'03.08 Kyambogo-Spear Motors'!F53,'04.08 Kyambogo-Spear Motors'!F53)</f>
        <v>45.571428571428569</v>
      </c>
      <c r="G53" s="49">
        <f>AVERAGE('29.07 Kyambogo-Spear Motors'!G53,'30.07 Kyambogo-Spear Motors'!G53,'31.07 Kyambogo-Spear Motors'!G53,'02.08 Kyambogo-Spear Motors'!G53,'01.08 Kyambogo-Spear Motors'!G53,'03.08 Kyambogo-Spear Motors'!G53,'04.08 Kyambogo-Spear Motors'!G53)</f>
        <v>2.2857142857142856</v>
      </c>
      <c r="H53" s="49">
        <f>AVERAGE('29.07 Kyambogo-Spear Motors'!H53,'30.07 Kyambogo-Spear Motors'!H53,'31.07 Kyambogo-Spear Motors'!H53,'02.08 Kyambogo-Spear Motors'!H53,'01.08 Kyambogo-Spear Motors'!H53,'03.08 Kyambogo-Spear Motors'!H53,'04.08 Kyambogo-Spear Motors'!H53)</f>
        <v>0.8571428571428571</v>
      </c>
      <c r="I53" s="49">
        <f>AVERAGE('29.07 Kyambogo-Spear Motors'!I53,'30.07 Kyambogo-Spear Motors'!I53,'31.07 Kyambogo-Spear Motors'!I53,'02.08 Kyambogo-Spear Motors'!I53,'01.08 Kyambogo-Spear Motors'!I53,'03.08 Kyambogo-Spear Motors'!I53,'04.08 Kyambogo-Spear Motors'!I53)</f>
        <v>4.4285714285714288</v>
      </c>
      <c r="J53" s="49">
        <f>AVERAGE('29.07 Kyambogo-Spear Motors'!J53,'30.07 Kyambogo-Spear Motors'!J53,'31.07 Kyambogo-Spear Motors'!J53,'02.08 Kyambogo-Spear Motors'!J53,'01.08 Kyambogo-Spear Motors'!J53,'03.08 Kyambogo-Spear Motors'!J53,'04.08 Kyambogo-Spear Motors'!J53)</f>
        <v>1.5714285714285714</v>
      </c>
      <c r="K53" s="49">
        <f>AVERAGE('29.07 Kyambogo-Spear Motors'!K53,'30.07 Kyambogo-Spear Motors'!K53,'31.07 Kyambogo-Spear Motors'!K53,'02.08 Kyambogo-Spear Motors'!K53,'01.08 Kyambogo-Spear Motors'!K53,'03.08 Kyambogo-Spear Motors'!K53,'04.08 Kyambogo-Spear Motors'!K53)</f>
        <v>1.5714285714285714</v>
      </c>
      <c r="L53" s="49">
        <f>AVERAGE('29.07 Kyambogo-Spear Motors'!L53,'30.07 Kyambogo-Spear Motors'!L53,'31.07 Kyambogo-Spear Motors'!L53,'02.08 Kyambogo-Spear Motors'!L53,'01.08 Kyambogo-Spear Motors'!L53,'03.08 Kyambogo-Spear Motors'!L53,'04.08 Kyambogo-Spear Motors'!L53)</f>
        <v>2.4285714285714284</v>
      </c>
      <c r="M53" s="49">
        <f>AVERAGE('29.07 Kyambogo-Spear Motors'!M53,'30.07 Kyambogo-Spear Motors'!M53,'31.07 Kyambogo-Spear Motors'!M53,'02.08 Kyambogo-Spear Motors'!M53,'01.08 Kyambogo-Spear Motors'!M53,'03.08 Kyambogo-Spear Motors'!M53,'04.08 Kyambogo-Spear Motors'!M53)</f>
        <v>237.71428571428572</v>
      </c>
      <c r="N53" s="49">
        <f>AVERAGE('29.07 Kyambogo-Spear Motors'!N53,'30.07 Kyambogo-Spear Motors'!N53,'31.07 Kyambogo-Spear Motors'!N53,'02.08 Kyambogo-Spear Motors'!N53,'01.08 Kyambogo-Spear Motors'!N53,'03.08 Kyambogo-Spear Motors'!N53,'04.08 Kyambogo-Spear Motors'!N53)</f>
        <v>0</v>
      </c>
      <c r="O53" s="15">
        <f t="shared" si="0"/>
        <v>131.42857142857144</v>
      </c>
      <c r="P53" s="15">
        <f t="shared" si="1"/>
        <v>369.14285714285717</v>
      </c>
      <c r="R53" s="8"/>
      <c r="T53"/>
    </row>
    <row r="54" spans="2:20" ht="23.1" customHeight="1" x14ac:dyDescent="0.25">
      <c r="B54" s="23" t="s">
        <v>81</v>
      </c>
      <c r="C54" s="49">
        <f>AVERAGE('29.07 Kyambogo-Spear Motors'!C54,'30.07 Kyambogo-Spear Motors'!C54,'31.07 Kyambogo-Spear Motors'!C54,'02.08 Kyambogo-Spear Motors'!C54,'01.08 Kyambogo-Spear Motors'!C54,'03.08 Kyambogo-Spear Motors'!C54,'04.08 Kyambogo-Spear Motors'!C54)</f>
        <v>52.857142857142854</v>
      </c>
      <c r="D54" s="49">
        <f>AVERAGE('29.07 Kyambogo-Spear Motors'!D54,'30.07 Kyambogo-Spear Motors'!D54,'31.07 Kyambogo-Spear Motors'!D54,'02.08 Kyambogo-Spear Motors'!D54,'01.08 Kyambogo-Spear Motors'!D54,'03.08 Kyambogo-Spear Motors'!D54,'04.08 Kyambogo-Spear Motors'!D54)</f>
        <v>14.428571428571429</v>
      </c>
      <c r="E54" s="49">
        <f>AVERAGE('29.07 Kyambogo-Spear Motors'!E54,'30.07 Kyambogo-Spear Motors'!E54,'31.07 Kyambogo-Spear Motors'!E54,'02.08 Kyambogo-Spear Motors'!E54,'01.08 Kyambogo-Spear Motors'!E54,'03.08 Kyambogo-Spear Motors'!E54,'04.08 Kyambogo-Spear Motors'!E54)</f>
        <v>9.8571428571428577</v>
      </c>
      <c r="F54" s="49">
        <f>AVERAGE('29.07 Kyambogo-Spear Motors'!F54,'30.07 Kyambogo-Spear Motors'!F54,'31.07 Kyambogo-Spear Motors'!F54,'02.08 Kyambogo-Spear Motors'!F54,'01.08 Kyambogo-Spear Motors'!F54,'03.08 Kyambogo-Spear Motors'!F54,'04.08 Kyambogo-Spear Motors'!F54)</f>
        <v>57.142857142857146</v>
      </c>
      <c r="G54" s="49">
        <f>AVERAGE('29.07 Kyambogo-Spear Motors'!G54,'30.07 Kyambogo-Spear Motors'!G54,'31.07 Kyambogo-Spear Motors'!G54,'02.08 Kyambogo-Spear Motors'!G54,'01.08 Kyambogo-Spear Motors'!G54,'03.08 Kyambogo-Spear Motors'!G54,'04.08 Kyambogo-Spear Motors'!G54)</f>
        <v>1</v>
      </c>
      <c r="H54" s="49">
        <f>AVERAGE('29.07 Kyambogo-Spear Motors'!H54,'30.07 Kyambogo-Spear Motors'!H54,'31.07 Kyambogo-Spear Motors'!H54,'02.08 Kyambogo-Spear Motors'!H54,'01.08 Kyambogo-Spear Motors'!H54,'03.08 Kyambogo-Spear Motors'!H54,'04.08 Kyambogo-Spear Motors'!H54)</f>
        <v>1</v>
      </c>
      <c r="I54" s="49">
        <f>AVERAGE('29.07 Kyambogo-Spear Motors'!I54,'30.07 Kyambogo-Spear Motors'!I54,'31.07 Kyambogo-Spear Motors'!I54,'02.08 Kyambogo-Spear Motors'!I54,'01.08 Kyambogo-Spear Motors'!I54,'03.08 Kyambogo-Spear Motors'!I54,'04.08 Kyambogo-Spear Motors'!I54)</f>
        <v>7.2857142857142856</v>
      </c>
      <c r="J54" s="49">
        <f>AVERAGE('29.07 Kyambogo-Spear Motors'!J54,'30.07 Kyambogo-Spear Motors'!J54,'31.07 Kyambogo-Spear Motors'!J54,'02.08 Kyambogo-Spear Motors'!J54,'01.08 Kyambogo-Spear Motors'!J54,'03.08 Kyambogo-Spear Motors'!J54,'04.08 Kyambogo-Spear Motors'!J54)</f>
        <v>3.4285714285714284</v>
      </c>
      <c r="K54" s="49">
        <f>AVERAGE('29.07 Kyambogo-Spear Motors'!K54,'30.07 Kyambogo-Spear Motors'!K54,'31.07 Kyambogo-Spear Motors'!K54,'02.08 Kyambogo-Spear Motors'!K54,'01.08 Kyambogo-Spear Motors'!K54,'03.08 Kyambogo-Spear Motors'!K54,'04.08 Kyambogo-Spear Motors'!K54)</f>
        <v>1.8571428571428572</v>
      </c>
      <c r="L54" s="49">
        <f>AVERAGE('29.07 Kyambogo-Spear Motors'!L54,'30.07 Kyambogo-Spear Motors'!L54,'31.07 Kyambogo-Spear Motors'!L54,'02.08 Kyambogo-Spear Motors'!L54,'01.08 Kyambogo-Spear Motors'!L54,'03.08 Kyambogo-Spear Motors'!L54,'04.08 Kyambogo-Spear Motors'!L54)</f>
        <v>2.2857142857142856</v>
      </c>
      <c r="M54" s="49">
        <f>AVERAGE('29.07 Kyambogo-Spear Motors'!M54,'30.07 Kyambogo-Spear Motors'!M54,'31.07 Kyambogo-Spear Motors'!M54,'02.08 Kyambogo-Spear Motors'!M54,'01.08 Kyambogo-Spear Motors'!M54,'03.08 Kyambogo-Spear Motors'!M54,'04.08 Kyambogo-Spear Motors'!M54)</f>
        <v>239.42857142857142</v>
      </c>
      <c r="N54" s="49">
        <f>AVERAGE('29.07 Kyambogo-Spear Motors'!N54,'30.07 Kyambogo-Spear Motors'!N54,'31.07 Kyambogo-Spear Motors'!N54,'02.08 Kyambogo-Spear Motors'!N54,'01.08 Kyambogo-Spear Motors'!N54,'03.08 Kyambogo-Spear Motors'!N54,'04.08 Kyambogo-Spear Motors'!N54)</f>
        <v>0</v>
      </c>
      <c r="O54" s="15">
        <f t="shared" si="0"/>
        <v>151.14285714285711</v>
      </c>
      <c r="P54" s="15">
        <f t="shared" si="1"/>
        <v>390.57142857142856</v>
      </c>
      <c r="R54" s="8"/>
      <c r="T54"/>
    </row>
    <row r="55" spans="2:20" ht="23.1" customHeight="1" x14ac:dyDescent="0.25">
      <c r="B55" s="23" t="s">
        <v>82</v>
      </c>
      <c r="C55" s="49">
        <f>AVERAGE('29.07 Kyambogo-Spear Motors'!C55,'30.07 Kyambogo-Spear Motors'!C55,'31.07 Kyambogo-Spear Motors'!C55,'02.08 Kyambogo-Spear Motors'!C55,'01.08 Kyambogo-Spear Motors'!C55,'03.08 Kyambogo-Spear Motors'!C55,'04.08 Kyambogo-Spear Motors'!C55)</f>
        <v>54</v>
      </c>
      <c r="D55" s="49">
        <f>AVERAGE('29.07 Kyambogo-Spear Motors'!D55,'30.07 Kyambogo-Spear Motors'!D55,'31.07 Kyambogo-Spear Motors'!D55,'02.08 Kyambogo-Spear Motors'!D55,'01.08 Kyambogo-Spear Motors'!D55,'03.08 Kyambogo-Spear Motors'!D55,'04.08 Kyambogo-Spear Motors'!D55)</f>
        <v>11.714285714285714</v>
      </c>
      <c r="E55" s="49">
        <f>AVERAGE('29.07 Kyambogo-Spear Motors'!E55,'30.07 Kyambogo-Spear Motors'!E55,'31.07 Kyambogo-Spear Motors'!E55,'02.08 Kyambogo-Spear Motors'!E55,'01.08 Kyambogo-Spear Motors'!E55,'03.08 Kyambogo-Spear Motors'!E55,'04.08 Kyambogo-Spear Motors'!E55)</f>
        <v>8.2857142857142865</v>
      </c>
      <c r="F55" s="49">
        <f>AVERAGE('29.07 Kyambogo-Spear Motors'!F55,'30.07 Kyambogo-Spear Motors'!F55,'31.07 Kyambogo-Spear Motors'!F55,'02.08 Kyambogo-Spear Motors'!F55,'01.08 Kyambogo-Spear Motors'!F55,'03.08 Kyambogo-Spear Motors'!F55,'04.08 Kyambogo-Spear Motors'!F55)</f>
        <v>50.428571428571431</v>
      </c>
      <c r="G55" s="49">
        <f>AVERAGE('29.07 Kyambogo-Spear Motors'!G55,'30.07 Kyambogo-Spear Motors'!G55,'31.07 Kyambogo-Spear Motors'!G55,'02.08 Kyambogo-Spear Motors'!G55,'01.08 Kyambogo-Spear Motors'!G55,'03.08 Kyambogo-Spear Motors'!G55,'04.08 Kyambogo-Spear Motors'!G55)</f>
        <v>3</v>
      </c>
      <c r="H55" s="49">
        <f>AVERAGE('29.07 Kyambogo-Spear Motors'!H55,'30.07 Kyambogo-Spear Motors'!H55,'31.07 Kyambogo-Spear Motors'!H55,'02.08 Kyambogo-Spear Motors'!H55,'01.08 Kyambogo-Spear Motors'!H55,'03.08 Kyambogo-Spear Motors'!H55,'04.08 Kyambogo-Spear Motors'!H55)</f>
        <v>1</v>
      </c>
      <c r="I55" s="49">
        <f>AVERAGE('29.07 Kyambogo-Spear Motors'!I55,'30.07 Kyambogo-Spear Motors'!I55,'31.07 Kyambogo-Spear Motors'!I55,'02.08 Kyambogo-Spear Motors'!I55,'01.08 Kyambogo-Spear Motors'!I55,'03.08 Kyambogo-Spear Motors'!I55,'04.08 Kyambogo-Spear Motors'!I55)</f>
        <v>5.8571428571428568</v>
      </c>
      <c r="J55" s="49">
        <f>AVERAGE('29.07 Kyambogo-Spear Motors'!J55,'30.07 Kyambogo-Spear Motors'!J55,'31.07 Kyambogo-Spear Motors'!J55,'02.08 Kyambogo-Spear Motors'!J55,'01.08 Kyambogo-Spear Motors'!J55,'03.08 Kyambogo-Spear Motors'!J55,'04.08 Kyambogo-Spear Motors'!J55)</f>
        <v>2.1428571428571428</v>
      </c>
      <c r="K55" s="49">
        <f>AVERAGE('29.07 Kyambogo-Spear Motors'!K55,'30.07 Kyambogo-Spear Motors'!K55,'31.07 Kyambogo-Spear Motors'!K55,'02.08 Kyambogo-Spear Motors'!K55,'01.08 Kyambogo-Spear Motors'!K55,'03.08 Kyambogo-Spear Motors'!K55,'04.08 Kyambogo-Spear Motors'!K55)</f>
        <v>1.5714285714285714</v>
      </c>
      <c r="L55" s="49">
        <f>AVERAGE('29.07 Kyambogo-Spear Motors'!L55,'30.07 Kyambogo-Spear Motors'!L55,'31.07 Kyambogo-Spear Motors'!L55,'02.08 Kyambogo-Spear Motors'!L55,'01.08 Kyambogo-Spear Motors'!L55,'03.08 Kyambogo-Spear Motors'!L55,'04.08 Kyambogo-Spear Motors'!L55)</f>
        <v>3.2857142857142856</v>
      </c>
      <c r="M55" s="49">
        <f>AVERAGE('29.07 Kyambogo-Spear Motors'!M55,'30.07 Kyambogo-Spear Motors'!M55,'31.07 Kyambogo-Spear Motors'!M55,'02.08 Kyambogo-Spear Motors'!M55,'01.08 Kyambogo-Spear Motors'!M55,'03.08 Kyambogo-Spear Motors'!M55,'04.08 Kyambogo-Spear Motors'!M55)</f>
        <v>214.14285714285714</v>
      </c>
      <c r="N55" s="49">
        <f>AVERAGE('29.07 Kyambogo-Spear Motors'!N55,'30.07 Kyambogo-Spear Motors'!N55,'31.07 Kyambogo-Spear Motors'!N55,'02.08 Kyambogo-Spear Motors'!N55,'01.08 Kyambogo-Spear Motors'!N55,'03.08 Kyambogo-Spear Motors'!N55,'04.08 Kyambogo-Spear Motors'!N55)</f>
        <v>0</v>
      </c>
      <c r="O55" s="15">
        <f t="shared" si="0"/>
        <v>141.28571428571431</v>
      </c>
      <c r="P55" s="15">
        <f t="shared" si="1"/>
        <v>355.42857142857144</v>
      </c>
      <c r="R55" s="8"/>
      <c r="T55"/>
    </row>
    <row r="56" spans="2:20" ht="23.1" customHeight="1" x14ac:dyDescent="0.25">
      <c r="B56" s="23" t="s">
        <v>83</v>
      </c>
      <c r="C56" s="49">
        <f>AVERAGE('29.07 Kyambogo-Spear Motors'!C56,'30.07 Kyambogo-Spear Motors'!C56,'31.07 Kyambogo-Spear Motors'!C56,'02.08 Kyambogo-Spear Motors'!C56,'01.08 Kyambogo-Spear Motors'!C56,'03.08 Kyambogo-Spear Motors'!C56,'04.08 Kyambogo-Spear Motors'!C56)</f>
        <v>47.857142857142854</v>
      </c>
      <c r="D56" s="49">
        <f>AVERAGE('29.07 Kyambogo-Spear Motors'!D56,'30.07 Kyambogo-Spear Motors'!D56,'31.07 Kyambogo-Spear Motors'!D56,'02.08 Kyambogo-Spear Motors'!D56,'01.08 Kyambogo-Spear Motors'!D56,'03.08 Kyambogo-Spear Motors'!D56,'04.08 Kyambogo-Spear Motors'!D56)</f>
        <v>11</v>
      </c>
      <c r="E56" s="49">
        <f>AVERAGE('29.07 Kyambogo-Spear Motors'!E56,'30.07 Kyambogo-Spear Motors'!E56,'31.07 Kyambogo-Spear Motors'!E56,'02.08 Kyambogo-Spear Motors'!E56,'01.08 Kyambogo-Spear Motors'!E56,'03.08 Kyambogo-Spear Motors'!E56,'04.08 Kyambogo-Spear Motors'!E56)</f>
        <v>6.8571428571428568</v>
      </c>
      <c r="F56" s="49">
        <f>AVERAGE('29.07 Kyambogo-Spear Motors'!F56,'30.07 Kyambogo-Spear Motors'!F56,'31.07 Kyambogo-Spear Motors'!F56,'02.08 Kyambogo-Spear Motors'!F56,'01.08 Kyambogo-Spear Motors'!F56,'03.08 Kyambogo-Spear Motors'!F56,'04.08 Kyambogo-Spear Motors'!F56)</f>
        <v>48.571428571428569</v>
      </c>
      <c r="G56" s="49">
        <f>AVERAGE('29.07 Kyambogo-Spear Motors'!G56,'30.07 Kyambogo-Spear Motors'!G56,'31.07 Kyambogo-Spear Motors'!G56,'02.08 Kyambogo-Spear Motors'!G56,'01.08 Kyambogo-Spear Motors'!G56,'03.08 Kyambogo-Spear Motors'!G56,'04.08 Kyambogo-Spear Motors'!G56)</f>
        <v>2.5714285714285716</v>
      </c>
      <c r="H56" s="49">
        <f>AVERAGE('29.07 Kyambogo-Spear Motors'!H56,'30.07 Kyambogo-Spear Motors'!H56,'31.07 Kyambogo-Spear Motors'!H56,'02.08 Kyambogo-Spear Motors'!H56,'01.08 Kyambogo-Spear Motors'!H56,'03.08 Kyambogo-Spear Motors'!H56,'04.08 Kyambogo-Spear Motors'!H56)</f>
        <v>0.5714285714285714</v>
      </c>
      <c r="I56" s="49">
        <f>AVERAGE('29.07 Kyambogo-Spear Motors'!I56,'30.07 Kyambogo-Spear Motors'!I56,'31.07 Kyambogo-Spear Motors'!I56,'02.08 Kyambogo-Spear Motors'!I56,'01.08 Kyambogo-Spear Motors'!I56,'03.08 Kyambogo-Spear Motors'!I56,'04.08 Kyambogo-Spear Motors'!I56)</f>
        <v>2.4285714285714284</v>
      </c>
      <c r="J56" s="49">
        <f>AVERAGE('29.07 Kyambogo-Spear Motors'!J56,'30.07 Kyambogo-Spear Motors'!J56,'31.07 Kyambogo-Spear Motors'!J56,'02.08 Kyambogo-Spear Motors'!J56,'01.08 Kyambogo-Spear Motors'!J56,'03.08 Kyambogo-Spear Motors'!J56,'04.08 Kyambogo-Spear Motors'!J56)</f>
        <v>3.7142857142857144</v>
      </c>
      <c r="K56" s="49">
        <f>AVERAGE('29.07 Kyambogo-Spear Motors'!K56,'30.07 Kyambogo-Spear Motors'!K56,'31.07 Kyambogo-Spear Motors'!K56,'02.08 Kyambogo-Spear Motors'!K56,'01.08 Kyambogo-Spear Motors'!K56,'03.08 Kyambogo-Spear Motors'!K56,'04.08 Kyambogo-Spear Motors'!K56)</f>
        <v>0.8571428571428571</v>
      </c>
      <c r="L56" s="49">
        <f>AVERAGE('29.07 Kyambogo-Spear Motors'!L56,'30.07 Kyambogo-Spear Motors'!L56,'31.07 Kyambogo-Spear Motors'!L56,'02.08 Kyambogo-Spear Motors'!L56,'01.08 Kyambogo-Spear Motors'!L56,'03.08 Kyambogo-Spear Motors'!L56,'04.08 Kyambogo-Spear Motors'!L56)</f>
        <v>2.2857142857142856</v>
      </c>
      <c r="M56" s="49">
        <f>AVERAGE('29.07 Kyambogo-Spear Motors'!M56,'30.07 Kyambogo-Spear Motors'!M56,'31.07 Kyambogo-Spear Motors'!M56,'02.08 Kyambogo-Spear Motors'!M56,'01.08 Kyambogo-Spear Motors'!M56,'03.08 Kyambogo-Spear Motors'!M56,'04.08 Kyambogo-Spear Motors'!M56)</f>
        <v>237.85714285714286</v>
      </c>
      <c r="N56" s="49">
        <f>AVERAGE('29.07 Kyambogo-Spear Motors'!N56,'30.07 Kyambogo-Spear Motors'!N56,'31.07 Kyambogo-Spear Motors'!N56,'02.08 Kyambogo-Spear Motors'!N56,'01.08 Kyambogo-Spear Motors'!N56,'03.08 Kyambogo-Spear Motors'!N56,'04.08 Kyambogo-Spear Motors'!N56)</f>
        <v>0</v>
      </c>
      <c r="O56" s="15">
        <f t="shared" si="0"/>
        <v>126.71428571428571</v>
      </c>
      <c r="P56" s="15">
        <f t="shared" si="1"/>
        <v>364.57142857142856</v>
      </c>
      <c r="R56" s="8"/>
      <c r="T56"/>
    </row>
    <row r="57" spans="2:20" ht="23.1" customHeight="1" x14ac:dyDescent="0.25">
      <c r="B57" s="23" t="s">
        <v>84</v>
      </c>
      <c r="C57" s="49">
        <f>AVERAGE('29.07 Kyambogo-Spear Motors'!C57,'30.07 Kyambogo-Spear Motors'!C57,'31.07 Kyambogo-Spear Motors'!C57,'02.08 Kyambogo-Spear Motors'!C57,'01.08 Kyambogo-Spear Motors'!C57,'03.08 Kyambogo-Spear Motors'!C57,'04.08 Kyambogo-Spear Motors'!C57)</f>
        <v>50.571428571428569</v>
      </c>
      <c r="D57" s="49">
        <f>AVERAGE('29.07 Kyambogo-Spear Motors'!D57,'30.07 Kyambogo-Spear Motors'!D57,'31.07 Kyambogo-Spear Motors'!D57,'02.08 Kyambogo-Spear Motors'!D57,'01.08 Kyambogo-Spear Motors'!D57,'03.08 Kyambogo-Spear Motors'!D57,'04.08 Kyambogo-Spear Motors'!D57)</f>
        <v>8</v>
      </c>
      <c r="E57" s="49">
        <f>AVERAGE('29.07 Kyambogo-Spear Motors'!E57,'30.07 Kyambogo-Spear Motors'!E57,'31.07 Kyambogo-Spear Motors'!E57,'02.08 Kyambogo-Spear Motors'!E57,'01.08 Kyambogo-Spear Motors'!E57,'03.08 Kyambogo-Spear Motors'!E57,'04.08 Kyambogo-Spear Motors'!E57)</f>
        <v>5</v>
      </c>
      <c r="F57" s="49">
        <f>AVERAGE('29.07 Kyambogo-Spear Motors'!F57,'30.07 Kyambogo-Spear Motors'!F57,'31.07 Kyambogo-Spear Motors'!F57,'02.08 Kyambogo-Spear Motors'!F57,'01.08 Kyambogo-Spear Motors'!F57,'03.08 Kyambogo-Spear Motors'!F57,'04.08 Kyambogo-Spear Motors'!F57)</f>
        <v>59.285714285714285</v>
      </c>
      <c r="G57" s="49">
        <f>AVERAGE('29.07 Kyambogo-Spear Motors'!G57,'30.07 Kyambogo-Spear Motors'!G57,'31.07 Kyambogo-Spear Motors'!G57,'02.08 Kyambogo-Spear Motors'!G57,'01.08 Kyambogo-Spear Motors'!G57,'03.08 Kyambogo-Spear Motors'!G57,'04.08 Kyambogo-Spear Motors'!G57)</f>
        <v>2.8571428571428572</v>
      </c>
      <c r="H57" s="49">
        <f>AVERAGE('29.07 Kyambogo-Spear Motors'!H57,'30.07 Kyambogo-Spear Motors'!H57,'31.07 Kyambogo-Spear Motors'!H57,'02.08 Kyambogo-Spear Motors'!H57,'01.08 Kyambogo-Spear Motors'!H57,'03.08 Kyambogo-Spear Motors'!H57,'04.08 Kyambogo-Spear Motors'!H57)</f>
        <v>0.42857142857142855</v>
      </c>
      <c r="I57" s="49">
        <f>AVERAGE('29.07 Kyambogo-Spear Motors'!I57,'30.07 Kyambogo-Spear Motors'!I57,'31.07 Kyambogo-Spear Motors'!I57,'02.08 Kyambogo-Spear Motors'!I57,'01.08 Kyambogo-Spear Motors'!I57,'03.08 Kyambogo-Spear Motors'!I57,'04.08 Kyambogo-Spear Motors'!I57)</f>
        <v>3.4285714285714284</v>
      </c>
      <c r="J57" s="49">
        <f>AVERAGE('29.07 Kyambogo-Spear Motors'!J57,'30.07 Kyambogo-Spear Motors'!J57,'31.07 Kyambogo-Spear Motors'!J57,'02.08 Kyambogo-Spear Motors'!J57,'01.08 Kyambogo-Spear Motors'!J57,'03.08 Kyambogo-Spear Motors'!J57,'04.08 Kyambogo-Spear Motors'!J57)</f>
        <v>2</v>
      </c>
      <c r="K57" s="49">
        <f>AVERAGE('29.07 Kyambogo-Spear Motors'!K57,'30.07 Kyambogo-Spear Motors'!K57,'31.07 Kyambogo-Spear Motors'!K57,'02.08 Kyambogo-Spear Motors'!K57,'01.08 Kyambogo-Spear Motors'!K57,'03.08 Kyambogo-Spear Motors'!K57,'04.08 Kyambogo-Spear Motors'!K57)</f>
        <v>1.7142857142857142</v>
      </c>
      <c r="L57" s="49">
        <f>AVERAGE('29.07 Kyambogo-Spear Motors'!L57,'30.07 Kyambogo-Spear Motors'!L57,'31.07 Kyambogo-Spear Motors'!L57,'02.08 Kyambogo-Spear Motors'!L57,'01.08 Kyambogo-Spear Motors'!L57,'03.08 Kyambogo-Spear Motors'!L57,'04.08 Kyambogo-Spear Motors'!L57)</f>
        <v>1.8571428571428572</v>
      </c>
      <c r="M57" s="49">
        <f>AVERAGE('29.07 Kyambogo-Spear Motors'!M57,'30.07 Kyambogo-Spear Motors'!M57,'31.07 Kyambogo-Spear Motors'!M57,'02.08 Kyambogo-Spear Motors'!M57,'01.08 Kyambogo-Spear Motors'!M57,'03.08 Kyambogo-Spear Motors'!M57,'04.08 Kyambogo-Spear Motors'!M57)</f>
        <v>276.85714285714283</v>
      </c>
      <c r="N57" s="49">
        <f>AVERAGE('29.07 Kyambogo-Spear Motors'!N57,'30.07 Kyambogo-Spear Motors'!N57,'31.07 Kyambogo-Spear Motors'!N57,'02.08 Kyambogo-Spear Motors'!N57,'01.08 Kyambogo-Spear Motors'!N57,'03.08 Kyambogo-Spear Motors'!N57,'04.08 Kyambogo-Spear Motors'!N57)</f>
        <v>0</v>
      </c>
      <c r="O57" s="15">
        <f t="shared" si="0"/>
        <v>135.14285714285717</v>
      </c>
      <c r="P57" s="15">
        <f t="shared" si="1"/>
        <v>412</v>
      </c>
      <c r="R57" s="8"/>
      <c r="T57"/>
    </row>
    <row r="58" spans="2:20" ht="23.1" customHeight="1" x14ac:dyDescent="0.25">
      <c r="B58" s="23" t="s">
        <v>99</v>
      </c>
      <c r="C58" s="49">
        <f>AVERAGE('01.08 Kyambogo-Spear Motors'!C58,'03.08 Kyambogo-Spear Motors'!C58)</f>
        <v>38.5</v>
      </c>
      <c r="D58" s="49">
        <f>AVERAGE('01.08 Kyambogo-Spear Motors'!D58,'03.08 Kyambogo-Spear Motors'!D58)</f>
        <v>5</v>
      </c>
      <c r="E58" s="49">
        <f>AVERAGE('01.08 Kyambogo-Spear Motors'!E58,'03.08 Kyambogo-Spear Motors'!E58)</f>
        <v>5</v>
      </c>
      <c r="F58" s="49">
        <f>AVERAGE('01.08 Kyambogo-Spear Motors'!F58,'03.08 Kyambogo-Spear Motors'!F58)</f>
        <v>56.5</v>
      </c>
      <c r="G58" s="49">
        <f>AVERAGE('01.08 Kyambogo-Spear Motors'!G58,'03.08 Kyambogo-Spear Motors'!G58)</f>
        <v>3</v>
      </c>
      <c r="H58" s="49">
        <f>AVERAGE('01.08 Kyambogo-Spear Motors'!H58,'03.08 Kyambogo-Spear Motors'!H58)</f>
        <v>1.5</v>
      </c>
      <c r="I58" s="49">
        <f>AVERAGE('01.08 Kyambogo-Spear Motors'!I58,'03.08 Kyambogo-Spear Motors'!I58)</f>
        <v>8</v>
      </c>
      <c r="J58" s="49">
        <f>AVERAGE('01.08 Kyambogo-Spear Motors'!J58,'03.08 Kyambogo-Spear Motors'!J58)</f>
        <v>5.5</v>
      </c>
      <c r="K58" s="49">
        <f>AVERAGE('01.08 Kyambogo-Spear Motors'!K58,'03.08 Kyambogo-Spear Motors'!K58)</f>
        <v>2.5</v>
      </c>
      <c r="L58" s="49">
        <f>AVERAGE('01.08 Kyambogo-Spear Motors'!L58,'03.08 Kyambogo-Spear Motors'!L58)</f>
        <v>0.5</v>
      </c>
      <c r="M58" s="49">
        <f>AVERAGE('01.08 Kyambogo-Spear Motors'!M58,'03.08 Kyambogo-Spear Motors'!M58)</f>
        <v>200</v>
      </c>
      <c r="N58" s="49">
        <f>AVERAGE('01.08 Kyambogo-Spear Motors'!N58,'03.08 Kyambogo-Spear Motors'!N58)</f>
        <v>0</v>
      </c>
      <c r="O58" s="49">
        <f>AVERAGE('01.08 Kyambogo-Spear Motors'!O58,'03.08 Kyambogo-Spear Motors'!O58)</f>
        <v>126</v>
      </c>
      <c r="P58" s="49">
        <f>AVERAGE('01.08 Kyambogo-Spear Motors'!P58,'03.08 Kyambogo-Spear Motors'!P58)</f>
        <v>326</v>
      </c>
      <c r="R58" s="8"/>
      <c r="T58"/>
    </row>
    <row r="59" spans="2:20" ht="23.1" customHeight="1" x14ac:dyDescent="0.25">
      <c r="B59" s="23" t="s">
        <v>100</v>
      </c>
      <c r="C59" s="49">
        <f>AVERAGE('01.08 Kyambogo-Spear Motors'!C59,'03.08 Kyambogo-Spear Motors'!C59)</f>
        <v>39</v>
      </c>
      <c r="D59" s="49">
        <f>AVERAGE('01.08 Kyambogo-Spear Motors'!D59,'03.08 Kyambogo-Spear Motors'!D59)</f>
        <v>5</v>
      </c>
      <c r="E59" s="49">
        <f>AVERAGE('01.08 Kyambogo-Spear Motors'!E59,'03.08 Kyambogo-Spear Motors'!E59)</f>
        <v>5</v>
      </c>
      <c r="F59" s="49">
        <f>AVERAGE('01.08 Kyambogo-Spear Motors'!F59,'03.08 Kyambogo-Spear Motors'!F59)</f>
        <v>51.5</v>
      </c>
      <c r="G59" s="49">
        <f>AVERAGE('01.08 Kyambogo-Spear Motors'!G59,'03.08 Kyambogo-Spear Motors'!G59)</f>
        <v>1</v>
      </c>
      <c r="H59" s="49">
        <f>AVERAGE('01.08 Kyambogo-Spear Motors'!H59,'03.08 Kyambogo-Spear Motors'!H59)</f>
        <v>0.5</v>
      </c>
      <c r="I59" s="49">
        <f>AVERAGE('01.08 Kyambogo-Spear Motors'!I59,'03.08 Kyambogo-Spear Motors'!I59)</f>
        <v>5</v>
      </c>
      <c r="J59" s="49">
        <f>AVERAGE('01.08 Kyambogo-Spear Motors'!J59,'03.08 Kyambogo-Spear Motors'!J59)</f>
        <v>2</v>
      </c>
      <c r="K59" s="49">
        <f>AVERAGE('01.08 Kyambogo-Spear Motors'!K59,'03.08 Kyambogo-Spear Motors'!K59)</f>
        <v>0.5</v>
      </c>
      <c r="L59" s="49">
        <f>AVERAGE('01.08 Kyambogo-Spear Motors'!L59,'03.08 Kyambogo-Spear Motors'!L59)</f>
        <v>0</v>
      </c>
      <c r="M59" s="49">
        <f>AVERAGE('01.08 Kyambogo-Spear Motors'!M59,'03.08 Kyambogo-Spear Motors'!M59)</f>
        <v>260</v>
      </c>
      <c r="N59" s="49">
        <f>AVERAGE('01.08 Kyambogo-Spear Motors'!N59,'03.08 Kyambogo-Spear Motors'!N59)</f>
        <v>0</v>
      </c>
      <c r="O59" s="49">
        <f>AVERAGE('01.08 Kyambogo-Spear Motors'!O59,'03.08 Kyambogo-Spear Motors'!O59)</f>
        <v>109.5</v>
      </c>
      <c r="P59" s="49">
        <f>AVERAGE('01.08 Kyambogo-Spear Motors'!P59,'03.08 Kyambogo-Spear Motors'!P59)</f>
        <v>369.5</v>
      </c>
      <c r="R59" s="8"/>
      <c r="T59"/>
    </row>
    <row r="60" spans="2:20" ht="23.1" customHeight="1" x14ac:dyDescent="0.25">
      <c r="B60" s="23" t="s">
        <v>101</v>
      </c>
      <c r="C60" s="49">
        <f>AVERAGE('01.08 Kyambogo-Spear Motors'!C60,'03.08 Kyambogo-Spear Motors'!C60)</f>
        <v>28</v>
      </c>
      <c r="D60" s="49">
        <f>AVERAGE('01.08 Kyambogo-Spear Motors'!D60,'03.08 Kyambogo-Spear Motors'!D60)</f>
        <v>5</v>
      </c>
      <c r="E60" s="49">
        <f>AVERAGE('01.08 Kyambogo-Spear Motors'!E60,'03.08 Kyambogo-Spear Motors'!E60)</f>
        <v>3.5</v>
      </c>
      <c r="F60" s="49">
        <f>AVERAGE('01.08 Kyambogo-Spear Motors'!F60,'03.08 Kyambogo-Spear Motors'!F60)</f>
        <v>41</v>
      </c>
      <c r="G60" s="49">
        <f>AVERAGE('01.08 Kyambogo-Spear Motors'!G60,'03.08 Kyambogo-Spear Motors'!G60)</f>
        <v>1.5</v>
      </c>
      <c r="H60" s="49">
        <f>AVERAGE('01.08 Kyambogo-Spear Motors'!H60,'03.08 Kyambogo-Spear Motors'!H60)</f>
        <v>1</v>
      </c>
      <c r="I60" s="49">
        <f>AVERAGE('01.08 Kyambogo-Spear Motors'!I60,'03.08 Kyambogo-Spear Motors'!I60)</f>
        <v>6</v>
      </c>
      <c r="J60" s="49">
        <f>AVERAGE('01.08 Kyambogo-Spear Motors'!J60,'03.08 Kyambogo-Spear Motors'!J60)</f>
        <v>2.5</v>
      </c>
      <c r="K60" s="49">
        <f>AVERAGE('01.08 Kyambogo-Spear Motors'!K60,'03.08 Kyambogo-Spear Motors'!K60)</f>
        <v>2</v>
      </c>
      <c r="L60" s="49">
        <f>AVERAGE('01.08 Kyambogo-Spear Motors'!L60,'03.08 Kyambogo-Spear Motors'!L60)</f>
        <v>1.5</v>
      </c>
      <c r="M60" s="49">
        <f>AVERAGE('01.08 Kyambogo-Spear Motors'!M60,'03.08 Kyambogo-Spear Motors'!M60)</f>
        <v>275</v>
      </c>
      <c r="N60" s="49">
        <f>AVERAGE('01.08 Kyambogo-Spear Motors'!N60,'03.08 Kyambogo-Spear Motors'!N60)</f>
        <v>0</v>
      </c>
      <c r="O60" s="49">
        <f>AVERAGE('01.08 Kyambogo-Spear Motors'!O60,'03.08 Kyambogo-Spear Motors'!O60)</f>
        <v>92</v>
      </c>
      <c r="P60" s="49">
        <f>AVERAGE('01.08 Kyambogo-Spear Motors'!P60,'03.08 Kyambogo-Spear Motors'!P60)</f>
        <v>367</v>
      </c>
      <c r="R60" s="8"/>
      <c r="T60"/>
    </row>
    <row r="61" spans="2:20" ht="23.1" customHeight="1" x14ac:dyDescent="0.25">
      <c r="B61" s="23" t="s">
        <v>102</v>
      </c>
      <c r="C61" s="49">
        <f>AVERAGE('01.08 Kyambogo-Spear Motors'!C61,'03.08 Kyambogo-Spear Motors'!C61)</f>
        <v>32</v>
      </c>
      <c r="D61" s="49">
        <f>AVERAGE('01.08 Kyambogo-Spear Motors'!D61,'03.08 Kyambogo-Spear Motors'!D61)</f>
        <v>5</v>
      </c>
      <c r="E61" s="49">
        <f>AVERAGE('01.08 Kyambogo-Spear Motors'!E61,'03.08 Kyambogo-Spear Motors'!E61)</f>
        <v>12</v>
      </c>
      <c r="F61" s="49">
        <f>AVERAGE('01.08 Kyambogo-Spear Motors'!F61,'03.08 Kyambogo-Spear Motors'!F61)</f>
        <v>59</v>
      </c>
      <c r="G61" s="49">
        <f>AVERAGE('01.08 Kyambogo-Spear Motors'!G61,'03.08 Kyambogo-Spear Motors'!G61)</f>
        <v>4.5</v>
      </c>
      <c r="H61" s="49">
        <f>AVERAGE('01.08 Kyambogo-Spear Motors'!H61,'03.08 Kyambogo-Spear Motors'!H61)</f>
        <v>2</v>
      </c>
      <c r="I61" s="49">
        <f>AVERAGE('01.08 Kyambogo-Spear Motors'!I61,'03.08 Kyambogo-Spear Motors'!I61)</f>
        <v>4</v>
      </c>
      <c r="J61" s="49">
        <f>AVERAGE('01.08 Kyambogo-Spear Motors'!J61,'03.08 Kyambogo-Spear Motors'!J61)</f>
        <v>2.5</v>
      </c>
      <c r="K61" s="49">
        <f>AVERAGE('01.08 Kyambogo-Spear Motors'!K61,'03.08 Kyambogo-Spear Motors'!K61)</f>
        <v>3</v>
      </c>
      <c r="L61" s="49">
        <f>AVERAGE('01.08 Kyambogo-Spear Motors'!L61,'03.08 Kyambogo-Spear Motors'!L61)</f>
        <v>3</v>
      </c>
      <c r="M61" s="49">
        <f>AVERAGE('01.08 Kyambogo-Spear Motors'!M61,'03.08 Kyambogo-Spear Motors'!M61)</f>
        <v>307.5</v>
      </c>
      <c r="N61" s="49">
        <f>AVERAGE('01.08 Kyambogo-Spear Motors'!N61,'03.08 Kyambogo-Spear Motors'!N61)</f>
        <v>0</v>
      </c>
      <c r="O61" s="49">
        <f>AVERAGE('01.08 Kyambogo-Spear Motors'!O61,'03.08 Kyambogo-Spear Motors'!O61)</f>
        <v>127</v>
      </c>
      <c r="P61" s="49">
        <f>AVERAGE('01.08 Kyambogo-Spear Motors'!P61,'03.08 Kyambogo-Spear Motors'!P61)</f>
        <v>434.5</v>
      </c>
      <c r="R61" s="8"/>
      <c r="T61"/>
    </row>
    <row r="62" spans="2:20" ht="23.1" customHeight="1" x14ac:dyDescent="0.25">
      <c r="B62" s="23" t="s">
        <v>107</v>
      </c>
      <c r="C62" s="49">
        <f>AVERAGE('01.08 Kyambogo-Spear Motors'!C62,'03.08 Kyambogo-Spear Motors'!C62)</f>
        <v>40</v>
      </c>
      <c r="D62" s="49">
        <f>AVERAGE('01.08 Kyambogo-Spear Motors'!D62,'03.08 Kyambogo-Spear Motors'!D62)</f>
        <v>3.5</v>
      </c>
      <c r="E62" s="49">
        <f>AVERAGE('01.08 Kyambogo-Spear Motors'!E62,'03.08 Kyambogo-Spear Motors'!E62)</f>
        <v>4.5</v>
      </c>
      <c r="F62" s="49">
        <f>AVERAGE('01.08 Kyambogo-Spear Motors'!F62,'03.08 Kyambogo-Spear Motors'!F62)</f>
        <v>51</v>
      </c>
      <c r="G62" s="49">
        <f>AVERAGE('01.08 Kyambogo-Spear Motors'!G62,'03.08 Kyambogo-Spear Motors'!G62)</f>
        <v>5</v>
      </c>
      <c r="H62" s="49">
        <f>AVERAGE('01.08 Kyambogo-Spear Motors'!H62,'03.08 Kyambogo-Spear Motors'!H62)</f>
        <v>1.5</v>
      </c>
      <c r="I62" s="49">
        <f>AVERAGE('01.08 Kyambogo-Spear Motors'!I62,'03.08 Kyambogo-Spear Motors'!I62)</f>
        <v>10.5</v>
      </c>
      <c r="J62" s="49">
        <f>AVERAGE('01.08 Kyambogo-Spear Motors'!J62,'03.08 Kyambogo-Spear Motors'!J62)</f>
        <v>8.5</v>
      </c>
      <c r="K62" s="49">
        <f>AVERAGE('01.08 Kyambogo-Spear Motors'!K62,'03.08 Kyambogo-Spear Motors'!K62)</f>
        <v>10.5</v>
      </c>
      <c r="L62" s="49">
        <f>AVERAGE('01.08 Kyambogo-Spear Motors'!L62,'03.08 Kyambogo-Spear Motors'!L62)</f>
        <v>3</v>
      </c>
      <c r="M62" s="49">
        <f>AVERAGE('01.08 Kyambogo-Spear Motors'!M62,'03.08 Kyambogo-Spear Motors'!M62)</f>
        <v>127.5</v>
      </c>
      <c r="N62" s="49">
        <f>AVERAGE('01.08 Kyambogo-Spear Motors'!N62,'03.08 Kyambogo-Spear Motors'!N62)</f>
        <v>0</v>
      </c>
      <c r="O62" s="49">
        <f>AVERAGE('01.08 Kyambogo-Spear Motors'!O62,'03.08 Kyambogo-Spear Motors'!O62)</f>
        <v>138</v>
      </c>
      <c r="P62" s="49">
        <f>AVERAGE('01.08 Kyambogo-Spear Motors'!P62,'03.08 Kyambogo-Spear Motors'!P62)</f>
        <v>265.5</v>
      </c>
      <c r="R62" s="8"/>
      <c r="T62"/>
    </row>
    <row r="63" spans="2:20" ht="23.1" customHeight="1" x14ac:dyDescent="0.25">
      <c r="B63" s="23" t="s">
        <v>108</v>
      </c>
      <c r="C63" s="49">
        <f>AVERAGE('01.08 Kyambogo-Spear Motors'!C63,'03.08 Kyambogo-Spear Motors'!C63)</f>
        <v>42.5</v>
      </c>
      <c r="D63" s="49">
        <f>AVERAGE('01.08 Kyambogo-Spear Motors'!D63,'03.08 Kyambogo-Spear Motors'!D63)</f>
        <v>5.5</v>
      </c>
      <c r="E63" s="49">
        <f>AVERAGE('01.08 Kyambogo-Spear Motors'!E63,'03.08 Kyambogo-Spear Motors'!E63)</f>
        <v>4.5</v>
      </c>
      <c r="F63" s="49">
        <f>AVERAGE('01.08 Kyambogo-Spear Motors'!F63,'03.08 Kyambogo-Spear Motors'!F63)</f>
        <v>60.5</v>
      </c>
      <c r="G63" s="49">
        <f>AVERAGE('01.08 Kyambogo-Spear Motors'!G63,'03.08 Kyambogo-Spear Motors'!G63)</f>
        <v>3.5</v>
      </c>
      <c r="H63" s="49">
        <f>AVERAGE('01.08 Kyambogo-Spear Motors'!H63,'03.08 Kyambogo-Spear Motors'!H63)</f>
        <v>1</v>
      </c>
      <c r="I63" s="49">
        <f>AVERAGE('01.08 Kyambogo-Spear Motors'!I63,'03.08 Kyambogo-Spear Motors'!I63)</f>
        <v>5.5</v>
      </c>
      <c r="J63" s="49">
        <f>AVERAGE('01.08 Kyambogo-Spear Motors'!J63,'03.08 Kyambogo-Spear Motors'!J63)</f>
        <v>1</v>
      </c>
      <c r="K63" s="49">
        <f>AVERAGE('01.08 Kyambogo-Spear Motors'!K63,'03.08 Kyambogo-Spear Motors'!K63)</f>
        <v>5</v>
      </c>
      <c r="L63" s="49">
        <f>AVERAGE('01.08 Kyambogo-Spear Motors'!L63,'03.08 Kyambogo-Spear Motors'!L63)</f>
        <v>0</v>
      </c>
      <c r="M63" s="49">
        <f>AVERAGE('01.08 Kyambogo-Spear Motors'!M63,'03.08 Kyambogo-Spear Motors'!M63)</f>
        <v>340</v>
      </c>
      <c r="N63" s="49">
        <f>AVERAGE('01.08 Kyambogo-Spear Motors'!N63,'03.08 Kyambogo-Spear Motors'!N63)</f>
        <v>0</v>
      </c>
      <c r="O63" s="49">
        <f>AVERAGE('01.08 Kyambogo-Spear Motors'!O63,'03.08 Kyambogo-Spear Motors'!O63)</f>
        <v>129</v>
      </c>
      <c r="P63" s="49">
        <f>AVERAGE('01.08 Kyambogo-Spear Motors'!P63,'03.08 Kyambogo-Spear Motors'!P63)</f>
        <v>469</v>
      </c>
      <c r="R63" s="8"/>
      <c r="T63"/>
    </row>
    <row r="64" spans="2:20" ht="23.1" customHeight="1" x14ac:dyDescent="0.25">
      <c r="B64" s="23" t="s">
        <v>109</v>
      </c>
      <c r="C64" s="49">
        <f>AVERAGE('01.08 Kyambogo-Spear Motors'!C64,'03.08 Kyambogo-Spear Motors'!C64)</f>
        <v>46</v>
      </c>
      <c r="D64" s="49">
        <f>AVERAGE('01.08 Kyambogo-Spear Motors'!D64,'03.08 Kyambogo-Spear Motors'!D64)</f>
        <v>3</v>
      </c>
      <c r="E64" s="49">
        <f>AVERAGE('01.08 Kyambogo-Spear Motors'!E64,'03.08 Kyambogo-Spear Motors'!E64)</f>
        <v>6.5</v>
      </c>
      <c r="F64" s="49">
        <f>AVERAGE('01.08 Kyambogo-Spear Motors'!F64,'03.08 Kyambogo-Spear Motors'!F64)</f>
        <v>52.5</v>
      </c>
      <c r="G64" s="49">
        <f>AVERAGE('01.08 Kyambogo-Spear Motors'!G64,'03.08 Kyambogo-Spear Motors'!G64)</f>
        <v>4</v>
      </c>
      <c r="H64" s="49">
        <f>AVERAGE('01.08 Kyambogo-Spear Motors'!H64,'03.08 Kyambogo-Spear Motors'!H64)</f>
        <v>2</v>
      </c>
      <c r="I64" s="49">
        <f>AVERAGE('01.08 Kyambogo-Spear Motors'!I64,'03.08 Kyambogo-Spear Motors'!I64)</f>
        <v>3.5</v>
      </c>
      <c r="J64" s="49">
        <f>AVERAGE('01.08 Kyambogo-Spear Motors'!J64,'03.08 Kyambogo-Spear Motors'!J64)</f>
        <v>2.5</v>
      </c>
      <c r="K64" s="49">
        <f>AVERAGE('01.08 Kyambogo-Spear Motors'!K64,'03.08 Kyambogo-Spear Motors'!K64)</f>
        <v>2</v>
      </c>
      <c r="L64" s="49">
        <f>AVERAGE('01.08 Kyambogo-Spear Motors'!L64,'03.08 Kyambogo-Spear Motors'!L64)</f>
        <v>1</v>
      </c>
      <c r="M64" s="49">
        <f>AVERAGE('01.08 Kyambogo-Spear Motors'!M64,'03.08 Kyambogo-Spear Motors'!M64)</f>
        <v>332.5</v>
      </c>
      <c r="N64" s="49">
        <f>AVERAGE('01.08 Kyambogo-Spear Motors'!N64,'03.08 Kyambogo-Spear Motors'!N64)</f>
        <v>0</v>
      </c>
      <c r="O64" s="49">
        <f>AVERAGE('01.08 Kyambogo-Spear Motors'!O64,'03.08 Kyambogo-Spear Motors'!O64)</f>
        <v>123</v>
      </c>
      <c r="P64" s="49">
        <f>AVERAGE('01.08 Kyambogo-Spear Motors'!P64,'03.08 Kyambogo-Spear Motors'!P64)</f>
        <v>455.5</v>
      </c>
      <c r="R64" s="8"/>
      <c r="T64"/>
    </row>
    <row r="65" spans="2:20" ht="23.1" customHeight="1" x14ac:dyDescent="0.25">
      <c r="B65" s="23" t="s">
        <v>158</v>
      </c>
      <c r="C65" s="49">
        <f>AVERAGE('01.08 Kyambogo-Spear Motors'!C65,'03.08 Kyambogo-Spear Motors'!C65)</f>
        <v>34</v>
      </c>
      <c r="D65" s="49">
        <f>AVERAGE('01.08 Kyambogo-Spear Motors'!D65,'03.08 Kyambogo-Spear Motors'!D65)</f>
        <v>2.5</v>
      </c>
      <c r="E65" s="49">
        <f>AVERAGE('01.08 Kyambogo-Spear Motors'!E65,'03.08 Kyambogo-Spear Motors'!E65)</f>
        <v>2.5</v>
      </c>
      <c r="F65" s="49">
        <f>AVERAGE('01.08 Kyambogo-Spear Motors'!F65,'03.08 Kyambogo-Spear Motors'!F65)</f>
        <v>52</v>
      </c>
      <c r="G65" s="49">
        <f>AVERAGE('01.08 Kyambogo-Spear Motors'!G65,'03.08 Kyambogo-Spear Motors'!G65)</f>
        <v>1.5</v>
      </c>
      <c r="H65" s="49">
        <f>AVERAGE('01.08 Kyambogo-Spear Motors'!H65,'03.08 Kyambogo-Spear Motors'!H65)</f>
        <v>1</v>
      </c>
      <c r="I65" s="49">
        <f>AVERAGE('01.08 Kyambogo-Spear Motors'!I65,'03.08 Kyambogo-Spear Motors'!I65)</f>
        <v>2</v>
      </c>
      <c r="J65" s="49">
        <f>AVERAGE('01.08 Kyambogo-Spear Motors'!J65,'03.08 Kyambogo-Spear Motors'!J65)</f>
        <v>0.5</v>
      </c>
      <c r="K65" s="49">
        <f>AVERAGE('01.08 Kyambogo-Spear Motors'!K65,'03.08 Kyambogo-Spear Motors'!K65)</f>
        <v>0</v>
      </c>
      <c r="L65" s="49">
        <f>AVERAGE('01.08 Kyambogo-Spear Motors'!L65,'03.08 Kyambogo-Spear Motors'!L65)</f>
        <v>1.5</v>
      </c>
      <c r="M65" s="49">
        <f>AVERAGE('01.08 Kyambogo-Spear Motors'!M65,'03.08 Kyambogo-Spear Motors'!M65)</f>
        <v>315</v>
      </c>
      <c r="N65" s="49">
        <f>AVERAGE('01.08 Kyambogo-Spear Motors'!N65,'03.08 Kyambogo-Spear Motors'!N65)</f>
        <v>0</v>
      </c>
      <c r="O65" s="49">
        <f>AVERAGE('01.08 Kyambogo-Spear Motors'!O65,'03.08 Kyambogo-Spear Motors'!O65)</f>
        <v>97.5</v>
      </c>
      <c r="P65" s="49">
        <f>AVERAGE('01.08 Kyambogo-Spear Motors'!P65,'03.08 Kyambogo-Spear Motors'!P65)</f>
        <v>412.5</v>
      </c>
      <c r="R65" s="8"/>
      <c r="T65"/>
    </row>
    <row r="66" spans="2:20" ht="23.1" customHeight="1" x14ac:dyDescent="0.25">
      <c r="B66" s="23" t="s">
        <v>103</v>
      </c>
      <c r="C66" s="49">
        <f>AVERAGE('01.08 Kyambogo-Spear Motors'!C66,'03.08 Kyambogo-Spear Motors'!C66)</f>
        <v>32</v>
      </c>
      <c r="D66" s="49">
        <f>AVERAGE('01.08 Kyambogo-Spear Motors'!D66,'03.08 Kyambogo-Spear Motors'!D66)</f>
        <v>2.5</v>
      </c>
      <c r="E66" s="49">
        <f>AVERAGE('01.08 Kyambogo-Spear Motors'!E66,'03.08 Kyambogo-Spear Motors'!E66)</f>
        <v>2</v>
      </c>
      <c r="F66" s="49">
        <f>AVERAGE('01.08 Kyambogo-Spear Motors'!F66,'03.08 Kyambogo-Spear Motors'!F66)</f>
        <v>48</v>
      </c>
      <c r="G66" s="49">
        <f>AVERAGE('01.08 Kyambogo-Spear Motors'!G66,'03.08 Kyambogo-Spear Motors'!G66)</f>
        <v>1.5</v>
      </c>
      <c r="H66" s="49">
        <f>AVERAGE('01.08 Kyambogo-Spear Motors'!H66,'03.08 Kyambogo-Spear Motors'!H66)</f>
        <v>1</v>
      </c>
      <c r="I66" s="49">
        <f>AVERAGE('01.08 Kyambogo-Spear Motors'!I66,'03.08 Kyambogo-Spear Motors'!I66)</f>
        <v>9</v>
      </c>
      <c r="J66" s="49">
        <f>AVERAGE('01.08 Kyambogo-Spear Motors'!J66,'03.08 Kyambogo-Spear Motors'!J66)</f>
        <v>4.5</v>
      </c>
      <c r="K66" s="49">
        <f>AVERAGE('01.08 Kyambogo-Spear Motors'!K66,'03.08 Kyambogo-Spear Motors'!K66)</f>
        <v>2.5</v>
      </c>
      <c r="L66" s="49">
        <f>AVERAGE('01.08 Kyambogo-Spear Motors'!L66,'03.08 Kyambogo-Spear Motors'!L66)</f>
        <v>0.5</v>
      </c>
      <c r="M66" s="49">
        <f>AVERAGE('01.08 Kyambogo-Spear Motors'!M66,'03.08 Kyambogo-Spear Motors'!M66)</f>
        <v>322.5</v>
      </c>
      <c r="N66" s="49">
        <f>AVERAGE('01.08 Kyambogo-Spear Motors'!N66,'03.08 Kyambogo-Spear Motors'!N66)</f>
        <v>0</v>
      </c>
      <c r="O66" s="49">
        <f>AVERAGE('01.08 Kyambogo-Spear Motors'!O66,'03.08 Kyambogo-Spear Motors'!O66)</f>
        <v>103.5</v>
      </c>
      <c r="P66" s="49">
        <f>AVERAGE('01.08 Kyambogo-Spear Motors'!P66,'03.08 Kyambogo-Spear Motors'!P66)</f>
        <v>426</v>
      </c>
      <c r="R66" s="8"/>
      <c r="T66"/>
    </row>
    <row r="67" spans="2:20" ht="23.1" customHeight="1" x14ac:dyDescent="0.25">
      <c r="B67" s="23" t="s">
        <v>104</v>
      </c>
      <c r="C67" s="49">
        <f>AVERAGE('01.08 Kyambogo-Spear Motors'!C67,'03.08 Kyambogo-Spear Motors'!C67)</f>
        <v>19.5</v>
      </c>
      <c r="D67" s="49">
        <f>AVERAGE('01.08 Kyambogo-Spear Motors'!D67,'03.08 Kyambogo-Spear Motors'!D67)</f>
        <v>2.5</v>
      </c>
      <c r="E67" s="49">
        <f>AVERAGE('01.08 Kyambogo-Spear Motors'!E67,'03.08 Kyambogo-Spear Motors'!E67)</f>
        <v>3</v>
      </c>
      <c r="F67" s="49">
        <f>AVERAGE('01.08 Kyambogo-Spear Motors'!F67,'03.08 Kyambogo-Spear Motors'!F67)</f>
        <v>36</v>
      </c>
      <c r="G67" s="49">
        <f>AVERAGE('01.08 Kyambogo-Spear Motors'!G67,'03.08 Kyambogo-Spear Motors'!G67)</f>
        <v>2</v>
      </c>
      <c r="H67" s="49">
        <f>AVERAGE('01.08 Kyambogo-Spear Motors'!H67,'03.08 Kyambogo-Spear Motors'!H67)</f>
        <v>0.5</v>
      </c>
      <c r="I67" s="49">
        <f>AVERAGE('01.08 Kyambogo-Spear Motors'!I67,'03.08 Kyambogo-Spear Motors'!I67)</f>
        <v>3.5</v>
      </c>
      <c r="J67" s="49">
        <f>AVERAGE('01.08 Kyambogo-Spear Motors'!J67,'03.08 Kyambogo-Spear Motors'!J67)</f>
        <v>1</v>
      </c>
      <c r="K67" s="49">
        <f>AVERAGE('01.08 Kyambogo-Spear Motors'!K67,'03.08 Kyambogo-Spear Motors'!K67)</f>
        <v>0</v>
      </c>
      <c r="L67" s="49">
        <f>AVERAGE('01.08 Kyambogo-Spear Motors'!L67,'03.08 Kyambogo-Spear Motors'!L67)</f>
        <v>0.5</v>
      </c>
      <c r="M67" s="49">
        <f>AVERAGE('01.08 Kyambogo-Spear Motors'!M67,'03.08 Kyambogo-Spear Motors'!M67)</f>
        <v>250</v>
      </c>
      <c r="N67" s="49">
        <f>AVERAGE('01.08 Kyambogo-Spear Motors'!N67,'03.08 Kyambogo-Spear Motors'!N67)</f>
        <v>0</v>
      </c>
      <c r="O67" s="49">
        <f>AVERAGE('01.08 Kyambogo-Spear Motors'!O67,'03.08 Kyambogo-Spear Motors'!O67)</f>
        <v>68.5</v>
      </c>
      <c r="P67" s="49">
        <f>AVERAGE('01.08 Kyambogo-Spear Motors'!P67,'03.08 Kyambogo-Spear Motors'!P67)</f>
        <v>318.5</v>
      </c>
      <c r="R67" s="8"/>
      <c r="T67"/>
    </row>
    <row r="68" spans="2:20" ht="23.1" customHeight="1" x14ac:dyDescent="0.25">
      <c r="B68" s="23" t="s">
        <v>105</v>
      </c>
      <c r="C68" s="49">
        <f>AVERAGE('01.08 Kyambogo-Spear Motors'!C68,'03.08 Kyambogo-Spear Motors'!C68)</f>
        <v>32</v>
      </c>
      <c r="D68" s="49">
        <f>AVERAGE('01.08 Kyambogo-Spear Motors'!D68,'03.08 Kyambogo-Spear Motors'!D68)</f>
        <v>3.5</v>
      </c>
      <c r="E68" s="49">
        <f>AVERAGE('01.08 Kyambogo-Spear Motors'!E68,'03.08 Kyambogo-Spear Motors'!E68)</f>
        <v>3.5</v>
      </c>
      <c r="F68" s="49">
        <f>AVERAGE('01.08 Kyambogo-Spear Motors'!F68,'03.08 Kyambogo-Spear Motors'!F68)</f>
        <v>62.5</v>
      </c>
      <c r="G68" s="49">
        <f>AVERAGE('01.08 Kyambogo-Spear Motors'!G68,'03.08 Kyambogo-Spear Motors'!G68)</f>
        <v>3.5</v>
      </c>
      <c r="H68" s="49">
        <f>AVERAGE('01.08 Kyambogo-Spear Motors'!H68,'03.08 Kyambogo-Spear Motors'!H68)</f>
        <v>0.5</v>
      </c>
      <c r="I68" s="49">
        <f>AVERAGE('01.08 Kyambogo-Spear Motors'!I68,'03.08 Kyambogo-Spear Motors'!I68)</f>
        <v>4.5</v>
      </c>
      <c r="J68" s="49">
        <f>AVERAGE('01.08 Kyambogo-Spear Motors'!J68,'03.08 Kyambogo-Spear Motors'!J68)</f>
        <v>2</v>
      </c>
      <c r="K68" s="49">
        <f>AVERAGE('01.08 Kyambogo-Spear Motors'!K68,'03.08 Kyambogo-Spear Motors'!K68)</f>
        <v>1</v>
      </c>
      <c r="L68" s="49">
        <f>AVERAGE('01.08 Kyambogo-Spear Motors'!L68,'03.08 Kyambogo-Spear Motors'!L68)</f>
        <v>1.5</v>
      </c>
      <c r="M68" s="49">
        <f>AVERAGE('01.08 Kyambogo-Spear Motors'!M68,'03.08 Kyambogo-Spear Motors'!M68)</f>
        <v>297.5</v>
      </c>
      <c r="N68" s="49">
        <f>AVERAGE('01.08 Kyambogo-Spear Motors'!N68,'03.08 Kyambogo-Spear Motors'!N68)</f>
        <v>0</v>
      </c>
      <c r="O68" s="49">
        <f>AVERAGE('01.08 Kyambogo-Spear Motors'!O68,'03.08 Kyambogo-Spear Motors'!O68)</f>
        <v>114.5</v>
      </c>
      <c r="P68" s="49">
        <f>AVERAGE('01.08 Kyambogo-Spear Motors'!P68,'03.08 Kyambogo-Spear Motors'!P68)</f>
        <v>412</v>
      </c>
      <c r="R68" s="8"/>
      <c r="T68"/>
    </row>
    <row r="69" spans="2:20" ht="23.1" customHeight="1" x14ac:dyDescent="0.25">
      <c r="B69" s="23" t="s">
        <v>106</v>
      </c>
      <c r="C69" s="49">
        <f>AVERAGE('01.08 Kyambogo-Spear Motors'!C69,'03.08 Kyambogo-Spear Motors'!C69)</f>
        <v>24</v>
      </c>
      <c r="D69" s="49">
        <f>AVERAGE('01.08 Kyambogo-Spear Motors'!D69,'03.08 Kyambogo-Spear Motors'!D69)</f>
        <v>3.5</v>
      </c>
      <c r="E69" s="49">
        <f>AVERAGE('01.08 Kyambogo-Spear Motors'!E69,'03.08 Kyambogo-Spear Motors'!E69)</f>
        <v>1</v>
      </c>
      <c r="F69" s="49">
        <f>AVERAGE('01.08 Kyambogo-Spear Motors'!F69,'03.08 Kyambogo-Spear Motors'!F69)</f>
        <v>43.5</v>
      </c>
      <c r="G69" s="49">
        <f>AVERAGE('01.08 Kyambogo-Spear Motors'!G69,'03.08 Kyambogo-Spear Motors'!G69)</f>
        <v>1</v>
      </c>
      <c r="H69" s="49">
        <f>AVERAGE('01.08 Kyambogo-Spear Motors'!H69,'03.08 Kyambogo-Spear Motors'!H69)</f>
        <v>1</v>
      </c>
      <c r="I69" s="49">
        <f>AVERAGE('01.08 Kyambogo-Spear Motors'!I69,'03.08 Kyambogo-Spear Motors'!I69)</f>
        <v>6.5</v>
      </c>
      <c r="J69" s="49">
        <f>AVERAGE('01.08 Kyambogo-Spear Motors'!J69,'03.08 Kyambogo-Spear Motors'!J69)</f>
        <v>3</v>
      </c>
      <c r="K69" s="49">
        <f>AVERAGE('01.08 Kyambogo-Spear Motors'!K69,'03.08 Kyambogo-Spear Motors'!K69)</f>
        <v>2</v>
      </c>
      <c r="L69" s="49">
        <f>AVERAGE('01.08 Kyambogo-Spear Motors'!L69,'03.08 Kyambogo-Spear Motors'!L69)</f>
        <v>4.5</v>
      </c>
      <c r="M69" s="49">
        <f>AVERAGE('01.08 Kyambogo-Spear Motors'!M69,'03.08 Kyambogo-Spear Motors'!M69)</f>
        <v>197.5</v>
      </c>
      <c r="N69" s="49">
        <f>AVERAGE('01.08 Kyambogo-Spear Motors'!N69,'03.08 Kyambogo-Spear Motors'!N69)</f>
        <v>0</v>
      </c>
      <c r="O69" s="49">
        <f>AVERAGE('01.08 Kyambogo-Spear Motors'!O69,'03.08 Kyambogo-Spear Motors'!O69)</f>
        <v>90</v>
      </c>
      <c r="P69" s="49">
        <f>AVERAGE('01.08 Kyambogo-Spear Motors'!P69,'03.08 Kyambogo-Spear Motors'!P69)</f>
        <v>287.5</v>
      </c>
      <c r="R69" s="8"/>
      <c r="T69"/>
    </row>
    <row r="70" spans="2:20" ht="23.1" customHeight="1" x14ac:dyDescent="0.25">
      <c r="B70" s="23" t="s">
        <v>110</v>
      </c>
      <c r="C70" s="49">
        <f>AVERAGE('01.08 Kyambogo-Spear Motors'!C70,'03.08 Kyambogo-Spear Motors'!C70)</f>
        <v>37</v>
      </c>
      <c r="D70" s="49">
        <f>AVERAGE('01.08 Kyambogo-Spear Motors'!D70,'03.08 Kyambogo-Spear Motors'!D70)</f>
        <v>2.5</v>
      </c>
      <c r="E70" s="49">
        <f>AVERAGE('01.08 Kyambogo-Spear Motors'!E70,'03.08 Kyambogo-Spear Motors'!E70)</f>
        <v>1.5</v>
      </c>
      <c r="F70" s="49">
        <f>AVERAGE('01.08 Kyambogo-Spear Motors'!F70,'03.08 Kyambogo-Spear Motors'!F70)</f>
        <v>43</v>
      </c>
      <c r="G70" s="49">
        <f>AVERAGE('01.08 Kyambogo-Spear Motors'!G70,'03.08 Kyambogo-Spear Motors'!G70)</f>
        <v>1.5</v>
      </c>
      <c r="H70" s="49">
        <f>AVERAGE('01.08 Kyambogo-Spear Motors'!H70,'03.08 Kyambogo-Spear Motors'!H70)</f>
        <v>0.5</v>
      </c>
      <c r="I70" s="49">
        <f>AVERAGE('01.08 Kyambogo-Spear Motors'!I70,'03.08 Kyambogo-Spear Motors'!I70)</f>
        <v>3</v>
      </c>
      <c r="J70" s="49">
        <f>AVERAGE('01.08 Kyambogo-Spear Motors'!J70,'03.08 Kyambogo-Spear Motors'!J70)</f>
        <v>1.5</v>
      </c>
      <c r="K70" s="49">
        <f>AVERAGE('01.08 Kyambogo-Spear Motors'!K70,'03.08 Kyambogo-Spear Motors'!K70)</f>
        <v>1.5</v>
      </c>
      <c r="L70" s="49">
        <f>AVERAGE('01.08 Kyambogo-Spear Motors'!L70,'03.08 Kyambogo-Spear Motors'!L70)</f>
        <v>2</v>
      </c>
      <c r="M70" s="49">
        <f>AVERAGE('01.08 Kyambogo-Spear Motors'!M70,'03.08 Kyambogo-Spear Motors'!M70)</f>
        <v>202.5</v>
      </c>
      <c r="N70" s="49">
        <f>AVERAGE('01.08 Kyambogo-Spear Motors'!N70,'03.08 Kyambogo-Spear Motors'!N70)</f>
        <v>0</v>
      </c>
      <c r="O70" s="49">
        <f>AVERAGE('01.08 Kyambogo-Spear Motors'!O70,'03.08 Kyambogo-Spear Motors'!O70)</f>
        <v>94</v>
      </c>
      <c r="P70" s="49">
        <f>AVERAGE('01.08 Kyambogo-Spear Motors'!P70,'03.08 Kyambogo-Spear Motors'!P70)</f>
        <v>296.5</v>
      </c>
      <c r="R70" s="8"/>
      <c r="T70"/>
    </row>
    <row r="71" spans="2:20" ht="23.1" customHeight="1" x14ac:dyDescent="0.25">
      <c r="B71" s="23" t="s">
        <v>111</v>
      </c>
      <c r="C71" s="49">
        <f>AVERAGE('01.08 Kyambogo-Spear Motors'!C71,'03.08 Kyambogo-Spear Motors'!C71)</f>
        <v>40</v>
      </c>
      <c r="D71" s="49">
        <f>AVERAGE('01.08 Kyambogo-Spear Motors'!D71,'03.08 Kyambogo-Spear Motors'!D71)</f>
        <v>2</v>
      </c>
      <c r="E71" s="49">
        <f>AVERAGE('01.08 Kyambogo-Spear Motors'!E71,'03.08 Kyambogo-Spear Motors'!E71)</f>
        <v>4</v>
      </c>
      <c r="F71" s="49">
        <f>AVERAGE('01.08 Kyambogo-Spear Motors'!F71,'03.08 Kyambogo-Spear Motors'!F71)</f>
        <v>42.5</v>
      </c>
      <c r="G71" s="49">
        <f>AVERAGE('01.08 Kyambogo-Spear Motors'!G71,'03.08 Kyambogo-Spear Motors'!G71)</f>
        <v>1</v>
      </c>
      <c r="H71" s="49">
        <f>AVERAGE('01.08 Kyambogo-Spear Motors'!H71,'03.08 Kyambogo-Spear Motors'!H71)</f>
        <v>0</v>
      </c>
      <c r="I71" s="49">
        <f>AVERAGE('01.08 Kyambogo-Spear Motors'!I71,'03.08 Kyambogo-Spear Motors'!I71)</f>
        <v>6</v>
      </c>
      <c r="J71" s="49">
        <f>AVERAGE('01.08 Kyambogo-Spear Motors'!J71,'03.08 Kyambogo-Spear Motors'!J71)</f>
        <v>2</v>
      </c>
      <c r="K71" s="49">
        <f>AVERAGE('01.08 Kyambogo-Spear Motors'!K71,'03.08 Kyambogo-Spear Motors'!K71)</f>
        <v>2.5</v>
      </c>
      <c r="L71" s="49">
        <f>AVERAGE('01.08 Kyambogo-Spear Motors'!L71,'03.08 Kyambogo-Spear Motors'!L71)</f>
        <v>2</v>
      </c>
      <c r="M71" s="49">
        <f>AVERAGE('01.08 Kyambogo-Spear Motors'!M71,'03.08 Kyambogo-Spear Motors'!M71)</f>
        <v>247.5</v>
      </c>
      <c r="N71" s="49">
        <f>AVERAGE('01.08 Kyambogo-Spear Motors'!N71,'03.08 Kyambogo-Spear Motors'!N71)</f>
        <v>0</v>
      </c>
      <c r="O71" s="49">
        <f>AVERAGE('01.08 Kyambogo-Spear Motors'!O71,'03.08 Kyambogo-Spear Motors'!O71)</f>
        <v>102</v>
      </c>
      <c r="P71" s="49">
        <f>AVERAGE('01.08 Kyambogo-Spear Motors'!P71,'03.08 Kyambogo-Spear Motors'!P71)</f>
        <v>349.5</v>
      </c>
      <c r="R71" s="8"/>
      <c r="T71"/>
    </row>
    <row r="72" spans="2:20" ht="23.1" customHeight="1" x14ac:dyDescent="0.25">
      <c r="B72" s="23" t="s">
        <v>112</v>
      </c>
      <c r="C72" s="49">
        <f>AVERAGE('01.08 Kyambogo-Spear Motors'!C72,'03.08 Kyambogo-Spear Motors'!C72)</f>
        <v>30.5</v>
      </c>
      <c r="D72" s="49">
        <f>AVERAGE('01.08 Kyambogo-Spear Motors'!D72,'03.08 Kyambogo-Spear Motors'!D72)</f>
        <v>2.5</v>
      </c>
      <c r="E72" s="49">
        <f>AVERAGE('01.08 Kyambogo-Spear Motors'!E72,'03.08 Kyambogo-Spear Motors'!E72)</f>
        <v>2.5</v>
      </c>
      <c r="F72" s="49">
        <f>AVERAGE('01.08 Kyambogo-Spear Motors'!F72,'03.08 Kyambogo-Spear Motors'!F72)</f>
        <v>26</v>
      </c>
      <c r="G72" s="49">
        <f>AVERAGE('01.08 Kyambogo-Spear Motors'!G72,'03.08 Kyambogo-Spear Motors'!G72)</f>
        <v>0.5</v>
      </c>
      <c r="H72" s="49">
        <f>AVERAGE('01.08 Kyambogo-Spear Motors'!H72,'03.08 Kyambogo-Spear Motors'!H72)</f>
        <v>0.5</v>
      </c>
      <c r="I72" s="49">
        <f>AVERAGE('01.08 Kyambogo-Spear Motors'!I72,'03.08 Kyambogo-Spear Motors'!I72)</f>
        <v>5</v>
      </c>
      <c r="J72" s="49">
        <f>AVERAGE('01.08 Kyambogo-Spear Motors'!J72,'03.08 Kyambogo-Spear Motors'!J72)</f>
        <v>1.5</v>
      </c>
      <c r="K72" s="49">
        <f>AVERAGE('01.08 Kyambogo-Spear Motors'!K72,'03.08 Kyambogo-Spear Motors'!K72)</f>
        <v>0</v>
      </c>
      <c r="L72" s="49">
        <f>AVERAGE('01.08 Kyambogo-Spear Motors'!L72,'03.08 Kyambogo-Spear Motors'!L72)</f>
        <v>1</v>
      </c>
      <c r="M72" s="49">
        <f>AVERAGE('01.08 Kyambogo-Spear Motors'!M72,'03.08 Kyambogo-Spear Motors'!M72)</f>
        <v>207.5</v>
      </c>
      <c r="N72" s="49">
        <f>AVERAGE('01.08 Kyambogo-Spear Motors'!N72,'03.08 Kyambogo-Spear Motors'!N72)</f>
        <v>0</v>
      </c>
      <c r="O72" s="49">
        <f>AVERAGE('01.08 Kyambogo-Spear Motors'!O72,'03.08 Kyambogo-Spear Motors'!O72)</f>
        <v>70</v>
      </c>
      <c r="P72" s="49">
        <f>AVERAGE('01.08 Kyambogo-Spear Motors'!P72,'03.08 Kyambogo-Spear Motors'!P72)</f>
        <v>277.5</v>
      </c>
      <c r="R72" s="8"/>
      <c r="T72"/>
    </row>
    <row r="73" spans="2:20" ht="23.1" customHeight="1" x14ac:dyDescent="0.25">
      <c r="B73" s="23" t="s">
        <v>113</v>
      </c>
      <c r="C73" s="49">
        <f>AVERAGE('01.08 Kyambogo-Spear Motors'!C73,'03.08 Kyambogo-Spear Motors'!C73)</f>
        <v>37.5</v>
      </c>
      <c r="D73" s="49">
        <f>AVERAGE('01.08 Kyambogo-Spear Motors'!D73,'03.08 Kyambogo-Spear Motors'!D73)</f>
        <v>3.5</v>
      </c>
      <c r="E73" s="49">
        <f>AVERAGE('01.08 Kyambogo-Spear Motors'!E73,'03.08 Kyambogo-Spear Motors'!E73)</f>
        <v>3</v>
      </c>
      <c r="F73" s="49">
        <f>AVERAGE('01.08 Kyambogo-Spear Motors'!F73,'03.08 Kyambogo-Spear Motors'!F73)</f>
        <v>26.5</v>
      </c>
      <c r="G73" s="49">
        <f>AVERAGE('01.08 Kyambogo-Spear Motors'!G73,'03.08 Kyambogo-Spear Motors'!G73)</f>
        <v>2</v>
      </c>
      <c r="H73" s="49">
        <f>AVERAGE('01.08 Kyambogo-Spear Motors'!H73,'03.08 Kyambogo-Spear Motors'!H73)</f>
        <v>1</v>
      </c>
      <c r="I73" s="49">
        <f>AVERAGE('01.08 Kyambogo-Spear Motors'!I73,'03.08 Kyambogo-Spear Motors'!I73)</f>
        <v>7.5</v>
      </c>
      <c r="J73" s="49">
        <f>AVERAGE('01.08 Kyambogo-Spear Motors'!J73,'03.08 Kyambogo-Spear Motors'!J73)</f>
        <v>1</v>
      </c>
      <c r="K73" s="49">
        <f>AVERAGE('01.08 Kyambogo-Spear Motors'!K73,'03.08 Kyambogo-Spear Motors'!K73)</f>
        <v>1</v>
      </c>
      <c r="L73" s="49">
        <f>AVERAGE('01.08 Kyambogo-Spear Motors'!L73,'03.08 Kyambogo-Spear Motors'!L73)</f>
        <v>2</v>
      </c>
      <c r="M73" s="49">
        <f>AVERAGE('01.08 Kyambogo-Spear Motors'!M73,'03.08 Kyambogo-Spear Motors'!M73)</f>
        <v>227.5</v>
      </c>
      <c r="N73" s="49">
        <f>AVERAGE('01.08 Kyambogo-Spear Motors'!N73,'03.08 Kyambogo-Spear Motors'!N73)</f>
        <v>0</v>
      </c>
      <c r="O73" s="49">
        <f>AVERAGE('01.08 Kyambogo-Spear Motors'!O73,'03.08 Kyambogo-Spear Motors'!O73)</f>
        <v>85</v>
      </c>
      <c r="P73" s="49">
        <f>AVERAGE('01.08 Kyambogo-Spear Motors'!P73,'03.08 Kyambogo-Spear Motors'!P73)</f>
        <v>312.5</v>
      </c>
      <c r="R73" s="8"/>
      <c r="T73"/>
    </row>
    <row r="74" spans="2:20" ht="23.1" customHeight="1" x14ac:dyDescent="0.25">
      <c r="B74" s="23" t="s">
        <v>114</v>
      </c>
      <c r="C74" s="49">
        <f>AVERAGE('01.08 Kyambogo-Spear Motors'!C74,'03.08 Kyambogo-Spear Motors'!C74)</f>
        <v>40</v>
      </c>
      <c r="D74" s="49">
        <f>AVERAGE('01.08 Kyambogo-Spear Motors'!D74,'03.08 Kyambogo-Spear Motors'!D74)</f>
        <v>7</v>
      </c>
      <c r="E74" s="49">
        <f>AVERAGE('01.08 Kyambogo-Spear Motors'!E74,'03.08 Kyambogo-Spear Motors'!E74)</f>
        <v>4.5</v>
      </c>
      <c r="F74" s="49">
        <f>AVERAGE('01.08 Kyambogo-Spear Motors'!F74,'03.08 Kyambogo-Spear Motors'!F74)</f>
        <v>30.5</v>
      </c>
      <c r="G74" s="49">
        <f>AVERAGE('01.08 Kyambogo-Spear Motors'!G74,'03.08 Kyambogo-Spear Motors'!G74)</f>
        <v>3</v>
      </c>
      <c r="H74" s="49">
        <f>AVERAGE('01.08 Kyambogo-Spear Motors'!H74,'03.08 Kyambogo-Spear Motors'!H74)</f>
        <v>1</v>
      </c>
      <c r="I74" s="49">
        <f>AVERAGE('01.08 Kyambogo-Spear Motors'!I74,'03.08 Kyambogo-Spear Motors'!I74)</f>
        <v>3.5</v>
      </c>
      <c r="J74" s="49">
        <f>AVERAGE('01.08 Kyambogo-Spear Motors'!J74,'03.08 Kyambogo-Spear Motors'!J74)</f>
        <v>4</v>
      </c>
      <c r="K74" s="49">
        <f>AVERAGE('01.08 Kyambogo-Spear Motors'!K74,'03.08 Kyambogo-Spear Motors'!K74)</f>
        <v>1.5</v>
      </c>
      <c r="L74" s="49">
        <f>AVERAGE('01.08 Kyambogo-Spear Motors'!L74,'03.08 Kyambogo-Spear Motors'!L74)</f>
        <v>1.5</v>
      </c>
      <c r="M74" s="49">
        <f>AVERAGE('01.08 Kyambogo-Spear Motors'!M74,'03.08 Kyambogo-Spear Motors'!M74)</f>
        <v>205</v>
      </c>
      <c r="N74" s="49">
        <f>AVERAGE('01.08 Kyambogo-Spear Motors'!N74,'03.08 Kyambogo-Spear Motors'!N74)</f>
        <v>0</v>
      </c>
      <c r="O74" s="49">
        <f>AVERAGE('01.08 Kyambogo-Spear Motors'!O74,'03.08 Kyambogo-Spear Motors'!O74)</f>
        <v>96.5</v>
      </c>
      <c r="P74" s="49">
        <f>AVERAGE('01.08 Kyambogo-Spear Motors'!P74,'03.08 Kyambogo-Spear Motors'!P74)</f>
        <v>301.5</v>
      </c>
      <c r="R74" s="8"/>
      <c r="T74"/>
    </row>
    <row r="75" spans="2:20" ht="23.1" customHeight="1" x14ac:dyDescent="0.25">
      <c r="B75" s="23" t="s">
        <v>115</v>
      </c>
      <c r="C75" s="49">
        <f>AVERAGE('01.08 Kyambogo-Spear Motors'!C75,'03.08 Kyambogo-Spear Motors'!C75)</f>
        <v>42</v>
      </c>
      <c r="D75" s="49">
        <f>AVERAGE('01.08 Kyambogo-Spear Motors'!D75,'03.08 Kyambogo-Spear Motors'!D75)</f>
        <v>5</v>
      </c>
      <c r="E75" s="49">
        <f>AVERAGE('01.08 Kyambogo-Spear Motors'!E75,'03.08 Kyambogo-Spear Motors'!E75)</f>
        <v>5.5</v>
      </c>
      <c r="F75" s="49">
        <f>AVERAGE('01.08 Kyambogo-Spear Motors'!F75,'03.08 Kyambogo-Spear Motors'!F75)</f>
        <v>22.5</v>
      </c>
      <c r="G75" s="49">
        <f>AVERAGE('01.08 Kyambogo-Spear Motors'!G75,'03.08 Kyambogo-Spear Motors'!G75)</f>
        <v>1</v>
      </c>
      <c r="H75" s="49">
        <f>AVERAGE('01.08 Kyambogo-Spear Motors'!H75,'03.08 Kyambogo-Spear Motors'!H75)</f>
        <v>1.5</v>
      </c>
      <c r="I75" s="49">
        <f>AVERAGE('01.08 Kyambogo-Spear Motors'!I75,'03.08 Kyambogo-Spear Motors'!I75)</f>
        <v>6.5</v>
      </c>
      <c r="J75" s="49">
        <f>AVERAGE('01.08 Kyambogo-Spear Motors'!J75,'03.08 Kyambogo-Spear Motors'!J75)</f>
        <v>2.5</v>
      </c>
      <c r="K75" s="49">
        <f>AVERAGE('01.08 Kyambogo-Spear Motors'!K75,'03.08 Kyambogo-Spear Motors'!K75)</f>
        <v>0</v>
      </c>
      <c r="L75" s="49">
        <f>AVERAGE('01.08 Kyambogo-Spear Motors'!L75,'03.08 Kyambogo-Spear Motors'!L75)</f>
        <v>3</v>
      </c>
      <c r="M75" s="49">
        <f>AVERAGE('01.08 Kyambogo-Spear Motors'!M75,'03.08 Kyambogo-Spear Motors'!M75)</f>
        <v>175</v>
      </c>
      <c r="N75" s="49">
        <f>AVERAGE('01.08 Kyambogo-Spear Motors'!N75,'03.08 Kyambogo-Spear Motors'!N75)</f>
        <v>0</v>
      </c>
      <c r="O75" s="49">
        <f>AVERAGE('01.08 Kyambogo-Spear Motors'!O75,'03.08 Kyambogo-Spear Motors'!O75)</f>
        <v>89.5</v>
      </c>
      <c r="P75" s="49">
        <f>AVERAGE('01.08 Kyambogo-Spear Motors'!P75,'03.08 Kyambogo-Spear Motors'!P75)</f>
        <v>264.5</v>
      </c>
      <c r="R75" s="8"/>
      <c r="T75"/>
    </row>
    <row r="76" spans="2:20" ht="23.1" customHeight="1" x14ac:dyDescent="0.25">
      <c r="B76" s="23" t="s">
        <v>116</v>
      </c>
      <c r="C76" s="49">
        <f>AVERAGE('01.08 Kyambogo-Spear Motors'!C76,'03.08 Kyambogo-Spear Motors'!C76)</f>
        <v>45.5</v>
      </c>
      <c r="D76" s="49">
        <f>AVERAGE('01.08 Kyambogo-Spear Motors'!D76,'03.08 Kyambogo-Spear Motors'!D76)</f>
        <v>3.5</v>
      </c>
      <c r="E76" s="49">
        <f>AVERAGE('01.08 Kyambogo-Spear Motors'!E76,'03.08 Kyambogo-Spear Motors'!E76)</f>
        <v>7</v>
      </c>
      <c r="F76" s="49">
        <f>AVERAGE('01.08 Kyambogo-Spear Motors'!F76,'03.08 Kyambogo-Spear Motors'!F76)</f>
        <v>31.5</v>
      </c>
      <c r="G76" s="49">
        <f>AVERAGE('01.08 Kyambogo-Spear Motors'!G76,'03.08 Kyambogo-Spear Motors'!G76)</f>
        <v>1.5</v>
      </c>
      <c r="H76" s="49">
        <f>AVERAGE('01.08 Kyambogo-Spear Motors'!H76,'03.08 Kyambogo-Spear Motors'!H76)</f>
        <v>0.5</v>
      </c>
      <c r="I76" s="49">
        <f>AVERAGE('01.08 Kyambogo-Spear Motors'!I76,'03.08 Kyambogo-Spear Motors'!I76)</f>
        <v>4</v>
      </c>
      <c r="J76" s="49">
        <f>AVERAGE('01.08 Kyambogo-Spear Motors'!J76,'03.08 Kyambogo-Spear Motors'!J76)</f>
        <v>8.5</v>
      </c>
      <c r="K76" s="49">
        <f>AVERAGE('01.08 Kyambogo-Spear Motors'!K76,'03.08 Kyambogo-Spear Motors'!K76)</f>
        <v>0.5</v>
      </c>
      <c r="L76" s="49">
        <f>AVERAGE('01.08 Kyambogo-Spear Motors'!L76,'03.08 Kyambogo-Spear Motors'!L76)</f>
        <v>2</v>
      </c>
      <c r="M76" s="49">
        <f>AVERAGE('01.08 Kyambogo-Spear Motors'!M76,'03.08 Kyambogo-Spear Motors'!M76)</f>
        <v>162.5</v>
      </c>
      <c r="N76" s="49">
        <f>AVERAGE('01.08 Kyambogo-Spear Motors'!N76,'03.08 Kyambogo-Spear Motors'!N76)</f>
        <v>0</v>
      </c>
      <c r="O76" s="49">
        <f>AVERAGE('01.08 Kyambogo-Spear Motors'!O76,'03.08 Kyambogo-Spear Motors'!O76)</f>
        <v>104.5</v>
      </c>
      <c r="P76" s="49">
        <f>AVERAGE('01.08 Kyambogo-Spear Motors'!P76,'03.08 Kyambogo-Spear Motors'!P76)</f>
        <v>267</v>
      </c>
      <c r="R76" s="8"/>
      <c r="T76"/>
    </row>
    <row r="77" spans="2:20" ht="23.1" customHeight="1" x14ac:dyDescent="0.25">
      <c r="B77" s="23" t="s">
        <v>117</v>
      </c>
      <c r="C77" s="49">
        <f>AVERAGE('01.08 Kyambogo-Spear Motors'!C77,'03.08 Kyambogo-Spear Motors'!C77)</f>
        <v>35.5</v>
      </c>
      <c r="D77" s="49">
        <f>AVERAGE('01.08 Kyambogo-Spear Motors'!D77,'03.08 Kyambogo-Spear Motors'!D77)</f>
        <v>1</v>
      </c>
      <c r="E77" s="49">
        <f>AVERAGE('01.08 Kyambogo-Spear Motors'!E77,'03.08 Kyambogo-Spear Motors'!E77)</f>
        <v>4.5</v>
      </c>
      <c r="F77" s="49">
        <f>AVERAGE('01.08 Kyambogo-Spear Motors'!F77,'03.08 Kyambogo-Spear Motors'!F77)</f>
        <v>27</v>
      </c>
      <c r="G77" s="49">
        <f>AVERAGE('01.08 Kyambogo-Spear Motors'!G77,'03.08 Kyambogo-Spear Motors'!G77)</f>
        <v>1</v>
      </c>
      <c r="H77" s="49">
        <f>AVERAGE('01.08 Kyambogo-Spear Motors'!H77,'03.08 Kyambogo-Spear Motors'!H77)</f>
        <v>0.5</v>
      </c>
      <c r="I77" s="49">
        <f>AVERAGE('01.08 Kyambogo-Spear Motors'!I77,'03.08 Kyambogo-Spear Motors'!I77)</f>
        <v>2.5</v>
      </c>
      <c r="J77" s="49">
        <f>AVERAGE('01.08 Kyambogo-Spear Motors'!J77,'03.08 Kyambogo-Spear Motors'!J77)</f>
        <v>3</v>
      </c>
      <c r="K77" s="49">
        <f>AVERAGE('01.08 Kyambogo-Spear Motors'!K77,'03.08 Kyambogo-Spear Motors'!K77)</f>
        <v>1</v>
      </c>
      <c r="L77" s="49">
        <f>AVERAGE('01.08 Kyambogo-Spear Motors'!L77,'03.08 Kyambogo-Spear Motors'!L77)</f>
        <v>1</v>
      </c>
      <c r="M77" s="49">
        <f>AVERAGE('01.08 Kyambogo-Spear Motors'!M77,'03.08 Kyambogo-Spear Motors'!M77)</f>
        <v>215</v>
      </c>
      <c r="N77" s="49">
        <f>AVERAGE('01.08 Kyambogo-Spear Motors'!N77,'03.08 Kyambogo-Spear Motors'!N77)</f>
        <v>0</v>
      </c>
      <c r="O77" s="49">
        <f>AVERAGE('01.08 Kyambogo-Spear Motors'!O77,'03.08 Kyambogo-Spear Motors'!O77)</f>
        <v>77</v>
      </c>
      <c r="P77" s="49">
        <f>AVERAGE('01.08 Kyambogo-Spear Motors'!P77,'03.08 Kyambogo-Spear Motors'!P77)</f>
        <v>292</v>
      </c>
      <c r="R77" s="8"/>
      <c r="T77"/>
    </row>
    <row r="78" spans="2:20" ht="23.1" customHeight="1" x14ac:dyDescent="0.25">
      <c r="B78" s="24" t="s">
        <v>118</v>
      </c>
      <c r="C78" s="49">
        <f>AVERAGE('01.08 Kyambogo-Spear Motors'!C78,'03.08 Kyambogo-Spear Motors'!C78)</f>
        <v>45.5</v>
      </c>
      <c r="D78" s="49">
        <f>AVERAGE('01.08 Kyambogo-Spear Motors'!D78,'03.08 Kyambogo-Spear Motors'!D78)</f>
        <v>1</v>
      </c>
      <c r="E78" s="49">
        <f>AVERAGE('01.08 Kyambogo-Spear Motors'!E78,'03.08 Kyambogo-Spear Motors'!E78)</f>
        <v>2.5</v>
      </c>
      <c r="F78" s="49">
        <f>AVERAGE('01.08 Kyambogo-Spear Motors'!F78,'03.08 Kyambogo-Spear Motors'!F78)</f>
        <v>20.5</v>
      </c>
      <c r="G78" s="49">
        <f>AVERAGE('01.08 Kyambogo-Spear Motors'!G78,'03.08 Kyambogo-Spear Motors'!G78)</f>
        <v>1</v>
      </c>
      <c r="H78" s="49">
        <f>AVERAGE('01.08 Kyambogo-Spear Motors'!H78,'03.08 Kyambogo-Spear Motors'!H78)</f>
        <v>0</v>
      </c>
      <c r="I78" s="49">
        <f>AVERAGE('01.08 Kyambogo-Spear Motors'!I78,'03.08 Kyambogo-Spear Motors'!I78)</f>
        <v>4</v>
      </c>
      <c r="J78" s="49">
        <f>AVERAGE('01.08 Kyambogo-Spear Motors'!J78,'03.08 Kyambogo-Spear Motors'!J78)</f>
        <v>4</v>
      </c>
      <c r="K78" s="49">
        <f>AVERAGE('01.08 Kyambogo-Spear Motors'!K78,'03.08 Kyambogo-Spear Motors'!K78)</f>
        <v>0</v>
      </c>
      <c r="L78" s="49">
        <f>AVERAGE('01.08 Kyambogo-Spear Motors'!L78,'03.08 Kyambogo-Spear Motors'!L78)</f>
        <v>1</v>
      </c>
      <c r="M78" s="49">
        <f>AVERAGE('01.08 Kyambogo-Spear Motors'!M78,'03.08 Kyambogo-Spear Motors'!M78)</f>
        <v>173.5</v>
      </c>
      <c r="N78" s="49">
        <f>AVERAGE('01.08 Kyambogo-Spear Motors'!N78,'03.08 Kyambogo-Spear Motors'!N78)</f>
        <v>0</v>
      </c>
      <c r="O78" s="49">
        <f>AVERAGE('01.08 Kyambogo-Spear Motors'!O78,'03.08 Kyambogo-Spear Motors'!O78)</f>
        <v>79.5</v>
      </c>
      <c r="P78" s="49">
        <f>AVERAGE('01.08 Kyambogo-Spear Motors'!P78,'03.08 Kyambogo-Spear Motors'!P78)</f>
        <v>253</v>
      </c>
      <c r="R78" s="8"/>
      <c r="T78"/>
    </row>
    <row r="79" spans="2:20" ht="23.1" customHeight="1" x14ac:dyDescent="0.25">
      <c r="B79" s="23" t="s">
        <v>119</v>
      </c>
      <c r="C79" s="49">
        <f>AVERAGE('01.08 Kyambogo-Spear Motors'!C79,'03.08 Kyambogo-Spear Motors'!C79)</f>
        <v>56.5</v>
      </c>
      <c r="D79" s="49">
        <f>AVERAGE('01.08 Kyambogo-Spear Motors'!D79,'03.08 Kyambogo-Spear Motors'!D79)</f>
        <v>4</v>
      </c>
      <c r="E79" s="49">
        <f>AVERAGE('01.08 Kyambogo-Spear Motors'!E79,'03.08 Kyambogo-Spear Motors'!E79)</f>
        <v>4.5</v>
      </c>
      <c r="F79" s="49">
        <f>AVERAGE('01.08 Kyambogo-Spear Motors'!F79,'03.08 Kyambogo-Spear Motors'!F79)</f>
        <v>26</v>
      </c>
      <c r="G79" s="49">
        <f>AVERAGE('01.08 Kyambogo-Spear Motors'!G79,'03.08 Kyambogo-Spear Motors'!G79)</f>
        <v>2.5</v>
      </c>
      <c r="H79" s="49">
        <f>AVERAGE('01.08 Kyambogo-Spear Motors'!H79,'03.08 Kyambogo-Spear Motors'!H79)</f>
        <v>1.5</v>
      </c>
      <c r="I79" s="49">
        <f>AVERAGE('01.08 Kyambogo-Spear Motors'!I79,'03.08 Kyambogo-Spear Motors'!I79)</f>
        <v>15</v>
      </c>
      <c r="J79" s="49">
        <f>AVERAGE('01.08 Kyambogo-Spear Motors'!J79,'03.08 Kyambogo-Spear Motors'!J79)</f>
        <v>6</v>
      </c>
      <c r="K79" s="49">
        <f>AVERAGE('01.08 Kyambogo-Spear Motors'!K79,'03.08 Kyambogo-Spear Motors'!K79)</f>
        <v>0.5</v>
      </c>
      <c r="L79" s="49">
        <f>AVERAGE('01.08 Kyambogo-Spear Motors'!L79,'03.08 Kyambogo-Spear Motors'!L79)</f>
        <v>3.5</v>
      </c>
      <c r="M79" s="49">
        <f>AVERAGE('01.08 Kyambogo-Spear Motors'!M79,'03.08 Kyambogo-Spear Motors'!M79)</f>
        <v>190</v>
      </c>
      <c r="N79" s="49">
        <f>AVERAGE('01.08 Kyambogo-Spear Motors'!N79,'03.08 Kyambogo-Spear Motors'!N79)</f>
        <v>0</v>
      </c>
      <c r="O79" s="49">
        <f>AVERAGE('01.08 Kyambogo-Spear Motors'!O79,'03.08 Kyambogo-Spear Motors'!O79)</f>
        <v>120</v>
      </c>
      <c r="P79" s="49">
        <f>AVERAGE('01.08 Kyambogo-Spear Motors'!P79,'03.08 Kyambogo-Spear Motors'!P79)</f>
        <v>310</v>
      </c>
      <c r="R79" s="8"/>
      <c r="T79"/>
    </row>
    <row r="80" spans="2:20" ht="23.1" customHeight="1" x14ac:dyDescent="0.25">
      <c r="B80" s="25" t="s">
        <v>120</v>
      </c>
      <c r="C80" s="49">
        <f>AVERAGE('01.08 Kyambogo-Spear Motors'!C80,'03.08 Kyambogo-Spear Motors'!C80)</f>
        <v>48.5</v>
      </c>
      <c r="D80" s="49">
        <f>AVERAGE('01.08 Kyambogo-Spear Motors'!D80,'03.08 Kyambogo-Spear Motors'!D80)</f>
        <v>2.5</v>
      </c>
      <c r="E80" s="49">
        <f>AVERAGE('01.08 Kyambogo-Spear Motors'!E80,'03.08 Kyambogo-Spear Motors'!E80)</f>
        <v>2</v>
      </c>
      <c r="F80" s="49">
        <f>AVERAGE('01.08 Kyambogo-Spear Motors'!F80,'03.08 Kyambogo-Spear Motors'!F80)</f>
        <v>11</v>
      </c>
      <c r="G80" s="49">
        <f>AVERAGE('01.08 Kyambogo-Spear Motors'!G80,'03.08 Kyambogo-Spear Motors'!G80)</f>
        <v>0.5</v>
      </c>
      <c r="H80" s="49">
        <f>AVERAGE('01.08 Kyambogo-Spear Motors'!H80,'03.08 Kyambogo-Spear Motors'!H80)</f>
        <v>0</v>
      </c>
      <c r="I80" s="49">
        <f>AVERAGE('01.08 Kyambogo-Spear Motors'!I80,'03.08 Kyambogo-Spear Motors'!I80)</f>
        <v>4</v>
      </c>
      <c r="J80" s="49">
        <f>AVERAGE('01.08 Kyambogo-Spear Motors'!J80,'03.08 Kyambogo-Spear Motors'!J80)</f>
        <v>1.5</v>
      </c>
      <c r="K80" s="49">
        <f>AVERAGE('01.08 Kyambogo-Spear Motors'!K80,'03.08 Kyambogo-Spear Motors'!K80)</f>
        <v>0.5</v>
      </c>
      <c r="L80" s="49">
        <f>AVERAGE('01.08 Kyambogo-Spear Motors'!L80,'03.08 Kyambogo-Spear Motors'!L80)</f>
        <v>0</v>
      </c>
      <c r="M80" s="49">
        <f>AVERAGE('01.08 Kyambogo-Spear Motors'!M80,'03.08 Kyambogo-Spear Motors'!M80)</f>
        <v>152.5</v>
      </c>
      <c r="N80" s="49">
        <f>AVERAGE('01.08 Kyambogo-Spear Motors'!N80,'03.08 Kyambogo-Spear Motors'!N80)</f>
        <v>0</v>
      </c>
      <c r="O80" s="49">
        <f>AVERAGE('01.08 Kyambogo-Spear Motors'!O80,'03.08 Kyambogo-Spear Motors'!O80)</f>
        <v>70.5</v>
      </c>
      <c r="P80" s="49">
        <f>AVERAGE('01.08 Kyambogo-Spear Motors'!P80,'03.08 Kyambogo-Spear Motors'!P80)</f>
        <v>223</v>
      </c>
      <c r="R80" s="8"/>
      <c r="T80"/>
    </row>
    <row r="81" spans="2:20" ht="23.1" customHeight="1" x14ac:dyDescent="0.25">
      <c r="B81" s="23" t="s">
        <v>121</v>
      </c>
      <c r="C81" s="49">
        <f>AVERAGE('01.08 Kyambogo-Spear Motors'!C81,'03.08 Kyambogo-Spear Motors'!C81)</f>
        <v>35</v>
      </c>
      <c r="D81" s="49">
        <f>AVERAGE('01.08 Kyambogo-Spear Motors'!D81,'03.08 Kyambogo-Spear Motors'!D81)</f>
        <v>3</v>
      </c>
      <c r="E81" s="49">
        <f>AVERAGE('01.08 Kyambogo-Spear Motors'!E81,'03.08 Kyambogo-Spear Motors'!E81)</f>
        <v>3</v>
      </c>
      <c r="F81" s="49">
        <f>AVERAGE('01.08 Kyambogo-Spear Motors'!F81,'03.08 Kyambogo-Spear Motors'!F81)</f>
        <v>14.5</v>
      </c>
      <c r="G81" s="49">
        <f>AVERAGE('01.08 Kyambogo-Spear Motors'!G81,'03.08 Kyambogo-Spear Motors'!G81)</f>
        <v>0.5</v>
      </c>
      <c r="H81" s="49">
        <f>AVERAGE('01.08 Kyambogo-Spear Motors'!H81,'03.08 Kyambogo-Spear Motors'!H81)</f>
        <v>0.5</v>
      </c>
      <c r="I81" s="49">
        <f>AVERAGE('01.08 Kyambogo-Spear Motors'!I81,'03.08 Kyambogo-Spear Motors'!I81)</f>
        <v>8.5</v>
      </c>
      <c r="J81" s="49">
        <f>AVERAGE('01.08 Kyambogo-Spear Motors'!J81,'03.08 Kyambogo-Spear Motors'!J81)</f>
        <v>4</v>
      </c>
      <c r="K81" s="49">
        <f>AVERAGE('01.08 Kyambogo-Spear Motors'!K81,'03.08 Kyambogo-Spear Motors'!K81)</f>
        <v>0</v>
      </c>
      <c r="L81" s="49">
        <f>AVERAGE('01.08 Kyambogo-Spear Motors'!L81,'03.08 Kyambogo-Spear Motors'!L81)</f>
        <v>3</v>
      </c>
      <c r="M81" s="49">
        <f>AVERAGE('01.08 Kyambogo-Spear Motors'!M81,'03.08 Kyambogo-Spear Motors'!M81)</f>
        <v>168.5</v>
      </c>
      <c r="N81" s="49">
        <f>AVERAGE('01.08 Kyambogo-Spear Motors'!N81,'03.08 Kyambogo-Spear Motors'!N81)</f>
        <v>0</v>
      </c>
      <c r="O81" s="49">
        <f>AVERAGE('01.08 Kyambogo-Spear Motors'!O81,'03.08 Kyambogo-Spear Motors'!O81)</f>
        <v>72</v>
      </c>
      <c r="P81" s="49">
        <f>AVERAGE('01.08 Kyambogo-Spear Motors'!P81,'03.08 Kyambogo-Spear Motors'!P81)</f>
        <v>240.5</v>
      </c>
      <c r="R81" s="8"/>
      <c r="T81"/>
    </row>
    <row r="82" spans="2:20" ht="23.1" customHeight="1" x14ac:dyDescent="0.25">
      <c r="B82" s="24" t="s">
        <v>122</v>
      </c>
      <c r="C82" s="49">
        <f>AVERAGE('01.08 Kyambogo-Spear Motors'!C82,'03.08 Kyambogo-Spear Motors'!C82)</f>
        <v>25</v>
      </c>
      <c r="D82" s="49">
        <f>AVERAGE('01.08 Kyambogo-Spear Motors'!D82,'03.08 Kyambogo-Spear Motors'!D82)</f>
        <v>3.5</v>
      </c>
      <c r="E82" s="49">
        <f>AVERAGE('01.08 Kyambogo-Spear Motors'!E82,'03.08 Kyambogo-Spear Motors'!E82)</f>
        <v>4.5</v>
      </c>
      <c r="F82" s="49">
        <f>AVERAGE('01.08 Kyambogo-Spear Motors'!F82,'03.08 Kyambogo-Spear Motors'!F82)</f>
        <v>6</v>
      </c>
      <c r="G82" s="49">
        <f>AVERAGE('01.08 Kyambogo-Spear Motors'!G82,'03.08 Kyambogo-Spear Motors'!G82)</f>
        <v>1.5</v>
      </c>
      <c r="H82" s="49">
        <f>AVERAGE('01.08 Kyambogo-Spear Motors'!H82,'03.08 Kyambogo-Spear Motors'!H82)</f>
        <v>2.5</v>
      </c>
      <c r="I82" s="49">
        <f>AVERAGE('01.08 Kyambogo-Spear Motors'!I82,'03.08 Kyambogo-Spear Motors'!I82)</f>
        <v>6</v>
      </c>
      <c r="J82" s="49">
        <f>AVERAGE('01.08 Kyambogo-Spear Motors'!J82,'03.08 Kyambogo-Spear Motors'!J82)</f>
        <v>2</v>
      </c>
      <c r="K82" s="49">
        <f>AVERAGE('01.08 Kyambogo-Spear Motors'!K82,'03.08 Kyambogo-Spear Motors'!K82)</f>
        <v>3</v>
      </c>
      <c r="L82" s="49">
        <f>AVERAGE('01.08 Kyambogo-Spear Motors'!L82,'03.08 Kyambogo-Spear Motors'!L82)</f>
        <v>0</v>
      </c>
      <c r="M82" s="49">
        <f>AVERAGE('01.08 Kyambogo-Spear Motors'!M82,'03.08 Kyambogo-Spear Motors'!M82)</f>
        <v>146</v>
      </c>
      <c r="N82" s="49">
        <f>AVERAGE('01.08 Kyambogo-Spear Motors'!N82,'03.08 Kyambogo-Spear Motors'!N82)</f>
        <v>0</v>
      </c>
      <c r="O82" s="49">
        <f>AVERAGE('01.08 Kyambogo-Spear Motors'!O82,'03.08 Kyambogo-Spear Motors'!O82)</f>
        <v>54</v>
      </c>
      <c r="P82" s="49">
        <f>AVERAGE('01.08 Kyambogo-Spear Motors'!P82,'03.08 Kyambogo-Spear Motors'!P82)</f>
        <v>200</v>
      </c>
      <c r="R82" s="8"/>
      <c r="T82"/>
    </row>
    <row r="83" spans="2:20" ht="23.1" customHeight="1" x14ac:dyDescent="0.25">
      <c r="B83" s="23" t="s">
        <v>123</v>
      </c>
      <c r="C83" s="49">
        <f>AVERAGE('01.08 Kyambogo-Spear Motors'!C83,'03.08 Kyambogo-Spear Motors'!C83)</f>
        <v>27</v>
      </c>
      <c r="D83" s="49">
        <f>AVERAGE('01.08 Kyambogo-Spear Motors'!D83,'03.08 Kyambogo-Spear Motors'!D83)</f>
        <v>1</v>
      </c>
      <c r="E83" s="49">
        <f>AVERAGE('01.08 Kyambogo-Spear Motors'!E83,'03.08 Kyambogo-Spear Motors'!E83)</f>
        <v>2</v>
      </c>
      <c r="F83" s="49">
        <f>AVERAGE('01.08 Kyambogo-Spear Motors'!F83,'03.08 Kyambogo-Spear Motors'!F83)</f>
        <v>11.5</v>
      </c>
      <c r="G83" s="49">
        <f>AVERAGE('01.08 Kyambogo-Spear Motors'!G83,'03.08 Kyambogo-Spear Motors'!G83)</f>
        <v>1.5</v>
      </c>
      <c r="H83" s="49">
        <f>AVERAGE('01.08 Kyambogo-Spear Motors'!H83,'03.08 Kyambogo-Spear Motors'!H83)</f>
        <v>3.5</v>
      </c>
      <c r="I83" s="49">
        <f>AVERAGE('01.08 Kyambogo-Spear Motors'!I83,'03.08 Kyambogo-Spear Motors'!I83)</f>
        <v>5.5</v>
      </c>
      <c r="J83" s="49">
        <f>AVERAGE('01.08 Kyambogo-Spear Motors'!J83,'03.08 Kyambogo-Spear Motors'!J83)</f>
        <v>1.5</v>
      </c>
      <c r="K83" s="49">
        <f>AVERAGE('01.08 Kyambogo-Spear Motors'!K83,'03.08 Kyambogo-Spear Motors'!K83)</f>
        <v>1.5</v>
      </c>
      <c r="L83" s="49">
        <f>AVERAGE('01.08 Kyambogo-Spear Motors'!L83,'03.08 Kyambogo-Spear Motors'!L83)</f>
        <v>2.5</v>
      </c>
      <c r="M83" s="49">
        <f>AVERAGE('01.08 Kyambogo-Spear Motors'!M83,'03.08 Kyambogo-Spear Motors'!M83)</f>
        <v>179</v>
      </c>
      <c r="N83" s="49">
        <f>AVERAGE('01.08 Kyambogo-Spear Motors'!N83,'03.08 Kyambogo-Spear Motors'!N83)</f>
        <v>0</v>
      </c>
      <c r="O83" s="49">
        <f>AVERAGE('01.08 Kyambogo-Spear Motors'!O83,'03.08 Kyambogo-Spear Motors'!O83)</f>
        <v>57.5</v>
      </c>
      <c r="P83" s="49">
        <f>AVERAGE('01.08 Kyambogo-Spear Motors'!P83,'03.08 Kyambogo-Spear Motors'!P83)</f>
        <v>236.5</v>
      </c>
      <c r="R83" s="8"/>
      <c r="T83"/>
    </row>
    <row r="84" spans="2:20" ht="23.1" customHeight="1" x14ac:dyDescent="0.25">
      <c r="B84" s="25" t="s">
        <v>124</v>
      </c>
      <c r="C84" s="49">
        <f>AVERAGE('01.08 Kyambogo-Spear Motors'!C84,'03.08 Kyambogo-Spear Motors'!C84)</f>
        <v>20.5</v>
      </c>
      <c r="D84" s="49">
        <f>AVERAGE('01.08 Kyambogo-Spear Motors'!D84,'03.08 Kyambogo-Spear Motors'!D84)</f>
        <v>1</v>
      </c>
      <c r="E84" s="49">
        <f>AVERAGE('01.08 Kyambogo-Spear Motors'!E84,'03.08 Kyambogo-Spear Motors'!E84)</f>
        <v>2.5</v>
      </c>
      <c r="F84" s="49">
        <f>AVERAGE('01.08 Kyambogo-Spear Motors'!F84,'03.08 Kyambogo-Spear Motors'!F84)</f>
        <v>5.5</v>
      </c>
      <c r="G84" s="49">
        <f>AVERAGE('01.08 Kyambogo-Spear Motors'!G84,'03.08 Kyambogo-Spear Motors'!G84)</f>
        <v>0.5</v>
      </c>
      <c r="H84" s="49">
        <f>AVERAGE('01.08 Kyambogo-Spear Motors'!H84,'03.08 Kyambogo-Spear Motors'!H84)</f>
        <v>3</v>
      </c>
      <c r="I84" s="49">
        <f>AVERAGE('01.08 Kyambogo-Spear Motors'!I84,'03.08 Kyambogo-Spear Motors'!I84)</f>
        <v>2.5</v>
      </c>
      <c r="J84" s="49">
        <f>AVERAGE('01.08 Kyambogo-Spear Motors'!J84,'03.08 Kyambogo-Spear Motors'!J84)</f>
        <v>2</v>
      </c>
      <c r="K84" s="49">
        <f>AVERAGE('01.08 Kyambogo-Spear Motors'!K84,'03.08 Kyambogo-Spear Motors'!K84)</f>
        <v>2</v>
      </c>
      <c r="L84" s="49">
        <f>AVERAGE('01.08 Kyambogo-Spear Motors'!L84,'03.08 Kyambogo-Spear Motors'!L84)</f>
        <v>0</v>
      </c>
      <c r="M84" s="49">
        <f>AVERAGE('01.08 Kyambogo-Spear Motors'!M84,'03.08 Kyambogo-Spear Motors'!M84)</f>
        <v>151</v>
      </c>
      <c r="N84" s="49">
        <f>AVERAGE('01.08 Kyambogo-Spear Motors'!N84,'03.08 Kyambogo-Spear Motors'!N84)</f>
        <v>0</v>
      </c>
      <c r="O84" s="49">
        <f>AVERAGE('01.08 Kyambogo-Spear Motors'!O84,'03.08 Kyambogo-Spear Motors'!O84)</f>
        <v>39.5</v>
      </c>
      <c r="P84" s="49">
        <f>AVERAGE('01.08 Kyambogo-Spear Motors'!P84,'03.08 Kyambogo-Spear Motors'!P84)</f>
        <v>190.5</v>
      </c>
      <c r="R84" s="8"/>
      <c r="T84"/>
    </row>
    <row r="85" spans="2:20" ht="23.1" customHeight="1" x14ac:dyDescent="0.25">
      <c r="B85" s="23" t="s">
        <v>125</v>
      </c>
      <c r="C85" s="49">
        <f>AVERAGE('01.08 Kyambogo-Spear Motors'!C85,'03.08 Kyambogo-Spear Motors'!C85)</f>
        <v>20</v>
      </c>
      <c r="D85" s="49">
        <f>AVERAGE('01.08 Kyambogo-Spear Motors'!D85,'03.08 Kyambogo-Spear Motors'!D85)</f>
        <v>1.5</v>
      </c>
      <c r="E85" s="49">
        <f>AVERAGE('01.08 Kyambogo-Spear Motors'!E85,'03.08 Kyambogo-Spear Motors'!E85)</f>
        <v>1.5</v>
      </c>
      <c r="F85" s="49">
        <f>AVERAGE('01.08 Kyambogo-Spear Motors'!F85,'03.08 Kyambogo-Spear Motors'!F85)</f>
        <v>4.5</v>
      </c>
      <c r="G85" s="49">
        <f>AVERAGE('01.08 Kyambogo-Spear Motors'!G85,'03.08 Kyambogo-Spear Motors'!G85)</f>
        <v>1</v>
      </c>
      <c r="H85" s="49">
        <f>AVERAGE('01.08 Kyambogo-Spear Motors'!H85,'03.08 Kyambogo-Spear Motors'!H85)</f>
        <v>1</v>
      </c>
      <c r="I85" s="49">
        <f>AVERAGE('01.08 Kyambogo-Spear Motors'!I85,'03.08 Kyambogo-Spear Motors'!I85)</f>
        <v>3</v>
      </c>
      <c r="J85" s="49">
        <f>AVERAGE('01.08 Kyambogo-Spear Motors'!J85,'03.08 Kyambogo-Spear Motors'!J85)</f>
        <v>2.5</v>
      </c>
      <c r="K85" s="49">
        <f>AVERAGE('01.08 Kyambogo-Spear Motors'!K85,'03.08 Kyambogo-Spear Motors'!K85)</f>
        <v>0</v>
      </c>
      <c r="L85" s="49">
        <f>AVERAGE('01.08 Kyambogo-Spear Motors'!L85,'03.08 Kyambogo-Spear Motors'!L85)</f>
        <v>1.5</v>
      </c>
      <c r="M85" s="49">
        <f>AVERAGE('01.08 Kyambogo-Spear Motors'!M85,'03.08 Kyambogo-Spear Motors'!M85)</f>
        <v>125.5</v>
      </c>
      <c r="N85" s="49">
        <f>AVERAGE('01.08 Kyambogo-Spear Motors'!N85,'03.08 Kyambogo-Spear Motors'!N85)</f>
        <v>0</v>
      </c>
      <c r="O85" s="49">
        <f>AVERAGE('01.08 Kyambogo-Spear Motors'!O85,'03.08 Kyambogo-Spear Motors'!O85)</f>
        <v>36.5</v>
      </c>
      <c r="P85" s="49">
        <f>AVERAGE('01.08 Kyambogo-Spear Motors'!P85,'03.08 Kyambogo-Spear Motors'!P85)</f>
        <v>162</v>
      </c>
      <c r="R85" s="8"/>
      <c r="T85"/>
    </row>
    <row r="86" spans="2:20" ht="23.1" customHeight="1" x14ac:dyDescent="0.25">
      <c r="B86" s="24" t="s">
        <v>126</v>
      </c>
      <c r="C86" s="49">
        <f>AVERAGE('01.08 Kyambogo-Spear Motors'!C86,'03.08 Kyambogo-Spear Motors'!C86)</f>
        <v>14.5</v>
      </c>
      <c r="D86" s="49">
        <f>AVERAGE('01.08 Kyambogo-Spear Motors'!D86,'03.08 Kyambogo-Spear Motors'!D86)</f>
        <v>1</v>
      </c>
      <c r="E86" s="49">
        <f>AVERAGE('01.08 Kyambogo-Spear Motors'!E86,'03.08 Kyambogo-Spear Motors'!E86)</f>
        <v>2.5</v>
      </c>
      <c r="F86" s="49">
        <f>AVERAGE('01.08 Kyambogo-Spear Motors'!F86,'03.08 Kyambogo-Spear Motors'!F86)</f>
        <v>6.5</v>
      </c>
      <c r="G86" s="49">
        <f>AVERAGE('01.08 Kyambogo-Spear Motors'!G86,'03.08 Kyambogo-Spear Motors'!G86)</f>
        <v>0.5</v>
      </c>
      <c r="H86" s="49">
        <f>AVERAGE('01.08 Kyambogo-Spear Motors'!H86,'03.08 Kyambogo-Spear Motors'!H86)</f>
        <v>0.5</v>
      </c>
      <c r="I86" s="49">
        <f>AVERAGE('01.08 Kyambogo-Spear Motors'!I86,'03.08 Kyambogo-Spear Motors'!I86)</f>
        <v>6</v>
      </c>
      <c r="J86" s="49">
        <f>AVERAGE('01.08 Kyambogo-Spear Motors'!J86,'03.08 Kyambogo-Spear Motors'!J86)</f>
        <v>4.5</v>
      </c>
      <c r="K86" s="49">
        <f>AVERAGE('01.08 Kyambogo-Spear Motors'!K86,'03.08 Kyambogo-Spear Motors'!K86)</f>
        <v>0</v>
      </c>
      <c r="L86" s="49">
        <f>AVERAGE('01.08 Kyambogo-Spear Motors'!L86,'03.08 Kyambogo-Spear Motors'!L86)</f>
        <v>1.5</v>
      </c>
      <c r="M86" s="49">
        <f>AVERAGE('01.08 Kyambogo-Spear Motors'!M86,'03.08 Kyambogo-Spear Motors'!M86)</f>
        <v>141</v>
      </c>
      <c r="N86" s="49">
        <f>AVERAGE('01.08 Kyambogo-Spear Motors'!N86,'03.08 Kyambogo-Spear Motors'!N86)</f>
        <v>0</v>
      </c>
      <c r="O86" s="49">
        <f>AVERAGE('01.08 Kyambogo-Spear Motors'!O86,'03.08 Kyambogo-Spear Motors'!O86)</f>
        <v>37.5</v>
      </c>
      <c r="P86" s="49">
        <f>AVERAGE('01.08 Kyambogo-Spear Motors'!P86,'03.08 Kyambogo-Spear Motors'!P86)</f>
        <v>178.5</v>
      </c>
      <c r="R86" s="8"/>
      <c r="T86"/>
    </row>
    <row r="87" spans="2:20" ht="23.1" customHeight="1" x14ac:dyDescent="0.25">
      <c r="B87" s="23" t="s">
        <v>127</v>
      </c>
      <c r="C87" s="49">
        <f>AVERAGE('01.08 Kyambogo-Spear Motors'!C87,'03.08 Kyambogo-Spear Motors'!C87)</f>
        <v>23.5</v>
      </c>
      <c r="D87" s="49">
        <f>AVERAGE('01.08 Kyambogo-Spear Motors'!D87,'03.08 Kyambogo-Spear Motors'!D87)</f>
        <v>4.5</v>
      </c>
      <c r="E87" s="49">
        <f>AVERAGE('01.08 Kyambogo-Spear Motors'!E87,'03.08 Kyambogo-Spear Motors'!E87)</f>
        <v>2.5</v>
      </c>
      <c r="F87" s="49">
        <f>AVERAGE('01.08 Kyambogo-Spear Motors'!F87,'03.08 Kyambogo-Spear Motors'!F87)</f>
        <v>38</v>
      </c>
      <c r="G87" s="49">
        <f>AVERAGE('01.08 Kyambogo-Spear Motors'!G87,'03.08 Kyambogo-Spear Motors'!G87)</f>
        <v>0</v>
      </c>
      <c r="H87" s="49">
        <f>AVERAGE('01.08 Kyambogo-Spear Motors'!H87,'03.08 Kyambogo-Spear Motors'!H87)</f>
        <v>2</v>
      </c>
      <c r="I87" s="49">
        <f>AVERAGE('01.08 Kyambogo-Spear Motors'!I87,'03.08 Kyambogo-Spear Motors'!I87)</f>
        <v>2</v>
      </c>
      <c r="J87" s="49">
        <f>AVERAGE('01.08 Kyambogo-Spear Motors'!J87,'03.08 Kyambogo-Spear Motors'!J87)</f>
        <v>1.5</v>
      </c>
      <c r="K87" s="49">
        <f>AVERAGE('01.08 Kyambogo-Spear Motors'!K87,'03.08 Kyambogo-Spear Motors'!K87)</f>
        <v>0.5</v>
      </c>
      <c r="L87" s="49">
        <f>AVERAGE('01.08 Kyambogo-Spear Motors'!L87,'03.08 Kyambogo-Spear Motors'!L87)</f>
        <v>2</v>
      </c>
      <c r="M87" s="49">
        <f>AVERAGE('01.08 Kyambogo-Spear Motors'!M87,'03.08 Kyambogo-Spear Motors'!M87)</f>
        <v>136</v>
      </c>
      <c r="N87" s="49">
        <f>AVERAGE('01.08 Kyambogo-Spear Motors'!N87,'03.08 Kyambogo-Spear Motors'!N87)</f>
        <v>0</v>
      </c>
      <c r="O87" s="49">
        <f>AVERAGE('01.08 Kyambogo-Spear Motors'!O87,'03.08 Kyambogo-Spear Motors'!O87)</f>
        <v>76.5</v>
      </c>
      <c r="P87" s="49">
        <f>AVERAGE('01.08 Kyambogo-Spear Motors'!P87,'03.08 Kyambogo-Spear Motors'!P87)</f>
        <v>212.5</v>
      </c>
      <c r="R87" s="8"/>
      <c r="T87"/>
    </row>
    <row r="88" spans="2:20" ht="23.1" customHeight="1" x14ac:dyDescent="0.25">
      <c r="B88" s="25" t="s">
        <v>128</v>
      </c>
      <c r="C88" s="49">
        <f>AVERAGE('01.08 Kyambogo-Spear Motors'!C88,'03.08 Kyambogo-Spear Motors'!C88)</f>
        <v>14</v>
      </c>
      <c r="D88" s="49">
        <f>AVERAGE('01.08 Kyambogo-Spear Motors'!D88,'03.08 Kyambogo-Spear Motors'!D88)</f>
        <v>2</v>
      </c>
      <c r="E88" s="49">
        <f>AVERAGE('01.08 Kyambogo-Spear Motors'!E88,'03.08 Kyambogo-Spear Motors'!E88)</f>
        <v>1.5</v>
      </c>
      <c r="F88" s="49">
        <f>AVERAGE('01.08 Kyambogo-Spear Motors'!F88,'03.08 Kyambogo-Spear Motors'!F88)</f>
        <v>4.5</v>
      </c>
      <c r="G88" s="49">
        <f>AVERAGE('01.08 Kyambogo-Spear Motors'!G88,'03.08 Kyambogo-Spear Motors'!G88)</f>
        <v>1</v>
      </c>
      <c r="H88" s="49">
        <f>AVERAGE('01.08 Kyambogo-Spear Motors'!H88,'03.08 Kyambogo-Spear Motors'!H88)</f>
        <v>1.5</v>
      </c>
      <c r="I88" s="49">
        <f>AVERAGE('01.08 Kyambogo-Spear Motors'!I88,'03.08 Kyambogo-Spear Motors'!I88)</f>
        <v>1</v>
      </c>
      <c r="J88" s="49">
        <f>AVERAGE('01.08 Kyambogo-Spear Motors'!J88,'03.08 Kyambogo-Spear Motors'!J88)</f>
        <v>1.5</v>
      </c>
      <c r="K88" s="49">
        <f>AVERAGE('01.08 Kyambogo-Spear Motors'!K88,'03.08 Kyambogo-Spear Motors'!K88)</f>
        <v>1.5</v>
      </c>
      <c r="L88" s="49">
        <f>AVERAGE('01.08 Kyambogo-Spear Motors'!L88,'03.08 Kyambogo-Spear Motors'!L88)</f>
        <v>0.5</v>
      </c>
      <c r="M88" s="49">
        <f>AVERAGE('01.08 Kyambogo-Spear Motors'!M88,'03.08 Kyambogo-Spear Motors'!M88)</f>
        <v>181</v>
      </c>
      <c r="N88" s="49">
        <f>AVERAGE('01.08 Kyambogo-Spear Motors'!N88,'03.08 Kyambogo-Spear Motors'!N88)</f>
        <v>0</v>
      </c>
      <c r="O88" s="49">
        <f>AVERAGE('01.08 Kyambogo-Spear Motors'!O88,'03.08 Kyambogo-Spear Motors'!O88)</f>
        <v>29</v>
      </c>
      <c r="P88" s="49">
        <f>AVERAGE('01.08 Kyambogo-Spear Motors'!P88,'03.08 Kyambogo-Spear Motors'!P88)</f>
        <v>210</v>
      </c>
      <c r="R88" s="8"/>
      <c r="T88"/>
    </row>
    <row r="89" spans="2:20" ht="23.1" customHeight="1" x14ac:dyDescent="0.25">
      <c r="B89" s="23" t="s">
        <v>129</v>
      </c>
      <c r="C89" s="49">
        <f>AVERAGE('01.08 Kyambogo-Spear Motors'!C89,'03.08 Kyambogo-Spear Motors'!C89)</f>
        <v>15</v>
      </c>
      <c r="D89" s="49">
        <f>AVERAGE('01.08 Kyambogo-Spear Motors'!D89,'03.08 Kyambogo-Spear Motors'!D89)</f>
        <v>2</v>
      </c>
      <c r="E89" s="49">
        <f>AVERAGE('01.08 Kyambogo-Spear Motors'!E89,'03.08 Kyambogo-Spear Motors'!E89)</f>
        <v>2</v>
      </c>
      <c r="F89" s="49">
        <f>AVERAGE('01.08 Kyambogo-Spear Motors'!F89,'03.08 Kyambogo-Spear Motors'!F89)</f>
        <v>3.5</v>
      </c>
      <c r="G89" s="49">
        <f>AVERAGE('01.08 Kyambogo-Spear Motors'!G89,'03.08 Kyambogo-Spear Motors'!G89)</f>
        <v>0.5</v>
      </c>
      <c r="H89" s="49">
        <f>AVERAGE('01.08 Kyambogo-Spear Motors'!H89,'03.08 Kyambogo-Spear Motors'!H89)</f>
        <v>0</v>
      </c>
      <c r="I89" s="49">
        <f>AVERAGE('01.08 Kyambogo-Spear Motors'!I89,'03.08 Kyambogo-Spear Motors'!I89)</f>
        <v>4</v>
      </c>
      <c r="J89" s="49">
        <f>AVERAGE('01.08 Kyambogo-Spear Motors'!J89,'03.08 Kyambogo-Spear Motors'!J89)</f>
        <v>3.5</v>
      </c>
      <c r="K89" s="49">
        <f>AVERAGE('01.08 Kyambogo-Spear Motors'!K89,'03.08 Kyambogo-Spear Motors'!K89)</f>
        <v>1.5</v>
      </c>
      <c r="L89" s="49">
        <f>AVERAGE('01.08 Kyambogo-Spear Motors'!L89,'03.08 Kyambogo-Spear Motors'!L89)</f>
        <v>0</v>
      </c>
      <c r="M89" s="49">
        <f>AVERAGE('01.08 Kyambogo-Spear Motors'!M89,'03.08 Kyambogo-Spear Motors'!M89)</f>
        <v>178</v>
      </c>
      <c r="N89" s="49">
        <f>AVERAGE('01.08 Kyambogo-Spear Motors'!N89,'03.08 Kyambogo-Spear Motors'!N89)</f>
        <v>0</v>
      </c>
      <c r="O89" s="49">
        <f>AVERAGE('01.08 Kyambogo-Spear Motors'!O89,'03.08 Kyambogo-Spear Motors'!O89)</f>
        <v>32</v>
      </c>
      <c r="P89" s="49">
        <f>AVERAGE('01.08 Kyambogo-Spear Motors'!P89,'03.08 Kyambogo-Spear Motors'!P89)</f>
        <v>210</v>
      </c>
      <c r="R89" s="8"/>
      <c r="T89"/>
    </row>
    <row r="90" spans="2:20" ht="23.1" customHeight="1" x14ac:dyDescent="0.25">
      <c r="B90" s="24" t="s">
        <v>130</v>
      </c>
      <c r="C90" s="49">
        <f>AVERAGE('01.08 Kyambogo-Spear Motors'!C90,'03.08 Kyambogo-Spear Motors'!C90)</f>
        <v>11.5</v>
      </c>
      <c r="D90" s="49">
        <f>AVERAGE('01.08 Kyambogo-Spear Motors'!D90,'03.08 Kyambogo-Spear Motors'!D90)</f>
        <v>1.5</v>
      </c>
      <c r="E90" s="49">
        <f>AVERAGE('01.08 Kyambogo-Spear Motors'!E90,'03.08 Kyambogo-Spear Motors'!E90)</f>
        <v>3.5</v>
      </c>
      <c r="F90" s="49">
        <f>AVERAGE('01.08 Kyambogo-Spear Motors'!F90,'03.08 Kyambogo-Spear Motors'!F90)</f>
        <v>4</v>
      </c>
      <c r="G90" s="49">
        <f>AVERAGE('01.08 Kyambogo-Spear Motors'!G90,'03.08 Kyambogo-Spear Motors'!G90)</f>
        <v>0</v>
      </c>
      <c r="H90" s="49">
        <f>AVERAGE('01.08 Kyambogo-Spear Motors'!H90,'03.08 Kyambogo-Spear Motors'!H90)</f>
        <v>0.5</v>
      </c>
      <c r="I90" s="49">
        <f>AVERAGE('01.08 Kyambogo-Spear Motors'!I90,'03.08 Kyambogo-Spear Motors'!I90)</f>
        <v>2</v>
      </c>
      <c r="J90" s="49">
        <f>AVERAGE('01.08 Kyambogo-Spear Motors'!J90,'03.08 Kyambogo-Spear Motors'!J90)</f>
        <v>4</v>
      </c>
      <c r="K90" s="49">
        <f>AVERAGE('01.08 Kyambogo-Spear Motors'!K90,'03.08 Kyambogo-Spear Motors'!K90)</f>
        <v>0</v>
      </c>
      <c r="L90" s="49">
        <f>AVERAGE('01.08 Kyambogo-Spear Motors'!L90,'03.08 Kyambogo-Spear Motors'!L90)</f>
        <v>2.5</v>
      </c>
      <c r="M90" s="49">
        <f>AVERAGE('01.08 Kyambogo-Spear Motors'!M90,'03.08 Kyambogo-Spear Motors'!M90)</f>
        <v>175</v>
      </c>
      <c r="N90" s="49">
        <f>AVERAGE('01.08 Kyambogo-Spear Motors'!N90,'03.08 Kyambogo-Spear Motors'!N90)</f>
        <v>0</v>
      </c>
      <c r="O90" s="49">
        <f>AVERAGE('01.08 Kyambogo-Spear Motors'!O90,'03.08 Kyambogo-Spear Motors'!O90)</f>
        <v>29.5</v>
      </c>
      <c r="P90" s="49">
        <f>AVERAGE('01.08 Kyambogo-Spear Motors'!P90,'03.08 Kyambogo-Spear Motors'!P90)</f>
        <v>204.5</v>
      </c>
      <c r="R90" s="8"/>
      <c r="T90"/>
    </row>
    <row r="91" spans="2:20" ht="23.1" customHeight="1" x14ac:dyDescent="0.25">
      <c r="B91" s="23" t="s">
        <v>131</v>
      </c>
      <c r="C91" s="49">
        <f>AVERAGE('01.08 Kyambogo-Spear Motors'!C91,'03.08 Kyambogo-Spear Motors'!C91)</f>
        <v>13.5</v>
      </c>
      <c r="D91" s="49">
        <f>AVERAGE('01.08 Kyambogo-Spear Motors'!D91,'03.08 Kyambogo-Spear Motors'!D91)</f>
        <v>0.5</v>
      </c>
      <c r="E91" s="49">
        <f>AVERAGE('01.08 Kyambogo-Spear Motors'!E91,'03.08 Kyambogo-Spear Motors'!E91)</f>
        <v>3.5</v>
      </c>
      <c r="F91" s="49">
        <f>AVERAGE('01.08 Kyambogo-Spear Motors'!F91,'03.08 Kyambogo-Spear Motors'!F91)</f>
        <v>3.5</v>
      </c>
      <c r="G91" s="49">
        <f>AVERAGE('01.08 Kyambogo-Spear Motors'!G91,'03.08 Kyambogo-Spear Motors'!G91)</f>
        <v>1</v>
      </c>
      <c r="H91" s="49">
        <f>AVERAGE('01.08 Kyambogo-Spear Motors'!H91,'03.08 Kyambogo-Spear Motors'!H91)</f>
        <v>2</v>
      </c>
      <c r="I91" s="49">
        <f>AVERAGE('01.08 Kyambogo-Spear Motors'!I91,'03.08 Kyambogo-Spear Motors'!I91)</f>
        <v>5.5</v>
      </c>
      <c r="J91" s="49">
        <f>AVERAGE('01.08 Kyambogo-Spear Motors'!J91,'03.08 Kyambogo-Spear Motors'!J91)</f>
        <v>3</v>
      </c>
      <c r="K91" s="49">
        <f>AVERAGE('01.08 Kyambogo-Spear Motors'!K91,'03.08 Kyambogo-Spear Motors'!K91)</f>
        <v>1</v>
      </c>
      <c r="L91" s="49">
        <f>AVERAGE('01.08 Kyambogo-Spear Motors'!L91,'03.08 Kyambogo-Spear Motors'!L91)</f>
        <v>4</v>
      </c>
      <c r="M91" s="49">
        <f>AVERAGE('01.08 Kyambogo-Spear Motors'!M91,'03.08 Kyambogo-Spear Motors'!M91)</f>
        <v>125</v>
      </c>
      <c r="N91" s="49">
        <f>AVERAGE('01.08 Kyambogo-Spear Motors'!N91,'03.08 Kyambogo-Spear Motors'!N91)</f>
        <v>0</v>
      </c>
      <c r="O91" s="49">
        <f>AVERAGE('01.08 Kyambogo-Spear Motors'!O91,'03.08 Kyambogo-Spear Motors'!O91)</f>
        <v>37.5</v>
      </c>
      <c r="P91" s="49">
        <f>AVERAGE('01.08 Kyambogo-Spear Motors'!P91,'03.08 Kyambogo-Spear Motors'!P91)</f>
        <v>162.5</v>
      </c>
      <c r="R91" s="8"/>
      <c r="T91"/>
    </row>
    <row r="92" spans="2:20" ht="23.1" customHeight="1" x14ac:dyDescent="0.25">
      <c r="B92" s="25" t="s">
        <v>132</v>
      </c>
      <c r="C92" s="49">
        <f>AVERAGE('01.08 Kyambogo-Spear Motors'!C92,'03.08 Kyambogo-Spear Motors'!C92)</f>
        <v>14</v>
      </c>
      <c r="D92" s="49">
        <f>AVERAGE('01.08 Kyambogo-Spear Motors'!D92,'03.08 Kyambogo-Spear Motors'!D92)</f>
        <v>1.5</v>
      </c>
      <c r="E92" s="49">
        <f>AVERAGE('01.08 Kyambogo-Spear Motors'!E92,'03.08 Kyambogo-Spear Motors'!E92)</f>
        <v>0.5</v>
      </c>
      <c r="F92" s="49">
        <f>AVERAGE('01.08 Kyambogo-Spear Motors'!F92,'03.08 Kyambogo-Spear Motors'!F92)</f>
        <v>3.5</v>
      </c>
      <c r="G92" s="49">
        <f>AVERAGE('01.08 Kyambogo-Spear Motors'!G92,'03.08 Kyambogo-Spear Motors'!G92)</f>
        <v>0</v>
      </c>
      <c r="H92" s="49">
        <f>AVERAGE('01.08 Kyambogo-Spear Motors'!H92,'03.08 Kyambogo-Spear Motors'!H92)</f>
        <v>0</v>
      </c>
      <c r="I92" s="49">
        <f>AVERAGE('01.08 Kyambogo-Spear Motors'!I92,'03.08 Kyambogo-Spear Motors'!I92)</f>
        <v>1.5</v>
      </c>
      <c r="J92" s="49">
        <f>AVERAGE('01.08 Kyambogo-Spear Motors'!J92,'03.08 Kyambogo-Spear Motors'!J92)</f>
        <v>2</v>
      </c>
      <c r="K92" s="49">
        <f>AVERAGE('01.08 Kyambogo-Spear Motors'!K92,'03.08 Kyambogo-Spear Motors'!K92)</f>
        <v>1</v>
      </c>
      <c r="L92" s="49">
        <f>AVERAGE('01.08 Kyambogo-Spear Motors'!L92,'03.08 Kyambogo-Spear Motors'!L92)</f>
        <v>2</v>
      </c>
      <c r="M92" s="49">
        <f>AVERAGE('01.08 Kyambogo-Spear Motors'!M92,'03.08 Kyambogo-Spear Motors'!M92)</f>
        <v>153.5</v>
      </c>
      <c r="N92" s="49">
        <f>AVERAGE('01.08 Kyambogo-Spear Motors'!N92,'03.08 Kyambogo-Spear Motors'!N92)</f>
        <v>0</v>
      </c>
      <c r="O92" s="49">
        <f>AVERAGE('01.08 Kyambogo-Spear Motors'!O92,'03.08 Kyambogo-Spear Motors'!O92)</f>
        <v>26</v>
      </c>
      <c r="P92" s="49">
        <f>AVERAGE('01.08 Kyambogo-Spear Motors'!P92,'03.08 Kyambogo-Spear Motors'!P92)</f>
        <v>179.5</v>
      </c>
      <c r="R92" s="8"/>
      <c r="T92"/>
    </row>
    <row r="93" spans="2:20" ht="23.1" customHeight="1" x14ac:dyDescent="0.25">
      <c r="B93" s="23" t="s">
        <v>133</v>
      </c>
      <c r="C93" s="49">
        <f>AVERAGE('01.08 Kyambogo-Spear Motors'!C93,'03.08 Kyambogo-Spear Motors'!C93)</f>
        <v>9.5</v>
      </c>
      <c r="D93" s="49">
        <f>AVERAGE('01.08 Kyambogo-Spear Motors'!D93,'03.08 Kyambogo-Spear Motors'!D93)</f>
        <v>0.5</v>
      </c>
      <c r="E93" s="49">
        <f>AVERAGE('01.08 Kyambogo-Spear Motors'!E93,'03.08 Kyambogo-Spear Motors'!E93)</f>
        <v>1.5</v>
      </c>
      <c r="F93" s="49">
        <f>AVERAGE('01.08 Kyambogo-Spear Motors'!F93,'03.08 Kyambogo-Spear Motors'!F93)</f>
        <v>7.5</v>
      </c>
      <c r="G93" s="49">
        <f>AVERAGE('01.08 Kyambogo-Spear Motors'!G93,'03.08 Kyambogo-Spear Motors'!G93)</f>
        <v>0</v>
      </c>
      <c r="H93" s="49">
        <f>AVERAGE('01.08 Kyambogo-Spear Motors'!H93,'03.08 Kyambogo-Spear Motors'!H93)</f>
        <v>0</v>
      </c>
      <c r="I93" s="49">
        <f>AVERAGE('01.08 Kyambogo-Spear Motors'!I93,'03.08 Kyambogo-Spear Motors'!I93)</f>
        <v>3</v>
      </c>
      <c r="J93" s="49">
        <f>AVERAGE('01.08 Kyambogo-Spear Motors'!J93,'03.08 Kyambogo-Spear Motors'!J93)</f>
        <v>2.5</v>
      </c>
      <c r="K93" s="49">
        <f>AVERAGE('01.08 Kyambogo-Spear Motors'!K93,'03.08 Kyambogo-Spear Motors'!K93)</f>
        <v>0.5</v>
      </c>
      <c r="L93" s="49">
        <f>AVERAGE('01.08 Kyambogo-Spear Motors'!L93,'03.08 Kyambogo-Spear Motors'!L93)</f>
        <v>2.5</v>
      </c>
      <c r="M93" s="49">
        <f>AVERAGE('01.08 Kyambogo-Spear Motors'!M93,'03.08 Kyambogo-Spear Motors'!M93)</f>
        <v>135</v>
      </c>
      <c r="N93" s="49">
        <f>AVERAGE('01.08 Kyambogo-Spear Motors'!N93,'03.08 Kyambogo-Spear Motors'!N93)</f>
        <v>0</v>
      </c>
      <c r="O93" s="49">
        <f>AVERAGE('01.08 Kyambogo-Spear Motors'!O93,'03.08 Kyambogo-Spear Motors'!O93)</f>
        <v>27.5</v>
      </c>
      <c r="P93" s="49">
        <f>AVERAGE('01.08 Kyambogo-Spear Motors'!P93,'03.08 Kyambogo-Spear Motors'!P93)</f>
        <v>162.5</v>
      </c>
      <c r="R93" s="8"/>
      <c r="T93"/>
    </row>
    <row r="94" spans="2:20" ht="23.1" customHeight="1" x14ac:dyDescent="0.25">
      <c r="B94" s="24" t="s">
        <v>134</v>
      </c>
      <c r="C94" s="49">
        <f>AVERAGE('01.08 Kyambogo-Spear Motors'!C94,'03.08 Kyambogo-Spear Motors'!C94)</f>
        <v>7.5</v>
      </c>
      <c r="D94" s="49">
        <f>AVERAGE('01.08 Kyambogo-Spear Motors'!D94,'03.08 Kyambogo-Spear Motors'!D94)</f>
        <v>2</v>
      </c>
      <c r="E94" s="49">
        <f>AVERAGE('01.08 Kyambogo-Spear Motors'!E94,'03.08 Kyambogo-Spear Motors'!E94)</f>
        <v>2</v>
      </c>
      <c r="F94" s="49">
        <f>AVERAGE('01.08 Kyambogo-Spear Motors'!F94,'03.08 Kyambogo-Spear Motors'!F94)</f>
        <v>8.5</v>
      </c>
      <c r="G94" s="49">
        <f>AVERAGE('01.08 Kyambogo-Spear Motors'!G94,'03.08 Kyambogo-Spear Motors'!G94)</f>
        <v>0</v>
      </c>
      <c r="H94" s="49">
        <f>AVERAGE('01.08 Kyambogo-Spear Motors'!H94,'03.08 Kyambogo-Spear Motors'!H94)</f>
        <v>1</v>
      </c>
      <c r="I94" s="49">
        <f>AVERAGE('01.08 Kyambogo-Spear Motors'!I94,'03.08 Kyambogo-Spear Motors'!I94)</f>
        <v>3.5</v>
      </c>
      <c r="J94" s="49">
        <f>AVERAGE('01.08 Kyambogo-Spear Motors'!J94,'03.08 Kyambogo-Spear Motors'!J94)</f>
        <v>2</v>
      </c>
      <c r="K94" s="49">
        <f>AVERAGE('01.08 Kyambogo-Spear Motors'!K94,'03.08 Kyambogo-Spear Motors'!K94)</f>
        <v>0</v>
      </c>
      <c r="L94" s="49">
        <f>AVERAGE('01.08 Kyambogo-Spear Motors'!L94,'03.08 Kyambogo-Spear Motors'!L94)</f>
        <v>0.5</v>
      </c>
      <c r="M94" s="49">
        <f>AVERAGE('01.08 Kyambogo-Spear Motors'!M94,'03.08 Kyambogo-Spear Motors'!M94)</f>
        <v>119</v>
      </c>
      <c r="N94" s="49">
        <f>AVERAGE('01.08 Kyambogo-Spear Motors'!N94,'03.08 Kyambogo-Spear Motors'!N94)</f>
        <v>0</v>
      </c>
      <c r="O94" s="49">
        <f>AVERAGE('01.08 Kyambogo-Spear Motors'!O94,'03.08 Kyambogo-Spear Motors'!O94)</f>
        <v>27</v>
      </c>
      <c r="P94" s="49">
        <f>AVERAGE('01.08 Kyambogo-Spear Motors'!P94,'03.08 Kyambogo-Spear Motors'!P94)</f>
        <v>146</v>
      </c>
      <c r="R94" s="8"/>
      <c r="T94"/>
    </row>
    <row r="95" spans="2:20" ht="23.1" customHeight="1" x14ac:dyDescent="0.25">
      <c r="B95" s="23" t="s">
        <v>135</v>
      </c>
      <c r="C95" s="49">
        <f>AVERAGE('01.08 Kyambogo-Spear Motors'!C95,'03.08 Kyambogo-Spear Motors'!C95)</f>
        <v>14.5</v>
      </c>
      <c r="D95" s="49">
        <f>AVERAGE('01.08 Kyambogo-Spear Motors'!D95,'03.08 Kyambogo-Spear Motors'!D95)</f>
        <v>1.5</v>
      </c>
      <c r="E95" s="49">
        <f>AVERAGE('01.08 Kyambogo-Spear Motors'!E95,'03.08 Kyambogo-Spear Motors'!E95)</f>
        <v>4</v>
      </c>
      <c r="F95" s="49">
        <f>AVERAGE('01.08 Kyambogo-Spear Motors'!F95,'03.08 Kyambogo-Spear Motors'!F95)</f>
        <v>9.5</v>
      </c>
      <c r="G95" s="49">
        <f>AVERAGE('01.08 Kyambogo-Spear Motors'!G95,'03.08 Kyambogo-Spear Motors'!G95)</f>
        <v>1</v>
      </c>
      <c r="H95" s="49">
        <f>AVERAGE('01.08 Kyambogo-Spear Motors'!H95,'03.08 Kyambogo-Spear Motors'!H95)</f>
        <v>0.5</v>
      </c>
      <c r="I95" s="49">
        <f>AVERAGE('01.08 Kyambogo-Spear Motors'!I95,'03.08 Kyambogo-Spear Motors'!I95)</f>
        <v>6</v>
      </c>
      <c r="J95" s="49">
        <f>AVERAGE('01.08 Kyambogo-Spear Motors'!J95,'03.08 Kyambogo-Spear Motors'!J95)</f>
        <v>3</v>
      </c>
      <c r="K95" s="49">
        <f>AVERAGE('01.08 Kyambogo-Spear Motors'!K95,'03.08 Kyambogo-Spear Motors'!K95)</f>
        <v>0</v>
      </c>
      <c r="L95" s="49">
        <f>AVERAGE('01.08 Kyambogo-Spear Motors'!L95,'03.08 Kyambogo-Spear Motors'!L95)</f>
        <v>2.5</v>
      </c>
      <c r="M95" s="49">
        <f>AVERAGE('01.08 Kyambogo-Spear Motors'!M95,'03.08 Kyambogo-Spear Motors'!M95)</f>
        <v>149.5</v>
      </c>
      <c r="N95" s="49">
        <f>AVERAGE('01.08 Kyambogo-Spear Motors'!N95,'03.08 Kyambogo-Spear Motors'!N95)</f>
        <v>0</v>
      </c>
      <c r="O95" s="49">
        <f>AVERAGE('01.08 Kyambogo-Spear Motors'!O95,'03.08 Kyambogo-Spear Motors'!O95)</f>
        <v>42.5</v>
      </c>
      <c r="P95" s="49">
        <f>AVERAGE('01.08 Kyambogo-Spear Motors'!P95,'03.08 Kyambogo-Spear Motors'!P95)</f>
        <v>192</v>
      </c>
      <c r="R95" s="8"/>
      <c r="T95"/>
    </row>
    <row r="96" spans="2:20" ht="23.1" customHeight="1" x14ac:dyDescent="0.25">
      <c r="B96" s="25" t="s">
        <v>136</v>
      </c>
      <c r="C96" s="49">
        <f>AVERAGE('01.08 Kyambogo-Spear Motors'!C96,'03.08 Kyambogo-Spear Motors'!C96)</f>
        <v>14.5</v>
      </c>
      <c r="D96" s="49">
        <f>AVERAGE('01.08 Kyambogo-Spear Motors'!D96,'03.08 Kyambogo-Spear Motors'!D96)</f>
        <v>2.5</v>
      </c>
      <c r="E96" s="49">
        <f>AVERAGE('01.08 Kyambogo-Spear Motors'!E96,'03.08 Kyambogo-Spear Motors'!E96)</f>
        <v>0.5</v>
      </c>
      <c r="F96" s="49">
        <f>AVERAGE('01.08 Kyambogo-Spear Motors'!F96,'03.08 Kyambogo-Spear Motors'!F96)</f>
        <v>11.5</v>
      </c>
      <c r="G96" s="49">
        <f>AVERAGE('01.08 Kyambogo-Spear Motors'!G96,'03.08 Kyambogo-Spear Motors'!G96)</f>
        <v>1.5</v>
      </c>
      <c r="H96" s="49">
        <f>AVERAGE('01.08 Kyambogo-Spear Motors'!H96,'03.08 Kyambogo-Spear Motors'!H96)</f>
        <v>1.5</v>
      </c>
      <c r="I96" s="49">
        <f>AVERAGE('01.08 Kyambogo-Spear Motors'!I96,'03.08 Kyambogo-Spear Motors'!I96)</f>
        <v>3.5</v>
      </c>
      <c r="J96" s="49">
        <f>AVERAGE('01.08 Kyambogo-Spear Motors'!J96,'03.08 Kyambogo-Spear Motors'!J96)</f>
        <v>2.5</v>
      </c>
      <c r="K96" s="49">
        <f>AVERAGE('01.08 Kyambogo-Spear Motors'!K96,'03.08 Kyambogo-Spear Motors'!K96)</f>
        <v>0</v>
      </c>
      <c r="L96" s="49">
        <f>AVERAGE('01.08 Kyambogo-Spear Motors'!L96,'03.08 Kyambogo-Spear Motors'!L96)</f>
        <v>2.5</v>
      </c>
      <c r="M96" s="49">
        <f>AVERAGE('01.08 Kyambogo-Spear Motors'!M96,'03.08 Kyambogo-Spear Motors'!M96)</f>
        <v>133.5</v>
      </c>
      <c r="N96" s="49">
        <f>AVERAGE('01.08 Kyambogo-Spear Motors'!N96,'03.08 Kyambogo-Spear Motors'!N96)</f>
        <v>0</v>
      </c>
      <c r="O96" s="49">
        <f>AVERAGE('01.08 Kyambogo-Spear Motors'!O96,'03.08 Kyambogo-Spear Motors'!O96)</f>
        <v>40.5</v>
      </c>
      <c r="P96" s="49">
        <f>AVERAGE('01.08 Kyambogo-Spear Motors'!P96,'03.08 Kyambogo-Spear Motors'!P96)</f>
        <v>174</v>
      </c>
      <c r="R96" s="8"/>
      <c r="T96"/>
    </row>
    <row r="97" spans="2:20" ht="23.1" customHeight="1" x14ac:dyDescent="0.25">
      <c r="B97" s="23" t="s">
        <v>137</v>
      </c>
      <c r="C97" s="49">
        <f>AVERAGE('01.08 Kyambogo-Spear Motors'!C97,'03.08 Kyambogo-Spear Motors'!C97)</f>
        <v>20.5</v>
      </c>
      <c r="D97" s="49">
        <f>AVERAGE('01.08 Kyambogo-Spear Motors'!D97,'03.08 Kyambogo-Spear Motors'!D97)</f>
        <v>0.5</v>
      </c>
      <c r="E97" s="49">
        <f>AVERAGE('01.08 Kyambogo-Spear Motors'!E97,'03.08 Kyambogo-Spear Motors'!E97)</f>
        <v>6.5</v>
      </c>
      <c r="F97" s="49">
        <f>AVERAGE('01.08 Kyambogo-Spear Motors'!F97,'03.08 Kyambogo-Spear Motors'!F97)</f>
        <v>11.5</v>
      </c>
      <c r="G97" s="49">
        <f>AVERAGE('01.08 Kyambogo-Spear Motors'!G97,'03.08 Kyambogo-Spear Motors'!G97)</f>
        <v>2.5</v>
      </c>
      <c r="H97" s="49">
        <f>AVERAGE('01.08 Kyambogo-Spear Motors'!H97,'03.08 Kyambogo-Spear Motors'!H97)</f>
        <v>0.5</v>
      </c>
      <c r="I97" s="49">
        <f>AVERAGE('01.08 Kyambogo-Spear Motors'!I97,'03.08 Kyambogo-Spear Motors'!I97)</f>
        <v>1.5</v>
      </c>
      <c r="J97" s="49">
        <f>AVERAGE('01.08 Kyambogo-Spear Motors'!J97,'03.08 Kyambogo-Spear Motors'!J97)</f>
        <v>1.5</v>
      </c>
      <c r="K97" s="49">
        <f>AVERAGE('01.08 Kyambogo-Spear Motors'!K97,'03.08 Kyambogo-Spear Motors'!K97)</f>
        <v>0.5</v>
      </c>
      <c r="L97" s="49">
        <f>AVERAGE('01.08 Kyambogo-Spear Motors'!L97,'03.08 Kyambogo-Spear Motors'!L97)</f>
        <v>0.5</v>
      </c>
      <c r="M97" s="49">
        <f>AVERAGE('01.08 Kyambogo-Spear Motors'!M97,'03.08 Kyambogo-Spear Motors'!M97)</f>
        <v>117</v>
      </c>
      <c r="N97" s="49">
        <f>AVERAGE('01.08 Kyambogo-Spear Motors'!N97,'03.08 Kyambogo-Spear Motors'!N97)</f>
        <v>0</v>
      </c>
      <c r="O97" s="49">
        <f>AVERAGE('01.08 Kyambogo-Spear Motors'!O97,'03.08 Kyambogo-Spear Motors'!O97)</f>
        <v>46</v>
      </c>
      <c r="P97" s="49">
        <f>AVERAGE('01.08 Kyambogo-Spear Motors'!P97,'03.08 Kyambogo-Spear Motors'!P97)</f>
        <v>163</v>
      </c>
      <c r="R97" s="8"/>
      <c r="T97"/>
    </row>
    <row r="98" spans="2:20" ht="23.1" customHeight="1" x14ac:dyDescent="0.25">
      <c r="B98" s="24" t="s">
        <v>138</v>
      </c>
      <c r="C98" s="49">
        <f>AVERAGE('01.08 Kyambogo-Spear Motors'!C98,'03.08 Kyambogo-Spear Motors'!C98)</f>
        <v>16</v>
      </c>
      <c r="D98" s="49">
        <f>AVERAGE('01.08 Kyambogo-Spear Motors'!D98,'03.08 Kyambogo-Spear Motors'!D98)</f>
        <v>1.5</v>
      </c>
      <c r="E98" s="49">
        <f>AVERAGE('01.08 Kyambogo-Spear Motors'!E98,'03.08 Kyambogo-Spear Motors'!E98)</f>
        <v>1.5</v>
      </c>
      <c r="F98" s="49">
        <f>AVERAGE('01.08 Kyambogo-Spear Motors'!F98,'03.08 Kyambogo-Spear Motors'!F98)</f>
        <v>14.5</v>
      </c>
      <c r="G98" s="49">
        <f>AVERAGE('01.08 Kyambogo-Spear Motors'!G98,'03.08 Kyambogo-Spear Motors'!G98)</f>
        <v>0.5</v>
      </c>
      <c r="H98" s="49">
        <f>AVERAGE('01.08 Kyambogo-Spear Motors'!H98,'03.08 Kyambogo-Spear Motors'!H98)</f>
        <v>1.5</v>
      </c>
      <c r="I98" s="49">
        <f>AVERAGE('01.08 Kyambogo-Spear Motors'!I98,'03.08 Kyambogo-Spear Motors'!I98)</f>
        <v>1</v>
      </c>
      <c r="J98" s="49">
        <f>AVERAGE('01.08 Kyambogo-Spear Motors'!J98,'03.08 Kyambogo-Spear Motors'!J98)</f>
        <v>1</v>
      </c>
      <c r="K98" s="49">
        <f>AVERAGE('01.08 Kyambogo-Spear Motors'!K98,'03.08 Kyambogo-Spear Motors'!K98)</f>
        <v>0.5</v>
      </c>
      <c r="L98" s="49">
        <f>AVERAGE('01.08 Kyambogo-Spear Motors'!L98,'03.08 Kyambogo-Spear Motors'!L98)</f>
        <v>2</v>
      </c>
      <c r="M98" s="49">
        <f>AVERAGE('01.08 Kyambogo-Spear Motors'!M98,'03.08 Kyambogo-Spear Motors'!M98)</f>
        <v>153.5</v>
      </c>
      <c r="N98" s="49">
        <f>AVERAGE('01.08 Kyambogo-Spear Motors'!N98,'03.08 Kyambogo-Spear Motors'!N98)</f>
        <v>0</v>
      </c>
      <c r="O98" s="49">
        <f>AVERAGE('01.08 Kyambogo-Spear Motors'!O98,'03.08 Kyambogo-Spear Motors'!O98)</f>
        <v>40</v>
      </c>
      <c r="P98" s="49">
        <f>AVERAGE('01.08 Kyambogo-Spear Motors'!P98,'03.08 Kyambogo-Spear Motors'!P98)</f>
        <v>193.5</v>
      </c>
      <c r="R98" s="8"/>
      <c r="T98"/>
    </row>
    <row r="99" spans="2:20" ht="23.1" customHeight="1" x14ac:dyDescent="0.25">
      <c r="B99" s="23" t="s">
        <v>139</v>
      </c>
      <c r="C99" s="49">
        <f>AVERAGE('01.08 Kyambogo-Spear Motors'!C99,'03.08 Kyambogo-Spear Motors'!C99)</f>
        <v>14.5</v>
      </c>
      <c r="D99" s="49">
        <f>AVERAGE('01.08 Kyambogo-Spear Motors'!D99,'03.08 Kyambogo-Spear Motors'!D99)</f>
        <v>1</v>
      </c>
      <c r="E99" s="49">
        <f>AVERAGE('01.08 Kyambogo-Spear Motors'!E99,'03.08 Kyambogo-Spear Motors'!E99)</f>
        <v>1.5</v>
      </c>
      <c r="F99" s="49">
        <f>AVERAGE('01.08 Kyambogo-Spear Motors'!F99,'03.08 Kyambogo-Spear Motors'!F99)</f>
        <v>18.5</v>
      </c>
      <c r="G99" s="49">
        <f>AVERAGE('01.08 Kyambogo-Spear Motors'!G99,'03.08 Kyambogo-Spear Motors'!G99)</f>
        <v>1.5</v>
      </c>
      <c r="H99" s="49">
        <f>AVERAGE('01.08 Kyambogo-Spear Motors'!H99,'03.08 Kyambogo-Spear Motors'!H99)</f>
        <v>1</v>
      </c>
      <c r="I99" s="49">
        <f>AVERAGE('01.08 Kyambogo-Spear Motors'!I99,'03.08 Kyambogo-Spear Motors'!I99)</f>
        <v>1</v>
      </c>
      <c r="J99" s="49">
        <f>AVERAGE('01.08 Kyambogo-Spear Motors'!J99,'03.08 Kyambogo-Spear Motors'!J99)</f>
        <v>3</v>
      </c>
      <c r="K99" s="49">
        <f>AVERAGE('01.08 Kyambogo-Spear Motors'!K99,'03.08 Kyambogo-Spear Motors'!K99)</f>
        <v>1.5</v>
      </c>
      <c r="L99" s="49">
        <f>AVERAGE('01.08 Kyambogo-Spear Motors'!L99,'03.08 Kyambogo-Spear Motors'!L99)</f>
        <v>4</v>
      </c>
      <c r="M99" s="49">
        <f>AVERAGE('01.08 Kyambogo-Spear Motors'!M99,'03.08 Kyambogo-Spear Motors'!M99)</f>
        <v>139.5</v>
      </c>
      <c r="N99" s="49">
        <f>AVERAGE('01.08 Kyambogo-Spear Motors'!N99,'03.08 Kyambogo-Spear Motors'!N99)</f>
        <v>0</v>
      </c>
      <c r="O99" s="49">
        <f>AVERAGE('01.08 Kyambogo-Spear Motors'!O99,'03.08 Kyambogo-Spear Motors'!O99)</f>
        <v>47.5</v>
      </c>
      <c r="P99" s="49">
        <f>AVERAGE('01.08 Kyambogo-Spear Motors'!P99,'03.08 Kyambogo-Spear Motors'!P99)</f>
        <v>187</v>
      </c>
      <c r="R99" s="8"/>
      <c r="T99"/>
    </row>
    <row r="100" spans="2:20" ht="23.1" customHeight="1" x14ac:dyDescent="0.25">
      <c r="B100" s="25" t="s">
        <v>140</v>
      </c>
      <c r="C100" s="49">
        <f>AVERAGE('01.08 Kyambogo-Spear Motors'!C100,'03.08 Kyambogo-Spear Motors'!C100)</f>
        <v>14</v>
      </c>
      <c r="D100" s="49">
        <f>AVERAGE('01.08 Kyambogo-Spear Motors'!D100,'03.08 Kyambogo-Spear Motors'!D100)</f>
        <v>0</v>
      </c>
      <c r="E100" s="49">
        <f>AVERAGE('01.08 Kyambogo-Spear Motors'!E100,'03.08 Kyambogo-Spear Motors'!E100)</f>
        <v>3</v>
      </c>
      <c r="F100" s="49">
        <f>AVERAGE('01.08 Kyambogo-Spear Motors'!F100,'03.08 Kyambogo-Spear Motors'!F100)</f>
        <v>23</v>
      </c>
      <c r="G100" s="49">
        <f>AVERAGE('01.08 Kyambogo-Spear Motors'!G100,'03.08 Kyambogo-Spear Motors'!G100)</f>
        <v>2</v>
      </c>
      <c r="H100" s="49">
        <f>AVERAGE('01.08 Kyambogo-Spear Motors'!H100,'03.08 Kyambogo-Spear Motors'!H100)</f>
        <v>1.5</v>
      </c>
      <c r="I100" s="49">
        <f>AVERAGE('01.08 Kyambogo-Spear Motors'!I100,'03.08 Kyambogo-Spear Motors'!I100)</f>
        <v>3</v>
      </c>
      <c r="J100" s="49">
        <f>AVERAGE('01.08 Kyambogo-Spear Motors'!J100,'03.08 Kyambogo-Spear Motors'!J100)</f>
        <v>3.5</v>
      </c>
      <c r="K100" s="49">
        <f>AVERAGE('01.08 Kyambogo-Spear Motors'!K100,'03.08 Kyambogo-Spear Motors'!K100)</f>
        <v>0.5</v>
      </c>
      <c r="L100" s="49">
        <f>AVERAGE('01.08 Kyambogo-Spear Motors'!L100,'03.08 Kyambogo-Spear Motors'!L100)</f>
        <v>5</v>
      </c>
      <c r="M100" s="49">
        <f>AVERAGE('01.08 Kyambogo-Spear Motors'!M100,'03.08 Kyambogo-Spear Motors'!M100)</f>
        <v>161.5</v>
      </c>
      <c r="N100" s="49">
        <f>AVERAGE('01.08 Kyambogo-Spear Motors'!N100,'03.08 Kyambogo-Spear Motors'!N100)</f>
        <v>0</v>
      </c>
      <c r="O100" s="49">
        <f>AVERAGE('01.08 Kyambogo-Spear Motors'!O100,'03.08 Kyambogo-Spear Motors'!O100)</f>
        <v>55.5</v>
      </c>
      <c r="P100" s="49">
        <f>AVERAGE('01.08 Kyambogo-Spear Motors'!P100,'03.08 Kyambogo-Spear Motors'!P100)</f>
        <v>217</v>
      </c>
      <c r="R100" s="8"/>
      <c r="T100"/>
    </row>
    <row r="101" spans="2:20" ht="23.1" customHeight="1" x14ac:dyDescent="0.25">
      <c r="B101" s="23" t="s">
        <v>141</v>
      </c>
      <c r="C101" s="49">
        <f>AVERAGE('01.08 Kyambogo-Spear Motors'!C101,'03.08 Kyambogo-Spear Motors'!C101)</f>
        <v>7.5</v>
      </c>
      <c r="D101" s="49">
        <f>AVERAGE('01.08 Kyambogo-Spear Motors'!D101,'03.08 Kyambogo-Spear Motors'!D101)</f>
        <v>1.5</v>
      </c>
      <c r="E101" s="49">
        <f>AVERAGE('01.08 Kyambogo-Spear Motors'!E101,'03.08 Kyambogo-Spear Motors'!E101)</f>
        <v>1.5</v>
      </c>
      <c r="F101" s="49">
        <f>AVERAGE('01.08 Kyambogo-Spear Motors'!F101,'03.08 Kyambogo-Spear Motors'!F101)</f>
        <v>35</v>
      </c>
      <c r="G101" s="49">
        <f>AVERAGE('01.08 Kyambogo-Spear Motors'!G101,'03.08 Kyambogo-Spear Motors'!G101)</f>
        <v>1</v>
      </c>
      <c r="H101" s="49">
        <f>AVERAGE('01.08 Kyambogo-Spear Motors'!H101,'03.08 Kyambogo-Spear Motors'!H101)</f>
        <v>1</v>
      </c>
      <c r="I101" s="49">
        <f>AVERAGE('01.08 Kyambogo-Spear Motors'!I101,'03.08 Kyambogo-Spear Motors'!I101)</f>
        <v>4</v>
      </c>
      <c r="J101" s="49">
        <f>AVERAGE('01.08 Kyambogo-Spear Motors'!J101,'03.08 Kyambogo-Spear Motors'!J101)</f>
        <v>3.5</v>
      </c>
      <c r="K101" s="49">
        <f>AVERAGE('01.08 Kyambogo-Spear Motors'!K101,'03.08 Kyambogo-Spear Motors'!K101)</f>
        <v>0</v>
      </c>
      <c r="L101" s="49">
        <f>AVERAGE('01.08 Kyambogo-Spear Motors'!L101,'03.08 Kyambogo-Spear Motors'!L101)</f>
        <v>2</v>
      </c>
      <c r="M101" s="49">
        <f>AVERAGE('01.08 Kyambogo-Spear Motors'!M101,'03.08 Kyambogo-Spear Motors'!M101)</f>
        <v>160</v>
      </c>
      <c r="N101" s="49">
        <f>AVERAGE('01.08 Kyambogo-Spear Motors'!N101,'03.08 Kyambogo-Spear Motors'!N101)</f>
        <v>0</v>
      </c>
      <c r="O101" s="49">
        <f>AVERAGE('01.08 Kyambogo-Spear Motors'!O101,'03.08 Kyambogo-Spear Motors'!O101)</f>
        <v>57</v>
      </c>
      <c r="P101" s="49">
        <f>AVERAGE('01.08 Kyambogo-Spear Motors'!P101,'03.08 Kyambogo-Spear Motors'!P101)</f>
        <v>217</v>
      </c>
      <c r="R101" s="8"/>
      <c r="T101"/>
    </row>
    <row r="102" spans="2:20" ht="23.1" customHeight="1" x14ac:dyDescent="0.25">
      <c r="B102" s="24" t="s">
        <v>142</v>
      </c>
      <c r="C102" s="49">
        <f>AVERAGE('01.08 Kyambogo-Spear Motors'!C102,'03.08 Kyambogo-Spear Motors'!C102)</f>
        <v>16</v>
      </c>
      <c r="D102" s="49">
        <f>AVERAGE('01.08 Kyambogo-Spear Motors'!D102,'03.08 Kyambogo-Spear Motors'!D102)</f>
        <v>4.5</v>
      </c>
      <c r="E102" s="49">
        <f>AVERAGE('01.08 Kyambogo-Spear Motors'!E102,'03.08 Kyambogo-Spear Motors'!E102)</f>
        <v>2.5</v>
      </c>
      <c r="F102" s="49">
        <f>AVERAGE('01.08 Kyambogo-Spear Motors'!F102,'03.08 Kyambogo-Spear Motors'!F102)</f>
        <v>24.5</v>
      </c>
      <c r="G102" s="49">
        <f>AVERAGE('01.08 Kyambogo-Spear Motors'!G102,'03.08 Kyambogo-Spear Motors'!G102)</f>
        <v>4</v>
      </c>
      <c r="H102" s="49">
        <f>AVERAGE('01.08 Kyambogo-Spear Motors'!H102,'03.08 Kyambogo-Spear Motors'!H102)</f>
        <v>2</v>
      </c>
      <c r="I102" s="49">
        <f>AVERAGE('01.08 Kyambogo-Spear Motors'!I102,'03.08 Kyambogo-Spear Motors'!I102)</f>
        <v>2</v>
      </c>
      <c r="J102" s="49">
        <f>AVERAGE('01.08 Kyambogo-Spear Motors'!J102,'03.08 Kyambogo-Spear Motors'!J102)</f>
        <v>2</v>
      </c>
      <c r="K102" s="49">
        <f>AVERAGE('01.08 Kyambogo-Spear Motors'!K102,'03.08 Kyambogo-Spear Motors'!K102)</f>
        <v>0</v>
      </c>
      <c r="L102" s="49">
        <f>AVERAGE('01.08 Kyambogo-Spear Motors'!L102,'03.08 Kyambogo-Spear Motors'!L102)</f>
        <v>1</v>
      </c>
      <c r="M102" s="49">
        <f>AVERAGE('01.08 Kyambogo-Spear Motors'!M102,'03.08 Kyambogo-Spear Motors'!M102)</f>
        <v>105.5</v>
      </c>
      <c r="N102" s="49">
        <f>AVERAGE('01.08 Kyambogo-Spear Motors'!N102,'03.08 Kyambogo-Spear Motors'!N102)</f>
        <v>0</v>
      </c>
      <c r="O102" s="49">
        <f>AVERAGE('01.08 Kyambogo-Spear Motors'!O102,'03.08 Kyambogo-Spear Motors'!O102)</f>
        <v>58.5</v>
      </c>
      <c r="P102" s="49">
        <f>AVERAGE('01.08 Kyambogo-Spear Motors'!P102,'03.08 Kyambogo-Spear Motors'!P102)</f>
        <v>164</v>
      </c>
      <c r="R102" s="8"/>
      <c r="T102"/>
    </row>
    <row r="103" spans="2:20" ht="23.1" customHeight="1" x14ac:dyDescent="0.25">
      <c r="B103" s="23" t="s">
        <v>143</v>
      </c>
      <c r="C103" s="49">
        <f>AVERAGE('01.08 Kyambogo-Spear Motors'!C103,'03.08 Kyambogo-Spear Motors'!C103)</f>
        <v>21</v>
      </c>
      <c r="D103" s="49">
        <f>AVERAGE('01.08 Kyambogo-Spear Motors'!D103,'03.08 Kyambogo-Spear Motors'!D103)</f>
        <v>9</v>
      </c>
      <c r="E103" s="49">
        <f>AVERAGE('01.08 Kyambogo-Spear Motors'!E103,'03.08 Kyambogo-Spear Motors'!E103)</f>
        <v>3</v>
      </c>
      <c r="F103" s="49">
        <f>AVERAGE('01.08 Kyambogo-Spear Motors'!F103,'03.08 Kyambogo-Spear Motors'!F103)</f>
        <v>50.5</v>
      </c>
      <c r="G103" s="49">
        <f>AVERAGE('01.08 Kyambogo-Spear Motors'!G103,'03.08 Kyambogo-Spear Motors'!G103)</f>
        <v>4</v>
      </c>
      <c r="H103" s="49">
        <f>AVERAGE('01.08 Kyambogo-Spear Motors'!H103,'03.08 Kyambogo-Spear Motors'!H103)</f>
        <v>1.5</v>
      </c>
      <c r="I103" s="49">
        <f>AVERAGE('01.08 Kyambogo-Spear Motors'!I103,'03.08 Kyambogo-Spear Motors'!I103)</f>
        <v>0.5</v>
      </c>
      <c r="J103" s="49">
        <f>AVERAGE('01.08 Kyambogo-Spear Motors'!J103,'03.08 Kyambogo-Spear Motors'!J103)</f>
        <v>6.5</v>
      </c>
      <c r="K103" s="49">
        <f>AVERAGE('01.08 Kyambogo-Spear Motors'!K103,'03.08 Kyambogo-Spear Motors'!K103)</f>
        <v>1.5</v>
      </c>
      <c r="L103" s="49">
        <f>AVERAGE('01.08 Kyambogo-Spear Motors'!L103,'03.08 Kyambogo-Spear Motors'!L103)</f>
        <v>1.5</v>
      </c>
      <c r="M103" s="49">
        <f>AVERAGE('01.08 Kyambogo-Spear Motors'!M103,'03.08 Kyambogo-Spear Motors'!M103)</f>
        <v>148.5</v>
      </c>
      <c r="N103" s="49">
        <f>AVERAGE('01.08 Kyambogo-Spear Motors'!N103,'03.08 Kyambogo-Spear Motors'!N103)</f>
        <v>0</v>
      </c>
      <c r="O103" s="49">
        <f>AVERAGE('01.08 Kyambogo-Spear Motors'!O103,'03.08 Kyambogo-Spear Motors'!O103)</f>
        <v>99</v>
      </c>
      <c r="P103" s="49">
        <f>AVERAGE('01.08 Kyambogo-Spear Motors'!P103,'03.08 Kyambogo-Spear Motors'!P103)</f>
        <v>247.5</v>
      </c>
      <c r="R103" s="8"/>
      <c r="T103"/>
    </row>
    <row r="104" spans="2:20" ht="23.1" customHeight="1" x14ac:dyDescent="0.25">
      <c r="B104" s="25" t="s">
        <v>144</v>
      </c>
      <c r="C104" s="49">
        <f>AVERAGE('01.08 Kyambogo-Spear Motors'!C104,'03.08 Kyambogo-Spear Motors'!C104)</f>
        <v>33</v>
      </c>
      <c r="D104" s="49">
        <f>AVERAGE('01.08 Kyambogo-Spear Motors'!D104,'03.08 Kyambogo-Spear Motors'!D104)</f>
        <v>9</v>
      </c>
      <c r="E104" s="49">
        <f>AVERAGE('01.08 Kyambogo-Spear Motors'!E104,'03.08 Kyambogo-Spear Motors'!E104)</f>
        <v>4.5</v>
      </c>
      <c r="F104" s="49">
        <f>AVERAGE('01.08 Kyambogo-Spear Motors'!F104,'03.08 Kyambogo-Spear Motors'!F104)</f>
        <v>92.5</v>
      </c>
      <c r="G104" s="49">
        <f>AVERAGE('01.08 Kyambogo-Spear Motors'!G104,'03.08 Kyambogo-Spear Motors'!G104)</f>
        <v>5.5</v>
      </c>
      <c r="H104" s="49">
        <f>AVERAGE('01.08 Kyambogo-Spear Motors'!H104,'03.08 Kyambogo-Spear Motors'!H104)</f>
        <v>1.5</v>
      </c>
      <c r="I104" s="49">
        <f>AVERAGE('01.08 Kyambogo-Spear Motors'!I104,'03.08 Kyambogo-Spear Motors'!I104)</f>
        <v>4.5</v>
      </c>
      <c r="J104" s="49">
        <f>AVERAGE('01.08 Kyambogo-Spear Motors'!J104,'03.08 Kyambogo-Spear Motors'!J104)</f>
        <v>1.5</v>
      </c>
      <c r="K104" s="49">
        <f>AVERAGE('01.08 Kyambogo-Spear Motors'!K104,'03.08 Kyambogo-Spear Motors'!K104)</f>
        <v>0</v>
      </c>
      <c r="L104" s="49">
        <f>AVERAGE('01.08 Kyambogo-Spear Motors'!L104,'03.08 Kyambogo-Spear Motors'!L104)</f>
        <v>1</v>
      </c>
      <c r="M104" s="49">
        <f>AVERAGE('01.08 Kyambogo-Spear Motors'!M104,'03.08 Kyambogo-Spear Motors'!M104)</f>
        <v>165</v>
      </c>
      <c r="N104" s="49">
        <f>AVERAGE('01.08 Kyambogo-Spear Motors'!N104,'03.08 Kyambogo-Spear Motors'!N104)</f>
        <v>0</v>
      </c>
      <c r="O104" s="49">
        <f>AVERAGE('01.08 Kyambogo-Spear Motors'!O104,'03.08 Kyambogo-Spear Motors'!O104)</f>
        <v>153</v>
      </c>
      <c r="P104" s="49">
        <f>AVERAGE('01.08 Kyambogo-Spear Motors'!P104,'03.08 Kyambogo-Spear Motors'!P104)</f>
        <v>318</v>
      </c>
      <c r="R104" s="8"/>
      <c r="T104"/>
    </row>
    <row r="105" spans="2:20" ht="23.1" customHeight="1" x14ac:dyDescent="0.25">
      <c r="B105" s="23" t="s">
        <v>145</v>
      </c>
      <c r="C105" s="49">
        <f>AVERAGE('01.08 Kyambogo-Spear Motors'!C105,'03.08 Kyambogo-Spear Motors'!C105)</f>
        <v>34</v>
      </c>
      <c r="D105" s="49">
        <f>AVERAGE('01.08 Kyambogo-Spear Motors'!D105,'03.08 Kyambogo-Spear Motors'!D105)</f>
        <v>3.5</v>
      </c>
      <c r="E105" s="49">
        <f>AVERAGE('01.08 Kyambogo-Spear Motors'!E105,'03.08 Kyambogo-Spear Motors'!E105)</f>
        <v>5</v>
      </c>
      <c r="F105" s="49">
        <f>AVERAGE('01.08 Kyambogo-Spear Motors'!F105,'03.08 Kyambogo-Spear Motors'!F105)</f>
        <v>29.5</v>
      </c>
      <c r="G105" s="49">
        <f>AVERAGE('01.08 Kyambogo-Spear Motors'!G105,'03.08 Kyambogo-Spear Motors'!G105)</f>
        <v>10</v>
      </c>
      <c r="H105" s="49">
        <f>AVERAGE('01.08 Kyambogo-Spear Motors'!H105,'03.08 Kyambogo-Spear Motors'!H105)</f>
        <v>8.5</v>
      </c>
      <c r="I105" s="49">
        <f>AVERAGE('01.08 Kyambogo-Spear Motors'!I105,'03.08 Kyambogo-Spear Motors'!I105)</f>
        <v>7.5</v>
      </c>
      <c r="J105" s="49">
        <f>AVERAGE('01.08 Kyambogo-Spear Motors'!J105,'03.08 Kyambogo-Spear Motors'!J105)</f>
        <v>8.5</v>
      </c>
      <c r="K105" s="49">
        <f>AVERAGE('01.08 Kyambogo-Spear Motors'!K105,'03.08 Kyambogo-Spear Motors'!K105)</f>
        <v>0.5</v>
      </c>
      <c r="L105" s="49">
        <f>AVERAGE('01.08 Kyambogo-Spear Motors'!L105,'03.08 Kyambogo-Spear Motors'!L105)</f>
        <v>2</v>
      </c>
      <c r="M105" s="49">
        <f>AVERAGE('01.08 Kyambogo-Spear Motors'!M105,'03.08 Kyambogo-Spear Motors'!M105)</f>
        <v>140</v>
      </c>
      <c r="N105" s="49">
        <f>AVERAGE('01.08 Kyambogo-Spear Motors'!N105,'03.08 Kyambogo-Spear Motors'!N105)</f>
        <v>0</v>
      </c>
      <c r="O105" s="49">
        <f>AVERAGE('01.08 Kyambogo-Spear Motors'!O105,'03.08 Kyambogo-Spear Motors'!O105)</f>
        <v>109</v>
      </c>
      <c r="P105" s="49">
        <f>AVERAGE('01.08 Kyambogo-Spear Motors'!P105,'03.08 Kyambogo-Spear Motors'!P105)</f>
        <v>249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4614.8571428571413</v>
      </c>
      <c r="D106" s="16">
        <f t="shared" ref="D106:P106" si="35">SUM(D10:D105)</f>
        <v>1197.1428571428571</v>
      </c>
      <c r="E106" s="16">
        <f t="shared" si="35"/>
        <v>920.28571428571433</v>
      </c>
      <c r="F106" s="16">
        <f t="shared" si="35"/>
        <v>3905.5714285714289</v>
      </c>
      <c r="G106" s="16">
        <f t="shared" si="35"/>
        <v>192.42857142857144</v>
      </c>
      <c r="H106" s="16">
        <f t="shared" si="35"/>
        <v>103.35714285714285</v>
      </c>
      <c r="I106" s="16">
        <f t="shared" si="35"/>
        <v>462.78571428571428</v>
      </c>
      <c r="J106" s="16">
        <f t="shared" si="35"/>
        <v>266.85714285714289</v>
      </c>
      <c r="K106" s="16">
        <f t="shared" si="35"/>
        <v>129.95238095238096</v>
      </c>
      <c r="L106" s="16">
        <f t="shared" si="35"/>
        <v>257.57142857142856</v>
      </c>
      <c r="M106" s="16">
        <f t="shared" si="35"/>
        <v>20269.5</v>
      </c>
      <c r="N106" s="16">
        <f t="shared" si="35"/>
        <v>0</v>
      </c>
      <c r="O106" s="16">
        <f t="shared" si="35"/>
        <v>12050.809523809525</v>
      </c>
      <c r="P106" s="16">
        <f t="shared" si="35"/>
        <v>32320.309523809523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6">C106/$P$106</f>
        <v>0.14278505406817027</v>
      </c>
      <c r="D107" s="43">
        <f t="shared" si="36"/>
        <v>3.703995644784755E-2</v>
      </c>
      <c r="E107" s="43">
        <f t="shared" si="36"/>
        <v>2.8473914013965863E-2</v>
      </c>
      <c r="F107" s="43">
        <f t="shared" si="36"/>
        <v>0.12083954287920098</v>
      </c>
      <c r="G107" s="43">
        <f t="shared" si="36"/>
        <v>5.9537972953759731E-3</v>
      </c>
      <c r="H107" s="43">
        <f t="shared" si="36"/>
        <v>3.1979007744651193E-3</v>
      </c>
      <c r="I107" s="43">
        <f t="shared" si="36"/>
        <v>1.4318727793890471E-2</v>
      </c>
      <c r="J107" s="43">
        <f t="shared" si="36"/>
        <v>8.2566394563937037E-3</v>
      </c>
      <c r="K107" s="43">
        <f t="shared" si="36"/>
        <v>4.0207653598319801E-3</v>
      </c>
      <c r="L107" s="43">
        <f t="shared" si="36"/>
        <v>7.9693366915834282E-3</v>
      </c>
      <c r="M107" s="43">
        <f t="shared" si="36"/>
        <v>0.62714436521927464</v>
      </c>
      <c r="N107" s="43">
        <f t="shared" si="36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0.38294996977085105</v>
      </c>
      <c r="D108" s="44">
        <f t="shared" ref="D108:N108" si="37">D106/$O$106</f>
        <v>9.9341281162696041E-2</v>
      </c>
      <c r="E108" s="44">
        <f t="shared" si="37"/>
        <v>7.6367128072802853E-2</v>
      </c>
      <c r="F108" s="44">
        <f t="shared" si="37"/>
        <v>0.32409203886717747</v>
      </c>
      <c r="G108" s="44">
        <f t="shared" si="37"/>
        <v>1.5968103308609972E-2</v>
      </c>
      <c r="H108" s="44">
        <f t="shared" si="37"/>
        <v>8.5767800621969655E-3</v>
      </c>
      <c r="I108" s="44">
        <f t="shared" si="37"/>
        <v>3.8402873547321456E-2</v>
      </c>
      <c r="J108" s="44">
        <f t="shared" si="37"/>
        <v>2.2144333318844418E-2</v>
      </c>
      <c r="K108" s="44">
        <f t="shared" si="37"/>
        <v>1.0783705500914778E-2</v>
      </c>
      <c r="L108" s="44">
        <f t="shared" si="37"/>
        <v>2.1373786388584837E-2</v>
      </c>
      <c r="M108" s="44"/>
      <c r="N108" s="44">
        <f t="shared" si="37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I52" zoomScale="60" workbookViewId="0">
      <selection activeCell="AD59" sqref="AD5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28" width="10.7109375" customWidth="1"/>
    <col min="29" max="29" width="15.5703125" bestFit="1" customWidth="1"/>
    <col min="30" max="30" width="10.7109375" customWidth="1"/>
    <col min="31" max="31" width="17" bestFit="1" customWidth="1"/>
    <col min="32" max="32" width="11.85546875" bestFit="1" customWidth="1"/>
    <col min="33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Kyambogo-Spear Motors'!C3:G3</f>
        <v>MCC - C1 - STN43 - KAPALA-JINJA HIGHWAY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'Avg Week Kyambogo-Spear Motors'!G5:H5</f>
        <v>PEPSI UGANDA</v>
      </c>
      <c r="H5" s="64"/>
      <c r="I5" s="14"/>
      <c r="J5" s="2" t="s">
        <v>5</v>
      </c>
      <c r="K5" s="63" t="str">
        <f>'Avg Week Kyambogo-Spear Motors'!K5:L5</f>
        <v>WACHOMI R/GALABUZI R./MBAHA J/ASHABA K/LUBEGA S/KIKUMBAD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7" t="s">
        <v>161</v>
      </c>
      <c r="E6" s="68"/>
      <c r="F6" s="2" t="s">
        <v>2</v>
      </c>
      <c r="G6" s="67" t="s">
        <v>161</v>
      </c>
      <c r="H6" s="68"/>
      <c r="J6" s="2" t="s">
        <v>21</v>
      </c>
      <c r="K6" s="63" t="str">
        <f>'Avg Week Kyambogo-Spear Motors'!K6:L6</f>
        <v>ANDREW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Spear Motors-Kyambogo'!C10+'Avg Week Kyambogo-Spear Motors'!C10</f>
        <v>85.428571428571431</v>
      </c>
      <c r="D10" s="49">
        <f>'Avg Week Spear Motors-Kyambogo'!D10+'Avg Week Kyambogo-Spear Motors'!D10</f>
        <v>25.857142857142854</v>
      </c>
      <c r="E10" s="49">
        <f>'Avg Week Spear Motors-Kyambogo'!E10+'Avg Week Kyambogo-Spear Motors'!E10</f>
        <v>14.142857142857142</v>
      </c>
      <c r="F10" s="49">
        <f>'Avg Week Spear Motors-Kyambogo'!F10+'Avg Week Kyambogo-Spear Motors'!F10</f>
        <v>58.142857142857139</v>
      </c>
      <c r="G10" s="49">
        <f>'Avg Week Spear Motors-Kyambogo'!G10+'Avg Week Kyambogo-Spear Motors'!G10</f>
        <v>5.2857142857142856</v>
      </c>
      <c r="H10" s="49">
        <f>'Avg Week Spear Motors-Kyambogo'!H10+'Avg Week Kyambogo-Spear Motors'!H10</f>
        <v>0</v>
      </c>
      <c r="I10" s="49">
        <f>'Avg Week Spear Motors-Kyambogo'!I10+'Avg Week Kyambogo-Spear Motors'!I10</f>
        <v>3.5714285714285712</v>
      </c>
      <c r="J10" s="49">
        <f>'Avg Week Spear Motors-Kyambogo'!J10+'Avg Week Kyambogo-Spear Motors'!J10</f>
        <v>0.8571428571428571</v>
      </c>
      <c r="K10" s="49">
        <f>'Avg Week Spear Motors-Kyambogo'!K10+'Avg Week Kyambogo-Spear Motors'!K10</f>
        <v>1.4285714285714284</v>
      </c>
      <c r="L10" s="49">
        <f>'Avg Week Spear Motors-Kyambogo'!L10+'Avg Week Kyambogo-Spear Motors'!L10</f>
        <v>3.5714285714285712</v>
      </c>
      <c r="M10" s="49">
        <f>'Avg Week Spear Motors-Kyambogo'!M10+'Avg Week Kyambogo-Spear Motors'!M10</f>
        <v>374</v>
      </c>
      <c r="N10" s="49">
        <f>'Avg Week Spear Motors-Kyambogo'!N10+'Avg Week Kyambogo-Spear Motors'!N10</f>
        <v>0</v>
      </c>
      <c r="O10" s="15">
        <f t="shared" ref="O10:O73" si="0">SUM(C10:L10,N10)</f>
        <v>198.28571428571428</v>
      </c>
      <c r="P10" s="15">
        <f t="shared" ref="P10:P73" si="1">SUM(C10:N10)</f>
        <v>572.28571428571422</v>
      </c>
      <c r="R10" s="1" t="s">
        <v>6</v>
      </c>
      <c r="S10" s="17">
        <f t="shared" ref="S10:AF10" si="2">SUM(C10:C13)</f>
        <v>474.85714285714289</v>
      </c>
      <c r="T10" s="17">
        <f t="shared" si="2"/>
        <v>117.71428571428571</v>
      </c>
      <c r="U10" s="17">
        <f t="shared" si="2"/>
        <v>90.714285714285722</v>
      </c>
      <c r="V10" s="17">
        <f t="shared" si="2"/>
        <v>304.57142857142856</v>
      </c>
      <c r="W10" s="17">
        <f t="shared" si="2"/>
        <v>40</v>
      </c>
      <c r="X10" s="17">
        <f t="shared" si="2"/>
        <v>11.428571428571429</v>
      </c>
      <c r="Y10" s="17">
        <f t="shared" si="2"/>
        <v>26.142857142857142</v>
      </c>
      <c r="Z10" s="17">
        <f t="shared" si="2"/>
        <v>14.714285714285715</v>
      </c>
      <c r="AA10" s="17">
        <f t="shared" si="2"/>
        <v>12.714285714285712</v>
      </c>
      <c r="AB10" s="17">
        <f t="shared" si="2"/>
        <v>22.571428571428569</v>
      </c>
      <c r="AC10" s="17">
        <f t="shared" si="2"/>
        <v>1661.2857142857142</v>
      </c>
      <c r="AD10" s="17">
        <f t="shared" si="2"/>
        <v>0</v>
      </c>
      <c r="AE10" s="31">
        <f t="shared" si="2"/>
        <v>1115.4285714285716</v>
      </c>
      <c r="AF10" s="31">
        <f t="shared" si="2"/>
        <v>2776.7142857142858</v>
      </c>
    </row>
    <row r="11" spans="2:32" s="6" customFormat="1" ht="23.1" customHeight="1" x14ac:dyDescent="0.25">
      <c r="B11" s="23" t="s">
        <v>38</v>
      </c>
      <c r="C11" s="49">
        <f>'Avg Week Spear Motors-Kyambogo'!C11+'Avg Week Kyambogo-Spear Motors'!C11</f>
        <v>102.14285714285715</v>
      </c>
      <c r="D11" s="49">
        <f>'Avg Week Spear Motors-Kyambogo'!D11+'Avg Week Kyambogo-Spear Motors'!D11</f>
        <v>25.714285714285715</v>
      </c>
      <c r="E11" s="49">
        <f>'Avg Week Spear Motors-Kyambogo'!E11+'Avg Week Kyambogo-Spear Motors'!E11</f>
        <v>18.142857142857142</v>
      </c>
      <c r="F11" s="49">
        <f>'Avg Week Spear Motors-Kyambogo'!F11+'Avg Week Kyambogo-Spear Motors'!F11</f>
        <v>68.714285714285722</v>
      </c>
      <c r="G11" s="49">
        <f>'Avg Week Spear Motors-Kyambogo'!G11+'Avg Week Kyambogo-Spear Motors'!G11</f>
        <v>8.8571428571428577</v>
      </c>
      <c r="H11" s="49">
        <f>'Avg Week Spear Motors-Kyambogo'!H11+'Avg Week Kyambogo-Spear Motors'!H11</f>
        <v>4.4285714285714288</v>
      </c>
      <c r="I11" s="49">
        <f>'Avg Week Spear Motors-Kyambogo'!I11+'Avg Week Kyambogo-Spear Motors'!I11</f>
        <v>5.8571428571428577</v>
      </c>
      <c r="J11" s="49">
        <f>'Avg Week Spear Motors-Kyambogo'!J11+'Avg Week Kyambogo-Spear Motors'!J11</f>
        <v>3.7142857142857144</v>
      </c>
      <c r="K11" s="49">
        <f>'Avg Week Spear Motors-Kyambogo'!K11+'Avg Week Kyambogo-Spear Motors'!K11</f>
        <v>2.8571428571428568</v>
      </c>
      <c r="L11" s="49">
        <f>'Avg Week Spear Motors-Kyambogo'!L11+'Avg Week Kyambogo-Spear Motors'!L11</f>
        <v>4.8571428571428577</v>
      </c>
      <c r="M11" s="49">
        <f>'Avg Week Spear Motors-Kyambogo'!M11+'Avg Week Kyambogo-Spear Motors'!M11</f>
        <v>378.85714285714289</v>
      </c>
      <c r="N11" s="49">
        <f>'Avg Week Spear Motors-Kyambogo'!N11+'Avg Week Kyambogo-Spear Motors'!N11</f>
        <v>0</v>
      </c>
      <c r="O11" s="15">
        <f t="shared" si="0"/>
        <v>245.28571428571431</v>
      </c>
      <c r="P11" s="15">
        <f t="shared" si="1"/>
        <v>624.14285714285722</v>
      </c>
      <c r="R11" s="1" t="s">
        <v>7</v>
      </c>
      <c r="S11" s="17">
        <f t="shared" ref="S11:AF11" si="3">SUM(C14:C17)</f>
        <v>538.57142857142867</v>
      </c>
      <c r="T11" s="17">
        <f t="shared" si="3"/>
        <v>194.28571428571431</v>
      </c>
      <c r="U11" s="17">
        <f t="shared" si="3"/>
        <v>139.57142857142856</v>
      </c>
      <c r="V11" s="17">
        <f t="shared" si="3"/>
        <v>470.57142857142856</v>
      </c>
      <c r="W11" s="17">
        <f t="shared" si="3"/>
        <v>67.285714285714278</v>
      </c>
      <c r="X11" s="17">
        <f t="shared" si="3"/>
        <v>4.4285714285714279</v>
      </c>
      <c r="Y11" s="17">
        <f t="shared" si="3"/>
        <v>36.142857142857139</v>
      </c>
      <c r="Z11" s="17">
        <f t="shared" si="3"/>
        <v>17</v>
      </c>
      <c r="AA11" s="17">
        <f t="shared" si="3"/>
        <v>16.30952380952381</v>
      </c>
      <c r="AB11" s="17">
        <f t="shared" si="3"/>
        <v>21.857142857142854</v>
      </c>
      <c r="AC11" s="17">
        <f t="shared" si="3"/>
        <v>2516.7142857142858</v>
      </c>
      <c r="AD11" s="17">
        <f t="shared" si="3"/>
        <v>0</v>
      </c>
      <c r="AE11" s="31">
        <f t="shared" si="3"/>
        <v>1506.0238095238096</v>
      </c>
      <c r="AF11" s="31">
        <f t="shared" si="3"/>
        <v>4022.7380952380954</v>
      </c>
    </row>
    <row r="12" spans="2:32" ht="23.1" customHeight="1" x14ac:dyDescent="0.25">
      <c r="B12" s="23" t="s">
        <v>39</v>
      </c>
      <c r="C12" s="49">
        <f>'Avg Week Spear Motors-Kyambogo'!C12+'Avg Week Kyambogo-Spear Motors'!C12</f>
        <v>142.28571428571428</v>
      </c>
      <c r="D12" s="49">
        <f>'Avg Week Spear Motors-Kyambogo'!D12+'Avg Week Kyambogo-Spear Motors'!D12</f>
        <v>29</v>
      </c>
      <c r="E12" s="49">
        <f>'Avg Week Spear Motors-Kyambogo'!E12+'Avg Week Kyambogo-Spear Motors'!E12</f>
        <v>25.428571428571431</v>
      </c>
      <c r="F12" s="49">
        <f>'Avg Week Spear Motors-Kyambogo'!F12+'Avg Week Kyambogo-Spear Motors'!F12</f>
        <v>80.714285714285722</v>
      </c>
      <c r="G12" s="49">
        <f>'Avg Week Spear Motors-Kyambogo'!G12+'Avg Week Kyambogo-Spear Motors'!G12</f>
        <v>6.4285714285714279</v>
      </c>
      <c r="H12" s="49">
        <f>'Avg Week Spear Motors-Kyambogo'!H12+'Avg Week Kyambogo-Spear Motors'!H12</f>
        <v>2.8571428571428572</v>
      </c>
      <c r="I12" s="49">
        <f>'Avg Week Spear Motors-Kyambogo'!I12+'Avg Week Kyambogo-Spear Motors'!I12</f>
        <v>9.5714285714285712</v>
      </c>
      <c r="J12" s="49">
        <f>'Avg Week Spear Motors-Kyambogo'!J12+'Avg Week Kyambogo-Spear Motors'!J12</f>
        <v>5.2857142857142856</v>
      </c>
      <c r="K12" s="49">
        <f>'Avg Week Spear Motors-Kyambogo'!K12+'Avg Week Kyambogo-Spear Motors'!K12</f>
        <v>4.1428571428571423</v>
      </c>
      <c r="L12" s="49">
        <f>'Avg Week Spear Motors-Kyambogo'!L12+'Avg Week Kyambogo-Spear Motors'!L12</f>
        <v>9.7142857142857135</v>
      </c>
      <c r="M12" s="49">
        <f>'Avg Week Spear Motors-Kyambogo'!M12+'Avg Week Kyambogo-Spear Motors'!M12</f>
        <v>419.85714285714289</v>
      </c>
      <c r="N12" s="49">
        <f>'Avg Week Spear Motors-Kyambogo'!N12+'Avg Week Kyambogo-Spear Motors'!N12</f>
        <v>0</v>
      </c>
      <c r="O12" s="15">
        <f t="shared" si="0"/>
        <v>315.42857142857144</v>
      </c>
      <c r="P12" s="15">
        <f t="shared" si="1"/>
        <v>735.28571428571433</v>
      </c>
      <c r="R12" s="1" t="s">
        <v>8</v>
      </c>
      <c r="S12" s="17">
        <f t="shared" ref="S12:AF12" si="4">SUM(C18:C21)</f>
        <v>518.85714285714289</v>
      </c>
      <c r="T12" s="17">
        <f t="shared" si="4"/>
        <v>167.71428571428572</v>
      </c>
      <c r="U12" s="17">
        <f t="shared" si="4"/>
        <v>108</v>
      </c>
      <c r="V12" s="17">
        <f t="shared" si="4"/>
        <v>535.57142857142856</v>
      </c>
      <c r="W12" s="17">
        <f t="shared" si="4"/>
        <v>12.857142857142856</v>
      </c>
      <c r="X12" s="17">
        <f t="shared" si="4"/>
        <v>5.2857142857142847</v>
      </c>
      <c r="Y12" s="17">
        <f t="shared" si="4"/>
        <v>42.571428571428569</v>
      </c>
      <c r="Z12" s="17">
        <f t="shared" si="4"/>
        <v>26.142857142857146</v>
      </c>
      <c r="AA12" s="17">
        <f t="shared" si="4"/>
        <v>15.142857142857142</v>
      </c>
      <c r="AB12" s="17">
        <f t="shared" si="4"/>
        <v>29.428571428571431</v>
      </c>
      <c r="AC12" s="17">
        <f t="shared" si="4"/>
        <v>2522.7142857142858</v>
      </c>
      <c r="AD12" s="17">
        <f t="shared" si="4"/>
        <v>0</v>
      </c>
      <c r="AE12" s="31">
        <f t="shared" si="4"/>
        <v>1461.5714285714287</v>
      </c>
      <c r="AF12" s="31">
        <f t="shared" si="4"/>
        <v>3984.2857142857142</v>
      </c>
    </row>
    <row r="13" spans="2:32" ht="23.1" customHeight="1" x14ac:dyDescent="0.25">
      <c r="B13" s="23" t="s">
        <v>40</v>
      </c>
      <c r="C13" s="49">
        <f>'Avg Week Spear Motors-Kyambogo'!C13+'Avg Week Kyambogo-Spear Motors'!C13</f>
        <v>145</v>
      </c>
      <c r="D13" s="49">
        <f>'Avg Week Spear Motors-Kyambogo'!D13+'Avg Week Kyambogo-Spear Motors'!D13</f>
        <v>37.142857142857139</v>
      </c>
      <c r="E13" s="49">
        <f>'Avg Week Spear Motors-Kyambogo'!E13+'Avg Week Kyambogo-Spear Motors'!E13</f>
        <v>33</v>
      </c>
      <c r="F13" s="49">
        <f>'Avg Week Spear Motors-Kyambogo'!F13+'Avg Week Kyambogo-Spear Motors'!F13</f>
        <v>97</v>
      </c>
      <c r="G13" s="49">
        <f>'Avg Week Spear Motors-Kyambogo'!G13+'Avg Week Kyambogo-Spear Motors'!G13</f>
        <v>19.428571428571431</v>
      </c>
      <c r="H13" s="49">
        <f>'Avg Week Spear Motors-Kyambogo'!H13+'Avg Week Kyambogo-Spear Motors'!H13</f>
        <v>4.1428571428571423</v>
      </c>
      <c r="I13" s="49">
        <f>'Avg Week Spear Motors-Kyambogo'!I13+'Avg Week Kyambogo-Spear Motors'!I13</f>
        <v>7.1428571428571423</v>
      </c>
      <c r="J13" s="49">
        <f>'Avg Week Spear Motors-Kyambogo'!J13+'Avg Week Kyambogo-Spear Motors'!J13</f>
        <v>4.8571428571428568</v>
      </c>
      <c r="K13" s="49">
        <f>'Avg Week Spear Motors-Kyambogo'!K13+'Avg Week Kyambogo-Spear Motors'!K13</f>
        <v>4.2857142857142856</v>
      </c>
      <c r="L13" s="49">
        <f>'Avg Week Spear Motors-Kyambogo'!L13+'Avg Week Kyambogo-Spear Motors'!L13</f>
        <v>4.4285714285714288</v>
      </c>
      <c r="M13" s="49">
        <f>'Avg Week Spear Motors-Kyambogo'!M13+'Avg Week Kyambogo-Spear Motors'!M13</f>
        <v>488.57142857142856</v>
      </c>
      <c r="N13" s="49">
        <f>'Avg Week Spear Motors-Kyambogo'!N13+'Avg Week Kyambogo-Spear Motors'!N13</f>
        <v>0</v>
      </c>
      <c r="O13" s="15">
        <f t="shared" si="0"/>
        <v>356.42857142857144</v>
      </c>
      <c r="P13" s="15">
        <f t="shared" si="1"/>
        <v>845</v>
      </c>
      <c r="R13" s="1" t="s">
        <v>9</v>
      </c>
      <c r="S13" s="17">
        <f t="shared" ref="S13:AF13" si="5">SUM(C22:C25)</f>
        <v>506.71428571428567</v>
      </c>
      <c r="T13" s="17">
        <f t="shared" si="5"/>
        <v>163.71428571428572</v>
      </c>
      <c r="U13" s="17">
        <f t="shared" si="5"/>
        <v>126.28571428571429</v>
      </c>
      <c r="V13" s="17">
        <f t="shared" si="5"/>
        <v>495.42857142857144</v>
      </c>
      <c r="W13" s="17">
        <f t="shared" si="5"/>
        <v>12.428571428571427</v>
      </c>
      <c r="X13" s="17">
        <f t="shared" si="5"/>
        <v>4.4285714285714288</v>
      </c>
      <c r="Y13" s="17">
        <f t="shared" si="5"/>
        <v>54.571428571428569</v>
      </c>
      <c r="Z13" s="17">
        <f t="shared" si="5"/>
        <v>25.857142857142858</v>
      </c>
      <c r="AA13" s="17">
        <f t="shared" si="5"/>
        <v>13.857142857142856</v>
      </c>
      <c r="AB13" s="17">
        <f t="shared" si="5"/>
        <v>30</v>
      </c>
      <c r="AC13" s="17">
        <f t="shared" si="5"/>
        <v>2259.5714285714284</v>
      </c>
      <c r="AD13" s="17">
        <f t="shared" si="5"/>
        <v>0</v>
      </c>
      <c r="AE13" s="31">
        <f t="shared" si="5"/>
        <v>1433.2857142857142</v>
      </c>
      <c r="AF13" s="31">
        <f t="shared" si="5"/>
        <v>3692.8571428571431</v>
      </c>
    </row>
    <row r="14" spans="2:32" ht="23.1" customHeight="1" x14ac:dyDescent="0.25">
      <c r="B14" s="23" t="s">
        <v>41</v>
      </c>
      <c r="C14" s="49">
        <f>'Avg Week Spear Motors-Kyambogo'!C14+'Avg Week Kyambogo-Spear Motors'!C14</f>
        <v>158.71428571428572</v>
      </c>
      <c r="D14" s="49">
        <f>'Avg Week Spear Motors-Kyambogo'!D14+'Avg Week Kyambogo-Spear Motors'!D14</f>
        <v>52.285714285714285</v>
      </c>
      <c r="E14" s="49">
        <f>'Avg Week Spear Motors-Kyambogo'!E14+'Avg Week Kyambogo-Spear Motors'!E14</f>
        <v>30.285714285714285</v>
      </c>
      <c r="F14" s="49">
        <f>'Avg Week Spear Motors-Kyambogo'!F14+'Avg Week Kyambogo-Spear Motors'!F14</f>
        <v>121.85714285714286</v>
      </c>
      <c r="G14" s="49">
        <f>'Avg Week Spear Motors-Kyambogo'!G14+'Avg Week Kyambogo-Spear Motors'!G14</f>
        <v>9.2857142857142865</v>
      </c>
      <c r="H14" s="49">
        <f>'Avg Week Spear Motors-Kyambogo'!H14+'Avg Week Kyambogo-Spear Motors'!H14</f>
        <v>0.2857142857142857</v>
      </c>
      <c r="I14" s="49">
        <f>'Avg Week Spear Motors-Kyambogo'!I14+'Avg Week Kyambogo-Spear Motors'!I14</f>
        <v>8.2857142857142865</v>
      </c>
      <c r="J14" s="49">
        <f>'Avg Week Spear Motors-Kyambogo'!J14+'Avg Week Kyambogo-Spear Motors'!J14</f>
        <v>3.4285714285714284</v>
      </c>
      <c r="K14" s="49">
        <f>'Avg Week Spear Motors-Kyambogo'!K14+'Avg Week Kyambogo-Spear Motors'!K14</f>
        <v>2.5714285714285712</v>
      </c>
      <c r="L14" s="49">
        <f>'Avg Week Spear Motors-Kyambogo'!L14+'Avg Week Kyambogo-Spear Motors'!L14</f>
        <v>3.2857142857142856</v>
      </c>
      <c r="M14" s="49">
        <f>'Avg Week Spear Motors-Kyambogo'!M14+'Avg Week Kyambogo-Spear Motors'!M14</f>
        <v>646.28571428571422</v>
      </c>
      <c r="N14" s="49">
        <f>'Avg Week Spear Motors-Kyambogo'!N14+'Avg Week Kyambogo-Spear Motors'!N14</f>
        <v>0</v>
      </c>
      <c r="O14" s="15">
        <f t="shared" si="0"/>
        <v>390.28571428571422</v>
      </c>
      <c r="P14" s="15">
        <f t="shared" si="1"/>
        <v>1036.5714285714284</v>
      </c>
      <c r="R14" s="1" t="s">
        <v>10</v>
      </c>
      <c r="S14" s="17">
        <f t="shared" ref="S14:AF14" si="6">SUM(C26:C29)</f>
        <v>477.71428571428572</v>
      </c>
      <c r="T14" s="17">
        <f t="shared" si="6"/>
        <v>163.14285714285717</v>
      </c>
      <c r="U14" s="17">
        <f t="shared" si="6"/>
        <v>100.71428571428571</v>
      </c>
      <c r="V14" s="17">
        <f t="shared" si="6"/>
        <v>516.28571428571422</v>
      </c>
      <c r="W14" s="17">
        <f t="shared" si="6"/>
        <v>13.285714285714286</v>
      </c>
      <c r="X14" s="17">
        <f t="shared" si="6"/>
        <v>4.1428571428571423</v>
      </c>
      <c r="Y14" s="17">
        <f t="shared" si="6"/>
        <v>55.857142857142847</v>
      </c>
      <c r="Z14" s="17">
        <f t="shared" si="6"/>
        <v>32.428571428571431</v>
      </c>
      <c r="AA14" s="17">
        <f t="shared" si="6"/>
        <v>11.142857142857142</v>
      </c>
      <c r="AB14" s="17">
        <f t="shared" si="6"/>
        <v>34</v>
      </c>
      <c r="AC14" s="17">
        <f t="shared" si="6"/>
        <v>1985.4285714285716</v>
      </c>
      <c r="AD14" s="17">
        <f t="shared" si="6"/>
        <v>0</v>
      </c>
      <c r="AE14" s="31">
        <f t="shared" si="6"/>
        <v>1408.7142857142856</v>
      </c>
      <c r="AF14" s="31">
        <f t="shared" si="6"/>
        <v>3394.1428571428573</v>
      </c>
    </row>
    <row r="15" spans="2:32" ht="23.1" customHeight="1" x14ac:dyDescent="0.25">
      <c r="B15" s="23" t="s">
        <v>42</v>
      </c>
      <c r="C15" s="49">
        <f>'Avg Week Spear Motors-Kyambogo'!C15+'Avg Week Kyambogo-Spear Motors'!C15</f>
        <v>116.28571428571428</v>
      </c>
      <c r="D15" s="49">
        <f>'Avg Week Spear Motors-Kyambogo'!D15+'Avg Week Kyambogo-Spear Motors'!D15</f>
        <v>46.285714285714292</v>
      </c>
      <c r="E15" s="49">
        <f>'Avg Week Spear Motors-Kyambogo'!E15+'Avg Week Kyambogo-Spear Motors'!E15</f>
        <v>31.142857142857146</v>
      </c>
      <c r="F15" s="49">
        <f>'Avg Week Spear Motors-Kyambogo'!F15+'Avg Week Kyambogo-Spear Motors'!F15</f>
        <v>115.42857142857142</v>
      </c>
      <c r="G15" s="49">
        <f>'Avg Week Spear Motors-Kyambogo'!G15+'Avg Week Kyambogo-Spear Motors'!G15</f>
        <v>9.4285714285714288</v>
      </c>
      <c r="H15" s="49">
        <f>'Avg Week Spear Motors-Kyambogo'!H15+'Avg Week Kyambogo-Spear Motors'!H15</f>
        <v>1.4285714285714284</v>
      </c>
      <c r="I15" s="49">
        <f>'Avg Week Spear Motors-Kyambogo'!I15+'Avg Week Kyambogo-Spear Motors'!I15</f>
        <v>8</v>
      </c>
      <c r="J15" s="49">
        <f>'Avg Week Spear Motors-Kyambogo'!J15+'Avg Week Kyambogo-Spear Motors'!J15</f>
        <v>4.8571428571428577</v>
      </c>
      <c r="K15" s="49">
        <f>'Avg Week Spear Motors-Kyambogo'!K15+'Avg Week Kyambogo-Spear Motors'!K15</f>
        <v>5.4523809523809526</v>
      </c>
      <c r="L15" s="49">
        <f>'Avg Week Spear Motors-Kyambogo'!L15+'Avg Week Kyambogo-Spear Motors'!L15</f>
        <v>4</v>
      </c>
      <c r="M15" s="49">
        <f>'Avg Week Spear Motors-Kyambogo'!M15+'Avg Week Kyambogo-Spear Motors'!M15</f>
        <v>578.42857142857144</v>
      </c>
      <c r="N15" s="49">
        <f>'Avg Week Spear Motors-Kyambogo'!N15+'Avg Week Kyambogo-Spear Motors'!N15</f>
        <v>0</v>
      </c>
      <c r="O15" s="15">
        <f t="shared" si="0"/>
        <v>342.3095238095238</v>
      </c>
      <c r="P15" s="15">
        <f t="shared" si="1"/>
        <v>920.73809523809518</v>
      </c>
      <c r="R15" s="1" t="s">
        <v>11</v>
      </c>
      <c r="S15" s="17">
        <f t="shared" ref="S15:AF15" si="7">SUM(C30:C33)</f>
        <v>495.14285714285717</v>
      </c>
      <c r="T15" s="17">
        <f t="shared" si="7"/>
        <v>180.42857142857144</v>
      </c>
      <c r="U15" s="17">
        <f t="shared" si="7"/>
        <v>103.14285714285714</v>
      </c>
      <c r="V15" s="17">
        <f t="shared" si="7"/>
        <v>461.42857142857139</v>
      </c>
      <c r="W15" s="17">
        <f t="shared" si="7"/>
        <v>11.857142857142858</v>
      </c>
      <c r="X15" s="17">
        <f t="shared" si="7"/>
        <v>4.4285714285714288</v>
      </c>
      <c r="Y15" s="17">
        <f t="shared" si="7"/>
        <v>53.285714285714292</v>
      </c>
      <c r="Z15" s="17">
        <f t="shared" si="7"/>
        <v>29.571428571428577</v>
      </c>
      <c r="AA15" s="17">
        <f t="shared" si="7"/>
        <v>14.571428571428573</v>
      </c>
      <c r="AB15" s="17">
        <f t="shared" si="7"/>
        <v>34.571428571428569</v>
      </c>
      <c r="AC15" s="17">
        <f t="shared" si="7"/>
        <v>1892.8571428571427</v>
      </c>
      <c r="AD15" s="17">
        <f t="shared" si="7"/>
        <v>0</v>
      </c>
      <c r="AE15" s="31">
        <f t="shared" si="7"/>
        <v>1388.4285714285716</v>
      </c>
      <c r="AF15" s="31">
        <f t="shared" si="7"/>
        <v>3281.2857142857142</v>
      </c>
    </row>
    <row r="16" spans="2:32" ht="23.1" customHeight="1" x14ac:dyDescent="0.25">
      <c r="B16" s="23" t="s">
        <v>43</v>
      </c>
      <c r="C16" s="49">
        <f>'Avg Week Spear Motors-Kyambogo'!C16+'Avg Week Kyambogo-Spear Motors'!C16</f>
        <v>137.85714285714286</v>
      </c>
      <c r="D16" s="49">
        <f>'Avg Week Spear Motors-Kyambogo'!D16+'Avg Week Kyambogo-Spear Motors'!D16</f>
        <v>44.857142857142861</v>
      </c>
      <c r="E16" s="49">
        <f>'Avg Week Spear Motors-Kyambogo'!E16+'Avg Week Kyambogo-Spear Motors'!E16</f>
        <v>30.571428571428573</v>
      </c>
      <c r="F16" s="49">
        <f>'Avg Week Spear Motors-Kyambogo'!F16+'Avg Week Kyambogo-Spear Motors'!F16</f>
        <v>114.14285714285714</v>
      </c>
      <c r="G16" s="49">
        <f>'Avg Week Spear Motors-Kyambogo'!G16+'Avg Week Kyambogo-Spear Motors'!G16</f>
        <v>27.428571428571427</v>
      </c>
      <c r="H16" s="49">
        <f>'Avg Week Spear Motors-Kyambogo'!H16+'Avg Week Kyambogo-Spear Motors'!H16</f>
        <v>1.1428571428571428</v>
      </c>
      <c r="I16" s="49">
        <f>'Avg Week Spear Motors-Kyambogo'!I16+'Avg Week Kyambogo-Spear Motors'!I16</f>
        <v>9.2857142857142847</v>
      </c>
      <c r="J16" s="49">
        <f>'Avg Week Spear Motors-Kyambogo'!J16+'Avg Week Kyambogo-Spear Motors'!J16</f>
        <v>4.1428571428571423</v>
      </c>
      <c r="K16" s="49">
        <f>'Avg Week Spear Motors-Kyambogo'!K16+'Avg Week Kyambogo-Spear Motors'!K16</f>
        <v>5.5714285714285712</v>
      </c>
      <c r="L16" s="49">
        <f>'Avg Week Spear Motors-Kyambogo'!L16+'Avg Week Kyambogo-Spear Motors'!L16</f>
        <v>8</v>
      </c>
      <c r="M16" s="49">
        <f>'Avg Week Spear Motors-Kyambogo'!M16+'Avg Week Kyambogo-Spear Motors'!M16</f>
        <v>622</v>
      </c>
      <c r="N16" s="49">
        <f>'Avg Week Spear Motors-Kyambogo'!N16+'Avg Week Kyambogo-Spear Motors'!N16</f>
        <v>0</v>
      </c>
      <c r="O16" s="15">
        <f t="shared" si="0"/>
        <v>383.00000000000006</v>
      </c>
      <c r="P16" s="15">
        <f t="shared" si="1"/>
        <v>1005</v>
      </c>
      <c r="R16" s="1" t="s">
        <v>12</v>
      </c>
      <c r="S16" s="17">
        <f t="shared" ref="S16:AF16" si="8">SUM(C34:C37)</f>
        <v>491.71428571428572</v>
      </c>
      <c r="T16" s="17">
        <f t="shared" si="8"/>
        <v>189.57142857142856</v>
      </c>
      <c r="U16" s="17">
        <f t="shared" si="8"/>
        <v>115</v>
      </c>
      <c r="V16" s="17">
        <f t="shared" si="8"/>
        <v>464.57142857142856</v>
      </c>
      <c r="W16" s="17">
        <f t="shared" si="8"/>
        <v>12</v>
      </c>
      <c r="X16" s="17">
        <f t="shared" si="8"/>
        <v>6.4285714285714279</v>
      </c>
      <c r="Y16" s="17">
        <f t="shared" si="8"/>
        <v>56.571428571428569</v>
      </c>
      <c r="Z16" s="17">
        <f t="shared" si="8"/>
        <v>26.285714285714285</v>
      </c>
      <c r="AA16" s="17">
        <f t="shared" si="8"/>
        <v>14.285714285714285</v>
      </c>
      <c r="AB16" s="17">
        <f t="shared" si="8"/>
        <v>34.142857142857139</v>
      </c>
      <c r="AC16" s="17">
        <f t="shared" si="8"/>
        <v>1935.4285714285713</v>
      </c>
      <c r="AD16" s="17">
        <f t="shared" si="8"/>
        <v>0</v>
      </c>
      <c r="AE16" s="31">
        <f t="shared" si="8"/>
        <v>1410.5714285714284</v>
      </c>
      <c r="AF16" s="31">
        <f t="shared" si="8"/>
        <v>3346</v>
      </c>
    </row>
    <row r="17" spans="2:32" ht="23.1" customHeight="1" x14ac:dyDescent="0.25">
      <c r="B17" s="23" t="s">
        <v>44</v>
      </c>
      <c r="C17" s="49">
        <f>'Avg Week Spear Motors-Kyambogo'!C17+'Avg Week Kyambogo-Spear Motors'!C17</f>
        <v>125.71428571428572</v>
      </c>
      <c r="D17" s="49">
        <f>'Avg Week Spear Motors-Kyambogo'!D17+'Avg Week Kyambogo-Spear Motors'!D17</f>
        <v>50.857142857142861</v>
      </c>
      <c r="E17" s="49">
        <f>'Avg Week Spear Motors-Kyambogo'!E17+'Avg Week Kyambogo-Spear Motors'!E17</f>
        <v>47.571428571428569</v>
      </c>
      <c r="F17" s="49">
        <f>'Avg Week Spear Motors-Kyambogo'!F17+'Avg Week Kyambogo-Spear Motors'!F17</f>
        <v>119.14285714285714</v>
      </c>
      <c r="G17" s="49">
        <f>'Avg Week Spear Motors-Kyambogo'!G17+'Avg Week Kyambogo-Spear Motors'!G17</f>
        <v>21.142857142857142</v>
      </c>
      <c r="H17" s="49">
        <f>'Avg Week Spear Motors-Kyambogo'!H17+'Avg Week Kyambogo-Spear Motors'!H17</f>
        <v>1.5714285714285714</v>
      </c>
      <c r="I17" s="49">
        <f>'Avg Week Spear Motors-Kyambogo'!I17+'Avg Week Kyambogo-Spear Motors'!I17</f>
        <v>10.571428571428571</v>
      </c>
      <c r="J17" s="49">
        <f>'Avg Week Spear Motors-Kyambogo'!J17+'Avg Week Kyambogo-Spear Motors'!J17</f>
        <v>4.5714285714285712</v>
      </c>
      <c r="K17" s="49">
        <f>'Avg Week Spear Motors-Kyambogo'!K17+'Avg Week Kyambogo-Spear Motors'!K17</f>
        <v>2.7142857142857144</v>
      </c>
      <c r="L17" s="49">
        <f>'Avg Week Spear Motors-Kyambogo'!L17+'Avg Week Kyambogo-Spear Motors'!L17</f>
        <v>6.5714285714285712</v>
      </c>
      <c r="M17" s="49">
        <f>'Avg Week Spear Motors-Kyambogo'!M17+'Avg Week Kyambogo-Spear Motors'!M17</f>
        <v>670</v>
      </c>
      <c r="N17" s="49">
        <f>'Avg Week Spear Motors-Kyambogo'!N17+'Avg Week Kyambogo-Spear Motors'!N17</f>
        <v>0</v>
      </c>
      <c r="O17" s="15">
        <f t="shared" si="0"/>
        <v>390.42857142857144</v>
      </c>
      <c r="P17" s="15">
        <f t="shared" si="1"/>
        <v>1060.4285714285716</v>
      </c>
      <c r="R17" s="1" t="s">
        <v>13</v>
      </c>
      <c r="S17" s="17">
        <f t="shared" ref="S17:AF17" si="9">SUM(C38:C41)</f>
        <v>470.85714285714289</v>
      </c>
      <c r="T17" s="17">
        <f t="shared" si="9"/>
        <v>186.85714285714286</v>
      </c>
      <c r="U17" s="17">
        <f t="shared" si="9"/>
        <v>105.28571428571428</v>
      </c>
      <c r="V17" s="17">
        <f t="shared" si="9"/>
        <v>422.57142857142856</v>
      </c>
      <c r="W17" s="17">
        <f t="shared" si="9"/>
        <v>12.857142857142856</v>
      </c>
      <c r="X17" s="17">
        <f t="shared" si="9"/>
        <v>8</v>
      </c>
      <c r="Y17" s="17">
        <f t="shared" si="9"/>
        <v>62.714285714285715</v>
      </c>
      <c r="Z17" s="17">
        <f t="shared" si="9"/>
        <v>25.857142857142854</v>
      </c>
      <c r="AA17" s="17">
        <f t="shared" si="9"/>
        <v>16.428571428571427</v>
      </c>
      <c r="AB17" s="17">
        <f t="shared" si="9"/>
        <v>40.571428571428577</v>
      </c>
      <c r="AC17" s="17">
        <f t="shared" si="9"/>
        <v>1895</v>
      </c>
      <c r="AD17" s="17">
        <f t="shared" si="9"/>
        <v>0</v>
      </c>
      <c r="AE17" s="31">
        <f t="shared" si="9"/>
        <v>1352.0000000000002</v>
      </c>
      <c r="AF17" s="31">
        <f t="shared" si="9"/>
        <v>3247.0000000000005</v>
      </c>
    </row>
    <row r="18" spans="2:32" ht="23.1" customHeight="1" x14ac:dyDescent="0.25">
      <c r="B18" s="23" t="s">
        <v>45</v>
      </c>
      <c r="C18" s="49">
        <f>'Avg Week Spear Motors-Kyambogo'!C18+'Avg Week Kyambogo-Spear Motors'!C18</f>
        <v>130.71428571428572</v>
      </c>
      <c r="D18" s="49">
        <f>'Avg Week Spear Motors-Kyambogo'!D18+'Avg Week Kyambogo-Spear Motors'!D18</f>
        <v>40.714285714285715</v>
      </c>
      <c r="E18" s="49">
        <f>'Avg Week Spear Motors-Kyambogo'!E18+'Avg Week Kyambogo-Spear Motors'!E18</f>
        <v>30.571428571428569</v>
      </c>
      <c r="F18" s="49">
        <f>'Avg Week Spear Motors-Kyambogo'!F18+'Avg Week Kyambogo-Spear Motors'!F18</f>
        <v>126</v>
      </c>
      <c r="G18" s="49">
        <f>'Avg Week Spear Motors-Kyambogo'!G18+'Avg Week Kyambogo-Spear Motors'!G18</f>
        <v>2.2857142857142856</v>
      </c>
      <c r="H18" s="49">
        <f>'Avg Week Spear Motors-Kyambogo'!H18+'Avg Week Kyambogo-Spear Motors'!H18</f>
        <v>1.5714285714285714</v>
      </c>
      <c r="I18" s="49">
        <f>'Avg Week Spear Motors-Kyambogo'!I18+'Avg Week Kyambogo-Spear Motors'!I18</f>
        <v>8.1428571428571423</v>
      </c>
      <c r="J18" s="49">
        <f>'Avg Week Spear Motors-Kyambogo'!J18+'Avg Week Kyambogo-Spear Motors'!J18</f>
        <v>5.5714285714285712</v>
      </c>
      <c r="K18" s="49">
        <f>'Avg Week Spear Motors-Kyambogo'!K18+'Avg Week Kyambogo-Spear Motors'!K18</f>
        <v>4.1428571428571423</v>
      </c>
      <c r="L18" s="49">
        <f>'Avg Week Spear Motors-Kyambogo'!L18+'Avg Week Kyambogo-Spear Motors'!L18</f>
        <v>4.5714285714285712</v>
      </c>
      <c r="M18" s="49">
        <f>'Avg Week Spear Motors-Kyambogo'!M18+'Avg Week Kyambogo-Spear Motors'!M18</f>
        <v>694.14285714285711</v>
      </c>
      <c r="N18" s="49">
        <f>'Avg Week Spear Motors-Kyambogo'!N18+'Avg Week Kyambogo-Spear Motors'!N18</f>
        <v>0</v>
      </c>
      <c r="O18" s="15">
        <f t="shared" si="0"/>
        <v>354.28571428571428</v>
      </c>
      <c r="P18" s="15">
        <f t="shared" si="1"/>
        <v>1048.4285714285713</v>
      </c>
      <c r="R18" s="1" t="s">
        <v>14</v>
      </c>
      <c r="S18" s="17">
        <f t="shared" ref="S18:AF18" si="10">SUM(C42:C45)</f>
        <v>534.42857142857133</v>
      </c>
      <c r="T18" s="17">
        <f t="shared" si="10"/>
        <v>197.14285714285717</v>
      </c>
      <c r="U18" s="17">
        <f t="shared" si="10"/>
        <v>114.85714285714286</v>
      </c>
      <c r="V18" s="17">
        <f t="shared" si="10"/>
        <v>439.14285714285711</v>
      </c>
      <c r="W18" s="17">
        <f t="shared" si="10"/>
        <v>11.809523809523808</v>
      </c>
      <c r="X18" s="17">
        <f t="shared" si="10"/>
        <v>5.4047619047619042</v>
      </c>
      <c r="Y18" s="17">
        <f t="shared" si="10"/>
        <v>59.571428571428577</v>
      </c>
      <c r="Z18" s="17">
        <f t="shared" si="10"/>
        <v>30.857142857142858</v>
      </c>
      <c r="AA18" s="17">
        <f t="shared" si="10"/>
        <v>16.023809523809526</v>
      </c>
      <c r="AB18" s="17">
        <f t="shared" si="10"/>
        <v>39.571428571428569</v>
      </c>
      <c r="AC18" s="17">
        <f t="shared" si="10"/>
        <v>2056.7142857142858</v>
      </c>
      <c r="AD18" s="17">
        <f t="shared" si="10"/>
        <v>0</v>
      </c>
      <c r="AE18" s="31">
        <f t="shared" si="10"/>
        <v>1448.8095238095239</v>
      </c>
      <c r="AF18" s="31">
        <f t="shared" si="10"/>
        <v>3505.5238095238101</v>
      </c>
    </row>
    <row r="19" spans="2:32" ht="23.1" customHeight="1" x14ac:dyDescent="0.25">
      <c r="B19" s="23" t="s">
        <v>46</v>
      </c>
      <c r="C19" s="49">
        <f>'Avg Week Spear Motors-Kyambogo'!C19+'Avg Week Kyambogo-Spear Motors'!C19</f>
        <v>121.71428571428572</v>
      </c>
      <c r="D19" s="49">
        <f>'Avg Week Spear Motors-Kyambogo'!D19+'Avg Week Kyambogo-Spear Motors'!D19</f>
        <v>44.857142857142861</v>
      </c>
      <c r="E19" s="49">
        <f>'Avg Week Spear Motors-Kyambogo'!E19+'Avg Week Kyambogo-Spear Motors'!E19</f>
        <v>25.142857142857146</v>
      </c>
      <c r="F19" s="49">
        <f>'Avg Week Spear Motors-Kyambogo'!F19+'Avg Week Kyambogo-Spear Motors'!F19</f>
        <v>141.71428571428572</v>
      </c>
      <c r="G19" s="49">
        <f>'Avg Week Spear Motors-Kyambogo'!G19+'Avg Week Kyambogo-Spear Motors'!G19</f>
        <v>4.1428571428571423</v>
      </c>
      <c r="H19" s="49">
        <f>'Avg Week Spear Motors-Kyambogo'!H19+'Avg Week Kyambogo-Spear Motors'!H19</f>
        <v>0.8571428571428571</v>
      </c>
      <c r="I19" s="49">
        <f>'Avg Week Spear Motors-Kyambogo'!I19+'Avg Week Kyambogo-Spear Motors'!I19</f>
        <v>11.571428571428573</v>
      </c>
      <c r="J19" s="49">
        <f>'Avg Week Spear Motors-Kyambogo'!J19+'Avg Week Kyambogo-Spear Motors'!J19</f>
        <v>6.2857142857142865</v>
      </c>
      <c r="K19" s="49">
        <f>'Avg Week Spear Motors-Kyambogo'!K19+'Avg Week Kyambogo-Spear Motors'!K19</f>
        <v>3.1428571428571428</v>
      </c>
      <c r="L19" s="49">
        <f>'Avg Week Spear Motors-Kyambogo'!L19+'Avg Week Kyambogo-Spear Motors'!L19</f>
        <v>8.1428571428571423</v>
      </c>
      <c r="M19" s="49">
        <f>'Avg Week Spear Motors-Kyambogo'!M19+'Avg Week Kyambogo-Spear Motors'!M19</f>
        <v>593.71428571428578</v>
      </c>
      <c r="N19" s="49">
        <f>'Avg Week Spear Motors-Kyambogo'!N19+'Avg Week Kyambogo-Spear Motors'!N19</f>
        <v>0</v>
      </c>
      <c r="O19" s="15">
        <f t="shared" si="0"/>
        <v>367.57142857142861</v>
      </c>
      <c r="P19" s="15">
        <f t="shared" si="1"/>
        <v>961.28571428571445</v>
      </c>
      <c r="R19" s="1" t="s">
        <v>15</v>
      </c>
      <c r="S19" s="17">
        <f t="shared" ref="S19:AF19" si="11">SUM(C46:C49)</f>
        <v>569.42857142857144</v>
      </c>
      <c r="T19" s="17">
        <f t="shared" si="11"/>
        <v>201.42857142857142</v>
      </c>
      <c r="U19" s="17">
        <f t="shared" si="11"/>
        <v>109.57142857142857</v>
      </c>
      <c r="V19" s="17">
        <f t="shared" si="11"/>
        <v>434.85714285714289</v>
      </c>
      <c r="W19" s="17">
        <f t="shared" si="11"/>
        <v>12.714285714285712</v>
      </c>
      <c r="X19" s="17">
        <f t="shared" si="11"/>
        <v>6</v>
      </c>
      <c r="Y19" s="17">
        <f t="shared" si="11"/>
        <v>59.142857142857139</v>
      </c>
      <c r="Z19" s="17">
        <f t="shared" si="11"/>
        <v>28</v>
      </c>
      <c r="AA19" s="17">
        <f t="shared" si="11"/>
        <v>13.285714285714285</v>
      </c>
      <c r="AB19" s="17">
        <f t="shared" si="11"/>
        <v>28.714285714285715</v>
      </c>
      <c r="AC19" s="17">
        <f t="shared" si="11"/>
        <v>1971</v>
      </c>
      <c r="AD19" s="17">
        <f t="shared" si="11"/>
        <v>0</v>
      </c>
      <c r="AE19" s="31">
        <f t="shared" si="11"/>
        <v>1463.1428571428573</v>
      </c>
      <c r="AF19" s="31">
        <f t="shared" si="11"/>
        <v>3434.1428571428578</v>
      </c>
    </row>
    <row r="20" spans="2:32" ht="23.1" customHeight="1" x14ac:dyDescent="0.25">
      <c r="B20" s="23" t="s">
        <v>47</v>
      </c>
      <c r="C20" s="49">
        <f>'Avg Week Spear Motors-Kyambogo'!C20+'Avg Week Kyambogo-Spear Motors'!C20</f>
        <v>131.42857142857144</v>
      </c>
      <c r="D20" s="49">
        <f>'Avg Week Spear Motors-Kyambogo'!D20+'Avg Week Kyambogo-Spear Motors'!D20</f>
        <v>40.285714285714285</v>
      </c>
      <c r="E20" s="49">
        <f>'Avg Week Spear Motors-Kyambogo'!E20+'Avg Week Kyambogo-Spear Motors'!E20</f>
        <v>25.857142857142858</v>
      </c>
      <c r="F20" s="49">
        <f>'Avg Week Spear Motors-Kyambogo'!F20+'Avg Week Kyambogo-Spear Motors'!F20</f>
        <v>132</v>
      </c>
      <c r="G20" s="49">
        <f>'Avg Week Spear Motors-Kyambogo'!G20+'Avg Week Kyambogo-Spear Motors'!G20</f>
        <v>2.8571428571428572</v>
      </c>
      <c r="H20" s="49">
        <f>'Avg Week Spear Motors-Kyambogo'!H20+'Avg Week Kyambogo-Spear Motors'!H20</f>
        <v>1.7142857142857142</v>
      </c>
      <c r="I20" s="49">
        <f>'Avg Week Spear Motors-Kyambogo'!I20+'Avg Week Kyambogo-Spear Motors'!I20</f>
        <v>12.142857142857142</v>
      </c>
      <c r="J20" s="49">
        <f>'Avg Week Spear Motors-Kyambogo'!J20+'Avg Week Kyambogo-Spear Motors'!J20</f>
        <v>7.2857142857142865</v>
      </c>
      <c r="K20" s="49">
        <f>'Avg Week Spear Motors-Kyambogo'!K20+'Avg Week Kyambogo-Spear Motors'!K20</f>
        <v>4.7142857142857144</v>
      </c>
      <c r="L20" s="49">
        <f>'Avg Week Spear Motors-Kyambogo'!L20+'Avg Week Kyambogo-Spear Motors'!L20</f>
        <v>7.2857142857142865</v>
      </c>
      <c r="M20" s="49">
        <f>'Avg Week Spear Motors-Kyambogo'!M20+'Avg Week Kyambogo-Spear Motors'!M20</f>
        <v>602</v>
      </c>
      <c r="N20" s="49">
        <f>'Avg Week Spear Motors-Kyambogo'!N20+'Avg Week Kyambogo-Spear Motors'!N20</f>
        <v>0</v>
      </c>
      <c r="O20" s="15">
        <f t="shared" si="0"/>
        <v>365.57142857142856</v>
      </c>
      <c r="P20" s="15">
        <f t="shared" si="1"/>
        <v>967.57142857142856</v>
      </c>
      <c r="R20" s="1" t="s">
        <v>16</v>
      </c>
      <c r="S20" s="17">
        <f t="shared" ref="S20:AF20" si="12">SUM(C50:C53)</f>
        <v>667.57142857142856</v>
      </c>
      <c r="T20" s="17">
        <f t="shared" si="12"/>
        <v>258</v>
      </c>
      <c r="U20" s="17">
        <f t="shared" si="12"/>
        <v>135.71428571428572</v>
      </c>
      <c r="V20" s="17">
        <f t="shared" si="12"/>
        <v>399.28571428571433</v>
      </c>
      <c r="W20" s="17">
        <f t="shared" si="12"/>
        <v>11.714285714285714</v>
      </c>
      <c r="X20" s="17">
        <f t="shared" si="12"/>
        <v>6</v>
      </c>
      <c r="Y20" s="17">
        <f t="shared" si="12"/>
        <v>44.428571428571431</v>
      </c>
      <c r="Z20" s="17">
        <f t="shared" si="12"/>
        <v>24.428571428571431</v>
      </c>
      <c r="AA20" s="17">
        <f t="shared" si="12"/>
        <v>10</v>
      </c>
      <c r="AB20" s="17">
        <f t="shared" si="12"/>
        <v>22</v>
      </c>
      <c r="AC20" s="17">
        <f t="shared" si="12"/>
        <v>2296.2857142857142</v>
      </c>
      <c r="AD20" s="17">
        <f t="shared" si="12"/>
        <v>0</v>
      </c>
      <c r="AE20" s="31">
        <f t="shared" si="12"/>
        <v>1579.1428571428569</v>
      </c>
      <c r="AF20" s="31">
        <f t="shared" si="12"/>
        <v>3875.4285714285716</v>
      </c>
    </row>
    <row r="21" spans="2:32" ht="23.1" customHeight="1" x14ac:dyDescent="0.25">
      <c r="B21" s="23" t="s">
        <v>48</v>
      </c>
      <c r="C21" s="49">
        <f>'Avg Week Spear Motors-Kyambogo'!C21+'Avg Week Kyambogo-Spear Motors'!C21</f>
        <v>135</v>
      </c>
      <c r="D21" s="49">
        <f>'Avg Week Spear Motors-Kyambogo'!D21+'Avg Week Kyambogo-Spear Motors'!D21</f>
        <v>41.857142857142861</v>
      </c>
      <c r="E21" s="49">
        <f>'Avg Week Spear Motors-Kyambogo'!E21+'Avg Week Kyambogo-Spear Motors'!E21</f>
        <v>26.428571428571427</v>
      </c>
      <c r="F21" s="49">
        <f>'Avg Week Spear Motors-Kyambogo'!F21+'Avg Week Kyambogo-Spear Motors'!F21</f>
        <v>135.85714285714286</v>
      </c>
      <c r="G21" s="49">
        <f>'Avg Week Spear Motors-Kyambogo'!G21+'Avg Week Kyambogo-Spear Motors'!G21</f>
        <v>3.5714285714285712</v>
      </c>
      <c r="H21" s="49">
        <f>'Avg Week Spear Motors-Kyambogo'!H21+'Avg Week Kyambogo-Spear Motors'!H21</f>
        <v>1.1428571428571428</v>
      </c>
      <c r="I21" s="49">
        <f>'Avg Week Spear Motors-Kyambogo'!I21+'Avg Week Kyambogo-Spear Motors'!I21</f>
        <v>10.714285714285715</v>
      </c>
      <c r="J21" s="49">
        <f>'Avg Week Spear Motors-Kyambogo'!J21+'Avg Week Kyambogo-Spear Motors'!J21</f>
        <v>7</v>
      </c>
      <c r="K21" s="49">
        <f>'Avg Week Spear Motors-Kyambogo'!K21+'Avg Week Kyambogo-Spear Motors'!K21</f>
        <v>3.1428571428571428</v>
      </c>
      <c r="L21" s="49">
        <f>'Avg Week Spear Motors-Kyambogo'!L21+'Avg Week Kyambogo-Spear Motors'!L21</f>
        <v>9.4285714285714288</v>
      </c>
      <c r="M21" s="49">
        <f>'Avg Week Spear Motors-Kyambogo'!M21+'Avg Week Kyambogo-Spear Motors'!M21</f>
        <v>632.85714285714289</v>
      </c>
      <c r="N21" s="49">
        <f>'Avg Week Spear Motors-Kyambogo'!N21+'Avg Week Kyambogo-Spear Motors'!N21</f>
        <v>0</v>
      </c>
      <c r="O21" s="15">
        <f t="shared" si="0"/>
        <v>374.14285714285717</v>
      </c>
      <c r="P21" s="15">
        <f t="shared" si="1"/>
        <v>1007</v>
      </c>
      <c r="R21" s="36" t="s">
        <v>20</v>
      </c>
      <c r="S21" s="34">
        <f t="shared" ref="S21:AF21" si="13">SUM(C54:C57)</f>
        <v>715.42857142857133</v>
      </c>
      <c r="T21" s="17">
        <f t="shared" si="13"/>
        <v>259.85714285714289</v>
      </c>
      <c r="U21" s="17">
        <f t="shared" si="13"/>
        <v>134.85714285714286</v>
      </c>
      <c r="V21" s="17">
        <f t="shared" si="13"/>
        <v>433.28571428571422</v>
      </c>
      <c r="W21" s="17">
        <f t="shared" si="13"/>
        <v>17.428571428571431</v>
      </c>
      <c r="X21" s="17">
        <f t="shared" si="13"/>
        <v>5.7142857142857144</v>
      </c>
      <c r="Y21" s="17">
        <f t="shared" si="13"/>
        <v>40.285714285714285</v>
      </c>
      <c r="Z21" s="17">
        <f t="shared" si="13"/>
        <v>23.428571428571427</v>
      </c>
      <c r="AA21" s="17">
        <f t="shared" si="13"/>
        <v>7.8571428571428577</v>
      </c>
      <c r="AB21" s="17">
        <f t="shared" si="13"/>
        <v>14.714285714285712</v>
      </c>
      <c r="AC21" s="17">
        <f t="shared" si="13"/>
        <v>2252.1428571428569</v>
      </c>
      <c r="AD21" s="17">
        <f t="shared" si="13"/>
        <v>0</v>
      </c>
      <c r="AE21" s="31">
        <f t="shared" si="13"/>
        <v>1652.8571428571429</v>
      </c>
      <c r="AF21" s="31">
        <f t="shared" si="13"/>
        <v>3905</v>
      </c>
    </row>
    <row r="22" spans="2:32" ht="23.1" customHeight="1" x14ac:dyDescent="0.25">
      <c r="B22" s="23" t="s">
        <v>49</v>
      </c>
      <c r="C22" s="49">
        <f>'Avg Week Spear Motors-Kyambogo'!C22+'Avg Week Kyambogo-Spear Motors'!C22</f>
        <v>126.57142857142858</v>
      </c>
      <c r="D22" s="49">
        <f>'Avg Week Spear Motors-Kyambogo'!D22+'Avg Week Kyambogo-Spear Motors'!D22</f>
        <v>42.571428571428569</v>
      </c>
      <c r="E22" s="49">
        <f>'Avg Week Spear Motors-Kyambogo'!E22+'Avg Week Kyambogo-Spear Motors'!E22</f>
        <v>38.428571428571431</v>
      </c>
      <c r="F22" s="49">
        <f>'Avg Week Spear Motors-Kyambogo'!F22+'Avg Week Kyambogo-Spear Motors'!F22</f>
        <v>131.57142857142856</v>
      </c>
      <c r="G22" s="49">
        <f>'Avg Week Spear Motors-Kyambogo'!G22+'Avg Week Kyambogo-Spear Motors'!G22</f>
        <v>2.7142857142857144</v>
      </c>
      <c r="H22" s="49">
        <f>'Avg Week Spear Motors-Kyambogo'!H22+'Avg Week Kyambogo-Spear Motors'!H22</f>
        <v>1.2857142857142856</v>
      </c>
      <c r="I22" s="49">
        <f>'Avg Week Spear Motors-Kyambogo'!I22+'Avg Week Kyambogo-Spear Motors'!I22</f>
        <v>12.285714285714286</v>
      </c>
      <c r="J22" s="49">
        <f>'Avg Week Spear Motors-Kyambogo'!J22+'Avg Week Kyambogo-Spear Motors'!J22</f>
        <v>6.4285714285714288</v>
      </c>
      <c r="K22" s="49">
        <f>'Avg Week Spear Motors-Kyambogo'!K22+'Avg Week Kyambogo-Spear Motors'!K22</f>
        <v>3.8571428571428568</v>
      </c>
      <c r="L22" s="49">
        <f>'Avg Week Spear Motors-Kyambogo'!L22+'Avg Week Kyambogo-Spear Motors'!L22</f>
        <v>7.7142857142857144</v>
      </c>
      <c r="M22" s="49">
        <f>'Avg Week Spear Motors-Kyambogo'!M22+'Avg Week Kyambogo-Spear Motors'!M22</f>
        <v>608.85714285714289</v>
      </c>
      <c r="N22" s="49">
        <f>'Avg Week Spear Motors-Kyambogo'!N22+'Avg Week Kyambogo-Spear Motors'!N22</f>
        <v>0</v>
      </c>
      <c r="O22" s="15">
        <f t="shared" si="0"/>
        <v>373.42857142857144</v>
      </c>
      <c r="P22" s="15">
        <f t="shared" si="1"/>
        <v>982.28571428571433</v>
      </c>
      <c r="R22" s="1" t="s">
        <v>146</v>
      </c>
      <c r="S22" s="34">
        <f>SUM(C58:C61)</f>
        <v>302</v>
      </c>
      <c r="T22" s="34">
        <f t="shared" ref="T22:AF22" si="14">SUM(D58:D61)</f>
        <v>51</v>
      </c>
      <c r="U22" s="34">
        <f t="shared" si="14"/>
        <v>43.5</v>
      </c>
      <c r="V22" s="34">
        <f t="shared" si="14"/>
        <v>412</v>
      </c>
      <c r="W22" s="34">
        <f t="shared" si="14"/>
        <v>22.5</v>
      </c>
      <c r="X22" s="34">
        <f t="shared" si="14"/>
        <v>8</v>
      </c>
      <c r="Y22" s="34">
        <f t="shared" si="14"/>
        <v>40</v>
      </c>
      <c r="Z22" s="34">
        <f t="shared" si="14"/>
        <v>21</v>
      </c>
      <c r="AA22" s="34">
        <f t="shared" si="14"/>
        <v>11</v>
      </c>
      <c r="AB22" s="34">
        <f t="shared" si="14"/>
        <v>8.5</v>
      </c>
      <c r="AC22" s="34">
        <f t="shared" si="14"/>
        <v>2257.5</v>
      </c>
      <c r="AD22" s="34">
        <f t="shared" si="14"/>
        <v>0</v>
      </c>
      <c r="AE22" s="31">
        <f t="shared" si="14"/>
        <v>919.5</v>
      </c>
      <c r="AF22" s="31">
        <f t="shared" si="14"/>
        <v>3177</v>
      </c>
    </row>
    <row r="23" spans="2:32" ht="23.1" customHeight="1" x14ac:dyDescent="0.25">
      <c r="B23" s="23" t="s">
        <v>50</v>
      </c>
      <c r="C23" s="49">
        <f>'Avg Week Spear Motors-Kyambogo'!C23+'Avg Week Kyambogo-Spear Motors'!C23</f>
        <v>126.57142857142857</v>
      </c>
      <c r="D23" s="49">
        <f>'Avg Week Spear Motors-Kyambogo'!D23+'Avg Week Kyambogo-Spear Motors'!D23</f>
        <v>41.571428571428569</v>
      </c>
      <c r="E23" s="49">
        <f>'Avg Week Spear Motors-Kyambogo'!E23+'Avg Week Kyambogo-Spear Motors'!E23</f>
        <v>30.285714285714285</v>
      </c>
      <c r="F23" s="49">
        <f>'Avg Week Spear Motors-Kyambogo'!F23+'Avg Week Kyambogo-Spear Motors'!F23</f>
        <v>130.42857142857144</v>
      </c>
      <c r="G23" s="49">
        <f>'Avg Week Spear Motors-Kyambogo'!G23+'Avg Week Kyambogo-Spear Motors'!G23</f>
        <v>2.7142857142857144</v>
      </c>
      <c r="H23" s="49">
        <f>'Avg Week Spear Motors-Kyambogo'!H23+'Avg Week Kyambogo-Spear Motors'!H23</f>
        <v>1.4285714285714286</v>
      </c>
      <c r="I23" s="49">
        <f>'Avg Week Spear Motors-Kyambogo'!I23+'Avg Week Kyambogo-Spear Motors'!I23</f>
        <v>13.428571428571429</v>
      </c>
      <c r="J23" s="49">
        <f>'Avg Week Spear Motors-Kyambogo'!J23+'Avg Week Kyambogo-Spear Motors'!J23</f>
        <v>5.7142857142857144</v>
      </c>
      <c r="K23" s="49">
        <f>'Avg Week Spear Motors-Kyambogo'!K23+'Avg Week Kyambogo-Spear Motors'!K23</f>
        <v>3.7142857142857144</v>
      </c>
      <c r="L23" s="49">
        <f>'Avg Week Spear Motors-Kyambogo'!L23+'Avg Week Kyambogo-Spear Motors'!L23</f>
        <v>8</v>
      </c>
      <c r="M23" s="49">
        <f>'Avg Week Spear Motors-Kyambogo'!M23+'Avg Week Kyambogo-Spear Motors'!M23</f>
        <v>514.85714285714289</v>
      </c>
      <c r="N23" s="49">
        <f>'Avg Week Spear Motors-Kyambogo'!N23+'Avg Week Kyambogo-Spear Motors'!N23</f>
        <v>0</v>
      </c>
      <c r="O23" s="15">
        <f t="shared" si="0"/>
        <v>363.85714285714295</v>
      </c>
      <c r="P23" s="15">
        <f t="shared" si="1"/>
        <v>878.71428571428578</v>
      </c>
      <c r="R23" s="1" t="s">
        <v>147</v>
      </c>
      <c r="S23" s="34">
        <f>SUM(C62:C65)</f>
        <v>406</v>
      </c>
      <c r="T23" s="34">
        <f t="shared" ref="T23:AF23" si="15">SUM(D62:D65)</f>
        <v>112</v>
      </c>
      <c r="U23" s="34">
        <f t="shared" si="15"/>
        <v>48.5</v>
      </c>
      <c r="V23" s="34">
        <f t="shared" si="15"/>
        <v>391.5</v>
      </c>
      <c r="W23" s="34">
        <f t="shared" si="15"/>
        <v>22.5</v>
      </c>
      <c r="X23" s="34">
        <f t="shared" si="15"/>
        <v>7</v>
      </c>
      <c r="Y23" s="34">
        <f t="shared" si="15"/>
        <v>34</v>
      </c>
      <c r="Z23" s="34">
        <f t="shared" si="15"/>
        <v>24.5</v>
      </c>
      <c r="AA23" s="34">
        <f t="shared" si="15"/>
        <v>22.5</v>
      </c>
      <c r="AB23" s="34">
        <f t="shared" si="15"/>
        <v>8.5</v>
      </c>
      <c r="AC23" s="34">
        <f t="shared" si="15"/>
        <v>2332.5</v>
      </c>
      <c r="AD23" s="34">
        <f t="shared" si="15"/>
        <v>0</v>
      </c>
      <c r="AE23" s="31">
        <f t="shared" si="15"/>
        <v>1077</v>
      </c>
      <c r="AF23" s="31">
        <f t="shared" si="15"/>
        <v>3409.5</v>
      </c>
    </row>
    <row r="24" spans="2:32" ht="23.1" customHeight="1" x14ac:dyDescent="0.25">
      <c r="B24" s="23" t="s">
        <v>51</v>
      </c>
      <c r="C24" s="49">
        <f>'Avg Week Spear Motors-Kyambogo'!C24+'Avg Week Kyambogo-Spear Motors'!C24</f>
        <v>129.42857142857142</v>
      </c>
      <c r="D24" s="49">
        <f>'Avg Week Spear Motors-Kyambogo'!D24+'Avg Week Kyambogo-Spear Motors'!D24</f>
        <v>40</v>
      </c>
      <c r="E24" s="49">
        <f>'Avg Week Spear Motors-Kyambogo'!E24+'Avg Week Kyambogo-Spear Motors'!E24</f>
        <v>30</v>
      </c>
      <c r="F24" s="49">
        <f>'Avg Week Spear Motors-Kyambogo'!F24+'Avg Week Kyambogo-Spear Motors'!F24</f>
        <v>116.57142857142857</v>
      </c>
      <c r="G24" s="49">
        <f>'Avg Week Spear Motors-Kyambogo'!G24+'Avg Week Kyambogo-Spear Motors'!G24</f>
        <v>4.1428571428571423</v>
      </c>
      <c r="H24" s="49">
        <f>'Avg Week Spear Motors-Kyambogo'!H24+'Avg Week Kyambogo-Spear Motors'!H24</f>
        <v>0.71428571428571419</v>
      </c>
      <c r="I24" s="49">
        <f>'Avg Week Spear Motors-Kyambogo'!I24+'Avg Week Kyambogo-Spear Motors'!I24</f>
        <v>14</v>
      </c>
      <c r="J24" s="49">
        <f>'Avg Week Spear Motors-Kyambogo'!J24+'Avg Week Kyambogo-Spear Motors'!J24</f>
        <v>6.8571428571428577</v>
      </c>
      <c r="K24" s="49">
        <f>'Avg Week Spear Motors-Kyambogo'!K24+'Avg Week Kyambogo-Spear Motors'!K24</f>
        <v>2.714285714285714</v>
      </c>
      <c r="L24" s="49">
        <f>'Avg Week Spear Motors-Kyambogo'!L24+'Avg Week Kyambogo-Spear Motors'!L24</f>
        <v>7</v>
      </c>
      <c r="M24" s="49">
        <f>'Avg Week Spear Motors-Kyambogo'!M24+'Avg Week Kyambogo-Spear Motors'!M24</f>
        <v>532</v>
      </c>
      <c r="N24" s="49">
        <f>'Avg Week Spear Motors-Kyambogo'!N24+'Avg Week Kyambogo-Spear Motors'!N24</f>
        <v>0</v>
      </c>
      <c r="O24" s="15">
        <f t="shared" si="0"/>
        <v>351.42857142857144</v>
      </c>
      <c r="P24" s="15">
        <f t="shared" si="1"/>
        <v>883.42857142857144</v>
      </c>
      <c r="R24" s="1" t="s">
        <v>148</v>
      </c>
      <c r="S24" s="34">
        <f>SUM(C66:C69)</f>
        <v>307.5</v>
      </c>
      <c r="T24" s="34">
        <f t="shared" ref="T24:AF24" si="16">SUM(D66:D69)</f>
        <v>90</v>
      </c>
      <c r="U24" s="34">
        <f t="shared" si="16"/>
        <v>32.5</v>
      </c>
      <c r="V24" s="34">
        <f t="shared" si="16"/>
        <v>366</v>
      </c>
      <c r="W24" s="34">
        <f t="shared" si="16"/>
        <v>15.5</v>
      </c>
      <c r="X24" s="34">
        <f t="shared" si="16"/>
        <v>5</v>
      </c>
      <c r="Y24" s="34">
        <f t="shared" si="16"/>
        <v>33</v>
      </c>
      <c r="Z24" s="34">
        <f t="shared" si="16"/>
        <v>19.5</v>
      </c>
      <c r="AA24" s="34">
        <f t="shared" si="16"/>
        <v>9.5</v>
      </c>
      <c r="AB24" s="34">
        <f t="shared" si="16"/>
        <v>11.5</v>
      </c>
      <c r="AC24" s="34">
        <f t="shared" si="16"/>
        <v>2088</v>
      </c>
      <c r="AD24" s="34">
        <f t="shared" si="16"/>
        <v>0</v>
      </c>
      <c r="AE24" s="31">
        <f t="shared" si="16"/>
        <v>890</v>
      </c>
      <c r="AF24" s="31">
        <f t="shared" si="16"/>
        <v>2978</v>
      </c>
    </row>
    <row r="25" spans="2:32" ht="23.1" customHeight="1" x14ac:dyDescent="0.25">
      <c r="B25" s="23" t="s">
        <v>52</v>
      </c>
      <c r="C25" s="49">
        <f>'Avg Week Spear Motors-Kyambogo'!C25+'Avg Week Kyambogo-Spear Motors'!C25</f>
        <v>124.14285714285714</v>
      </c>
      <c r="D25" s="49">
        <f>'Avg Week Spear Motors-Kyambogo'!D25+'Avg Week Kyambogo-Spear Motors'!D25</f>
        <v>39.571428571428569</v>
      </c>
      <c r="E25" s="49">
        <f>'Avg Week Spear Motors-Kyambogo'!E25+'Avg Week Kyambogo-Spear Motors'!E25</f>
        <v>27.571428571428569</v>
      </c>
      <c r="F25" s="49">
        <f>'Avg Week Spear Motors-Kyambogo'!F25+'Avg Week Kyambogo-Spear Motors'!F25</f>
        <v>116.85714285714286</v>
      </c>
      <c r="G25" s="49">
        <f>'Avg Week Spear Motors-Kyambogo'!G25+'Avg Week Kyambogo-Spear Motors'!G25</f>
        <v>2.8571428571428568</v>
      </c>
      <c r="H25" s="49">
        <f>'Avg Week Spear Motors-Kyambogo'!H25+'Avg Week Kyambogo-Spear Motors'!H25</f>
        <v>1</v>
      </c>
      <c r="I25" s="49">
        <f>'Avg Week Spear Motors-Kyambogo'!I25+'Avg Week Kyambogo-Spear Motors'!I25</f>
        <v>14.857142857142858</v>
      </c>
      <c r="J25" s="49">
        <f>'Avg Week Spear Motors-Kyambogo'!J25+'Avg Week Kyambogo-Spear Motors'!J25</f>
        <v>6.8571428571428577</v>
      </c>
      <c r="K25" s="49">
        <f>'Avg Week Spear Motors-Kyambogo'!K25+'Avg Week Kyambogo-Spear Motors'!K25</f>
        <v>3.5714285714285712</v>
      </c>
      <c r="L25" s="49">
        <f>'Avg Week Spear Motors-Kyambogo'!L25+'Avg Week Kyambogo-Spear Motors'!L25</f>
        <v>7.2857142857142865</v>
      </c>
      <c r="M25" s="49">
        <f>'Avg Week Spear Motors-Kyambogo'!M25+'Avg Week Kyambogo-Spear Motors'!M25</f>
        <v>603.85714285714289</v>
      </c>
      <c r="N25" s="49">
        <f>'Avg Week Spear Motors-Kyambogo'!N25+'Avg Week Kyambogo-Spear Motors'!N25</f>
        <v>0</v>
      </c>
      <c r="O25" s="15">
        <f t="shared" si="0"/>
        <v>344.57142857142844</v>
      </c>
      <c r="P25" s="15">
        <f t="shared" si="1"/>
        <v>948.42857142857133</v>
      </c>
      <c r="R25" s="1" t="s">
        <v>149</v>
      </c>
      <c r="S25" s="34">
        <f>SUM(C70:C73)</f>
        <v>297</v>
      </c>
      <c r="T25" s="34">
        <f t="shared" ref="T25:AF25" si="17">SUM(D70:D73)</f>
        <v>63</v>
      </c>
      <c r="U25" s="34">
        <f t="shared" si="17"/>
        <v>30.5</v>
      </c>
      <c r="V25" s="34">
        <f t="shared" si="17"/>
        <v>235</v>
      </c>
      <c r="W25" s="34">
        <f t="shared" si="17"/>
        <v>14.5</v>
      </c>
      <c r="X25" s="34">
        <f t="shared" si="17"/>
        <v>3.5</v>
      </c>
      <c r="Y25" s="34">
        <f t="shared" si="17"/>
        <v>22</v>
      </c>
      <c r="Z25" s="34">
        <f t="shared" si="17"/>
        <v>8</v>
      </c>
      <c r="AA25" s="34">
        <f t="shared" si="17"/>
        <v>5.5</v>
      </c>
      <c r="AB25" s="34">
        <f t="shared" si="17"/>
        <v>11</v>
      </c>
      <c r="AC25" s="34">
        <f t="shared" si="17"/>
        <v>1510.5</v>
      </c>
      <c r="AD25" s="34">
        <f t="shared" si="17"/>
        <v>0</v>
      </c>
      <c r="AE25" s="31">
        <f t="shared" si="17"/>
        <v>690</v>
      </c>
      <c r="AF25" s="31">
        <f t="shared" si="17"/>
        <v>2200.5</v>
      </c>
    </row>
    <row r="26" spans="2:32" ht="23.1" customHeight="1" x14ac:dyDescent="0.25">
      <c r="B26" s="23" t="s">
        <v>53</v>
      </c>
      <c r="C26" s="49">
        <f>'Avg Week Spear Motors-Kyambogo'!C26+'Avg Week Kyambogo-Spear Motors'!C26</f>
        <v>126.42857142857143</v>
      </c>
      <c r="D26" s="49">
        <f>'Avg Week Spear Motors-Kyambogo'!D26+'Avg Week Kyambogo-Spear Motors'!D26</f>
        <v>47.285714285714292</v>
      </c>
      <c r="E26" s="49">
        <f>'Avg Week Spear Motors-Kyambogo'!E26+'Avg Week Kyambogo-Spear Motors'!E26</f>
        <v>30.142857142857146</v>
      </c>
      <c r="F26" s="49">
        <f>'Avg Week Spear Motors-Kyambogo'!F26+'Avg Week Kyambogo-Spear Motors'!F26</f>
        <v>137.57142857142856</v>
      </c>
      <c r="G26" s="49">
        <f>'Avg Week Spear Motors-Kyambogo'!G26+'Avg Week Kyambogo-Spear Motors'!G26</f>
        <v>4.4285714285714288</v>
      </c>
      <c r="H26" s="49">
        <f>'Avg Week Spear Motors-Kyambogo'!H26+'Avg Week Kyambogo-Spear Motors'!H26</f>
        <v>0.8571428571428571</v>
      </c>
      <c r="I26" s="49">
        <f>'Avg Week Spear Motors-Kyambogo'!I26+'Avg Week Kyambogo-Spear Motors'!I26</f>
        <v>12.714285714285714</v>
      </c>
      <c r="J26" s="49">
        <f>'Avg Week Spear Motors-Kyambogo'!J26+'Avg Week Kyambogo-Spear Motors'!J26</f>
        <v>6.8571428571428577</v>
      </c>
      <c r="K26" s="49">
        <f>'Avg Week Spear Motors-Kyambogo'!K26+'Avg Week Kyambogo-Spear Motors'!K26</f>
        <v>3.4285714285714288</v>
      </c>
      <c r="L26" s="49">
        <f>'Avg Week Spear Motors-Kyambogo'!L26+'Avg Week Kyambogo-Spear Motors'!L26</f>
        <v>8.4285714285714288</v>
      </c>
      <c r="M26" s="49">
        <f>'Avg Week Spear Motors-Kyambogo'!M26+'Avg Week Kyambogo-Spear Motors'!M26</f>
        <v>560</v>
      </c>
      <c r="N26" s="49">
        <f>'Avg Week Spear Motors-Kyambogo'!N26+'Avg Week Kyambogo-Spear Motors'!N26</f>
        <v>0</v>
      </c>
      <c r="O26" s="15">
        <f t="shared" si="0"/>
        <v>378.14285714285717</v>
      </c>
      <c r="P26" s="15">
        <f t="shared" si="1"/>
        <v>938.14285714285711</v>
      </c>
      <c r="R26" s="1" t="s">
        <v>150</v>
      </c>
      <c r="S26" s="34">
        <f>SUM(C74:C77)</f>
        <v>305.5</v>
      </c>
      <c r="T26" s="34">
        <f t="shared" ref="T26:AF26" si="18">SUM(D74:D77)</f>
        <v>46.5</v>
      </c>
      <c r="U26" s="34">
        <f t="shared" si="18"/>
        <v>44</v>
      </c>
      <c r="V26" s="34">
        <f t="shared" si="18"/>
        <v>191</v>
      </c>
      <c r="W26" s="34">
        <f t="shared" si="18"/>
        <v>10.5</v>
      </c>
      <c r="X26" s="34">
        <f t="shared" si="18"/>
        <v>5.5</v>
      </c>
      <c r="Y26" s="34">
        <f t="shared" si="18"/>
        <v>22.5</v>
      </c>
      <c r="Z26" s="34">
        <f t="shared" si="18"/>
        <v>24.5</v>
      </c>
      <c r="AA26" s="34">
        <f t="shared" si="18"/>
        <v>6</v>
      </c>
      <c r="AB26" s="34">
        <f t="shared" si="18"/>
        <v>12.5</v>
      </c>
      <c r="AC26" s="34">
        <f t="shared" si="18"/>
        <v>1185.5</v>
      </c>
      <c r="AD26" s="34">
        <f t="shared" si="18"/>
        <v>0</v>
      </c>
      <c r="AE26" s="31">
        <f t="shared" si="18"/>
        <v>668.5</v>
      </c>
      <c r="AF26" s="31">
        <f t="shared" si="18"/>
        <v>1854</v>
      </c>
    </row>
    <row r="27" spans="2:32" ht="23.1" customHeight="1" x14ac:dyDescent="0.25">
      <c r="B27" s="23" t="s">
        <v>54</v>
      </c>
      <c r="C27" s="49">
        <f>'Avg Week Spear Motors-Kyambogo'!C27+'Avg Week Kyambogo-Spear Motors'!C27</f>
        <v>116.14285714285714</v>
      </c>
      <c r="D27" s="49">
        <f>'Avg Week Spear Motors-Kyambogo'!D27+'Avg Week Kyambogo-Spear Motors'!D27</f>
        <v>38.142857142857139</v>
      </c>
      <c r="E27" s="49">
        <f>'Avg Week Spear Motors-Kyambogo'!E27+'Avg Week Kyambogo-Spear Motors'!E27</f>
        <v>22.857142857142854</v>
      </c>
      <c r="F27" s="49">
        <f>'Avg Week Spear Motors-Kyambogo'!F27+'Avg Week Kyambogo-Spear Motors'!F27</f>
        <v>122</v>
      </c>
      <c r="G27" s="49">
        <f>'Avg Week Spear Motors-Kyambogo'!G27+'Avg Week Kyambogo-Spear Motors'!G27</f>
        <v>2.8571428571428572</v>
      </c>
      <c r="H27" s="49">
        <f>'Avg Week Spear Motors-Kyambogo'!H27+'Avg Week Kyambogo-Spear Motors'!H27</f>
        <v>1.1428571428571428</v>
      </c>
      <c r="I27" s="49">
        <f>'Avg Week Spear Motors-Kyambogo'!I27+'Avg Week Kyambogo-Spear Motors'!I27</f>
        <v>11.142857142857142</v>
      </c>
      <c r="J27" s="49">
        <f>'Avg Week Spear Motors-Kyambogo'!J27+'Avg Week Kyambogo-Spear Motors'!J27</f>
        <v>7.5714285714285712</v>
      </c>
      <c r="K27" s="49">
        <f>'Avg Week Spear Motors-Kyambogo'!K27+'Avg Week Kyambogo-Spear Motors'!K27</f>
        <v>2.1428571428571428</v>
      </c>
      <c r="L27" s="49">
        <f>'Avg Week Spear Motors-Kyambogo'!L27+'Avg Week Kyambogo-Spear Motors'!L27</f>
        <v>8.2857142857142847</v>
      </c>
      <c r="M27" s="49">
        <f>'Avg Week Spear Motors-Kyambogo'!M27+'Avg Week Kyambogo-Spear Motors'!M27</f>
        <v>467.85714285714283</v>
      </c>
      <c r="N27" s="49">
        <f>'Avg Week Spear Motors-Kyambogo'!N27+'Avg Week Kyambogo-Spear Motors'!N27</f>
        <v>0</v>
      </c>
      <c r="O27" s="15">
        <f t="shared" si="0"/>
        <v>332.28571428571428</v>
      </c>
      <c r="P27" s="15">
        <f t="shared" si="1"/>
        <v>800.14285714285711</v>
      </c>
      <c r="R27" s="1" t="s">
        <v>151</v>
      </c>
      <c r="S27" s="34">
        <f>SUM(C78:C81)</f>
        <v>309.5</v>
      </c>
      <c r="T27" s="34">
        <f t="shared" ref="T27:AF27" si="19">SUM(D78:D81)</f>
        <v>33.5</v>
      </c>
      <c r="U27" s="34">
        <f t="shared" si="19"/>
        <v>21</v>
      </c>
      <c r="V27" s="34">
        <f t="shared" si="19"/>
        <v>117</v>
      </c>
      <c r="W27" s="34">
        <f t="shared" si="19"/>
        <v>6</v>
      </c>
      <c r="X27" s="34">
        <f t="shared" si="19"/>
        <v>3</v>
      </c>
      <c r="Y27" s="34">
        <f t="shared" si="19"/>
        <v>40</v>
      </c>
      <c r="Z27" s="34">
        <f t="shared" si="19"/>
        <v>20.5</v>
      </c>
      <c r="AA27" s="34">
        <f t="shared" si="19"/>
        <v>6</v>
      </c>
      <c r="AB27" s="34">
        <f t="shared" si="19"/>
        <v>15.5</v>
      </c>
      <c r="AC27" s="34">
        <f t="shared" si="19"/>
        <v>885</v>
      </c>
      <c r="AD27" s="34">
        <f t="shared" si="19"/>
        <v>0</v>
      </c>
      <c r="AE27" s="31">
        <f t="shared" si="19"/>
        <v>572</v>
      </c>
      <c r="AF27" s="31">
        <f t="shared" si="19"/>
        <v>1457</v>
      </c>
    </row>
    <row r="28" spans="2:32" ht="23.1" customHeight="1" x14ac:dyDescent="0.25">
      <c r="B28" s="23" t="s">
        <v>55</v>
      </c>
      <c r="C28" s="49">
        <f>'Avg Week Spear Motors-Kyambogo'!C28+'Avg Week Kyambogo-Spear Motors'!C28</f>
        <v>118.85714285714286</v>
      </c>
      <c r="D28" s="49">
        <f>'Avg Week Spear Motors-Kyambogo'!D28+'Avg Week Kyambogo-Spear Motors'!D28</f>
        <v>34.857142857142861</v>
      </c>
      <c r="E28" s="49">
        <f>'Avg Week Spear Motors-Kyambogo'!E28+'Avg Week Kyambogo-Spear Motors'!E28</f>
        <v>22.285714285714285</v>
      </c>
      <c r="F28" s="49">
        <f>'Avg Week Spear Motors-Kyambogo'!F28+'Avg Week Kyambogo-Spear Motors'!F28</f>
        <v>132.14285714285714</v>
      </c>
      <c r="G28" s="49">
        <f>'Avg Week Spear Motors-Kyambogo'!G28+'Avg Week Kyambogo-Spear Motors'!G28</f>
        <v>2.5714285714285712</v>
      </c>
      <c r="H28" s="49">
        <f>'Avg Week Spear Motors-Kyambogo'!H28+'Avg Week Kyambogo-Spear Motors'!H28</f>
        <v>1</v>
      </c>
      <c r="I28" s="49">
        <f>'Avg Week Spear Motors-Kyambogo'!I28+'Avg Week Kyambogo-Spear Motors'!I28</f>
        <v>15.571428571428571</v>
      </c>
      <c r="J28" s="49">
        <f>'Avg Week Spear Motors-Kyambogo'!J28+'Avg Week Kyambogo-Spear Motors'!J28</f>
        <v>9.1428571428571423</v>
      </c>
      <c r="K28" s="49">
        <f>'Avg Week Spear Motors-Kyambogo'!K28+'Avg Week Kyambogo-Spear Motors'!K28</f>
        <v>2.5714285714285712</v>
      </c>
      <c r="L28" s="49">
        <f>'Avg Week Spear Motors-Kyambogo'!L28+'Avg Week Kyambogo-Spear Motors'!L28</f>
        <v>9.1428571428571423</v>
      </c>
      <c r="M28" s="49">
        <f>'Avg Week Spear Motors-Kyambogo'!M28+'Avg Week Kyambogo-Spear Motors'!M28</f>
        <v>474.28571428571433</v>
      </c>
      <c r="N28" s="49">
        <f>'Avg Week Spear Motors-Kyambogo'!N28+'Avg Week Kyambogo-Spear Motors'!N28</f>
        <v>0</v>
      </c>
      <c r="O28" s="15">
        <f t="shared" si="0"/>
        <v>348.14285714285711</v>
      </c>
      <c r="P28" s="15">
        <f t="shared" si="1"/>
        <v>822.42857142857144</v>
      </c>
      <c r="R28" s="1" t="s">
        <v>152</v>
      </c>
      <c r="S28" s="34">
        <f>SUM(C82:C85)</f>
        <v>171</v>
      </c>
      <c r="T28" s="34">
        <f t="shared" ref="T28:AF28" si="20">SUM(D82:D85)</f>
        <v>42</v>
      </c>
      <c r="U28" s="34">
        <f t="shared" si="20"/>
        <v>20</v>
      </c>
      <c r="V28" s="34">
        <f t="shared" si="20"/>
        <v>55.5</v>
      </c>
      <c r="W28" s="34">
        <f t="shared" si="20"/>
        <v>5</v>
      </c>
      <c r="X28" s="34">
        <f t="shared" si="20"/>
        <v>14</v>
      </c>
      <c r="Y28" s="34">
        <f t="shared" si="20"/>
        <v>25.5</v>
      </c>
      <c r="Z28" s="34">
        <f t="shared" si="20"/>
        <v>18</v>
      </c>
      <c r="AA28" s="34">
        <f t="shared" si="20"/>
        <v>10.5</v>
      </c>
      <c r="AB28" s="34">
        <f t="shared" si="20"/>
        <v>38.5</v>
      </c>
      <c r="AC28" s="34">
        <f t="shared" si="20"/>
        <v>677.5</v>
      </c>
      <c r="AD28" s="34">
        <f t="shared" si="20"/>
        <v>0</v>
      </c>
      <c r="AE28" s="31">
        <f t="shared" si="20"/>
        <v>400</v>
      </c>
      <c r="AF28" s="31">
        <f t="shared" si="20"/>
        <v>1077.5</v>
      </c>
    </row>
    <row r="29" spans="2:32" ht="23.1" customHeight="1" x14ac:dyDescent="0.25">
      <c r="B29" s="23" t="s">
        <v>56</v>
      </c>
      <c r="C29" s="49">
        <f>'Avg Week Spear Motors-Kyambogo'!C29+'Avg Week Kyambogo-Spear Motors'!C29</f>
        <v>116.28571428571428</v>
      </c>
      <c r="D29" s="49">
        <f>'Avg Week Spear Motors-Kyambogo'!D29+'Avg Week Kyambogo-Spear Motors'!D29</f>
        <v>42.857142857142861</v>
      </c>
      <c r="E29" s="49">
        <f>'Avg Week Spear Motors-Kyambogo'!E29+'Avg Week Kyambogo-Spear Motors'!E29</f>
        <v>25.428571428571431</v>
      </c>
      <c r="F29" s="49">
        <f>'Avg Week Spear Motors-Kyambogo'!F29+'Avg Week Kyambogo-Spear Motors'!F29</f>
        <v>124.57142857142857</v>
      </c>
      <c r="G29" s="49">
        <f>'Avg Week Spear Motors-Kyambogo'!G29+'Avg Week Kyambogo-Spear Motors'!G29</f>
        <v>3.4285714285714284</v>
      </c>
      <c r="H29" s="49">
        <f>'Avg Week Spear Motors-Kyambogo'!H29+'Avg Week Kyambogo-Spear Motors'!H29</f>
        <v>1.1428571428571428</v>
      </c>
      <c r="I29" s="49">
        <f>'Avg Week Spear Motors-Kyambogo'!I29+'Avg Week Kyambogo-Spear Motors'!I29</f>
        <v>16.428571428571427</v>
      </c>
      <c r="J29" s="49">
        <f>'Avg Week Spear Motors-Kyambogo'!J29+'Avg Week Kyambogo-Spear Motors'!J29</f>
        <v>8.8571428571428577</v>
      </c>
      <c r="K29" s="49">
        <f>'Avg Week Spear Motors-Kyambogo'!K29+'Avg Week Kyambogo-Spear Motors'!K29</f>
        <v>3</v>
      </c>
      <c r="L29" s="49">
        <f>'Avg Week Spear Motors-Kyambogo'!L29+'Avg Week Kyambogo-Spear Motors'!L29</f>
        <v>8.1428571428571423</v>
      </c>
      <c r="M29" s="49">
        <f>'Avg Week Spear Motors-Kyambogo'!M29+'Avg Week Kyambogo-Spear Motors'!M29</f>
        <v>483.28571428571433</v>
      </c>
      <c r="N29" s="49">
        <f>'Avg Week Spear Motors-Kyambogo'!N29+'Avg Week Kyambogo-Spear Motors'!N29</f>
        <v>0</v>
      </c>
      <c r="O29" s="15">
        <f t="shared" si="0"/>
        <v>350.14285714285717</v>
      </c>
      <c r="P29" s="15">
        <f t="shared" si="1"/>
        <v>833.42857142857156</v>
      </c>
      <c r="R29" s="1" t="s">
        <v>153</v>
      </c>
      <c r="S29" s="34">
        <f>SUM(C86:C89)</f>
        <v>142</v>
      </c>
      <c r="T29" s="34">
        <f t="shared" ref="T29:AF29" si="21">SUM(D86:D89)</f>
        <v>17</v>
      </c>
      <c r="U29" s="34">
        <f t="shared" si="21"/>
        <v>17.5</v>
      </c>
      <c r="V29" s="34">
        <f t="shared" si="21"/>
        <v>72</v>
      </c>
      <c r="W29" s="34">
        <f t="shared" si="21"/>
        <v>2.5</v>
      </c>
      <c r="X29" s="34">
        <f t="shared" si="21"/>
        <v>7</v>
      </c>
      <c r="Y29" s="34">
        <f t="shared" si="21"/>
        <v>23.5</v>
      </c>
      <c r="Z29" s="34">
        <f t="shared" si="21"/>
        <v>20.5</v>
      </c>
      <c r="AA29" s="34">
        <f t="shared" si="21"/>
        <v>7.5</v>
      </c>
      <c r="AB29" s="34">
        <f t="shared" si="21"/>
        <v>10</v>
      </c>
      <c r="AC29" s="34">
        <f t="shared" si="21"/>
        <v>701.5</v>
      </c>
      <c r="AD29" s="34">
        <f t="shared" si="21"/>
        <v>0</v>
      </c>
      <c r="AE29" s="31">
        <f t="shared" si="21"/>
        <v>319.5</v>
      </c>
      <c r="AF29" s="31">
        <f t="shared" si="21"/>
        <v>1021</v>
      </c>
    </row>
    <row r="30" spans="2:32" ht="23.1" customHeight="1" x14ac:dyDescent="0.25">
      <c r="B30" s="23" t="s">
        <v>57</v>
      </c>
      <c r="C30" s="49">
        <f>'Avg Week Spear Motors-Kyambogo'!C30+'Avg Week Kyambogo-Spear Motors'!C30</f>
        <v>120.57142857142857</v>
      </c>
      <c r="D30" s="49">
        <f>'Avg Week Spear Motors-Kyambogo'!D30+'Avg Week Kyambogo-Spear Motors'!D30</f>
        <v>45.142857142857146</v>
      </c>
      <c r="E30" s="49">
        <f>'Avg Week Spear Motors-Kyambogo'!E30+'Avg Week Kyambogo-Spear Motors'!E30</f>
        <v>25.428571428571431</v>
      </c>
      <c r="F30" s="49">
        <f>'Avg Week Spear Motors-Kyambogo'!F30+'Avg Week Kyambogo-Spear Motors'!F30</f>
        <v>123.85714285714286</v>
      </c>
      <c r="G30" s="49">
        <f>'Avg Week Spear Motors-Kyambogo'!G30+'Avg Week Kyambogo-Spear Motors'!G30</f>
        <v>4.4285714285714288</v>
      </c>
      <c r="H30" s="49">
        <f>'Avg Week Spear Motors-Kyambogo'!H30+'Avg Week Kyambogo-Spear Motors'!H30</f>
        <v>1.1428571428571428</v>
      </c>
      <c r="I30" s="49">
        <f>'Avg Week Spear Motors-Kyambogo'!I30+'Avg Week Kyambogo-Spear Motors'!I30</f>
        <v>13</v>
      </c>
      <c r="J30" s="49">
        <f>'Avg Week Spear Motors-Kyambogo'!J30+'Avg Week Kyambogo-Spear Motors'!J30</f>
        <v>5.8571428571428577</v>
      </c>
      <c r="K30" s="49">
        <f>'Avg Week Spear Motors-Kyambogo'!K30+'Avg Week Kyambogo-Spear Motors'!K30</f>
        <v>3.4285714285714288</v>
      </c>
      <c r="L30" s="49">
        <f>'Avg Week Spear Motors-Kyambogo'!L30+'Avg Week Kyambogo-Spear Motors'!L30</f>
        <v>8.1428571428571423</v>
      </c>
      <c r="M30" s="49">
        <f>'Avg Week Spear Motors-Kyambogo'!M30+'Avg Week Kyambogo-Spear Motors'!M30</f>
        <v>478.14285714285711</v>
      </c>
      <c r="N30" s="49">
        <f>'Avg Week Spear Motors-Kyambogo'!N30+'Avg Week Kyambogo-Spear Motors'!N30</f>
        <v>0</v>
      </c>
      <c r="O30" s="15">
        <f t="shared" si="0"/>
        <v>351.00000000000006</v>
      </c>
      <c r="P30" s="15">
        <f t="shared" si="1"/>
        <v>829.14285714285711</v>
      </c>
      <c r="R30" s="1" t="s">
        <v>154</v>
      </c>
      <c r="S30" s="34">
        <f>SUM(C90:C93)</f>
        <v>100.5</v>
      </c>
      <c r="T30" s="34">
        <f t="shared" ref="T30:AF30" si="22">SUM(D90:D93)</f>
        <v>14</v>
      </c>
      <c r="U30" s="34">
        <f t="shared" si="22"/>
        <v>15</v>
      </c>
      <c r="V30" s="34">
        <f t="shared" si="22"/>
        <v>38.5</v>
      </c>
      <c r="W30" s="34">
        <f t="shared" si="22"/>
        <v>1</v>
      </c>
      <c r="X30" s="34">
        <f t="shared" si="22"/>
        <v>3</v>
      </c>
      <c r="Y30" s="34">
        <f t="shared" si="22"/>
        <v>21</v>
      </c>
      <c r="Z30" s="34">
        <f t="shared" si="22"/>
        <v>22.5</v>
      </c>
      <c r="AA30" s="34">
        <f t="shared" si="22"/>
        <v>8</v>
      </c>
      <c r="AB30" s="34">
        <f t="shared" si="22"/>
        <v>14</v>
      </c>
      <c r="AC30" s="34">
        <f t="shared" si="22"/>
        <v>642.5</v>
      </c>
      <c r="AD30" s="34">
        <f t="shared" si="22"/>
        <v>0</v>
      </c>
      <c r="AE30" s="31">
        <f t="shared" si="22"/>
        <v>237.5</v>
      </c>
      <c r="AF30" s="31">
        <f t="shared" si="22"/>
        <v>880</v>
      </c>
    </row>
    <row r="31" spans="2:32" ht="23.1" customHeight="1" x14ac:dyDescent="0.25">
      <c r="B31" s="24" t="s">
        <v>58</v>
      </c>
      <c r="C31" s="49">
        <f>'Avg Week Spear Motors-Kyambogo'!C31+'Avg Week Kyambogo-Spear Motors'!C31</f>
        <v>122.14285714285714</v>
      </c>
      <c r="D31" s="49">
        <f>'Avg Week Spear Motors-Kyambogo'!D31+'Avg Week Kyambogo-Spear Motors'!D31</f>
        <v>43.571428571428569</v>
      </c>
      <c r="E31" s="49">
        <f>'Avg Week Spear Motors-Kyambogo'!E31+'Avg Week Kyambogo-Spear Motors'!E31</f>
        <v>21</v>
      </c>
      <c r="F31" s="49">
        <f>'Avg Week Spear Motors-Kyambogo'!F31+'Avg Week Kyambogo-Spear Motors'!F31</f>
        <v>114.14285714285714</v>
      </c>
      <c r="G31" s="49">
        <f>'Avg Week Spear Motors-Kyambogo'!G31+'Avg Week Kyambogo-Spear Motors'!G31</f>
        <v>1.8571428571428572</v>
      </c>
      <c r="H31" s="49">
        <f>'Avg Week Spear Motors-Kyambogo'!H31+'Avg Week Kyambogo-Spear Motors'!H31</f>
        <v>1.2857142857142856</v>
      </c>
      <c r="I31" s="49">
        <f>'Avg Week Spear Motors-Kyambogo'!I31+'Avg Week Kyambogo-Spear Motors'!I31</f>
        <v>13.571428571428573</v>
      </c>
      <c r="J31" s="49">
        <f>'Avg Week Spear Motors-Kyambogo'!J31+'Avg Week Kyambogo-Spear Motors'!J31</f>
        <v>8.4285714285714288</v>
      </c>
      <c r="K31" s="49">
        <f>'Avg Week Spear Motors-Kyambogo'!K31+'Avg Week Kyambogo-Spear Motors'!K31</f>
        <v>3.2857142857142856</v>
      </c>
      <c r="L31" s="49">
        <f>'Avg Week Spear Motors-Kyambogo'!L31+'Avg Week Kyambogo-Spear Motors'!L31</f>
        <v>7.4285714285714288</v>
      </c>
      <c r="M31" s="49">
        <f>'Avg Week Spear Motors-Kyambogo'!M31+'Avg Week Kyambogo-Spear Motors'!M31</f>
        <v>444</v>
      </c>
      <c r="N31" s="49">
        <f>'Avg Week Spear Motors-Kyambogo'!N31+'Avg Week Kyambogo-Spear Motors'!N31</f>
        <v>0</v>
      </c>
      <c r="O31" s="15">
        <f t="shared" si="0"/>
        <v>336.71428571428572</v>
      </c>
      <c r="P31" s="15">
        <f t="shared" si="1"/>
        <v>780.71428571428578</v>
      </c>
      <c r="R31" s="1" t="s">
        <v>155</v>
      </c>
      <c r="S31" s="34">
        <f>SUM(C94:C97)</f>
        <v>95.5</v>
      </c>
      <c r="T31" s="34">
        <f t="shared" ref="T31:AF31" si="23">SUM(D94:D97)</f>
        <v>14.5</v>
      </c>
      <c r="U31" s="34">
        <f t="shared" si="23"/>
        <v>14.5</v>
      </c>
      <c r="V31" s="34">
        <f t="shared" si="23"/>
        <v>58.5</v>
      </c>
      <c r="W31" s="34">
        <f t="shared" si="23"/>
        <v>7</v>
      </c>
      <c r="X31" s="34">
        <f t="shared" si="23"/>
        <v>4</v>
      </c>
      <c r="Y31" s="34">
        <f t="shared" si="23"/>
        <v>24.5</v>
      </c>
      <c r="Z31" s="34">
        <f t="shared" si="23"/>
        <v>18.5</v>
      </c>
      <c r="AA31" s="34">
        <f t="shared" si="23"/>
        <v>5</v>
      </c>
      <c r="AB31" s="34">
        <f t="shared" si="23"/>
        <v>12</v>
      </c>
      <c r="AC31" s="34">
        <f t="shared" si="23"/>
        <v>560.5</v>
      </c>
      <c r="AD31" s="34">
        <f t="shared" si="23"/>
        <v>0</v>
      </c>
      <c r="AE31" s="31">
        <f t="shared" si="23"/>
        <v>254</v>
      </c>
      <c r="AF31" s="31">
        <f t="shared" si="23"/>
        <v>814.5</v>
      </c>
    </row>
    <row r="32" spans="2:32" ht="23.1" customHeight="1" x14ac:dyDescent="0.25">
      <c r="B32" s="24" t="s">
        <v>59</v>
      </c>
      <c r="C32" s="49">
        <f>'Avg Week Spear Motors-Kyambogo'!C32+'Avg Week Kyambogo-Spear Motors'!C32</f>
        <v>120</v>
      </c>
      <c r="D32" s="49">
        <f>'Avg Week Spear Motors-Kyambogo'!D32+'Avg Week Kyambogo-Spear Motors'!D32</f>
        <v>42</v>
      </c>
      <c r="E32" s="49">
        <f>'Avg Week Spear Motors-Kyambogo'!E32+'Avg Week Kyambogo-Spear Motors'!E32</f>
        <v>26.571428571428573</v>
      </c>
      <c r="F32" s="49">
        <f>'Avg Week Spear Motors-Kyambogo'!F32+'Avg Week Kyambogo-Spear Motors'!F32</f>
        <v>104.14285714285714</v>
      </c>
      <c r="G32" s="49">
        <f>'Avg Week Spear Motors-Kyambogo'!G32+'Avg Week Kyambogo-Spear Motors'!G32</f>
        <v>2.2857142857142856</v>
      </c>
      <c r="H32" s="49">
        <f>'Avg Week Spear Motors-Kyambogo'!H32+'Avg Week Kyambogo-Spear Motors'!H32</f>
        <v>0.5714285714285714</v>
      </c>
      <c r="I32" s="49">
        <f>'Avg Week Spear Motors-Kyambogo'!I32+'Avg Week Kyambogo-Spear Motors'!I32</f>
        <v>13.571428571428573</v>
      </c>
      <c r="J32" s="49">
        <f>'Avg Week Spear Motors-Kyambogo'!J32+'Avg Week Kyambogo-Spear Motors'!J32</f>
        <v>7.8571428571428577</v>
      </c>
      <c r="K32" s="49">
        <f>'Avg Week Spear Motors-Kyambogo'!K32+'Avg Week Kyambogo-Spear Motors'!K32</f>
        <v>4</v>
      </c>
      <c r="L32" s="49">
        <f>'Avg Week Spear Motors-Kyambogo'!L32+'Avg Week Kyambogo-Spear Motors'!L32</f>
        <v>10.714285714285715</v>
      </c>
      <c r="M32" s="49">
        <f>'Avg Week Spear Motors-Kyambogo'!M32+'Avg Week Kyambogo-Spear Motors'!M32</f>
        <v>486.42857142857144</v>
      </c>
      <c r="N32" s="49">
        <f>'Avg Week Spear Motors-Kyambogo'!N32+'Avg Week Kyambogo-Spear Motors'!N32</f>
        <v>0</v>
      </c>
      <c r="O32" s="15">
        <f t="shared" si="0"/>
        <v>331.71428571428567</v>
      </c>
      <c r="P32" s="15">
        <f t="shared" si="1"/>
        <v>818.14285714285711</v>
      </c>
      <c r="R32" s="1" t="s">
        <v>156</v>
      </c>
      <c r="S32" s="34">
        <f>SUM(C98:C101)</f>
        <v>94.5</v>
      </c>
      <c r="T32" s="34">
        <f t="shared" ref="T32:AF32" si="24">SUM(D98:D101)</f>
        <v>11.5</v>
      </c>
      <c r="U32" s="34">
        <f t="shared" si="24"/>
        <v>13</v>
      </c>
      <c r="V32" s="34">
        <f t="shared" si="24"/>
        <v>148</v>
      </c>
      <c r="W32" s="34">
        <f t="shared" si="24"/>
        <v>12</v>
      </c>
      <c r="X32" s="34">
        <f t="shared" si="24"/>
        <v>6</v>
      </c>
      <c r="Y32" s="34">
        <f t="shared" si="24"/>
        <v>16.5</v>
      </c>
      <c r="Z32" s="34">
        <f t="shared" si="24"/>
        <v>22.5</v>
      </c>
      <c r="AA32" s="34">
        <f t="shared" si="24"/>
        <v>12</v>
      </c>
      <c r="AB32" s="34">
        <f t="shared" si="24"/>
        <v>20</v>
      </c>
      <c r="AC32" s="34">
        <f t="shared" si="24"/>
        <v>682.5</v>
      </c>
      <c r="AD32" s="34">
        <f t="shared" si="24"/>
        <v>0</v>
      </c>
      <c r="AE32" s="31">
        <f t="shared" si="24"/>
        <v>356</v>
      </c>
      <c r="AF32" s="31">
        <f t="shared" si="24"/>
        <v>1038.5</v>
      </c>
    </row>
    <row r="33" spans="2:32" ht="23.1" customHeight="1" x14ac:dyDescent="0.25">
      <c r="B33" s="23" t="s">
        <v>60</v>
      </c>
      <c r="C33" s="49">
        <f>'Avg Week Spear Motors-Kyambogo'!C33+'Avg Week Kyambogo-Spear Motors'!C33</f>
        <v>132.42857142857144</v>
      </c>
      <c r="D33" s="49">
        <f>'Avg Week Spear Motors-Kyambogo'!D33+'Avg Week Kyambogo-Spear Motors'!D33</f>
        <v>49.714285714285708</v>
      </c>
      <c r="E33" s="49">
        <f>'Avg Week Spear Motors-Kyambogo'!E33+'Avg Week Kyambogo-Spear Motors'!E33</f>
        <v>30.142857142857139</v>
      </c>
      <c r="F33" s="49">
        <f>'Avg Week Spear Motors-Kyambogo'!F33+'Avg Week Kyambogo-Spear Motors'!F33</f>
        <v>119.28571428571428</v>
      </c>
      <c r="G33" s="49">
        <f>'Avg Week Spear Motors-Kyambogo'!G33+'Avg Week Kyambogo-Spear Motors'!G33</f>
        <v>3.2857142857142856</v>
      </c>
      <c r="H33" s="49">
        <f>'Avg Week Spear Motors-Kyambogo'!H33+'Avg Week Kyambogo-Spear Motors'!H33</f>
        <v>1.4285714285714284</v>
      </c>
      <c r="I33" s="49">
        <f>'Avg Week Spear Motors-Kyambogo'!I33+'Avg Week Kyambogo-Spear Motors'!I33</f>
        <v>13.142857142857142</v>
      </c>
      <c r="J33" s="49">
        <f>'Avg Week Spear Motors-Kyambogo'!J33+'Avg Week Kyambogo-Spear Motors'!J33</f>
        <v>7.4285714285714288</v>
      </c>
      <c r="K33" s="49">
        <f>'Avg Week Spear Motors-Kyambogo'!K33+'Avg Week Kyambogo-Spear Motors'!K33</f>
        <v>3.8571428571428572</v>
      </c>
      <c r="L33" s="49">
        <f>'Avg Week Spear Motors-Kyambogo'!L33+'Avg Week Kyambogo-Spear Motors'!L33</f>
        <v>8.2857142857142865</v>
      </c>
      <c r="M33" s="49">
        <f>'Avg Week Spear Motors-Kyambogo'!M33+'Avg Week Kyambogo-Spear Motors'!M33</f>
        <v>484.28571428571422</v>
      </c>
      <c r="N33" s="49">
        <f>'Avg Week Spear Motors-Kyambogo'!N33+'Avg Week Kyambogo-Spear Motors'!N33</f>
        <v>0</v>
      </c>
      <c r="O33" s="15">
        <f t="shared" si="0"/>
        <v>369</v>
      </c>
      <c r="P33" s="15">
        <f t="shared" si="1"/>
        <v>853.28571428571422</v>
      </c>
      <c r="R33" s="1" t="s">
        <v>157</v>
      </c>
      <c r="S33" s="34">
        <f>SUM(C102:C105)</f>
        <v>177.5</v>
      </c>
      <c r="T33" s="34">
        <f t="shared" ref="T33:AF33" si="25">SUM(D102:D105)</f>
        <v>38</v>
      </c>
      <c r="U33" s="34">
        <f t="shared" si="25"/>
        <v>36.5</v>
      </c>
      <c r="V33" s="34">
        <f t="shared" si="25"/>
        <v>312</v>
      </c>
      <c r="W33" s="34">
        <f t="shared" si="25"/>
        <v>27.5</v>
      </c>
      <c r="X33" s="34">
        <f t="shared" si="25"/>
        <v>17.5</v>
      </c>
      <c r="Y33" s="34">
        <f t="shared" si="25"/>
        <v>25</v>
      </c>
      <c r="Z33" s="34">
        <f t="shared" si="25"/>
        <v>28</v>
      </c>
      <c r="AA33" s="34">
        <f t="shared" si="25"/>
        <v>10</v>
      </c>
      <c r="AB33" s="34">
        <f t="shared" si="25"/>
        <v>16.5</v>
      </c>
      <c r="AC33" s="34">
        <f t="shared" si="25"/>
        <v>665.5</v>
      </c>
      <c r="AD33" s="34">
        <f t="shared" si="25"/>
        <v>0</v>
      </c>
      <c r="AE33" s="31">
        <f t="shared" si="25"/>
        <v>688.5</v>
      </c>
      <c r="AF33" s="31">
        <f t="shared" si="25"/>
        <v>1354</v>
      </c>
    </row>
    <row r="34" spans="2:32" ht="23.1" customHeight="1" x14ac:dyDescent="0.25">
      <c r="B34" s="24" t="s">
        <v>61</v>
      </c>
      <c r="C34" s="49">
        <f>'Avg Week Spear Motors-Kyambogo'!C34+'Avg Week Kyambogo-Spear Motors'!C34</f>
        <v>124.42857142857143</v>
      </c>
      <c r="D34" s="49">
        <f>'Avg Week Spear Motors-Kyambogo'!D34+'Avg Week Kyambogo-Spear Motors'!D34</f>
        <v>48.142857142857139</v>
      </c>
      <c r="E34" s="49">
        <f>'Avg Week Spear Motors-Kyambogo'!E34+'Avg Week Kyambogo-Spear Motors'!E34</f>
        <v>25.714285714285715</v>
      </c>
      <c r="F34" s="49">
        <f>'Avg Week Spear Motors-Kyambogo'!F34+'Avg Week Kyambogo-Spear Motors'!F34</f>
        <v>125.85714285714286</v>
      </c>
      <c r="G34" s="49">
        <f>'Avg Week Spear Motors-Kyambogo'!G34+'Avg Week Kyambogo-Spear Motors'!G34</f>
        <v>3</v>
      </c>
      <c r="H34" s="49">
        <f>'Avg Week Spear Motors-Kyambogo'!H34+'Avg Week Kyambogo-Spear Motors'!H34</f>
        <v>1.1428571428571428</v>
      </c>
      <c r="I34" s="49">
        <f>'Avg Week Spear Motors-Kyambogo'!I34+'Avg Week Kyambogo-Spear Motors'!I34</f>
        <v>14.428571428571431</v>
      </c>
      <c r="J34" s="49">
        <f>'Avg Week Spear Motors-Kyambogo'!J34+'Avg Week Kyambogo-Spear Motors'!J34</f>
        <v>7.2857142857142856</v>
      </c>
      <c r="K34" s="49">
        <f>'Avg Week Spear Motors-Kyambogo'!K34+'Avg Week Kyambogo-Spear Motors'!K34</f>
        <v>4.5714285714285712</v>
      </c>
      <c r="L34" s="49">
        <f>'Avg Week Spear Motors-Kyambogo'!L34+'Avg Week Kyambogo-Spear Motors'!L34</f>
        <v>9.1428571428571423</v>
      </c>
      <c r="M34" s="49">
        <f>'Avg Week Spear Motors-Kyambogo'!M34+'Avg Week Kyambogo-Spear Motors'!M34</f>
        <v>549.71428571428567</v>
      </c>
      <c r="N34" s="49">
        <f>'Avg Week Spear Motors-Kyambogo'!N34+'Avg Week Kyambogo-Spear Motors'!N34</f>
        <v>0</v>
      </c>
      <c r="O34" s="15">
        <f t="shared" si="0"/>
        <v>363.71428571428572</v>
      </c>
      <c r="P34" s="15">
        <f t="shared" si="1"/>
        <v>913.42857142857133</v>
      </c>
      <c r="R34" s="38" t="s">
        <v>90</v>
      </c>
      <c r="S34" s="39">
        <f t="shared" ref="S34:AF34" si="26">MAX(S10:S12)</f>
        <v>538.57142857142867</v>
      </c>
      <c r="T34" s="39">
        <f t="shared" si="26"/>
        <v>194.28571428571431</v>
      </c>
      <c r="U34" s="39">
        <f t="shared" si="26"/>
        <v>139.57142857142856</v>
      </c>
      <c r="V34" s="39">
        <f t="shared" si="26"/>
        <v>535.57142857142856</v>
      </c>
      <c r="W34" s="39">
        <f t="shared" si="26"/>
        <v>67.285714285714278</v>
      </c>
      <c r="X34" s="39">
        <f t="shared" si="26"/>
        <v>11.428571428571429</v>
      </c>
      <c r="Y34" s="39">
        <f t="shared" si="26"/>
        <v>42.571428571428569</v>
      </c>
      <c r="Z34" s="39">
        <f t="shared" si="26"/>
        <v>26.142857142857146</v>
      </c>
      <c r="AA34" s="39">
        <f t="shared" si="26"/>
        <v>16.30952380952381</v>
      </c>
      <c r="AB34" s="39">
        <f t="shared" si="26"/>
        <v>29.428571428571431</v>
      </c>
      <c r="AC34" s="39">
        <f t="shared" si="26"/>
        <v>2522.7142857142858</v>
      </c>
      <c r="AD34" s="39">
        <f t="shared" si="26"/>
        <v>0</v>
      </c>
      <c r="AE34" s="31">
        <f t="shared" si="26"/>
        <v>1506.0238095238096</v>
      </c>
      <c r="AF34" s="31">
        <f t="shared" si="26"/>
        <v>4022.7380952380954</v>
      </c>
    </row>
    <row r="35" spans="2:32" ht="23.1" customHeight="1" x14ac:dyDescent="0.25">
      <c r="B35" s="24" t="s">
        <v>62</v>
      </c>
      <c r="C35" s="49">
        <f>'Avg Week Spear Motors-Kyambogo'!C35+'Avg Week Kyambogo-Spear Motors'!C35</f>
        <v>115.57142857142858</v>
      </c>
      <c r="D35" s="49">
        <f>'Avg Week Spear Motors-Kyambogo'!D35+'Avg Week Kyambogo-Spear Motors'!D35</f>
        <v>47.571428571428569</v>
      </c>
      <c r="E35" s="49">
        <f>'Avg Week Spear Motors-Kyambogo'!E35+'Avg Week Kyambogo-Spear Motors'!E35</f>
        <v>28</v>
      </c>
      <c r="F35" s="49">
        <f>'Avg Week Spear Motors-Kyambogo'!F35+'Avg Week Kyambogo-Spear Motors'!F35</f>
        <v>113</v>
      </c>
      <c r="G35" s="49">
        <f>'Avg Week Spear Motors-Kyambogo'!G35+'Avg Week Kyambogo-Spear Motors'!G35</f>
        <v>2.8571428571428572</v>
      </c>
      <c r="H35" s="49">
        <f>'Avg Week Spear Motors-Kyambogo'!H35+'Avg Week Kyambogo-Spear Motors'!H35</f>
        <v>1.7142857142857144</v>
      </c>
      <c r="I35" s="49">
        <f>'Avg Week Spear Motors-Kyambogo'!I35+'Avg Week Kyambogo-Spear Motors'!I35</f>
        <v>15</v>
      </c>
      <c r="J35" s="49">
        <f>'Avg Week Spear Motors-Kyambogo'!J35+'Avg Week Kyambogo-Spear Motors'!J35</f>
        <v>7.7142857142857144</v>
      </c>
      <c r="K35" s="49">
        <f>'Avg Week Spear Motors-Kyambogo'!K35+'Avg Week Kyambogo-Spear Motors'!K35</f>
        <v>3.2857142857142856</v>
      </c>
      <c r="L35" s="49">
        <f>'Avg Week Spear Motors-Kyambogo'!L35+'Avg Week Kyambogo-Spear Motors'!L35</f>
        <v>8</v>
      </c>
      <c r="M35" s="49">
        <f>'Avg Week Spear Motors-Kyambogo'!M35+'Avg Week Kyambogo-Spear Motors'!M35</f>
        <v>441.42857142857144</v>
      </c>
      <c r="N35" s="49">
        <f>'Avg Week Spear Motors-Kyambogo'!N35+'Avg Week Kyambogo-Spear Motors'!N35</f>
        <v>0</v>
      </c>
      <c r="O35" s="15">
        <f t="shared" si="0"/>
        <v>342.71428571428572</v>
      </c>
      <c r="P35" s="15">
        <f t="shared" si="1"/>
        <v>784.14285714285711</v>
      </c>
      <c r="R35" s="38" t="s">
        <v>91</v>
      </c>
      <c r="S35" s="39">
        <f t="shared" ref="S35:AF35" si="27">MAX(S13:S18)</f>
        <v>534.42857142857133</v>
      </c>
      <c r="T35" s="39">
        <f t="shared" si="27"/>
        <v>197.14285714285717</v>
      </c>
      <c r="U35" s="39">
        <f t="shared" si="27"/>
        <v>126.28571428571429</v>
      </c>
      <c r="V35" s="39">
        <f t="shared" si="27"/>
        <v>516.28571428571422</v>
      </c>
      <c r="W35" s="39">
        <f t="shared" si="27"/>
        <v>13.285714285714286</v>
      </c>
      <c r="X35" s="39">
        <f t="shared" si="27"/>
        <v>8</v>
      </c>
      <c r="Y35" s="39">
        <f t="shared" si="27"/>
        <v>62.714285714285715</v>
      </c>
      <c r="Z35" s="39">
        <f t="shared" si="27"/>
        <v>32.428571428571431</v>
      </c>
      <c r="AA35" s="39">
        <f t="shared" si="27"/>
        <v>16.428571428571427</v>
      </c>
      <c r="AB35" s="39">
        <f t="shared" si="27"/>
        <v>40.571428571428577</v>
      </c>
      <c r="AC35" s="39">
        <f t="shared" si="27"/>
        <v>2259.5714285714284</v>
      </c>
      <c r="AD35" s="39">
        <f t="shared" si="27"/>
        <v>0</v>
      </c>
      <c r="AE35" s="40">
        <f t="shared" si="27"/>
        <v>1448.8095238095239</v>
      </c>
      <c r="AF35" s="40">
        <f t="shared" si="27"/>
        <v>3692.8571428571431</v>
      </c>
    </row>
    <row r="36" spans="2:32" ht="23.1" customHeight="1" x14ac:dyDescent="0.25">
      <c r="B36" s="24" t="s">
        <v>63</v>
      </c>
      <c r="C36" s="49">
        <f>'Avg Week Spear Motors-Kyambogo'!C36+'Avg Week Kyambogo-Spear Motors'!C36</f>
        <v>120.28571428571428</v>
      </c>
      <c r="D36" s="49">
        <f>'Avg Week Spear Motors-Kyambogo'!D36+'Avg Week Kyambogo-Spear Motors'!D36</f>
        <v>48.714285714285715</v>
      </c>
      <c r="E36" s="49">
        <f>'Avg Week Spear Motors-Kyambogo'!E36+'Avg Week Kyambogo-Spear Motors'!E36</f>
        <v>28.285714285714285</v>
      </c>
      <c r="F36" s="49">
        <f>'Avg Week Spear Motors-Kyambogo'!F36+'Avg Week Kyambogo-Spear Motors'!F36</f>
        <v>115.71428571428571</v>
      </c>
      <c r="G36" s="49">
        <f>'Avg Week Spear Motors-Kyambogo'!G36+'Avg Week Kyambogo-Spear Motors'!G36</f>
        <v>3</v>
      </c>
      <c r="H36" s="49">
        <f>'Avg Week Spear Motors-Kyambogo'!H36+'Avg Week Kyambogo-Spear Motors'!H36</f>
        <v>2.2857142857142856</v>
      </c>
      <c r="I36" s="49">
        <f>'Avg Week Spear Motors-Kyambogo'!I36+'Avg Week Kyambogo-Spear Motors'!I36</f>
        <v>14.285714285714285</v>
      </c>
      <c r="J36" s="49">
        <f>'Avg Week Spear Motors-Kyambogo'!J36+'Avg Week Kyambogo-Spear Motors'!J36</f>
        <v>5.8571428571428577</v>
      </c>
      <c r="K36" s="49">
        <f>'Avg Week Spear Motors-Kyambogo'!K36+'Avg Week Kyambogo-Spear Motors'!K36</f>
        <v>4.2857142857142856</v>
      </c>
      <c r="L36" s="49">
        <f>'Avg Week Spear Motors-Kyambogo'!L36+'Avg Week Kyambogo-Spear Motors'!L36</f>
        <v>6.4285714285714288</v>
      </c>
      <c r="M36" s="49">
        <f>'Avg Week Spear Motors-Kyambogo'!M36+'Avg Week Kyambogo-Spear Motors'!M36</f>
        <v>481.42857142857144</v>
      </c>
      <c r="N36" s="49">
        <f>'Avg Week Spear Motors-Kyambogo'!N36+'Avg Week Kyambogo-Spear Motors'!N36</f>
        <v>0</v>
      </c>
      <c r="O36" s="15">
        <f t="shared" si="0"/>
        <v>349.14285714285711</v>
      </c>
      <c r="P36" s="15">
        <f t="shared" si="1"/>
        <v>830.57142857142856</v>
      </c>
      <c r="R36" s="38" t="s">
        <v>92</v>
      </c>
      <c r="S36" s="39">
        <f t="shared" ref="S36:AF36" si="28">MAX(S19:S21)</f>
        <v>715.42857142857133</v>
      </c>
      <c r="T36" s="39">
        <f t="shared" si="28"/>
        <v>259.85714285714289</v>
      </c>
      <c r="U36" s="39">
        <f t="shared" si="28"/>
        <v>135.71428571428572</v>
      </c>
      <c r="V36" s="39">
        <f t="shared" si="28"/>
        <v>434.85714285714289</v>
      </c>
      <c r="W36" s="39">
        <f t="shared" si="28"/>
        <v>17.428571428571431</v>
      </c>
      <c r="X36" s="39">
        <f t="shared" si="28"/>
        <v>6</v>
      </c>
      <c r="Y36" s="39">
        <f t="shared" si="28"/>
        <v>59.142857142857139</v>
      </c>
      <c r="Z36" s="39">
        <f t="shared" si="28"/>
        <v>28</v>
      </c>
      <c r="AA36" s="39">
        <f t="shared" si="28"/>
        <v>13.285714285714285</v>
      </c>
      <c r="AB36" s="39">
        <f t="shared" si="28"/>
        <v>28.714285714285715</v>
      </c>
      <c r="AC36" s="39">
        <f t="shared" si="28"/>
        <v>2296.2857142857142</v>
      </c>
      <c r="AD36" s="39">
        <f t="shared" si="28"/>
        <v>0</v>
      </c>
      <c r="AE36" s="40">
        <f t="shared" si="28"/>
        <v>1652.8571428571429</v>
      </c>
      <c r="AF36" s="40">
        <f t="shared" si="28"/>
        <v>3905</v>
      </c>
    </row>
    <row r="37" spans="2:32" ht="23.1" customHeight="1" x14ac:dyDescent="0.25">
      <c r="B37" s="23" t="s">
        <v>64</v>
      </c>
      <c r="C37" s="49">
        <f>'Avg Week Spear Motors-Kyambogo'!C37+'Avg Week Kyambogo-Spear Motors'!C37</f>
        <v>131.42857142857144</v>
      </c>
      <c r="D37" s="49">
        <f>'Avg Week Spear Motors-Kyambogo'!D37+'Avg Week Kyambogo-Spear Motors'!D37</f>
        <v>45.142857142857139</v>
      </c>
      <c r="E37" s="49">
        <f>'Avg Week Spear Motors-Kyambogo'!E37+'Avg Week Kyambogo-Spear Motors'!E37</f>
        <v>33</v>
      </c>
      <c r="F37" s="49">
        <f>'Avg Week Spear Motors-Kyambogo'!F37+'Avg Week Kyambogo-Spear Motors'!F37</f>
        <v>110</v>
      </c>
      <c r="G37" s="49">
        <f>'Avg Week Spear Motors-Kyambogo'!G37+'Avg Week Kyambogo-Spear Motors'!G37</f>
        <v>3.1428571428571428</v>
      </c>
      <c r="H37" s="49">
        <f>'Avg Week Spear Motors-Kyambogo'!H37+'Avg Week Kyambogo-Spear Motors'!H37</f>
        <v>1.2857142857142856</v>
      </c>
      <c r="I37" s="49">
        <f>'Avg Week Spear Motors-Kyambogo'!I37+'Avg Week Kyambogo-Spear Motors'!I37</f>
        <v>12.857142857142858</v>
      </c>
      <c r="J37" s="49">
        <f>'Avg Week Spear Motors-Kyambogo'!J37+'Avg Week Kyambogo-Spear Motors'!J37</f>
        <v>5.4285714285714288</v>
      </c>
      <c r="K37" s="49">
        <f>'Avg Week Spear Motors-Kyambogo'!K37+'Avg Week Kyambogo-Spear Motors'!K37</f>
        <v>2.1428571428571428</v>
      </c>
      <c r="L37" s="49">
        <f>'Avg Week Spear Motors-Kyambogo'!L37+'Avg Week Kyambogo-Spear Motors'!L37</f>
        <v>10.571428571428571</v>
      </c>
      <c r="M37" s="49">
        <f>'Avg Week Spear Motors-Kyambogo'!M37+'Avg Week Kyambogo-Spear Motors'!M37</f>
        <v>462.85714285714289</v>
      </c>
      <c r="N37" s="49">
        <f>'Avg Week Spear Motors-Kyambogo'!N37+'Avg Week Kyambogo-Spear Motors'!N37</f>
        <v>0</v>
      </c>
      <c r="O37" s="15">
        <f t="shared" si="0"/>
        <v>355</v>
      </c>
      <c r="P37" s="15">
        <f t="shared" si="1"/>
        <v>817.85714285714289</v>
      </c>
      <c r="R37" s="37" t="s">
        <v>85</v>
      </c>
      <c r="S37" s="35">
        <f t="shared" ref="S37:AF37" si="29">SUM(S10:S12)</f>
        <v>1532.2857142857144</v>
      </c>
      <c r="T37" s="16">
        <f t="shared" si="29"/>
        <v>479.71428571428572</v>
      </c>
      <c r="U37" s="16">
        <f t="shared" si="29"/>
        <v>338.28571428571428</v>
      </c>
      <c r="V37" s="16">
        <f t="shared" si="29"/>
        <v>1310.7142857142858</v>
      </c>
      <c r="W37" s="16">
        <f t="shared" si="29"/>
        <v>120.14285714285714</v>
      </c>
      <c r="X37" s="16">
        <f t="shared" si="29"/>
        <v>21.142857142857142</v>
      </c>
      <c r="Y37" s="16">
        <f t="shared" si="29"/>
        <v>104.85714285714285</v>
      </c>
      <c r="Z37" s="16">
        <f t="shared" si="29"/>
        <v>57.857142857142861</v>
      </c>
      <c r="AA37" s="16">
        <f t="shared" si="29"/>
        <v>44.166666666666664</v>
      </c>
      <c r="AB37" s="16">
        <f t="shared" si="29"/>
        <v>73.857142857142861</v>
      </c>
      <c r="AC37" s="16">
        <f t="shared" si="29"/>
        <v>6700.7142857142862</v>
      </c>
      <c r="AD37" s="16">
        <f t="shared" si="29"/>
        <v>0</v>
      </c>
      <c r="AE37" s="32">
        <f t="shared" si="29"/>
        <v>4083.0238095238101</v>
      </c>
      <c r="AF37" s="32">
        <f t="shared" si="29"/>
        <v>10783.738095238095</v>
      </c>
    </row>
    <row r="38" spans="2:32" ht="23.1" customHeight="1" x14ac:dyDescent="0.25">
      <c r="B38" s="24" t="s">
        <v>65</v>
      </c>
      <c r="C38" s="49">
        <f>'Avg Week Spear Motors-Kyambogo'!C38+'Avg Week Kyambogo-Spear Motors'!C38</f>
        <v>116.71428571428572</v>
      </c>
      <c r="D38" s="49">
        <f>'Avg Week Spear Motors-Kyambogo'!D38+'Avg Week Kyambogo-Spear Motors'!D38</f>
        <v>47.857142857142861</v>
      </c>
      <c r="E38" s="49">
        <f>'Avg Week Spear Motors-Kyambogo'!E38+'Avg Week Kyambogo-Spear Motors'!E38</f>
        <v>26.857142857142854</v>
      </c>
      <c r="F38" s="49">
        <f>'Avg Week Spear Motors-Kyambogo'!F38+'Avg Week Kyambogo-Spear Motors'!F38</f>
        <v>103.57142857142858</v>
      </c>
      <c r="G38" s="49">
        <f>'Avg Week Spear Motors-Kyambogo'!G38+'Avg Week Kyambogo-Spear Motors'!G38</f>
        <v>4</v>
      </c>
      <c r="H38" s="49">
        <f>'Avg Week Spear Motors-Kyambogo'!H38+'Avg Week Kyambogo-Spear Motors'!H38</f>
        <v>2.1428571428571428</v>
      </c>
      <c r="I38" s="49">
        <f>'Avg Week Spear Motors-Kyambogo'!I38+'Avg Week Kyambogo-Spear Motors'!I38</f>
        <v>17.428571428571427</v>
      </c>
      <c r="J38" s="49">
        <f>'Avg Week Spear Motors-Kyambogo'!J38+'Avg Week Kyambogo-Spear Motors'!J38</f>
        <v>7.7142857142857135</v>
      </c>
      <c r="K38" s="49">
        <f>'Avg Week Spear Motors-Kyambogo'!K38+'Avg Week Kyambogo-Spear Motors'!K38</f>
        <v>4.8571428571428568</v>
      </c>
      <c r="L38" s="49">
        <f>'Avg Week Spear Motors-Kyambogo'!L38+'Avg Week Kyambogo-Spear Motors'!L38</f>
        <v>13</v>
      </c>
      <c r="M38" s="49">
        <f>'Avg Week Spear Motors-Kyambogo'!M38+'Avg Week Kyambogo-Spear Motors'!M38</f>
        <v>500.42857142857144</v>
      </c>
      <c r="N38" s="49">
        <f>'Avg Week Spear Motors-Kyambogo'!N38+'Avg Week Kyambogo-Spear Motors'!N38</f>
        <v>0</v>
      </c>
      <c r="O38" s="15">
        <f t="shared" si="0"/>
        <v>344.14285714285717</v>
      </c>
      <c r="P38" s="15">
        <f t="shared" si="1"/>
        <v>844.57142857142867</v>
      </c>
      <c r="R38" s="28" t="s">
        <v>86</v>
      </c>
      <c r="S38" s="16">
        <f t="shared" ref="S38:AF38" si="30">SUM(S13:S18)</f>
        <v>2976.5714285714284</v>
      </c>
      <c r="T38" s="16">
        <f t="shared" si="30"/>
        <v>1080.8571428571429</v>
      </c>
      <c r="U38" s="16">
        <f t="shared" si="30"/>
        <v>665.28571428571422</v>
      </c>
      <c r="V38" s="16">
        <f t="shared" si="30"/>
        <v>2799.4285714285716</v>
      </c>
      <c r="W38" s="16">
        <f t="shared" si="30"/>
        <v>74.238095238095227</v>
      </c>
      <c r="X38" s="16">
        <f t="shared" si="30"/>
        <v>32.833333333333329</v>
      </c>
      <c r="Y38" s="16">
        <f t="shared" si="30"/>
        <v>342.57142857142856</v>
      </c>
      <c r="Z38" s="16">
        <f t="shared" si="30"/>
        <v>170.85714285714286</v>
      </c>
      <c r="AA38" s="16">
        <f t="shared" si="30"/>
        <v>86.309523809523796</v>
      </c>
      <c r="AB38" s="16">
        <f t="shared" si="30"/>
        <v>212.85714285714289</v>
      </c>
      <c r="AC38" s="16">
        <f t="shared" si="30"/>
        <v>12025</v>
      </c>
      <c r="AD38" s="16">
        <f t="shared" si="30"/>
        <v>0</v>
      </c>
      <c r="AE38" s="32">
        <f t="shared" si="30"/>
        <v>8441.8095238095229</v>
      </c>
      <c r="AF38" s="32">
        <f t="shared" si="30"/>
        <v>20466.809523809523</v>
      </c>
    </row>
    <row r="39" spans="2:32" ht="23.1" customHeight="1" x14ac:dyDescent="0.25">
      <c r="B39" s="24" t="s">
        <v>66</v>
      </c>
      <c r="C39" s="49">
        <f>'Avg Week Spear Motors-Kyambogo'!C39+'Avg Week Kyambogo-Spear Motors'!C39</f>
        <v>98.714285714285722</v>
      </c>
      <c r="D39" s="49">
        <f>'Avg Week Spear Motors-Kyambogo'!D39+'Avg Week Kyambogo-Spear Motors'!D39</f>
        <v>53.285714285714285</v>
      </c>
      <c r="E39" s="49">
        <f>'Avg Week Spear Motors-Kyambogo'!E39+'Avg Week Kyambogo-Spear Motors'!E39</f>
        <v>25.714285714285715</v>
      </c>
      <c r="F39" s="49">
        <f>'Avg Week Spear Motors-Kyambogo'!F39+'Avg Week Kyambogo-Spear Motors'!F39</f>
        <v>114.57142857142857</v>
      </c>
      <c r="G39" s="49">
        <f>'Avg Week Spear Motors-Kyambogo'!G39+'Avg Week Kyambogo-Spear Motors'!G39</f>
        <v>3.1428571428571428</v>
      </c>
      <c r="H39" s="49">
        <f>'Avg Week Spear Motors-Kyambogo'!H39+'Avg Week Kyambogo-Spear Motors'!H39</f>
        <v>2.1428571428571428</v>
      </c>
      <c r="I39" s="49">
        <f>'Avg Week Spear Motors-Kyambogo'!I39+'Avg Week Kyambogo-Spear Motors'!I39</f>
        <v>14.142857142857142</v>
      </c>
      <c r="J39" s="49">
        <f>'Avg Week Spear Motors-Kyambogo'!J39+'Avg Week Kyambogo-Spear Motors'!J39</f>
        <v>5.1428571428571423</v>
      </c>
      <c r="K39" s="49">
        <f>'Avg Week Spear Motors-Kyambogo'!K39+'Avg Week Kyambogo-Spear Motors'!K39</f>
        <v>3.4285714285714288</v>
      </c>
      <c r="L39" s="49">
        <f>'Avg Week Spear Motors-Kyambogo'!L39+'Avg Week Kyambogo-Spear Motors'!L39</f>
        <v>8.4285714285714288</v>
      </c>
      <c r="M39" s="49">
        <f>'Avg Week Spear Motors-Kyambogo'!M39+'Avg Week Kyambogo-Spear Motors'!M39</f>
        <v>422.85714285714289</v>
      </c>
      <c r="N39" s="49">
        <f>'Avg Week Spear Motors-Kyambogo'!N39+'Avg Week Kyambogo-Spear Motors'!N39</f>
        <v>0</v>
      </c>
      <c r="O39" s="15">
        <f t="shared" si="0"/>
        <v>328.71428571428584</v>
      </c>
      <c r="P39" s="15">
        <f t="shared" si="1"/>
        <v>751.57142857142867</v>
      </c>
      <c r="R39" s="29" t="s">
        <v>87</v>
      </c>
      <c r="S39" s="16">
        <f t="shared" ref="S39:AF39" si="31">SUM(S19:S21)</f>
        <v>1952.4285714285713</v>
      </c>
      <c r="T39" s="16">
        <f t="shared" si="31"/>
        <v>719.28571428571433</v>
      </c>
      <c r="U39" s="16">
        <f t="shared" si="31"/>
        <v>380.14285714285711</v>
      </c>
      <c r="V39" s="16">
        <f t="shared" si="31"/>
        <v>1267.4285714285716</v>
      </c>
      <c r="W39" s="16">
        <f t="shared" si="31"/>
        <v>41.857142857142854</v>
      </c>
      <c r="X39" s="16">
        <f t="shared" si="31"/>
        <v>17.714285714285715</v>
      </c>
      <c r="Y39" s="16">
        <f t="shared" si="31"/>
        <v>143.85714285714286</v>
      </c>
      <c r="Z39" s="16">
        <f t="shared" si="31"/>
        <v>75.857142857142861</v>
      </c>
      <c r="AA39" s="16">
        <f t="shared" si="31"/>
        <v>31.142857142857142</v>
      </c>
      <c r="AB39" s="16">
        <f t="shared" si="31"/>
        <v>65.428571428571431</v>
      </c>
      <c r="AC39" s="16">
        <f t="shared" si="31"/>
        <v>6519.4285714285706</v>
      </c>
      <c r="AD39" s="16">
        <f t="shared" si="31"/>
        <v>0</v>
      </c>
      <c r="AE39" s="32">
        <f t="shared" si="31"/>
        <v>4695.1428571428569</v>
      </c>
      <c r="AF39" s="32">
        <f t="shared" si="31"/>
        <v>11214.571428571429</v>
      </c>
    </row>
    <row r="40" spans="2:32" ht="23.1" customHeight="1" x14ac:dyDescent="0.25">
      <c r="B40" s="24" t="s">
        <v>67</v>
      </c>
      <c r="C40" s="49">
        <f>'Avg Week Spear Motors-Kyambogo'!C40+'Avg Week Kyambogo-Spear Motors'!C40</f>
        <v>127.57142857142857</v>
      </c>
      <c r="D40" s="49">
        <f>'Avg Week Spear Motors-Kyambogo'!D40+'Avg Week Kyambogo-Spear Motors'!D40</f>
        <v>45.714285714285715</v>
      </c>
      <c r="E40" s="49">
        <f>'Avg Week Spear Motors-Kyambogo'!E40+'Avg Week Kyambogo-Spear Motors'!E40</f>
        <v>28.571428571428573</v>
      </c>
      <c r="F40" s="49">
        <f>'Avg Week Spear Motors-Kyambogo'!F40+'Avg Week Kyambogo-Spear Motors'!F40</f>
        <v>106.57142857142857</v>
      </c>
      <c r="G40" s="49">
        <f>'Avg Week Spear Motors-Kyambogo'!G40+'Avg Week Kyambogo-Spear Motors'!G40</f>
        <v>2.5714285714285716</v>
      </c>
      <c r="H40" s="49">
        <f>'Avg Week Spear Motors-Kyambogo'!H40+'Avg Week Kyambogo-Spear Motors'!H40</f>
        <v>2.5714285714285712</v>
      </c>
      <c r="I40" s="49">
        <f>'Avg Week Spear Motors-Kyambogo'!I40+'Avg Week Kyambogo-Spear Motors'!I40</f>
        <v>14.714285714285715</v>
      </c>
      <c r="J40" s="49">
        <f>'Avg Week Spear Motors-Kyambogo'!J40+'Avg Week Kyambogo-Spear Motors'!J40</f>
        <v>5</v>
      </c>
      <c r="K40" s="49">
        <f>'Avg Week Spear Motors-Kyambogo'!K40+'Avg Week Kyambogo-Spear Motors'!K40</f>
        <v>3</v>
      </c>
      <c r="L40" s="49">
        <f>'Avg Week Spear Motors-Kyambogo'!L40+'Avg Week Kyambogo-Spear Motors'!L40</f>
        <v>8.4285714285714288</v>
      </c>
      <c r="M40" s="49">
        <f>'Avg Week Spear Motors-Kyambogo'!M40+'Avg Week Kyambogo-Spear Motors'!M40</f>
        <v>451.42857142857144</v>
      </c>
      <c r="N40" s="49">
        <f>'Avg Week Spear Motors-Kyambogo'!N40+'Avg Week Kyambogo-Spear Motors'!N40</f>
        <v>0</v>
      </c>
      <c r="O40" s="15">
        <f t="shared" si="0"/>
        <v>344.71428571428572</v>
      </c>
      <c r="P40" s="15">
        <f t="shared" si="1"/>
        <v>796.14285714285711</v>
      </c>
      <c r="R40" s="5" t="s">
        <v>17</v>
      </c>
      <c r="S40" s="16">
        <f t="shared" ref="S40:AC40" si="32">SUM(S10:S21)</f>
        <v>6461.2857142857147</v>
      </c>
      <c r="T40" s="16">
        <f t="shared" si="32"/>
        <v>2279.8571428571431</v>
      </c>
      <c r="U40" s="16">
        <f t="shared" si="32"/>
        <v>1383.7142857142858</v>
      </c>
      <c r="V40" s="16">
        <f t="shared" si="32"/>
        <v>5377.5714285714294</v>
      </c>
      <c r="W40" s="16">
        <f t="shared" si="32"/>
        <v>236.23809523809524</v>
      </c>
      <c r="X40" s="16">
        <f t="shared" si="32"/>
        <v>71.69047619047619</v>
      </c>
      <c r="Y40" s="16">
        <f t="shared" si="32"/>
        <v>591.28571428571433</v>
      </c>
      <c r="Z40" s="16">
        <f t="shared" si="32"/>
        <v>304.57142857142861</v>
      </c>
      <c r="AA40" s="16">
        <f t="shared" si="32"/>
        <v>161.61904761904762</v>
      </c>
      <c r="AB40" s="16">
        <f t="shared" si="32"/>
        <v>352.14285714285717</v>
      </c>
      <c r="AC40" s="16">
        <f t="shared" si="32"/>
        <v>25245.142857142855</v>
      </c>
      <c r="AD40" s="16">
        <v>0</v>
      </c>
      <c r="AE40" s="32">
        <f>SUM(AE10:AE21)</f>
        <v>17219.976190476187</v>
      </c>
      <c r="AF40" s="32">
        <f>SUM(AF10:AF21)</f>
        <v>42465.119047619046</v>
      </c>
    </row>
    <row r="41" spans="2:32" ht="23.1" customHeight="1" x14ac:dyDescent="0.25">
      <c r="B41" s="23" t="s">
        <v>68</v>
      </c>
      <c r="C41" s="49">
        <f>'Avg Week Spear Motors-Kyambogo'!C41+'Avg Week Kyambogo-Spear Motors'!C41</f>
        <v>127.85714285714286</v>
      </c>
      <c r="D41" s="49">
        <f>'Avg Week Spear Motors-Kyambogo'!D41+'Avg Week Kyambogo-Spear Motors'!D41</f>
        <v>40</v>
      </c>
      <c r="E41" s="49">
        <f>'Avg Week Spear Motors-Kyambogo'!E41+'Avg Week Kyambogo-Spear Motors'!E41</f>
        <v>24.142857142857146</v>
      </c>
      <c r="F41" s="49">
        <f>'Avg Week Spear Motors-Kyambogo'!F41+'Avg Week Kyambogo-Spear Motors'!F41</f>
        <v>97.857142857142861</v>
      </c>
      <c r="G41" s="49">
        <f>'Avg Week Spear Motors-Kyambogo'!G41+'Avg Week Kyambogo-Spear Motors'!G41</f>
        <v>3.1428571428571428</v>
      </c>
      <c r="H41" s="49">
        <f>'Avg Week Spear Motors-Kyambogo'!H41+'Avg Week Kyambogo-Spear Motors'!H41</f>
        <v>1.1428571428571428</v>
      </c>
      <c r="I41" s="49">
        <f>'Avg Week Spear Motors-Kyambogo'!I41+'Avg Week Kyambogo-Spear Motors'!I41</f>
        <v>16.428571428571431</v>
      </c>
      <c r="J41" s="49">
        <f>'Avg Week Spear Motors-Kyambogo'!J41+'Avg Week Kyambogo-Spear Motors'!J41</f>
        <v>8</v>
      </c>
      <c r="K41" s="49">
        <f>'Avg Week Spear Motors-Kyambogo'!K41+'Avg Week Kyambogo-Spear Motors'!K41</f>
        <v>5.1428571428571423</v>
      </c>
      <c r="L41" s="49">
        <f>'Avg Week Spear Motors-Kyambogo'!L41+'Avg Week Kyambogo-Spear Motors'!L41</f>
        <v>10.714285714285715</v>
      </c>
      <c r="M41" s="49">
        <f>'Avg Week Spear Motors-Kyambogo'!M41+'Avg Week Kyambogo-Spear Motors'!M41</f>
        <v>520.28571428571433</v>
      </c>
      <c r="N41" s="49">
        <f>'Avg Week Spear Motors-Kyambogo'!N41+'Avg Week Kyambogo-Spear Motors'!N41</f>
        <v>0</v>
      </c>
      <c r="O41" s="15">
        <f t="shared" si="0"/>
        <v>334.42857142857156</v>
      </c>
      <c r="P41" s="15">
        <f t="shared" si="1"/>
        <v>854.71428571428589</v>
      </c>
      <c r="R41" s="5" t="s">
        <v>176</v>
      </c>
      <c r="S41" s="52">
        <f>SUM(S10:S33)</f>
        <v>9169.7857142857138</v>
      </c>
      <c r="T41" s="52">
        <f t="shared" ref="T41:AC41" si="33">SUM(T10:T33)</f>
        <v>2812.8571428571431</v>
      </c>
      <c r="U41" s="52">
        <f t="shared" si="33"/>
        <v>1720.2142857142858</v>
      </c>
      <c r="V41" s="52">
        <f t="shared" si="33"/>
        <v>7774.5714285714294</v>
      </c>
      <c r="W41" s="52">
        <f t="shared" si="33"/>
        <v>382.73809523809524</v>
      </c>
      <c r="X41" s="52">
        <f t="shared" si="33"/>
        <v>155.1904761904762</v>
      </c>
      <c r="Y41" s="52">
        <f t="shared" si="33"/>
        <v>918.78571428571433</v>
      </c>
      <c r="Z41" s="52">
        <f t="shared" si="33"/>
        <v>552.57142857142867</v>
      </c>
      <c r="AA41" s="52">
        <f t="shared" si="33"/>
        <v>275.11904761904759</v>
      </c>
      <c r="AB41" s="52">
        <f t="shared" si="33"/>
        <v>530.64285714285711</v>
      </c>
      <c r="AC41" s="52">
        <f t="shared" si="33"/>
        <v>39434.142857142855</v>
      </c>
      <c r="AD41" s="16">
        <v>0</v>
      </c>
      <c r="AE41" s="53">
        <f>SUM(AE10:AE33)</f>
        <v>24292.476190476187</v>
      </c>
      <c r="AF41" s="53">
        <f>SUM(AF10:AF33)</f>
        <v>63726.619047619046</v>
      </c>
    </row>
    <row r="42" spans="2:32" ht="23.1" customHeight="1" x14ac:dyDescent="0.25">
      <c r="B42" s="24" t="s">
        <v>69</v>
      </c>
      <c r="C42" s="49">
        <f>'Avg Week Spear Motors-Kyambogo'!C42+'Avg Week Kyambogo-Spear Motors'!C42</f>
        <v>128.71428571428572</v>
      </c>
      <c r="D42" s="49">
        <f>'Avg Week Spear Motors-Kyambogo'!D42+'Avg Week Kyambogo-Spear Motors'!D42</f>
        <v>53.142857142857139</v>
      </c>
      <c r="E42" s="49">
        <f>'Avg Week Spear Motors-Kyambogo'!E42+'Avg Week Kyambogo-Spear Motors'!E42</f>
        <v>28.285714285714285</v>
      </c>
      <c r="F42" s="49">
        <f>'Avg Week Spear Motors-Kyambogo'!F42+'Avg Week Kyambogo-Spear Motors'!F42</f>
        <v>111.14285714285714</v>
      </c>
      <c r="G42" s="49">
        <f>'Avg Week Spear Motors-Kyambogo'!G42+'Avg Week Kyambogo-Spear Motors'!G42</f>
        <v>3</v>
      </c>
      <c r="H42" s="49">
        <f>'Avg Week Spear Motors-Kyambogo'!H42+'Avg Week Kyambogo-Spear Motors'!H42</f>
        <v>1.1428571428571428</v>
      </c>
      <c r="I42" s="49">
        <f>'Avg Week Spear Motors-Kyambogo'!I42+'Avg Week Kyambogo-Spear Motors'!I42</f>
        <v>15.142857142857144</v>
      </c>
      <c r="J42" s="49">
        <f>'Avg Week Spear Motors-Kyambogo'!J42+'Avg Week Kyambogo-Spear Motors'!J42</f>
        <v>6.1428571428571423</v>
      </c>
      <c r="K42" s="49">
        <f>'Avg Week Spear Motors-Kyambogo'!K42+'Avg Week Kyambogo-Spear Motors'!K42</f>
        <v>3.4285714285714288</v>
      </c>
      <c r="L42" s="49">
        <f>'Avg Week Spear Motors-Kyambogo'!L42+'Avg Week Kyambogo-Spear Motors'!L42</f>
        <v>9.7142857142857153</v>
      </c>
      <c r="M42" s="49">
        <f>'Avg Week Spear Motors-Kyambogo'!M42+'Avg Week Kyambogo-Spear Motors'!M42</f>
        <v>559</v>
      </c>
      <c r="N42" s="49">
        <f>'Avg Week Spear Motors-Kyambogo'!N42+'Avg Week Kyambogo-Spear Motors'!N42</f>
        <v>0</v>
      </c>
      <c r="O42" s="15">
        <f t="shared" si="0"/>
        <v>359.85714285714295</v>
      </c>
      <c r="P42" s="15">
        <f t="shared" si="1"/>
        <v>918.85714285714289</v>
      </c>
      <c r="R42" s="5" t="s">
        <v>160</v>
      </c>
      <c r="S42" s="48">
        <f>S41/S40</f>
        <v>1.4191890158968801</v>
      </c>
      <c r="T42" s="48">
        <f t="shared" ref="T42:AF42" si="34">T41/T40</f>
        <v>1.2337865781063977</v>
      </c>
      <c r="U42" s="48">
        <f t="shared" si="34"/>
        <v>1.2431860417096841</v>
      </c>
      <c r="V42" s="48">
        <f t="shared" si="34"/>
        <v>1.4457402438700422</v>
      </c>
      <c r="W42" s="48">
        <f t="shared" si="34"/>
        <v>1.6201370691392865</v>
      </c>
      <c r="X42" s="48">
        <f t="shared" si="34"/>
        <v>2.1647293258053804</v>
      </c>
      <c r="Y42" s="48">
        <f t="shared" si="34"/>
        <v>1.5538777482483692</v>
      </c>
      <c r="Z42" s="48">
        <f t="shared" si="34"/>
        <v>1.8142589118198875</v>
      </c>
      <c r="AA42" s="48">
        <f t="shared" si="34"/>
        <v>1.7022687094873303</v>
      </c>
      <c r="AB42" s="48">
        <f t="shared" si="34"/>
        <v>1.5068965517241377</v>
      </c>
      <c r="AC42" s="48">
        <f t="shared" si="34"/>
        <v>1.5620487109260057</v>
      </c>
      <c r="AD42" s="16">
        <v>0</v>
      </c>
      <c r="AE42" s="51">
        <f t="shared" si="34"/>
        <v>1.4107148535961143</v>
      </c>
      <c r="AF42" s="51">
        <f t="shared" si="34"/>
        <v>1.5006815117168992</v>
      </c>
    </row>
    <row r="43" spans="2:32" ht="23.1" customHeight="1" x14ac:dyDescent="0.25">
      <c r="B43" s="23" t="s">
        <v>70</v>
      </c>
      <c r="C43" s="49">
        <f>'Avg Week Spear Motors-Kyambogo'!C43+'Avg Week Kyambogo-Spear Motors'!C43</f>
        <v>134.42857142857142</v>
      </c>
      <c r="D43" s="49">
        <f>'Avg Week Spear Motors-Kyambogo'!D43+'Avg Week Kyambogo-Spear Motors'!D43</f>
        <v>54.142857142857139</v>
      </c>
      <c r="E43" s="49">
        <f>'Avg Week Spear Motors-Kyambogo'!E43+'Avg Week Kyambogo-Spear Motors'!E43</f>
        <v>26.428571428571431</v>
      </c>
      <c r="F43" s="49">
        <f>'Avg Week Spear Motors-Kyambogo'!F43+'Avg Week Kyambogo-Spear Motors'!F43</f>
        <v>107.85714285714286</v>
      </c>
      <c r="G43" s="49">
        <f>'Avg Week Spear Motors-Kyambogo'!G43+'Avg Week Kyambogo-Spear Motors'!G43</f>
        <v>3.8095238095238093</v>
      </c>
      <c r="H43" s="49">
        <f>'Avg Week Spear Motors-Kyambogo'!H43+'Avg Week Kyambogo-Spear Motors'!H43</f>
        <v>1.1428571428571428</v>
      </c>
      <c r="I43" s="49">
        <f>'Avg Week Spear Motors-Kyambogo'!I43+'Avg Week Kyambogo-Spear Motors'!I43</f>
        <v>16</v>
      </c>
      <c r="J43" s="49">
        <f>'Avg Week Spear Motors-Kyambogo'!J43+'Avg Week Kyambogo-Spear Motors'!J43</f>
        <v>9.8571428571428577</v>
      </c>
      <c r="K43" s="49">
        <f>'Avg Week Spear Motors-Kyambogo'!K43+'Avg Week Kyambogo-Spear Motors'!K43</f>
        <v>5.7380952380952381</v>
      </c>
      <c r="L43" s="49">
        <f>'Avg Week Spear Motors-Kyambogo'!L43+'Avg Week Kyambogo-Spear Motors'!L43</f>
        <v>9.2857142857142847</v>
      </c>
      <c r="M43" s="49">
        <f>'Avg Week Spear Motors-Kyambogo'!M43+'Avg Week Kyambogo-Spear Motors'!M43</f>
        <v>491.28571428571428</v>
      </c>
      <c r="N43" s="49">
        <f>'Avg Week Spear Motors-Kyambogo'!N43+'Avg Week Kyambogo-Spear Motors'!N43</f>
        <v>0</v>
      </c>
      <c r="O43" s="15">
        <f t="shared" si="0"/>
        <v>368.6904761904762</v>
      </c>
      <c r="P43" s="15">
        <f t="shared" si="1"/>
        <v>859.97619047619048</v>
      </c>
    </row>
    <row r="44" spans="2:32" ht="23.1" customHeight="1" x14ac:dyDescent="0.25">
      <c r="B44" s="25" t="s">
        <v>71</v>
      </c>
      <c r="C44" s="49">
        <f>'Avg Week Spear Motors-Kyambogo'!C44+'Avg Week Kyambogo-Spear Motors'!C44</f>
        <v>133.14285714285714</v>
      </c>
      <c r="D44" s="49">
        <f>'Avg Week Spear Motors-Kyambogo'!D44+'Avg Week Kyambogo-Spear Motors'!D44</f>
        <v>41.428571428571431</v>
      </c>
      <c r="E44" s="49">
        <f>'Avg Week Spear Motors-Kyambogo'!E44+'Avg Week Kyambogo-Spear Motors'!E44</f>
        <v>29.857142857142858</v>
      </c>
      <c r="F44" s="49">
        <f>'Avg Week Spear Motors-Kyambogo'!F44+'Avg Week Kyambogo-Spear Motors'!F44</f>
        <v>105.57142857142857</v>
      </c>
      <c r="G44" s="49">
        <f>'Avg Week Spear Motors-Kyambogo'!G44+'Avg Week Kyambogo-Spear Motors'!G44</f>
        <v>3.2857142857142856</v>
      </c>
      <c r="H44" s="49">
        <f>'Avg Week Spear Motors-Kyambogo'!H44+'Avg Week Kyambogo-Spear Motors'!H44</f>
        <v>1.8333333333333335</v>
      </c>
      <c r="I44" s="49">
        <f>'Avg Week Spear Motors-Kyambogo'!I44+'Avg Week Kyambogo-Spear Motors'!I44</f>
        <v>15.714285714285715</v>
      </c>
      <c r="J44" s="49">
        <f>'Avg Week Spear Motors-Kyambogo'!J44+'Avg Week Kyambogo-Spear Motors'!J44</f>
        <v>7.7142857142857144</v>
      </c>
      <c r="K44" s="49">
        <f>'Avg Week Spear Motors-Kyambogo'!K44+'Avg Week Kyambogo-Spear Motors'!K44</f>
        <v>4.8571428571428577</v>
      </c>
      <c r="L44" s="49">
        <f>'Avg Week Spear Motors-Kyambogo'!L44+'Avg Week Kyambogo-Spear Motors'!L44</f>
        <v>10.714285714285714</v>
      </c>
      <c r="M44" s="49">
        <f>'Avg Week Spear Motors-Kyambogo'!M44+'Avg Week Kyambogo-Spear Motors'!M44</f>
        <v>483.71428571428567</v>
      </c>
      <c r="N44" s="49">
        <f>'Avg Week Spear Motors-Kyambogo'!N44+'Avg Week Kyambogo-Spear Motors'!N44</f>
        <v>0</v>
      </c>
      <c r="O44" s="15">
        <f t="shared" si="0"/>
        <v>354.11904761904759</v>
      </c>
      <c r="P44" s="15">
        <f t="shared" si="1"/>
        <v>837.83333333333326</v>
      </c>
    </row>
    <row r="45" spans="2:32" ht="23.1" customHeight="1" x14ac:dyDescent="0.25">
      <c r="B45" s="23" t="s">
        <v>72</v>
      </c>
      <c r="C45" s="49">
        <f>'Avg Week Spear Motors-Kyambogo'!C45+'Avg Week Kyambogo-Spear Motors'!C45</f>
        <v>138.14285714285714</v>
      </c>
      <c r="D45" s="49">
        <f>'Avg Week Spear Motors-Kyambogo'!D45+'Avg Week Kyambogo-Spear Motors'!D45</f>
        <v>48.428571428571431</v>
      </c>
      <c r="E45" s="49">
        <f>'Avg Week Spear Motors-Kyambogo'!E45+'Avg Week Kyambogo-Spear Motors'!E45</f>
        <v>30.285714285714285</v>
      </c>
      <c r="F45" s="49">
        <f>'Avg Week Spear Motors-Kyambogo'!F45+'Avg Week Kyambogo-Spear Motors'!F45</f>
        <v>114.57142857142857</v>
      </c>
      <c r="G45" s="49">
        <f>'Avg Week Spear Motors-Kyambogo'!G45+'Avg Week Kyambogo-Spear Motors'!G45</f>
        <v>1.7142857142857142</v>
      </c>
      <c r="H45" s="49">
        <f>'Avg Week Spear Motors-Kyambogo'!H45+'Avg Week Kyambogo-Spear Motors'!H45</f>
        <v>1.2857142857142856</v>
      </c>
      <c r="I45" s="49">
        <f>'Avg Week Spear Motors-Kyambogo'!I45+'Avg Week Kyambogo-Spear Motors'!I45</f>
        <v>12.714285714285714</v>
      </c>
      <c r="J45" s="49">
        <f>'Avg Week Spear Motors-Kyambogo'!J45+'Avg Week Kyambogo-Spear Motors'!J45</f>
        <v>7.1428571428571432</v>
      </c>
      <c r="K45" s="49">
        <f>'Avg Week Spear Motors-Kyambogo'!K45+'Avg Week Kyambogo-Spear Motors'!K45</f>
        <v>2</v>
      </c>
      <c r="L45" s="49">
        <f>'Avg Week Spear Motors-Kyambogo'!L45+'Avg Week Kyambogo-Spear Motors'!L45</f>
        <v>9.8571428571428577</v>
      </c>
      <c r="M45" s="49">
        <f>'Avg Week Spear Motors-Kyambogo'!M45+'Avg Week Kyambogo-Spear Motors'!M45</f>
        <v>522.71428571428578</v>
      </c>
      <c r="N45" s="49">
        <f>'Avg Week Spear Motors-Kyambogo'!N45+'Avg Week Kyambogo-Spear Motors'!N45</f>
        <v>0</v>
      </c>
      <c r="O45" s="15">
        <f t="shared" si="0"/>
        <v>366.14285714285711</v>
      </c>
      <c r="P45" s="15">
        <f t="shared" si="1"/>
        <v>888.85714285714289</v>
      </c>
    </row>
    <row r="46" spans="2:32" ht="23.1" customHeight="1" x14ac:dyDescent="0.25">
      <c r="B46" s="24" t="s">
        <v>73</v>
      </c>
      <c r="C46" s="49">
        <f>'Avg Week Spear Motors-Kyambogo'!C46+'Avg Week Kyambogo-Spear Motors'!C46</f>
        <v>134</v>
      </c>
      <c r="D46" s="49">
        <f>'Avg Week Spear Motors-Kyambogo'!D46+'Avg Week Kyambogo-Spear Motors'!D46</f>
        <v>47</v>
      </c>
      <c r="E46" s="49">
        <f>'Avg Week Spear Motors-Kyambogo'!E46+'Avg Week Kyambogo-Spear Motors'!E46</f>
        <v>29.142857142857139</v>
      </c>
      <c r="F46" s="49">
        <f>'Avg Week Spear Motors-Kyambogo'!F46+'Avg Week Kyambogo-Spear Motors'!F46</f>
        <v>103.57142857142858</v>
      </c>
      <c r="G46" s="49">
        <f>'Avg Week Spear Motors-Kyambogo'!G46+'Avg Week Kyambogo-Spear Motors'!G46</f>
        <v>3.1428571428571428</v>
      </c>
      <c r="H46" s="49">
        <f>'Avg Week Spear Motors-Kyambogo'!H46+'Avg Week Kyambogo-Spear Motors'!H46</f>
        <v>1.857142857142857</v>
      </c>
      <c r="I46" s="49">
        <f>'Avg Week Spear Motors-Kyambogo'!I46+'Avg Week Kyambogo-Spear Motors'!I46</f>
        <v>15.142857142857142</v>
      </c>
      <c r="J46" s="49">
        <f>'Avg Week Spear Motors-Kyambogo'!J46+'Avg Week Kyambogo-Spear Motors'!J46</f>
        <v>6.1428571428571423</v>
      </c>
      <c r="K46" s="49">
        <f>'Avg Week Spear Motors-Kyambogo'!K46+'Avg Week Kyambogo-Spear Motors'!K46</f>
        <v>4</v>
      </c>
      <c r="L46" s="49">
        <f>'Avg Week Spear Motors-Kyambogo'!L46+'Avg Week Kyambogo-Spear Motors'!L46</f>
        <v>7.4285714285714288</v>
      </c>
      <c r="M46" s="49">
        <f>'Avg Week Spear Motors-Kyambogo'!M46+'Avg Week Kyambogo-Spear Motors'!M46</f>
        <v>550</v>
      </c>
      <c r="N46" s="49">
        <f>'Avg Week Spear Motors-Kyambogo'!N46+'Avg Week Kyambogo-Spear Motors'!N46</f>
        <v>0</v>
      </c>
      <c r="O46" s="15">
        <f t="shared" si="0"/>
        <v>351.4285714285715</v>
      </c>
      <c r="P46" s="15">
        <f t="shared" si="1"/>
        <v>901.42857142857156</v>
      </c>
      <c r="R46" s="8"/>
      <c r="T46"/>
    </row>
    <row r="47" spans="2:32" ht="23.1" customHeight="1" x14ac:dyDescent="0.25">
      <c r="B47" s="24" t="s">
        <v>74</v>
      </c>
      <c r="C47" s="49">
        <f>'Avg Week Spear Motors-Kyambogo'!C47+'Avg Week Kyambogo-Spear Motors'!C47</f>
        <v>129</v>
      </c>
      <c r="D47" s="49">
        <f>'Avg Week Spear Motors-Kyambogo'!D47+'Avg Week Kyambogo-Spear Motors'!D47</f>
        <v>47.428571428571431</v>
      </c>
      <c r="E47" s="49">
        <f>'Avg Week Spear Motors-Kyambogo'!E47+'Avg Week Kyambogo-Spear Motors'!E47</f>
        <v>21.142857142857142</v>
      </c>
      <c r="F47" s="49">
        <f>'Avg Week Spear Motors-Kyambogo'!F47+'Avg Week Kyambogo-Spear Motors'!F47</f>
        <v>112.71428571428572</v>
      </c>
      <c r="G47" s="49">
        <f>'Avg Week Spear Motors-Kyambogo'!G47+'Avg Week Kyambogo-Spear Motors'!G47</f>
        <v>2</v>
      </c>
      <c r="H47" s="49">
        <f>'Avg Week Spear Motors-Kyambogo'!H47+'Avg Week Kyambogo-Spear Motors'!H47</f>
        <v>1</v>
      </c>
      <c r="I47" s="49">
        <f>'Avg Week Spear Motors-Kyambogo'!I47+'Avg Week Kyambogo-Spear Motors'!I47</f>
        <v>14.142857142857142</v>
      </c>
      <c r="J47" s="49">
        <f>'Avg Week Spear Motors-Kyambogo'!J47+'Avg Week Kyambogo-Spear Motors'!J47</f>
        <v>7</v>
      </c>
      <c r="K47" s="49">
        <f>'Avg Week Spear Motors-Kyambogo'!K47+'Avg Week Kyambogo-Spear Motors'!K47</f>
        <v>2.8571428571428568</v>
      </c>
      <c r="L47" s="49">
        <f>'Avg Week Spear Motors-Kyambogo'!L47+'Avg Week Kyambogo-Spear Motors'!L47</f>
        <v>8.7142857142857153</v>
      </c>
      <c r="M47" s="49">
        <f>'Avg Week Spear Motors-Kyambogo'!M47+'Avg Week Kyambogo-Spear Motors'!M47</f>
        <v>469.57142857142856</v>
      </c>
      <c r="N47" s="49">
        <f>'Avg Week Spear Motors-Kyambogo'!N47+'Avg Week Kyambogo-Spear Motors'!N47</f>
        <v>0</v>
      </c>
      <c r="O47" s="15">
        <f t="shared" si="0"/>
        <v>346.00000000000006</v>
      </c>
      <c r="P47" s="15">
        <f t="shared" si="1"/>
        <v>815.57142857142867</v>
      </c>
      <c r="R47" s="8"/>
      <c r="T47"/>
    </row>
    <row r="48" spans="2:32" ht="23.1" customHeight="1" x14ac:dyDescent="0.25">
      <c r="B48" s="24" t="s">
        <v>75</v>
      </c>
      <c r="C48" s="49">
        <f>'Avg Week Spear Motors-Kyambogo'!C48+'Avg Week Kyambogo-Spear Motors'!C48</f>
        <v>152.28571428571428</v>
      </c>
      <c r="D48" s="49">
        <f>'Avg Week Spear Motors-Kyambogo'!D48+'Avg Week Kyambogo-Spear Motors'!D48</f>
        <v>53.714285714285708</v>
      </c>
      <c r="E48" s="49">
        <f>'Avg Week Spear Motors-Kyambogo'!E48+'Avg Week Kyambogo-Spear Motors'!E48</f>
        <v>31.857142857142858</v>
      </c>
      <c r="F48" s="49">
        <f>'Avg Week Spear Motors-Kyambogo'!F48+'Avg Week Kyambogo-Spear Motors'!F48</f>
        <v>114.14285714285714</v>
      </c>
      <c r="G48" s="49">
        <f>'Avg Week Spear Motors-Kyambogo'!G48+'Avg Week Kyambogo-Spear Motors'!G48</f>
        <v>3.2857142857142856</v>
      </c>
      <c r="H48" s="49">
        <f>'Avg Week Spear Motors-Kyambogo'!H48+'Avg Week Kyambogo-Spear Motors'!H48</f>
        <v>2</v>
      </c>
      <c r="I48" s="49">
        <f>'Avg Week Spear Motors-Kyambogo'!I48+'Avg Week Kyambogo-Spear Motors'!I48</f>
        <v>17</v>
      </c>
      <c r="J48" s="49">
        <f>'Avg Week Spear Motors-Kyambogo'!J48+'Avg Week Kyambogo-Spear Motors'!J48</f>
        <v>6.2857142857142856</v>
      </c>
      <c r="K48" s="49">
        <f>'Avg Week Spear Motors-Kyambogo'!K48+'Avg Week Kyambogo-Spear Motors'!K48</f>
        <v>3.7142857142857144</v>
      </c>
      <c r="L48" s="49">
        <f>'Avg Week Spear Motors-Kyambogo'!L48+'Avg Week Kyambogo-Spear Motors'!L48</f>
        <v>6.5714285714285712</v>
      </c>
      <c r="M48" s="49">
        <f>'Avg Week Spear Motors-Kyambogo'!M48+'Avg Week Kyambogo-Spear Motors'!M48</f>
        <v>435.42857142857144</v>
      </c>
      <c r="N48" s="49">
        <f>'Avg Week Spear Motors-Kyambogo'!N48+'Avg Week Kyambogo-Spear Motors'!N48</f>
        <v>0</v>
      </c>
      <c r="O48" s="15">
        <f t="shared" si="0"/>
        <v>390.85714285714283</v>
      </c>
      <c r="P48" s="15">
        <f t="shared" si="1"/>
        <v>826.28571428571422</v>
      </c>
      <c r="R48" s="8"/>
      <c r="T48"/>
    </row>
    <row r="49" spans="2:20" ht="23.1" customHeight="1" x14ac:dyDescent="0.25">
      <c r="B49" s="23" t="s">
        <v>76</v>
      </c>
      <c r="C49" s="49">
        <f>'Avg Week Spear Motors-Kyambogo'!C49+'Avg Week Kyambogo-Spear Motors'!C49</f>
        <v>154.14285714285714</v>
      </c>
      <c r="D49" s="49">
        <f>'Avg Week Spear Motors-Kyambogo'!D49+'Avg Week Kyambogo-Spear Motors'!D49</f>
        <v>53.285714285714285</v>
      </c>
      <c r="E49" s="49">
        <f>'Avg Week Spear Motors-Kyambogo'!E49+'Avg Week Kyambogo-Spear Motors'!E49</f>
        <v>27.428571428571431</v>
      </c>
      <c r="F49" s="49">
        <f>'Avg Week Spear Motors-Kyambogo'!F49+'Avg Week Kyambogo-Spear Motors'!F49</f>
        <v>104.42857142857143</v>
      </c>
      <c r="G49" s="49">
        <f>'Avg Week Spear Motors-Kyambogo'!G49+'Avg Week Kyambogo-Spear Motors'!G49</f>
        <v>4.2857142857142856</v>
      </c>
      <c r="H49" s="49">
        <f>'Avg Week Spear Motors-Kyambogo'!H49+'Avg Week Kyambogo-Spear Motors'!H49</f>
        <v>1.1428571428571428</v>
      </c>
      <c r="I49" s="49">
        <f>'Avg Week Spear Motors-Kyambogo'!I49+'Avg Week Kyambogo-Spear Motors'!I49</f>
        <v>12.857142857142858</v>
      </c>
      <c r="J49" s="49">
        <f>'Avg Week Spear Motors-Kyambogo'!J49+'Avg Week Kyambogo-Spear Motors'!J49</f>
        <v>8.5714285714285712</v>
      </c>
      <c r="K49" s="49">
        <f>'Avg Week Spear Motors-Kyambogo'!K49+'Avg Week Kyambogo-Spear Motors'!K49</f>
        <v>2.7142857142857144</v>
      </c>
      <c r="L49" s="49">
        <f>'Avg Week Spear Motors-Kyambogo'!L49+'Avg Week Kyambogo-Spear Motors'!L49</f>
        <v>6</v>
      </c>
      <c r="M49" s="49">
        <f>'Avg Week Spear Motors-Kyambogo'!M49+'Avg Week Kyambogo-Spear Motors'!M49</f>
        <v>516</v>
      </c>
      <c r="N49" s="49">
        <f>'Avg Week Spear Motors-Kyambogo'!N49+'Avg Week Kyambogo-Spear Motors'!N49</f>
        <v>0</v>
      </c>
      <c r="O49" s="15">
        <f t="shared" si="0"/>
        <v>374.85714285714283</v>
      </c>
      <c r="P49" s="15">
        <f t="shared" si="1"/>
        <v>890.85714285714289</v>
      </c>
      <c r="R49" s="8"/>
      <c r="T49"/>
    </row>
    <row r="50" spans="2:20" ht="23.1" customHeight="1" x14ac:dyDescent="0.25">
      <c r="B50" s="24" t="s">
        <v>77</v>
      </c>
      <c r="C50" s="49">
        <f>'Avg Week Spear Motors-Kyambogo'!C50+'Avg Week Kyambogo-Spear Motors'!C50</f>
        <v>158</v>
      </c>
      <c r="D50" s="49">
        <f>'Avg Week Spear Motors-Kyambogo'!D50+'Avg Week Kyambogo-Spear Motors'!D50</f>
        <v>64.428571428571431</v>
      </c>
      <c r="E50" s="49">
        <f>'Avg Week Spear Motors-Kyambogo'!E50+'Avg Week Kyambogo-Spear Motors'!E50</f>
        <v>33.285714285714285</v>
      </c>
      <c r="F50" s="49">
        <f>'Avg Week Spear Motors-Kyambogo'!F50+'Avg Week Kyambogo-Spear Motors'!F50</f>
        <v>97.428571428571431</v>
      </c>
      <c r="G50" s="49">
        <f>'Avg Week Spear Motors-Kyambogo'!G50+'Avg Week Kyambogo-Spear Motors'!G50</f>
        <v>3</v>
      </c>
      <c r="H50" s="49">
        <f>'Avg Week Spear Motors-Kyambogo'!H50+'Avg Week Kyambogo-Spear Motors'!H50</f>
        <v>1.2857142857142856</v>
      </c>
      <c r="I50" s="49">
        <f>'Avg Week Spear Motors-Kyambogo'!I50+'Avg Week Kyambogo-Spear Motors'!I50</f>
        <v>11.571428571428571</v>
      </c>
      <c r="J50" s="49">
        <f>'Avg Week Spear Motors-Kyambogo'!J50+'Avg Week Kyambogo-Spear Motors'!J50</f>
        <v>8</v>
      </c>
      <c r="K50" s="49">
        <f>'Avg Week Spear Motors-Kyambogo'!K50+'Avg Week Kyambogo-Spear Motors'!K50</f>
        <v>3</v>
      </c>
      <c r="L50" s="49">
        <f>'Avg Week Spear Motors-Kyambogo'!L50+'Avg Week Kyambogo-Spear Motors'!L50</f>
        <v>6.5714285714285712</v>
      </c>
      <c r="M50" s="49">
        <f>'Avg Week Spear Motors-Kyambogo'!M50+'Avg Week Kyambogo-Spear Motors'!M50</f>
        <v>634.57142857142856</v>
      </c>
      <c r="N50" s="49">
        <f>'Avg Week Spear Motors-Kyambogo'!N50+'Avg Week Kyambogo-Spear Motors'!N50</f>
        <v>0</v>
      </c>
      <c r="O50" s="15">
        <f t="shared" si="0"/>
        <v>386.57142857142856</v>
      </c>
      <c r="P50" s="15">
        <f t="shared" si="1"/>
        <v>1021.1428571428571</v>
      </c>
      <c r="R50" s="8"/>
      <c r="T50"/>
    </row>
    <row r="51" spans="2:20" ht="23.1" customHeight="1" x14ac:dyDescent="0.25">
      <c r="B51" s="24" t="s">
        <v>78</v>
      </c>
      <c r="C51" s="49">
        <f>'Avg Week Spear Motors-Kyambogo'!C51+'Avg Week Kyambogo-Spear Motors'!C51</f>
        <v>156</v>
      </c>
      <c r="D51" s="49">
        <f>'Avg Week Spear Motors-Kyambogo'!D51+'Avg Week Kyambogo-Spear Motors'!D51</f>
        <v>54.428571428571431</v>
      </c>
      <c r="E51" s="49">
        <f>'Avg Week Spear Motors-Kyambogo'!E51+'Avg Week Kyambogo-Spear Motors'!E51</f>
        <v>30.857142857142854</v>
      </c>
      <c r="F51" s="49">
        <f>'Avg Week Spear Motors-Kyambogo'!F51+'Avg Week Kyambogo-Spear Motors'!F51</f>
        <v>101.71428571428572</v>
      </c>
      <c r="G51" s="49">
        <f>'Avg Week Spear Motors-Kyambogo'!G51+'Avg Week Kyambogo-Spear Motors'!G51</f>
        <v>2.5714285714285716</v>
      </c>
      <c r="H51" s="49">
        <f>'Avg Week Spear Motors-Kyambogo'!H51+'Avg Week Kyambogo-Spear Motors'!H51</f>
        <v>0.8571428571428571</v>
      </c>
      <c r="I51" s="49">
        <f>'Avg Week Spear Motors-Kyambogo'!I51+'Avg Week Kyambogo-Spear Motors'!I51</f>
        <v>10.428571428571429</v>
      </c>
      <c r="J51" s="49">
        <f>'Avg Week Spear Motors-Kyambogo'!J51+'Avg Week Kyambogo-Spear Motors'!J51</f>
        <v>5</v>
      </c>
      <c r="K51" s="49">
        <f>'Avg Week Spear Motors-Kyambogo'!K51+'Avg Week Kyambogo-Spear Motors'!K51</f>
        <v>2</v>
      </c>
      <c r="L51" s="49">
        <f>'Avg Week Spear Motors-Kyambogo'!L51+'Avg Week Kyambogo-Spear Motors'!L51</f>
        <v>4.2857142857142856</v>
      </c>
      <c r="M51" s="49">
        <f>'Avg Week Spear Motors-Kyambogo'!M51+'Avg Week Kyambogo-Spear Motors'!M51</f>
        <v>559.57142857142867</v>
      </c>
      <c r="N51" s="49">
        <f>'Avg Week Spear Motors-Kyambogo'!N51+'Avg Week Kyambogo-Spear Motors'!N51</f>
        <v>0</v>
      </c>
      <c r="O51" s="15">
        <f t="shared" si="0"/>
        <v>368.14285714285711</v>
      </c>
      <c r="P51" s="15">
        <f t="shared" si="1"/>
        <v>927.71428571428578</v>
      </c>
      <c r="R51" s="8"/>
      <c r="T51"/>
    </row>
    <row r="52" spans="2:20" ht="23.1" customHeight="1" x14ac:dyDescent="0.25">
      <c r="B52" s="24" t="s">
        <v>79</v>
      </c>
      <c r="C52" s="49">
        <f>'Avg Week Spear Motors-Kyambogo'!C52+'Avg Week Kyambogo-Spear Motors'!C52</f>
        <v>179.42857142857142</v>
      </c>
      <c r="D52" s="49">
        <f>'Avg Week Spear Motors-Kyambogo'!D52+'Avg Week Kyambogo-Spear Motors'!D52</f>
        <v>68.714285714285722</v>
      </c>
      <c r="E52" s="49">
        <f>'Avg Week Spear Motors-Kyambogo'!E52+'Avg Week Kyambogo-Spear Motors'!E52</f>
        <v>35</v>
      </c>
      <c r="F52" s="49">
        <f>'Avg Week Spear Motors-Kyambogo'!F52+'Avg Week Kyambogo-Spear Motors'!F52</f>
        <v>103.71428571428572</v>
      </c>
      <c r="G52" s="49">
        <f>'Avg Week Spear Motors-Kyambogo'!G52+'Avg Week Kyambogo-Spear Motors'!G52</f>
        <v>3</v>
      </c>
      <c r="H52" s="49">
        <f>'Avg Week Spear Motors-Kyambogo'!H52+'Avg Week Kyambogo-Spear Motors'!H52</f>
        <v>2.8571428571428572</v>
      </c>
      <c r="I52" s="49">
        <f>'Avg Week Spear Motors-Kyambogo'!I52+'Avg Week Kyambogo-Spear Motors'!I52</f>
        <v>11.571428571428571</v>
      </c>
      <c r="J52" s="49">
        <f>'Avg Week Spear Motors-Kyambogo'!J52+'Avg Week Kyambogo-Spear Motors'!J52</f>
        <v>6.7142857142857144</v>
      </c>
      <c r="K52" s="49">
        <f>'Avg Week Spear Motors-Kyambogo'!K52+'Avg Week Kyambogo-Spear Motors'!K52</f>
        <v>2.2857142857142856</v>
      </c>
      <c r="L52" s="49">
        <f>'Avg Week Spear Motors-Kyambogo'!L52+'Avg Week Kyambogo-Spear Motors'!L52</f>
        <v>6.8571428571428577</v>
      </c>
      <c r="M52" s="49">
        <f>'Avg Week Spear Motors-Kyambogo'!M52+'Avg Week Kyambogo-Spear Motors'!M52</f>
        <v>534.57142857142856</v>
      </c>
      <c r="N52" s="49">
        <f>'Avg Week Spear Motors-Kyambogo'!N52+'Avg Week Kyambogo-Spear Motors'!N52</f>
        <v>0</v>
      </c>
      <c r="O52" s="15">
        <f t="shared" si="0"/>
        <v>420.14285714285705</v>
      </c>
      <c r="P52" s="15">
        <f t="shared" si="1"/>
        <v>954.71428571428555</v>
      </c>
      <c r="R52" s="8"/>
      <c r="T52"/>
    </row>
    <row r="53" spans="2:20" ht="23.1" customHeight="1" x14ac:dyDescent="0.25">
      <c r="B53" s="23" t="s">
        <v>80</v>
      </c>
      <c r="C53" s="49">
        <f>'Avg Week Spear Motors-Kyambogo'!C53+'Avg Week Kyambogo-Spear Motors'!C53</f>
        <v>174.14285714285714</v>
      </c>
      <c r="D53" s="49">
        <f>'Avg Week Spear Motors-Kyambogo'!D53+'Avg Week Kyambogo-Spear Motors'!D53</f>
        <v>70.428571428571431</v>
      </c>
      <c r="E53" s="49">
        <f>'Avg Week Spear Motors-Kyambogo'!E53+'Avg Week Kyambogo-Spear Motors'!E53</f>
        <v>36.571428571428569</v>
      </c>
      <c r="F53" s="49">
        <f>'Avg Week Spear Motors-Kyambogo'!F53+'Avg Week Kyambogo-Spear Motors'!F53</f>
        <v>96.428571428571416</v>
      </c>
      <c r="G53" s="49">
        <f>'Avg Week Spear Motors-Kyambogo'!G53+'Avg Week Kyambogo-Spear Motors'!G53</f>
        <v>3.1428571428571428</v>
      </c>
      <c r="H53" s="49">
        <f>'Avg Week Spear Motors-Kyambogo'!H53+'Avg Week Kyambogo-Spear Motors'!H53</f>
        <v>1</v>
      </c>
      <c r="I53" s="49">
        <f>'Avg Week Spear Motors-Kyambogo'!I53+'Avg Week Kyambogo-Spear Motors'!I53</f>
        <v>10.857142857142858</v>
      </c>
      <c r="J53" s="49">
        <f>'Avg Week Spear Motors-Kyambogo'!J53+'Avg Week Kyambogo-Spear Motors'!J53</f>
        <v>4.7142857142857144</v>
      </c>
      <c r="K53" s="49">
        <f>'Avg Week Spear Motors-Kyambogo'!K53+'Avg Week Kyambogo-Spear Motors'!K53</f>
        <v>2.7142857142857144</v>
      </c>
      <c r="L53" s="49">
        <f>'Avg Week Spear Motors-Kyambogo'!L53+'Avg Week Kyambogo-Spear Motors'!L53</f>
        <v>4.2857142857142856</v>
      </c>
      <c r="M53" s="49">
        <f>'Avg Week Spear Motors-Kyambogo'!M53+'Avg Week Kyambogo-Spear Motors'!M53</f>
        <v>567.57142857142856</v>
      </c>
      <c r="N53" s="49">
        <f>'Avg Week Spear Motors-Kyambogo'!N53+'Avg Week Kyambogo-Spear Motors'!N53</f>
        <v>0</v>
      </c>
      <c r="O53" s="15">
        <f t="shared" si="0"/>
        <v>404.28571428571428</v>
      </c>
      <c r="P53" s="15">
        <f t="shared" si="1"/>
        <v>971.85714285714289</v>
      </c>
      <c r="R53" s="8"/>
      <c r="T53"/>
    </row>
    <row r="54" spans="2:20" ht="23.1" customHeight="1" x14ac:dyDescent="0.25">
      <c r="B54" s="23" t="s">
        <v>81</v>
      </c>
      <c r="C54" s="49">
        <f>'Avg Week Spear Motors-Kyambogo'!C54+'Avg Week Kyambogo-Spear Motors'!C54</f>
        <v>173.42857142857142</v>
      </c>
      <c r="D54" s="49">
        <f>'Avg Week Spear Motors-Kyambogo'!D54+'Avg Week Kyambogo-Spear Motors'!D54</f>
        <v>67.714285714285708</v>
      </c>
      <c r="E54" s="49">
        <f>'Avg Week Spear Motors-Kyambogo'!E54+'Avg Week Kyambogo-Spear Motors'!E54</f>
        <v>33.285714285714285</v>
      </c>
      <c r="F54" s="49">
        <f>'Avg Week Spear Motors-Kyambogo'!F54+'Avg Week Kyambogo-Spear Motors'!F54</f>
        <v>107.42857142857143</v>
      </c>
      <c r="G54" s="49">
        <f>'Avg Week Spear Motors-Kyambogo'!G54+'Avg Week Kyambogo-Spear Motors'!G54</f>
        <v>2.8571428571428572</v>
      </c>
      <c r="H54" s="49">
        <f>'Avg Week Spear Motors-Kyambogo'!H54+'Avg Week Kyambogo-Spear Motors'!H54</f>
        <v>2</v>
      </c>
      <c r="I54" s="49">
        <f>'Avg Week Spear Motors-Kyambogo'!I54+'Avg Week Kyambogo-Spear Motors'!I54</f>
        <v>13.142857142857142</v>
      </c>
      <c r="J54" s="49">
        <f>'Avg Week Spear Motors-Kyambogo'!J54+'Avg Week Kyambogo-Spear Motors'!J54</f>
        <v>6</v>
      </c>
      <c r="K54" s="49">
        <f>'Avg Week Spear Motors-Kyambogo'!K54+'Avg Week Kyambogo-Spear Motors'!K54</f>
        <v>2.4285714285714288</v>
      </c>
      <c r="L54" s="49">
        <f>'Avg Week Spear Motors-Kyambogo'!L54+'Avg Week Kyambogo-Spear Motors'!L54</f>
        <v>4</v>
      </c>
      <c r="M54" s="49">
        <f>'Avg Week Spear Motors-Kyambogo'!M54+'Avg Week Kyambogo-Spear Motors'!M54</f>
        <v>576.71428571428567</v>
      </c>
      <c r="N54" s="49">
        <f>'Avg Week Spear Motors-Kyambogo'!N54+'Avg Week Kyambogo-Spear Motors'!N54</f>
        <v>0</v>
      </c>
      <c r="O54" s="15">
        <f t="shared" si="0"/>
        <v>412.28571428571428</v>
      </c>
      <c r="P54" s="15">
        <f t="shared" si="1"/>
        <v>989</v>
      </c>
      <c r="R54" s="8"/>
      <c r="T54"/>
    </row>
    <row r="55" spans="2:20" ht="23.1" customHeight="1" x14ac:dyDescent="0.25">
      <c r="B55" s="23" t="s">
        <v>82</v>
      </c>
      <c r="C55" s="49">
        <f>'Avg Week Spear Motors-Kyambogo'!C55+'Avg Week Kyambogo-Spear Motors'!C55</f>
        <v>174.71428571428572</v>
      </c>
      <c r="D55" s="49">
        <f>'Avg Week Spear Motors-Kyambogo'!D55+'Avg Week Kyambogo-Spear Motors'!D55</f>
        <v>62.142857142857146</v>
      </c>
      <c r="E55" s="49">
        <f>'Avg Week Spear Motors-Kyambogo'!E55+'Avg Week Kyambogo-Spear Motors'!E55</f>
        <v>29.714285714285715</v>
      </c>
      <c r="F55" s="49">
        <f>'Avg Week Spear Motors-Kyambogo'!F55+'Avg Week Kyambogo-Spear Motors'!F55</f>
        <v>101.28571428571428</v>
      </c>
      <c r="G55" s="49">
        <f>'Avg Week Spear Motors-Kyambogo'!G55+'Avg Week Kyambogo-Spear Motors'!G55</f>
        <v>4.7142857142857144</v>
      </c>
      <c r="H55" s="49">
        <f>'Avg Week Spear Motors-Kyambogo'!H55+'Avg Week Kyambogo-Spear Motors'!H55</f>
        <v>1.8571428571428572</v>
      </c>
      <c r="I55" s="49">
        <f>'Avg Week Spear Motors-Kyambogo'!I55+'Avg Week Kyambogo-Spear Motors'!I55</f>
        <v>11</v>
      </c>
      <c r="J55" s="49">
        <f>'Avg Week Spear Motors-Kyambogo'!J55+'Avg Week Kyambogo-Spear Motors'!J55</f>
        <v>4.2857142857142856</v>
      </c>
      <c r="K55" s="49">
        <f>'Avg Week Spear Motors-Kyambogo'!K55+'Avg Week Kyambogo-Spear Motors'!K55</f>
        <v>1.7142857142857142</v>
      </c>
      <c r="L55" s="49">
        <f>'Avg Week Spear Motors-Kyambogo'!L55+'Avg Week Kyambogo-Spear Motors'!L55</f>
        <v>4.1428571428571423</v>
      </c>
      <c r="M55" s="49">
        <f>'Avg Week Spear Motors-Kyambogo'!M55+'Avg Week Kyambogo-Spear Motors'!M55</f>
        <v>505</v>
      </c>
      <c r="N55" s="49">
        <f>'Avg Week Spear Motors-Kyambogo'!N55+'Avg Week Kyambogo-Spear Motors'!N55</f>
        <v>0</v>
      </c>
      <c r="O55" s="15">
        <f t="shared" si="0"/>
        <v>395.57142857142856</v>
      </c>
      <c r="P55" s="15">
        <f t="shared" si="1"/>
        <v>900.57142857142856</v>
      </c>
      <c r="R55" s="8"/>
      <c r="T55"/>
    </row>
    <row r="56" spans="2:20" ht="23.1" customHeight="1" x14ac:dyDescent="0.25">
      <c r="B56" s="23" t="s">
        <v>83</v>
      </c>
      <c r="C56" s="49">
        <f>'Avg Week Spear Motors-Kyambogo'!C56+'Avg Week Kyambogo-Spear Motors'!C56</f>
        <v>178</v>
      </c>
      <c r="D56" s="49">
        <f>'Avg Week Spear Motors-Kyambogo'!D56+'Avg Week Kyambogo-Spear Motors'!D56</f>
        <v>66.571428571428569</v>
      </c>
      <c r="E56" s="49">
        <f>'Avg Week Spear Motors-Kyambogo'!E56+'Avg Week Kyambogo-Spear Motors'!E56</f>
        <v>35.142857142857139</v>
      </c>
      <c r="F56" s="49">
        <f>'Avg Week Spear Motors-Kyambogo'!F56+'Avg Week Kyambogo-Spear Motors'!F56</f>
        <v>106.42857142857142</v>
      </c>
      <c r="G56" s="49">
        <f>'Avg Week Spear Motors-Kyambogo'!G56+'Avg Week Kyambogo-Spear Motors'!G56</f>
        <v>4</v>
      </c>
      <c r="H56" s="49">
        <f>'Avg Week Spear Motors-Kyambogo'!H56+'Avg Week Kyambogo-Spear Motors'!H56</f>
        <v>1.1428571428571428</v>
      </c>
      <c r="I56" s="49">
        <f>'Avg Week Spear Motors-Kyambogo'!I56+'Avg Week Kyambogo-Spear Motors'!I56</f>
        <v>7.8571428571428577</v>
      </c>
      <c r="J56" s="49">
        <f>'Avg Week Spear Motors-Kyambogo'!J56+'Avg Week Kyambogo-Spear Motors'!J56</f>
        <v>8.2857142857142847</v>
      </c>
      <c r="K56" s="49">
        <f>'Avg Week Spear Motors-Kyambogo'!K56+'Avg Week Kyambogo-Spear Motors'!K56</f>
        <v>1.2857142857142856</v>
      </c>
      <c r="L56" s="49">
        <f>'Avg Week Spear Motors-Kyambogo'!L56+'Avg Week Kyambogo-Spear Motors'!L56</f>
        <v>3.2857142857142856</v>
      </c>
      <c r="M56" s="49">
        <f>'Avg Week Spear Motors-Kyambogo'!M56+'Avg Week Kyambogo-Spear Motors'!M56</f>
        <v>528</v>
      </c>
      <c r="N56" s="49">
        <f>'Avg Week Spear Motors-Kyambogo'!N56+'Avg Week Kyambogo-Spear Motors'!N56</f>
        <v>0</v>
      </c>
      <c r="O56" s="15">
        <f t="shared" si="0"/>
        <v>411.99999999999994</v>
      </c>
      <c r="P56" s="15">
        <f t="shared" si="1"/>
        <v>940</v>
      </c>
      <c r="R56" s="8"/>
      <c r="T56"/>
    </row>
    <row r="57" spans="2:20" ht="23.1" customHeight="1" x14ac:dyDescent="0.25">
      <c r="B57" s="23" t="s">
        <v>84</v>
      </c>
      <c r="C57" s="49">
        <f>'Avg Week Spear Motors-Kyambogo'!C57+'Avg Week Kyambogo-Spear Motors'!C57</f>
        <v>189.28571428571428</v>
      </c>
      <c r="D57" s="49">
        <f>'Avg Week Spear Motors-Kyambogo'!D57+'Avg Week Kyambogo-Spear Motors'!D57</f>
        <v>63.428571428571431</v>
      </c>
      <c r="E57" s="49">
        <f>'Avg Week Spear Motors-Kyambogo'!E57+'Avg Week Kyambogo-Spear Motors'!E57</f>
        <v>36.714285714285715</v>
      </c>
      <c r="F57" s="49">
        <f>'Avg Week Spear Motors-Kyambogo'!F57+'Avg Week Kyambogo-Spear Motors'!F57</f>
        <v>118.14285714285714</v>
      </c>
      <c r="G57" s="49">
        <f>'Avg Week Spear Motors-Kyambogo'!G57+'Avg Week Kyambogo-Spear Motors'!G57</f>
        <v>5.8571428571428577</v>
      </c>
      <c r="H57" s="49">
        <f>'Avg Week Spear Motors-Kyambogo'!H57+'Avg Week Kyambogo-Spear Motors'!H57</f>
        <v>0.71428571428571419</v>
      </c>
      <c r="I57" s="49">
        <f>'Avg Week Spear Motors-Kyambogo'!I57+'Avg Week Kyambogo-Spear Motors'!I57</f>
        <v>8.2857142857142847</v>
      </c>
      <c r="J57" s="49">
        <f>'Avg Week Spear Motors-Kyambogo'!J57+'Avg Week Kyambogo-Spear Motors'!J57</f>
        <v>4.8571428571428577</v>
      </c>
      <c r="K57" s="49">
        <f>'Avg Week Spear Motors-Kyambogo'!K57+'Avg Week Kyambogo-Spear Motors'!K57</f>
        <v>2.4285714285714284</v>
      </c>
      <c r="L57" s="49">
        <f>'Avg Week Spear Motors-Kyambogo'!L57+'Avg Week Kyambogo-Spear Motors'!L57</f>
        <v>3.2857142857142856</v>
      </c>
      <c r="M57" s="49">
        <f>'Avg Week Spear Motors-Kyambogo'!M57+'Avg Week Kyambogo-Spear Motors'!M57</f>
        <v>642.42857142857133</v>
      </c>
      <c r="N57" s="49">
        <f>'Avg Week Spear Motors-Kyambogo'!N57+'Avg Week Kyambogo-Spear Motors'!N57</f>
        <v>0</v>
      </c>
      <c r="O57" s="15">
        <f t="shared" si="0"/>
        <v>432.99999999999994</v>
      </c>
      <c r="P57" s="15">
        <f t="shared" si="1"/>
        <v>1075.4285714285713</v>
      </c>
      <c r="R57" s="8"/>
      <c r="T57"/>
    </row>
    <row r="58" spans="2:20" ht="23.1" customHeight="1" x14ac:dyDescent="0.25">
      <c r="B58" s="23" t="s">
        <v>99</v>
      </c>
      <c r="C58" s="49">
        <f>'Avg Week Spear Motors-Kyambogo'!C58+'Avg Week Kyambogo-Spear Motors'!C58</f>
        <v>107.5</v>
      </c>
      <c r="D58" s="49">
        <f>'Avg Week Spear Motors-Kyambogo'!D58+'Avg Week Kyambogo-Spear Motors'!D58</f>
        <v>21.5</v>
      </c>
      <c r="E58" s="49">
        <f>'Avg Week Spear Motors-Kyambogo'!E58+'Avg Week Kyambogo-Spear Motors'!E58</f>
        <v>11</v>
      </c>
      <c r="F58" s="49">
        <f>'Avg Week Spear Motors-Kyambogo'!F58+'Avg Week Kyambogo-Spear Motors'!F58</f>
        <v>92.5</v>
      </c>
      <c r="G58" s="49">
        <f>'Avg Week Spear Motors-Kyambogo'!G58+'Avg Week Kyambogo-Spear Motors'!G58</f>
        <v>5.5</v>
      </c>
      <c r="H58" s="49">
        <f>'Avg Week Spear Motors-Kyambogo'!H58+'Avg Week Kyambogo-Spear Motors'!H58</f>
        <v>2</v>
      </c>
      <c r="I58" s="49">
        <f>'Avg Week Spear Motors-Kyambogo'!I58+'Avg Week Kyambogo-Spear Motors'!I58</f>
        <v>12</v>
      </c>
      <c r="J58" s="49">
        <f>'Avg Week Spear Motors-Kyambogo'!J58+'Avg Week Kyambogo-Spear Motors'!J58</f>
        <v>5.5</v>
      </c>
      <c r="K58" s="49">
        <f>'Avg Week Spear Motors-Kyambogo'!K58+'Avg Week Kyambogo-Spear Motors'!K58</f>
        <v>3</v>
      </c>
      <c r="L58" s="49">
        <f>'Avg Week Spear Motors-Kyambogo'!L58+'Avg Week Kyambogo-Spear Motors'!L58</f>
        <v>0.5</v>
      </c>
      <c r="M58" s="49">
        <f>'Avg Week Spear Motors-Kyambogo'!M58+'Avg Week Kyambogo-Spear Motors'!M58</f>
        <v>523.5</v>
      </c>
      <c r="N58" s="49">
        <f>'Avg Week Spear Motors-Kyambogo'!N58+'Avg Week Kyambogo-Spear Motors'!N58</f>
        <v>0</v>
      </c>
      <c r="O58" s="15">
        <f t="shared" si="0"/>
        <v>261</v>
      </c>
      <c r="P58" s="15">
        <f t="shared" si="1"/>
        <v>784.5</v>
      </c>
      <c r="R58" s="8"/>
      <c r="T58"/>
    </row>
    <row r="59" spans="2:20" ht="23.1" customHeight="1" x14ac:dyDescent="0.25">
      <c r="B59" s="23" t="s">
        <v>100</v>
      </c>
      <c r="C59" s="49">
        <f>'Avg Week Spear Motors-Kyambogo'!C59+'Avg Week Kyambogo-Spear Motors'!C59</f>
        <v>80.5</v>
      </c>
      <c r="D59" s="49">
        <f>'Avg Week Spear Motors-Kyambogo'!D59+'Avg Week Kyambogo-Spear Motors'!D59</f>
        <v>9.5</v>
      </c>
      <c r="E59" s="49">
        <f>'Avg Week Spear Motors-Kyambogo'!E59+'Avg Week Kyambogo-Spear Motors'!E59</f>
        <v>8</v>
      </c>
      <c r="F59" s="49">
        <f>'Avg Week Spear Motors-Kyambogo'!F59+'Avg Week Kyambogo-Spear Motors'!F59</f>
        <v>116</v>
      </c>
      <c r="G59" s="49">
        <f>'Avg Week Spear Motors-Kyambogo'!G59+'Avg Week Kyambogo-Spear Motors'!G59</f>
        <v>5.5</v>
      </c>
      <c r="H59" s="49">
        <f>'Avg Week Spear Motors-Kyambogo'!H59+'Avg Week Kyambogo-Spear Motors'!H59</f>
        <v>2.5</v>
      </c>
      <c r="I59" s="49">
        <f>'Avg Week Spear Motors-Kyambogo'!I59+'Avg Week Kyambogo-Spear Motors'!I59</f>
        <v>9</v>
      </c>
      <c r="J59" s="49">
        <f>'Avg Week Spear Motors-Kyambogo'!J59+'Avg Week Kyambogo-Spear Motors'!J59</f>
        <v>5.5</v>
      </c>
      <c r="K59" s="49">
        <f>'Avg Week Spear Motors-Kyambogo'!K59+'Avg Week Kyambogo-Spear Motors'!K59</f>
        <v>1</v>
      </c>
      <c r="L59" s="49">
        <f>'Avg Week Spear Motors-Kyambogo'!L59+'Avg Week Kyambogo-Spear Motors'!L59</f>
        <v>1.5</v>
      </c>
      <c r="M59" s="49">
        <f>'Avg Week Spear Motors-Kyambogo'!M59+'Avg Week Kyambogo-Spear Motors'!M59</f>
        <v>581.5</v>
      </c>
      <c r="N59" s="49">
        <f>'Avg Week Spear Motors-Kyambogo'!N59+'Avg Week Kyambogo-Spear Motors'!N59</f>
        <v>0</v>
      </c>
      <c r="O59" s="15">
        <f t="shared" si="0"/>
        <v>239</v>
      </c>
      <c r="P59" s="15">
        <f t="shared" si="1"/>
        <v>820.5</v>
      </c>
      <c r="R59" s="8"/>
      <c r="T59"/>
    </row>
    <row r="60" spans="2:20" ht="23.1" customHeight="1" x14ac:dyDescent="0.25">
      <c r="B60" s="23" t="s">
        <v>101</v>
      </c>
      <c r="C60" s="49">
        <f>'Avg Week Spear Motors-Kyambogo'!C60+'Avg Week Kyambogo-Spear Motors'!C60</f>
        <v>58</v>
      </c>
      <c r="D60" s="49">
        <f>'Avg Week Spear Motors-Kyambogo'!D60+'Avg Week Kyambogo-Spear Motors'!D60</f>
        <v>7</v>
      </c>
      <c r="E60" s="49">
        <f>'Avg Week Spear Motors-Kyambogo'!E60+'Avg Week Kyambogo-Spear Motors'!E60</f>
        <v>7.5</v>
      </c>
      <c r="F60" s="49">
        <f>'Avg Week Spear Motors-Kyambogo'!F60+'Avg Week Kyambogo-Spear Motors'!F60</f>
        <v>82.5</v>
      </c>
      <c r="G60" s="49">
        <f>'Avg Week Spear Motors-Kyambogo'!G60+'Avg Week Kyambogo-Spear Motors'!G60</f>
        <v>4.5</v>
      </c>
      <c r="H60" s="49">
        <f>'Avg Week Spear Motors-Kyambogo'!H60+'Avg Week Kyambogo-Spear Motors'!H60</f>
        <v>1</v>
      </c>
      <c r="I60" s="49">
        <f>'Avg Week Spear Motors-Kyambogo'!I60+'Avg Week Kyambogo-Spear Motors'!I60</f>
        <v>9</v>
      </c>
      <c r="J60" s="49">
        <f>'Avg Week Spear Motors-Kyambogo'!J60+'Avg Week Kyambogo-Spear Motors'!J60</f>
        <v>5.5</v>
      </c>
      <c r="K60" s="49">
        <f>'Avg Week Spear Motors-Kyambogo'!K60+'Avg Week Kyambogo-Spear Motors'!K60</f>
        <v>3</v>
      </c>
      <c r="L60" s="49">
        <f>'Avg Week Spear Motors-Kyambogo'!L60+'Avg Week Kyambogo-Spear Motors'!L60</f>
        <v>1.5</v>
      </c>
      <c r="M60" s="49">
        <f>'Avg Week Spear Motors-Kyambogo'!M60+'Avg Week Kyambogo-Spear Motors'!M60</f>
        <v>545</v>
      </c>
      <c r="N60" s="49">
        <f>'Avg Week Spear Motors-Kyambogo'!N60+'Avg Week Kyambogo-Spear Motors'!N60</f>
        <v>0</v>
      </c>
      <c r="O60" s="15">
        <f t="shared" si="0"/>
        <v>179.5</v>
      </c>
      <c r="P60" s="15">
        <f t="shared" si="1"/>
        <v>724.5</v>
      </c>
      <c r="R60" s="8"/>
      <c r="T60"/>
    </row>
    <row r="61" spans="2:20" ht="23.1" customHeight="1" x14ac:dyDescent="0.25">
      <c r="B61" s="23" t="s">
        <v>102</v>
      </c>
      <c r="C61" s="49">
        <f>'Avg Week Spear Motors-Kyambogo'!C61+'Avg Week Kyambogo-Spear Motors'!C61</f>
        <v>56</v>
      </c>
      <c r="D61" s="49">
        <f>'Avg Week Spear Motors-Kyambogo'!D61+'Avg Week Kyambogo-Spear Motors'!D61</f>
        <v>13</v>
      </c>
      <c r="E61" s="49">
        <f>'Avg Week Spear Motors-Kyambogo'!E61+'Avg Week Kyambogo-Spear Motors'!E61</f>
        <v>17</v>
      </c>
      <c r="F61" s="49">
        <f>'Avg Week Spear Motors-Kyambogo'!F61+'Avg Week Kyambogo-Spear Motors'!F61</f>
        <v>121</v>
      </c>
      <c r="G61" s="49">
        <f>'Avg Week Spear Motors-Kyambogo'!G61+'Avg Week Kyambogo-Spear Motors'!G61</f>
        <v>7</v>
      </c>
      <c r="H61" s="49">
        <f>'Avg Week Spear Motors-Kyambogo'!H61+'Avg Week Kyambogo-Spear Motors'!H61</f>
        <v>2.5</v>
      </c>
      <c r="I61" s="49">
        <f>'Avg Week Spear Motors-Kyambogo'!I61+'Avg Week Kyambogo-Spear Motors'!I61</f>
        <v>10</v>
      </c>
      <c r="J61" s="49">
        <f>'Avg Week Spear Motors-Kyambogo'!J61+'Avg Week Kyambogo-Spear Motors'!J61</f>
        <v>4.5</v>
      </c>
      <c r="K61" s="49">
        <f>'Avg Week Spear Motors-Kyambogo'!K61+'Avg Week Kyambogo-Spear Motors'!K61</f>
        <v>4</v>
      </c>
      <c r="L61" s="49">
        <f>'Avg Week Spear Motors-Kyambogo'!L61+'Avg Week Kyambogo-Spear Motors'!L61</f>
        <v>5</v>
      </c>
      <c r="M61" s="49">
        <f>'Avg Week Spear Motors-Kyambogo'!M61+'Avg Week Kyambogo-Spear Motors'!M61</f>
        <v>607.5</v>
      </c>
      <c r="N61" s="49">
        <f>'Avg Week Spear Motors-Kyambogo'!N61+'Avg Week Kyambogo-Spear Motors'!N61</f>
        <v>0</v>
      </c>
      <c r="O61" s="15">
        <f t="shared" si="0"/>
        <v>240</v>
      </c>
      <c r="P61" s="15">
        <f t="shared" si="1"/>
        <v>847.5</v>
      </c>
      <c r="R61" s="8"/>
      <c r="T61"/>
    </row>
    <row r="62" spans="2:20" ht="23.1" customHeight="1" x14ac:dyDescent="0.25">
      <c r="B62" s="23" t="s">
        <v>107</v>
      </c>
      <c r="C62" s="49">
        <f>'Avg Week Spear Motors-Kyambogo'!C62+'Avg Week Kyambogo-Spear Motors'!C62</f>
        <v>89</v>
      </c>
      <c r="D62" s="49">
        <f>'Avg Week Spear Motors-Kyambogo'!D62+'Avg Week Kyambogo-Spear Motors'!D62</f>
        <v>25</v>
      </c>
      <c r="E62" s="49">
        <f>'Avg Week Spear Motors-Kyambogo'!E62+'Avg Week Kyambogo-Spear Motors'!E62</f>
        <v>9</v>
      </c>
      <c r="F62" s="49">
        <f>'Avg Week Spear Motors-Kyambogo'!F62+'Avg Week Kyambogo-Spear Motors'!F62</f>
        <v>88.5</v>
      </c>
      <c r="G62" s="49">
        <f>'Avg Week Spear Motors-Kyambogo'!G62+'Avg Week Kyambogo-Spear Motors'!G62</f>
        <v>8.5</v>
      </c>
      <c r="H62" s="49">
        <f>'Avg Week Spear Motors-Kyambogo'!H62+'Avg Week Kyambogo-Spear Motors'!H62</f>
        <v>2</v>
      </c>
      <c r="I62" s="49">
        <f>'Avg Week Spear Motors-Kyambogo'!I62+'Avg Week Kyambogo-Spear Motors'!I62</f>
        <v>16.5</v>
      </c>
      <c r="J62" s="49">
        <f>'Avg Week Spear Motors-Kyambogo'!J62+'Avg Week Kyambogo-Spear Motors'!J62</f>
        <v>10</v>
      </c>
      <c r="K62" s="49">
        <f>'Avg Week Spear Motors-Kyambogo'!K62+'Avg Week Kyambogo-Spear Motors'!K62</f>
        <v>13</v>
      </c>
      <c r="L62" s="49">
        <f>'Avg Week Spear Motors-Kyambogo'!L62+'Avg Week Kyambogo-Spear Motors'!L62</f>
        <v>4.5</v>
      </c>
      <c r="M62" s="49">
        <f>'Avg Week Spear Motors-Kyambogo'!M62+'Avg Week Kyambogo-Spear Motors'!M62</f>
        <v>466.5</v>
      </c>
      <c r="N62" s="49">
        <f>'Avg Week Spear Motors-Kyambogo'!N62+'Avg Week Kyambogo-Spear Motors'!N62</f>
        <v>0</v>
      </c>
      <c r="O62" s="15">
        <f t="shared" si="0"/>
        <v>266</v>
      </c>
      <c r="P62" s="15">
        <f t="shared" si="1"/>
        <v>732.5</v>
      </c>
      <c r="R62" s="8"/>
      <c r="T62"/>
    </row>
    <row r="63" spans="2:20" ht="23.1" customHeight="1" x14ac:dyDescent="0.25">
      <c r="B63" s="23" t="s">
        <v>108</v>
      </c>
      <c r="C63" s="49">
        <f>'Avg Week Spear Motors-Kyambogo'!C63+'Avg Week Kyambogo-Spear Motors'!C63</f>
        <v>111</v>
      </c>
      <c r="D63" s="49">
        <f>'Avg Week Spear Motors-Kyambogo'!D63+'Avg Week Kyambogo-Spear Motors'!D63</f>
        <v>44</v>
      </c>
      <c r="E63" s="49">
        <f>'Avg Week Spear Motors-Kyambogo'!E63+'Avg Week Kyambogo-Spear Motors'!E63</f>
        <v>16</v>
      </c>
      <c r="F63" s="49">
        <f>'Avg Week Spear Motors-Kyambogo'!F63+'Avg Week Kyambogo-Spear Motors'!F63</f>
        <v>103</v>
      </c>
      <c r="G63" s="49">
        <f>'Avg Week Spear Motors-Kyambogo'!G63+'Avg Week Kyambogo-Spear Motors'!G63</f>
        <v>5.5</v>
      </c>
      <c r="H63" s="49">
        <f>'Avg Week Spear Motors-Kyambogo'!H63+'Avg Week Kyambogo-Spear Motors'!H63</f>
        <v>1</v>
      </c>
      <c r="I63" s="49">
        <f>'Avg Week Spear Motors-Kyambogo'!I63+'Avg Week Kyambogo-Spear Motors'!I63</f>
        <v>9</v>
      </c>
      <c r="J63" s="49">
        <f>'Avg Week Spear Motors-Kyambogo'!J63+'Avg Week Kyambogo-Spear Motors'!J63</f>
        <v>5.5</v>
      </c>
      <c r="K63" s="49">
        <f>'Avg Week Spear Motors-Kyambogo'!K63+'Avg Week Kyambogo-Spear Motors'!K63</f>
        <v>6.5</v>
      </c>
      <c r="L63" s="49">
        <f>'Avg Week Spear Motors-Kyambogo'!L63+'Avg Week Kyambogo-Spear Motors'!L63</f>
        <v>1</v>
      </c>
      <c r="M63" s="49">
        <f>'Avg Week Spear Motors-Kyambogo'!M63+'Avg Week Kyambogo-Spear Motors'!M63</f>
        <v>609.5</v>
      </c>
      <c r="N63" s="49">
        <f>'Avg Week Spear Motors-Kyambogo'!N63+'Avg Week Kyambogo-Spear Motors'!N63</f>
        <v>0</v>
      </c>
      <c r="O63" s="15">
        <f t="shared" si="0"/>
        <v>302.5</v>
      </c>
      <c r="P63" s="15">
        <f t="shared" si="1"/>
        <v>912</v>
      </c>
      <c r="R63" s="8"/>
      <c r="T63"/>
    </row>
    <row r="64" spans="2:20" ht="23.1" customHeight="1" x14ac:dyDescent="0.25">
      <c r="B64" s="23" t="s">
        <v>109</v>
      </c>
      <c r="C64" s="49">
        <f>'Avg Week Spear Motors-Kyambogo'!C64+'Avg Week Kyambogo-Spear Motors'!C64</f>
        <v>120</v>
      </c>
      <c r="D64" s="49">
        <f>'Avg Week Spear Motors-Kyambogo'!D64+'Avg Week Kyambogo-Spear Motors'!D64</f>
        <v>25</v>
      </c>
      <c r="E64" s="49">
        <f>'Avg Week Spear Motors-Kyambogo'!E64+'Avg Week Kyambogo-Spear Motors'!E64</f>
        <v>12.5</v>
      </c>
      <c r="F64" s="49">
        <f>'Avg Week Spear Motors-Kyambogo'!F64+'Avg Week Kyambogo-Spear Motors'!F64</f>
        <v>99.5</v>
      </c>
      <c r="G64" s="49">
        <f>'Avg Week Spear Motors-Kyambogo'!G64+'Avg Week Kyambogo-Spear Motors'!G64</f>
        <v>5.5</v>
      </c>
      <c r="H64" s="49">
        <f>'Avg Week Spear Motors-Kyambogo'!H64+'Avg Week Kyambogo-Spear Motors'!H64</f>
        <v>3</v>
      </c>
      <c r="I64" s="49">
        <f>'Avg Week Spear Motors-Kyambogo'!I64+'Avg Week Kyambogo-Spear Motors'!I64</f>
        <v>6</v>
      </c>
      <c r="J64" s="49">
        <f>'Avg Week Spear Motors-Kyambogo'!J64+'Avg Week Kyambogo-Spear Motors'!J64</f>
        <v>5.5</v>
      </c>
      <c r="K64" s="49">
        <f>'Avg Week Spear Motors-Kyambogo'!K64+'Avg Week Kyambogo-Spear Motors'!K64</f>
        <v>3</v>
      </c>
      <c r="L64" s="49">
        <f>'Avg Week Spear Motors-Kyambogo'!L64+'Avg Week Kyambogo-Spear Motors'!L64</f>
        <v>1.5</v>
      </c>
      <c r="M64" s="49">
        <f>'Avg Week Spear Motors-Kyambogo'!M64+'Avg Week Kyambogo-Spear Motors'!M64</f>
        <v>642</v>
      </c>
      <c r="N64" s="49">
        <f>'Avg Week Spear Motors-Kyambogo'!N64+'Avg Week Kyambogo-Spear Motors'!N64</f>
        <v>0</v>
      </c>
      <c r="O64" s="15">
        <f t="shared" si="0"/>
        <v>281.5</v>
      </c>
      <c r="P64" s="15">
        <f t="shared" si="1"/>
        <v>923.5</v>
      </c>
      <c r="R64" s="8"/>
      <c r="T64"/>
    </row>
    <row r="65" spans="2:20" ht="23.1" customHeight="1" x14ac:dyDescent="0.25">
      <c r="B65" s="23" t="s">
        <v>158</v>
      </c>
      <c r="C65" s="49">
        <f>'Avg Week Spear Motors-Kyambogo'!C65+'Avg Week Kyambogo-Spear Motors'!C65</f>
        <v>86</v>
      </c>
      <c r="D65" s="49">
        <f>'Avg Week Spear Motors-Kyambogo'!D65+'Avg Week Kyambogo-Spear Motors'!D65</f>
        <v>18</v>
      </c>
      <c r="E65" s="49">
        <f>'Avg Week Spear Motors-Kyambogo'!E65+'Avg Week Kyambogo-Spear Motors'!E65</f>
        <v>11</v>
      </c>
      <c r="F65" s="49">
        <f>'Avg Week Spear Motors-Kyambogo'!F65+'Avg Week Kyambogo-Spear Motors'!F65</f>
        <v>100.5</v>
      </c>
      <c r="G65" s="49">
        <f>'Avg Week Spear Motors-Kyambogo'!G65+'Avg Week Kyambogo-Spear Motors'!G65</f>
        <v>3</v>
      </c>
      <c r="H65" s="49">
        <f>'Avg Week Spear Motors-Kyambogo'!H65+'Avg Week Kyambogo-Spear Motors'!H65</f>
        <v>1</v>
      </c>
      <c r="I65" s="49">
        <f>'Avg Week Spear Motors-Kyambogo'!I65+'Avg Week Kyambogo-Spear Motors'!I65</f>
        <v>2.5</v>
      </c>
      <c r="J65" s="49">
        <f>'Avg Week Spear Motors-Kyambogo'!J65+'Avg Week Kyambogo-Spear Motors'!J65</f>
        <v>3.5</v>
      </c>
      <c r="K65" s="49">
        <f>'Avg Week Spear Motors-Kyambogo'!K65+'Avg Week Kyambogo-Spear Motors'!K65</f>
        <v>0</v>
      </c>
      <c r="L65" s="49">
        <f>'Avg Week Spear Motors-Kyambogo'!L65+'Avg Week Kyambogo-Spear Motors'!L65</f>
        <v>1.5</v>
      </c>
      <c r="M65" s="49">
        <f>'Avg Week Spear Motors-Kyambogo'!M65+'Avg Week Kyambogo-Spear Motors'!M65</f>
        <v>614.5</v>
      </c>
      <c r="N65" s="49">
        <f>'Avg Week Spear Motors-Kyambogo'!N65+'Avg Week Kyambogo-Spear Motors'!N65</f>
        <v>0</v>
      </c>
      <c r="O65" s="15">
        <f t="shared" si="0"/>
        <v>227</v>
      </c>
      <c r="P65" s="15">
        <f t="shared" si="1"/>
        <v>841.5</v>
      </c>
      <c r="R65" s="8"/>
      <c r="T65"/>
    </row>
    <row r="66" spans="2:20" ht="23.1" customHeight="1" x14ac:dyDescent="0.25">
      <c r="B66" s="23" t="s">
        <v>103</v>
      </c>
      <c r="C66" s="49">
        <f>'Avg Week Spear Motors-Kyambogo'!C66+'Avg Week Kyambogo-Spear Motors'!C66</f>
        <v>94.5</v>
      </c>
      <c r="D66" s="49">
        <f>'Avg Week Spear Motors-Kyambogo'!D66+'Avg Week Kyambogo-Spear Motors'!D66</f>
        <v>22</v>
      </c>
      <c r="E66" s="49">
        <f>'Avg Week Spear Motors-Kyambogo'!E66+'Avg Week Kyambogo-Spear Motors'!E66</f>
        <v>8.5</v>
      </c>
      <c r="F66" s="49">
        <f>'Avg Week Spear Motors-Kyambogo'!F66+'Avg Week Kyambogo-Spear Motors'!F66</f>
        <v>98.5</v>
      </c>
      <c r="G66" s="49">
        <f>'Avg Week Spear Motors-Kyambogo'!G66+'Avg Week Kyambogo-Spear Motors'!G66</f>
        <v>3</v>
      </c>
      <c r="H66" s="49">
        <f>'Avg Week Spear Motors-Kyambogo'!H66+'Avg Week Kyambogo-Spear Motors'!H66</f>
        <v>1.5</v>
      </c>
      <c r="I66" s="49">
        <f>'Avg Week Spear Motors-Kyambogo'!I66+'Avg Week Kyambogo-Spear Motors'!I66</f>
        <v>13.5</v>
      </c>
      <c r="J66" s="49">
        <f>'Avg Week Spear Motors-Kyambogo'!J66+'Avg Week Kyambogo-Spear Motors'!J66</f>
        <v>5.5</v>
      </c>
      <c r="K66" s="49">
        <f>'Avg Week Spear Motors-Kyambogo'!K66+'Avg Week Kyambogo-Spear Motors'!K66</f>
        <v>2.5</v>
      </c>
      <c r="L66" s="49">
        <f>'Avg Week Spear Motors-Kyambogo'!L66+'Avg Week Kyambogo-Spear Motors'!L66</f>
        <v>0.5</v>
      </c>
      <c r="M66" s="49">
        <f>'Avg Week Spear Motors-Kyambogo'!M66+'Avg Week Kyambogo-Spear Motors'!M66</f>
        <v>589.5</v>
      </c>
      <c r="N66" s="49">
        <f>'Avg Week Spear Motors-Kyambogo'!N66+'Avg Week Kyambogo-Spear Motors'!N66</f>
        <v>0</v>
      </c>
      <c r="O66" s="15">
        <f t="shared" si="0"/>
        <v>250</v>
      </c>
      <c r="P66" s="15">
        <f t="shared" si="1"/>
        <v>839.5</v>
      </c>
      <c r="R66" s="8"/>
      <c r="T66"/>
    </row>
    <row r="67" spans="2:20" ht="23.1" customHeight="1" x14ac:dyDescent="0.25">
      <c r="B67" s="23" t="s">
        <v>104</v>
      </c>
      <c r="C67" s="49">
        <f>'Avg Week Spear Motors-Kyambogo'!C67+'Avg Week Kyambogo-Spear Motors'!C67</f>
        <v>71.5</v>
      </c>
      <c r="D67" s="49">
        <f>'Avg Week Spear Motors-Kyambogo'!D67+'Avg Week Kyambogo-Spear Motors'!D67</f>
        <v>21</v>
      </c>
      <c r="E67" s="49">
        <f>'Avg Week Spear Motors-Kyambogo'!E67+'Avg Week Kyambogo-Spear Motors'!E67</f>
        <v>11.5</v>
      </c>
      <c r="F67" s="49">
        <f>'Avg Week Spear Motors-Kyambogo'!F67+'Avg Week Kyambogo-Spear Motors'!F67</f>
        <v>88.5</v>
      </c>
      <c r="G67" s="49">
        <f>'Avg Week Spear Motors-Kyambogo'!G67+'Avg Week Kyambogo-Spear Motors'!G67</f>
        <v>3.5</v>
      </c>
      <c r="H67" s="49">
        <f>'Avg Week Spear Motors-Kyambogo'!H67+'Avg Week Kyambogo-Spear Motors'!H67</f>
        <v>1.5</v>
      </c>
      <c r="I67" s="49">
        <f>'Avg Week Spear Motors-Kyambogo'!I67+'Avg Week Kyambogo-Spear Motors'!I67</f>
        <v>6.5</v>
      </c>
      <c r="J67" s="49">
        <f>'Avg Week Spear Motors-Kyambogo'!J67+'Avg Week Kyambogo-Spear Motors'!J67</f>
        <v>2.5</v>
      </c>
      <c r="K67" s="49">
        <f>'Avg Week Spear Motors-Kyambogo'!K67+'Avg Week Kyambogo-Spear Motors'!K67</f>
        <v>0.5</v>
      </c>
      <c r="L67" s="49">
        <f>'Avg Week Spear Motors-Kyambogo'!L67+'Avg Week Kyambogo-Spear Motors'!L67</f>
        <v>2</v>
      </c>
      <c r="M67" s="49">
        <f>'Avg Week Spear Motors-Kyambogo'!M67+'Avg Week Kyambogo-Spear Motors'!M67</f>
        <v>528</v>
      </c>
      <c r="N67" s="49">
        <f>'Avg Week Spear Motors-Kyambogo'!N67+'Avg Week Kyambogo-Spear Motors'!N67</f>
        <v>0</v>
      </c>
      <c r="O67" s="15">
        <f t="shared" si="0"/>
        <v>209</v>
      </c>
      <c r="P67" s="15">
        <f t="shared" si="1"/>
        <v>737</v>
      </c>
      <c r="R67" s="8"/>
      <c r="T67"/>
    </row>
    <row r="68" spans="2:20" ht="23.1" customHeight="1" x14ac:dyDescent="0.25">
      <c r="B68" s="23" t="s">
        <v>105</v>
      </c>
      <c r="C68" s="49">
        <f>'Avg Week Spear Motors-Kyambogo'!C68+'Avg Week Kyambogo-Spear Motors'!C68</f>
        <v>83</v>
      </c>
      <c r="D68" s="49">
        <f>'Avg Week Spear Motors-Kyambogo'!D68+'Avg Week Kyambogo-Spear Motors'!D68</f>
        <v>25.5</v>
      </c>
      <c r="E68" s="49">
        <f>'Avg Week Spear Motors-Kyambogo'!E68+'Avg Week Kyambogo-Spear Motors'!E68</f>
        <v>7.5</v>
      </c>
      <c r="F68" s="49">
        <f>'Avg Week Spear Motors-Kyambogo'!F68+'Avg Week Kyambogo-Spear Motors'!F68</f>
        <v>97</v>
      </c>
      <c r="G68" s="49">
        <f>'Avg Week Spear Motors-Kyambogo'!G68+'Avg Week Kyambogo-Spear Motors'!G68</f>
        <v>6</v>
      </c>
      <c r="H68" s="49">
        <f>'Avg Week Spear Motors-Kyambogo'!H68+'Avg Week Kyambogo-Spear Motors'!H68</f>
        <v>1</v>
      </c>
      <c r="I68" s="49">
        <f>'Avg Week Spear Motors-Kyambogo'!I68+'Avg Week Kyambogo-Spear Motors'!I68</f>
        <v>6.5</v>
      </c>
      <c r="J68" s="49">
        <f>'Avg Week Spear Motors-Kyambogo'!J68+'Avg Week Kyambogo-Spear Motors'!J68</f>
        <v>4</v>
      </c>
      <c r="K68" s="49">
        <f>'Avg Week Spear Motors-Kyambogo'!K68+'Avg Week Kyambogo-Spear Motors'!K68</f>
        <v>3</v>
      </c>
      <c r="L68" s="49">
        <f>'Avg Week Spear Motors-Kyambogo'!L68+'Avg Week Kyambogo-Spear Motors'!L68</f>
        <v>2</v>
      </c>
      <c r="M68" s="49">
        <f>'Avg Week Spear Motors-Kyambogo'!M68+'Avg Week Kyambogo-Spear Motors'!M68</f>
        <v>576.5</v>
      </c>
      <c r="N68" s="49">
        <f>'Avg Week Spear Motors-Kyambogo'!N68+'Avg Week Kyambogo-Spear Motors'!N68</f>
        <v>0</v>
      </c>
      <c r="O68" s="15">
        <f t="shared" si="0"/>
        <v>235.5</v>
      </c>
      <c r="P68" s="15">
        <f t="shared" si="1"/>
        <v>812</v>
      </c>
      <c r="R68" s="8"/>
      <c r="T68"/>
    </row>
    <row r="69" spans="2:20" ht="23.1" customHeight="1" x14ac:dyDescent="0.25">
      <c r="B69" s="23" t="s">
        <v>106</v>
      </c>
      <c r="C69" s="49">
        <f>'Avg Week Spear Motors-Kyambogo'!C69+'Avg Week Kyambogo-Spear Motors'!C69</f>
        <v>58.5</v>
      </c>
      <c r="D69" s="49">
        <f>'Avg Week Spear Motors-Kyambogo'!D69+'Avg Week Kyambogo-Spear Motors'!D69</f>
        <v>21.5</v>
      </c>
      <c r="E69" s="49">
        <f>'Avg Week Spear Motors-Kyambogo'!E69+'Avg Week Kyambogo-Spear Motors'!E69</f>
        <v>5</v>
      </c>
      <c r="F69" s="49">
        <f>'Avg Week Spear Motors-Kyambogo'!F69+'Avg Week Kyambogo-Spear Motors'!F69</f>
        <v>82</v>
      </c>
      <c r="G69" s="49">
        <f>'Avg Week Spear Motors-Kyambogo'!G69+'Avg Week Kyambogo-Spear Motors'!G69</f>
        <v>3</v>
      </c>
      <c r="H69" s="49">
        <f>'Avg Week Spear Motors-Kyambogo'!H69+'Avg Week Kyambogo-Spear Motors'!H69</f>
        <v>1</v>
      </c>
      <c r="I69" s="49">
        <f>'Avg Week Spear Motors-Kyambogo'!I69+'Avg Week Kyambogo-Spear Motors'!I69</f>
        <v>6.5</v>
      </c>
      <c r="J69" s="49">
        <f>'Avg Week Spear Motors-Kyambogo'!J69+'Avg Week Kyambogo-Spear Motors'!J69</f>
        <v>7.5</v>
      </c>
      <c r="K69" s="49">
        <f>'Avg Week Spear Motors-Kyambogo'!K69+'Avg Week Kyambogo-Spear Motors'!K69</f>
        <v>3.5</v>
      </c>
      <c r="L69" s="49">
        <f>'Avg Week Spear Motors-Kyambogo'!L69+'Avg Week Kyambogo-Spear Motors'!L69</f>
        <v>7</v>
      </c>
      <c r="M69" s="49">
        <f>'Avg Week Spear Motors-Kyambogo'!M69+'Avg Week Kyambogo-Spear Motors'!M69</f>
        <v>394</v>
      </c>
      <c r="N69" s="49">
        <f>'Avg Week Spear Motors-Kyambogo'!N69+'Avg Week Kyambogo-Spear Motors'!N69</f>
        <v>0</v>
      </c>
      <c r="O69" s="15">
        <f t="shared" si="0"/>
        <v>195.5</v>
      </c>
      <c r="P69" s="15">
        <f t="shared" si="1"/>
        <v>589.5</v>
      </c>
      <c r="R69" s="8"/>
      <c r="T69"/>
    </row>
    <row r="70" spans="2:20" ht="23.1" customHeight="1" x14ac:dyDescent="0.25">
      <c r="B70" s="23" t="s">
        <v>110</v>
      </c>
      <c r="C70" s="49">
        <f>'Avg Week Spear Motors-Kyambogo'!C70+'Avg Week Kyambogo-Spear Motors'!C70</f>
        <v>67.5</v>
      </c>
      <c r="D70" s="49">
        <f>'Avg Week Spear Motors-Kyambogo'!D70+'Avg Week Kyambogo-Spear Motors'!D70</f>
        <v>14.5</v>
      </c>
      <c r="E70" s="49">
        <f>'Avg Week Spear Motors-Kyambogo'!E70+'Avg Week Kyambogo-Spear Motors'!E70</f>
        <v>6</v>
      </c>
      <c r="F70" s="49">
        <f>'Avg Week Spear Motors-Kyambogo'!F70+'Avg Week Kyambogo-Spear Motors'!F70</f>
        <v>66.5</v>
      </c>
      <c r="G70" s="49">
        <f>'Avg Week Spear Motors-Kyambogo'!G70+'Avg Week Kyambogo-Spear Motors'!G70</f>
        <v>3.5</v>
      </c>
      <c r="H70" s="49">
        <f>'Avg Week Spear Motors-Kyambogo'!H70+'Avg Week Kyambogo-Spear Motors'!H70</f>
        <v>0.5</v>
      </c>
      <c r="I70" s="49">
        <f>'Avg Week Spear Motors-Kyambogo'!I70+'Avg Week Kyambogo-Spear Motors'!I70</f>
        <v>3</v>
      </c>
      <c r="J70" s="49">
        <f>'Avg Week Spear Motors-Kyambogo'!J70+'Avg Week Kyambogo-Spear Motors'!J70</f>
        <v>2.5</v>
      </c>
      <c r="K70" s="49">
        <f>'Avg Week Spear Motors-Kyambogo'!K70+'Avg Week Kyambogo-Spear Motors'!K70</f>
        <v>1.5</v>
      </c>
      <c r="L70" s="49">
        <f>'Avg Week Spear Motors-Kyambogo'!L70+'Avg Week Kyambogo-Spear Motors'!L70</f>
        <v>3</v>
      </c>
      <c r="M70" s="49">
        <f>'Avg Week Spear Motors-Kyambogo'!M70+'Avg Week Kyambogo-Spear Motors'!M70</f>
        <v>394.5</v>
      </c>
      <c r="N70" s="49">
        <f>'Avg Week Spear Motors-Kyambogo'!N70+'Avg Week Kyambogo-Spear Motors'!N70</f>
        <v>0</v>
      </c>
      <c r="O70" s="15">
        <f t="shared" si="0"/>
        <v>168.5</v>
      </c>
      <c r="P70" s="15">
        <f t="shared" si="1"/>
        <v>563</v>
      </c>
      <c r="R70" s="8"/>
      <c r="T70"/>
    </row>
    <row r="71" spans="2:20" ht="23.1" customHeight="1" x14ac:dyDescent="0.25">
      <c r="B71" s="23" t="s">
        <v>111</v>
      </c>
      <c r="C71" s="49">
        <f>'Avg Week Spear Motors-Kyambogo'!C71+'Avg Week Kyambogo-Spear Motors'!C71</f>
        <v>84</v>
      </c>
      <c r="D71" s="49">
        <f>'Avg Week Spear Motors-Kyambogo'!D71+'Avg Week Kyambogo-Spear Motors'!D71</f>
        <v>17.5</v>
      </c>
      <c r="E71" s="49">
        <f>'Avg Week Spear Motors-Kyambogo'!E71+'Avg Week Kyambogo-Spear Motors'!E71</f>
        <v>9</v>
      </c>
      <c r="F71" s="49">
        <f>'Avg Week Spear Motors-Kyambogo'!F71+'Avg Week Kyambogo-Spear Motors'!F71</f>
        <v>67</v>
      </c>
      <c r="G71" s="49">
        <f>'Avg Week Spear Motors-Kyambogo'!G71+'Avg Week Kyambogo-Spear Motors'!G71</f>
        <v>3.5</v>
      </c>
      <c r="H71" s="49">
        <f>'Avg Week Spear Motors-Kyambogo'!H71+'Avg Week Kyambogo-Spear Motors'!H71</f>
        <v>0.5</v>
      </c>
      <c r="I71" s="49">
        <f>'Avg Week Spear Motors-Kyambogo'!I71+'Avg Week Kyambogo-Spear Motors'!I71</f>
        <v>6</v>
      </c>
      <c r="J71" s="49">
        <f>'Avg Week Spear Motors-Kyambogo'!J71+'Avg Week Kyambogo-Spear Motors'!J71</f>
        <v>2.5</v>
      </c>
      <c r="K71" s="49">
        <f>'Avg Week Spear Motors-Kyambogo'!K71+'Avg Week Kyambogo-Spear Motors'!K71</f>
        <v>2.5</v>
      </c>
      <c r="L71" s="49">
        <f>'Avg Week Spear Motors-Kyambogo'!L71+'Avg Week Kyambogo-Spear Motors'!L71</f>
        <v>4.5</v>
      </c>
      <c r="M71" s="49">
        <f>'Avg Week Spear Motors-Kyambogo'!M71+'Avg Week Kyambogo-Spear Motors'!M71</f>
        <v>399</v>
      </c>
      <c r="N71" s="49">
        <f>'Avg Week Spear Motors-Kyambogo'!N71+'Avg Week Kyambogo-Spear Motors'!N71</f>
        <v>0</v>
      </c>
      <c r="O71" s="15">
        <f t="shared" si="0"/>
        <v>197</v>
      </c>
      <c r="P71" s="15">
        <f t="shared" si="1"/>
        <v>596</v>
      </c>
      <c r="R71" s="8"/>
      <c r="T71"/>
    </row>
    <row r="72" spans="2:20" ht="23.1" customHeight="1" x14ac:dyDescent="0.25">
      <c r="B72" s="23" t="s">
        <v>112</v>
      </c>
      <c r="C72" s="49">
        <f>'Avg Week Spear Motors-Kyambogo'!C72+'Avg Week Kyambogo-Spear Motors'!C72</f>
        <v>74</v>
      </c>
      <c r="D72" s="49">
        <f>'Avg Week Spear Motors-Kyambogo'!D72+'Avg Week Kyambogo-Spear Motors'!D72</f>
        <v>13</v>
      </c>
      <c r="E72" s="49">
        <f>'Avg Week Spear Motors-Kyambogo'!E72+'Avg Week Kyambogo-Spear Motors'!E72</f>
        <v>7.5</v>
      </c>
      <c r="F72" s="49">
        <f>'Avg Week Spear Motors-Kyambogo'!F72+'Avg Week Kyambogo-Spear Motors'!F72</f>
        <v>51.5</v>
      </c>
      <c r="G72" s="49">
        <f>'Avg Week Spear Motors-Kyambogo'!G72+'Avg Week Kyambogo-Spear Motors'!G72</f>
        <v>3.5</v>
      </c>
      <c r="H72" s="49">
        <f>'Avg Week Spear Motors-Kyambogo'!H72+'Avg Week Kyambogo-Spear Motors'!H72</f>
        <v>0.5</v>
      </c>
      <c r="I72" s="49">
        <f>'Avg Week Spear Motors-Kyambogo'!I72+'Avg Week Kyambogo-Spear Motors'!I72</f>
        <v>5</v>
      </c>
      <c r="J72" s="49">
        <f>'Avg Week Spear Motors-Kyambogo'!J72+'Avg Week Kyambogo-Spear Motors'!J72</f>
        <v>1.5</v>
      </c>
      <c r="K72" s="49">
        <f>'Avg Week Spear Motors-Kyambogo'!K72+'Avg Week Kyambogo-Spear Motors'!K72</f>
        <v>0</v>
      </c>
      <c r="L72" s="49">
        <f>'Avg Week Spear Motors-Kyambogo'!L72+'Avg Week Kyambogo-Spear Motors'!L72</f>
        <v>1</v>
      </c>
      <c r="M72" s="49">
        <f>'Avg Week Spear Motors-Kyambogo'!M72+'Avg Week Kyambogo-Spear Motors'!M72</f>
        <v>347</v>
      </c>
      <c r="N72" s="49">
        <f>'Avg Week Spear Motors-Kyambogo'!N72+'Avg Week Kyambogo-Spear Motors'!N72</f>
        <v>0</v>
      </c>
      <c r="O72" s="15">
        <f t="shared" si="0"/>
        <v>157.5</v>
      </c>
      <c r="P72" s="15">
        <f t="shared" si="1"/>
        <v>504.5</v>
      </c>
      <c r="R72" s="8"/>
      <c r="T72"/>
    </row>
    <row r="73" spans="2:20" ht="23.1" customHeight="1" x14ac:dyDescent="0.25">
      <c r="B73" s="23" t="s">
        <v>113</v>
      </c>
      <c r="C73" s="49">
        <f>'Avg Week Spear Motors-Kyambogo'!C73+'Avg Week Kyambogo-Spear Motors'!C73</f>
        <v>71.5</v>
      </c>
      <c r="D73" s="49">
        <f>'Avg Week Spear Motors-Kyambogo'!D73+'Avg Week Kyambogo-Spear Motors'!D73</f>
        <v>18</v>
      </c>
      <c r="E73" s="49">
        <f>'Avg Week Spear Motors-Kyambogo'!E73+'Avg Week Kyambogo-Spear Motors'!E73</f>
        <v>8</v>
      </c>
      <c r="F73" s="49">
        <f>'Avg Week Spear Motors-Kyambogo'!F73+'Avg Week Kyambogo-Spear Motors'!F73</f>
        <v>50</v>
      </c>
      <c r="G73" s="49">
        <f>'Avg Week Spear Motors-Kyambogo'!G73+'Avg Week Kyambogo-Spear Motors'!G73</f>
        <v>4</v>
      </c>
      <c r="H73" s="49">
        <f>'Avg Week Spear Motors-Kyambogo'!H73+'Avg Week Kyambogo-Spear Motors'!H73</f>
        <v>2</v>
      </c>
      <c r="I73" s="49">
        <f>'Avg Week Spear Motors-Kyambogo'!I73+'Avg Week Kyambogo-Spear Motors'!I73</f>
        <v>8</v>
      </c>
      <c r="J73" s="49">
        <f>'Avg Week Spear Motors-Kyambogo'!J73+'Avg Week Kyambogo-Spear Motors'!J73</f>
        <v>1.5</v>
      </c>
      <c r="K73" s="49">
        <f>'Avg Week Spear Motors-Kyambogo'!K73+'Avg Week Kyambogo-Spear Motors'!K73</f>
        <v>1.5</v>
      </c>
      <c r="L73" s="49">
        <f>'Avg Week Spear Motors-Kyambogo'!L73+'Avg Week Kyambogo-Spear Motors'!L73</f>
        <v>2.5</v>
      </c>
      <c r="M73" s="49">
        <f>'Avg Week Spear Motors-Kyambogo'!M73+'Avg Week Kyambogo-Spear Motors'!M73</f>
        <v>370</v>
      </c>
      <c r="N73" s="49">
        <f>'Avg Week Spear Motors-Kyambogo'!N73+'Avg Week Kyambogo-Spear Motors'!N73</f>
        <v>0</v>
      </c>
      <c r="O73" s="15">
        <f t="shared" si="0"/>
        <v>167</v>
      </c>
      <c r="P73" s="15">
        <f t="shared" si="1"/>
        <v>537</v>
      </c>
      <c r="R73" s="8"/>
      <c r="T73"/>
    </row>
    <row r="74" spans="2:20" ht="23.1" customHeight="1" x14ac:dyDescent="0.25">
      <c r="B74" s="23" t="s">
        <v>114</v>
      </c>
      <c r="C74" s="49">
        <f>'Avg Week Spear Motors-Kyambogo'!C74+'Avg Week Kyambogo-Spear Motors'!C74</f>
        <v>77.5</v>
      </c>
      <c r="D74" s="49">
        <f>'Avg Week Spear Motors-Kyambogo'!D74+'Avg Week Kyambogo-Spear Motors'!D74</f>
        <v>11</v>
      </c>
      <c r="E74" s="49">
        <f>'Avg Week Spear Motors-Kyambogo'!E74+'Avg Week Kyambogo-Spear Motors'!E74</f>
        <v>7</v>
      </c>
      <c r="F74" s="49">
        <f>'Avg Week Spear Motors-Kyambogo'!F74+'Avg Week Kyambogo-Spear Motors'!F74</f>
        <v>55</v>
      </c>
      <c r="G74" s="49">
        <f>'Avg Week Spear Motors-Kyambogo'!G74+'Avg Week Kyambogo-Spear Motors'!G74</f>
        <v>4</v>
      </c>
      <c r="H74" s="49">
        <f>'Avg Week Spear Motors-Kyambogo'!H74+'Avg Week Kyambogo-Spear Motors'!H74</f>
        <v>1.5</v>
      </c>
      <c r="I74" s="49">
        <f>'Avg Week Spear Motors-Kyambogo'!I74+'Avg Week Kyambogo-Spear Motors'!I74</f>
        <v>4.5</v>
      </c>
      <c r="J74" s="49">
        <f>'Avg Week Spear Motors-Kyambogo'!J74+'Avg Week Kyambogo-Spear Motors'!J74</f>
        <v>6.5</v>
      </c>
      <c r="K74" s="49">
        <f>'Avg Week Spear Motors-Kyambogo'!K74+'Avg Week Kyambogo-Spear Motors'!K74</f>
        <v>3</v>
      </c>
      <c r="L74" s="49">
        <f>'Avg Week Spear Motors-Kyambogo'!L74+'Avg Week Kyambogo-Spear Motors'!L74</f>
        <v>3</v>
      </c>
      <c r="M74" s="49">
        <f>'Avg Week Spear Motors-Kyambogo'!M74+'Avg Week Kyambogo-Spear Motors'!M74</f>
        <v>342</v>
      </c>
      <c r="N74" s="49">
        <f>'Avg Week Spear Motors-Kyambogo'!N74+'Avg Week Kyambogo-Spear Motors'!N74</f>
        <v>0</v>
      </c>
      <c r="O74" s="15">
        <f t="shared" ref="O74:O105" si="35">SUM(C74:L74,N74)</f>
        <v>173</v>
      </c>
      <c r="P74" s="15">
        <f t="shared" ref="P74:P105" si="36">SUM(C74:N74)</f>
        <v>515</v>
      </c>
      <c r="R74" s="8"/>
      <c r="T74"/>
    </row>
    <row r="75" spans="2:20" ht="23.1" customHeight="1" x14ac:dyDescent="0.25">
      <c r="B75" s="23" t="s">
        <v>115</v>
      </c>
      <c r="C75" s="49">
        <f>'Avg Week Spear Motors-Kyambogo'!C75+'Avg Week Kyambogo-Spear Motors'!C75</f>
        <v>70</v>
      </c>
      <c r="D75" s="49">
        <f>'Avg Week Spear Motors-Kyambogo'!D75+'Avg Week Kyambogo-Spear Motors'!D75</f>
        <v>10.5</v>
      </c>
      <c r="E75" s="49">
        <f>'Avg Week Spear Motors-Kyambogo'!E75+'Avg Week Kyambogo-Spear Motors'!E75</f>
        <v>11</v>
      </c>
      <c r="F75" s="49">
        <f>'Avg Week Spear Motors-Kyambogo'!F75+'Avg Week Kyambogo-Spear Motors'!F75</f>
        <v>42</v>
      </c>
      <c r="G75" s="49">
        <f>'Avg Week Spear Motors-Kyambogo'!G75+'Avg Week Kyambogo-Spear Motors'!G75</f>
        <v>2</v>
      </c>
      <c r="H75" s="49">
        <f>'Avg Week Spear Motors-Kyambogo'!H75+'Avg Week Kyambogo-Spear Motors'!H75</f>
        <v>2</v>
      </c>
      <c r="I75" s="49">
        <f>'Avg Week Spear Motors-Kyambogo'!I75+'Avg Week Kyambogo-Spear Motors'!I75</f>
        <v>6.5</v>
      </c>
      <c r="J75" s="49">
        <f>'Avg Week Spear Motors-Kyambogo'!J75+'Avg Week Kyambogo-Spear Motors'!J75</f>
        <v>4</v>
      </c>
      <c r="K75" s="49">
        <f>'Avg Week Spear Motors-Kyambogo'!K75+'Avg Week Kyambogo-Spear Motors'!K75</f>
        <v>0.5</v>
      </c>
      <c r="L75" s="49">
        <f>'Avg Week Spear Motors-Kyambogo'!L75+'Avg Week Kyambogo-Spear Motors'!L75</f>
        <v>4</v>
      </c>
      <c r="M75" s="49">
        <f>'Avg Week Spear Motors-Kyambogo'!M75+'Avg Week Kyambogo-Spear Motors'!M75</f>
        <v>294</v>
      </c>
      <c r="N75" s="49">
        <f>'Avg Week Spear Motors-Kyambogo'!N75+'Avg Week Kyambogo-Spear Motors'!N75</f>
        <v>0</v>
      </c>
      <c r="O75" s="15">
        <f t="shared" si="35"/>
        <v>152.5</v>
      </c>
      <c r="P75" s="15">
        <f t="shared" si="36"/>
        <v>446.5</v>
      </c>
      <c r="R75" s="8"/>
      <c r="T75"/>
    </row>
    <row r="76" spans="2:20" ht="23.1" customHeight="1" x14ac:dyDescent="0.25">
      <c r="B76" s="23" t="s">
        <v>116</v>
      </c>
      <c r="C76" s="49">
        <f>'Avg Week Spear Motors-Kyambogo'!C76+'Avg Week Kyambogo-Spear Motors'!C76</f>
        <v>97</v>
      </c>
      <c r="D76" s="49">
        <f>'Avg Week Spear Motors-Kyambogo'!D76+'Avg Week Kyambogo-Spear Motors'!D76</f>
        <v>13</v>
      </c>
      <c r="E76" s="49">
        <f>'Avg Week Spear Motors-Kyambogo'!E76+'Avg Week Kyambogo-Spear Motors'!E76</f>
        <v>8.5</v>
      </c>
      <c r="F76" s="49">
        <f>'Avg Week Spear Motors-Kyambogo'!F76+'Avg Week Kyambogo-Spear Motors'!F76</f>
        <v>48.5</v>
      </c>
      <c r="G76" s="49">
        <f>'Avg Week Spear Motors-Kyambogo'!G76+'Avg Week Kyambogo-Spear Motors'!G76</f>
        <v>2</v>
      </c>
      <c r="H76" s="49">
        <f>'Avg Week Spear Motors-Kyambogo'!H76+'Avg Week Kyambogo-Spear Motors'!H76</f>
        <v>1</v>
      </c>
      <c r="I76" s="49">
        <f>'Avg Week Spear Motors-Kyambogo'!I76+'Avg Week Kyambogo-Spear Motors'!I76</f>
        <v>6</v>
      </c>
      <c r="J76" s="49">
        <f>'Avg Week Spear Motors-Kyambogo'!J76+'Avg Week Kyambogo-Spear Motors'!J76</f>
        <v>9.5</v>
      </c>
      <c r="K76" s="49">
        <f>'Avg Week Spear Motors-Kyambogo'!K76+'Avg Week Kyambogo-Spear Motors'!K76</f>
        <v>0.5</v>
      </c>
      <c r="L76" s="49">
        <f>'Avg Week Spear Motors-Kyambogo'!L76+'Avg Week Kyambogo-Spear Motors'!L76</f>
        <v>2.5</v>
      </c>
      <c r="M76" s="49">
        <f>'Avg Week Spear Motors-Kyambogo'!M76+'Avg Week Kyambogo-Spear Motors'!M76</f>
        <v>249</v>
      </c>
      <c r="N76" s="49">
        <f>'Avg Week Spear Motors-Kyambogo'!N76+'Avg Week Kyambogo-Spear Motors'!N76</f>
        <v>0</v>
      </c>
      <c r="O76" s="15">
        <f t="shared" si="35"/>
        <v>188.5</v>
      </c>
      <c r="P76" s="15">
        <f t="shared" si="36"/>
        <v>437.5</v>
      </c>
      <c r="R76" s="8"/>
      <c r="T76"/>
    </row>
    <row r="77" spans="2:20" ht="23.1" customHeight="1" x14ac:dyDescent="0.25">
      <c r="B77" s="23" t="s">
        <v>117</v>
      </c>
      <c r="C77" s="49">
        <f>'Avg Week Spear Motors-Kyambogo'!C77+'Avg Week Kyambogo-Spear Motors'!C77</f>
        <v>61</v>
      </c>
      <c r="D77" s="49">
        <f>'Avg Week Spear Motors-Kyambogo'!D77+'Avg Week Kyambogo-Spear Motors'!D77</f>
        <v>12</v>
      </c>
      <c r="E77" s="49">
        <f>'Avg Week Spear Motors-Kyambogo'!E77+'Avg Week Kyambogo-Spear Motors'!E77</f>
        <v>17.5</v>
      </c>
      <c r="F77" s="49">
        <f>'Avg Week Spear Motors-Kyambogo'!F77+'Avg Week Kyambogo-Spear Motors'!F77</f>
        <v>45.5</v>
      </c>
      <c r="G77" s="49">
        <f>'Avg Week Spear Motors-Kyambogo'!G77+'Avg Week Kyambogo-Spear Motors'!G77</f>
        <v>2.5</v>
      </c>
      <c r="H77" s="49">
        <f>'Avg Week Spear Motors-Kyambogo'!H77+'Avg Week Kyambogo-Spear Motors'!H77</f>
        <v>1</v>
      </c>
      <c r="I77" s="49">
        <f>'Avg Week Spear Motors-Kyambogo'!I77+'Avg Week Kyambogo-Spear Motors'!I77</f>
        <v>5.5</v>
      </c>
      <c r="J77" s="49">
        <f>'Avg Week Spear Motors-Kyambogo'!J77+'Avg Week Kyambogo-Spear Motors'!J77</f>
        <v>4.5</v>
      </c>
      <c r="K77" s="49">
        <f>'Avg Week Spear Motors-Kyambogo'!K77+'Avg Week Kyambogo-Spear Motors'!K77</f>
        <v>2</v>
      </c>
      <c r="L77" s="49">
        <f>'Avg Week Spear Motors-Kyambogo'!L77+'Avg Week Kyambogo-Spear Motors'!L77</f>
        <v>3</v>
      </c>
      <c r="M77" s="49">
        <f>'Avg Week Spear Motors-Kyambogo'!M77+'Avg Week Kyambogo-Spear Motors'!M77</f>
        <v>300.5</v>
      </c>
      <c r="N77" s="49">
        <f>'Avg Week Spear Motors-Kyambogo'!N77+'Avg Week Kyambogo-Spear Motors'!N77</f>
        <v>0</v>
      </c>
      <c r="O77" s="15">
        <f t="shared" si="35"/>
        <v>154.5</v>
      </c>
      <c r="P77" s="15">
        <f t="shared" si="36"/>
        <v>455</v>
      </c>
      <c r="R77" s="8"/>
      <c r="T77"/>
    </row>
    <row r="78" spans="2:20" ht="23.1" customHeight="1" x14ac:dyDescent="0.25">
      <c r="B78" s="24" t="s">
        <v>118</v>
      </c>
      <c r="C78" s="49">
        <f>'Avg Week Spear Motors-Kyambogo'!C78+'Avg Week Kyambogo-Spear Motors'!C78</f>
        <v>72.5</v>
      </c>
      <c r="D78" s="49">
        <f>'Avg Week Spear Motors-Kyambogo'!D78+'Avg Week Kyambogo-Spear Motors'!D78</f>
        <v>4.5</v>
      </c>
      <c r="E78" s="49">
        <f>'Avg Week Spear Motors-Kyambogo'!E78+'Avg Week Kyambogo-Spear Motors'!E78</f>
        <v>5.5</v>
      </c>
      <c r="F78" s="49">
        <f>'Avg Week Spear Motors-Kyambogo'!F78+'Avg Week Kyambogo-Spear Motors'!F78</f>
        <v>36.5</v>
      </c>
      <c r="G78" s="49">
        <f>'Avg Week Spear Motors-Kyambogo'!G78+'Avg Week Kyambogo-Spear Motors'!G78</f>
        <v>1.5</v>
      </c>
      <c r="H78" s="49">
        <f>'Avg Week Spear Motors-Kyambogo'!H78+'Avg Week Kyambogo-Spear Motors'!H78</f>
        <v>1</v>
      </c>
      <c r="I78" s="49">
        <f>'Avg Week Spear Motors-Kyambogo'!I78+'Avg Week Kyambogo-Spear Motors'!I78</f>
        <v>5.5</v>
      </c>
      <c r="J78" s="49">
        <f>'Avg Week Spear Motors-Kyambogo'!J78+'Avg Week Kyambogo-Spear Motors'!J78</f>
        <v>6</v>
      </c>
      <c r="K78" s="49">
        <f>'Avg Week Spear Motors-Kyambogo'!K78+'Avg Week Kyambogo-Spear Motors'!K78</f>
        <v>1</v>
      </c>
      <c r="L78" s="49">
        <f>'Avg Week Spear Motors-Kyambogo'!L78+'Avg Week Kyambogo-Spear Motors'!L78</f>
        <v>2.5</v>
      </c>
      <c r="M78" s="49">
        <f>'Avg Week Spear Motors-Kyambogo'!M78+'Avg Week Kyambogo-Spear Motors'!M78</f>
        <v>256.5</v>
      </c>
      <c r="N78" s="49">
        <f>'Avg Week Spear Motors-Kyambogo'!N78+'Avg Week Kyambogo-Spear Motors'!N78</f>
        <v>0</v>
      </c>
      <c r="O78" s="15">
        <f t="shared" si="35"/>
        <v>136.5</v>
      </c>
      <c r="P78" s="15">
        <f t="shared" si="36"/>
        <v>393</v>
      </c>
      <c r="R78" s="8"/>
      <c r="T78"/>
    </row>
    <row r="79" spans="2:20" ht="23.1" customHeight="1" x14ac:dyDescent="0.25">
      <c r="B79" s="23" t="s">
        <v>119</v>
      </c>
      <c r="C79" s="49">
        <f>'Avg Week Spear Motors-Kyambogo'!C79+'Avg Week Kyambogo-Spear Motors'!C79</f>
        <v>71.5</v>
      </c>
      <c r="D79" s="49">
        <f>'Avg Week Spear Motors-Kyambogo'!D79+'Avg Week Kyambogo-Spear Motors'!D79</f>
        <v>4.5</v>
      </c>
      <c r="E79" s="49">
        <f>'Avg Week Spear Motors-Kyambogo'!E79+'Avg Week Kyambogo-Spear Motors'!E79</f>
        <v>4.5</v>
      </c>
      <c r="F79" s="49">
        <f>'Avg Week Spear Motors-Kyambogo'!F79+'Avg Week Kyambogo-Spear Motors'!F79</f>
        <v>38.5</v>
      </c>
      <c r="G79" s="49">
        <f>'Avg Week Spear Motors-Kyambogo'!G79+'Avg Week Kyambogo-Spear Motors'!G79</f>
        <v>3</v>
      </c>
      <c r="H79" s="49">
        <f>'Avg Week Spear Motors-Kyambogo'!H79+'Avg Week Kyambogo-Spear Motors'!H79</f>
        <v>1.5</v>
      </c>
      <c r="I79" s="49">
        <f>'Avg Week Spear Motors-Kyambogo'!I79+'Avg Week Kyambogo-Spear Motors'!I79</f>
        <v>18.5</v>
      </c>
      <c r="J79" s="49">
        <f>'Avg Week Spear Motors-Kyambogo'!J79+'Avg Week Kyambogo-Spear Motors'!J79</f>
        <v>7</v>
      </c>
      <c r="K79" s="49">
        <f>'Avg Week Spear Motors-Kyambogo'!K79+'Avg Week Kyambogo-Spear Motors'!K79</f>
        <v>2</v>
      </c>
      <c r="L79" s="49">
        <f>'Avg Week Spear Motors-Kyambogo'!L79+'Avg Week Kyambogo-Spear Motors'!L79</f>
        <v>5</v>
      </c>
      <c r="M79" s="49">
        <f>'Avg Week Spear Motors-Kyambogo'!M79+'Avg Week Kyambogo-Spear Motors'!M79</f>
        <v>241</v>
      </c>
      <c r="N79" s="49">
        <f>'Avg Week Spear Motors-Kyambogo'!N79+'Avg Week Kyambogo-Spear Motors'!N79</f>
        <v>0</v>
      </c>
      <c r="O79" s="15">
        <f t="shared" si="35"/>
        <v>156</v>
      </c>
      <c r="P79" s="15">
        <f t="shared" si="36"/>
        <v>397</v>
      </c>
      <c r="R79" s="8"/>
      <c r="T79"/>
    </row>
    <row r="80" spans="2:20" ht="23.1" customHeight="1" x14ac:dyDescent="0.25">
      <c r="B80" s="25" t="s">
        <v>120</v>
      </c>
      <c r="C80" s="49">
        <f>'Avg Week Spear Motors-Kyambogo'!C80+'Avg Week Kyambogo-Spear Motors'!C80</f>
        <v>98</v>
      </c>
      <c r="D80" s="49">
        <f>'Avg Week Spear Motors-Kyambogo'!D80+'Avg Week Kyambogo-Spear Motors'!D80</f>
        <v>13</v>
      </c>
      <c r="E80" s="49">
        <f>'Avg Week Spear Motors-Kyambogo'!E80+'Avg Week Kyambogo-Spear Motors'!E80</f>
        <v>7</v>
      </c>
      <c r="F80" s="49">
        <f>'Avg Week Spear Motors-Kyambogo'!F80+'Avg Week Kyambogo-Spear Motors'!F80</f>
        <v>19.5</v>
      </c>
      <c r="G80" s="49">
        <f>'Avg Week Spear Motors-Kyambogo'!G80+'Avg Week Kyambogo-Spear Motors'!G80</f>
        <v>1</v>
      </c>
      <c r="H80" s="49">
        <f>'Avg Week Spear Motors-Kyambogo'!H80+'Avg Week Kyambogo-Spear Motors'!H80</f>
        <v>0</v>
      </c>
      <c r="I80" s="49">
        <f>'Avg Week Spear Motors-Kyambogo'!I80+'Avg Week Kyambogo-Spear Motors'!I80</f>
        <v>5.5</v>
      </c>
      <c r="J80" s="49">
        <f>'Avg Week Spear Motors-Kyambogo'!J80+'Avg Week Kyambogo-Spear Motors'!J80</f>
        <v>2.5</v>
      </c>
      <c r="K80" s="49">
        <f>'Avg Week Spear Motors-Kyambogo'!K80+'Avg Week Kyambogo-Spear Motors'!K80</f>
        <v>2</v>
      </c>
      <c r="L80" s="49">
        <f>'Avg Week Spear Motors-Kyambogo'!L80+'Avg Week Kyambogo-Spear Motors'!L80</f>
        <v>1</v>
      </c>
      <c r="M80" s="49">
        <f>'Avg Week Spear Motors-Kyambogo'!M80+'Avg Week Kyambogo-Spear Motors'!M80</f>
        <v>194</v>
      </c>
      <c r="N80" s="49">
        <f>'Avg Week Spear Motors-Kyambogo'!N80+'Avg Week Kyambogo-Spear Motors'!N80</f>
        <v>0</v>
      </c>
      <c r="O80" s="15">
        <f t="shared" si="35"/>
        <v>149.5</v>
      </c>
      <c r="P80" s="15">
        <f t="shared" si="36"/>
        <v>343.5</v>
      </c>
      <c r="R80" s="8"/>
      <c r="T80"/>
    </row>
    <row r="81" spans="2:20" ht="23.1" customHeight="1" x14ac:dyDescent="0.25">
      <c r="B81" s="23" t="s">
        <v>121</v>
      </c>
      <c r="C81" s="49">
        <f>'Avg Week Spear Motors-Kyambogo'!C81+'Avg Week Kyambogo-Spear Motors'!C81</f>
        <v>67.5</v>
      </c>
      <c r="D81" s="49">
        <f>'Avg Week Spear Motors-Kyambogo'!D81+'Avg Week Kyambogo-Spear Motors'!D81</f>
        <v>11.5</v>
      </c>
      <c r="E81" s="49">
        <f>'Avg Week Spear Motors-Kyambogo'!E81+'Avg Week Kyambogo-Spear Motors'!E81</f>
        <v>4</v>
      </c>
      <c r="F81" s="49">
        <f>'Avg Week Spear Motors-Kyambogo'!F81+'Avg Week Kyambogo-Spear Motors'!F81</f>
        <v>22.5</v>
      </c>
      <c r="G81" s="49">
        <f>'Avg Week Spear Motors-Kyambogo'!G81+'Avg Week Kyambogo-Spear Motors'!G81</f>
        <v>0.5</v>
      </c>
      <c r="H81" s="49">
        <f>'Avg Week Spear Motors-Kyambogo'!H81+'Avg Week Kyambogo-Spear Motors'!H81</f>
        <v>0.5</v>
      </c>
      <c r="I81" s="49">
        <f>'Avg Week Spear Motors-Kyambogo'!I81+'Avg Week Kyambogo-Spear Motors'!I81</f>
        <v>10.5</v>
      </c>
      <c r="J81" s="49">
        <f>'Avg Week Spear Motors-Kyambogo'!J81+'Avg Week Kyambogo-Spear Motors'!J81</f>
        <v>5</v>
      </c>
      <c r="K81" s="49">
        <f>'Avg Week Spear Motors-Kyambogo'!K81+'Avg Week Kyambogo-Spear Motors'!K81</f>
        <v>1</v>
      </c>
      <c r="L81" s="49">
        <f>'Avg Week Spear Motors-Kyambogo'!L81+'Avg Week Kyambogo-Spear Motors'!L81</f>
        <v>7</v>
      </c>
      <c r="M81" s="49">
        <f>'Avg Week Spear Motors-Kyambogo'!M81+'Avg Week Kyambogo-Spear Motors'!M81</f>
        <v>193.5</v>
      </c>
      <c r="N81" s="49">
        <f>'Avg Week Spear Motors-Kyambogo'!N81+'Avg Week Kyambogo-Spear Motors'!N81</f>
        <v>0</v>
      </c>
      <c r="O81" s="15">
        <f t="shared" si="35"/>
        <v>130</v>
      </c>
      <c r="P81" s="15">
        <f t="shared" si="36"/>
        <v>323.5</v>
      </c>
      <c r="R81" s="8"/>
      <c r="T81"/>
    </row>
    <row r="82" spans="2:20" ht="23.1" customHeight="1" x14ac:dyDescent="0.25">
      <c r="B82" s="24" t="s">
        <v>122</v>
      </c>
      <c r="C82" s="49">
        <f>'Avg Week Spear Motors-Kyambogo'!C82+'Avg Week Kyambogo-Spear Motors'!C82</f>
        <v>47.5</v>
      </c>
      <c r="D82" s="49">
        <f>'Avg Week Spear Motors-Kyambogo'!D82+'Avg Week Kyambogo-Spear Motors'!D82</f>
        <v>10</v>
      </c>
      <c r="E82" s="49">
        <f>'Avg Week Spear Motors-Kyambogo'!E82+'Avg Week Kyambogo-Spear Motors'!E82</f>
        <v>8.5</v>
      </c>
      <c r="F82" s="49">
        <f>'Avg Week Spear Motors-Kyambogo'!F82+'Avg Week Kyambogo-Spear Motors'!F82</f>
        <v>13.5</v>
      </c>
      <c r="G82" s="49">
        <f>'Avg Week Spear Motors-Kyambogo'!G82+'Avg Week Kyambogo-Spear Motors'!G82</f>
        <v>1.5</v>
      </c>
      <c r="H82" s="49">
        <f>'Avg Week Spear Motors-Kyambogo'!H82+'Avg Week Kyambogo-Spear Motors'!H82</f>
        <v>3.5</v>
      </c>
      <c r="I82" s="49">
        <f>'Avg Week Spear Motors-Kyambogo'!I82+'Avg Week Kyambogo-Spear Motors'!I82</f>
        <v>10</v>
      </c>
      <c r="J82" s="49">
        <f>'Avg Week Spear Motors-Kyambogo'!J82+'Avg Week Kyambogo-Spear Motors'!J82</f>
        <v>4</v>
      </c>
      <c r="K82" s="49">
        <f>'Avg Week Spear Motors-Kyambogo'!K82+'Avg Week Kyambogo-Spear Motors'!K82</f>
        <v>4.5</v>
      </c>
      <c r="L82" s="49">
        <f>'Avg Week Spear Motors-Kyambogo'!L82+'Avg Week Kyambogo-Spear Motors'!L82</f>
        <v>9</v>
      </c>
      <c r="M82" s="49">
        <f>'Avg Week Spear Motors-Kyambogo'!M82+'Avg Week Kyambogo-Spear Motors'!M82</f>
        <v>171</v>
      </c>
      <c r="N82" s="49">
        <f>'Avg Week Spear Motors-Kyambogo'!N82+'Avg Week Kyambogo-Spear Motors'!N82</f>
        <v>0</v>
      </c>
      <c r="O82" s="15">
        <f t="shared" si="35"/>
        <v>112</v>
      </c>
      <c r="P82" s="15">
        <f t="shared" si="36"/>
        <v>283</v>
      </c>
      <c r="R82" s="8"/>
      <c r="T82"/>
    </row>
    <row r="83" spans="2:20" ht="23.1" customHeight="1" x14ac:dyDescent="0.25">
      <c r="B83" s="23" t="s">
        <v>123</v>
      </c>
      <c r="C83" s="49">
        <f>'Avg Week Spear Motors-Kyambogo'!C83+'Avg Week Kyambogo-Spear Motors'!C83</f>
        <v>49.5</v>
      </c>
      <c r="D83" s="49">
        <f>'Avg Week Spear Motors-Kyambogo'!D83+'Avg Week Kyambogo-Spear Motors'!D83</f>
        <v>9.5</v>
      </c>
      <c r="E83" s="49">
        <f>'Avg Week Spear Motors-Kyambogo'!E83+'Avg Week Kyambogo-Spear Motors'!E83</f>
        <v>4</v>
      </c>
      <c r="F83" s="49">
        <f>'Avg Week Spear Motors-Kyambogo'!F83+'Avg Week Kyambogo-Spear Motors'!F83</f>
        <v>20</v>
      </c>
      <c r="G83" s="49">
        <f>'Avg Week Spear Motors-Kyambogo'!G83+'Avg Week Kyambogo-Spear Motors'!G83</f>
        <v>1.5</v>
      </c>
      <c r="H83" s="49">
        <f>'Avg Week Spear Motors-Kyambogo'!H83+'Avg Week Kyambogo-Spear Motors'!H83</f>
        <v>4.5</v>
      </c>
      <c r="I83" s="49">
        <f>'Avg Week Spear Motors-Kyambogo'!I83+'Avg Week Kyambogo-Spear Motors'!I83</f>
        <v>7</v>
      </c>
      <c r="J83" s="49">
        <f>'Avg Week Spear Motors-Kyambogo'!J83+'Avg Week Kyambogo-Spear Motors'!J83</f>
        <v>6</v>
      </c>
      <c r="K83" s="49">
        <f>'Avg Week Spear Motors-Kyambogo'!K83+'Avg Week Kyambogo-Spear Motors'!K83</f>
        <v>2</v>
      </c>
      <c r="L83" s="49">
        <f>'Avg Week Spear Motors-Kyambogo'!L83+'Avg Week Kyambogo-Spear Motors'!L83</f>
        <v>10.5</v>
      </c>
      <c r="M83" s="49">
        <f>'Avg Week Spear Motors-Kyambogo'!M83+'Avg Week Kyambogo-Spear Motors'!M83</f>
        <v>196.5</v>
      </c>
      <c r="N83" s="49">
        <f>'Avg Week Spear Motors-Kyambogo'!N83+'Avg Week Kyambogo-Spear Motors'!N83</f>
        <v>0</v>
      </c>
      <c r="O83" s="15">
        <f t="shared" si="35"/>
        <v>114.5</v>
      </c>
      <c r="P83" s="15">
        <f t="shared" si="36"/>
        <v>311</v>
      </c>
      <c r="R83" s="8"/>
      <c r="T83"/>
    </row>
    <row r="84" spans="2:20" ht="23.1" customHeight="1" x14ac:dyDescent="0.25">
      <c r="B84" s="25" t="s">
        <v>124</v>
      </c>
      <c r="C84" s="49">
        <f>'Avg Week Spear Motors-Kyambogo'!C84+'Avg Week Kyambogo-Spear Motors'!C84</f>
        <v>39</v>
      </c>
      <c r="D84" s="49">
        <f>'Avg Week Spear Motors-Kyambogo'!D84+'Avg Week Kyambogo-Spear Motors'!D84</f>
        <v>13.5</v>
      </c>
      <c r="E84" s="49">
        <f>'Avg Week Spear Motors-Kyambogo'!E84+'Avg Week Kyambogo-Spear Motors'!E84</f>
        <v>4.5</v>
      </c>
      <c r="F84" s="49">
        <f>'Avg Week Spear Motors-Kyambogo'!F84+'Avg Week Kyambogo-Spear Motors'!F84</f>
        <v>10</v>
      </c>
      <c r="G84" s="49">
        <f>'Avg Week Spear Motors-Kyambogo'!G84+'Avg Week Kyambogo-Spear Motors'!G84</f>
        <v>0.5</v>
      </c>
      <c r="H84" s="49">
        <f>'Avg Week Spear Motors-Kyambogo'!H84+'Avg Week Kyambogo-Spear Motors'!H84</f>
        <v>3.5</v>
      </c>
      <c r="I84" s="49">
        <f>'Avg Week Spear Motors-Kyambogo'!I84+'Avg Week Kyambogo-Spear Motors'!I84</f>
        <v>3</v>
      </c>
      <c r="J84" s="49">
        <f>'Avg Week Spear Motors-Kyambogo'!J84+'Avg Week Kyambogo-Spear Motors'!J84</f>
        <v>4</v>
      </c>
      <c r="K84" s="49">
        <f>'Avg Week Spear Motors-Kyambogo'!K84+'Avg Week Kyambogo-Spear Motors'!K84</f>
        <v>4</v>
      </c>
      <c r="L84" s="49">
        <f>'Avg Week Spear Motors-Kyambogo'!L84+'Avg Week Kyambogo-Spear Motors'!L84</f>
        <v>10.5</v>
      </c>
      <c r="M84" s="49">
        <f>'Avg Week Spear Motors-Kyambogo'!M84+'Avg Week Kyambogo-Spear Motors'!M84</f>
        <v>170.5</v>
      </c>
      <c r="N84" s="49">
        <f>'Avg Week Spear Motors-Kyambogo'!N84+'Avg Week Kyambogo-Spear Motors'!N84</f>
        <v>0</v>
      </c>
      <c r="O84" s="15">
        <f t="shared" si="35"/>
        <v>92.5</v>
      </c>
      <c r="P84" s="15">
        <f t="shared" si="36"/>
        <v>263</v>
      </c>
      <c r="R84" s="8"/>
      <c r="T84"/>
    </row>
    <row r="85" spans="2:20" ht="23.1" customHeight="1" x14ac:dyDescent="0.25">
      <c r="B85" s="23" t="s">
        <v>125</v>
      </c>
      <c r="C85" s="49">
        <f>'Avg Week Spear Motors-Kyambogo'!C85+'Avg Week Kyambogo-Spear Motors'!C85</f>
        <v>35</v>
      </c>
      <c r="D85" s="49">
        <f>'Avg Week Spear Motors-Kyambogo'!D85+'Avg Week Kyambogo-Spear Motors'!D85</f>
        <v>9</v>
      </c>
      <c r="E85" s="49">
        <f>'Avg Week Spear Motors-Kyambogo'!E85+'Avg Week Kyambogo-Spear Motors'!E85</f>
        <v>3</v>
      </c>
      <c r="F85" s="49">
        <f>'Avg Week Spear Motors-Kyambogo'!F85+'Avg Week Kyambogo-Spear Motors'!F85</f>
        <v>12</v>
      </c>
      <c r="G85" s="49">
        <f>'Avg Week Spear Motors-Kyambogo'!G85+'Avg Week Kyambogo-Spear Motors'!G85</f>
        <v>1.5</v>
      </c>
      <c r="H85" s="49">
        <f>'Avg Week Spear Motors-Kyambogo'!H85+'Avg Week Kyambogo-Spear Motors'!H85</f>
        <v>2.5</v>
      </c>
      <c r="I85" s="49">
        <f>'Avg Week Spear Motors-Kyambogo'!I85+'Avg Week Kyambogo-Spear Motors'!I85</f>
        <v>5.5</v>
      </c>
      <c r="J85" s="49">
        <f>'Avg Week Spear Motors-Kyambogo'!J85+'Avg Week Kyambogo-Spear Motors'!J85</f>
        <v>4</v>
      </c>
      <c r="K85" s="49">
        <f>'Avg Week Spear Motors-Kyambogo'!K85+'Avg Week Kyambogo-Spear Motors'!K85</f>
        <v>0</v>
      </c>
      <c r="L85" s="49">
        <f>'Avg Week Spear Motors-Kyambogo'!L85+'Avg Week Kyambogo-Spear Motors'!L85</f>
        <v>8.5</v>
      </c>
      <c r="M85" s="49">
        <f>'Avg Week Spear Motors-Kyambogo'!M85+'Avg Week Kyambogo-Spear Motors'!M85</f>
        <v>139.5</v>
      </c>
      <c r="N85" s="49">
        <f>'Avg Week Spear Motors-Kyambogo'!N85+'Avg Week Kyambogo-Spear Motors'!N85</f>
        <v>0</v>
      </c>
      <c r="O85" s="15">
        <f t="shared" si="35"/>
        <v>81</v>
      </c>
      <c r="P85" s="15">
        <f t="shared" si="36"/>
        <v>220.5</v>
      </c>
      <c r="R85" s="8"/>
      <c r="T85"/>
    </row>
    <row r="86" spans="2:20" ht="23.1" customHeight="1" x14ac:dyDescent="0.25">
      <c r="B86" s="24" t="s">
        <v>126</v>
      </c>
      <c r="C86" s="49">
        <f>'Avg Week Spear Motors-Kyambogo'!C86+'Avg Week Kyambogo-Spear Motors'!C86</f>
        <v>26</v>
      </c>
      <c r="D86" s="49">
        <f>'Avg Week Spear Motors-Kyambogo'!D86+'Avg Week Kyambogo-Spear Motors'!D86</f>
        <v>4</v>
      </c>
      <c r="E86" s="49">
        <f>'Avg Week Spear Motors-Kyambogo'!E86+'Avg Week Kyambogo-Spear Motors'!E86</f>
        <v>4.5</v>
      </c>
      <c r="F86" s="49">
        <f>'Avg Week Spear Motors-Kyambogo'!F86+'Avg Week Kyambogo-Spear Motors'!F86</f>
        <v>11.5</v>
      </c>
      <c r="G86" s="49">
        <f>'Avg Week Spear Motors-Kyambogo'!G86+'Avg Week Kyambogo-Spear Motors'!G86</f>
        <v>0.5</v>
      </c>
      <c r="H86" s="49">
        <f>'Avg Week Spear Motors-Kyambogo'!H86+'Avg Week Kyambogo-Spear Motors'!H86</f>
        <v>2</v>
      </c>
      <c r="I86" s="49">
        <f>'Avg Week Spear Motors-Kyambogo'!I86+'Avg Week Kyambogo-Spear Motors'!I86</f>
        <v>7.5</v>
      </c>
      <c r="J86" s="49">
        <f>'Avg Week Spear Motors-Kyambogo'!J86+'Avg Week Kyambogo-Spear Motors'!J86</f>
        <v>8</v>
      </c>
      <c r="K86" s="49">
        <f>'Avg Week Spear Motors-Kyambogo'!K86+'Avg Week Kyambogo-Spear Motors'!K86</f>
        <v>1</v>
      </c>
      <c r="L86" s="49">
        <f>'Avg Week Spear Motors-Kyambogo'!L86+'Avg Week Kyambogo-Spear Motors'!L86</f>
        <v>3</v>
      </c>
      <c r="M86" s="49">
        <f>'Avg Week Spear Motors-Kyambogo'!M86+'Avg Week Kyambogo-Spear Motors'!M86</f>
        <v>155.5</v>
      </c>
      <c r="N86" s="49">
        <f>'Avg Week Spear Motors-Kyambogo'!N86+'Avg Week Kyambogo-Spear Motors'!N86</f>
        <v>0</v>
      </c>
      <c r="O86" s="15">
        <f t="shared" si="35"/>
        <v>68</v>
      </c>
      <c r="P86" s="15">
        <f t="shared" si="36"/>
        <v>223.5</v>
      </c>
      <c r="R86" s="8"/>
      <c r="T86"/>
    </row>
    <row r="87" spans="2:20" ht="23.1" customHeight="1" x14ac:dyDescent="0.25">
      <c r="B87" s="23" t="s">
        <v>127</v>
      </c>
      <c r="C87" s="49">
        <f>'Avg Week Spear Motors-Kyambogo'!C87+'Avg Week Kyambogo-Spear Motors'!C87</f>
        <v>43.5</v>
      </c>
      <c r="D87" s="49">
        <f>'Avg Week Spear Motors-Kyambogo'!D87+'Avg Week Kyambogo-Spear Motors'!D87</f>
        <v>6</v>
      </c>
      <c r="E87" s="49">
        <f>'Avg Week Spear Motors-Kyambogo'!E87+'Avg Week Kyambogo-Spear Motors'!E87</f>
        <v>3.5</v>
      </c>
      <c r="F87" s="49">
        <f>'Avg Week Spear Motors-Kyambogo'!F87+'Avg Week Kyambogo-Spear Motors'!F87</f>
        <v>40.5</v>
      </c>
      <c r="G87" s="49">
        <f>'Avg Week Spear Motors-Kyambogo'!G87+'Avg Week Kyambogo-Spear Motors'!G87</f>
        <v>0.5</v>
      </c>
      <c r="H87" s="49">
        <f>'Avg Week Spear Motors-Kyambogo'!H87+'Avg Week Kyambogo-Spear Motors'!H87</f>
        <v>2.5</v>
      </c>
      <c r="I87" s="49">
        <f>'Avg Week Spear Motors-Kyambogo'!I87+'Avg Week Kyambogo-Spear Motors'!I87</f>
        <v>3.5</v>
      </c>
      <c r="J87" s="49">
        <f>'Avg Week Spear Motors-Kyambogo'!J87+'Avg Week Kyambogo-Spear Motors'!J87</f>
        <v>2.5</v>
      </c>
      <c r="K87" s="49">
        <f>'Avg Week Spear Motors-Kyambogo'!K87+'Avg Week Kyambogo-Spear Motors'!K87</f>
        <v>2</v>
      </c>
      <c r="L87" s="49">
        <f>'Avg Week Spear Motors-Kyambogo'!L87+'Avg Week Kyambogo-Spear Motors'!L87</f>
        <v>3.5</v>
      </c>
      <c r="M87" s="49">
        <f>'Avg Week Spear Motors-Kyambogo'!M87+'Avg Week Kyambogo-Spear Motors'!M87</f>
        <v>154</v>
      </c>
      <c r="N87" s="49">
        <f>'Avg Week Spear Motors-Kyambogo'!N87+'Avg Week Kyambogo-Spear Motors'!N87</f>
        <v>0</v>
      </c>
      <c r="O87" s="15">
        <f t="shared" si="35"/>
        <v>108</v>
      </c>
      <c r="P87" s="15">
        <f t="shared" si="36"/>
        <v>262</v>
      </c>
      <c r="R87" s="8"/>
      <c r="T87"/>
    </row>
    <row r="88" spans="2:20" ht="23.1" customHeight="1" x14ac:dyDescent="0.25">
      <c r="B88" s="25" t="s">
        <v>128</v>
      </c>
      <c r="C88" s="49">
        <f>'Avg Week Spear Motors-Kyambogo'!C88+'Avg Week Kyambogo-Spear Motors'!C88</f>
        <v>36.5</v>
      </c>
      <c r="D88" s="49">
        <f>'Avg Week Spear Motors-Kyambogo'!D88+'Avg Week Kyambogo-Spear Motors'!D88</f>
        <v>3.5</v>
      </c>
      <c r="E88" s="49">
        <f>'Avg Week Spear Motors-Kyambogo'!E88+'Avg Week Kyambogo-Spear Motors'!E88</f>
        <v>4.5</v>
      </c>
      <c r="F88" s="49">
        <f>'Avg Week Spear Motors-Kyambogo'!F88+'Avg Week Kyambogo-Spear Motors'!F88</f>
        <v>11</v>
      </c>
      <c r="G88" s="49">
        <f>'Avg Week Spear Motors-Kyambogo'!G88+'Avg Week Kyambogo-Spear Motors'!G88</f>
        <v>1</v>
      </c>
      <c r="H88" s="49">
        <f>'Avg Week Spear Motors-Kyambogo'!H88+'Avg Week Kyambogo-Spear Motors'!H88</f>
        <v>1.5</v>
      </c>
      <c r="I88" s="49">
        <f>'Avg Week Spear Motors-Kyambogo'!I88+'Avg Week Kyambogo-Spear Motors'!I88</f>
        <v>3.5</v>
      </c>
      <c r="J88" s="49">
        <f>'Avg Week Spear Motors-Kyambogo'!J88+'Avg Week Kyambogo-Spear Motors'!J88</f>
        <v>4.5</v>
      </c>
      <c r="K88" s="49">
        <f>'Avg Week Spear Motors-Kyambogo'!K88+'Avg Week Kyambogo-Spear Motors'!K88</f>
        <v>2</v>
      </c>
      <c r="L88" s="49">
        <f>'Avg Week Spear Motors-Kyambogo'!L88+'Avg Week Kyambogo-Spear Motors'!L88</f>
        <v>1.5</v>
      </c>
      <c r="M88" s="49">
        <f>'Avg Week Spear Motors-Kyambogo'!M88+'Avg Week Kyambogo-Spear Motors'!M88</f>
        <v>196.5</v>
      </c>
      <c r="N88" s="49">
        <f>'Avg Week Spear Motors-Kyambogo'!N88+'Avg Week Kyambogo-Spear Motors'!N88</f>
        <v>0</v>
      </c>
      <c r="O88" s="15">
        <f t="shared" si="35"/>
        <v>69.5</v>
      </c>
      <c r="P88" s="15">
        <f t="shared" si="36"/>
        <v>266</v>
      </c>
      <c r="R88" s="8"/>
      <c r="T88"/>
    </row>
    <row r="89" spans="2:20" ht="23.1" customHeight="1" x14ac:dyDescent="0.25">
      <c r="B89" s="23" t="s">
        <v>129</v>
      </c>
      <c r="C89" s="49">
        <f>'Avg Week Spear Motors-Kyambogo'!C89+'Avg Week Kyambogo-Spear Motors'!C89</f>
        <v>36</v>
      </c>
      <c r="D89" s="49">
        <f>'Avg Week Spear Motors-Kyambogo'!D89+'Avg Week Kyambogo-Spear Motors'!D89</f>
        <v>3.5</v>
      </c>
      <c r="E89" s="49">
        <f>'Avg Week Spear Motors-Kyambogo'!E89+'Avg Week Kyambogo-Spear Motors'!E89</f>
        <v>5</v>
      </c>
      <c r="F89" s="49">
        <f>'Avg Week Spear Motors-Kyambogo'!F89+'Avg Week Kyambogo-Spear Motors'!F89</f>
        <v>9</v>
      </c>
      <c r="G89" s="49">
        <f>'Avg Week Spear Motors-Kyambogo'!G89+'Avg Week Kyambogo-Spear Motors'!G89</f>
        <v>0.5</v>
      </c>
      <c r="H89" s="49">
        <f>'Avg Week Spear Motors-Kyambogo'!H89+'Avg Week Kyambogo-Spear Motors'!H89</f>
        <v>1</v>
      </c>
      <c r="I89" s="49">
        <f>'Avg Week Spear Motors-Kyambogo'!I89+'Avg Week Kyambogo-Spear Motors'!I89</f>
        <v>9</v>
      </c>
      <c r="J89" s="49">
        <f>'Avg Week Spear Motors-Kyambogo'!J89+'Avg Week Kyambogo-Spear Motors'!J89</f>
        <v>5.5</v>
      </c>
      <c r="K89" s="49">
        <f>'Avg Week Spear Motors-Kyambogo'!K89+'Avg Week Kyambogo-Spear Motors'!K89</f>
        <v>2.5</v>
      </c>
      <c r="L89" s="49">
        <f>'Avg Week Spear Motors-Kyambogo'!L89+'Avg Week Kyambogo-Spear Motors'!L89</f>
        <v>2</v>
      </c>
      <c r="M89" s="49">
        <f>'Avg Week Spear Motors-Kyambogo'!M89+'Avg Week Kyambogo-Spear Motors'!M89</f>
        <v>195.5</v>
      </c>
      <c r="N89" s="49">
        <f>'Avg Week Spear Motors-Kyambogo'!N89+'Avg Week Kyambogo-Spear Motors'!N89</f>
        <v>0</v>
      </c>
      <c r="O89" s="15">
        <f t="shared" si="35"/>
        <v>74</v>
      </c>
      <c r="P89" s="15">
        <f t="shared" si="36"/>
        <v>269.5</v>
      </c>
      <c r="R89" s="8"/>
      <c r="T89"/>
    </row>
    <row r="90" spans="2:20" ht="23.1" customHeight="1" x14ac:dyDescent="0.25">
      <c r="B90" s="24" t="s">
        <v>130</v>
      </c>
      <c r="C90" s="49">
        <f>'Avg Week Spear Motors-Kyambogo'!C90+'Avg Week Kyambogo-Spear Motors'!C90</f>
        <v>27</v>
      </c>
      <c r="D90" s="49">
        <f>'Avg Week Spear Motors-Kyambogo'!D90+'Avg Week Kyambogo-Spear Motors'!D90</f>
        <v>3.5</v>
      </c>
      <c r="E90" s="49">
        <f>'Avg Week Spear Motors-Kyambogo'!E90+'Avg Week Kyambogo-Spear Motors'!E90</f>
        <v>5</v>
      </c>
      <c r="F90" s="49">
        <f>'Avg Week Spear Motors-Kyambogo'!F90+'Avg Week Kyambogo-Spear Motors'!F90</f>
        <v>8</v>
      </c>
      <c r="G90" s="49">
        <f>'Avg Week Spear Motors-Kyambogo'!G90+'Avg Week Kyambogo-Spear Motors'!G90</f>
        <v>0</v>
      </c>
      <c r="H90" s="49">
        <f>'Avg Week Spear Motors-Kyambogo'!H90+'Avg Week Kyambogo-Spear Motors'!H90</f>
        <v>1</v>
      </c>
      <c r="I90" s="49">
        <f>'Avg Week Spear Motors-Kyambogo'!I90+'Avg Week Kyambogo-Spear Motors'!I90</f>
        <v>2.5</v>
      </c>
      <c r="J90" s="49">
        <f>'Avg Week Spear Motors-Kyambogo'!J90+'Avg Week Kyambogo-Spear Motors'!J90</f>
        <v>8.5</v>
      </c>
      <c r="K90" s="49">
        <f>'Avg Week Spear Motors-Kyambogo'!K90+'Avg Week Kyambogo-Spear Motors'!K90</f>
        <v>1.5</v>
      </c>
      <c r="L90" s="49">
        <f>'Avg Week Spear Motors-Kyambogo'!L90+'Avg Week Kyambogo-Spear Motors'!L90</f>
        <v>4</v>
      </c>
      <c r="M90" s="49">
        <f>'Avg Week Spear Motors-Kyambogo'!M90+'Avg Week Kyambogo-Spear Motors'!M90</f>
        <v>188.5</v>
      </c>
      <c r="N90" s="49">
        <f>'Avg Week Spear Motors-Kyambogo'!N90+'Avg Week Kyambogo-Spear Motors'!N90</f>
        <v>0</v>
      </c>
      <c r="O90" s="15">
        <f t="shared" si="35"/>
        <v>61</v>
      </c>
      <c r="P90" s="15">
        <f t="shared" si="36"/>
        <v>249.5</v>
      </c>
      <c r="R90" s="8"/>
      <c r="T90"/>
    </row>
    <row r="91" spans="2:20" ht="23.1" customHeight="1" x14ac:dyDescent="0.25">
      <c r="B91" s="23" t="s">
        <v>131</v>
      </c>
      <c r="C91" s="49">
        <f>'Avg Week Spear Motors-Kyambogo'!C91+'Avg Week Kyambogo-Spear Motors'!C91</f>
        <v>27</v>
      </c>
      <c r="D91" s="49">
        <f>'Avg Week Spear Motors-Kyambogo'!D91+'Avg Week Kyambogo-Spear Motors'!D91</f>
        <v>4.5</v>
      </c>
      <c r="E91" s="49">
        <f>'Avg Week Spear Motors-Kyambogo'!E91+'Avg Week Kyambogo-Spear Motors'!E91</f>
        <v>6</v>
      </c>
      <c r="F91" s="49">
        <f>'Avg Week Spear Motors-Kyambogo'!F91+'Avg Week Kyambogo-Spear Motors'!F91</f>
        <v>7.5</v>
      </c>
      <c r="G91" s="49">
        <f>'Avg Week Spear Motors-Kyambogo'!G91+'Avg Week Kyambogo-Spear Motors'!G91</f>
        <v>1</v>
      </c>
      <c r="H91" s="49">
        <f>'Avg Week Spear Motors-Kyambogo'!H91+'Avg Week Kyambogo-Spear Motors'!H91</f>
        <v>2</v>
      </c>
      <c r="I91" s="49">
        <f>'Avg Week Spear Motors-Kyambogo'!I91+'Avg Week Kyambogo-Spear Motors'!I91</f>
        <v>8.5</v>
      </c>
      <c r="J91" s="49">
        <f>'Avg Week Spear Motors-Kyambogo'!J91+'Avg Week Kyambogo-Spear Motors'!J91</f>
        <v>5.5</v>
      </c>
      <c r="K91" s="49">
        <f>'Avg Week Spear Motors-Kyambogo'!K91+'Avg Week Kyambogo-Spear Motors'!K91</f>
        <v>2</v>
      </c>
      <c r="L91" s="49">
        <f>'Avg Week Spear Motors-Kyambogo'!L91+'Avg Week Kyambogo-Spear Motors'!L91</f>
        <v>5</v>
      </c>
      <c r="M91" s="49">
        <f>'Avg Week Spear Motors-Kyambogo'!M91+'Avg Week Kyambogo-Spear Motors'!M91</f>
        <v>136.5</v>
      </c>
      <c r="N91" s="49">
        <f>'Avg Week Spear Motors-Kyambogo'!N91+'Avg Week Kyambogo-Spear Motors'!N91</f>
        <v>0</v>
      </c>
      <c r="O91" s="15">
        <f t="shared" si="35"/>
        <v>69</v>
      </c>
      <c r="P91" s="15">
        <f t="shared" si="36"/>
        <v>205.5</v>
      </c>
      <c r="R91" s="8"/>
      <c r="T91"/>
    </row>
    <row r="92" spans="2:20" ht="23.1" customHeight="1" x14ac:dyDescent="0.25">
      <c r="B92" s="25" t="s">
        <v>132</v>
      </c>
      <c r="C92" s="49">
        <f>'Avg Week Spear Motors-Kyambogo'!C92+'Avg Week Kyambogo-Spear Motors'!C92</f>
        <v>26</v>
      </c>
      <c r="D92" s="49">
        <f>'Avg Week Spear Motors-Kyambogo'!D92+'Avg Week Kyambogo-Spear Motors'!D92</f>
        <v>3</v>
      </c>
      <c r="E92" s="49">
        <f>'Avg Week Spear Motors-Kyambogo'!E92+'Avg Week Kyambogo-Spear Motors'!E92</f>
        <v>0.5</v>
      </c>
      <c r="F92" s="49">
        <f>'Avg Week Spear Motors-Kyambogo'!F92+'Avg Week Kyambogo-Spear Motors'!F92</f>
        <v>8.5</v>
      </c>
      <c r="G92" s="49">
        <f>'Avg Week Spear Motors-Kyambogo'!G92+'Avg Week Kyambogo-Spear Motors'!G92</f>
        <v>0</v>
      </c>
      <c r="H92" s="49">
        <f>'Avg Week Spear Motors-Kyambogo'!H92+'Avg Week Kyambogo-Spear Motors'!H92</f>
        <v>0</v>
      </c>
      <c r="I92" s="49">
        <f>'Avg Week Spear Motors-Kyambogo'!I92+'Avg Week Kyambogo-Spear Motors'!I92</f>
        <v>5</v>
      </c>
      <c r="J92" s="49">
        <f>'Avg Week Spear Motors-Kyambogo'!J92+'Avg Week Kyambogo-Spear Motors'!J92</f>
        <v>4.5</v>
      </c>
      <c r="K92" s="49">
        <f>'Avg Week Spear Motors-Kyambogo'!K92+'Avg Week Kyambogo-Spear Motors'!K92</f>
        <v>3</v>
      </c>
      <c r="L92" s="49">
        <f>'Avg Week Spear Motors-Kyambogo'!L92+'Avg Week Kyambogo-Spear Motors'!L92</f>
        <v>2</v>
      </c>
      <c r="M92" s="49">
        <f>'Avg Week Spear Motors-Kyambogo'!M92+'Avg Week Kyambogo-Spear Motors'!M92</f>
        <v>166.5</v>
      </c>
      <c r="N92" s="49">
        <f>'Avg Week Spear Motors-Kyambogo'!N92+'Avg Week Kyambogo-Spear Motors'!N92</f>
        <v>0</v>
      </c>
      <c r="O92" s="15">
        <f t="shared" si="35"/>
        <v>52.5</v>
      </c>
      <c r="P92" s="15">
        <f t="shared" si="36"/>
        <v>219</v>
      </c>
      <c r="R92" s="8"/>
      <c r="T92"/>
    </row>
    <row r="93" spans="2:20" ht="23.1" customHeight="1" x14ac:dyDescent="0.25">
      <c r="B93" s="23" t="s">
        <v>133</v>
      </c>
      <c r="C93" s="49">
        <f>'Avg Week Spear Motors-Kyambogo'!C93+'Avg Week Kyambogo-Spear Motors'!C93</f>
        <v>20.5</v>
      </c>
      <c r="D93" s="49">
        <f>'Avg Week Spear Motors-Kyambogo'!D93+'Avg Week Kyambogo-Spear Motors'!D93</f>
        <v>3</v>
      </c>
      <c r="E93" s="49">
        <f>'Avg Week Spear Motors-Kyambogo'!E93+'Avg Week Kyambogo-Spear Motors'!E93</f>
        <v>3.5</v>
      </c>
      <c r="F93" s="49">
        <f>'Avg Week Spear Motors-Kyambogo'!F93+'Avg Week Kyambogo-Spear Motors'!F93</f>
        <v>14.5</v>
      </c>
      <c r="G93" s="49">
        <f>'Avg Week Spear Motors-Kyambogo'!G93+'Avg Week Kyambogo-Spear Motors'!G93</f>
        <v>0</v>
      </c>
      <c r="H93" s="49">
        <f>'Avg Week Spear Motors-Kyambogo'!H93+'Avg Week Kyambogo-Spear Motors'!H93</f>
        <v>0</v>
      </c>
      <c r="I93" s="49">
        <f>'Avg Week Spear Motors-Kyambogo'!I93+'Avg Week Kyambogo-Spear Motors'!I93</f>
        <v>5</v>
      </c>
      <c r="J93" s="49">
        <f>'Avg Week Spear Motors-Kyambogo'!J93+'Avg Week Kyambogo-Spear Motors'!J93</f>
        <v>4</v>
      </c>
      <c r="K93" s="49">
        <f>'Avg Week Spear Motors-Kyambogo'!K93+'Avg Week Kyambogo-Spear Motors'!K93</f>
        <v>1.5</v>
      </c>
      <c r="L93" s="49">
        <f>'Avg Week Spear Motors-Kyambogo'!L93+'Avg Week Kyambogo-Spear Motors'!L93</f>
        <v>3</v>
      </c>
      <c r="M93" s="49">
        <f>'Avg Week Spear Motors-Kyambogo'!M93+'Avg Week Kyambogo-Spear Motors'!M93</f>
        <v>151</v>
      </c>
      <c r="N93" s="49">
        <f>'Avg Week Spear Motors-Kyambogo'!N93+'Avg Week Kyambogo-Spear Motors'!N93</f>
        <v>0</v>
      </c>
      <c r="O93" s="15">
        <f t="shared" si="35"/>
        <v>55</v>
      </c>
      <c r="P93" s="15">
        <f t="shared" si="36"/>
        <v>206</v>
      </c>
      <c r="R93" s="8"/>
      <c r="T93"/>
    </row>
    <row r="94" spans="2:20" ht="23.1" customHeight="1" x14ac:dyDescent="0.25">
      <c r="B94" s="24" t="s">
        <v>134</v>
      </c>
      <c r="C94" s="49">
        <f>'Avg Week Spear Motors-Kyambogo'!C94+'Avg Week Kyambogo-Spear Motors'!C94</f>
        <v>23</v>
      </c>
      <c r="D94" s="49">
        <f>'Avg Week Spear Motors-Kyambogo'!D94+'Avg Week Kyambogo-Spear Motors'!D94</f>
        <v>6.5</v>
      </c>
      <c r="E94" s="49">
        <f>'Avg Week Spear Motors-Kyambogo'!E94+'Avg Week Kyambogo-Spear Motors'!E94</f>
        <v>2</v>
      </c>
      <c r="F94" s="49">
        <f>'Avg Week Spear Motors-Kyambogo'!F94+'Avg Week Kyambogo-Spear Motors'!F94</f>
        <v>16</v>
      </c>
      <c r="G94" s="49">
        <f>'Avg Week Spear Motors-Kyambogo'!G94+'Avg Week Kyambogo-Spear Motors'!G94</f>
        <v>0</v>
      </c>
      <c r="H94" s="49">
        <f>'Avg Week Spear Motors-Kyambogo'!H94+'Avg Week Kyambogo-Spear Motors'!H94</f>
        <v>1</v>
      </c>
      <c r="I94" s="49">
        <f>'Avg Week Spear Motors-Kyambogo'!I94+'Avg Week Kyambogo-Spear Motors'!I94</f>
        <v>8</v>
      </c>
      <c r="J94" s="49">
        <f>'Avg Week Spear Motors-Kyambogo'!J94+'Avg Week Kyambogo-Spear Motors'!J94</f>
        <v>6.5</v>
      </c>
      <c r="K94" s="49">
        <f>'Avg Week Spear Motors-Kyambogo'!K94+'Avg Week Kyambogo-Spear Motors'!K94</f>
        <v>0.5</v>
      </c>
      <c r="L94" s="49">
        <f>'Avg Week Spear Motors-Kyambogo'!L94+'Avg Week Kyambogo-Spear Motors'!L94</f>
        <v>2.5</v>
      </c>
      <c r="M94" s="49">
        <f>'Avg Week Spear Motors-Kyambogo'!M94+'Avg Week Kyambogo-Spear Motors'!M94</f>
        <v>125.5</v>
      </c>
      <c r="N94" s="49">
        <f>'Avg Week Spear Motors-Kyambogo'!N94+'Avg Week Kyambogo-Spear Motors'!N94</f>
        <v>0</v>
      </c>
      <c r="O94" s="15">
        <f t="shared" si="35"/>
        <v>66</v>
      </c>
      <c r="P94" s="15">
        <f t="shared" si="36"/>
        <v>191.5</v>
      </c>
      <c r="R94" s="8"/>
      <c r="T94"/>
    </row>
    <row r="95" spans="2:20" ht="23.1" customHeight="1" x14ac:dyDescent="0.25">
      <c r="B95" s="23" t="s">
        <v>135</v>
      </c>
      <c r="C95" s="49">
        <f>'Avg Week Spear Motors-Kyambogo'!C95+'Avg Week Kyambogo-Spear Motors'!C95</f>
        <v>21</v>
      </c>
      <c r="D95" s="49">
        <f>'Avg Week Spear Motors-Kyambogo'!D95+'Avg Week Kyambogo-Spear Motors'!D95</f>
        <v>3.5</v>
      </c>
      <c r="E95" s="49">
        <f>'Avg Week Spear Motors-Kyambogo'!E95+'Avg Week Kyambogo-Spear Motors'!E95</f>
        <v>4</v>
      </c>
      <c r="F95" s="49">
        <f>'Avg Week Spear Motors-Kyambogo'!F95+'Avg Week Kyambogo-Spear Motors'!F95</f>
        <v>11</v>
      </c>
      <c r="G95" s="49">
        <f>'Avg Week Spear Motors-Kyambogo'!G95+'Avg Week Kyambogo-Spear Motors'!G95</f>
        <v>1.5</v>
      </c>
      <c r="H95" s="49">
        <f>'Avg Week Spear Motors-Kyambogo'!H95+'Avg Week Kyambogo-Spear Motors'!H95</f>
        <v>0.5</v>
      </c>
      <c r="I95" s="49">
        <f>'Avg Week Spear Motors-Kyambogo'!I95+'Avg Week Kyambogo-Spear Motors'!I95</f>
        <v>7</v>
      </c>
      <c r="J95" s="49">
        <f>'Avg Week Spear Motors-Kyambogo'!J95+'Avg Week Kyambogo-Spear Motors'!J95</f>
        <v>4</v>
      </c>
      <c r="K95" s="49">
        <f>'Avg Week Spear Motors-Kyambogo'!K95+'Avg Week Kyambogo-Spear Motors'!K95</f>
        <v>1.5</v>
      </c>
      <c r="L95" s="49">
        <f>'Avg Week Spear Motors-Kyambogo'!L95+'Avg Week Kyambogo-Spear Motors'!L95</f>
        <v>4</v>
      </c>
      <c r="M95" s="49">
        <f>'Avg Week Spear Motors-Kyambogo'!M95+'Avg Week Kyambogo-Spear Motors'!M95</f>
        <v>162.5</v>
      </c>
      <c r="N95" s="49">
        <f>'Avg Week Spear Motors-Kyambogo'!N95+'Avg Week Kyambogo-Spear Motors'!N95</f>
        <v>0</v>
      </c>
      <c r="O95" s="15">
        <f t="shared" si="35"/>
        <v>58</v>
      </c>
      <c r="P95" s="15">
        <f t="shared" si="36"/>
        <v>220.5</v>
      </c>
      <c r="R95" s="8"/>
      <c r="T95"/>
    </row>
    <row r="96" spans="2:20" ht="23.1" customHeight="1" x14ac:dyDescent="0.25">
      <c r="B96" s="25" t="s">
        <v>136</v>
      </c>
      <c r="C96" s="49">
        <f>'Avg Week Spear Motors-Kyambogo'!C96+'Avg Week Kyambogo-Spear Motors'!C96</f>
        <v>22</v>
      </c>
      <c r="D96" s="49">
        <f>'Avg Week Spear Motors-Kyambogo'!D96+'Avg Week Kyambogo-Spear Motors'!D96</f>
        <v>3</v>
      </c>
      <c r="E96" s="49">
        <f>'Avg Week Spear Motors-Kyambogo'!E96+'Avg Week Kyambogo-Spear Motors'!E96</f>
        <v>2</v>
      </c>
      <c r="F96" s="49">
        <f>'Avg Week Spear Motors-Kyambogo'!F96+'Avg Week Kyambogo-Spear Motors'!F96</f>
        <v>14</v>
      </c>
      <c r="G96" s="49">
        <f>'Avg Week Spear Motors-Kyambogo'!G96+'Avg Week Kyambogo-Spear Motors'!G96</f>
        <v>2</v>
      </c>
      <c r="H96" s="49">
        <f>'Avg Week Spear Motors-Kyambogo'!H96+'Avg Week Kyambogo-Spear Motors'!H96</f>
        <v>2</v>
      </c>
      <c r="I96" s="49">
        <f>'Avg Week Spear Motors-Kyambogo'!I96+'Avg Week Kyambogo-Spear Motors'!I96</f>
        <v>6.5</v>
      </c>
      <c r="J96" s="49">
        <f>'Avg Week Spear Motors-Kyambogo'!J96+'Avg Week Kyambogo-Spear Motors'!J96</f>
        <v>4.5</v>
      </c>
      <c r="K96" s="49">
        <f>'Avg Week Spear Motors-Kyambogo'!K96+'Avg Week Kyambogo-Spear Motors'!K96</f>
        <v>1.5</v>
      </c>
      <c r="L96" s="49">
        <f>'Avg Week Spear Motors-Kyambogo'!L96+'Avg Week Kyambogo-Spear Motors'!L96</f>
        <v>5</v>
      </c>
      <c r="M96" s="49">
        <f>'Avg Week Spear Motors-Kyambogo'!M96+'Avg Week Kyambogo-Spear Motors'!M96</f>
        <v>146.5</v>
      </c>
      <c r="N96" s="49">
        <f>'Avg Week Spear Motors-Kyambogo'!N96+'Avg Week Kyambogo-Spear Motors'!N96</f>
        <v>0</v>
      </c>
      <c r="O96" s="15">
        <f t="shared" si="35"/>
        <v>62.5</v>
      </c>
      <c r="P96" s="15">
        <f t="shared" si="36"/>
        <v>209</v>
      </c>
      <c r="R96" s="8"/>
      <c r="T96"/>
    </row>
    <row r="97" spans="2:20" ht="23.1" customHeight="1" x14ac:dyDescent="0.25">
      <c r="B97" s="23" t="s">
        <v>137</v>
      </c>
      <c r="C97" s="49">
        <f>'Avg Week Spear Motors-Kyambogo'!C97+'Avg Week Kyambogo-Spear Motors'!C97</f>
        <v>29.5</v>
      </c>
      <c r="D97" s="49">
        <f>'Avg Week Spear Motors-Kyambogo'!D97+'Avg Week Kyambogo-Spear Motors'!D97</f>
        <v>1.5</v>
      </c>
      <c r="E97" s="49">
        <f>'Avg Week Spear Motors-Kyambogo'!E97+'Avg Week Kyambogo-Spear Motors'!E97</f>
        <v>6.5</v>
      </c>
      <c r="F97" s="49">
        <f>'Avg Week Spear Motors-Kyambogo'!F97+'Avg Week Kyambogo-Spear Motors'!F97</f>
        <v>17.5</v>
      </c>
      <c r="G97" s="49">
        <f>'Avg Week Spear Motors-Kyambogo'!G97+'Avg Week Kyambogo-Spear Motors'!G97</f>
        <v>3.5</v>
      </c>
      <c r="H97" s="49">
        <f>'Avg Week Spear Motors-Kyambogo'!H97+'Avg Week Kyambogo-Spear Motors'!H97</f>
        <v>0.5</v>
      </c>
      <c r="I97" s="49">
        <f>'Avg Week Spear Motors-Kyambogo'!I97+'Avg Week Kyambogo-Spear Motors'!I97</f>
        <v>3</v>
      </c>
      <c r="J97" s="49">
        <f>'Avg Week Spear Motors-Kyambogo'!J97+'Avg Week Kyambogo-Spear Motors'!J97</f>
        <v>3.5</v>
      </c>
      <c r="K97" s="49">
        <f>'Avg Week Spear Motors-Kyambogo'!K97+'Avg Week Kyambogo-Spear Motors'!K97</f>
        <v>1.5</v>
      </c>
      <c r="L97" s="49">
        <f>'Avg Week Spear Motors-Kyambogo'!L97+'Avg Week Kyambogo-Spear Motors'!L97</f>
        <v>0.5</v>
      </c>
      <c r="M97" s="49">
        <f>'Avg Week Spear Motors-Kyambogo'!M97+'Avg Week Kyambogo-Spear Motors'!M97</f>
        <v>126</v>
      </c>
      <c r="N97" s="49">
        <f>'Avg Week Spear Motors-Kyambogo'!N97+'Avg Week Kyambogo-Spear Motors'!N97</f>
        <v>0</v>
      </c>
      <c r="O97" s="15">
        <f t="shared" si="35"/>
        <v>67.5</v>
      </c>
      <c r="P97" s="15">
        <f t="shared" si="36"/>
        <v>193.5</v>
      </c>
      <c r="R97" s="8"/>
      <c r="T97"/>
    </row>
    <row r="98" spans="2:20" ht="23.1" customHeight="1" x14ac:dyDescent="0.25">
      <c r="B98" s="24" t="s">
        <v>138</v>
      </c>
      <c r="C98" s="49">
        <f>'Avg Week Spear Motors-Kyambogo'!C98+'Avg Week Kyambogo-Spear Motors'!C98</f>
        <v>25.5</v>
      </c>
      <c r="D98" s="49">
        <f>'Avg Week Spear Motors-Kyambogo'!D98+'Avg Week Kyambogo-Spear Motors'!D98</f>
        <v>3.5</v>
      </c>
      <c r="E98" s="49">
        <f>'Avg Week Spear Motors-Kyambogo'!E98+'Avg Week Kyambogo-Spear Motors'!E98</f>
        <v>2</v>
      </c>
      <c r="F98" s="49">
        <f>'Avg Week Spear Motors-Kyambogo'!F98+'Avg Week Kyambogo-Spear Motors'!F98</f>
        <v>22.5</v>
      </c>
      <c r="G98" s="49">
        <f>'Avg Week Spear Motors-Kyambogo'!G98+'Avg Week Kyambogo-Spear Motors'!G98</f>
        <v>4.5</v>
      </c>
      <c r="H98" s="49">
        <f>'Avg Week Spear Motors-Kyambogo'!H98+'Avg Week Kyambogo-Spear Motors'!H98</f>
        <v>1.5</v>
      </c>
      <c r="I98" s="49">
        <f>'Avg Week Spear Motors-Kyambogo'!I98+'Avg Week Kyambogo-Spear Motors'!I98</f>
        <v>2.5</v>
      </c>
      <c r="J98" s="49">
        <f>'Avg Week Spear Motors-Kyambogo'!J98+'Avg Week Kyambogo-Spear Motors'!J98</f>
        <v>4</v>
      </c>
      <c r="K98" s="49">
        <f>'Avg Week Spear Motors-Kyambogo'!K98+'Avg Week Kyambogo-Spear Motors'!K98</f>
        <v>1.5</v>
      </c>
      <c r="L98" s="49">
        <f>'Avg Week Spear Motors-Kyambogo'!L98+'Avg Week Kyambogo-Spear Motors'!L98</f>
        <v>3</v>
      </c>
      <c r="M98" s="49">
        <f>'Avg Week Spear Motors-Kyambogo'!M98+'Avg Week Kyambogo-Spear Motors'!M98</f>
        <v>175</v>
      </c>
      <c r="N98" s="49">
        <f>'Avg Week Spear Motors-Kyambogo'!N98+'Avg Week Kyambogo-Spear Motors'!N98</f>
        <v>0</v>
      </c>
      <c r="O98" s="15">
        <f t="shared" si="35"/>
        <v>70.5</v>
      </c>
      <c r="P98" s="15">
        <f t="shared" si="36"/>
        <v>245.5</v>
      </c>
      <c r="R98" s="8"/>
      <c r="T98"/>
    </row>
    <row r="99" spans="2:20" ht="23.1" customHeight="1" x14ac:dyDescent="0.25">
      <c r="B99" s="23" t="s">
        <v>139</v>
      </c>
      <c r="C99" s="49">
        <f>'Avg Week Spear Motors-Kyambogo'!C99+'Avg Week Kyambogo-Spear Motors'!C99</f>
        <v>22</v>
      </c>
      <c r="D99" s="49">
        <f>'Avg Week Spear Motors-Kyambogo'!D99+'Avg Week Kyambogo-Spear Motors'!D99</f>
        <v>1</v>
      </c>
      <c r="E99" s="49">
        <f>'Avg Week Spear Motors-Kyambogo'!E99+'Avg Week Kyambogo-Spear Motors'!E99</f>
        <v>3</v>
      </c>
      <c r="F99" s="49">
        <f>'Avg Week Spear Motors-Kyambogo'!F99+'Avg Week Kyambogo-Spear Motors'!F99</f>
        <v>32</v>
      </c>
      <c r="G99" s="49">
        <f>'Avg Week Spear Motors-Kyambogo'!G99+'Avg Week Kyambogo-Spear Motors'!G99</f>
        <v>3</v>
      </c>
      <c r="H99" s="49">
        <f>'Avg Week Spear Motors-Kyambogo'!H99+'Avg Week Kyambogo-Spear Motors'!H99</f>
        <v>1.5</v>
      </c>
      <c r="I99" s="49">
        <f>'Avg Week Spear Motors-Kyambogo'!I99+'Avg Week Kyambogo-Spear Motors'!I99</f>
        <v>1.5</v>
      </c>
      <c r="J99" s="49">
        <f>'Avg Week Spear Motors-Kyambogo'!J99+'Avg Week Kyambogo-Spear Motors'!J99</f>
        <v>7</v>
      </c>
      <c r="K99" s="49">
        <f>'Avg Week Spear Motors-Kyambogo'!K99+'Avg Week Kyambogo-Spear Motors'!K99</f>
        <v>2.5</v>
      </c>
      <c r="L99" s="49">
        <f>'Avg Week Spear Motors-Kyambogo'!L99+'Avg Week Kyambogo-Spear Motors'!L99</f>
        <v>7</v>
      </c>
      <c r="M99" s="49">
        <f>'Avg Week Spear Motors-Kyambogo'!M99+'Avg Week Kyambogo-Spear Motors'!M99</f>
        <v>153</v>
      </c>
      <c r="N99" s="49">
        <f>'Avg Week Spear Motors-Kyambogo'!N99+'Avg Week Kyambogo-Spear Motors'!N99</f>
        <v>0</v>
      </c>
      <c r="O99" s="15">
        <f t="shared" si="35"/>
        <v>80.5</v>
      </c>
      <c r="P99" s="15">
        <f t="shared" si="36"/>
        <v>233.5</v>
      </c>
      <c r="R99" s="8"/>
      <c r="T99"/>
    </row>
    <row r="100" spans="2:20" ht="23.1" customHeight="1" x14ac:dyDescent="0.25">
      <c r="B100" s="25" t="s">
        <v>140</v>
      </c>
      <c r="C100" s="49">
        <f>'Avg Week Spear Motors-Kyambogo'!C100+'Avg Week Kyambogo-Spear Motors'!C100</f>
        <v>28.5</v>
      </c>
      <c r="D100" s="49">
        <f>'Avg Week Spear Motors-Kyambogo'!D100+'Avg Week Kyambogo-Spear Motors'!D100</f>
        <v>2.5</v>
      </c>
      <c r="E100" s="49">
        <f>'Avg Week Spear Motors-Kyambogo'!E100+'Avg Week Kyambogo-Spear Motors'!E100</f>
        <v>4.5</v>
      </c>
      <c r="F100" s="49">
        <f>'Avg Week Spear Motors-Kyambogo'!F100+'Avg Week Kyambogo-Spear Motors'!F100</f>
        <v>45</v>
      </c>
      <c r="G100" s="49">
        <f>'Avg Week Spear Motors-Kyambogo'!G100+'Avg Week Kyambogo-Spear Motors'!G100</f>
        <v>2</v>
      </c>
      <c r="H100" s="49">
        <f>'Avg Week Spear Motors-Kyambogo'!H100+'Avg Week Kyambogo-Spear Motors'!H100</f>
        <v>2</v>
      </c>
      <c r="I100" s="49">
        <f>'Avg Week Spear Motors-Kyambogo'!I100+'Avg Week Kyambogo-Spear Motors'!I100</f>
        <v>5</v>
      </c>
      <c r="J100" s="49">
        <f>'Avg Week Spear Motors-Kyambogo'!J100+'Avg Week Kyambogo-Spear Motors'!J100</f>
        <v>6</v>
      </c>
      <c r="K100" s="49">
        <f>'Avg Week Spear Motors-Kyambogo'!K100+'Avg Week Kyambogo-Spear Motors'!K100</f>
        <v>5.5</v>
      </c>
      <c r="L100" s="49">
        <f>'Avg Week Spear Motors-Kyambogo'!L100+'Avg Week Kyambogo-Spear Motors'!L100</f>
        <v>6</v>
      </c>
      <c r="M100" s="49">
        <f>'Avg Week Spear Motors-Kyambogo'!M100+'Avg Week Kyambogo-Spear Motors'!M100</f>
        <v>181</v>
      </c>
      <c r="N100" s="49">
        <f>'Avg Week Spear Motors-Kyambogo'!N100+'Avg Week Kyambogo-Spear Motors'!N100</f>
        <v>0</v>
      </c>
      <c r="O100" s="15">
        <f t="shared" si="35"/>
        <v>107</v>
      </c>
      <c r="P100" s="15">
        <f t="shared" si="36"/>
        <v>288</v>
      </c>
      <c r="R100" s="8"/>
      <c r="T100"/>
    </row>
    <row r="101" spans="2:20" ht="23.1" customHeight="1" x14ac:dyDescent="0.25">
      <c r="B101" s="23" t="s">
        <v>141</v>
      </c>
      <c r="C101" s="49">
        <f>'Avg Week Spear Motors-Kyambogo'!C101+'Avg Week Kyambogo-Spear Motors'!C101</f>
        <v>18.5</v>
      </c>
      <c r="D101" s="49">
        <f>'Avg Week Spear Motors-Kyambogo'!D101+'Avg Week Kyambogo-Spear Motors'!D101</f>
        <v>4.5</v>
      </c>
      <c r="E101" s="49">
        <f>'Avg Week Spear Motors-Kyambogo'!E101+'Avg Week Kyambogo-Spear Motors'!E101</f>
        <v>3.5</v>
      </c>
      <c r="F101" s="49">
        <f>'Avg Week Spear Motors-Kyambogo'!F101+'Avg Week Kyambogo-Spear Motors'!F101</f>
        <v>48.5</v>
      </c>
      <c r="G101" s="49">
        <f>'Avg Week Spear Motors-Kyambogo'!G101+'Avg Week Kyambogo-Spear Motors'!G101</f>
        <v>2.5</v>
      </c>
      <c r="H101" s="49">
        <f>'Avg Week Spear Motors-Kyambogo'!H101+'Avg Week Kyambogo-Spear Motors'!H101</f>
        <v>1</v>
      </c>
      <c r="I101" s="49">
        <f>'Avg Week Spear Motors-Kyambogo'!I101+'Avg Week Kyambogo-Spear Motors'!I101</f>
        <v>7.5</v>
      </c>
      <c r="J101" s="49">
        <f>'Avg Week Spear Motors-Kyambogo'!J101+'Avg Week Kyambogo-Spear Motors'!J101</f>
        <v>5.5</v>
      </c>
      <c r="K101" s="49">
        <f>'Avg Week Spear Motors-Kyambogo'!K101+'Avg Week Kyambogo-Spear Motors'!K101</f>
        <v>2.5</v>
      </c>
      <c r="L101" s="49">
        <f>'Avg Week Spear Motors-Kyambogo'!L101+'Avg Week Kyambogo-Spear Motors'!L101</f>
        <v>4</v>
      </c>
      <c r="M101" s="49">
        <f>'Avg Week Spear Motors-Kyambogo'!M101+'Avg Week Kyambogo-Spear Motors'!M101</f>
        <v>173.5</v>
      </c>
      <c r="N101" s="49">
        <f>'Avg Week Spear Motors-Kyambogo'!N101+'Avg Week Kyambogo-Spear Motors'!N101</f>
        <v>0</v>
      </c>
      <c r="O101" s="15">
        <f t="shared" si="35"/>
        <v>98</v>
      </c>
      <c r="P101" s="15">
        <f t="shared" si="36"/>
        <v>271.5</v>
      </c>
      <c r="R101" s="8"/>
      <c r="T101"/>
    </row>
    <row r="102" spans="2:20" ht="23.1" customHeight="1" x14ac:dyDescent="0.25">
      <c r="B102" s="24" t="s">
        <v>142</v>
      </c>
      <c r="C102" s="49">
        <f>'Avg Week Spear Motors-Kyambogo'!C102+'Avg Week Kyambogo-Spear Motors'!C102</f>
        <v>33</v>
      </c>
      <c r="D102" s="49">
        <f>'Avg Week Spear Motors-Kyambogo'!D102+'Avg Week Kyambogo-Spear Motors'!D102</f>
        <v>6.5</v>
      </c>
      <c r="E102" s="49">
        <f>'Avg Week Spear Motors-Kyambogo'!E102+'Avg Week Kyambogo-Spear Motors'!E102</f>
        <v>7.5</v>
      </c>
      <c r="F102" s="49">
        <f>'Avg Week Spear Motors-Kyambogo'!F102+'Avg Week Kyambogo-Spear Motors'!F102</f>
        <v>46.5</v>
      </c>
      <c r="G102" s="49">
        <f>'Avg Week Spear Motors-Kyambogo'!G102+'Avg Week Kyambogo-Spear Motors'!G102</f>
        <v>4.5</v>
      </c>
      <c r="H102" s="49">
        <f>'Avg Week Spear Motors-Kyambogo'!H102+'Avg Week Kyambogo-Spear Motors'!H102</f>
        <v>2.5</v>
      </c>
      <c r="I102" s="49">
        <f>'Avg Week Spear Motors-Kyambogo'!I102+'Avg Week Kyambogo-Spear Motors'!I102</f>
        <v>4</v>
      </c>
      <c r="J102" s="49">
        <f>'Avg Week Spear Motors-Kyambogo'!J102+'Avg Week Kyambogo-Spear Motors'!J102</f>
        <v>3.5</v>
      </c>
      <c r="K102" s="49">
        <f>'Avg Week Spear Motors-Kyambogo'!K102+'Avg Week Kyambogo-Spear Motors'!K102</f>
        <v>2.5</v>
      </c>
      <c r="L102" s="49">
        <f>'Avg Week Spear Motors-Kyambogo'!L102+'Avg Week Kyambogo-Spear Motors'!L102</f>
        <v>4</v>
      </c>
      <c r="M102" s="49">
        <f>'Avg Week Spear Motors-Kyambogo'!M102+'Avg Week Kyambogo-Spear Motors'!M102</f>
        <v>127.5</v>
      </c>
      <c r="N102" s="49">
        <f>'Avg Week Spear Motors-Kyambogo'!N102+'Avg Week Kyambogo-Spear Motors'!N102</f>
        <v>0</v>
      </c>
      <c r="O102" s="15">
        <f t="shared" si="35"/>
        <v>114.5</v>
      </c>
      <c r="P102" s="15">
        <f t="shared" si="36"/>
        <v>242</v>
      </c>
      <c r="R102" s="8"/>
      <c r="T102"/>
    </row>
    <row r="103" spans="2:20" ht="23.1" customHeight="1" x14ac:dyDescent="0.25">
      <c r="B103" s="23" t="s">
        <v>143</v>
      </c>
      <c r="C103" s="49">
        <f>'Avg Week Spear Motors-Kyambogo'!C103+'Avg Week Kyambogo-Spear Motors'!C103</f>
        <v>42.5</v>
      </c>
      <c r="D103" s="49">
        <f>'Avg Week Spear Motors-Kyambogo'!D103+'Avg Week Kyambogo-Spear Motors'!D103</f>
        <v>11.5</v>
      </c>
      <c r="E103" s="49">
        <f>'Avg Week Spear Motors-Kyambogo'!E103+'Avg Week Kyambogo-Spear Motors'!E103</f>
        <v>7</v>
      </c>
      <c r="F103" s="49">
        <f>'Avg Week Spear Motors-Kyambogo'!F103+'Avg Week Kyambogo-Spear Motors'!F103</f>
        <v>82.5</v>
      </c>
      <c r="G103" s="49">
        <f>'Avg Week Spear Motors-Kyambogo'!G103+'Avg Week Kyambogo-Spear Motors'!G103</f>
        <v>5.5</v>
      </c>
      <c r="H103" s="49">
        <f>'Avg Week Spear Motors-Kyambogo'!H103+'Avg Week Kyambogo-Spear Motors'!H103</f>
        <v>1.5</v>
      </c>
      <c r="I103" s="49">
        <f>'Avg Week Spear Motors-Kyambogo'!I103+'Avg Week Kyambogo-Spear Motors'!I103</f>
        <v>2</v>
      </c>
      <c r="J103" s="49">
        <f>'Avg Week Spear Motors-Kyambogo'!J103+'Avg Week Kyambogo-Spear Motors'!J103</f>
        <v>10</v>
      </c>
      <c r="K103" s="49">
        <f>'Avg Week Spear Motors-Kyambogo'!K103+'Avg Week Kyambogo-Spear Motors'!K103</f>
        <v>3</v>
      </c>
      <c r="L103" s="49">
        <f>'Avg Week Spear Motors-Kyambogo'!L103+'Avg Week Kyambogo-Spear Motors'!L103</f>
        <v>4</v>
      </c>
      <c r="M103" s="49">
        <f>'Avg Week Spear Motors-Kyambogo'!M103+'Avg Week Kyambogo-Spear Motors'!M103</f>
        <v>174</v>
      </c>
      <c r="N103" s="49">
        <f>'Avg Week Spear Motors-Kyambogo'!N103+'Avg Week Kyambogo-Spear Motors'!N103</f>
        <v>0</v>
      </c>
      <c r="O103" s="15">
        <f t="shared" si="35"/>
        <v>169.5</v>
      </c>
      <c r="P103" s="15">
        <f t="shared" si="36"/>
        <v>343.5</v>
      </c>
      <c r="R103" s="8"/>
      <c r="T103"/>
    </row>
    <row r="104" spans="2:20" ht="23.1" customHeight="1" x14ac:dyDescent="0.25">
      <c r="B104" s="25" t="s">
        <v>144</v>
      </c>
      <c r="C104" s="49">
        <f>'Avg Week Spear Motors-Kyambogo'!C104+'Avg Week Kyambogo-Spear Motors'!C104</f>
        <v>50</v>
      </c>
      <c r="D104" s="49">
        <f>'Avg Week Spear Motors-Kyambogo'!D104+'Avg Week Kyambogo-Spear Motors'!D104</f>
        <v>11</v>
      </c>
      <c r="E104" s="49">
        <f>'Avg Week Spear Motors-Kyambogo'!E104+'Avg Week Kyambogo-Spear Motors'!E104</f>
        <v>10.5</v>
      </c>
      <c r="F104" s="49">
        <f>'Avg Week Spear Motors-Kyambogo'!F104+'Avg Week Kyambogo-Spear Motors'!F104</f>
        <v>125.5</v>
      </c>
      <c r="G104" s="49">
        <f>'Avg Week Spear Motors-Kyambogo'!G104+'Avg Week Kyambogo-Spear Motors'!G104</f>
        <v>5.5</v>
      </c>
      <c r="H104" s="49">
        <f>'Avg Week Spear Motors-Kyambogo'!H104+'Avg Week Kyambogo-Spear Motors'!H104</f>
        <v>3</v>
      </c>
      <c r="I104" s="49">
        <f>'Avg Week Spear Motors-Kyambogo'!I104+'Avg Week Kyambogo-Spear Motors'!I104</f>
        <v>8.5</v>
      </c>
      <c r="J104" s="49">
        <f>'Avg Week Spear Motors-Kyambogo'!J104+'Avg Week Kyambogo-Spear Motors'!J104</f>
        <v>3</v>
      </c>
      <c r="K104" s="49">
        <f>'Avg Week Spear Motors-Kyambogo'!K104+'Avg Week Kyambogo-Spear Motors'!K104</f>
        <v>1.5</v>
      </c>
      <c r="L104" s="49">
        <f>'Avg Week Spear Motors-Kyambogo'!L104+'Avg Week Kyambogo-Spear Motors'!L104</f>
        <v>5</v>
      </c>
      <c r="M104" s="49">
        <f>'Avg Week Spear Motors-Kyambogo'!M104+'Avg Week Kyambogo-Spear Motors'!M104</f>
        <v>194.5</v>
      </c>
      <c r="N104" s="49">
        <f>'Avg Week Spear Motors-Kyambogo'!N104+'Avg Week Kyambogo-Spear Motors'!N104</f>
        <v>0</v>
      </c>
      <c r="O104" s="15">
        <f t="shared" si="35"/>
        <v>223.5</v>
      </c>
      <c r="P104" s="15">
        <f t="shared" si="36"/>
        <v>418</v>
      </c>
      <c r="R104" s="8"/>
      <c r="T104"/>
    </row>
    <row r="105" spans="2:20" ht="23.1" customHeight="1" x14ac:dyDescent="0.25">
      <c r="B105" s="23" t="s">
        <v>145</v>
      </c>
      <c r="C105" s="49">
        <f>'Avg Week Spear Motors-Kyambogo'!C105+'Avg Week Kyambogo-Spear Motors'!C105</f>
        <v>52</v>
      </c>
      <c r="D105" s="49">
        <f>'Avg Week Spear Motors-Kyambogo'!D105+'Avg Week Kyambogo-Spear Motors'!D105</f>
        <v>9</v>
      </c>
      <c r="E105" s="49">
        <f>'Avg Week Spear Motors-Kyambogo'!E105+'Avg Week Kyambogo-Spear Motors'!E105</f>
        <v>11.5</v>
      </c>
      <c r="F105" s="49">
        <f>'Avg Week Spear Motors-Kyambogo'!F105+'Avg Week Kyambogo-Spear Motors'!F105</f>
        <v>57.5</v>
      </c>
      <c r="G105" s="49">
        <f>'Avg Week Spear Motors-Kyambogo'!G105+'Avg Week Kyambogo-Spear Motors'!G105</f>
        <v>12</v>
      </c>
      <c r="H105" s="49">
        <f>'Avg Week Spear Motors-Kyambogo'!H105+'Avg Week Kyambogo-Spear Motors'!H105</f>
        <v>10.5</v>
      </c>
      <c r="I105" s="49">
        <f>'Avg Week Spear Motors-Kyambogo'!I105+'Avg Week Kyambogo-Spear Motors'!I105</f>
        <v>10.5</v>
      </c>
      <c r="J105" s="49">
        <f>'Avg Week Spear Motors-Kyambogo'!J105+'Avg Week Kyambogo-Spear Motors'!J105</f>
        <v>11.5</v>
      </c>
      <c r="K105" s="49">
        <f>'Avg Week Spear Motors-Kyambogo'!K105+'Avg Week Kyambogo-Spear Motors'!K105</f>
        <v>3</v>
      </c>
      <c r="L105" s="49">
        <f>'Avg Week Spear Motors-Kyambogo'!L105+'Avg Week Kyambogo-Spear Motors'!L105</f>
        <v>3.5</v>
      </c>
      <c r="M105" s="49">
        <f>'Avg Week Spear Motors-Kyambogo'!M105+'Avg Week Kyambogo-Spear Motors'!M105</f>
        <v>169.5</v>
      </c>
      <c r="N105" s="49">
        <f>'Avg Week Spear Motors-Kyambogo'!N105+'Avg Week Kyambogo-Spear Motors'!N105</f>
        <v>0</v>
      </c>
      <c r="O105" s="15">
        <f t="shared" si="35"/>
        <v>181</v>
      </c>
      <c r="P105" s="15">
        <f t="shared" si="36"/>
        <v>350.5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9169.7857142857138</v>
      </c>
      <c r="D106" s="16">
        <f t="shared" ref="D106:P106" si="37">SUM(D10:D105)</f>
        <v>2812.8571428571427</v>
      </c>
      <c r="E106" s="16">
        <f t="shared" si="37"/>
        <v>1720.2142857142858</v>
      </c>
      <c r="F106" s="16">
        <f t="shared" si="37"/>
        <v>7774.5714285714275</v>
      </c>
      <c r="G106" s="16">
        <f t="shared" si="37"/>
        <v>382.73809523809518</v>
      </c>
      <c r="H106" s="16">
        <f t="shared" si="37"/>
        <v>155.1904761904762</v>
      </c>
      <c r="I106" s="16">
        <f t="shared" si="37"/>
        <v>918.78571428571456</v>
      </c>
      <c r="J106" s="16">
        <f t="shared" si="37"/>
        <v>552.57142857142844</v>
      </c>
      <c r="K106" s="16">
        <f t="shared" si="37"/>
        <v>275.11904761904765</v>
      </c>
      <c r="L106" s="16">
        <f t="shared" si="37"/>
        <v>530.64285714285711</v>
      </c>
      <c r="M106" s="16">
        <f t="shared" si="37"/>
        <v>39434.142857142855</v>
      </c>
      <c r="N106" s="16">
        <f t="shared" si="37"/>
        <v>0</v>
      </c>
      <c r="O106" s="16">
        <f t="shared" si="37"/>
        <v>24292.476190476191</v>
      </c>
      <c r="P106" s="16">
        <f t="shared" si="37"/>
        <v>63726.619047619046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0.14389254994735698</v>
      </c>
      <c r="D107" s="43">
        <f t="shared" si="38"/>
        <v>4.4139437881605875E-2</v>
      </c>
      <c r="E107" s="43">
        <f t="shared" si="38"/>
        <v>2.6993653694837846E-2</v>
      </c>
      <c r="F107" s="43">
        <f t="shared" si="38"/>
        <v>0.1219988059112623</v>
      </c>
      <c r="G107" s="43">
        <f t="shared" si="38"/>
        <v>6.0059375651499445E-3</v>
      </c>
      <c r="H107" s="43">
        <f t="shared" si="38"/>
        <v>2.4352535645192751E-3</v>
      </c>
      <c r="I107" s="43">
        <f t="shared" si="38"/>
        <v>1.4417612734156846E-2</v>
      </c>
      <c r="J107" s="43">
        <f t="shared" si="38"/>
        <v>8.6709672791290757E-3</v>
      </c>
      <c r="K107" s="43">
        <f t="shared" si="38"/>
        <v>4.3171762715587944E-3</v>
      </c>
      <c r="L107" s="43">
        <f t="shared" si="38"/>
        <v>8.3268634845721189E-3</v>
      </c>
      <c r="M107" s="43">
        <f t="shared" si="38"/>
        <v>0.61880174166585089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0.37747431107417145</v>
      </c>
      <c r="D108" s="44">
        <f t="shared" ref="D108:N108" si="39">D106/$O$106</f>
        <v>0.11579128948410441</v>
      </c>
      <c r="E108" s="44">
        <f t="shared" si="39"/>
        <v>7.0812636481607086E-2</v>
      </c>
      <c r="F108" s="44">
        <f t="shared" si="39"/>
        <v>0.32004030250400867</v>
      </c>
      <c r="G108" s="44">
        <f t="shared" si="39"/>
        <v>1.5755417119155055E-2</v>
      </c>
      <c r="H108" s="44">
        <f t="shared" si="39"/>
        <v>6.3884173426222504E-3</v>
      </c>
      <c r="I108" s="44">
        <f t="shared" si="39"/>
        <v>3.7821822159320354E-2</v>
      </c>
      <c r="J108" s="44">
        <f t="shared" si="39"/>
        <v>2.274660780723798E-2</v>
      </c>
      <c r="K108" s="44">
        <f t="shared" si="39"/>
        <v>1.1325278059834321E-2</v>
      </c>
      <c r="L108" s="44">
        <f t="shared" si="39"/>
        <v>2.1843917967938338E-2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29.07 Spear Motors-Kyambogo</vt:lpstr>
      <vt:lpstr>29.07 Kyambogo-Spear Motors</vt:lpstr>
      <vt:lpstr>30.07 Spear Motors-Kyambogo</vt:lpstr>
      <vt:lpstr>30.07 Kyambogo-Spear Motors</vt:lpstr>
      <vt:lpstr>31.07 Spear Motors-Kyambogo</vt:lpstr>
      <vt:lpstr>31.07 Kyambogo-Spear Motors</vt:lpstr>
      <vt:lpstr>01.08 Spear Motors-Kyambogo</vt:lpstr>
      <vt:lpstr>01.08 Kyambogo-Spear Motors</vt:lpstr>
      <vt:lpstr>02.08 Spear Motors-Kyambogo</vt:lpstr>
      <vt:lpstr>02.08 Kyambogo-Spear Motors</vt:lpstr>
      <vt:lpstr>03.08 Spear Motors-Kyambogo</vt:lpstr>
      <vt:lpstr>03.08 Kyambogo-Spear Motors</vt:lpstr>
      <vt:lpstr>04.08 Spear Motors-Kyambogo</vt:lpstr>
      <vt:lpstr>04.08 Kyambogo-Spear Motors</vt:lpstr>
      <vt:lpstr>Avg Week Spear Motors-Kyambogo</vt:lpstr>
      <vt:lpstr>Avg Week Kyambogo-Spear Motors</vt:lpstr>
      <vt:lpstr>Avg Week Spear Motors-2Dir</vt:lpstr>
      <vt:lpstr>'01.08 Kyambogo-Spear Motors'!Print_Area</vt:lpstr>
      <vt:lpstr>'01.08 Spear Motors-Kyambogo'!Print_Area</vt:lpstr>
      <vt:lpstr>'02.08 Kyambogo-Spear Motors'!Print_Area</vt:lpstr>
      <vt:lpstr>'02.08 Spear Motors-Kyambogo'!Print_Area</vt:lpstr>
      <vt:lpstr>'03.08 Kyambogo-Spear Motors'!Print_Area</vt:lpstr>
      <vt:lpstr>'03.08 Spear Motors-Kyambogo'!Print_Area</vt:lpstr>
      <vt:lpstr>'04.08 Kyambogo-Spear Motors'!Print_Area</vt:lpstr>
      <vt:lpstr>'04.08 Spear Motors-Kyambogo'!Print_Area</vt:lpstr>
      <vt:lpstr>'29.07 Kyambogo-Spear Motors'!Print_Area</vt:lpstr>
      <vt:lpstr>'29.07 Spear Motors-Kyambogo'!Print_Area</vt:lpstr>
      <vt:lpstr>'30.07 Kyambogo-Spear Motors'!Print_Area</vt:lpstr>
      <vt:lpstr>'30.07 Spear Motors-Kyambogo'!Print_Area</vt:lpstr>
      <vt:lpstr>'31.07 Kyambogo-Spear Motors'!Print_Area</vt:lpstr>
      <vt:lpstr>'31.07 Spear Motors-Kyambogo'!Print_Area</vt:lpstr>
      <vt:lpstr>'Avg Week Kyambogo-Spear Motors'!Print_Area</vt:lpstr>
      <vt:lpstr>'Avg Week Spear Motors-2Dir'!Print_Area</vt:lpstr>
      <vt:lpstr>'Avg Week Spear Motors-Kyambogo'!Print_Area</vt:lpstr>
      <vt:lpstr>'01.08 Kyambogo-Spear Motors'!Print_Titles</vt:lpstr>
      <vt:lpstr>'01.08 Spear Motors-Kyambogo'!Print_Titles</vt:lpstr>
      <vt:lpstr>'02.08 Kyambogo-Spear Motors'!Print_Titles</vt:lpstr>
      <vt:lpstr>'02.08 Spear Motors-Kyambogo'!Print_Titles</vt:lpstr>
      <vt:lpstr>'03.08 Kyambogo-Spear Motors'!Print_Titles</vt:lpstr>
      <vt:lpstr>'03.08 Spear Motors-Kyambogo'!Print_Titles</vt:lpstr>
      <vt:lpstr>'04.08 Kyambogo-Spear Motors'!Print_Titles</vt:lpstr>
      <vt:lpstr>'04.08 Spear Motors-Kyambogo'!Print_Titles</vt:lpstr>
      <vt:lpstr>'29.07 Kyambogo-Spear Motors'!Print_Titles</vt:lpstr>
      <vt:lpstr>'29.07 Spear Motors-Kyambogo'!Print_Titles</vt:lpstr>
      <vt:lpstr>'30.07 Kyambogo-Spear Motors'!Print_Titles</vt:lpstr>
      <vt:lpstr>'30.07 Spear Motors-Kyambogo'!Print_Titles</vt:lpstr>
      <vt:lpstr>'31.07 Kyambogo-Spear Motors'!Print_Titles</vt:lpstr>
      <vt:lpstr>'31.07 Spear Motors-Kyambogo'!Print_Titles</vt:lpstr>
      <vt:lpstr>'Avg Week Kyambogo-Spear Motors'!Print_Titles</vt:lpstr>
      <vt:lpstr>'Avg Week Spear Motors-2Dir'!Print_Titles</vt:lpstr>
      <vt:lpstr>'Avg Week Spear Motors-Kyambogo'!Print_Titles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2020-01-15T18:27:35Z</dcterms:modified>
</cp:coreProperties>
</file>